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2274248\Desktop\HUGO\AYE\COTIZADORES VIGENTES\TECNICOS\"/>
    </mc:Choice>
  </mc:AlternateContent>
  <xr:revisionPtr revIDLastSave="0" documentId="13_ncr:1_{4FB1BE34-C993-43BE-8366-1941D20BFD41}" xr6:coauthVersionLast="41" xr6:coauthVersionMax="41" xr10:uidLastSave="{00000000-0000-0000-0000-000000000000}"/>
  <workbookProtection workbookAlgorithmName="SHA-512" workbookHashValue="Bi0ryH3cYiMwthQSrlaZUeoHFAtj7yuQaEQzhw5zjbKXz34PlXLOwWH7ee5+wW9fXc76svP/M0SDYFuY7CssUw==" workbookSaltValue="1IC2J7FRugCvIcrtKOdmPQ==" workbookSpinCount="100000" lockStructure="1" lockWindows="1"/>
  <bookViews>
    <workbookView xWindow="-120" yWindow="-120" windowWidth="20730" windowHeight="11160" tabRatio="617" xr2:uid="{00000000-000D-0000-FFFF-FFFF00000000}"/>
  </bookViews>
  <sheets>
    <sheet name="Cotizador" sheetId="18" r:id="rId1"/>
    <sheet name="Instrucciones" sheetId="19" state="hidden" r:id="rId2"/>
    <sheet name="COTIZACION" sheetId="13" state="hidden" r:id="rId3"/>
    <sheet name="FACTORES" sheetId="1" state="hidden" r:id="rId4"/>
    <sheet name="TARIFARIO" sheetId="25" state="hidden" r:id="rId5"/>
    <sheet name="IMPRESION" sheetId="16" state="hidden" r:id="rId6"/>
    <sheet name="IMPRESION_2" sheetId="24" state="hidden" r:id="rId7"/>
    <sheet name="HISTORICO DE TARIFAS" sheetId="22" state="hidden" r:id="rId8"/>
    <sheet name="CAMBIOS" sheetId="20" state="hidden" r:id="rId9"/>
  </sheets>
  <externalReferences>
    <externalReference r:id="rId10"/>
    <externalReference r:id="rId11"/>
  </externalReferences>
  <definedNames>
    <definedName name="_xlnm._FilterDatabase" localSheetId="2" hidden="1">COTIZACION!$B$4:$H$24</definedName>
    <definedName name="_xlnm._FilterDatabase" localSheetId="3" hidden="1">FACTORES!$N$2:$O$34</definedName>
    <definedName name="a">[1]COBERTURAS!$G$20</definedName>
    <definedName name="ADIC" localSheetId="7">#REF!</definedName>
    <definedName name="ADIC" localSheetId="6">#REF!</definedName>
    <definedName name="ADIC">#REF!</definedName>
    <definedName name="_xlnm.Print_Area" localSheetId="6">IMPRESION_2!$A$1:$W$235</definedName>
    <definedName name="_xlnm.Print_Area" localSheetId="4">TARIFARIO!$A$1:$M$86</definedName>
    <definedName name="ASIS">FACTORES!$AG$4</definedName>
    <definedName name="Base" localSheetId="7">COTIZACION!#REF!</definedName>
    <definedName name="Base" localSheetId="5">IMPRESION!#REF!</definedName>
    <definedName name="Base" localSheetId="6">IMPRESION_2!#REF!</definedName>
    <definedName name="Base">COTIZACION!#REF!</definedName>
    <definedName name="BÁSICAS" localSheetId="7">'HISTORICO DE TARIFAS'!#REF!</definedName>
    <definedName name="BÁSICAS">FACTORES!$I$39:$U$52</definedName>
    <definedName name="CDENT">FACTORES!$AG$5</definedName>
    <definedName name="CEE">FACTORES!$AG$3</definedName>
    <definedName name="CTE">FACTORES!$AD$30</definedName>
    <definedName name="CVISION" localSheetId="7">#REF!</definedName>
    <definedName name="CVISION" localSheetId="6">#REF!</definedName>
    <definedName name="CVISION">#REF!</definedName>
    <definedName name="DEDXACC" localSheetId="7">#REF!</definedName>
    <definedName name="DEDXACC" localSheetId="6">#REF!</definedName>
    <definedName name="DEDXACC">#REF!</definedName>
    <definedName name="DENTAL" localSheetId="7">#REF!</definedName>
    <definedName name="DENTAL" localSheetId="6">#REF!</definedName>
    <definedName name="DENTAL">#REF!</definedName>
    <definedName name="DER" localSheetId="7">'HISTORICO DE TARIFAS'!#REF!</definedName>
    <definedName name="DER">FACTORES!$S$34</definedName>
    <definedName name="DESC" localSheetId="7">COTIZACION!#REF!</definedName>
    <definedName name="DESC" localSheetId="6">COTIZACION!#REF!</definedName>
    <definedName name="DESC">COTIZACION!#REF!</definedName>
    <definedName name="EDUCA" localSheetId="7">#REF!</definedName>
    <definedName name="EDUCA" localSheetId="6">#REF!</definedName>
    <definedName name="EDUCA">#REF!</definedName>
    <definedName name="EDXA019">FACTORES!$AG$26</definedName>
    <definedName name="EDXA20100">FACTORES!$AG$27</definedName>
    <definedName name="ENFGR">FACTORES!$AG$7</definedName>
    <definedName name="ENFGVES" localSheetId="7">#REF!</definedName>
    <definedName name="ENFGVES" localSheetId="6">#REF!</definedName>
    <definedName name="ENFGVES">#REF!</definedName>
    <definedName name="IKE" localSheetId="7">#REF!</definedName>
    <definedName name="IKE" localSheetId="6">#REF!</definedName>
    <definedName name="IKE">#REF!</definedName>
    <definedName name="IVA">COTIZACION!$D$24</definedName>
    <definedName name="PARTO" localSheetId="7">#REF!</definedName>
    <definedName name="PARTO" localSheetId="6">#REF!</definedName>
    <definedName name="PARTO">#REF!</definedName>
    <definedName name="Print_Area" localSheetId="2">COTIZACION!$B$2:$I$37</definedName>
    <definedName name="Print_Area" localSheetId="0">Cotizador!$A$1:$K$34</definedName>
    <definedName name="Print_Area" localSheetId="3">FACTORES!$G$2:$BC$53</definedName>
    <definedName name="Print_Area" localSheetId="7">'HISTORICO DE TARIFAS'!#REF!</definedName>
    <definedName name="Print_Area" localSheetId="5">IMPRESION!$A$1:$Q$100</definedName>
    <definedName name="Print_Area" localSheetId="6">IMPRESION_2!$A$1:$K$103</definedName>
    <definedName name="Print_Area" localSheetId="1">Instrucciones!$A$1:$L$34</definedName>
    <definedName name="REDU" localSheetId="7">#REF!</definedName>
    <definedName name="REDU" localSheetId="6">#REF!</definedName>
    <definedName name="REDU">#REF!</definedName>
    <definedName name="RENOVADA" localSheetId="7">COTIZACION!#REF!</definedName>
    <definedName name="RENOVADA" localSheetId="6">COTIZACION!#REF!</definedName>
    <definedName name="RENOVADA">COTIZACION!#REF!</definedName>
    <definedName name="RMES" localSheetId="7">'HISTORICO DE TARIFAS'!#REF!</definedName>
    <definedName name="RMES">FACTORES!$AA$5</definedName>
    <definedName name="RSEM" localSheetId="7">'HISTORICO DE TARIFAS'!#REF!</definedName>
    <definedName name="RSEM">FACTORES!$AA$3</definedName>
    <definedName name="RTRIM" localSheetId="7">'HISTORICO DE TARIFAS'!#REF!</definedName>
    <definedName name="RTRIM">FACTORES!$AA$4</definedName>
    <definedName name="VIS">FACTORES!$AG$6</definedName>
    <definedName name="zona" localSheetId="7">Instrucciones!#REF!</definedName>
    <definedName name="zona" localSheetId="6">Instrucciones!#REF!</definedName>
    <definedName name="zona">Instrucciones!#REF!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8" i="16" l="1"/>
  <c r="E7" i="13"/>
  <c r="D15" i="13" l="1"/>
  <c r="F10" i="25" l="1"/>
  <c r="I32" i="16"/>
  <c r="AK10" i="1" l="1"/>
  <c r="AK9" i="1"/>
  <c r="AK8" i="1"/>
  <c r="AK7" i="1"/>
  <c r="AK6" i="1"/>
  <c r="AK5" i="1"/>
  <c r="AK4" i="1"/>
  <c r="AK3" i="1"/>
  <c r="E17" i="13" l="1"/>
  <c r="Z31" i="1" l="1"/>
  <c r="Z30" i="1"/>
  <c r="Z29" i="1"/>
  <c r="Z28" i="1"/>
  <c r="Z27" i="1"/>
  <c r="Z26" i="1"/>
  <c r="Z25" i="1"/>
  <c r="Z24" i="1"/>
  <c r="Z23" i="1"/>
  <c r="AD7" i="1"/>
  <c r="I13" i="1"/>
  <c r="I12" i="1"/>
  <c r="I11" i="1"/>
  <c r="I10" i="1"/>
  <c r="I9" i="1"/>
  <c r="I8" i="1"/>
  <c r="I7" i="1"/>
  <c r="I6" i="1"/>
  <c r="I5" i="1"/>
  <c r="I4" i="1"/>
  <c r="I3" i="1"/>
  <c r="K11" i="25" l="1"/>
  <c r="K12" i="25"/>
  <c r="B82" i="25" l="1"/>
  <c r="L7" i="25" l="1"/>
  <c r="AG5" i="1" l="1"/>
  <c r="G7" i="25"/>
  <c r="L17" i="25"/>
  <c r="L16" i="25"/>
  <c r="L15" i="25"/>
  <c r="H17" i="25"/>
  <c r="H16" i="25"/>
  <c r="H15" i="25"/>
  <c r="D17" i="25"/>
  <c r="D16" i="25"/>
  <c r="D15" i="25"/>
  <c r="K10" i="25"/>
  <c r="D7" i="25"/>
  <c r="E20" i="13" l="1"/>
  <c r="AG3" i="1" l="1"/>
  <c r="I19" i="16" l="1"/>
  <c r="AA12" i="1" l="1"/>
  <c r="I27" i="24" l="1"/>
  <c r="I31" i="24" s="1"/>
  <c r="B7" i="24"/>
  <c r="K6" i="24"/>
  <c r="I28" i="24" l="1"/>
  <c r="I32" i="24"/>
  <c r="I29" i="24"/>
  <c r="I33" i="24"/>
  <c r="I30" i="24"/>
  <c r="I34" i="24"/>
  <c r="AN14" i="1"/>
  <c r="AG6" i="1"/>
  <c r="AG4" i="1"/>
  <c r="AI33" i="1" l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 l="1"/>
  <c r="B100" i="16" s="1"/>
  <c r="I30" i="16"/>
  <c r="AD8" i="1"/>
  <c r="AD6" i="1"/>
  <c r="I18" i="16"/>
  <c r="I14" i="16" l="1"/>
  <c r="AD4" i="1" l="1"/>
  <c r="AD3" i="1"/>
  <c r="H104" i="22" l="1"/>
  <c r="P104" i="22" s="1"/>
  <c r="G104" i="22"/>
  <c r="O104" i="22" s="1"/>
  <c r="H103" i="22"/>
  <c r="L103" i="22" s="1"/>
  <c r="G103" i="22"/>
  <c r="K103" i="22" s="1"/>
  <c r="H102" i="22"/>
  <c r="P102" i="22" s="1"/>
  <c r="G102" i="22"/>
  <c r="O102" i="22" s="1"/>
  <c r="H101" i="22"/>
  <c r="L101" i="22" s="1"/>
  <c r="G101" i="22"/>
  <c r="K101" i="22" s="1"/>
  <c r="H100" i="22"/>
  <c r="P100" i="22" s="1"/>
  <c r="G100" i="22"/>
  <c r="O100" i="22" s="1"/>
  <c r="H99" i="22"/>
  <c r="L99" i="22" s="1"/>
  <c r="G99" i="22"/>
  <c r="K99" i="22" s="1"/>
  <c r="H98" i="22"/>
  <c r="P98" i="22" s="1"/>
  <c r="G98" i="22"/>
  <c r="O98" i="22" s="1"/>
  <c r="H97" i="22"/>
  <c r="L97" i="22" s="1"/>
  <c r="G97" i="22"/>
  <c r="K97" i="22" s="1"/>
  <c r="H96" i="22"/>
  <c r="P96" i="22" s="1"/>
  <c r="G96" i="22"/>
  <c r="O96" i="22" s="1"/>
  <c r="H95" i="22"/>
  <c r="L95" i="22" s="1"/>
  <c r="G95" i="22"/>
  <c r="K95" i="22" s="1"/>
  <c r="L94" i="22"/>
  <c r="H94" i="22"/>
  <c r="P94" i="22" s="1"/>
  <c r="G94" i="22"/>
  <c r="O94" i="22" s="1"/>
  <c r="H93" i="22"/>
  <c r="L93" i="22" s="1"/>
  <c r="G93" i="22"/>
  <c r="K93" i="22" s="1"/>
  <c r="H92" i="22"/>
  <c r="P92" i="22" s="1"/>
  <c r="G92" i="22"/>
  <c r="O92" i="22" s="1"/>
  <c r="H91" i="22"/>
  <c r="L91" i="22" s="1"/>
  <c r="G91" i="22"/>
  <c r="K91" i="22" s="1"/>
  <c r="H90" i="22"/>
  <c r="P90" i="22" s="1"/>
  <c r="G90" i="22"/>
  <c r="O90" i="22" s="1"/>
  <c r="H89" i="22"/>
  <c r="L89" i="22" s="1"/>
  <c r="G89" i="22"/>
  <c r="K89" i="22" s="1"/>
  <c r="H88" i="22"/>
  <c r="P88" i="22" s="1"/>
  <c r="G88" i="22"/>
  <c r="O88" i="22" s="1"/>
  <c r="H87" i="22"/>
  <c r="L87" i="22" s="1"/>
  <c r="G87" i="22"/>
  <c r="K87" i="22" s="1"/>
  <c r="H86" i="22"/>
  <c r="P86" i="22" s="1"/>
  <c r="G86" i="22"/>
  <c r="O86" i="22" s="1"/>
  <c r="H85" i="22"/>
  <c r="L85" i="22" s="1"/>
  <c r="G85" i="22"/>
  <c r="K85" i="22" s="1"/>
  <c r="H84" i="22"/>
  <c r="P84" i="22" s="1"/>
  <c r="G84" i="22"/>
  <c r="O84" i="22" s="1"/>
  <c r="H83" i="22"/>
  <c r="L83" i="22" s="1"/>
  <c r="G83" i="22"/>
  <c r="K83" i="22" s="1"/>
  <c r="H82" i="22"/>
  <c r="P82" i="22" s="1"/>
  <c r="G82" i="22"/>
  <c r="O82" i="22" s="1"/>
  <c r="H81" i="22"/>
  <c r="L81" i="22" s="1"/>
  <c r="G81" i="22"/>
  <c r="K81" i="22" s="1"/>
  <c r="H80" i="22"/>
  <c r="P80" i="22" s="1"/>
  <c r="G80" i="22"/>
  <c r="O80" i="22" s="1"/>
  <c r="H79" i="22"/>
  <c r="L79" i="22" s="1"/>
  <c r="G79" i="22"/>
  <c r="K79" i="22" s="1"/>
  <c r="H78" i="22"/>
  <c r="P78" i="22" s="1"/>
  <c r="G78" i="22"/>
  <c r="O78" i="22" s="1"/>
  <c r="H77" i="22"/>
  <c r="L77" i="22" s="1"/>
  <c r="G77" i="22"/>
  <c r="K77" i="22" s="1"/>
  <c r="H76" i="22"/>
  <c r="P76" i="22" s="1"/>
  <c r="G76" i="22"/>
  <c r="O76" i="22" s="1"/>
  <c r="H75" i="22"/>
  <c r="L75" i="22" s="1"/>
  <c r="G75" i="22"/>
  <c r="K75" i="22" s="1"/>
  <c r="H74" i="22"/>
  <c r="P74" i="22" s="1"/>
  <c r="G74" i="22"/>
  <c r="O74" i="22" s="1"/>
  <c r="H73" i="22"/>
  <c r="L73" i="22" s="1"/>
  <c r="G73" i="22"/>
  <c r="O73" i="22" s="1"/>
  <c r="H72" i="22"/>
  <c r="P72" i="22" s="1"/>
  <c r="G72" i="22"/>
  <c r="O72" i="22" s="1"/>
  <c r="H71" i="22"/>
  <c r="L71" i="22" s="1"/>
  <c r="G71" i="22"/>
  <c r="O71" i="22" s="1"/>
  <c r="H70" i="22"/>
  <c r="P70" i="22" s="1"/>
  <c r="G70" i="22"/>
  <c r="O70" i="22" s="1"/>
  <c r="H69" i="22"/>
  <c r="L69" i="22" s="1"/>
  <c r="G69" i="22"/>
  <c r="O69" i="22" s="1"/>
  <c r="H68" i="22"/>
  <c r="P68" i="22" s="1"/>
  <c r="G68" i="22"/>
  <c r="O68" i="22" s="1"/>
  <c r="H67" i="22"/>
  <c r="L67" i="22" s="1"/>
  <c r="G67" i="22"/>
  <c r="O67" i="22" s="1"/>
  <c r="H66" i="22"/>
  <c r="P66" i="22" s="1"/>
  <c r="G66" i="22"/>
  <c r="O66" i="22" s="1"/>
  <c r="H65" i="22"/>
  <c r="L65" i="22" s="1"/>
  <c r="G65" i="22"/>
  <c r="O65" i="22" s="1"/>
  <c r="H64" i="22"/>
  <c r="P64" i="22" s="1"/>
  <c r="G64" i="22"/>
  <c r="O64" i="22" s="1"/>
  <c r="H63" i="22"/>
  <c r="L63" i="22" s="1"/>
  <c r="G63" i="22"/>
  <c r="O63" i="22" s="1"/>
  <c r="H62" i="22"/>
  <c r="P62" i="22" s="1"/>
  <c r="G62" i="22"/>
  <c r="O62" i="22" s="1"/>
  <c r="H61" i="22"/>
  <c r="L61" i="22" s="1"/>
  <c r="G61" i="22"/>
  <c r="O61" i="22" s="1"/>
  <c r="H60" i="22"/>
  <c r="P60" i="22" s="1"/>
  <c r="G60" i="22"/>
  <c r="O60" i="22" s="1"/>
  <c r="H59" i="22"/>
  <c r="L59" i="22" s="1"/>
  <c r="G59" i="22"/>
  <c r="O59" i="22" s="1"/>
  <c r="H58" i="22"/>
  <c r="P58" i="22" s="1"/>
  <c r="G58" i="22"/>
  <c r="O58" i="22" s="1"/>
  <c r="H57" i="22"/>
  <c r="P57" i="22" s="1"/>
  <c r="G57" i="22"/>
  <c r="O57" i="22" s="1"/>
  <c r="H56" i="22"/>
  <c r="L56" i="22" s="1"/>
  <c r="G56" i="22"/>
  <c r="O56" i="22" s="1"/>
  <c r="H55" i="22"/>
  <c r="P55" i="22" s="1"/>
  <c r="G55" i="22"/>
  <c r="K55" i="22" s="1"/>
  <c r="H54" i="22"/>
  <c r="P54" i="22" s="1"/>
  <c r="G54" i="22"/>
  <c r="O54" i="22" s="1"/>
  <c r="H53" i="22"/>
  <c r="P53" i="22" s="1"/>
  <c r="G53" i="22"/>
  <c r="O53" i="22" s="1"/>
  <c r="H52" i="22"/>
  <c r="L52" i="22" s="1"/>
  <c r="G52" i="22"/>
  <c r="O52" i="22" s="1"/>
  <c r="H51" i="22"/>
  <c r="P51" i="22" s="1"/>
  <c r="G51" i="22"/>
  <c r="K51" i="22" s="1"/>
  <c r="H50" i="22"/>
  <c r="P50" i="22" s="1"/>
  <c r="G50" i="22"/>
  <c r="O50" i="22" s="1"/>
  <c r="H49" i="22"/>
  <c r="P49" i="22" s="1"/>
  <c r="G49" i="22"/>
  <c r="O49" i="22" s="1"/>
  <c r="H48" i="22"/>
  <c r="L48" i="22" s="1"/>
  <c r="G48" i="22"/>
  <c r="O48" i="22" s="1"/>
  <c r="H47" i="22"/>
  <c r="P47" i="22" s="1"/>
  <c r="G47" i="22"/>
  <c r="K47" i="22" s="1"/>
  <c r="H46" i="22"/>
  <c r="P46" i="22" s="1"/>
  <c r="G46" i="22"/>
  <c r="O46" i="22" s="1"/>
  <c r="H45" i="22"/>
  <c r="P45" i="22" s="1"/>
  <c r="G45" i="22"/>
  <c r="O45" i="22" s="1"/>
  <c r="H44" i="22"/>
  <c r="L44" i="22" s="1"/>
  <c r="G44" i="22"/>
  <c r="O44" i="22" s="1"/>
  <c r="H43" i="22"/>
  <c r="P43" i="22" s="1"/>
  <c r="G43" i="22"/>
  <c r="K43" i="22" s="1"/>
  <c r="H42" i="22"/>
  <c r="P42" i="22" s="1"/>
  <c r="G42" i="22"/>
  <c r="O42" i="22" s="1"/>
  <c r="H41" i="22"/>
  <c r="P41" i="22" s="1"/>
  <c r="G41" i="22"/>
  <c r="O41" i="22" s="1"/>
  <c r="H40" i="22"/>
  <c r="P40" i="22" s="1"/>
  <c r="G40" i="22"/>
  <c r="O40" i="22" s="1"/>
  <c r="H39" i="22"/>
  <c r="P39" i="22" s="1"/>
  <c r="G39" i="22"/>
  <c r="O39" i="22" s="1"/>
  <c r="H38" i="22"/>
  <c r="P38" i="22" s="1"/>
  <c r="G38" i="22"/>
  <c r="O38" i="22" s="1"/>
  <c r="H37" i="22"/>
  <c r="P37" i="22" s="1"/>
  <c r="G37" i="22"/>
  <c r="O37" i="22" s="1"/>
  <c r="H36" i="22"/>
  <c r="P36" i="22" s="1"/>
  <c r="G36" i="22"/>
  <c r="O36" i="22" s="1"/>
  <c r="H35" i="22"/>
  <c r="L35" i="22" s="1"/>
  <c r="G35" i="22"/>
  <c r="O35" i="22" s="1"/>
  <c r="H34" i="22"/>
  <c r="L34" i="22" s="1"/>
  <c r="G34" i="22"/>
  <c r="K34" i="22" s="1"/>
  <c r="H33" i="22"/>
  <c r="P33" i="22" s="1"/>
  <c r="G33" i="22"/>
  <c r="K33" i="22" s="1"/>
  <c r="H32" i="22"/>
  <c r="P32" i="22" s="1"/>
  <c r="G32" i="22"/>
  <c r="O32" i="22" s="1"/>
  <c r="H31" i="22"/>
  <c r="L31" i="22" s="1"/>
  <c r="G31" i="22"/>
  <c r="O31" i="22" s="1"/>
  <c r="H30" i="22"/>
  <c r="L30" i="22" s="1"/>
  <c r="G30" i="22"/>
  <c r="O30" i="22" s="1"/>
  <c r="H29" i="22"/>
  <c r="L29" i="22" s="1"/>
  <c r="G29" i="22"/>
  <c r="K29" i="22" s="1"/>
  <c r="H28" i="22"/>
  <c r="P28" i="22" s="1"/>
  <c r="G28" i="22"/>
  <c r="K28" i="22" s="1"/>
  <c r="H27" i="22"/>
  <c r="P27" i="22" s="1"/>
  <c r="G27" i="22"/>
  <c r="O27" i="22" s="1"/>
  <c r="H26" i="22"/>
  <c r="P26" i="22" s="1"/>
  <c r="G26" i="22"/>
  <c r="O26" i="22" s="1"/>
  <c r="H25" i="22"/>
  <c r="P25" i="22" s="1"/>
  <c r="G25" i="22"/>
  <c r="O25" i="22" s="1"/>
  <c r="H24" i="22"/>
  <c r="P24" i="22" s="1"/>
  <c r="G24" i="22"/>
  <c r="O24" i="22" s="1"/>
  <c r="H23" i="22"/>
  <c r="P23" i="22" s="1"/>
  <c r="G23" i="22"/>
  <c r="K23" i="22" s="1"/>
  <c r="H22" i="22"/>
  <c r="L22" i="22" s="1"/>
  <c r="G22" i="22"/>
  <c r="K22" i="22" s="1"/>
  <c r="H21" i="22"/>
  <c r="L21" i="22" s="1"/>
  <c r="G21" i="22"/>
  <c r="O21" i="22" s="1"/>
  <c r="H20" i="22"/>
  <c r="P20" i="22" s="1"/>
  <c r="G20" i="22"/>
  <c r="O20" i="22" s="1"/>
  <c r="H19" i="22"/>
  <c r="P19" i="22" s="1"/>
  <c r="G19" i="22"/>
  <c r="O19" i="22" s="1"/>
  <c r="H18" i="22"/>
  <c r="P18" i="22" s="1"/>
  <c r="G18" i="22"/>
  <c r="O18" i="22" s="1"/>
  <c r="H17" i="22"/>
  <c r="P17" i="22" s="1"/>
  <c r="G17" i="22"/>
  <c r="O17" i="22" s="1"/>
  <c r="H16" i="22"/>
  <c r="L16" i="22" s="1"/>
  <c r="G16" i="22"/>
  <c r="O16" i="22" s="1"/>
  <c r="H15" i="22"/>
  <c r="P15" i="22" s="1"/>
  <c r="G15" i="22"/>
  <c r="K15" i="22" s="1"/>
  <c r="H14" i="22"/>
  <c r="L14" i="22" s="1"/>
  <c r="G14" i="22"/>
  <c r="O14" i="22" s="1"/>
  <c r="H13" i="22"/>
  <c r="P13" i="22" s="1"/>
  <c r="G13" i="22"/>
  <c r="O13" i="22" s="1"/>
  <c r="H12" i="22"/>
  <c r="P12" i="22" s="1"/>
  <c r="G12" i="22"/>
  <c r="O12" i="22" s="1"/>
  <c r="H11" i="22"/>
  <c r="P11" i="22" s="1"/>
  <c r="G11" i="22"/>
  <c r="O11" i="22" s="1"/>
  <c r="H10" i="22"/>
  <c r="L10" i="22" s="1"/>
  <c r="G10" i="22"/>
  <c r="O10" i="22" s="1"/>
  <c r="H9" i="22"/>
  <c r="P9" i="22" s="1"/>
  <c r="G9" i="22"/>
  <c r="K9" i="22" s="1"/>
  <c r="H8" i="22"/>
  <c r="P8" i="22" s="1"/>
  <c r="G8" i="22"/>
  <c r="O8" i="22" s="1"/>
  <c r="H7" i="22"/>
  <c r="P7" i="22" s="1"/>
  <c r="G7" i="22"/>
  <c r="O7" i="22" s="1"/>
  <c r="H6" i="22"/>
  <c r="P6" i="22" s="1"/>
  <c r="G6" i="22"/>
  <c r="O6" i="22" s="1"/>
  <c r="H5" i="22"/>
  <c r="P5" i="22" s="1"/>
  <c r="G5" i="22"/>
  <c r="O5" i="22" s="1"/>
  <c r="H4" i="22"/>
  <c r="L4" i="22" s="1"/>
  <c r="G4" i="22"/>
  <c r="K4" i="22" s="1"/>
  <c r="L8" i="22" l="1"/>
  <c r="K7" i="22"/>
  <c r="K84" i="22"/>
  <c r="K69" i="22"/>
  <c r="L86" i="22"/>
  <c r="L98" i="22"/>
  <c r="L12" i="22"/>
  <c r="K25" i="22"/>
  <c r="L90" i="22"/>
  <c r="K100" i="22"/>
  <c r="K8" i="22"/>
  <c r="L9" i="22"/>
  <c r="K24" i="22"/>
  <c r="K61" i="22"/>
  <c r="L82" i="22"/>
  <c r="K92" i="22"/>
  <c r="L102" i="22"/>
  <c r="L19" i="22"/>
  <c r="L20" i="22"/>
  <c r="K26" i="22"/>
  <c r="K31" i="22"/>
  <c r="L32" i="22"/>
  <c r="K35" i="22"/>
  <c r="L36" i="22"/>
  <c r="L37" i="22"/>
  <c r="L38" i="22"/>
  <c r="L39" i="22"/>
  <c r="L40" i="22"/>
  <c r="L41" i="22"/>
  <c r="K44" i="22"/>
  <c r="L45" i="22"/>
  <c r="K48" i="22"/>
  <c r="L49" i="22"/>
  <c r="K52" i="22"/>
  <c r="L53" i="22"/>
  <c r="K56" i="22"/>
  <c r="L57" i="22"/>
  <c r="K65" i="22"/>
  <c r="K73" i="22"/>
  <c r="L62" i="22"/>
  <c r="L70" i="22"/>
  <c r="K6" i="22"/>
  <c r="K19" i="22"/>
  <c r="K20" i="22"/>
  <c r="K21" i="22"/>
  <c r="K27" i="22"/>
  <c r="K32" i="22"/>
  <c r="L33" i="22"/>
  <c r="K36" i="22"/>
  <c r="K37" i="22"/>
  <c r="K38" i="22"/>
  <c r="K39" i="22"/>
  <c r="K40" i="22"/>
  <c r="K41" i="22"/>
  <c r="L42" i="22"/>
  <c r="K45" i="22"/>
  <c r="L46" i="22"/>
  <c r="K49" i="22"/>
  <c r="L50" i="22"/>
  <c r="K53" i="22"/>
  <c r="L54" i="22"/>
  <c r="K57" i="22"/>
  <c r="L58" i="22"/>
  <c r="L66" i="22"/>
  <c r="L74" i="22"/>
  <c r="K88" i="22"/>
  <c r="K96" i="22"/>
  <c r="K104" i="22"/>
  <c r="L15" i="22"/>
  <c r="L28" i="22"/>
  <c r="L76" i="22"/>
  <c r="L5" i="22"/>
  <c r="K14" i="22"/>
  <c r="K17" i="22"/>
  <c r="L24" i="22"/>
  <c r="L25" i="22"/>
  <c r="L26" i="22"/>
  <c r="L27" i="22"/>
  <c r="L60" i="22"/>
  <c r="L64" i="22"/>
  <c r="L68" i="22"/>
  <c r="L72" i="22"/>
  <c r="L78" i="22"/>
  <c r="L84" i="22"/>
  <c r="L88" i="22"/>
  <c r="L92" i="22"/>
  <c r="L96" i="22"/>
  <c r="L100" i="22"/>
  <c r="L104" i="22"/>
  <c r="K12" i="22"/>
  <c r="L13" i="22"/>
  <c r="L17" i="22"/>
  <c r="P22" i="22"/>
  <c r="K59" i="22"/>
  <c r="K63" i="22"/>
  <c r="K67" i="22"/>
  <c r="K71" i="22"/>
  <c r="L80" i="22"/>
  <c r="K86" i="22"/>
  <c r="K90" i="22"/>
  <c r="K94" i="22"/>
  <c r="K98" i="22"/>
  <c r="K102" i="22"/>
  <c r="L6" i="22"/>
  <c r="L23" i="22"/>
  <c r="K30" i="22"/>
  <c r="P14" i="22"/>
  <c r="P4" i="22"/>
  <c r="O9" i="22"/>
  <c r="P10" i="22"/>
  <c r="O15" i="22"/>
  <c r="P16" i="22"/>
  <c r="L7" i="22"/>
  <c r="K10" i="22"/>
  <c r="K11" i="22"/>
  <c r="K16" i="22"/>
  <c r="K18" i="22"/>
  <c r="K5" i="22"/>
  <c r="L11" i="22"/>
  <c r="K13" i="22"/>
  <c r="L18" i="22"/>
  <c r="O23" i="22"/>
  <c r="O4" i="22"/>
  <c r="P21" i="22"/>
  <c r="O22" i="22"/>
  <c r="O29" i="22"/>
  <c r="P30" i="22"/>
  <c r="P31" i="22"/>
  <c r="O34" i="22"/>
  <c r="P35" i="22"/>
  <c r="K42" i="22"/>
  <c r="L43" i="22"/>
  <c r="K46" i="22"/>
  <c r="L47" i="22"/>
  <c r="K50" i="22"/>
  <c r="L51" i="22"/>
  <c r="K54" i="22"/>
  <c r="L55" i="22"/>
  <c r="K58" i="22"/>
  <c r="K60" i="22"/>
  <c r="K62" i="22"/>
  <c r="K64" i="22"/>
  <c r="K66" i="22"/>
  <c r="K68" i="22"/>
  <c r="K70" i="22"/>
  <c r="K72" i="22"/>
  <c r="K74" i="22"/>
  <c r="O75" i="22"/>
  <c r="K76" i="22"/>
  <c r="O77" i="22"/>
  <c r="K78" i="22"/>
  <c r="O79" i="22"/>
  <c r="K80" i="22"/>
  <c r="O81" i="22"/>
  <c r="K82" i="22"/>
  <c r="O83" i="22"/>
  <c r="O85" i="22"/>
  <c r="O87" i="22"/>
  <c r="O89" i="22"/>
  <c r="O91" i="22"/>
  <c r="O93" i="22"/>
  <c r="O95" i="22"/>
  <c r="O97" i="22"/>
  <c r="O99" i="22"/>
  <c r="O101" i="22"/>
  <c r="O103" i="22"/>
  <c r="O28" i="22"/>
  <c r="P29" i="22"/>
  <c r="O33" i="22"/>
  <c r="P34" i="22"/>
  <c r="O43" i="22"/>
  <c r="P44" i="22"/>
  <c r="O47" i="22"/>
  <c r="P48" i="22"/>
  <c r="O51" i="22"/>
  <c r="P52" i="22"/>
  <c r="O55" i="22"/>
  <c r="P56" i="22"/>
  <c r="P59" i="22"/>
  <c r="P61" i="22"/>
  <c r="P63" i="22"/>
  <c r="P65" i="22"/>
  <c r="P67" i="22"/>
  <c r="P69" i="22"/>
  <c r="P71" i="22"/>
  <c r="P73" i="22"/>
  <c r="P75" i="22"/>
  <c r="P77" i="22"/>
  <c r="P79" i="22"/>
  <c r="P81" i="22"/>
  <c r="P83" i="22"/>
  <c r="P85" i="22"/>
  <c r="P87" i="22"/>
  <c r="P89" i="22"/>
  <c r="P91" i="22"/>
  <c r="P93" i="22"/>
  <c r="P95" i="22"/>
  <c r="P97" i="22"/>
  <c r="P99" i="22"/>
  <c r="P101" i="22"/>
  <c r="P103" i="22"/>
  <c r="AD5" i="1"/>
  <c r="AD9" i="1" s="1"/>
  <c r="Q22" i="25" s="1"/>
  <c r="Z22" i="25" l="1"/>
  <c r="L22" i="25" s="1"/>
  <c r="V76" i="25"/>
  <c r="H76" i="25" s="1"/>
  <c r="V75" i="25"/>
  <c r="H75" i="25" s="1"/>
  <c r="V22" i="25"/>
  <c r="H22" i="25" s="1"/>
  <c r="U76" i="25"/>
  <c r="G76" i="25" s="1"/>
  <c r="U75" i="25"/>
  <c r="G75" i="25" s="1"/>
  <c r="U74" i="25"/>
  <c r="G74" i="25" s="1"/>
  <c r="R22" i="25"/>
  <c r="D22" i="25" s="1"/>
  <c r="R76" i="25"/>
  <c r="D76" i="25" s="1"/>
  <c r="R75" i="25"/>
  <c r="D75" i="25" s="1"/>
  <c r="R74" i="25"/>
  <c r="D74" i="25" s="1"/>
  <c r="R73" i="25"/>
  <c r="D73" i="25" s="1"/>
  <c r="R72" i="25"/>
  <c r="Q75" i="25"/>
  <c r="U73" i="25"/>
  <c r="G73" i="25" s="1"/>
  <c r="Q72" i="25"/>
  <c r="V29" i="25"/>
  <c r="H29" i="25" s="1"/>
  <c r="Z28" i="25"/>
  <c r="R28" i="25"/>
  <c r="D28" i="25" s="1"/>
  <c r="V27" i="25"/>
  <c r="Z26" i="25"/>
  <c r="L26" i="25" s="1"/>
  <c r="AL26" i="25" s="1"/>
  <c r="R26" i="25"/>
  <c r="D26" i="25" s="1"/>
  <c r="V25" i="25"/>
  <c r="H25" i="25" s="1"/>
  <c r="Z24" i="25"/>
  <c r="L24" i="25" s="1"/>
  <c r="R24" i="25"/>
  <c r="D24" i="25" s="1"/>
  <c r="V23" i="25"/>
  <c r="H23" i="25" s="1"/>
  <c r="Y22" i="25"/>
  <c r="U22" i="25"/>
  <c r="G22" i="25" s="1"/>
  <c r="V73" i="25"/>
  <c r="H73" i="25" s="1"/>
  <c r="V74" i="25"/>
  <c r="H74" i="25" s="1"/>
  <c r="Q73" i="25"/>
  <c r="U29" i="25"/>
  <c r="G29" i="25" s="1"/>
  <c r="Y28" i="25"/>
  <c r="K28" i="25" s="1"/>
  <c r="Q28" i="25"/>
  <c r="U27" i="25"/>
  <c r="G27" i="25" s="1"/>
  <c r="Y26" i="25"/>
  <c r="K26" i="25" s="1"/>
  <c r="Q26" i="25"/>
  <c r="U25" i="25"/>
  <c r="G25" i="25" s="1"/>
  <c r="Y24" i="25"/>
  <c r="K24" i="25" s="1"/>
  <c r="Q24" i="25"/>
  <c r="U23" i="25"/>
  <c r="G23" i="25" s="1"/>
  <c r="U72" i="25"/>
  <c r="G72" i="25" s="1"/>
  <c r="Q74" i="25"/>
  <c r="V72" i="25"/>
  <c r="H72" i="25" s="1"/>
  <c r="Z29" i="25"/>
  <c r="L29" i="25" s="1"/>
  <c r="R29" i="25"/>
  <c r="D29" i="25" s="1"/>
  <c r="V28" i="25"/>
  <c r="H28" i="25" s="1"/>
  <c r="Z27" i="25"/>
  <c r="R27" i="25"/>
  <c r="D27" i="25" s="1"/>
  <c r="V26" i="25"/>
  <c r="H26" i="25" s="1"/>
  <c r="Z25" i="25"/>
  <c r="L25" i="25" s="1"/>
  <c r="R25" i="25"/>
  <c r="D25" i="25" s="1"/>
  <c r="V24" i="25"/>
  <c r="H24" i="25" s="1"/>
  <c r="Z23" i="25"/>
  <c r="L23" i="25" s="1"/>
  <c r="R23" i="25"/>
  <c r="D23" i="25" s="1"/>
  <c r="Q76" i="25"/>
  <c r="U28" i="25"/>
  <c r="G28" i="25" s="1"/>
  <c r="Y25" i="25"/>
  <c r="K25" i="25" s="1"/>
  <c r="Q23" i="25"/>
  <c r="Y27" i="25"/>
  <c r="K27" i="25" s="1"/>
  <c r="Q25" i="25"/>
  <c r="U26" i="25"/>
  <c r="G26" i="25" s="1"/>
  <c r="Y29" i="25"/>
  <c r="K29" i="25" s="1"/>
  <c r="Q27" i="25"/>
  <c r="U24" i="25"/>
  <c r="G24" i="25" s="1"/>
  <c r="Q29" i="25"/>
  <c r="Y23" i="25"/>
  <c r="K23" i="25" s="1"/>
  <c r="AL29" i="25"/>
  <c r="AL23" i="25"/>
  <c r="A35" i="13"/>
  <c r="A34" i="13"/>
  <c r="A33" i="13"/>
  <c r="A32" i="13"/>
  <c r="A31" i="13"/>
  <c r="A30" i="13"/>
  <c r="A29" i="13"/>
  <c r="A28" i="13"/>
  <c r="H27" i="25" l="1"/>
  <c r="K22" i="25"/>
  <c r="D72" i="25"/>
  <c r="F11" i="25"/>
  <c r="L27" i="25"/>
  <c r="AL27" i="25" s="1"/>
  <c r="L28" i="25"/>
  <c r="AL28" i="25" s="1"/>
  <c r="AO24" i="25"/>
  <c r="C24" i="25"/>
  <c r="AO72" i="25"/>
  <c r="C72" i="25"/>
  <c r="AO29" i="25"/>
  <c r="C29" i="25"/>
  <c r="AO74" i="25"/>
  <c r="C74" i="25"/>
  <c r="C73" i="25"/>
  <c r="AO73" i="25"/>
  <c r="C23" i="25"/>
  <c r="AO23" i="25"/>
  <c r="C25" i="25"/>
  <c r="AO25" i="25"/>
  <c r="AO28" i="25"/>
  <c r="C28" i="25"/>
  <c r="C75" i="25"/>
  <c r="AO75" i="25"/>
  <c r="AO22" i="25"/>
  <c r="C22" i="25"/>
  <c r="C27" i="25"/>
  <c r="AO27" i="25"/>
  <c r="AO76" i="25"/>
  <c r="C76" i="25"/>
  <c r="AO26" i="25"/>
  <c r="C26" i="25"/>
  <c r="AL22" i="25"/>
  <c r="AL25" i="25"/>
  <c r="AL24" i="25"/>
  <c r="E19" i="13"/>
  <c r="AA19" i="1" s="1"/>
  <c r="F29" i="13"/>
  <c r="F28" i="13"/>
  <c r="C78" i="16" l="1"/>
  <c r="C77" i="16"/>
  <c r="C76" i="16"/>
  <c r="C75" i="16"/>
  <c r="C74" i="16"/>
  <c r="C73" i="16"/>
  <c r="C72" i="16"/>
  <c r="I78" i="16"/>
  <c r="I77" i="16"/>
  <c r="I76" i="16"/>
  <c r="I75" i="16"/>
  <c r="I74" i="16"/>
  <c r="I73" i="16"/>
  <c r="I72" i="16"/>
  <c r="H78" i="16"/>
  <c r="H77" i="16"/>
  <c r="H76" i="16"/>
  <c r="H75" i="16"/>
  <c r="H74" i="16"/>
  <c r="H73" i="16"/>
  <c r="H72" i="16"/>
  <c r="AJ10" i="1" l="1"/>
  <c r="AJ9" i="1"/>
  <c r="AN9" i="1" s="1"/>
  <c r="AJ8" i="1"/>
  <c r="AJ7" i="1"/>
  <c r="AN7" i="1" s="1"/>
  <c r="AJ6" i="1"/>
  <c r="AN6" i="1" s="1"/>
  <c r="AJ5" i="1"/>
  <c r="AN5" i="1" s="1"/>
  <c r="AJ4" i="1"/>
  <c r="AN4" i="1" s="1"/>
  <c r="J78" i="16"/>
  <c r="J77" i="16"/>
  <c r="J76" i="16"/>
  <c r="J75" i="16"/>
  <c r="I71" i="16"/>
  <c r="J71" i="16" s="1"/>
  <c r="H71" i="16"/>
  <c r="AA13" i="1"/>
  <c r="AG7" i="1" s="1"/>
  <c r="AA14" i="1"/>
  <c r="AA15" i="1"/>
  <c r="AA16" i="1"/>
  <c r="AA17" i="1"/>
  <c r="AA18" i="1"/>
  <c r="AA11" i="1"/>
  <c r="R69" i="25" l="1"/>
  <c r="D69" i="25" s="1"/>
  <c r="R65" i="25"/>
  <c r="D65" i="25" s="1"/>
  <c r="R61" i="25"/>
  <c r="D61" i="25" s="1"/>
  <c r="R57" i="25"/>
  <c r="D57" i="25" s="1"/>
  <c r="Q68" i="25"/>
  <c r="V62" i="25"/>
  <c r="H62" i="25" s="1"/>
  <c r="U57" i="25"/>
  <c r="G57" i="25" s="1"/>
  <c r="V52" i="25"/>
  <c r="H52" i="25" s="1"/>
  <c r="V48" i="25"/>
  <c r="H48" i="25" s="1"/>
  <c r="V44" i="25"/>
  <c r="H44" i="25" s="1"/>
  <c r="V40" i="25"/>
  <c r="H40" i="25" s="1"/>
  <c r="Z36" i="25"/>
  <c r="R34" i="25"/>
  <c r="D34" i="25" s="1"/>
  <c r="V31" i="25"/>
  <c r="H31" i="25" s="1"/>
  <c r="U68" i="25"/>
  <c r="G68" i="25" s="1"/>
  <c r="Q53" i="25"/>
  <c r="Q41" i="25"/>
  <c r="V67" i="25"/>
  <c r="H67" i="25" s="1"/>
  <c r="U62" i="25"/>
  <c r="G62" i="25" s="1"/>
  <c r="Q57" i="25"/>
  <c r="U52" i="25"/>
  <c r="G52" i="25" s="1"/>
  <c r="U48" i="25"/>
  <c r="G48" i="25" s="1"/>
  <c r="U44" i="25"/>
  <c r="G44" i="25" s="1"/>
  <c r="U40" i="25"/>
  <c r="G40" i="25" s="1"/>
  <c r="Y36" i="25"/>
  <c r="K36" i="25" s="1"/>
  <c r="Q34" i="25"/>
  <c r="U31" i="25"/>
  <c r="G31" i="25" s="1"/>
  <c r="V61" i="25"/>
  <c r="H61" i="25" s="1"/>
  <c r="Q48" i="25"/>
  <c r="U36" i="25"/>
  <c r="G36" i="25" s="1"/>
  <c r="U71" i="25"/>
  <c r="G71" i="25" s="1"/>
  <c r="Q66" i="25"/>
  <c r="V60" i="25"/>
  <c r="H60" i="25" s="1"/>
  <c r="U55" i="25"/>
  <c r="G55" i="25" s="1"/>
  <c r="R51" i="25"/>
  <c r="D51" i="25" s="1"/>
  <c r="R47" i="25"/>
  <c r="D47" i="25" s="1"/>
  <c r="R43" i="25"/>
  <c r="D43" i="25" s="1"/>
  <c r="R39" i="25"/>
  <c r="D39" i="25" s="1"/>
  <c r="Z35" i="25"/>
  <c r="L35" i="25" s="1"/>
  <c r="AL35" i="25" s="1"/>
  <c r="R33" i="25"/>
  <c r="D33" i="25" s="1"/>
  <c r="V30" i="25"/>
  <c r="H30" i="25" s="1"/>
  <c r="Q63" i="25"/>
  <c r="Q37" i="25"/>
  <c r="R60" i="25"/>
  <c r="D60" i="25" s="1"/>
  <c r="V66" i="25"/>
  <c r="H66" i="25" s="1"/>
  <c r="Q56" i="25"/>
  <c r="V47" i="25"/>
  <c r="H47" i="25" s="1"/>
  <c r="V39" i="25"/>
  <c r="H39" i="25" s="1"/>
  <c r="V33" i="25"/>
  <c r="H33" i="25" s="1"/>
  <c r="U64" i="25"/>
  <c r="G64" i="25" s="1"/>
  <c r="Q38" i="25"/>
  <c r="U66" i="25"/>
  <c r="G66" i="25" s="1"/>
  <c r="V55" i="25"/>
  <c r="H55" i="25" s="1"/>
  <c r="U47" i="25"/>
  <c r="G47" i="25" s="1"/>
  <c r="U39" i="25"/>
  <c r="G39" i="25" s="1"/>
  <c r="Y30" i="25"/>
  <c r="K30" i="25" s="1"/>
  <c r="Q45" i="25"/>
  <c r="Q70" i="25"/>
  <c r="U59" i="25"/>
  <c r="G59" i="25" s="1"/>
  <c r="R50" i="25"/>
  <c r="D50" i="25" s="1"/>
  <c r="R42" i="25"/>
  <c r="R35" i="25"/>
  <c r="D35" i="25" s="1"/>
  <c r="Q59" i="25"/>
  <c r="Q35" i="25"/>
  <c r="U32" i="25"/>
  <c r="G32" i="25" s="1"/>
  <c r="R68" i="25"/>
  <c r="D68" i="25" s="1"/>
  <c r="Q36" i="25"/>
  <c r="R71" i="25"/>
  <c r="D71" i="25" s="1"/>
  <c r="R67" i="25"/>
  <c r="D67" i="25" s="1"/>
  <c r="R63" i="25"/>
  <c r="D63" i="25" s="1"/>
  <c r="R59" i="25"/>
  <c r="D59" i="25" s="1"/>
  <c r="R55" i="25"/>
  <c r="D55" i="25" s="1"/>
  <c r="V70" i="25"/>
  <c r="H70" i="25" s="1"/>
  <c r="U65" i="25"/>
  <c r="G65" i="25" s="1"/>
  <c r="Q60" i="25"/>
  <c r="V54" i="25"/>
  <c r="H54" i="25" s="1"/>
  <c r="V50" i="25"/>
  <c r="H50" i="25" s="1"/>
  <c r="V46" i="25"/>
  <c r="H46" i="25" s="1"/>
  <c r="V42" i="25"/>
  <c r="V38" i="25"/>
  <c r="H38" i="25" s="1"/>
  <c r="V35" i="25"/>
  <c r="H35" i="25" s="1"/>
  <c r="Z32" i="25"/>
  <c r="L32" i="25" s="1"/>
  <c r="R30" i="25"/>
  <c r="D30" i="25" s="1"/>
  <c r="U60" i="25"/>
  <c r="G60" i="25" s="1"/>
  <c r="Q47" i="25"/>
  <c r="Y35" i="25"/>
  <c r="K35" i="25" s="1"/>
  <c r="U70" i="25"/>
  <c r="G70" i="25" s="1"/>
  <c r="Q65" i="25"/>
  <c r="V59" i="25"/>
  <c r="H59" i="25" s="1"/>
  <c r="U54" i="25"/>
  <c r="G54" i="25" s="1"/>
  <c r="U50" i="25"/>
  <c r="G50" i="25" s="1"/>
  <c r="U46" i="25"/>
  <c r="G46" i="25" s="1"/>
  <c r="U42" i="25"/>
  <c r="U38" i="25"/>
  <c r="G38" i="25" s="1"/>
  <c r="U35" i="25"/>
  <c r="G35" i="25" s="1"/>
  <c r="Y32" i="25"/>
  <c r="K32" i="25" s="1"/>
  <c r="Q30" i="25"/>
  <c r="V69" i="25"/>
  <c r="H69" i="25" s="1"/>
  <c r="Q54" i="25"/>
  <c r="Q42" i="25"/>
  <c r="V68" i="25"/>
  <c r="H68" i="25" s="1"/>
  <c r="U63" i="25"/>
  <c r="G63" i="25" s="1"/>
  <c r="Q58" i="25"/>
  <c r="R53" i="25"/>
  <c r="D53" i="25" s="1"/>
  <c r="R49" i="25"/>
  <c r="D49" i="25" s="1"/>
  <c r="R45" i="25"/>
  <c r="D45" i="25" s="1"/>
  <c r="R41" i="25"/>
  <c r="D41" i="25" s="1"/>
  <c r="R37" i="25"/>
  <c r="D37" i="25" s="1"/>
  <c r="V34" i="25"/>
  <c r="H34" i="25" s="1"/>
  <c r="Z31" i="25"/>
  <c r="L31" i="25" s="1"/>
  <c r="Q71" i="25"/>
  <c r="Q55" i="25"/>
  <c r="Q43" i="25"/>
  <c r="Y33" i="25"/>
  <c r="K33" i="25" s="1"/>
  <c r="R70" i="25"/>
  <c r="D70" i="25" s="1"/>
  <c r="R66" i="25"/>
  <c r="D66" i="25" s="1"/>
  <c r="R62" i="25"/>
  <c r="D62" i="25" s="1"/>
  <c r="R58" i="25"/>
  <c r="D58" i="25" s="1"/>
  <c r="U69" i="25"/>
  <c r="G69" i="25" s="1"/>
  <c r="Q64" i="25"/>
  <c r="V58" i="25"/>
  <c r="H58" i="25" s="1"/>
  <c r="V53" i="25"/>
  <c r="H53" i="25" s="1"/>
  <c r="V49" i="25"/>
  <c r="H49" i="25" s="1"/>
  <c r="V45" i="25"/>
  <c r="H45" i="25" s="1"/>
  <c r="V41" i="25"/>
  <c r="H41" i="25" s="1"/>
  <c r="V37" i="25"/>
  <c r="H37" i="25" s="1"/>
  <c r="Z34" i="25"/>
  <c r="L34" i="25" s="1"/>
  <c r="R32" i="25"/>
  <c r="D32" i="25" s="1"/>
  <c r="U56" i="25"/>
  <c r="G56" i="25" s="1"/>
  <c r="Q44" i="25"/>
  <c r="Q69" i="25"/>
  <c r="V63" i="25"/>
  <c r="H63" i="25" s="1"/>
  <c r="U58" i="25"/>
  <c r="G58" i="25" s="1"/>
  <c r="U53" i="25"/>
  <c r="G53" i="25" s="1"/>
  <c r="U49" i="25"/>
  <c r="G49" i="25" s="1"/>
  <c r="U45" i="25"/>
  <c r="G45" i="25" s="1"/>
  <c r="U41" i="25"/>
  <c r="G41" i="25" s="1"/>
  <c r="U37" i="25"/>
  <c r="G37" i="25" s="1"/>
  <c r="Y34" i="25"/>
  <c r="K34" i="25" s="1"/>
  <c r="Q32" i="25"/>
  <c r="V65" i="25"/>
  <c r="H65" i="25" s="1"/>
  <c r="Q51" i="25"/>
  <c r="Q39" i="25"/>
  <c r="U67" i="25"/>
  <c r="G67" i="25" s="1"/>
  <c r="Q62" i="25"/>
  <c r="V56" i="25"/>
  <c r="H56" i="25" s="1"/>
  <c r="R52" i="25"/>
  <c r="R48" i="25"/>
  <c r="D48" i="25" s="1"/>
  <c r="R44" i="25"/>
  <c r="D44" i="25" s="1"/>
  <c r="R40" i="25"/>
  <c r="D40" i="25" s="1"/>
  <c r="V36" i="25"/>
  <c r="H36" i="25" s="1"/>
  <c r="Z33" i="25"/>
  <c r="R31" i="25"/>
  <c r="D31" i="25" s="1"/>
  <c r="Q67" i="25"/>
  <c r="Q52" i="25"/>
  <c r="Q40" i="25"/>
  <c r="Q31" i="25"/>
  <c r="Y31" i="25"/>
  <c r="K31" i="25" s="1"/>
  <c r="Q49" i="25"/>
  <c r="Q33" i="25"/>
  <c r="R64" i="25"/>
  <c r="D64" i="25" s="1"/>
  <c r="R56" i="25"/>
  <c r="D56" i="25" s="1"/>
  <c r="U61" i="25"/>
  <c r="G61" i="25" s="1"/>
  <c r="V51" i="25"/>
  <c r="H51" i="25" s="1"/>
  <c r="V43" i="25"/>
  <c r="H43" i="25" s="1"/>
  <c r="R36" i="25"/>
  <c r="D36" i="25" s="1"/>
  <c r="Z30" i="25"/>
  <c r="Q50" i="25"/>
  <c r="V71" i="25"/>
  <c r="H71" i="25" s="1"/>
  <c r="Q61" i="25"/>
  <c r="U51" i="25"/>
  <c r="G51" i="25" s="1"/>
  <c r="U43" i="25"/>
  <c r="G43" i="25" s="1"/>
  <c r="U33" i="25"/>
  <c r="G33" i="25" s="1"/>
  <c r="V57" i="25"/>
  <c r="H57" i="25" s="1"/>
  <c r="U34" i="25"/>
  <c r="G34" i="25" s="1"/>
  <c r="V64" i="25"/>
  <c r="H64" i="25" s="1"/>
  <c r="R54" i="25"/>
  <c r="D54" i="25" s="1"/>
  <c r="R46" i="25"/>
  <c r="D46" i="25" s="1"/>
  <c r="R38" i="25"/>
  <c r="D38" i="25" s="1"/>
  <c r="V32" i="25"/>
  <c r="Q46" i="25"/>
  <c r="U30" i="25"/>
  <c r="G30" i="25" s="1"/>
  <c r="AM10" i="1"/>
  <c r="AN10" i="1"/>
  <c r="AM8" i="1"/>
  <c r="AN8" i="1"/>
  <c r="AG8" i="1"/>
  <c r="AM9" i="1"/>
  <c r="AM7" i="1"/>
  <c r="AM5" i="1"/>
  <c r="AM6" i="1"/>
  <c r="AJ3" i="1"/>
  <c r="AN3" i="1" s="1"/>
  <c r="AM4" i="1"/>
  <c r="I28" i="13"/>
  <c r="J32" i="16"/>
  <c r="H42" i="25" l="1"/>
  <c r="H32" i="25"/>
  <c r="L30" i="25"/>
  <c r="AL30" i="25" s="1"/>
  <c r="G42" i="25"/>
  <c r="D52" i="25"/>
  <c r="D42" i="25"/>
  <c r="L33" i="25"/>
  <c r="AL33" i="25" s="1"/>
  <c r="L36" i="25"/>
  <c r="AL36" i="25" s="1"/>
  <c r="AO50" i="25"/>
  <c r="C50" i="25"/>
  <c r="AO33" i="25"/>
  <c r="C33" i="25"/>
  <c r="C40" i="25"/>
  <c r="AO40" i="25"/>
  <c r="AO32" i="25"/>
  <c r="C32" i="25"/>
  <c r="C64" i="25"/>
  <c r="AO64" i="25"/>
  <c r="C55" i="25"/>
  <c r="AO55" i="25"/>
  <c r="AO42" i="25"/>
  <c r="C42" i="25"/>
  <c r="AO65" i="25"/>
  <c r="C65" i="25"/>
  <c r="C35" i="25"/>
  <c r="AO35" i="25"/>
  <c r="AO66" i="25"/>
  <c r="C66" i="25"/>
  <c r="C57" i="25"/>
  <c r="AO57" i="25"/>
  <c r="AO53" i="25"/>
  <c r="C53" i="25"/>
  <c r="C49" i="25"/>
  <c r="AO49" i="25"/>
  <c r="C52" i="25"/>
  <c r="AO52" i="25"/>
  <c r="C39" i="25"/>
  <c r="AO39" i="25"/>
  <c r="C69" i="25"/>
  <c r="AO69" i="25"/>
  <c r="C71" i="25"/>
  <c r="AO71" i="25"/>
  <c r="C58" i="25"/>
  <c r="AO58" i="25"/>
  <c r="C54" i="25"/>
  <c r="AO54" i="25"/>
  <c r="C60" i="25"/>
  <c r="AO60" i="25"/>
  <c r="C36" i="25"/>
  <c r="AO36" i="25"/>
  <c r="C59" i="25"/>
  <c r="AO59" i="25"/>
  <c r="AO38" i="25"/>
  <c r="C38" i="25"/>
  <c r="AO37" i="25"/>
  <c r="C37" i="25"/>
  <c r="C67" i="25"/>
  <c r="AO67" i="25"/>
  <c r="C51" i="25"/>
  <c r="AO51" i="25"/>
  <c r="C44" i="25"/>
  <c r="AO44" i="25"/>
  <c r="C70" i="25"/>
  <c r="AO70" i="25"/>
  <c r="C56" i="25"/>
  <c r="AO56" i="25"/>
  <c r="C63" i="25"/>
  <c r="AO63" i="25"/>
  <c r="C34" i="25"/>
  <c r="AO34" i="25"/>
  <c r="AO61" i="25"/>
  <c r="C61" i="25"/>
  <c r="C46" i="25"/>
  <c r="AO46" i="25"/>
  <c r="C31" i="25"/>
  <c r="AO31" i="25"/>
  <c r="C62" i="25"/>
  <c r="AO62" i="25"/>
  <c r="C43" i="25"/>
  <c r="AO43" i="25"/>
  <c r="AO30" i="25"/>
  <c r="C30" i="25"/>
  <c r="C47" i="25"/>
  <c r="AO47" i="25"/>
  <c r="AO45" i="25"/>
  <c r="C45" i="25"/>
  <c r="C48" i="25"/>
  <c r="AO48" i="25"/>
  <c r="C41" i="25"/>
  <c r="AO41" i="25"/>
  <c r="C68" i="25"/>
  <c r="AO68" i="25"/>
  <c r="AL31" i="25"/>
  <c r="AL32" i="25"/>
  <c r="AL34" i="25"/>
  <c r="AL3" i="1"/>
  <c r="AL8" i="1"/>
  <c r="AO8" i="1" s="1"/>
  <c r="AL4" i="1"/>
  <c r="AO4" i="1" s="1"/>
  <c r="K72" i="16" s="1"/>
  <c r="AL7" i="1"/>
  <c r="AO7" i="1" s="1"/>
  <c r="AL5" i="1"/>
  <c r="AO5" i="1" s="1"/>
  <c r="AL10" i="1"/>
  <c r="AO10" i="1" s="1"/>
  <c r="AL6" i="1"/>
  <c r="AO6" i="1" s="1"/>
  <c r="AL9" i="1"/>
  <c r="AO9" i="1" s="1"/>
  <c r="I61" i="16"/>
  <c r="AM3" i="1"/>
  <c r="I16" i="16" l="1"/>
  <c r="I15" i="16"/>
  <c r="I13" i="16"/>
  <c r="AZ29" i="1" l="1"/>
  <c r="I17" i="16"/>
  <c r="AZ11" i="1" l="1"/>
  <c r="I62" i="16" l="1"/>
  <c r="J62" i="16" s="1"/>
  <c r="BD11" i="1" l="1"/>
  <c r="BF10" i="1"/>
  <c r="BF9" i="1"/>
  <c r="BD12" i="1"/>
  <c r="I63" i="16" l="1"/>
  <c r="BB39" i="1" l="1"/>
  <c r="BB38" i="1"/>
  <c r="BB37" i="1"/>
  <c r="BB36" i="1"/>
  <c r="BB35" i="1"/>
  <c r="E82" i="16" l="1"/>
  <c r="C90" i="16"/>
  <c r="C89" i="16"/>
  <c r="E84" i="16"/>
  <c r="B9" i="16" l="1"/>
  <c r="I7" i="19"/>
  <c r="B7" i="16"/>
  <c r="B35" i="13" l="1"/>
  <c r="B34" i="13"/>
  <c r="B33" i="13"/>
  <c r="B32" i="13"/>
  <c r="B31" i="13"/>
  <c r="J74" i="16" s="1"/>
  <c r="B30" i="13"/>
  <c r="J73" i="16" s="1"/>
  <c r="B29" i="13"/>
  <c r="J72" i="16" s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C88" i="16"/>
  <c r="A71" i="16"/>
  <c r="A72" i="16"/>
  <c r="Z5" i="1"/>
  <c r="AA5" i="1" s="1"/>
  <c r="Z4" i="1"/>
  <c r="AA4" i="1" s="1"/>
  <c r="Z3" i="1"/>
  <c r="AA3" i="1" s="1"/>
  <c r="C87" i="16"/>
  <c r="C71" i="16"/>
  <c r="K6" i="16"/>
  <c r="A214" i="16"/>
  <c r="K74" i="16" l="1"/>
  <c r="K75" i="16"/>
  <c r="K78" i="16"/>
  <c r="K76" i="16"/>
  <c r="K77" i="16"/>
  <c r="A78" i="16"/>
  <c r="A74" i="16"/>
  <c r="A77" i="16"/>
  <c r="A75" i="16"/>
  <c r="A76" i="16"/>
  <c r="A73" i="16"/>
  <c r="K73" i="16" l="1"/>
  <c r="J13" i="16"/>
  <c r="AO3" i="1"/>
  <c r="K71" i="16" s="1"/>
  <c r="K79" i="16" l="1"/>
  <c r="E90" i="16" l="1"/>
  <c r="H31" i="13" s="1"/>
  <c r="E88" i="16"/>
  <c r="H29" i="13" s="1"/>
  <c r="K80" i="16"/>
  <c r="K81" i="16" s="1"/>
  <c r="E89" i="16"/>
  <c r="F89" i="16" s="1"/>
  <c r="I30" i="13" s="1"/>
  <c r="F90" i="16" l="1"/>
  <c r="I31" i="13" s="1"/>
  <c r="K82" i="16"/>
  <c r="K83" i="16" s="1"/>
  <c r="F88" i="16"/>
  <c r="G88" i="16" s="1"/>
  <c r="J29" i="13" s="1"/>
  <c r="H30" i="13"/>
  <c r="G89" i="16"/>
  <c r="J30" i="13" s="1"/>
  <c r="G90" i="16" l="1"/>
  <c r="J31" i="13" s="1"/>
  <c r="E87" i="16"/>
  <c r="I29" i="13"/>
  <c r="G87" i="16" l="1"/>
  <c r="J28" i="13" s="1"/>
  <c r="H28" i="13"/>
</calcChain>
</file>

<file path=xl/sharedStrings.xml><?xml version="1.0" encoding="utf-8"?>
<sst xmlns="http://schemas.openxmlformats.org/spreadsheetml/2006/main" count="760" uniqueCount="372">
  <si>
    <t>SUMA ASEGURADA</t>
  </si>
  <si>
    <t>COASEGURO</t>
  </si>
  <si>
    <t>FACTOR</t>
  </si>
  <si>
    <t>HOMBRES</t>
  </si>
  <si>
    <t>MUJERES</t>
  </si>
  <si>
    <t>EDAD</t>
  </si>
  <si>
    <t>REGIÓN</t>
  </si>
  <si>
    <t>HOMBRE</t>
  </si>
  <si>
    <t>MUJER</t>
  </si>
  <si>
    <t>COBERTURA EN EL EXTRANJERO</t>
  </si>
  <si>
    <t>EMERGENCIA EN EL EXTRANJERO</t>
  </si>
  <si>
    <t xml:space="preserve">ZONA A </t>
  </si>
  <si>
    <t>ZONA C</t>
  </si>
  <si>
    <t>ZONA</t>
  </si>
  <si>
    <t>IVA</t>
  </si>
  <si>
    <t>CUADRO DE COBERTURAS</t>
  </si>
  <si>
    <t>-</t>
  </si>
  <si>
    <t>Suma Asegurada</t>
  </si>
  <si>
    <t>M.N.</t>
  </si>
  <si>
    <t>Deducible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</si>
  <si>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</si>
  <si>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</si>
  <si>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</si>
  <si>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</si>
  <si>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</si>
  <si>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</si>
  <si>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</si>
  <si>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</si>
  <si>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</si>
  <si>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</si>
  <si>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</si>
  <si>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</si>
  <si>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</si>
  <si>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</si>
  <si>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</si>
  <si>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</si>
  <si>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</si>
  <si>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</si>
  <si>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</si>
  <si>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Prima Total Anual</t>
  </si>
  <si>
    <t>NOMBRE</t>
  </si>
  <si>
    <t>ANUAL</t>
  </si>
  <si>
    <t>SEMESTRAL</t>
  </si>
  <si>
    <t>SI</t>
  </si>
  <si>
    <t>NO</t>
  </si>
  <si>
    <t>Catálogo</t>
  </si>
  <si>
    <t>Reconocimiento de Antigüedad, previa comprobación</t>
  </si>
  <si>
    <t>FP</t>
  </si>
  <si>
    <t>INDIVIDUAL</t>
  </si>
  <si>
    <t>FAMILIAR</t>
  </si>
  <si>
    <t>Tipo de Hospital</t>
  </si>
  <si>
    <t>Incremento al Catálogo</t>
  </si>
  <si>
    <t>Notas:</t>
  </si>
  <si>
    <t>TIPO DE COTIZACIÓN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</si>
  <si>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</si>
  <si>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</si>
  <si>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</si>
  <si>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</si>
  <si>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</si>
  <si>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Prematurez siempre que el nacimiento ocurra después de 10 meses de</t>
  </si>
  <si>
    <t>Terapia Psicológica o Psiquiátrica</t>
  </si>
  <si>
    <t>Incremento en Parto o Cesárea</t>
  </si>
  <si>
    <t>INSTRUCCIONES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</si>
  <si>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</si>
  <si>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</si>
  <si>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</si>
  <si>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</si>
  <si>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de antigüedad</t>
  </si>
  <si>
    <t>COSTO</t>
  </si>
  <si>
    <t>DED CERO POR ACC</t>
  </si>
  <si>
    <t>Deducible por Accidente y Enfermedad</t>
  </si>
  <si>
    <t>ENFERMEDADES GRAVES</t>
  </si>
  <si>
    <t>RECARGOS POR PAGO FRACCIONADO</t>
  </si>
  <si>
    <t>TRIMESTRAL</t>
  </si>
  <si>
    <t>RPF</t>
  </si>
  <si>
    <t>MENSUAL</t>
  </si>
  <si>
    <t>CAPTURA</t>
  </si>
  <si>
    <t>FIJO</t>
  </si>
  <si>
    <t>% CALCULO</t>
  </si>
  <si>
    <t>FAVOR de Verificar si estos factores son los vigentes</t>
  </si>
  <si>
    <t xml:space="preserve">IVA </t>
  </si>
  <si>
    <t>OAXACA</t>
  </si>
  <si>
    <t>TABASCO</t>
  </si>
  <si>
    <t>Estado</t>
  </si>
  <si>
    <t>VERACRUZ</t>
  </si>
  <si>
    <t>CAMPECHE</t>
  </si>
  <si>
    <t>YUCATAN</t>
  </si>
  <si>
    <t>CHIAPAS</t>
  </si>
  <si>
    <t>GUERRERO</t>
  </si>
  <si>
    <t>PUEBLA</t>
  </si>
  <si>
    <t>TLAXCALA</t>
  </si>
  <si>
    <t xml:space="preserve">HIDALGO </t>
  </si>
  <si>
    <t>NAYARIT</t>
  </si>
  <si>
    <t>AGUASCALIENTES</t>
  </si>
  <si>
    <t>GUANAJUATO</t>
  </si>
  <si>
    <t>JALISCO</t>
  </si>
  <si>
    <t>MICHOACAN</t>
  </si>
  <si>
    <t>COLIMA</t>
  </si>
  <si>
    <t>ZACATECAS</t>
  </si>
  <si>
    <t>ESTADO DE MÉXICO</t>
  </si>
  <si>
    <t>COAHUILA</t>
  </si>
  <si>
    <t>TAMAULIPAS</t>
  </si>
  <si>
    <t>NUEVO LEON</t>
  </si>
  <si>
    <t>DURANGO</t>
  </si>
  <si>
    <t>CHIHUAHUA</t>
  </si>
  <si>
    <t>BAJA CALIFORNIA NORTE</t>
  </si>
  <si>
    <t>QUINTANA ROO</t>
  </si>
  <si>
    <t>MORELOS</t>
  </si>
  <si>
    <t xml:space="preserve">QUERETARO </t>
  </si>
  <si>
    <t>SONORA</t>
  </si>
  <si>
    <t>SINALOA</t>
  </si>
  <si>
    <t>BAJA CALIFORNIA SUR</t>
  </si>
  <si>
    <t>SAN LUIS POTOSI</t>
  </si>
  <si>
    <t xml:space="preserve"> (La base de suma asegurada es de $20,000)</t>
  </si>
  <si>
    <t>Cobertura Total en el Extranjero</t>
  </si>
  <si>
    <t xml:space="preserve"> ¡Estamos seguros, te será de gran utilidad!</t>
  </si>
  <si>
    <t>SIDA, siempre que el asegurado se encuentre cubierto en Seguros Banorte al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</si>
  <si>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</si>
  <si>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</si>
  <si>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</si>
  <si>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</si>
  <si>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</si>
  <si>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</si>
  <si>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</si>
  <si>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</si>
  <si>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</si>
  <si>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</si>
  <si>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</si>
  <si>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</si>
  <si>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</si>
  <si>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</si>
  <si>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</si>
  <si>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</si>
  <si>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</si>
  <si>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</si>
  <si>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</si>
  <si>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</si>
  <si>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</si>
  <si>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</si>
  <si>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</si>
  <si>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</si>
  <si>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</si>
  <si>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</si>
  <si>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</si>
  <si>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</si>
  <si>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</si>
  <si>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</si>
  <si>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</si>
  <si>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</si>
  <si>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</si>
  <si>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</si>
  <si>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</si>
  <si>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</si>
  <si>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</si>
  <si>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</si>
  <si>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</si>
  <si>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</si>
  <si>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</si>
  <si>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</si>
  <si>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</si>
  <si>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</si>
  <si>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</si>
  <si>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</si>
  <si>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</si>
  <si>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</si>
  <si>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</si>
  <si>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</si>
  <si>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</si>
  <si>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</si>
  <si>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</si>
  <si>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</si>
  <si>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</si>
  <si>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</si>
  <si>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Cobertura de Visión Incremental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</si>
  <si>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</si>
  <si>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</si>
  <si>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</si>
  <si>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</si>
  <si>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Costo por persona de 543</t>
  </si>
  <si>
    <t>Nivel Hospitalario</t>
  </si>
  <si>
    <t>Coaseguro por Accidente y Enfermedad</t>
  </si>
  <si>
    <t>IMPORTE</t>
  </si>
  <si>
    <t>%</t>
  </si>
  <si>
    <t>Factor</t>
  </si>
  <si>
    <t>Zona</t>
  </si>
  <si>
    <t>CATALOGO</t>
  </si>
  <si>
    <t>Incremento HQ</t>
  </si>
  <si>
    <t>Zonas</t>
  </si>
  <si>
    <t>TABULADOR DE HONORARIOS</t>
  </si>
  <si>
    <t>Tabulador de Honorarios Médicos</t>
  </si>
  <si>
    <t>Tipo de Cotización</t>
  </si>
  <si>
    <t>TARIFA</t>
  </si>
  <si>
    <t>COBERTURAS ADICIONALES</t>
  </si>
  <si>
    <t>Prima Neta 
Anual</t>
  </si>
  <si>
    <t>Región de tarifa</t>
  </si>
  <si>
    <t>Agente</t>
  </si>
  <si>
    <t>Se cobrará doble deducible y coaseguro de póliza, a los Asegurados que se atiendan en Hospiten México S.A de C.V (Cancún Quintana Roo)</t>
  </si>
  <si>
    <t>APLICACIÓN DE FACTORES</t>
  </si>
  <si>
    <t>CONCEPTO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</si>
  <si>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</si>
  <si>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</si>
  <si>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</si>
  <si>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</si>
  <si>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</si>
  <si>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</si>
  <si>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</si>
  <si>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RESPUESTA</t>
  </si>
  <si>
    <t>MATERNIDAD</t>
  </si>
  <si>
    <t>Derecho de póliza</t>
  </si>
  <si>
    <t>PERIODO</t>
  </si>
  <si>
    <t>RECARGO POR PAGO FRACCIONADO</t>
  </si>
  <si>
    <t>Estados</t>
  </si>
  <si>
    <t>Asistencias</t>
  </si>
  <si>
    <t>ASISTENCIAS</t>
  </si>
  <si>
    <t>COBERTURA INTEGRAL DENTAL Y VISIÓN</t>
  </si>
  <si>
    <t>VISIÓN INCREMENTAL</t>
  </si>
  <si>
    <t>Cobertura integral D y V</t>
  </si>
  <si>
    <t>Visión Incremental</t>
  </si>
  <si>
    <t>Enfermedades graves</t>
  </si>
  <si>
    <t>Basica</t>
  </si>
  <si>
    <t>Participante</t>
  </si>
  <si>
    <t>Maternidad</t>
  </si>
  <si>
    <t>Adicionales</t>
  </si>
  <si>
    <t>COSTO COBERTURA EXTRANJERO</t>
  </si>
  <si>
    <t>COSTO EMERGENCIA EN EXTRANJERO</t>
  </si>
  <si>
    <t>Base de Honorarios Quirúrgicos</t>
  </si>
  <si>
    <t>Suma Asegurada Básica</t>
  </si>
  <si>
    <t>De acuerdo a Condiciones Generales</t>
  </si>
  <si>
    <t>Llave</t>
  </si>
  <si>
    <t>Ramo</t>
  </si>
  <si>
    <t>Norma</t>
  </si>
  <si>
    <t>Textos</t>
  </si>
  <si>
    <t>Llave_2</t>
  </si>
  <si>
    <t>GENERO TITULAR</t>
  </si>
  <si>
    <t>Cobertura Integral Dental y Visión (operado por Dentegra)</t>
  </si>
  <si>
    <t>CIUDAD DE MÉXICO</t>
  </si>
  <si>
    <t>* Esta cotización tiene una validez de 15 días a partir de su fecha de elaboración. La edad limite de aceptación es hasta los 64 años.
* El recargo por pago fraccionado está sujeto a cambio sin previo aviso.</t>
  </si>
  <si>
    <t>CLAVE DE AGENTE</t>
  </si>
  <si>
    <r>
      <t xml:space="preserve">A. Ingresa o selecciona de la lista desplegable tu clave de agente en la pestaña de </t>
    </r>
    <r>
      <rPr>
        <b/>
        <sz val="10"/>
        <rFont val="Tahoma"/>
        <family val="2"/>
      </rPr>
      <t>COTIZACIÓN</t>
    </r>
  </si>
  <si>
    <t>Cobertura de Indemnización por Enfermedad Grave (1)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</si>
  <si>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</si>
  <si>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6.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</si>
  <si>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t>TARIFA 2015-2016</t>
  </si>
  <si>
    <t>-Cobertura de Visión Incremental</t>
  </si>
  <si>
    <t>-Cobertura de Indemnización por Enfermedad Grave</t>
  </si>
  <si>
    <t>TARIFA 2017 (01 de agosto)</t>
  </si>
  <si>
    <t>TARIFA 2017 (01 de enero)</t>
  </si>
  <si>
    <t>Nueva</t>
  </si>
  <si>
    <t>Renovada</t>
  </si>
  <si>
    <t>1,2,3,5,6,7,8</t>
  </si>
  <si>
    <t>Tipo de Deducible</t>
  </si>
  <si>
    <t>POR PADECIMIENTO</t>
  </si>
  <si>
    <t xml:space="preserve">DEDUCIBLE </t>
  </si>
  <si>
    <t>Inc THQ</t>
  </si>
  <si>
    <t>Incremento THQ</t>
  </si>
  <si>
    <t>TIPO DE DEDUCIBLE</t>
  </si>
  <si>
    <t>10% CON TOPE DE $35,000</t>
  </si>
  <si>
    <t>COSTO ELIMINACION DE DEDUCIBLE</t>
  </si>
  <si>
    <t>DEDUCIBLE</t>
  </si>
  <si>
    <t>Eliminación de Deducible por Accidente</t>
  </si>
  <si>
    <t>TARIFA 2018</t>
  </si>
  <si>
    <t>Tipo de Deducible por Accidente y Enfermedad</t>
  </si>
  <si>
    <t>BASE DE CATALOGO</t>
  </si>
  <si>
    <t>-Cobertura Total en el Extranjero coaseguro 20%</t>
  </si>
  <si>
    <t>PORCENTAJE</t>
  </si>
  <si>
    <t>Honorarios por enfermera máximo 3 turnos por día durante 30 días</t>
  </si>
  <si>
    <t xml:space="preserve">Gastos por donación de organos </t>
  </si>
  <si>
    <t>Renta diaria por hospitalización en un Centro de Asistencia Social máximo 30 días</t>
  </si>
  <si>
    <t>Preexistencia Declarada, con periodo de espera de 2 años, no aplica reconocimiento</t>
  </si>
  <si>
    <t>Circuncisión, con periodo de espera de 1 año, no aplica reconocimiento de antigüedad</t>
  </si>
  <si>
    <t>Legrado</t>
  </si>
  <si>
    <t>Xifósis, lordósis y escoleosis, con periodo de espera de 2 años</t>
  </si>
  <si>
    <t>no aplica reconocimiento de antigüedad</t>
  </si>
  <si>
    <t>Incremento de Catálogo de Honorarios para enfermedades catastróficas</t>
  </si>
  <si>
    <t>Trastornos Visuales, con periodo de espera de 18 meses</t>
  </si>
  <si>
    <t>Lente intraocular, con periodo de espera de 12 meses</t>
  </si>
  <si>
    <t>* La edad de contratación de la cobertura de enfermedades graves es de 18 a 59 años.</t>
  </si>
  <si>
    <t>1T T 16</t>
  </si>
  <si>
    <t>2T T 16</t>
  </si>
  <si>
    <t>3T T 16</t>
  </si>
  <si>
    <t>4T T 16</t>
  </si>
  <si>
    <t>5T T 16</t>
  </si>
  <si>
    <t>6T T 16</t>
  </si>
  <si>
    <t>7T T 16</t>
  </si>
  <si>
    <t>8T T 16</t>
  </si>
  <si>
    <t>9T T 16</t>
  </si>
  <si>
    <t>10T T 16</t>
  </si>
  <si>
    <t>1E T 16</t>
  </si>
  <si>
    <t>2E T 16</t>
  </si>
  <si>
    <t>3E T 16</t>
  </si>
  <si>
    <t>4E T 16</t>
  </si>
  <si>
    <t>5E T 16</t>
  </si>
  <si>
    <t>6E T 16</t>
  </si>
  <si>
    <t>7E T 16</t>
  </si>
  <si>
    <t>8E T 16</t>
  </si>
  <si>
    <t>9E T 16</t>
  </si>
  <si>
    <t>10E T 16</t>
  </si>
  <si>
    <r>
      <t xml:space="preserve">2.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</si>
  <si>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</si>
  <si>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TIPO DE DEDUCIBLE (Anual o Por Padecimiento)</t>
    </r>
  </si>
  <si>
    <r>
      <t xml:space="preserve">5.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</si>
  <si>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7.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</si>
  <si>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9.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</si>
  <si>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>10. Seleccione la</t>
    </r>
    <r>
      <rPr>
        <sz val="10"/>
        <color rgb="FFFF000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</si>
  <si>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VISION INCREMENTAL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</si>
  <si>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</si>
  <si>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t>REGIÓN PREFERENTE</t>
  </si>
  <si>
    <t>Emergencia Extranjero con suma asegurada de 50,000 Dlls, deducible de 50 Dlls y coaseguro 0%</t>
  </si>
  <si>
    <r>
      <t xml:space="preserve">14.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</si>
  <si>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15. Llene el </t>
    </r>
    <r>
      <rPr>
        <b/>
        <sz val="10"/>
        <color rgb="FFFF0000"/>
        <rFont val="Tahoma"/>
        <family val="2"/>
      </rPr>
      <t>NOMBRE</t>
    </r>
    <r>
      <rPr>
        <b/>
        <sz val="10"/>
        <rFont val="Tahoma"/>
        <family val="2"/>
      </rPr>
      <t>,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 xml:space="preserve">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</si>
  <si>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16. Vaya al FORMATO DE IMPRESIÓN para obtener la COTIZACIÓN</t>
  </si>
  <si>
    <t>Emergencia en el extranjero</t>
  </si>
  <si>
    <t>ELIMINACION DE DEDUCIBLE</t>
  </si>
  <si>
    <t>El coaseguro contratado funciona para la red Hospitalaria Preferente contratada en caso de salir de esta aplica:</t>
  </si>
  <si>
    <t>En Red Preferente, nivel hospitalario contratado o menor y misma zona o menor</t>
  </si>
  <si>
    <t>En Red Preferente, nivel Hospitalario contratado o menor y zona mayor a la contratada</t>
  </si>
  <si>
    <t>En Red Preferente, nivel Hospitalario mayor al contratado y misma zona o menor</t>
  </si>
  <si>
    <t>En Red Preferente, nivel Hospitalario mayor al contratado y zona mayor a la contratada</t>
  </si>
  <si>
    <t>Fuera de Red Preferente, nivel Hospitalario contratado o menor y misma zona o menor</t>
  </si>
  <si>
    <t>Fuera de Red Preferente, nivel Hospitalario contratado o menor y zona mayor a la contratada</t>
  </si>
  <si>
    <t>Fuera de Red Preferente, nivel Hospitalario mayor al contratado y misma zona o menor</t>
  </si>
  <si>
    <t>Fuera de Red Preferente, nivel Hospitalario mayor al contratado y zona mayor a la contratada</t>
  </si>
  <si>
    <t>APLICACIÓN DE COASEGURO EN CASO DE SINIESTRO</t>
  </si>
  <si>
    <t>Opción</t>
  </si>
  <si>
    <t>Hospitales Red Preferente nivel Hospitalario contratado o menor y misma zona o menor</t>
  </si>
  <si>
    <t>15% CON TOPE DE $45,000</t>
  </si>
  <si>
    <t>20% CON TOPE DE $60,000</t>
  </si>
  <si>
    <t>25% CON TOPE DE $80,000</t>
  </si>
  <si>
    <t>30% CON TOPE DE $100,000</t>
  </si>
  <si>
    <t>35% CON TOPE DE $120,000</t>
  </si>
  <si>
    <t>Hospitales Red Preferente nivel Hospitalario contratado o menor y zona mayor a la contratada.</t>
  </si>
  <si>
    <t>Hospitales Red Preferente nivel Hospitalario mayor al contratado y misma zona o menor.</t>
  </si>
  <si>
    <t>Fuera de Red Preferente, nivel Hospitalario contratado o menor y misma zona o menor.</t>
  </si>
  <si>
    <t>Hospitales Red Preferente nivel Hospitalario mayor al  contratado y zona mayor.</t>
  </si>
  <si>
    <t>Fuera de Red Preferente, nivel Hospitalario contratado o menor y zona mayor a la contratada.</t>
  </si>
  <si>
    <t>Fuera de Red Preferente, nivel Hospitalario mayor al contratado y misma zona o menor.</t>
  </si>
  <si>
    <t>Coaseguro2</t>
  </si>
  <si>
    <t>Coaseguro3</t>
  </si>
  <si>
    <t>Coaseguro4</t>
  </si>
  <si>
    <r>
      <t xml:space="preserve">12. Seleccione si desea </t>
    </r>
    <r>
      <rPr>
        <b/>
        <sz val="10"/>
        <color rgb="FFFF0000"/>
        <rFont val="Tahoma"/>
        <family val="2"/>
      </rPr>
      <t>COBERTURA DE INDEMNIZACION POR ENFERMEDAD GRAVE, así como la SUMA ASEGURADA
      para esta cobertura</t>
    </r>
  </si>
  <si>
    <t>COPAGO EN CASO DE SINIESTRO</t>
  </si>
  <si>
    <t>A continuación le presentamos aplicación de Copago y Coaseguro en caso de siniestro</t>
  </si>
  <si>
    <t>El copago del asegurado en caso de siniestro es:</t>
  </si>
  <si>
    <t>Sin Copago</t>
  </si>
  <si>
    <t>0-19</t>
  </si>
  <si>
    <t>20-100</t>
  </si>
  <si>
    <t>EDxA</t>
  </si>
  <si>
    <t>18-50</t>
  </si>
  <si>
    <t>Cob Ext</t>
  </si>
  <si>
    <t>NIVEL HOSPITALARIO PREFERENTE</t>
  </si>
  <si>
    <t>ok</t>
  </si>
  <si>
    <r>
      <t xml:space="preserve">1. Seleccione el </t>
    </r>
    <r>
      <rPr>
        <b/>
        <sz val="10"/>
        <color rgb="FFFF0000"/>
        <rFont val="Tahoma"/>
        <family val="2"/>
      </rPr>
      <t>NIVEL HOSPITALARIO (T o T+)</t>
    </r>
  </si>
  <si>
    <t>T</t>
  </si>
  <si>
    <t>T+</t>
  </si>
  <si>
    <t>Cobertura de Reducción de Deducible por Accidente (con tope de $50,000)</t>
  </si>
  <si>
    <t>Servicios de Asistencia (operado por México Asistencias y Montolin)</t>
  </si>
  <si>
    <t>ESTADO DE LA REPUBLICA</t>
  </si>
  <si>
    <t>REGION</t>
  </si>
  <si>
    <t>COBERTURAS OPCIONALES</t>
  </si>
  <si>
    <t>Suma Asegurada para Parto y Cesárea</t>
  </si>
  <si>
    <t>Cobertura de Indemnización por Enfermedad Grave</t>
  </si>
  <si>
    <t>SUMA ASEGURADA:</t>
  </si>
  <si>
    <t>DEDUCIBLE:</t>
  </si>
  <si>
    <t>COASEGURO:</t>
  </si>
  <si>
    <t>PRIMA TOTAL CONYUGE</t>
  </si>
  <si>
    <t>0-10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</si>
  <si>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</si>
  <si>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t>Incremento en el Catálogo</t>
  </si>
  <si>
    <t>Tarifa Vig: 01 de Enero 2020</t>
  </si>
  <si>
    <t>Tipo de póliza</t>
  </si>
  <si>
    <r>
      <t>(1) Esta cobertura aplica para Asegurados con edades entre 18 a 59 años.
**</t>
    </r>
    <r>
      <rPr>
        <sz val="9"/>
        <rFont val="Tahoma"/>
        <family val="2"/>
      </rPr>
      <t>Vigencia de cotizador del 01</t>
    </r>
    <r>
      <rPr>
        <b/>
        <sz val="9"/>
        <rFont val="Tahoma"/>
        <family val="2"/>
      </rPr>
      <t xml:space="preserve"> de Marzo 2020</t>
    </r>
    <r>
      <rPr>
        <sz val="9"/>
        <rFont val="Tahoma"/>
        <family val="2"/>
      </rPr>
      <t xml:space="preserve"> al</t>
    </r>
    <r>
      <rPr>
        <b/>
        <sz val="9"/>
        <rFont val="Tahoma"/>
        <family val="2"/>
      </rPr>
      <t xml:space="preserve"> 28 de Febrero 2021.</t>
    </r>
  </si>
  <si>
    <t>Cotizador Vig: 01 de marzo 2020 a 28 de Febrero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</si>
</sst>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&quot;$&quot;###,###"/>
    <numFmt numFmtId="176" formatCode="_-&quot;$&quot;* #,##0_-;\-&quot;$&quot;* #,##0_-;_-&quot;$&quot;* &quot;-&quot;??_-;_-@_-"/>
    <numFmt numFmtId="177" formatCode="&quot;$&quot;#,##0.00;[Red]&quot;$&quot;#,##0.00"/>
    <numFmt numFmtId="178" formatCode="&quot;$&quot;#,##0"/>
    <numFmt numFmtId="179" formatCode="#,##0.00000"/>
    <numFmt numFmtId="180" formatCode="0.000"/>
  </numFmts>
  <fonts count="86">
    <font>
      <sz val="10"/>
      <name val="Tahom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name val="Arial"/>
      <family val="2"/>
    </font>
    <font>
      <sz val="11"/>
      <name val="Arial"/>
      <family val="2"/>
    </font>
    <font>
      <b/>
      <sz val="11"/>
      <color theme="0"/>
      <name val="Calibri"/>
      <family val="2"/>
      <scheme val="minor"/>
    </font>
    <font>
      <i/>
      <sz val="8"/>
      <name val="Tahoma"/>
      <family val="2"/>
    </font>
    <font>
      <b/>
      <sz val="9"/>
      <color rgb="FFFF0000"/>
      <name val="Narkisim"/>
      <family val="2"/>
      <charset val="177"/>
    </font>
    <font>
      <b/>
      <sz val="8"/>
      <color rgb="FFFF0000"/>
      <name val="Segoe UI Symbol"/>
      <family val="2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sz val="10"/>
      <color rgb="FFFF0000"/>
      <name val="Tahoma"/>
      <family val="2"/>
    </font>
    <font>
      <sz val="14"/>
      <color theme="0"/>
      <name val="Narkisim"/>
      <family val="2"/>
      <charset val="177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arrow"/>
      <family val="2"/>
    </font>
    <font>
      <b/>
      <sz val="9"/>
      <color rgb="FFFF0000"/>
      <name val="Tahoma"/>
      <family val="2"/>
    </font>
    <font>
      <sz val="9"/>
      <color rgb="FFFF8265"/>
      <name val="Tahoma"/>
      <family val="2"/>
    </font>
    <font>
      <b/>
      <u/>
      <sz val="8"/>
      <name val="Tahoma"/>
      <family val="2"/>
    </font>
    <font>
      <sz val="10"/>
      <color theme="0"/>
      <name val="Tahoma"/>
      <family val="2"/>
    </font>
    <font>
      <b/>
      <sz val="16"/>
      <color rgb="FFFF0000"/>
      <name val="Tahoma"/>
      <family val="2"/>
    </font>
  </fonts>
  <fills count="4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9">
    <xf numFmtId="0" fontId="0" fillId="0" borderId="0" applyBorder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0" fillId="0" borderId="0"/>
    <xf numFmtId="9" fontId="3" fillId="0" borderId="0" applyFont="0" applyFill="0" applyBorder="0" applyAlignment="0" applyProtection="0"/>
    <xf numFmtId="0" fontId="2" fillId="0" borderId="0"/>
    <xf numFmtId="0" fontId="3" fillId="0" borderId="0" applyBorder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4" fillId="0" borderId="0" applyBorder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47" applyNumberFormat="0" applyFill="0" applyAlignment="0" applyProtection="0"/>
    <xf numFmtId="0" fontId="67" fillId="0" borderId="48" applyNumberFormat="0" applyFill="0" applyAlignment="0" applyProtection="0"/>
    <xf numFmtId="0" fontId="68" fillId="0" borderId="49" applyNumberFormat="0" applyFill="0" applyAlignment="0" applyProtection="0"/>
    <xf numFmtId="0" fontId="68" fillId="0" borderId="0" applyNumberFormat="0" applyFill="0" applyBorder="0" applyAlignment="0" applyProtection="0"/>
    <xf numFmtId="0" fontId="69" fillId="10" borderId="0" applyNumberFormat="0" applyBorder="0" applyAlignment="0" applyProtection="0"/>
    <xf numFmtId="0" fontId="70" fillId="11" borderId="0" applyNumberFormat="0" applyBorder="0" applyAlignment="0" applyProtection="0"/>
    <xf numFmtId="0" fontId="71" fillId="12" borderId="0" applyNumberFormat="0" applyBorder="0" applyAlignment="0" applyProtection="0"/>
    <xf numFmtId="0" fontId="72" fillId="13" borderId="50" applyNumberFormat="0" applyAlignment="0" applyProtection="0"/>
    <xf numFmtId="0" fontId="73" fillId="14" borderId="51" applyNumberFormat="0" applyAlignment="0" applyProtection="0"/>
    <xf numFmtId="0" fontId="74" fillId="14" borderId="50" applyNumberFormat="0" applyAlignment="0" applyProtection="0"/>
    <xf numFmtId="0" fontId="75" fillId="0" borderId="52" applyNumberFormat="0" applyFill="0" applyAlignment="0" applyProtection="0"/>
    <xf numFmtId="0" fontId="51" fillId="15" borderId="53" applyNumberFormat="0" applyAlignment="0" applyProtection="0"/>
    <xf numFmtId="0" fontId="76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55" applyNumberFormat="0" applyFill="0" applyAlignment="0" applyProtection="0"/>
    <xf numFmtId="0" fontId="7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79" fillId="20" borderId="0" applyNumberFormat="0" applyBorder="0" applyAlignment="0" applyProtection="0"/>
    <xf numFmtId="0" fontId="7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79" fillId="24" borderId="0" applyNumberFormat="0" applyBorder="0" applyAlignment="0" applyProtection="0"/>
    <xf numFmtId="0" fontId="7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79" fillId="28" borderId="0" applyNumberFormat="0" applyBorder="0" applyAlignment="0" applyProtection="0"/>
    <xf numFmtId="0" fontId="7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79" fillId="32" borderId="0" applyNumberFormat="0" applyBorder="0" applyAlignment="0" applyProtection="0"/>
    <xf numFmtId="0" fontId="79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79" fillId="36" borderId="0" applyNumberFormat="0" applyBorder="0" applyAlignment="0" applyProtection="0"/>
    <xf numFmtId="0" fontId="79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79" fillId="40" borderId="0" applyNumberFormat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16" borderId="54" applyNumberFormat="0" applyFont="0" applyAlignment="0" applyProtection="0"/>
    <xf numFmtId="0" fontId="3" fillId="0" borderId="0" applyBorder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3" fillId="0" borderId="0" applyBorder="0"/>
    <xf numFmtId="0" fontId="16" fillId="0" borderId="0"/>
    <xf numFmtId="43" fontId="16" fillId="0" borderId="0" applyFont="0" applyFill="0" applyBorder="0" applyAlignment="0" applyProtection="0"/>
    <xf numFmtId="0" fontId="1" fillId="0" borderId="0"/>
    <xf numFmtId="0" fontId="3" fillId="0" borderId="0" applyBorder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16" fillId="0" borderId="0"/>
    <xf numFmtId="0" fontId="80" fillId="0" borderId="0"/>
    <xf numFmtId="0" fontId="16" fillId="0" borderId="0"/>
    <xf numFmtId="44" fontId="1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6" fillId="0" borderId="0"/>
    <xf numFmtId="44" fontId="16" fillId="0" borderId="0" applyFont="0" applyFill="0" applyBorder="0" applyAlignment="0" applyProtection="0"/>
    <xf numFmtId="0" fontId="16" fillId="0" borderId="0"/>
    <xf numFmtId="44" fontId="16" fillId="0" borderId="0" applyFont="0" applyFill="0" applyBorder="0" applyAlignment="0" applyProtection="0"/>
    <xf numFmtId="0" fontId="16" fillId="0" borderId="0"/>
    <xf numFmtId="44" fontId="16" fillId="0" borderId="0" applyFont="0" applyFill="0" applyBorder="0" applyAlignment="0" applyProtection="0"/>
    <xf numFmtId="0" fontId="3" fillId="0" borderId="0" applyBorder="0"/>
    <xf numFmtId="0" fontId="3" fillId="0" borderId="0" applyBorder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 applyBorder="0"/>
  </cellStyleXfs>
  <cellXfs count="577">
    <xf numFmtId="0" fontId="0" fillId="0" borderId="0" xfId="0"/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Continuous" vertical="center"/>
    </xf>
    <xf numFmtId="0" fontId="5" fillId="0" borderId="0" xfId="0" applyFont="1" applyFill="1" applyBorder="1" applyAlignment="1">
      <alignment horizontal="centerContinuous" vertical="center"/>
    </xf>
    <xf numFmtId="4" fontId="5" fillId="0" borderId="0" xfId="0" applyNumberFormat="1" applyFont="1" applyFill="1" applyBorder="1" applyAlignment="1">
      <alignment horizontal="centerContinuous" vertical="center"/>
    </xf>
    <xf numFmtId="0" fontId="7" fillId="3" borderId="0" xfId="0" applyFont="1" applyFill="1"/>
    <xf numFmtId="0" fontId="7" fillId="3" borderId="0" xfId="0" applyFont="1" applyFill="1" applyAlignment="1"/>
    <xf numFmtId="0" fontId="10" fillId="3" borderId="0" xfId="0" applyFont="1" applyFill="1"/>
    <xf numFmtId="0" fontId="10" fillId="3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9" fontId="9" fillId="3" borderId="0" xfId="0" applyNumberFormat="1" applyFont="1" applyFill="1" applyAlignment="1">
      <alignment horizontal="right" vertical="center"/>
    </xf>
    <xf numFmtId="0" fontId="9" fillId="3" borderId="0" xfId="0" applyFont="1" applyFill="1" applyAlignment="1">
      <alignment horizontal="right" vertical="center"/>
    </xf>
    <xf numFmtId="0" fontId="4" fillId="3" borderId="0" xfId="0" applyFont="1" applyFill="1" applyBorder="1" applyAlignment="1" applyProtection="1">
      <alignment vertical="center"/>
    </xf>
    <xf numFmtId="0" fontId="7" fillId="3" borderId="0" xfId="0" applyFont="1" applyFill="1" applyProtection="1"/>
    <xf numFmtId="0" fontId="7" fillId="3" borderId="0" xfId="0" applyFont="1" applyFill="1" applyAlignment="1" applyProtection="1"/>
    <xf numFmtId="0" fontId="10" fillId="3" borderId="0" xfId="0" applyFont="1" applyFill="1" applyAlignment="1" applyProtection="1"/>
    <xf numFmtId="0" fontId="7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169" fontId="7" fillId="3" borderId="0" xfId="0" applyNumberFormat="1" applyFont="1" applyFill="1" applyAlignment="1" applyProtection="1">
      <alignment vertical="center"/>
    </xf>
    <xf numFmtId="169" fontId="22" fillId="3" borderId="0" xfId="0" applyNumberFormat="1" applyFont="1" applyFill="1" applyAlignment="1" applyProtection="1">
      <alignment vertical="center"/>
    </xf>
    <xf numFmtId="43" fontId="7" fillId="3" borderId="0" xfId="0" applyNumberFormat="1" applyFont="1" applyFill="1" applyProtection="1"/>
    <xf numFmtId="0" fontId="10" fillId="3" borderId="0" xfId="0" applyFont="1" applyFill="1" applyProtection="1"/>
    <xf numFmtId="0" fontId="10" fillId="3" borderId="0" xfId="0" applyFont="1" applyFill="1" applyBorder="1" applyAlignment="1" applyProtection="1">
      <alignment vertical="center"/>
    </xf>
    <xf numFmtId="0" fontId="9" fillId="3" borderId="0" xfId="0" applyFont="1" applyFill="1" applyBorder="1" applyAlignment="1" applyProtection="1">
      <alignment horizontal="right" vertical="center"/>
    </xf>
    <xf numFmtId="0" fontId="10" fillId="3" borderId="0" xfId="0" applyFont="1" applyFill="1" applyBorder="1" applyProtection="1"/>
    <xf numFmtId="169" fontId="9" fillId="3" borderId="0" xfId="0" applyNumberFormat="1" applyFont="1" applyFill="1" applyBorder="1" applyAlignment="1" applyProtection="1">
      <alignment horizontal="right" vertical="center"/>
    </xf>
    <xf numFmtId="169" fontId="10" fillId="3" borderId="0" xfId="0" applyNumberFormat="1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horizontal="left" vertical="center"/>
    </xf>
    <xf numFmtId="0" fontId="10" fillId="3" borderId="0" xfId="0" applyFont="1" applyFill="1" applyBorder="1" applyAlignment="1" applyProtection="1">
      <alignment horizontal="center" vertical="center"/>
    </xf>
    <xf numFmtId="0" fontId="6" fillId="3" borderId="0" xfId="0" quotePrefix="1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center" vertical="center"/>
    </xf>
    <xf numFmtId="4" fontId="7" fillId="3" borderId="0" xfId="0" applyNumberFormat="1" applyFont="1" applyFill="1" applyBorder="1" applyAlignment="1" applyProtection="1">
      <alignment horizontal="left" vertical="center"/>
    </xf>
    <xf numFmtId="0" fontId="7" fillId="3" borderId="0" xfId="0" applyFont="1" applyFill="1" applyBorder="1" applyProtection="1"/>
    <xf numFmtId="4" fontId="7" fillId="3" borderId="0" xfId="0" applyNumberFormat="1" applyFont="1" applyFill="1" applyBorder="1" applyAlignment="1" applyProtection="1">
      <alignment horizontal="right" vertical="center"/>
    </xf>
    <xf numFmtId="4" fontId="7" fillId="3" borderId="0" xfId="0" applyNumberFormat="1" applyFont="1" applyFill="1" applyBorder="1" applyAlignment="1" applyProtection="1">
      <alignment vertical="center"/>
    </xf>
    <xf numFmtId="14" fontId="7" fillId="3" borderId="0" xfId="0" applyNumberFormat="1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left" vertical="center"/>
    </xf>
    <xf numFmtId="9" fontId="7" fillId="3" borderId="0" xfId="0" applyNumberFormat="1" applyFont="1" applyFill="1" applyBorder="1" applyAlignment="1" applyProtection="1">
      <alignment vertical="center"/>
    </xf>
    <xf numFmtId="43" fontId="7" fillId="3" borderId="0" xfId="1" applyFont="1" applyFill="1" applyBorder="1" applyAlignment="1" applyProtection="1">
      <alignment horizontal="left" vertical="center"/>
    </xf>
    <xf numFmtId="43" fontId="7" fillId="3" borderId="0" xfId="1" applyFont="1" applyFill="1" applyBorder="1" applyAlignment="1" applyProtection="1">
      <alignment vertical="center"/>
    </xf>
    <xf numFmtId="10" fontId="7" fillId="3" borderId="0" xfId="0" applyNumberFormat="1" applyFont="1" applyFill="1" applyBorder="1" applyAlignment="1" applyProtection="1">
      <alignment vertical="center"/>
    </xf>
    <xf numFmtId="43" fontId="7" fillId="3" borderId="0" xfId="0" applyNumberFormat="1" applyFont="1" applyFill="1" applyBorder="1" applyAlignment="1" applyProtection="1">
      <alignment vertical="center"/>
    </xf>
    <xf numFmtId="10" fontId="7" fillId="3" borderId="0" xfId="0" quotePrefix="1" applyNumberFormat="1" applyFont="1" applyFill="1" applyBorder="1" applyAlignment="1" applyProtection="1">
      <alignment horizontal="center" vertical="center"/>
    </xf>
    <xf numFmtId="43" fontId="7" fillId="3" borderId="0" xfId="0" applyNumberFormat="1" applyFont="1" applyFill="1" applyBorder="1" applyAlignment="1" applyProtection="1">
      <alignment horizontal="left" vertical="center"/>
    </xf>
    <xf numFmtId="174" fontId="7" fillId="3" borderId="0" xfId="0" applyNumberFormat="1" applyFont="1" applyFill="1" applyBorder="1" applyAlignment="1" applyProtection="1">
      <alignment horizontal="right" vertical="center"/>
    </xf>
    <xf numFmtId="0" fontId="11" fillId="3" borderId="0" xfId="0" applyFont="1" applyFill="1" applyBorder="1" applyAlignment="1" applyProtection="1">
      <alignment vertical="center"/>
    </xf>
    <xf numFmtId="9" fontId="7" fillId="3" borderId="0" xfId="4" applyFont="1" applyFill="1" applyBorder="1" applyAlignment="1" applyProtection="1">
      <alignment vertical="center"/>
    </xf>
    <xf numFmtId="9" fontId="7" fillId="3" borderId="0" xfId="0" applyNumberFormat="1" applyFont="1" applyFill="1" applyBorder="1" applyAlignment="1" applyProtection="1">
      <alignment horizontal="left" vertical="center"/>
    </xf>
    <xf numFmtId="43" fontId="10" fillId="3" borderId="0" xfId="1" applyFont="1" applyFill="1" applyProtection="1"/>
    <xf numFmtId="43" fontId="10" fillId="3" borderId="0" xfId="0" applyNumberFormat="1" applyFont="1" applyFill="1" applyProtection="1"/>
    <xf numFmtId="173" fontId="7" fillId="3" borderId="0" xfId="0" applyNumberFormat="1" applyFont="1" applyFill="1" applyBorder="1" applyAlignment="1" applyProtection="1">
      <alignment horizontal="left" vertical="center"/>
    </xf>
    <xf numFmtId="44" fontId="7" fillId="3" borderId="0" xfId="2" applyFont="1" applyFill="1" applyBorder="1" applyAlignment="1" applyProtection="1">
      <alignment vertical="center"/>
    </xf>
    <xf numFmtId="0" fontId="16" fillId="0" borderId="0" xfId="0" applyFont="1" applyBorder="1" applyProtection="1"/>
    <xf numFmtId="0" fontId="6" fillId="3" borderId="0" xfId="0" applyFont="1" applyFill="1" applyBorder="1" applyAlignment="1" applyProtection="1">
      <alignment horizontal="right" wrapText="1"/>
    </xf>
    <xf numFmtId="0" fontId="7" fillId="3" borderId="0" xfId="0" applyFont="1" applyFill="1" applyBorder="1" applyAlignment="1" applyProtection="1">
      <alignment horizontal="right" vertical="center"/>
    </xf>
    <xf numFmtId="0" fontId="7" fillId="3" borderId="0" xfId="0" applyFont="1" applyFill="1" applyBorder="1" applyAlignment="1" applyProtection="1"/>
    <xf numFmtId="0" fontId="10" fillId="3" borderId="0" xfId="0" applyFont="1" applyFill="1" applyBorder="1" applyAlignment="1" applyProtection="1"/>
    <xf numFmtId="0" fontId="7" fillId="3" borderId="0" xfId="0" applyFont="1" applyFill="1" applyBorder="1" applyAlignment="1" applyProtection="1">
      <alignment horizontal="center"/>
    </xf>
    <xf numFmtId="43" fontId="7" fillId="3" borderId="0" xfId="1" applyFont="1" applyFill="1" applyBorder="1" applyProtection="1"/>
    <xf numFmtId="172" fontId="10" fillId="3" borderId="0" xfId="0" applyNumberFormat="1" applyFont="1" applyFill="1" applyProtection="1"/>
    <xf numFmtId="166" fontId="6" fillId="3" borderId="0" xfId="0" applyNumberFormat="1" applyFont="1" applyFill="1" applyBorder="1" applyAlignment="1" applyProtection="1">
      <alignment horizontal="left" vertical="center"/>
    </xf>
    <xf numFmtId="166" fontId="6" fillId="3" borderId="0" xfId="0" applyNumberFormat="1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left"/>
    </xf>
    <xf numFmtId="43" fontId="7" fillId="3" borderId="0" xfId="0" applyNumberFormat="1" applyFont="1" applyFill="1" applyBorder="1" applyProtection="1"/>
    <xf numFmtId="166" fontId="7" fillId="3" borderId="0" xfId="0" applyNumberFormat="1" applyFont="1" applyFill="1" applyBorder="1" applyAlignment="1" applyProtection="1">
      <alignment horizontal="left" vertical="center"/>
    </xf>
    <xf numFmtId="10" fontId="7" fillId="3" borderId="0" xfId="4" applyNumberFormat="1" applyFont="1" applyFill="1" applyBorder="1" applyAlignment="1" applyProtection="1">
      <alignment vertical="center"/>
    </xf>
    <xf numFmtId="171" fontId="10" fillId="3" borderId="0" xfId="4" applyNumberFormat="1" applyFont="1" applyFill="1" applyAlignment="1" applyProtection="1">
      <alignment vertical="center"/>
    </xf>
    <xf numFmtId="4" fontId="10" fillId="3" borderId="0" xfId="0" applyNumberFormat="1" applyFont="1" applyFill="1" applyAlignment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4" fontId="6" fillId="3" borderId="0" xfId="0" applyNumberFormat="1" applyFont="1" applyFill="1" applyBorder="1" applyAlignment="1" applyProtection="1">
      <alignment vertical="center"/>
    </xf>
    <xf numFmtId="4" fontId="9" fillId="3" borderId="0" xfId="0" applyNumberFormat="1" applyFont="1" applyFill="1" applyBorder="1" applyAlignment="1" applyProtection="1">
      <alignment vertical="center"/>
    </xf>
    <xf numFmtId="0" fontId="12" fillId="3" borderId="0" xfId="0" applyFont="1" applyFill="1" applyBorder="1" applyAlignment="1" applyProtection="1">
      <alignment horizontal="center"/>
    </xf>
    <xf numFmtId="0" fontId="13" fillId="3" borderId="0" xfId="0" applyFont="1" applyFill="1" applyBorder="1" applyAlignment="1" applyProtection="1">
      <alignment horizontal="center" vertical="center"/>
    </xf>
    <xf numFmtId="0" fontId="14" fillId="3" borderId="0" xfId="0" applyFont="1" applyFill="1" applyBorder="1" applyProtection="1"/>
    <xf numFmtId="0" fontId="7" fillId="2" borderId="1" xfId="0" applyFont="1" applyFill="1" applyBorder="1" applyAlignment="1" applyProtection="1">
      <alignment vertical="center"/>
    </xf>
    <xf numFmtId="0" fontId="7" fillId="2" borderId="2" xfId="0" applyFont="1" applyFill="1" applyBorder="1" applyAlignment="1" applyProtection="1">
      <alignment vertical="center"/>
    </xf>
    <xf numFmtId="0" fontId="7" fillId="0" borderId="0" xfId="0" applyFont="1" applyBorder="1" applyAlignment="1" applyProtection="1">
      <alignment vertical="center"/>
    </xf>
    <xf numFmtId="0" fontId="7" fillId="0" borderId="3" xfId="0" applyFont="1" applyBorder="1" applyAlignment="1" applyProtection="1">
      <alignment vertical="center"/>
    </xf>
    <xf numFmtId="0" fontId="7" fillId="0" borderId="4" xfId="0" applyFont="1" applyBorder="1" applyAlignment="1" applyProtection="1">
      <alignment vertical="center"/>
    </xf>
    <xf numFmtId="0" fontId="7" fillId="0" borderId="5" xfId="0" applyFont="1" applyBorder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9" fontId="7" fillId="0" borderId="0" xfId="4" applyFont="1" applyAlignment="1" applyProtection="1">
      <alignment vertical="center"/>
    </xf>
    <xf numFmtId="0" fontId="10" fillId="3" borderId="0" xfId="0" applyFont="1" applyFill="1" applyAlignment="1" applyProtection="1">
      <alignment vertical="center"/>
    </xf>
    <xf numFmtId="0" fontId="9" fillId="3" borderId="0" xfId="0" applyFont="1" applyFill="1" applyAlignment="1" applyProtection="1">
      <alignment horizontal="right" vertical="center"/>
    </xf>
    <xf numFmtId="0" fontId="9" fillId="3" borderId="0" xfId="0" applyFont="1" applyFill="1" applyAlignment="1" applyProtection="1">
      <alignment horizontal="center" vertical="center"/>
    </xf>
    <xf numFmtId="169" fontId="9" fillId="3" borderId="0" xfId="0" applyNumberFormat="1" applyFont="1" applyFill="1" applyAlignment="1" applyProtection="1">
      <alignment horizontal="right" vertical="center"/>
    </xf>
    <xf numFmtId="0" fontId="10" fillId="3" borderId="0" xfId="0" applyFont="1" applyFill="1" applyAlignment="1" applyProtection="1">
      <alignment horizontal="left" vertical="center"/>
    </xf>
    <xf numFmtId="0" fontId="10" fillId="3" borderId="0" xfId="0" applyFont="1" applyFill="1" applyAlignment="1" applyProtection="1">
      <alignment horizontal="center" vertical="center"/>
    </xf>
    <xf numFmtId="0" fontId="27" fillId="3" borderId="0" xfId="0" applyFont="1" applyFill="1" applyBorder="1" applyProtection="1"/>
    <xf numFmtId="0" fontId="29" fillId="3" borderId="0" xfId="0" applyFont="1" applyFill="1" applyProtection="1"/>
    <xf numFmtId="0" fontId="0" fillId="4" borderId="0" xfId="0" applyFill="1"/>
    <xf numFmtId="0" fontId="8" fillId="3" borderId="0" xfId="0" applyFont="1" applyFill="1" applyBorder="1" applyAlignment="1" applyProtection="1">
      <alignment vertical="center"/>
    </xf>
    <xf numFmtId="0" fontId="7" fillId="3" borderId="0" xfId="0" applyFont="1" applyFill="1" applyBorder="1" applyAlignment="1"/>
    <xf numFmtId="0" fontId="0" fillId="0" borderId="0" xfId="0" applyBorder="1"/>
    <xf numFmtId="0" fontId="4" fillId="3" borderId="0" xfId="0" applyFont="1" applyFill="1" applyAlignment="1">
      <alignment wrapText="1"/>
    </xf>
    <xf numFmtId="0" fontId="4" fillId="3" borderId="0" xfId="0" applyFont="1" applyFill="1" applyBorder="1" applyAlignment="1">
      <alignment wrapText="1"/>
    </xf>
    <xf numFmtId="0" fontId="5" fillId="3" borderId="0" xfId="0" applyFont="1" applyFill="1" applyAlignment="1">
      <alignment horizontal="left" wrapText="1"/>
    </xf>
    <xf numFmtId="0" fontId="5" fillId="3" borderId="0" xfId="0" applyFont="1" applyFill="1" applyAlignment="1">
      <alignment wrapText="1"/>
    </xf>
    <xf numFmtId="169" fontId="22" fillId="3" borderId="0" xfId="0" applyNumberFormat="1" applyFont="1" applyFill="1" applyAlignment="1" applyProtection="1">
      <alignment horizontal="center" vertical="center"/>
    </xf>
    <xf numFmtId="0" fontId="41" fillId="3" borderId="0" xfId="0" applyFont="1" applyFill="1" applyProtection="1"/>
    <xf numFmtId="0" fontId="7" fillId="3" borderId="0" xfId="0" applyFont="1" applyFill="1" applyAlignment="1" applyProtection="1">
      <alignment vertical="top"/>
    </xf>
    <xf numFmtId="43" fontId="5" fillId="0" borderId="0" xfId="1" applyFont="1" applyFill="1" applyBorder="1" applyAlignment="1" applyProtection="1">
      <alignment horizontal="center" vertical="center"/>
    </xf>
    <xf numFmtId="0" fontId="4" fillId="0" borderId="0" xfId="0" applyFont="1" applyFill="1" applyAlignment="1" applyProtection="1">
      <alignment vertical="center"/>
    </xf>
    <xf numFmtId="0" fontId="3" fillId="0" borderId="0" xfId="0" applyFont="1"/>
    <xf numFmtId="0" fontId="5" fillId="0" borderId="0" xfId="0" applyFont="1"/>
    <xf numFmtId="0" fontId="44" fillId="0" borderId="0" xfId="0" applyFont="1" applyAlignment="1">
      <alignment horizontal="left" vertical="center"/>
    </xf>
    <xf numFmtId="0" fontId="7" fillId="0" borderId="0" xfId="0" applyFont="1" applyFill="1" applyProtection="1"/>
    <xf numFmtId="0" fontId="3" fillId="0" borderId="0" xfId="0" applyFont="1" applyFill="1" applyBorder="1" applyAlignment="1" applyProtection="1">
      <alignment vertical="center"/>
    </xf>
    <xf numFmtId="0" fontId="23" fillId="0" borderId="0" xfId="0" applyFont="1" applyFill="1" applyAlignment="1" applyProtection="1"/>
    <xf numFmtId="0" fontId="6" fillId="0" borderId="0" xfId="0" applyFont="1" applyFill="1" applyAlignment="1" applyProtection="1">
      <alignment horizontal="left" wrapText="1"/>
    </xf>
    <xf numFmtId="4" fontId="3" fillId="0" borderId="0" xfId="0" applyNumberFormat="1" applyFont="1" applyFill="1" applyBorder="1" applyAlignment="1">
      <alignment horizontal="center" vertical="center"/>
    </xf>
    <xf numFmtId="9" fontId="3" fillId="0" borderId="0" xfId="4" applyFont="1" applyFill="1" applyBorder="1" applyAlignment="1">
      <alignment horizontal="right" vertical="center"/>
    </xf>
    <xf numFmtId="4" fontId="3" fillId="0" borderId="0" xfId="0" applyNumberFormat="1" applyFont="1" applyFill="1" applyBorder="1" applyAlignment="1">
      <alignment vertical="center"/>
    </xf>
    <xf numFmtId="2" fontId="3" fillId="0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39" fontId="3" fillId="0" borderId="0" xfId="0" applyNumberFormat="1" applyFont="1" applyFill="1" applyBorder="1" applyAlignment="1" applyProtection="1">
      <alignment vertical="center"/>
    </xf>
    <xf numFmtId="0" fontId="5" fillId="0" borderId="0" xfId="0" applyFont="1" applyFill="1" applyBorder="1" applyAlignment="1">
      <alignment vertical="center"/>
    </xf>
    <xf numFmtId="0" fontId="49" fillId="0" borderId="0" xfId="3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170" fontId="3" fillId="0" borderId="0" xfId="1" applyNumberFormat="1" applyFont="1" applyFill="1" applyBorder="1" applyAlignment="1">
      <alignment vertical="center"/>
    </xf>
    <xf numFmtId="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70" fontId="50" fillId="0" borderId="0" xfId="1" applyNumberFormat="1" applyFont="1" applyFill="1" applyBorder="1"/>
    <xf numFmtId="43" fontId="50" fillId="0" borderId="0" xfId="1" applyFont="1" applyFill="1" applyBorder="1"/>
    <xf numFmtId="10" fontId="3" fillId="0" borderId="0" xfId="4" applyNumberFormat="1" applyFont="1" applyFill="1" applyBorder="1" applyAlignment="1">
      <alignment vertical="center"/>
    </xf>
    <xf numFmtId="43" fontId="3" fillId="0" borderId="0" xfId="1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9" fontId="3" fillId="0" borderId="0" xfId="4" applyFont="1" applyFill="1" applyBorder="1" applyAlignment="1">
      <alignment horizontal="center" vertical="center"/>
    </xf>
    <xf numFmtId="170" fontId="3" fillId="0" borderId="0" xfId="0" applyNumberFormat="1" applyFont="1" applyFill="1" applyBorder="1" applyAlignment="1">
      <alignment vertical="center"/>
    </xf>
    <xf numFmtId="10" fontId="3" fillId="0" borderId="0" xfId="0" applyNumberFormat="1" applyFont="1" applyFill="1" applyBorder="1" applyAlignment="1">
      <alignment horizontal="center" vertical="center"/>
    </xf>
    <xf numFmtId="9" fontId="3" fillId="0" borderId="0" xfId="4" applyFont="1" applyFill="1" applyBorder="1" applyAlignment="1">
      <alignment horizontal="right"/>
    </xf>
    <xf numFmtId="43" fontId="3" fillId="0" borderId="0" xfId="1" applyFont="1" applyFill="1" applyBorder="1"/>
    <xf numFmtId="170" fontId="3" fillId="0" borderId="0" xfId="1" applyNumberFormat="1" applyFont="1" applyFill="1" applyBorder="1" applyAlignment="1">
      <alignment horizontal="center" vertical="center"/>
    </xf>
    <xf numFmtId="43" fontId="3" fillId="0" borderId="0" xfId="1" applyFont="1" applyFill="1" applyBorder="1" applyAlignment="1">
      <alignment horizontal="center" vertical="center"/>
    </xf>
    <xf numFmtId="4" fontId="3" fillId="0" borderId="0" xfId="4" applyNumberFormat="1" applyFont="1" applyFill="1" applyBorder="1" applyAlignment="1">
      <alignment horizontal="right"/>
    </xf>
    <xf numFmtId="0" fontId="3" fillId="0" borderId="0" xfId="0" applyFont="1" applyFill="1" applyBorder="1"/>
    <xf numFmtId="0" fontId="5" fillId="0" borderId="0" xfId="0" applyFont="1" applyFill="1" applyBorder="1" applyAlignment="1" applyProtection="1">
      <alignment horizontal="left" vertical="center"/>
    </xf>
    <xf numFmtId="2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left" vertical="center"/>
    </xf>
    <xf numFmtId="9" fontId="3" fillId="0" borderId="0" xfId="0" applyNumberFormat="1" applyFont="1" applyFill="1" applyBorder="1" applyAlignment="1">
      <alignment horizontal="right" vertical="center"/>
    </xf>
    <xf numFmtId="3" fontId="3" fillId="0" borderId="0" xfId="0" applyNumberFormat="1" applyFont="1" applyFill="1" applyBorder="1" applyAlignment="1">
      <alignment horizontal="right" vertical="center"/>
    </xf>
    <xf numFmtId="4" fontId="3" fillId="0" borderId="0" xfId="0" applyNumberFormat="1" applyFont="1" applyFill="1" applyBorder="1"/>
    <xf numFmtId="0" fontId="3" fillId="0" borderId="0" xfId="0" applyFont="1" applyFill="1" applyBorder="1" applyAlignment="1" applyProtection="1">
      <alignment horizontal="centerContinuous" vertical="center"/>
    </xf>
    <xf numFmtId="43" fontId="5" fillId="0" borderId="0" xfId="0" applyNumberFormat="1" applyFont="1" applyFill="1" applyBorder="1" applyAlignment="1" applyProtection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4" fontId="3" fillId="5" borderId="0" xfId="0" applyNumberFormat="1" applyFont="1" applyFill="1" applyBorder="1" applyAlignment="1">
      <alignment horizontal="center" vertical="center"/>
    </xf>
    <xf numFmtId="4" fontId="3" fillId="0" borderId="15" xfId="0" applyNumberFormat="1" applyFont="1" applyFill="1" applyBorder="1" applyAlignment="1">
      <alignment horizontal="center" vertical="center"/>
    </xf>
    <xf numFmtId="170" fontId="3" fillId="5" borderId="24" xfId="1" applyNumberFormat="1" applyFont="1" applyFill="1" applyBorder="1" applyAlignment="1">
      <alignment vertical="center"/>
    </xf>
    <xf numFmtId="4" fontId="3" fillId="5" borderId="15" xfId="0" applyNumberFormat="1" applyFont="1" applyFill="1" applyBorder="1" applyAlignment="1">
      <alignment horizontal="center" vertical="center"/>
    </xf>
    <xf numFmtId="4" fontId="3" fillId="5" borderId="26" xfId="0" applyNumberFormat="1" applyFont="1" applyFill="1" applyBorder="1" applyAlignment="1">
      <alignment horizontal="center" vertical="center"/>
    </xf>
    <xf numFmtId="9" fontId="3" fillId="0" borderId="24" xfId="1" applyNumberFormat="1" applyFont="1" applyFill="1" applyBorder="1" applyAlignment="1">
      <alignment vertical="center"/>
    </xf>
    <xf numFmtId="9" fontId="3" fillId="5" borderId="25" xfId="1" applyNumberFormat="1" applyFont="1" applyFill="1" applyBorder="1" applyAlignment="1">
      <alignment vertical="center"/>
    </xf>
    <xf numFmtId="9" fontId="3" fillId="0" borderId="24" xfId="1" applyNumberFormat="1" applyFont="1" applyFill="1" applyBorder="1" applyAlignment="1">
      <alignment horizontal="center" vertical="center"/>
    </xf>
    <xf numFmtId="9" fontId="3" fillId="5" borderId="24" xfId="1" applyNumberFormat="1" applyFont="1" applyFill="1" applyBorder="1" applyAlignment="1">
      <alignment horizontal="center" vertical="center"/>
    </xf>
    <xf numFmtId="9" fontId="3" fillId="5" borderId="25" xfId="1" applyNumberFormat="1" applyFont="1" applyFill="1" applyBorder="1" applyAlignment="1">
      <alignment horizontal="center" vertical="center"/>
    </xf>
    <xf numFmtId="0" fontId="3" fillId="0" borderId="24" xfId="1" applyNumberFormat="1" applyFont="1" applyFill="1" applyBorder="1" applyAlignment="1">
      <alignment horizontal="center" vertical="center"/>
    </xf>
    <xf numFmtId="0" fontId="3" fillId="5" borderId="24" xfId="1" applyNumberFormat="1" applyFont="1" applyFill="1" applyBorder="1" applyAlignment="1">
      <alignment horizontal="center" vertical="center"/>
    </xf>
    <xf numFmtId="3" fontId="3" fillId="0" borderId="24" xfId="1" applyNumberFormat="1" applyFont="1" applyFill="1" applyBorder="1" applyAlignment="1">
      <alignment horizontal="center" vertical="center"/>
    </xf>
    <xf numFmtId="3" fontId="3" fillId="5" borderId="24" xfId="1" applyNumberFormat="1" applyFont="1" applyFill="1" applyBorder="1" applyAlignment="1">
      <alignment horizontal="center" vertical="center"/>
    </xf>
    <xf numFmtId="4" fontId="3" fillId="0" borderId="26" xfId="0" applyNumberFormat="1" applyFont="1" applyFill="1" applyBorder="1" applyAlignment="1">
      <alignment horizontal="center" vertical="center"/>
    </xf>
    <xf numFmtId="168" fontId="3" fillId="0" borderId="15" xfId="0" applyNumberFormat="1" applyFont="1" applyFill="1" applyBorder="1" applyAlignment="1">
      <alignment horizontal="center" vertical="center"/>
    </xf>
    <xf numFmtId="168" fontId="3" fillId="5" borderId="15" xfId="0" applyNumberFormat="1" applyFont="1" applyFill="1" applyBorder="1" applyAlignment="1">
      <alignment horizontal="center" vertical="center"/>
    </xf>
    <xf numFmtId="9" fontId="3" fillId="0" borderId="13" xfId="1" applyNumberFormat="1" applyFont="1" applyFill="1" applyBorder="1" applyAlignment="1">
      <alignment vertical="center"/>
    </xf>
    <xf numFmtId="9" fontId="3" fillId="5" borderId="14" xfId="1" applyNumberFormat="1" applyFont="1" applyFill="1" applyBorder="1" applyAlignment="1">
      <alignment vertical="center"/>
    </xf>
    <xf numFmtId="4" fontId="3" fillId="0" borderId="11" xfId="0" applyNumberFormat="1" applyFont="1" applyFill="1" applyBorder="1" applyAlignment="1">
      <alignment horizontal="center" vertical="center"/>
    </xf>
    <xf numFmtId="0" fontId="7" fillId="0" borderId="0" xfId="0" applyFont="1" applyFill="1" applyAlignment="1" applyProtection="1"/>
    <xf numFmtId="0" fontId="18" fillId="0" borderId="0" xfId="0" applyFont="1" applyFill="1" applyBorder="1" applyAlignment="1" applyProtection="1">
      <alignment horizontal="center" vertical="center"/>
    </xf>
    <xf numFmtId="168" fontId="3" fillId="5" borderId="26" xfId="0" applyNumberFormat="1" applyFont="1" applyFill="1" applyBorder="1" applyAlignment="1">
      <alignment horizontal="center" vertical="center"/>
    </xf>
    <xf numFmtId="43" fontId="31" fillId="5" borderId="0" xfId="1" applyFont="1" applyFill="1" applyBorder="1" applyAlignment="1" applyProtection="1">
      <alignment horizontal="center" vertical="center"/>
      <protection locked="0"/>
    </xf>
    <xf numFmtId="6" fontId="31" fillId="5" borderId="0" xfId="1" applyNumberFormat="1" applyFont="1" applyFill="1" applyBorder="1" applyAlignment="1" applyProtection="1">
      <alignment horizontal="center" vertical="center"/>
      <protection locked="0"/>
    </xf>
    <xf numFmtId="6" fontId="31" fillId="5" borderId="0" xfId="2" applyNumberFormat="1" applyFont="1" applyFill="1" applyBorder="1" applyAlignment="1" applyProtection="1">
      <alignment horizontal="center" vertical="center"/>
      <protection locked="0"/>
    </xf>
    <xf numFmtId="9" fontId="31" fillId="5" borderId="0" xfId="4" applyFont="1" applyFill="1" applyBorder="1" applyAlignment="1" applyProtection="1">
      <alignment horizontal="center" vertical="center"/>
      <protection locked="0"/>
    </xf>
    <xf numFmtId="176" fontId="31" fillId="5" borderId="0" xfId="2" applyNumberFormat="1" applyFont="1" applyFill="1" applyBorder="1" applyAlignment="1" applyProtection="1">
      <alignment horizontal="center" vertical="center"/>
      <protection locked="0"/>
    </xf>
    <xf numFmtId="6" fontId="3" fillId="5" borderId="8" xfId="1" applyNumberFormat="1" applyFont="1" applyFill="1" applyBorder="1" applyAlignment="1">
      <alignment horizontal="center" vertical="center"/>
    </xf>
    <xf numFmtId="3" fontId="3" fillId="0" borderId="8" xfId="1" applyNumberFormat="1" applyFont="1" applyFill="1" applyBorder="1" applyAlignment="1">
      <alignment horizontal="center" vertical="center"/>
    </xf>
    <xf numFmtId="6" fontId="3" fillId="0" borderId="8" xfId="1" applyNumberFormat="1" applyFont="1" applyFill="1" applyBorder="1" applyAlignment="1">
      <alignment horizontal="center" vertical="center"/>
    </xf>
    <xf numFmtId="10" fontId="3" fillId="5" borderId="0" xfId="4" applyNumberFormat="1" applyFont="1" applyFill="1" applyBorder="1" applyAlignment="1">
      <alignment vertical="center"/>
    </xf>
    <xf numFmtId="0" fontId="3" fillId="5" borderId="0" xfId="0" applyFont="1" applyFill="1" applyBorder="1" applyAlignment="1" applyProtection="1">
      <alignment horizontal="left" vertical="center"/>
    </xf>
    <xf numFmtId="0" fontId="3" fillId="0" borderId="24" xfId="0" applyFont="1" applyFill="1" applyBorder="1" applyAlignment="1">
      <alignment vertical="center"/>
    </xf>
    <xf numFmtId="43" fontId="3" fillId="0" borderId="15" xfId="1" applyFont="1" applyFill="1" applyBorder="1" applyAlignment="1">
      <alignment vertical="center"/>
    </xf>
    <xf numFmtId="0" fontId="3" fillId="5" borderId="24" xfId="0" applyFont="1" applyFill="1" applyBorder="1" applyAlignment="1">
      <alignment vertical="center"/>
    </xf>
    <xf numFmtId="43" fontId="3" fillId="5" borderId="15" xfId="1" applyFont="1" applyFill="1" applyBorder="1" applyAlignment="1">
      <alignment vertical="center"/>
    </xf>
    <xf numFmtId="0" fontId="3" fillId="0" borderId="25" xfId="0" applyFont="1" applyFill="1" applyBorder="1" applyAlignment="1">
      <alignment vertical="center"/>
    </xf>
    <xf numFmtId="10" fontId="3" fillId="0" borderId="11" xfId="4" applyNumberFormat="1" applyFont="1" applyFill="1" applyBorder="1" applyAlignment="1">
      <alignment vertical="center"/>
    </xf>
    <xf numFmtId="43" fontId="3" fillId="0" borderId="26" xfId="1" applyFont="1" applyFill="1" applyBorder="1" applyAlignment="1">
      <alignment vertical="center"/>
    </xf>
    <xf numFmtId="0" fontId="3" fillId="0" borderId="24" xfId="0" applyFont="1" applyFill="1" applyBorder="1" applyAlignment="1" applyProtection="1">
      <alignment horizontal="left" vertical="center"/>
    </xf>
    <xf numFmtId="0" fontId="3" fillId="5" borderId="24" xfId="0" applyFont="1" applyFill="1" applyBorder="1" applyAlignment="1" applyProtection="1">
      <alignment horizontal="left" vertical="center"/>
    </xf>
    <xf numFmtId="0" fontId="3" fillId="5" borderId="25" xfId="0" applyFont="1" applyFill="1" applyBorder="1" applyAlignment="1">
      <alignment vertical="center"/>
    </xf>
    <xf numFmtId="8" fontId="3" fillId="0" borderId="26" xfId="4" applyNumberFormat="1" applyFont="1" applyFill="1" applyBorder="1" applyAlignment="1">
      <alignment vertical="center"/>
    </xf>
    <xf numFmtId="8" fontId="3" fillId="5" borderId="26" xfId="4" applyNumberFormat="1" applyFont="1" applyFill="1" applyBorder="1" applyAlignment="1">
      <alignment vertical="center"/>
    </xf>
    <xf numFmtId="8" fontId="3" fillId="0" borderId="15" xfId="4" applyNumberFormat="1" applyFont="1" applyFill="1" applyBorder="1" applyAlignment="1">
      <alignment vertical="center"/>
    </xf>
    <xf numFmtId="8" fontId="3" fillId="5" borderId="0" xfId="0" applyNumberFormat="1" applyFont="1" applyFill="1" applyBorder="1" applyProtection="1"/>
    <xf numFmtId="8" fontId="3" fillId="0" borderId="0" xfId="0" applyNumberFormat="1" applyFont="1" applyFill="1" applyBorder="1" applyAlignment="1">
      <alignment vertical="center"/>
    </xf>
    <xf numFmtId="4" fontId="3" fillId="0" borderId="0" xfId="4" applyNumberFormat="1" applyFont="1" applyFill="1" applyBorder="1" applyAlignment="1">
      <alignment horizontal="right" vertical="center"/>
    </xf>
    <xf numFmtId="8" fontId="3" fillId="0" borderId="0" xfId="4" applyNumberFormat="1" applyFont="1" applyFill="1" applyBorder="1" applyAlignment="1">
      <alignment vertical="center"/>
    </xf>
    <xf numFmtId="8" fontId="3" fillId="5" borderId="0" xfId="4" applyNumberFormat="1" applyFont="1" applyFill="1" applyBorder="1" applyAlignment="1">
      <alignment vertical="center"/>
    </xf>
    <xf numFmtId="8" fontId="3" fillId="5" borderId="11" xfId="4" applyNumberFormat="1" applyFont="1" applyFill="1" applyBorder="1" applyAlignment="1">
      <alignment vertical="center"/>
    </xf>
    <xf numFmtId="43" fontId="3" fillId="5" borderId="26" xfId="1" applyFont="1" applyFill="1" applyBorder="1" applyAlignment="1">
      <alignment vertical="center"/>
    </xf>
    <xf numFmtId="8" fontId="3" fillId="5" borderId="0" xfId="0" applyNumberFormat="1" applyFont="1" applyFill="1" applyBorder="1" applyAlignment="1">
      <alignment vertical="center"/>
    </xf>
    <xf numFmtId="8" fontId="21" fillId="0" borderId="9" xfId="0" applyNumberFormat="1" applyFont="1" applyBorder="1" applyAlignment="1">
      <alignment horizontal="center" vertical="center"/>
    </xf>
    <xf numFmtId="4" fontId="5" fillId="0" borderId="0" xfId="0" applyNumberFormat="1" applyFont="1" applyFill="1" applyBorder="1" applyAlignment="1">
      <alignment horizontal="left" vertical="center"/>
    </xf>
    <xf numFmtId="4" fontId="3" fillId="0" borderId="24" xfId="0" applyNumberFormat="1" applyFont="1" applyFill="1" applyBorder="1" applyAlignment="1">
      <alignment horizontal="left" vertical="center"/>
    </xf>
    <xf numFmtId="4" fontId="3" fillId="0" borderId="25" xfId="0" applyNumberFormat="1" applyFont="1" applyFill="1" applyBorder="1" applyAlignment="1">
      <alignment horizontal="left" vertical="center"/>
    </xf>
    <xf numFmtId="4" fontId="3" fillId="5" borderId="24" xfId="0" applyNumberFormat="1" applyFont="1" applyFill="1" applyBorder="1" applyAlignment="1">
      <alignment horizontal="left" vertical="center"/>
    </xf>
    <xf numFmtId="8" fontId="3" fillId="5" borderId="15" xfId="4" applyNumberFormat="1" applyFont="1" applyFill="1" applyBorder="1" applyAlignment="1">
      <alignment vertical="center"/>
    </xf>
    <xf numFmtId="8" fontId="3" fillId="5" borderId="11" xfId="0" applyNumberFormat="1" applyFont="1" applyFill="1" applyBorder="1" applyAlignment="1">
      <alignment vertical="center"/>
    </xf>
    <xf numFmtId="0" fontId="4" fillId="0" borderId="0" xfId="0" applyFont="1" applyFill="1" applyAlignment="1" applyProtection="1">
      <alignment horizontal="center" vertical="center"/>
    </xf>
    <xf numFmtId="175" fontId="4" fillId="0" borderId="0" xfId="0" applyNumberFormat="1" applyFont="1" applyFill="1" applyBorder="1" applyAlignment="1" applyProtection="1">
      <alignment horizontal="left" vertical="center"/>
    </xf>
    <xf numFmtId="43" fontId="3" fillId="5" borderId="0" xfId="1" applyFont="1" applyFill="1" applyBorder="1" applyAlignment="1">
      <alignment vertical="center"/>
    </xf>
    <xf numFmtId="43" fontId="3" fillId="5" borderId="11" xfId="1" applyFont="1" applyFill="1" applyBorder="1" applyAlignment="1">
      <alignment vertical="center"/>
    </xf>
    <xf numFmtId="0" fontId="5" fillId="0" borderId="22" xfId="0" applyFont="1" applyFill="1" applyBorder="1" applyAlignment="1">
      <alignment vertical="center"/>
    </xf>
    <xf numFmtId="0" fontId="3" fillId="0" borderId="10" xfId="0" applyFont="1" applyFill="1" applyBorder="1" applyAlignment="1">
      <alignment vertical="center"/>
    </xf>
    <xf numFmtId="0" fontId="3" fillId="0" borderId="23" xfId="0" applyFont="1" applyFill="1" applyBorder="1" applyAlignment="1">
      <alignment vertical="center"/>
    </xf>
    <xf numFmtId="8" fontId="3" fillId="0" borderId="24" xfId="4" applyNumberFormat="1" applyFont="1" applyFill="1" applyBorder="1" applyAlignment="1">
      <alignment vertical="center"/>
    </xf>
    <xf numFmtId="8" fontId="3" fillId="5" borderId="24" xfId="4" applyNumberFormat="1" applyFont="1" applyFill="1" applyBorder="1" applyAlignment="1">
      <alignment vertical="center"/>
    </xf>
    <xf numFmtId="8" fontId="3" fillId="5" borderId="25" xfId="4" applyNumberFormat="1" applyFont="1" applyFill="1" applyBorder="1" applyAlignment="1">
      <alignment vertical="center"/>
    </xf>
    <xf numFmtId="0" fontId="9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horizontal="left" vertical="center"/>
    </xf>
    <xf numFmtId="0" fontId="35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left" wrapText="1"/>
    </xf>
    <xf numFmtId="0" fontId="10" fillId="4" borderId="0" xfId="0" applyFont="1" applyFill="1" applyProtection="1"/>
    <xf numFmtId="177" fontId="7" fillId="3" borderId="0" xfId="0" applyNumberFormat="1" applyFont="1" applyFill="1" applyAlignment="1" applyProtection="1">
      <alignment vertical="center"/>
    </xf>
    <xf numFmtId="0" fontId="52" fillId="3" borderId="0" xfId="0" applyFont="1" applyFill="1" applyAlignment="1" applyProtection="1">
      <alignment vertical="top"/>
    </xf>
    <xf numFmtId="0" fontId="18" fillId="7" borderId="27" xfId="0" applyFont="1" applyFill="1" applyBorder="1" applyAlignment="1" applyProtection="1">
      <alignment horizontal="center" vertical="center" wrapText="1"/>
    </xf>
    <xf numFmtId="0" fontId="6" fillId="3" borderId="33" xfId="0" applyFont="1" applyFill="1" applyBorder="1" applyAlignment="1" applyProtection="1">
      <alignment vertical="center"/>
      <protection locked="0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3" fillId="8" borderId="0" xfId="0" applyFont="1" applyFill="1" applyBorder="1" applyAlignment="1">
      <alignment vertical="center"/>
    </xf>
    <xf numFmtId="0" fontId="28" fillId="7" borderId="22" xfId="0" applyFont="1" applyFill="1" applyBorder="1" applyAlignment="1">
      <alignment horizontal="center" vertical="center"/>
    </xf>
    <xf numFmtId="0" fontId="28" fillId="7" borderId="10" xfId="0" applyFont="1" applyFill="1" applyBorder="1" applyAlignment="1">
      <alignment horizontal="center" vertical="center"/>
    </xf>
    <xf numFmtId="0" fontId="28" fillId="7" borderId="23" xfId="0" applyFont="1" applyFill="1" applyBorder="1" applyAlignment="1">
      <alignment horizontal="center" vertical="center"/>
    </xf>
    <xf numFmtId="0" fontId="28" fillId="7" borderId="8" xfId="0" applyFont="1" applyFill="1" applyBorder="1" applyAlignment="1">
      <alignment horizontal="center" vertical="center"/>
    </xf>
    <xf numFmtId="0" fontId="28" fillId="7" borderId="6" xfId="0" applyFont="1" applyFill="1" applyBorder="1" applyAlignment="1">
      <alignment horizontal="center" vertical="center"/>
    </xf>
    <xf numFmtId="0" fontId="28" fillId="7" borderId="7" xfId="0" applyFont="1" applyFill="1" applyBorder="1" applyAlignment="1">
      <alignment horizontal="center" vertical="center"/>
    </xf>
    <xf numFmtId="0" fontId="28" fillId="7" borderId="12" xfId="0" applyFont="1" applyFill="1" applyBorder="1" applyAlignment="1">
      <alignment horizontal="center" vertical="center"/>
    </xf>
    <xf numFmtId="0" fontId="28" fillId="7" borderId="22" xfId="0" applyFont="1" applyFill="1" applyBorder="1" applyAlignment="1">
      <alignment horizontal="left" vertical="center"/>
    </xf>
    <xf numFmtId="0" fontId="28" fillId="7" borderId="0" xfId="0" applyFont="1" applyFill="1" applyBorder="1" applyAlignment="1">
      <alignment horizontal="center" vertical="center"/>
    </xf>
    <xf numFmtId="0" fontId="28" fillId="7" borderId="22" xfId="0" applyFont="1" applyFill="1" applyBorder="1" applyAlignment="1">
      <alignment vertical="center"/>
    </xf>
    <xf numFmtId="0" fontId="28" fillId="7" borderId="23" xfId="0" applyFont="1" applyFill="1" applyBorder="1" applyAlignment="1">
      <alignment vertical="center"/>
    </xf>
    <xf numFmtId="0" fontId="28" fillId="7" borderId="0" xfId="0" applyFont="1" applyFill="1" applyBorder="1" applyAlignment="1">
      <alignment vertical="center"/>
    </xf>
    <xf numFmtId="0" fontId="51" fillId="7" borderId="0" xfId="0" applyFont="1" applyFill="1" applyAlignment="1">
      <alignment horizontal="center" vertical="center"/>
    </xf>
    <xf numFmtId="0" fontId="6" fillId="0" borderId="0" xfId="0" quotePrefix="1" applyFont="1" applyFill="1" applyAlignment="1" applyProtection="1">
      <alignment horizontal="right" vertical="center"/>
    </xf>
    <xf numFmtId="0" fontId="6" fillId="3" borderId="33" xfId="0" applyFont="1" applyFill="1" applyBorder="1" applyAlignment="1" applyProtection="1">
      <alignment horizontal="left"/>
    </xf>
    <xf numFmtId="165" fontId="7" fillId="3" borderId="33" xfId="2" applyNumberFormat="1" applyFont="1" applyFill="1" applyBorder="1" applyAlignment="1" applyProtection="1">
      <alignment vertical="center"/>
    </xf>
    <xf numFmtId="44" fontId="7" fillId="3" borderId="33" xfId="2" applyFont="1" applyFill="1" applyBorder="1" applyAlignment="1" applyProtection="1">
      <alignment horizontal="right" vertical="center"/>
    </xf>
    <xf numFmtId="44" fontId="7" fillId="3" borderId="33" xfId="2" applyFont="1" applyFill="1" applyBorder="1" applyAlignment="1" applyProtection="1">
      <alignment vertical="center"/>
    </xf>
    <xf numFmtId="0" fontId="27" fillId="3" borderId="33" xfId="0" applyFont="1" applyFill="1" applyBorder="1" applyAlignment="1" applyProtection="1">
      <alignment horizontal="left"/>
    </xf>
    <xf numFmtId="0" fontId="3" fillId="9" borderId="0" xfId="0" applyFont="1" applyFill="1" applyBorder="1" applyAlignment="1">
      <alignment vertical="center"/>
    </xf>
    <xf numFmtId="0" fontId="3" fillId="0" borderId="25" xfId="1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left" vertical="center"/>
    </xf>
    <xf numFmtId="0" fontId="5" fillId="8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70" fontId="3" fillId="0" borderId="0" xfId="1" applyNumberFormat="1" applyFont="1" applyFill="1" applyBorder="1" applyAlignment="1" applyProtection="1">
      <alignment vertical="center"/>
    </xf>
    <xf numFmtId="0" fontId="3" fillId="0" borderId="0" xfId="0" applyFont="1" applyFill="1" applyBorder="1" applyAlignment="1">
      <alignment horizontal="left" vertical="center"/>
    </xf>
    <xf numFmtId="0" fontId="0" fillId="9" borderId="0" xfId="0" applyFill="1"/>
    <xf numFmtId="0" fontId="10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left" vertical="center"/>
    </xf>
    <xf numFmtId="0" fontId="10" fillId="4" borderId="0" xfId="0" applyFont="1" applyFill="1" applyBorder="1" applyAlignment="1" applyProtection="1">
      <alignment horizontal="center" vertical="center"/>
    </xf>
    <xf numFmtId="0" fontId="28" fillId="7" borderId="8" xfId="0" applyFont="1" applyFill="1" applyBorder="1" applyAlignment="1" applyProtection="1">
      <alignment horizontal="left" vertical="center"/>
    </xf>
    <xf numFmtId="0" fontId="3" fillId="4" borderId="8" xfId="0" applyFont="1" applyFill="1" applyBorder="1" applyAlignment="1" applyProtection="1">
      <alignment horizontal="left" vertical="center"/>
    </xf>
    <xf numFmtId="0" fontId="3" fillId="5" borderId="8" xfId="0" applyFont="1" applyFill="1" applyBorder="1" applyAlignment="1" applyProtection="1">
      <alignment horizontal="left" vertical="center"/>
    </xf>
    <xf numFmtId="9" fontId="3" fillId="4" borderId="24" xfId="1" applyNumberFormat="1" applyFont="1" applyFill="1" applyBorder="1" applyAlignment="1">
      <alignment horizontal="center" vertical="center"/>
    </xf>
    <xf numFmtId="9" fontId="3" fillId="4" borderId="25" xfId="1" applyNumberFormat="1" applyFont="1" applyFill="1" applyBorder="1" applyAlignment="1">
      <alignment horizontal="center" vertical="center"/>
    </xf>
    <xf numFmtId="3" fontId="3" fillId="5" borderId="25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168" fontId="3" fillId="0" borderId="0" xfId="0" applyNumberFormat="1" applyFont="1" applyFill="1" applyBorder="1" applyAlignment="1">
      <alignment horizontal="center" vertical="center"/>
    </xf>
    <xf numFmtId="168" fontId="3" fillId="5" borderId="0" xfId="0" applyNumberFormat="1" applyFont="1" applyFill="1" applyBorder="1" applyAlignment="1">
      <alignment horizontal="center" vertical="center"/>
    </xf>
    <xf numFmtId="170" fontId="3" fillId="0" borderId="24" xfId="1" applyNumberFormat="1" applyFont="1" applyFill="1" applyBorder="1" applyAlignment="1">
      <alignment vertical="center"/>
    </xf>
    <xf numFmtId="170" fontId="3" fillId="0" borderId="25" xfId="1" applyNumberFormat="1" applyFont="1" applyFill="1" applyBorder="1" applyAlignment="1">
      <alignment vertical="center"/>
    </xf>
    <xf numFmtId="168" fontId="3" fillId="0" borderId="11" xfId="0" applyNumberFormat="1" applyFont="1" applyFill="1" applyBorder="1" applyAlignment="1">
      <alignment horizontal="center" vertical="center"/>
    </xf>
    <xf numFmtId="168" fontId="3" fillId="0" borderId="26" xfId="0" applyNumberFormat="1" applyFont="1" applyFill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3" fontId="60" fillId="0" borderId="24" xfId="0" applyNumberFormat="1" applyFont="1" applyBorder="1" applyAlignment="1">
      <alignment horizontal="center" vertical="center"/>
    </xf>
    <xf numFmtId="0" fontId="28" fillId="7" borderId="34" xfId="0" applyFont="1" applyFill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170" fontId="61" fillId="0" borderId="7" xfId="1" applyNumberFormat="1" applyFont="1" applyBorder="1" applyAlignment="1">
      <alignment horizontal="center" vertical="center"/>
    </xf>
    <xf numFmtId="39" fontId="5" fillId="0" borderId="34" xfId="0" applyNumberFormat="1" applyFont="1" applyFill="1" applyBorder="1" applyAlignment="1" applyProtection="1">
      <alignment vertical="center"/>
    </xf>
    <xf numFmtId="3" fontId="60" fillId="5" borderId="24" xfId="0" applyNumberFormat="1" applyFont="1" applyFill="1" applyBorder="1" applyAlignment="1">
      <alignment horizontal="center" vertical="center"/>
    </xf>
    <xf numFmtId="0" fontId="52" fillId="3" borderId="0" xfId="0" applyFont="1" applyFill="1" applyAlignment="1" applyProtection="1">
      <alignment horizontal="left" vertical="top"/>
    </xf>
    <xf numFmtId="0" fontId="3" fillId="5" borderId="25" xfId="1" applyNumberFormat="1" applyFont="1" applyFill="1" applyBorder="1" applyAlignment="1">
      <alignment horizontal="center" vertical="center"/>
    </xf>
    <xf numFmtId="0" fontId="3" fillId="5" borderId="25" xfId="0" applyFont="1" applyFill="1" applyBorder="1" applyAlignment="1" applyProtection="1">
      <alignment horizontal="left" vertical="center"/>
    </xf>
    <xf numFmtId="0" fontId="28" fillId="7" borderId="12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5" borderId="14" xfId="0" applyFont="1" applyFill="1" applyBorder="1" applyAlignment="1">
      <alignment vertical="center"/>
    </xf>
    <xf numFmtId="9" fontId="3" fillId="0" borderId="0" xfId="0" applyNumberFormat="1" applyFont="1" applyFill="1" applyBorder="1" applyAlignment="1" applyProtection="1">
      <alignment vertical="center"/>
    </xf>
    <xf numFmtId="9" fontId="3" fillId="4" borderId="0" xfId="1" applyNumberFormat="1" applyFont="1" applyFill="1" applyBorder="1" applyAlignment="1">
      <alignment horizontal="left" vertical="center"/>
    </xf>
    <xf numFmtId="9" fontId="3" fillId="5" borderId="0" xfId="1" applyNumberFormat="1" applyFont="1" applyFill="1" applyBorder="1" applyAlignment="1">
      <alignment horizontal="left" vertical="center"/>
    </xf>
    <xf numFmtId="0" fontId="62" fillId="7" borderId="39" xfId="0" applyFont="1" applyFill="1" applyBorder="1" applyAlignment="1">
      <alignment horizontal="center" vertical="center"/>
    </xf>
    <xf numFmtId="0" fontId="62" fillId="7" borderId="40" xfId="0" applyFont="1" applyFill="1" applyBorder="1" applyAlignment="1">
      <alignment horizontal="center" vertical="center"/>
    </xf>
    <xf numFmtId="0" fontId="62" fillId="7" borderId="41" xfId="0" applyFont="1" applyFill="1" applyBorder="1" applyAlignment="1">
      <alignment horizontal="center" vertical="center"/>
    </xf>
    <xf numFmtId="9" fontId="3" fillId="4" borderId="36" xfId="1" applyNumberFormat="1" applyFont="1" applyFill="1" applyBorder="1" applyAlignment="1">
      <alignment horizontal="left" vertical="center"/>
    </xf>
    <xf numFmtId="0" fontId="63" fillId="0" borderId="37" xfId="0" applyFont="1" applyBorder="1" applyAlignment="1">
      <alignment horizontal="center" vertical="center"/>
    </xf>
    <xf numFmtId="9" fontId="3" fillId="4" borderId="42" xfId="1" applyNumberFormat="1" applyFont="1" applyFill="1" applyBorder="1" applyAlignment="1">
      <alignment horizontal="left" vertical="center"/>
    </xf>
    <xf numFmtId="9" fontId="3" fillId="4" borderId="38" xfId="1" applyNumberFormat="1" applyFont="1" applyFill="1" applyBorder="1" applyAlignment="1">
      <alignment horizontal="left" vertical="center"/>
    </xf>
    <xf numFmtId="0" fontId="63" fillId="4" borderId="35" xfId="0" applyFont="1" applyFill="1" applyBorder="1" applyAlignment="1">
      <alignment horizontal="center" vertical="center"/>
    </xf>
    <xf numFmtId="0" fontId="63" fillId="5" borderId="35" xfId="0" applyFont="1" applyFill="1" applyBorder="1" applyAlignment="1">
      <alignment horizontal="center" vertical="center"/>
    </xf>
    <xf numFmtId="9" fontId="3" fillId="5" borderId="36" xfId="1" applyNumberFormat="1" applyFont="1" applyFill="1" applyBorder="1" applyAlignment="1">
      <alignment horizontal="left" vertical="center"/>
    </xf>
    <xf numFmtId="4" fontId="3" fillId="0" borderId="15" xfId="4" applyNumberFormat="1" applyFont="1" applyFill="1" applyBorder="1" applyAlignment="1">
      <alignment vertical="center"/>
    </xf>
    <xf numFmtId="4" fontId="3" fillId="5" borderId="26" xfId="4" applyNumberFormat="1" applyFont="1" applyFill="1" applyBorder="1" applyAlignment="1">
      <alignment vertical="center"/>
    </xf>
    <xf numFmtId="8" fontId="3" fillId="0" borderId="8" xfId="2" applyNumberFormat="1" applyFont="1" applyFill="1" applyBorder="1" applyAlignment="1">
      <alignment horizontal="center" vertical="center"/>
    </xf>
    <xf numFmtId="8" fontId="3" fillId="5" borderId="8" xfId="2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0" fontId="28" fillId="7" borderId="43" xfId="6" applyFont="1" applyFill="1" applyBorder="1" applyAlignment="1">
      <alignment horizontal="center" vertical="center"/>
    </xf>
    <xf numFmtId="0" fontId="28" fillId="7" borderId="44" xfId="6" applyFont="1" applyFill="1" applyBorder="1" applyAlignment="1">
      <alignment horizontal="center" vertical="center"/>
    </xf>
    <xf numFmtId="9" fontId="3" fillId="5" borderId="45" xfId="7" applyNumberFormat="1" applyFont="1" applyFill="1" applyBorder="1" applyAlignment="1">
      <alignment vertical="center"/>
    </xf>
    <xf numFmtId="4" fontId="3" fillId="5" borderId="46" xfId="6" applyNumberFormat="1" applyFont="1" applyFill="1" applyBorder="1" applyAlignment="1">
      <alignment horizontal="center" vertical="center"/>
    </xf>
    <xf numFmtId="9" fontId="3" fillId="4" borderId="35" xfId="7" applyNumberFormat="1" applyFont="1" applyFill="1" applyBorder="1" applyAlignment="1">
      <alignment vertical="center"/>
    </xf>
    <xf numFmtId="4" fontId="3" fillId="4" borderId="36" xfId="6" applyNumberFormat="1" applyFont="1" applyFill="1" applyBorder="1" applyAlignment="1">
      <alignment horizontal="center" vertical="center"/>
    </xf>
    <xf numFmtId="9" fontId="3" fillId="5" borderId="35" xfId="7" applyNumberFormat="1" applyFont="1" applyFill="1" applyBorder="1" applyAlignment="1">
      <alignment vertical="center"/>
    </xf>
    <xf numFmtId="4" fontId="3" fillId="5" borderId="36" xfId="6" applyNumberFormat="1" applyFont="1" applyFill="1" applyBorder="1" applyAlignment="1">
      <alignment horizontal="center" vertical="center"/>
    </xf>
    <xf numFmtId="9" fontId="3" fillId="4" borderId="37" xfId="7" applyNumberFormat="1" applyFont="1" applyFill="1" applyBorder="1" applyAlignment="1">
      <alignment vertical="center"/>
    </xf>
    <xf numFmtId="4" fontId="3" fillId="4" borderId="38" xfId="6" applyNumberFormat="1" applyFont="1" applyFill="1" applyBorder="1" applyAlignment="1">
      <alignment horizontal="center" vertical="center"/>
    </xf>
    <xf numFmtId="0" fontId="59" fillId="0" borderId="0" xfId="0" applyFont="1" applyFill="1" applyAlignment="1">
      <alignment horizontal="center" vertical="center"/>
    </xf>
    <xf numFmtId="8" fontId="3" fillId="5" borderId="15" xfId="0" applyNumberFormat="1" applyFont="1" applyFill="1" applyBorder="1" applyAlignment="1">
      <alignment horizontal="center" vertical="center"/>
    </xf>
    <xf numFmtId="171" fontId="60" fillId="5" borderId="0" xfId="4" quotePrefix="1" applyNumberFormat="1" applyFont="1" applyFill="1" applyBorder="1" applyAlignment="1">
      <alignment horizontal="center" vertical="center"/>
    </xf>
    <xf numFmtId="43" fontId="60" fillId="5" borderId="15" xfId="0" quotePrefix="1" applyNumberFormat="1" applyFont="1" applyFill="1" applyBorder="1" applyAlignment="1">
      <alignment horizontal="center" vertical="center"/>
    </xf>
    <xf numFmtId="8" fontId="3" fillId="0" borderId="15" xfId="0" applyNumberFormat="1" applyFont="1" applyFill="1" applyBorder="1" applyAlignment="1">
      <alignment horizontal="center" vertical="center"/>
    </xf>
    <xf numFmtId="171" fontId="60" fillId="0" borderId="0" xfId="13" applyNumberFormat="1" applyFont="1" applyBorder="1" applyAlignment="1">
      <alignment horizontal="center" vertical="center"/>
    </xf>
    <xf numFmtId="171" fontId="60" fillId="5" borderId="0" xfId="13" applyNumberFormat="1" applyFont="1" applyFill="1" applyBorder="1" applyAlignment="1">
      <alignment horizontal="center" vertical="center"/>
    </xf>
    <xf numFmtId="171" fontId="60" fillId="4" borderId="0" xfId="13" applyNumberFormat="1" applyFont="1" applyFill="1" applyBorder="1" applyAlignment="1">
      <alignment horizontal="center" vertical="center"/>
    </xf>
    <xf numFmtId="0" fontId="28" fillId="7" borderId="22" xfId="58" applyFont="1" applyFill="1" applyBorder="1" applyAlignment="1">
      <alignment horizontal="center" vertical="center"/>
    </xf>
    <xf numFmtId="0" fontId="28" fillId="7" borderId="10" xfId="58" applyFont="1" applyFill="1" applyBorder="1" applyAlignment="1">
      <alignment horizontal="center" vertical="center"/>
    </xf>
    <xf numFmtId="0" fontId="28" fillId="7" borderId="23" xfId="58" applyFont="1" applyFill="1" applyBorder="1" applyAlignment="1">
      <alignment horizontal="center" vertical="center"/>
    </xf>
    <xf numFmtId="0" fontId="1" fillId="0" borderId="35" xfId="54" applyBorder="1"/>
    <xf numFmtId="0" fontId="1" fillId="41" borderId="35" xfId="54" applyFill="1" applyBorder="1"/>
    <xf numFmtId="44" fontId="1" fillId="0" borderId="0" xfId="55" applyFont="1" applyBorder="1"/>
    <xf numFmtId="44" fontId="1" fillId="0" borderId="36" xfId="55" applyFont="1" applyBorder="1"/>
    <xf numFmtId="44" fontId="1" fillId="41" borderId="0" xfId="55" applyFont="1" applyFill="1" applyBorder="1"/>
    <xf numFmtId="44" fontId="1" fillId="41" borderId="36" xfId="55" applyFont="1" applyFill="1" applyBorder="1"/>
    <xf numFmtId="0" fontId="1" fillId="0" borderId="39" xfId="54" applyBorder="1"/>
    <xf numFmtId="44" fontId="1" fillId="0" borderId="42" xfId="55" applyFont="1" applyFill="1" applyBorder="1"/>
    <xf numFmtId="44" fontId="1" fillId="0" borderId="38" xfId="55" applyFont="1" applyFill="1" applyBorder="1"/>
    <xf numFmtId="44" fontId="1" fillId="0" borderId="40" xfId="55" applyFont="1" applyBorder="1"/>
    <xf numFmtId="44" fontId="1" fillId="0" borderId="41" xfId="55" applyFont="1" applyBorder="1"/>
    <xf numFmtId="0" fontId="1" fillId="0" borderId="37" xfId="54" applyFill="1" applyBorder="1"/>
    <xf numFmtId="8" fontId="3" fillId="0" borderId="0" xfId="0" applyNumberFormat="1" applyFont="1" applyFill="1" applyBorder="1" applyProtection="1"/>
    <xf numFmtId="0" fontId="7" fillId="0" borderId="0" xfId="0" applyFont="1" applyAlignment="1">
      <alignment vertical="center"/>
    </xf>
    <xf numFmtId="0" fontId="7" fillId="0" borderId="19" xfId="0" applyFont="1" applyBorder="1" applyAlignment="1">
      <alignment horizontal="center" vertical="center"/>
    </xf>
    <xf numFmtId="43" fontId="6" fillId="0" borderId="33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1" fillId="0" borderId="0" xfId="0" applyFont="1" applyAlignment="1">
      <alignment vertical="center"/>
    </xf>
    <xf numFmtId="0" fontId="82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7" fillId="0" borderId="0" xfId="0" applyFont="1"/>
    <xf numFmtId="0" fontId="6" fillId="0" borderId="0" xfId="0" applyFont="1" applyBorder="1" applyAlignment="1">
      <alignment vertical="center"/>
    </xf>
    <xf numFmtId="178" fontId="22" fillId="0" borderId="0" xfId="0" applyNumberFormat="1" applyFont="1" applyAlignment="1">
      <alignment horizontal="left" vertical="top"/>
    </xf>
    <xf numFmtId="0" fontId="22" fillId="0" borderId="0" xfId="0" applyFont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7" fillId="0" borderId="0" xfId="0" applyFont="1" applyBorder="1" applyAlignment="1">
      <alignment vertical="center"/>
    </xf>
    <xf numFmtId="176" fontId="22" fillId="0" borderId="0" xfId="2" applyNumberFormat="1" applyFont="1" applyAlignment="1" applyProtection="1">
      <alignment vertical="center"/>
    </xf>
    <xf numFmtId="10" fontId="22" fillId="0" borderId="0" xfId="4" applyNumberFormat="1" applyFont="1" applyAlignment="1" applyProtection="1">
      <alignment vertical="center"/>
    </xf>
    <xf numFmtId="0" fontId="7" fillId="0" borderId="0" xfId="0" applyFont="1" applyFill="1" applyBorder="1" applyAlignment="1">
      <alignment vertical="center"/>
    </xf>
    <xf numFmtId="0" fontId="25" fillId="7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2" borderId="0" xfId="0" applyFill="1" applyAlignment="1">
      <alignment horizontal="center"/>
    </xf>
    <xf numFmtId="8" fontId="0" fillId="0" borderId="0" xfId="0" applyNumberFormat="1"/>
    <xf numFmtId="8" fontId="0" fillId="42" borderId="0" xfId="0" applyNumberFormat="1" applyFill="1"/>
    <xf numFmtId="0" fontId="0" fillId="0" borderId="0" xfId="0" applyFill="1" applyAlignment="1">
      <alignment horizontal="center"/>
    </xf>
    <xf numFmtId="0" fontId="0" fillId="0" borderId="0" xfId="0" applyFill="1"/>
    <xf numFmtId="44" fontId="3" fillId="0" borderId="0" xfId="0" applyNumberFormat="1" applyFont="1" applyFill="1" applyBorder="1" applyAlignment="1" applyProtection="1">
      <alignment horizontal="centerContinuous" vertical="center"/>
    </xf>
    <xf numFmtId="0" fontId="28" fillId="7" borderId="41" xfId="6" applyFont="1" applyFill="1" applyBorder="1" applyAlignment="1">
      <alignment horizontal="center" vertical="center"/>
    </xf>
    <xf numFmtId="0" fontId="7" fillId="3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>
      <alignment horizontal="right" vertical="center"/>
    </xf>
    <xf numFmtId="4" fontId="6" fillId="0" borderId="0" xfId="0" applyNumberFormat="1" applyFont="1" applyFill="1" applyBorder="1" applyAlignment="1">
      <alignment vertical="center"/>
    </xf>
    <xf numFmtId="0" fontId="41" fillId="3" borderId="0" xfId="0" applyFont="1" applyFill="1" applyProtection="1">
      <protection hidden="1"/>
    </xf>
    <xf numFmtId="0" fontId="29" fillId="3" borderId="0" xfId="0" applyFont="1" applyFill="1" applyProtection="1">
      <protection hidden="1"/>
    </xf>
    <xf numFmtId="0" fontId="43" fillId="0" borderId="0" xfId="0" applyFont="1" applyFill="1" applyAlignment="1" applyProtection="1">
      <alignment horizontal="center" vertical="center" wrapText="1"/>
      <protection hidden="1"/>
    </xf>
    <xf numFmtId="0" fontId="29" fillId="4" borderId="0" xfId="0" applyFont="1" applyFill="1" applyProtection="1">
      <protection hidden="1"/>
    </xf>
    <xf numFmtId="0" fontId="7" fillId="3" borderId="0" xfId="0" applyFont="1" applyFill="1" applyProtection="1">
      <protection hidden="1"/>
    </xf>
    <xf numFmtId="0" fontId="10" fillId="3" borderId="0" xfId="0" applyFont="1" applyFill="1" applyProtection="1">
      <protection hidden="1"/>
    </xf>
    <xf numFmtId="0" fontId="6" fillId="4" borderId="0" xfId="0" applyFont="1" applyFill="1" applyBorder="1" applyAlignment="1" applyProtection="1">
      <alignment horizontal="left" vertical="center"/>
      <protection hidden="1"/>
    </xf>
    <xf numFmtId="0" fontId="19" fillId="4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left" vertical="center"/>
      <protection hidden="1"/>
    </xf>
    <xf numFmtId="0" fontId="10" fillId="3" borderId="0" xfId="0" applyFont="1" applyFill="1" applyBorder="1" applyProtection="1">
      <protection hidden="1"/>
    </xf>
    <xf numFmtId="0" fontId="10" fillId="0" borderId="0" xfId="0" applyFont="1" applyFill="1" applyProtection="1">
      <protection hidden="1"/>
    </xf>
    <xf numFmtId="0" fontId="10" fillId="4" borderId="0" xfId="0" applyFont="1" applyFill="1" applyProtection="1">
      <protection hidden="1"/>
    </xf>
    <xf numFmtId="0" fontId="6" fillId="3" borderId="0" xfId="0" applyFont="1" applyFill="1" applyProtection="1">
      <protection hidden="1"/>
    </xf>
    <xf numFmtId="0" fontId="31" fillId="3" borderId="0" xfId="0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vertical="center" wrapText="1"/>
      <protection hidden="1"/>
    </xf>
    <xf numFmtId="0" fontId="9" fillId="4" borderId="0" xfId="0" applyFont="1" applyFill="1" applyAlignment="1" applyProtection="1">
      <alignment vertical="center" wrapText="1"/>
      <protection hidden="1"/>
    </xf>
    <xf numFmtId="43" fontId="31" fillId="4" borderId="0" xfId="1" applyFont="1" applyFill="1" applyBorder="1" applyAlignment="1" applyProtection="1">
      <alignment horizontal="center" vertical="center"/>
      <protection hidden="1"/>
    </xf>
    <xf numFmtId="0" fontId="9" fillId="3" borderId="0" xfId="0" applyFont="1" applyFill="1" applyAlignment="1" applyProtection="1">
      <alignment horizontal="center" vertical="center" wrapText="1"/>
      <protection hidden="1"/>
    </xf>
    <xf numFmtId="44" fontId="10" fillId="3" borderId="0" xfId="0" applyNumberFormat="1" applyFont="1" applyFill="1" applyProtection="1">
      <protection hidden="1"/>
    </xf>
    <xf numFmtId="2" fontId="10" fillId="3" borderId="0" xfId="0" applyNumberFormat="1" applyFont="1" applyFill="1" applyProtection="1">
      <protection hidden="1"/>
    </xf>
    <xf numFmtId="2" fontId="9" fillId="3" borderId="0" xfId="0" applyNumberFormat="1" applyFont="1" applyFill="1" applyAlignment="1" applyProtection="1">
      <alignment horizontal="center" vertical="center" wrapText="1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0" fontId="42" fillId="4" borderId="0" xfId="0" applyFont="1" applyFill="1" applyAlignment="1" applyProtection="1">
      <alignment horizontal="left" vertical="center" wrapText="1"/>
      <protection hidden="1"/>
    </xf>
    <xf numFmtId="0" fontId="9" fillId="3" borderId="0" xfId="0" applyFont="1" applyFill="1" applyBorder="1" applyAlignment="1" applyProtection="1">
      <alignment horizontal="center" vertical="center" wrapText="1"/>
      <protection hidden="1"/>
    </xf>
    <xf numFmtId="0" fontId="9" fillId="4" borderId="0" xfId="0" applyFont="1" applyFill="1" applyAlignment="1" applyProtection="1">
      <alignment horizontal="center" vertical="center" wrapText="1"/>
      <protection hidden="1"/>
    </xf>
    <xf numFmtId="43" fontId="27" fillId="3" borderId="0" xfId="1" applyFont="1" applyFill="1" applyBorder="1" applyAlignment="1" applyProtection="1">
      <alignment horizontal="left" vertical="center"/>
      <protection hidden="1"/>
    </xf>
    <xf numFmtId="43" fontId="30" fillId="3" borderId="0" xfId="1" applyFont="1" applyFill="1" applyBorder="1" applyAlignment="1" applyProtection="1">
      <alignment horizontal="center" vertical="center"/>
      <protection hidden="1"/>
    </xf>
    <xf numFmtId="0" fontId="10" fillId="4" borderId="0" xfId="0" applyFont="1" applyFill="1" applyBorder="1" applyProtection="1">
      <protection hidden="1"/>
    </xf>
    <xf numFmtId="0" fontId="42" fillId="4" borderId="0" xfId="0" applyFont="1" applyFill="1" applyAlignment="1" applyProtection="1">
      <alignment horizontal="center" vertical="center"/>
      <protection hidden="1"/>
    </xf>
    <xf numFmtId="165" fontId="10" fillId="4" borderId="0" xfId="0" applyNumberFormat="1" applyFont="1" applyFill="1" applyBorder="1" applyAlignment="1" applyProtection="1">
      <alignment horizontal="center"/>
      <protection hidden="1"/>
    </xf>
    <xf numFmtId="9" fontId="10" fillId="4" borderId="0" xfId="4" applyFont="1" applyFill="1" applyProtection="1">
      <protection hidden="1"/>
    </xf>
    <xf numFmtId="0" fontId="27" fillId="3" borderId="0" xfId="0" applyFont="1" applyFill="1" applyBorder="1" applyProtection="1">
      <protection hidden="1"/>
    </xf>
    <xf numFmtId="0" fontId="32" fillId="3" borderId="0" xfId="0" applyFont="1" applyFill="1" applyAlignment="1" applyProtection="1">
      <protection hidden="1"/>
    </xf>
    <xf numFmtId="0" fontId="9" fillId="3" borderId="0" xfId="0" applyFont="1" applyFill="1" applyAlignment="1" applyProtection="1">
      <protection hidden="1"/>
    </xf>
    <xf numFmtId="0" fontId="9" fillId="3" borderId="0" xfId="0" applyFont="1" applyFill="1" applyAlignment="1" applyProtection="1">
      <alignment horizontal="center"/>
      <protection hidden="1"/>
    </xf>
    <xf numFmtId="10" fontId="0" fillId="0" borderId="0" xfId="4" applyNumberFormat="1" applyFont="1" applyProtection="1"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43" fontId="10" fillId="3" borderId="0" xfId="1" applyFont="1" applyFill="1" applyProtection="1">
      <protection hidden="1"/>
    </xf>
    <xf numFmtId="43" fontId="10" fillId="3" borderId="0" xfId="0" applyNumberFormat="1" applyFont="1" applyFill="1" applyProtection="1">
      <protection hidden="1"/>
    </xf>
    <xf numFmtId="43" fontId="31" fillId="5" borderId="0" xfId="1" applyFont="1" applyFill="1" applyBorder="1" applyAlignment="1" applyProtection="1">
      <alignment horizontal="center" vertical="center"/>
      <protection hidden="1"/>
    </xf>
    <xf numFmtId="9" fontId="31" fillId="0" borderId="0" xfId="4" applyFont="1" applyFill="1" applyBorder="1" applyAlignment="1" applyProtection="1">
      <alignment horizontal="center" vertical="center"/>
      <protection hidden="1"/>
    </xf>
    <xf numFmtId="9" fontId="31" fillId="0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28" xfId="0" applyFont="1" applyFill="1" applyBorder="1" applyAlignment="1" applyProtection="1">
      <alignment horizontal="center" vertical="center"/>
      <protection hidden="1"/>
    </xf>
    <xf numFmtId="0" fontId="18" fillId="7" borderId="27" xfId="0" applyFont="1" applyFill="1" applyBorder="1" applyAlignment="1" applyProtection="1">
      <alignment horizontal="center" vertical="center" wrapText="1"/>
      <protection hidden="1"/>
    </xf>
    <xf numFmtId="0" fontId="6" fillId="3" borderId="33" xfId="0" applyFont="1" applyFill="1" applyBorder="1" applyAlignment="1" applyProtection="1">
      <alignment vertical="center"/>
      <protection hidden="1"/>
    </xf>
    <xf numFmtId="0" fontId="6" fillId="3" borderId="17" xfId="0" applyFont="1" applyFill="1" applyBorder="1" applyAlignment="1" applyProtection="1">
      <alignment horizontal="left"/>
      <protection hidden="1"/>
    </xf>
    <xf numFmtId="165" fontId="7" fillId="3" borderId="17" xfId="2" applyNumberFormat="1" applyFont="1" applyFill="1" applyBorder="1" applyAlignment="1" applyProtection="1">
      <alignment vertical="center"/>
      <protection hidden="1"/>
    </xf>
    <xf numFmtId="165" fontId="6" fillId="5" borderId="17" xfId="2" applyNumberFormat="1" applyFont="1" applyFill="1" applyBorder="1" applyAlignment="1" applyProtection="1">
      <alignment vertical="center"/>
      <protection hidden="1"/>
    </xf>
    <xf numFmtId="0" fontId="33" fillId="3" borderId="17" xfId="0" applyFont="1" applyFill="1" applyBorder="1" applyAlignment="1" applyProtection="1">
      <alignment horizontal="left" vertical="center"/>
      <protection hidden="1"/>
    </xf>
    <xf numFmtId="171" fontId="54" fillId="3" borderId="17" xfId="4" applyNumberFormat="1" applyFont="1" applyFill="1" applyBorder="1" applyProtection="1">
      <protection hidden="1"/>
    </xf>
    <xf numFmtId="0" fontId="18" fillId="7" borderId="31" xfId="0" applyFont="1" applyFill="1" applyBorder="1" applyAlignment="1" applyProtection="1">
      <alignment horizontal="center" vertical="center"/>
      <protection hidden="1"/>
    </xf>
    <xf numFmtId="43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79" fontId="3" fillId="0" borderId="15" xfId="0" applyNumberFormat="1" applyFont="1" applyFill="1" applyBorder="1" applyAlignment="1">
      <alignment horizontal="center" vertical="center"/>
    </xf>
    <xf numFmtId="179" fontId="3" fillId="5" borderId="15" xfId="0" applyNumberFormat="1" applyFont="1" applyFill="1" applyBorder="1" applyAlignment="1">
      <alignment horizontal="center" vertical="center"/>
    </xf>
    <xf numFmtId="180" fontId="3" fillId="3" borderId="15" xfId="0" applyNumberFormat="1" applyFont="1" applyFill="1" applyBorder="1" applyProtection="1"/>
    <xf numFmtId="180" fontId="3" fillId="5" borderId="15" xfId="0" applyNumberFormat="1" applyFont="1" applyFill="1" applyBorder="1" applyProtection="1"/>
    <xf numFmtId="180" fontId="3" fillId="5" borderId="26" xfId="0" applyNumberFormat="1" applyFont="1" applyFill="1" applyBorder="1" applyProtection="1"/>
    <xf numFmtId="168" fontId="3" fillId="4" borderId="15" xfId="0" applyNumberFormat="1" applyFont="1" applyFill="1" applyBorder="1" applyAlignment="1">
      <alignment horizontal="center" vertical="center"/>
    </xf>
    <xf numFmtId="168" fontId="3" fillId="4" borderId="26" xfId="0" applyNumberFormat="1" applyFont="1" applyFill="1" applyBorder="1" applyAlignment="1">
      <alignment horizontal="center" vertical="center"/>
    </xf>
    <xf numFmtId="43" fontId="0" fillId="0" borderId="0" xfId="1" applyFont="1"/>
    <xf numFmtId="43" fontId="0" fillId="0" borderId="0" xfId="1" applyFont="1" applyFill="1"/>
    <xf numFmtId="8" fontId="0" fillId="0" borderId="0" xfId="1" applyNumberFormat="1" applyFont="1" applyFill="1"/>
    <xf numFmtId="8" fontId="0" fillId="0" borderId="0" xfId="1" applyNumberFormat="1" applyFont="1"/>
    <xf numFmtId="0" fontId="9" fillId="4" borderId="0" xfId="0" applyFont="1" applyFill="1" applyAlignment="1" applyProtection="1">
      <alignment horizontal="center" vertical="center"/>
      <protection hidden="1"/>
    </xf>
    <xf numFmtId="8" fontId="22" fillId="3" borderId="0" xfId="0" applyNumberFormat="1" applyFont="1" applyFill="1" applyProtection="1">
      <protection hidden="1"/>
    </xf>
    <xf numFmtId="8" fontId="22" fillId="4" borderId="0" xfId="0" applyNumberFormat="1" applyFont="1" applyFill="1" applyProtection="1">
      <protection hidden="1"/>
    </xf>
    <xf numFmtId="44" fontId="22" fillId="3" borderId="0" xfId="0" applyNumberFormat="1" applyFont="1" applyFill="1" applyProtection="1">
      <protection hidden="1"/>
    </xf>
    <xf numFmtId="44" fontId="10" fillId="4" borderId="0" xfId="0" applyNumberFormat="1" applyFont="1" applyFill="1" applyBorder="1" applyProtection="1">
      <protection hidden="1"/>
    </xf>
    <xf numFmtId="0" fontId="0" fillId="0" borderId="0" xfId="0" applyFill="1" applyBorder="1"/>
    <xf numFmtId="0" fontId="22" fillId="3" borderId="0" xfId="0" applyFont="1" applyFill="1" applyProtection="1">
      <protection hidden="1"/>
    </xf>
    <xf numFmtId="0" fontId="84" fillId="3" borderId="0" xfId="0" applyFont="1" applyFill="1" applyProtection="1">
      <protection hidden="1"/>
    </xf>
    <xf numFmtId="170" fontId="60" fillId="0" borderId="36" xfId="10" applyNumberFormat="1" applyFont="1" applyBorder="1" applyAlignment="1">
      <alignment horizontal="center" vertical="center"/>
    </xf>
    <xf numFmtId="170" fontId="60" fillId="5" borderId="36" xfId="10" applyNumberFormat="1" applyFont="1" applyFill="1" applyBorder="1" applyAlignment="1">
      <alignment horizontal="center" vertical="center"/>
    </xf>
    <xf numFmtId="170" fontId="60" fillId="4" borderId="36" xfId="10" applyNumberFormat="1" applyFont="1" applyFill="1" applyBorder="1" applyAlignment="1">
      <alignment horizontal="center" vertical="center"/>
    </xf>
    <xf numFmtId="0" fontId="10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6" fillId="0" borderId="0" xfId="0" quotePrefix="1" applyFont="1" applyFill="1" applyAlignment="1" applyProtection="1">
      <alignment horizontal="center" vertical="center"/>
      <protection hidden="1"/>
    </xf>
    <xf numFmtId="0" fontId="6" fillId="0" borderId="0" xfId="0" quotePrefix="1" applyFont="1" applyFill="1" applyAlignment="1" applyProtection="1">
      <alignment horizontal="right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vertical="center"/>
      <protection hidden="1"/>
    </xf>
    <xf numFmtId="175" fontId="4" fillId="0" borderId="0" xfId="0" applyNumberFormat="1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left" vertical="center"/>
      <protection hidden="1"/>
    </xf>
    <xf numFmtId="9" fontId="4" fillId="0" borderId="0" xfId="0" applyNumberFormat="1" applyFont="1" applyFill="1" applyAlignment="1" applyProtection="1">
      <alignment horizontal="left" vertical="center"/>
      <protection hidden="1"/>
    </xf>
    <xf numFmtId="4" fontId="4" fillId="0" borderId="0" xfId="0" applyNumberFormat="1" applyFont="1" applyFill="1" applyAlignment="1" applyProtection="1">
      <alignment vertical="center"/>
      <protection hidden="1"/>
    </xf>
    <xf numFmtId="0" fontId="4" fillId="0" borderId="0" xfId="0" quotePrefix="1" applyFont="1" applyFill="1" applyAlignment="1" applyProtection="1">
      <alignment horizontal="left" vertical="center"/>
      <protection hidden="1"/>
    </xf>
    <xf numFmtId="0" fontId="5" fillId="0" borderId="0" xfId="0" applyFont="1" applyFill="1" applyAlignment="1" applyProtection="1">
      <alignment horizontal="center" vertical="center"/>
      <protection hidden="1"/>
    </xf>
    <xf numFmtId="9" fontId="3" fillId="0" borderId="0" xfId="0" applyNumberFormat="1" applyFont="1" applyFill="1" applyAlignment="1" applyProtection="1">
      <alignment horizontal="left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quotePrefix="1" applyFont="1" applyFill="1" applyAlignment="1" applyProtection="1">
      <alignment horizontal="left" vertical="center"/>
      <protection hidden="1"/>
    </xf>
    <xf numFmtId="44" fontId="4" fillId="0" borderId="0" xfId="2" applyFont="1" applyFill="1" applyBorder="1" applyAlignment="1" applyProtection="1">
      <alignment vertical="center"/>
      <protection hidden="1"/>
    </xf>
    <xf numFmtId="167" fontId="4" fillId="0" borderId="0" xfId="1" applyNumberFormat="1" applyFont="1" applyFill="1" applyBorder="1" applyAlignment="1" applyProtection="1">
      <alignment vertical="center"/>
      <protection hidden="1"/>
    </xf>
    <xf numFmtId="175" fontId="5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9" fontId="3" fillId="0" borderId="0" xfId="4" applyFont="1" applyFill="1" applyBorder="1" applyAlignment="1" applyProtection="1">
      <alignment horizontal="left" vertical="center"/>
      <protection hidden="1"/>
    </xf>
    <xf numFmtId="164" fontId="3" fillId="0" borderId="0" xfId="0" applyNumberFormat="1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3" fillId="3" borderId="0" xfId="0" quotePrefix="1" applyFont="1" applyFill="1" applyAlignment="1" applyProtection="1">
      <alignment horizontal="left" vertical="center"/>
      <protection hidden="1"/>
    </xf>
    <xf numFmtId="164" fontId="3" fillId="3" borderId="0" xfId="0" applyNumberFormat="1" applyFont="1" applyFill="1" applyBorder="1" applyAlignment="1" applyProtection="1">
      <alignment horizontal="left" vertical="center"/>
      <protection hidden="1"/>
    </xf>
    <xf numFmtId="0" fontId="48" fillId="0" borderId="0" xfId="0" applyFont="1" applyFill="1" applyAlignment="1" applyProtection="1">
      <alignment vertical="center"/>
      <protection hidden="1"/>
    </xf>
    <xf numFmtId="0" fontId="48" fillId="0" borderId="0" xfId="0" applyFont="1" applyFill="1" applyProtection="1">
      <protection hidden="1"/>
    </xf>
    <xf numFmtId="0" fontId="3" fillId="3" borderId="0" xfId="0" applyFont="1" applyFill="1" applyAlignment="1" applyProtection="1">
      <alignment horizontal="left" vertical="center"/>
      <protection hidden="1"/>
    </xf>
    <xf numFmtId="0" fontId="6" fillId="3" borderId="0" xfId="0" quotePrefix="1" applyFont="1" applyFill="1" applyAlignment="1" applyProtection="1">
      <alignment horizontal="right" vertical="center"/>
      <protection hidden="1"/>
    </xf>
    <xf numFmtId="0" fontId="3" fillId="3" borderId="0" xfId="0" applyFont="1" applyFill="1" applyAlignment="1" applyProtection="1">
      <alignment horizontal="right" vertical="center"/>
      <protection hidden="1"/>
    </xf>
    <xf numFmtId="0" fontId="3" fillId="3" borderId="0" xfId="0" applyFont="1" applyFill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0" fontId="3" fillId="3" borderId="0" xfId="0" quotePrefix="1" applyFont="1" applyFill="1" applyAlignment="1" applyProtection="1">
      <alignment horizontal="right" vertical="center"/>
      <protection hidden="1"/>
    </xf>
    <xf numFmtId="0" fontId="3" fillId="0" borderId="0" xfId="0" applyFont="1" applyFill="1" applyAlignment="1" applyProtection="1">
      <alignment horizontal="left"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right" wrapText="1"/>
      <protection hidden="1"/>
    </xf>
    <xf numFmtId="0" fontId="6" fillId="3" borderId="0" xfId="0" quotePrefix="1" applyFont="1" applyFill="1" applyAlignment="1" applyProtection="1">
      <alignment horizontal="center" vertical="center"/>
      <protection hidden="1"/>
    </xf>
    <xf numFmtId="0" fontId="4" fillId="3" borderId="0" xfId="0" quotePrefix="1" applyFont="1" applyFill="1" applyAlignment="1" applyProtection="1">
      <alignment horizontal="left" vertical="center"/>
      <protection hidden="1"/>
    </xf>
    <xf numFmtId="0" fontId="17" fillId="3" borderId="0" xfId="0" applyFont="1" applyFill="1" applyBorder="1" applyAlignment="1" applyProtection="1">
      <alignment horizontal="right" wrapText="1"/>
      <protection hidden="1"/>
    </xf>
    <xf numFmtId="0" fontId="4" fillId="3" borderId="0" xfId="0" applyFont="1" applyFill="1" applyAlignment="1" applyProtection="1">
      <alignment horizontal="right" vertical="center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4" fillId="3" borderId="0" xfId="0" applyNumberFormat="1" applyFont="1" applyFill="1" applyBorder="1" applyAlignment="1" applyProtection="1">
      <alignment horizontal="left" vertical="center"/>
      <protection hidden="1"/>
    </xf>
    <xf numFmtId="0" fontId="17" fillId="0" borderId="0" xfId="0" applyFont="1" applyFill="1" applyBorder="1" applyAlignment="1" applyProtection="1">
      <alignment horizontal="right" wrapText="1"/>
      <protection hidden="1"/>
    </xf>
    <xf numFmtId="164" fontId="4" fillId="0" borderId="0" xfId="0" applyNumberFormat="1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7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22" fillId="3" borderId="0" xfId="0" applyFont="1" applyFill="1" applyBorder="1" applyAlignment="1" applyProtection="1">
      <alignment horizontal="center"/>
      <protection hidden="1"/>
    </xf>
    <xf numFmtId="44" fontId="22" fillId="3" borderId="0" xfId="2" applyFont="1" applyFill="1" applyBorder="1" applyProtection="1">
      <protection hidden="1"/>
    </xf>
    <xf numFmtId="0" fontId="22" fillId="5" borderId="0" xfId="0" applyFont="1" applyFill="1" applyBorder="1" applyAlignment="1" applyProtection="1">
      <alignment horizontal="center"/>
      <protection hidden="1"/>
    </xf>
    <xf numFmtId="44" fontId="22" fillId="5" borderId="0" xfId="2" applyFont="1" applyFill="1" applyBorder="1" applyProtection="1">
      <protection hidden="1"/>
    </xf>
    <xf numFmtId="44" fontId="22" fillId="5" borderId="0" xfId="1" applyNumberFormat="1" applyFont="1" applyFill="1" applyBorder="1" applyProtection="1">
      <protection hidden="1"/>
    </xf>
    <xf numFmtId="44" fontId="22" fillId="3" borderId="0" xfId="1" applyNumberFormat="1" applyFont="1" applyFill="1" applyBorder="1" applyProtection="1">
      <protection hidden="1"/>
    </xf>
    <xf numFmtId="0" fontId="22" fillId="5" borderId="18" xfId="0" applyFont="1" applyFill="1" applyBorder="1" applyAlignment="1" applyProtection="1">
      <alignment horizontal="center"/>
      <protection hidden="1"/>
    </xf>
    <xf numFmtId="44" fontId="22" fillId="5" borderId="18" xfId="0" applyNumberFormat="1" applyFont="1" applyFill="1" applyBorder="1" applyAlignment="1" applyProtection="1">
      <alignment horizontal="center"/>
      <protection hidden="1"/>
    </xf>
    <xf numFmtId="0" fontId="22" fillId="3" borderId="0" xfId="0" applyFont="1" applyFill="1" applyAlignment="1" applyProtection="1">
      <alignment horizontal="left"/>
      <protection hidden="1"/>
    </xf>
    <xf numFmtId="44" fontId="22" fillId="3" borderId="0" xfId="2" applyFont="1" applyFill="1" applyProtection="1">
      <protection hidden="1"/>
    </xf>
    <xf numFmtId="0" fontId="7" fillId="3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44" fontId="22" fillId="3" borderId="0" xfId="2" applyFont="1" applyFill="1" applyAlignment="1" applyProtection="1">
      <alignment vertical="center"/>
      <protection hidden="1"/>
    </xf>
    <xf numFmtId="172" fontId="10" fillId="3" borderId="0" xfId="0" applyNumberFormat="1" applyFont="1" applyFill="1" applyProtection="1">
      <protection hidden="1"/>
    </xf>
    <xf numFmtId="0" fontId="3" fillId="3" borderId="19" xfId="0" applyFont="1" applyFill="1" applyBorder="1" applyAlignment="1" applyProtection="1">
      <alignment horizontal="left" vertical="center"/>
      <protection hidden="1"/>
    </xf>
    <xf numFmtId="0" fontId="6" fillId="3" borderId="20" xfId="0" applyFont="1" applyFill="1" applyBorder="1" applyAlignment="1" applyProtection="1">
      <alignment horizontal="center" vertical="center"/>
      <protection hidden="1"/>
    </xf>
    <xf numFmtId="0" fontId="23" fillId="6" borderId="0" xfId="0" applyFont="1" applyFill="1" applyBorder="1" applyAlignment="1" applyProtection="1">
      <alignment vertical="center"/>
      <protection hidden="1"/>
    </xf>
    <xf numFmtId="44" fontId="23" fillId="6" borderId="0" xfId="2" applyFont="1" applyFill="1" applyBorder="1" applyAlignment="1" applyProtection="1">
      <alignment vertical="center"/>
      <protection hidden="1"/>
    </xf>
    <xf numFmtId="0" fontId="3" fillId="3" borderId="0" xfId="0" applyFont="1" applyFill="1" applyAlignment="1">
      <alignment horizontal="left" wrapText="1"/>
    </xf>
    <xf numFmtId="0" fontId="4" fillId="3" borderId="0" xfId="0" applyFont="1" applyFill="1" applyAlignment="1">
      <alignment horizontal="left" wrapText="1"/>
    </xf>
    <xf numFmtId="0" fontId="3" fillId="3" borderId="0" xfId="0" applyFont="1" applyFill="1" applyAlignment="1">
      <alignment horizontal="left" vertical="top" wrapText="1"/>
    </xf>
    <xf numFmtId="0" fontId="4" fillId="3" borderId="0" xfId="0" applyFont="1" applyFill="1" applyAlignment="1">
      <alignment horizontal="left" vertical="top" wrapText="1"/>
    </xf>
    <xf numFmtId="0" fontId="38" fillId="3" borderId="0" xfId="0" applyFont="1" applyFill="1" applyAlignment="1">
      <alignment horizontal="left" wrapText="1"/>
    </xf>
    <xf numFmtId="0" fontId="4" fillId="3" borderId="0" xfId="0" applyFont="1" applyFill="1" applyBorder="1" applyAlignment="1">
      <alignment horizontal="left" wrapText="1"/>
    </xf>
    <xf numFmtId="0" fontId="7" fillId="3" borderId="0" xfId="0" applyFont="1" applyFill="1" applyAlignment="1">
      <alignment horizontal="left" wrapText="1"/>
    </xf>
    <xf numFmtId="0" fontId="35" fillId="3" borderId="0" xfId="0" applyFont="1" applyFill="1" applyAlignment="1">
      <alignment horizontal="center" wrapText="1"/>
    </xf>
    <xf numFmtId="0" fontId="3" fillId="0" borderId="0" xfId="0" applyFont="1" applyFill="1" applyAlignment="1">
      <alignment horizontal="left" wrapText="1"/>
    </xf>
    <xf numFmtId="0" fontId="4" fillId="0" borderId="0" xfId="0" applyFont="1" applyFill="1" applyAlignment="1">
      <alignment horizontal="left" wrapText="1"/>
    </xf>
    <xf numFmtId="0" fontId="56" fillId="3" borderId="0" xfId="0" applyFont="1" applyFill="1" applyAlignment="1">
      <alignment horizontal="right" wrapText="1"/>
    </xf>
    <xf numFmtId="4" fontId="7" fillId="3" borderId="0" xfId="0" applyNumberFormat="1" applyFont="1" applyFill="1" applyBorder="1" applyAlignment="1" applyProtection="1">
      <alignment horizontal="center" vertical="center"/>
    </xf>
    <xf numFmtId="0" fontId="0" fillId="0" borderId="0" xfId="0" applyBorder="1" applyProtection="1"/>
    <xf numFmtId="166" fontId="7" fillId="3" borderId="0" xfId="0" applyNumberFormat="1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left" wrapText="1"/>
    </xf>
    <xf numFmtId="0" fontId="7" fillId="3" borderId="0" xfId="0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horizontal="left" vertical="center"/>
    </xf>
    <xf numFmtId="0" fontId="24" fillId="3" borderId="0" xfId="0" applyFont="1" applyFill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0" fontId="9" fillId="3" borderId="0" xfId="0" applyFont="1" applyFill="1" applyBorder="1" applyAlignment="1" applyProtection="1">
      <alignment horizontal="center" vertical="center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6" fillId="3" borderId="0" xfId="0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justify" vertical="center"/>
    </xf>
    <xf numFmtId="0" fontId="58" fillId="7" borderId="33" xfId="0" applyFont="1" applyFill="1" applyBorder="1" applyAlignment="1" applyProtection="1">
      <alignment horizontal="center"/>
      <protection locked="0"/>
    </xf>
    <xf numFmtId="0" fontId="53" fillId="3" borderId="0" xfId="0" applyFont="1" applyFill="1" applyBorder="1" applyAlignment="1" applyProtection="1">
      <alignment horizontal="center" vertical="center" wrapText="1"/>
      <protection hidden="1"/>
    </xf>
    <xf numFmtId="0" fontId="23" fillId="3" borderId="0" xfId="0" applyFont="1" applyFill="1" applyAlignment="1" applyProtection="1">
      <alignment horizontal="left" vertical="center" wrapText="1"/>
      <protection hidden="1"/>
    </xf>
    <xf numFmtId="0" fontId="34" fillId="3" borderId="33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center" vertical="center"/>
    </xf>
    <xf numFmtId="0" fontId="6" fillId="3" borderId="0" xfId="0" applyFont="1" applyFill="1" applyAlignment="1">
      <alignment horizontal="left" vertical="justify" wrapText="1"/>
    </xf>
    <xf numFmtId="178" fontId="22" fillId="0" borderId="0" xfId="0" applyNumberFormat="1" applyFont="1" applyAlignment="1">
      <alignment horizontal="left" vertical="center"/>
    </xf>
    <xf numFmtId="0" fontId="6" fillId="0" borderId="0" xfId="0" applyFont="1" applyFill="1" applyAlignment="1" applyProtection="1">
      <alignment horizontal="left" vertical="top" wrapText="1"/>
    </xf>
    <xf numFmtId="0" fontId="4" fillId="3" borderId="0" xfId="0" applyFont="1" applyFill="1" applyAlignment="1" applyProtection="1">
      <alignment horizontal="justify" vertical="center"/>
      <protection hidden="1"/>
    </xf>
    <xf numFmtId="0" fontId="23" fillId="3" borderId="0" xfId="0" applyFont="1" applyFill="1" applyAlignment="1" applyProtection="1">
      <alignment horizontal="left" wrapText="1"/>
    </xf>
    <xf numFmtId="0" fontId="6" fillId="3" borderId="0" xfId="0" applyFont="1" applyFill="1" applyAlignment="1" applyProtection="1">
      <alignment horizontal="left" wrapText="1"/>
    </xf>
    <xf numFmtId="0" fontId="18" fillId="7" borderId="31" xfId="0" applyFont="1" applyFill="1" applyBorder="1" applyAlignment="1" applyProtection="1">
      <alignment horizontal="center" vertical="center" wrapText="1"/>
    </xf>
    <xf numFmtId="0" fontId="18" fillId="7" borderId="32" xfId="0" applyFont="1" applyFill="1" applyBorder="1" applyAlignment="1" applyProtection="1">
      <alignment horizontal="center" vertical="center" wrapText="1"/>
    </xf>
    <xf numFmtId="0" fontId="40" fillId="3" borderId="19" xfId="0" applyFont="1" applyFill="1" applyBorder="1" applyAlignment="1" applyProtection="1">
      <alignment horizontal="left"/>
      <protection hidden="1"/>
    </xf>
    <xf numFmtId="0" fontId="40" fillId="3" borderId="21" xfId="0" applyFont="1" applyFill="1" applyBorder="1" applyAlignment="1" applyProtection="1">
      <alignment horizontal="left"/>
      <protection hidden="1"/>
    </xf>
    <xf numFmtId="0" fontId="40" fillId="3" borderId="20" xfId="0" applyFont="1" applyFill="1" applyBorder="1" applyAlignment="1" applyProtection="1">
      <alignment horizontal="left"/>
      <protection hidden="1"/>
    </xf>
    <xf numFmtId="0" fontId="26" fillId="7" borderId="27" xfId="0" applyFont="1" applyFill="1" applyBorder="1" applyAlignment="1" applyProtection="1">
      <alignment horizontal="center" vertical="center"/>
      <protection hidden="1"/>
    </xf>
    <xf numFmtId="0" fontId="26" fillId="7" borderId="28" xfId="0" applyFont="1" applyFill="1" applyBorder="1" applyAlignment="1" applyProtection="1">
      <alignment horizontal="center" vertical="center" wrapText="1"/>
      <protection hidden="1"/>
    </xf>
    <xf numFmtId="0" fontId="26" fillId="7" borderId="29" xfId="0" applyFont="1" applyFill="1" applyBorder="1" applyAlignment="1" applyProtection="1">
      <alignment horizontal="center" vertical="center"/>
      <protection hidden="1"/>
    </xf>
    <xf numFmtId="0" fontId="25" fillId="7" borderId="0" xfId="0" applyFont="1" applyFill="1" applyBorder="1" applyAlignment="1" applyProtection="1">
      <alignment horizontal="left" vertical="center"/>
      <protection hidden="1"/>
    </xf>
    <xf numFmtId="0" fontId="25" fillId="7" borderId="30" xfId="0" applyFont="1" applyFill="1" applyBorder="1" applyAlignment="1" applyProtection="1">
      <alignment horizontal="left" vertical="center"/>
      <protection hidden="1"/>
    </xf>
    <xf numFmtId="0" fontId="22" fillId="3" borderId="0" xfId="0" applyFont="1" applyFill="1" applyBorder="1" applyAlignment="1" applyProtection="1">
      <alignment horizontal="left"/>
      <protection hidden="1"/>
    </xf>
    <xf numFmtId="0" fontId="28" fillId="7" borderId="0" xfId="0" applyFont="1" applyFill="1" applyAlignment="1" applyProtection="1">
      <alignment horizontal="center" vertical="center" wrapText="1"/>
      <protection hidden="1"/>
    </xf>
    <xf numFmtId="0" fontId="85" fillId="3" borderId="0" xfId="0" applyFont="1" applyFill="1" applyAlignment="1" applyProtection="1">
      <alignment horizontal="center" vertical="center"/>
    </xf>
    <xf numFmtId="0" fontId="22" fillId="5" borderId="0" xfId="0" applyFont="1" applyFill="1" applyBorder="1" applyAlignment="1" applyProtection="1">
      <alignment horizontal="left"/>
      <protection hidden="1"/>
    </xf>
    <xf numFmtId="0" fontId="22" fillId="5" borderId="18" xfId="0" applyFont="1" applyFill="1" applyBorder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 vertical="center" indent="2"/>
      <protection hidden="1"/>
    </xf>
    <xf numFmtId="0" fontId="22" fillId="3" borderId="16" xfId="0" applyFont="1" applyFill="1" applyBorder="1" applyAlignment="1" applyProtection="1">
      <alignment horizontal="left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Fill="1" applyBorder="1" applyAlignment="1" applyProtection="1">
      <alignment horizontal="left" vertical="center"/>
    </xf>
    <xf numFmtId="175" fontId="4" fillId="0" borderId="0" xfId="0" applyNumberFormat="1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justify" vertical="center"/>
    </xf>
    <xf numFmtId="0" fontId="4" fillId="3" borderId="0" xfId="0" applyFont="1" applyFill="1" applyAlignment="1" applyProtection="1">
      <alignment horizontal="justify" vertical="center"/>
    </xf>
    <xf numFmtId="0" fontId="19" fillId="7" borderId="0" xfId="0" applyFont="1" applyFill="1" applyBorder="1" applyAlignment="1" applyProtection="1">
      <alignment horizontal="center" vertical="center"/>
    </xf>
    <xf numFmtId="0" fontId="41" fillId="3" borderId="0" xfId="0" applyFont="1" applyFill="1" applyAlignment="1" applyProtection="1">
      <alignment vertical="top"/>
    </xf>
  </cellXfs>
  <cellStyles count="89">
    <cellStyle name="20% - Énfasis1" xfId="31" builtinId="30" customBuiltin="1"/>
    <cellStyle name="20% - Énfasis2" xfId="35" builtinId="34" customBuiltin="1"/>
    <cellStyle name="20% - Énfasis3" xfId="39" builtinId="38" customBuiltin="1"/>
    <cellStyle name="20% - Énfasis4" xfId="43" builtinId="42" customBuiltin="1"/>
    <cellStyle name="20% - Énfasis5" xfId="47" builtinId="46" customBuiltin="1"/>
    <cellStyle name="20% - Énfasis6" xfId="51" builtinId="50" customBuiltin="1"/>
    <cellStyle name="40% - Énfasis1" xfId="32" builtinId="31" customBuiltin="1"/>
    <cellStyle name="40% - Énfasis2" xfId="36" builtinId="35" customBuiltin="1"/>
    <cellStyle name="40% - Énfasis3" xfId="40" builtinId="39" customBuiltin="1"/>
    <cellStyle name="40% - Énfasis4" xfId="44" builtinId="43" customBuiltin="1"/>
    <cellStyle name="40% - Énfasis5" xfId="48" builtinId="47" customBuiltin="1"/>
    <cellStyle name="40% - Énfasis6" xfId="52" builtinId="51" customBuiltin="1"/>
    <cellStyle name="60% - Énfasis1" xfId="33" builtinId="32" customBuiltin="1"/>
    <cellStyle name="60% - Énfasis2" xfId="37" builtinId="36" customBuiltin="1"/>
    <cellStyle name="60% - Énfasis3" xfId="41" builtinId="40" customBuiltin="1"/>
    <cellStyle name="60% - Énfasis4" xfId="45" builtinId="44" customBuiltin="1"/>
    <cellStyle name="60% - Énfasis5" xfId="49" builtinId="48" customBuiltin="1"/>
    <cellStyle name="60% - Énfasis6" xfId="53" builtinId="52" customBuiltin="1"/>
    <cellStyle name="Bueno" xfId="19" builtinId="26" customBuiltin="1"/>
    <cellStyle name="Cálculo" xfId="24" builtinId="22" customBuiltin="1"/>
    <cellStyle name="Celda de comprobación" xfId="26" builtinId="23" customBuiltin="1"/>
    <cellStyle name="Celda vinculada" xfId="25" builtinId="24" customBuiltin="1"/>
    <cellStyle name="Encabezado 1" xfId="15" builtinId="16" customBuiltin="1"/>
    <cellStyle name="Encabezado 4" xfId="18" builtinId="19" customBuiltin="1"/>
    <cellStyle name="Énfasis1" xfId="30" builtinId="29" customBuiltin="1"/>
    <cellStyle name="Énfasis2" xfId="34" builtinId="33" customBuiltin="1"/>
    <cellStyle name="Énfasis3" xfId="38" builtinId="37" customBuiltin="1"/>
    <cellStyle name="Énfasis4" xfId="42" builtinId="41" customBuiltin="1"/>
    <cellStyle name="Énfasis5" xfId="46" builtinId="45" customBuiltin="1"/>
    <cellStyle name="Énfasis6" xfId="50" builtinId="49" customBuiltin="1"/>
    <cellStyle name="Entrada" xfId="22" builtinId="20" customBuiltin="1"/>
    <cellStyle name="Incorrecto" xfId="20" builtinId="27" customBuiltin="1"/>
    <cellStyle name="Millares" xfId="1" builtinId="3"/>
    <cellStyle name="Millares 2" xfId="7" xr:uid="{00000000-0005-0000-0000-000020000000}"/>
    <cellStyle name="Millares 2 2" xfId="76" xr:uid="{00000000-0005-0000-0000-000021000000}"/>
    <cellStyle name="Millares 2 2 2" xfId="85" xr:uid="{00000000-0005-0000-0000-000022000000}"/>
    <cellStyle name="Millares 2 3" xfId="65" xr:uid="{00000000-0005-0000-0000-000023000000}"/>
    <cellStyle name="Millares 3" xfId="11" xr:uid="{00000000-0005-0000-0000-000024000000}"/>
    <cellStyle name="Millares 3 2" xfId="86" xr:uid="{00000000-0005-0000-0000-000025000000}"/>
    <cellStyle name="Millares 3 3" xfId="70" xr:uid="{00000000-0005-0000-0000-000026000000}"/>
    <cellStyle name="Millares 4" xfId="59" xr:uid="{00000000-0005-0000-0000-000027000000}"/>
    <cellStyle name="Moneda" xfId="2" builtinId="4"/>
    <cellStyle name="Moneda 2" xfId="8" xr:uid="{00000000-0005-0000-0000-000029000000}"/>
    <cellStyle name="Moneda 2 2" xfId="80" xr:uid="{00000000-0005-0000-0000-00002A000000}"/>
    <cellStyle name="Moneda 2 3" xfId="78" xr:uid="{00000000-0005-0000-0000-00002B000000}"/>
    <cellStyle name="Moneda 2 3 2" xfId="82" xr:uid="{00000000-0005-0000-0000-00002C000000}"/>
    <cellStyle name="Moneda 2 4" xfId="87" xr:uid="{00000000-0005-0000-0000-00002D000000}"/>
    <cellStyle name="Moneda 2 5" xfId="74" xr:uid="{00000000-0005-0000-0000-00002E000000}"/>
    <cellStyle name="Moneda 3" xfId="12" xr:uid="{00000000-0005-0000-0000-00002F000000}"/>
    <cellStyle name="Moneda 4" xfId="60" xr:uid="{00000000-0005-0000-0000-000030000000}"/>
    <cellStyle name="Moneda 5" xfId="55" xr:uid="{00000000-0005-0000-0000-000031000000}"/>
    <cellStyle name="Neutral" xfId="21" builtinId="28" customBuiltin="1"/>
    <cellStyle name="Normal" xfId="0" builtinId="0"/>
    <cellStyle name="Normal 2" xfId="6" xr:uid="{00000000-0005-0000-0000-000034000000}"/>
    <cellStyle name="Normal 2 2" xfId="68" xr:uid="{00000000-0005-0000-0000-000035000000}"/>
    <cellStyle name="Normal 2 2 2" xfId="71" xr:uid="{00000000-0005-0000-0000-000036000000}"/>
    <cellStyle name="Normal 2 2 3" xfId="83" xr:uid="{00000000-0005-0000-0000-000037000000}"/>
    <cellStyle name="Normal 2 3" xfId="72" xr:uid="{00000000-0005-0000-0000-000038000000}"/>
    <cellStyle name="Normal 2 4" xfId="66" xr:uid="{00000000-0005-0000-0000-000039000000}"/>
    <cellStyle name="Normal 2 5" xfId="64" xr:uid="{00000000-0005-0000-0000-00003A000000}"/>
    <cellStyle name="Normal 3" xfId="5" xr:uid="{00000000-0005-0000-0000-00003B000000}"/>
    <cellStyle name="Normal 3 2" xfId="88" xr:uid="{00000000-0005-0000-0000-00003C000000}"/>
    <cellStyle name="Normal 3 3" xfId="84" xr:uid="{00000000-0005-0000-0000-00003D000000}"/>
    <cellStyle name="Normal 3 4" xfId="75" xr:uid="{00000000-0005-0000-0000-00003E000000}"/>
    <cellStyle name="Normal 3 5" xfId="67" xr:uid="{00000000-0005-0000-0000-00003F000000}"/>
    <cellStyle name="Normal 3 6" xfId="62" xr:uid="{00000000-0005-0000-0000-000040000000}"/>
    <cellStyle name="Normal 4" xfId="10" xr:uid="{00000000-0005-0000-0000-000041000000}"/>
    <cellStyle name="Normal 4 2" xfId="69" xr:uid="{00000000-0005-0000-0000-000042000000}"/>
    <cellStyle name="Normal 4 3" xfId="63" xr:uid="{00000000-0005-0000-0000-000043000000}"/>
    <cellStyle name="Normal 5" xfId="58" xr:uid="{00000000-0005-0000-0000-000044000000}"/>
    <cellStyle name="Normal 5 2" xfId="79" xr:uid="{00000000-0005-0000-0000-000045000000}"/>
    <cellStyle name="Normal 5 3" xfId="77" xr:uid="{00000000-0005-0000-0000-000046000000}"/>
    <cellStyle name="Normal 5 3 2" xfId="81" xr:uid="{00000000-0005-0000-0000-000047000000}"/>
    <cellStyle name="Normal 5 4" xfId="73" xr:uid="{00000000-0005-0000-0000-000048000000}"/>
    <cellStyle name="Normal 6" xfId="54" xr:uid="{00000000-0005-0000-0000-000049000000}"/>
    <cellStyle name="Normal_CalculoTarifa GASTOS MEDICOS MAS VISION MEDICA 2009" xfId="3" xr:uid="{00000000-0005-0000-0000-00004A000000}"/>
    <cellStyle name="Notas 2" xfId="57" xr:uid="{00000000-0005-0000-0000-00004B000000}"/>
    <cellStyle name="Porcentaje" xfId="4" builtinId="5"/>
    <cellStyle name="Porcentaje 2" xfId="9" xr:uid="{00000000-0005-0000-0000-00004D000000}"/>
    <cellStyle name="Porcentaje 3" xfId="13" xr:uid="{00000000-0005-0000-0000-00004E000000}"/>
    <cellStyle name="Porcentaje 4" xfId="61" xr:uid="{00000000-0005-0000-0000-00004F000000}"/>
    <cellStyle name="Porcentaje 5" xfId="56" xr:uid="{00000000-0005-0000-0000-000050000000}"/>
    <cellStyle name="Salida" xfId="23" builtinId="21" customBuiltin="1"/>
    <cellStyle name="Texto de advertencia" xfId="27" builtinId="11" customBuiltin="1"/>
    <cellStyle name="Texto explicativo" xfId="28" builtinId="53" customBuiltin="1"/>
    <cellStyle name="Título" xfId="14" builtinId="15" customBuiltin="1"/>
    <cellStyle name="Título 2" xfId="16" builtinId="17" customBuiltin="1"/>
    <cellStyle name="Título 3" xfId="17" builtinId="18" customBuiltin="1"/>
    <cellStyle name="Total" xfId="29" builtinId="25" customBuiltin="1"/>
  </cellStyles>
  <dxfs count="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hyperlink" Target="#COTIZACION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COTIZACIO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695324</xdr:colOff>
      <xdr:row>0</xdr:row>
      <xdr:rowOff>33871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24674" y="3387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32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868595</xdr:colOff>
      <xdr:row>15</xdr:row>
      <xdr:rowOff>76201</xdr:rowOff>
    </xdr:from>
    <xdr:to>
      <xdr:col>7</xdr:col>
      <xdr:colOff>241300</xdr:colOff>
      <xdr:row>17</xdr:row>
      <xdr:rowOff>85725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059720" y="2152651"/>
          <a:ext cx="1449155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876300</xdr:colOff>
      <xdr:row>19</xdr:row>
      <xdr:rowOff>57151</xdr:rowOff>
    </xdr:from>
    <xdr:to>
      <xdr:col>7</xdr:col>
      <xdr:colOff>239183</xdr:colOff>
      <xdr:row>21</xdr:row>
      <xdr:rowOff>66675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6067425" y="2781301"/>
          <a:ext cx="1439333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85725</xdr:colOff>
      <xdr:row>1</xdr:row>
      <xdr:rowOff>57150</xdr:rowOff>
    </xdr:from>
    <xdr:to>
      <xdr:col>3</xdr:col>
      <xdr:colOff>565045</xdr:colOff>
      <xdr:row>5</xdr:row>
      <xdr:rowOff>21837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7145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619125</xdr:colOff>
      <xdr:row>34</xdr:row>
      <xdr:rowOff>133350</xdr:rowOff>
    </xdr:from>
    <xdr:to>
      <xdr:col>8</xdr:col>
      <xdr:colOff>1076325</xdr:colOff>
      <xdr:row>36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6305550" y="5934075"/>
          <a:ext cx="1219200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19050</xdr:colOff>
      <xdr:row>34</xdr:row>
      <xdr:rowOff>104775</xdr:rowOff>
    </xdr:from>
    <xdr:to>
      <xdr:col>7</xdr:col>
      <xdr:colOff>410634</xdr:colOff>
      <xdr:row>36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1104901</xdr:colOff>
      <xdr:row>34</xdr:row>
      <xdr:rowOff>133350</xdr:rowOff>
    </xdr:from>
    <xdr:to>
      <xdr:col>10</xdr:col>
      <xdr:colOff>0</xdr:colOff>
      <xdr:row>36</xdr:row>
      <xdr:rowOff>47625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7553326" y="5934075"/>
          <a:ext cx="781049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ln>
                <a:solidFill>
                  <a:srgbClr val="FF0000"/>
                </a:solidFill>
              </a:ln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5</xdr:col>
      <xdr:colOff>200025</xdr:colOff>
      <xdr:row>0</xdr:row>
      <xdr:rowOff>73025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010025" y="73025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0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161925</xdr:colOff>
      <xdr:row>1</xdr:row>
      <xdr:rowOff>95250</xdr:rowOff>
    </xdr:from>
    <xdr:to>
      <xdr:col>4</xdr:col>
      <xdr:colOff>707920</xdr:colOff>
      <xdr:row>3</xdr:row>
      <xdr:rowOff>78987</xdr:rowOff>
    </xdr:to>
    <xdr:pic>
      <xdr:nvPicPr>
        <xdr:cNvPr id="16" name="15 Imagen" descr="seguros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717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391584</xdr:colOff>
      <xdr:row>0</xdr:row>
      <xdr:rowOff>76203</xdr:rowOff>
    </xdr:from>
    <xdr:ext cx="4459821" cy="81279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958667" y="76203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8</xdr:col>
      <xdr:colOff>419100</xdr:colOff>
      <xdr:row>43</xdr:row>
      <xdr:rowOff>19050</xdr:rowOff>
    </xdr:from>
    <xdr:to>
      <xdr:col>9</xdr:col>
      <xdr:colOff>747432</xdr:colOff>
      <xdr:row>45</xdr:row>
      <xdr:rowOff>38101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7</xdr:col>
      <xdr:colOff>209546</xdr:colOff>
      <xdr:row>43</xdr:row>
      <xdr:rowOff>28575</xdr:rowOff>
    </xdr:from>
    <xdr:to>
      <xdr:col>8</xdr:col>
      <xdr:colOff>266694</xdr:colOff>
      <xdr:row>46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9981075" y="7771840"/>
          <a:ext cx="1233766" cy="518272"/>
          <a:chOff x="9239251" y="7067550"/>
          <a:chExt cx="981074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8</xdr:col>
      <xdr:colOff>914400</xdr:colOff>
      <xdr:row>43</xdr:row>
      <xdr:rowOff>47625</xdr:rowOff>
    </xdr:from>
    <xdr:to>
      <xdr:col>9</xdr:col>
      <xdr:colOff>790576</xdr:colOff>
      <xdr:row>45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0</xdr:col>
      <xdr:colOff>317500</xdr:colOff>
      <xdr:row>0</xdr:row>
      <xdr:rowOff>190500</xdr:rowOff>
    </xdr:from>
    <xdr:to>
      <xdr:col>2</xdr:col>
      <xdr:colOff>1392662</xdr:colOff>
      <xdr:row>2</xdr:row>
      <xdr:rowOff>74754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0" y="19050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457200</xdr:colOff>
      <xdr:row>43</xdr:row>
      <xdr:rowOff>76200</xdr:rowOff>
    </xdr:from>
    <xdr:to>
      <xdr:col>6</xdr:col>
      <xdr:colOff>760948</xdr:colOff>
      <xdr:row>45</xdr:row>
      <xdr:rowOff>28576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8032376" y="7819465"/>
          <a:ext cx="1491572" cy="288552"/>
          <a:chOff x="7962900" y="8658225"/>
          <a:chExt cx="1019175" cy="373062"/>
        </a:xfrm>
      </xdr:grpSpPr>
      <xdr:pic macro="[0]!Cotizacion_ir_tarifario">
        <xdr:nvPicPr>
          <xdr:cNvPr id="11" name="Picture 26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12" name="11 CuadroTexto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11</xdr:col>
      <xdr:colOff>0</xdr:colOff>
      <xdr:row>7</xdr:row>
      <xdr:rowOff>9526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477125" y="933451"/>
          <a:ext cx="9715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Zona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381000" y="265747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3657600" y="2657475"/>
          <a:ext cx="24669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6972300" y="2657475"/>
          <a:ext cx="25050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8" name="7 Imagen" descr="seguro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400050</xdr:colOff>
      <xdr:row>5</xdr:row>
      <xdr:rowOff>133350</xdr:rowOff>
    </xdr:from>
    <xdr:to>
      <xdr:col>6</xdr:col>
      <xdr:colOff>0</xdr:colOff>
      <xdr:row>7</xdr:row>
      <xdr:rowOff>19050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3276600" y="942975"/>
          <a:ext cx="11239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Nivel</a:t>
          </a:r>
          <a:r>
            <a:rPr lang="es-MX" sz="1100" baseline="0">
              <a:solidFill>
                <a:schemeClr val="bg1"/>
              </a:solidFill>
            </a:rPr>
            <a:t> Hospitalario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502704</xdr:colOff>
      <xdr:row>0</xdr:row>
      <xdr:rowOff>28575</xdr:rowOff>
    </xdr:from>
    <xdr:ext cx="4459821" cy="81279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5665254" y="28575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10</xdr:col>
      <xdr:colOff>0</xdr:colOff>
      <xdr:row>83</xdr:row>
      <xdr:rowOff>76200</xdr:rowOff>
    </xdr:from>
    <xdr:to>
      <xdr:col>11</xdr:col>
      <xdr:colOff>372158</xdr:colOff>
      <xdr:row>85</xdr:row>
      <xdr:rowOff>80434</xdr:rowOff>
    </xdr:to>
    <xdr:pic macro="[0]!imprimir_Tarifario">
      <xdr:nvPicPr>
        <xdr:cNvPr id="18" name="Pictur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686675" y="13515975"/>
          <a:ext cx="1134158" cy="3280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84</xdr:row>
      <xdr:rowOff>0</xdr:rowOff>
    </xdr:from>
    <xdr:to>
      <xdr:col>9</xdr:col>
      <xdr:colOff>438150</xdr:colOff>
      <xdr:row>85</xdr:row>
      <xdr:rowOff>104775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pSpPr/>
      </xdr:nvGrpSpPr>
      <xdr:grpSpPr>
        <a:xfrm>
          <a:off x="6162675" y="13601700"/>
          <a:ext cx="1200150" cy="266700"/>
          <a:chOff x="9239249" y="7067550"/>
          <a:chExt cx="981076" cy="266700"/>
        </a:xfrm>
      </xdr:grpSpPr>
      <xdr:sp macro="[0]!Tarifario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2]!Tarifario_volver_menu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84</xdr:row>
      <xdr:rowOff>9525</xdr:rowOff>
    </xdr:from>
    <xdr:to>
      <xdr:col>7</xdr:col>
      <xdr:colOff>628651</xdr:colOff>
      <xdr:row>85</xdr:row>
      <xdr:rowOff>114300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4029075" y="13611225"/>
          <a:ext cx="1762126" cy="266700"/>
          <a:chOff x="7858124" y="4762500"/>
          <a:chExt cx="1781176" cy="238125"/>
        </a:xfrm>
      </xdr:grpSpPr>
      <xdr:sp macro="[0]!Tarifario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2]!Tarifario_ir_cotizacion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15</xdr:col>
      <xdr:colOff>0</xdr:colOff>
      <xdr:row>18</xdr:row>
      <xdr:rowOff>0</xdr:rowOff>
    </xdr:from>
    <xdr:to>
      <xdr:col>18</xdr:col>
      <xdr:colOff>9525</xdr:colOff>
      <xdr:row>19</xdr:row>
      <xdr:rowOff>114300</xdr:rowOff>
    </xdr:to>
    <xdr:sp macro="" textlink="">
      <xdr:nvSpPr>
        <xdr:cNvPr id="27" name="26 Rectángulo redondeado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11649075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19</xdr:col>
      <xdr:colOff>1</xdr:colOff>
      <xdr:row>18</xdr:row>
      <xdr:rowOff>0</xdr:rowOff>
    </xdr:from>
    <xdr:to>
      <xdr:col>22</xdr:col>
      <xdr:colOff>19051</xdr:colOff>
      <xdr:row>19</xdr:row>
      <xdr:rowOff>114300</xdr:rowOff>
    </xdr:to>
    <xdr:sp macro="" textlink="">
      <xdr:nvSpPr>
        <xdr:cNvPr id="28" name="27 Rectángulo redondeado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14792326" y="2914650"/>
          <a:ext cx="2400300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23</xdr:col>
      <xdr:colOff>9525</xdr:colOff>
      <xdr:row>18</xdr:row>
      <xdr:rowOff>0</xdr:rowOff>
    </xdr:from>
    <xdr:to>
      <xdr:col>26</xdr:col>
      <xdr:colOff>19050</xdr:colOff>
      <xdr:row>19</xdr:row>
      <xdr:rowOff>114300</xdr:rowOff>
    </xdr:to>
    <xdr:sp macro="" textlink="">
      <xdr:nvSpPr>
        <xdr:cNvPr id="29" name="28 Rectángulo redondeado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17945100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100</xdr:row>
      <xdr:rowOff>28574</xdr:rowOff>
    </xdr:from>
    <xdr:to>
      <xdr:col>11</xdr:col>
      <xdr:colOff>638175</xdr:colOff>
      <xdr:row>233</xdr:row>
      <xdr:rowOff>76200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5516224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100</xdr:row>
      <xdr:rowOff>38100</xdr:rowOff>
    </xdr:from>
    <xdr:to>
      <xdr:col>10</xdr:col>
      <xdr:colOff>480511</xdr:colOff>
      <xdr:row>233</xdr:row>
      <xdr:rowOff>47625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7743853" y="16373475"/>
          <a:ext cx="1252008" cy="276225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100</xdr:row>
      <xdr:rowOff>47625</xdr:rowOff>
    </xdr:from>
    <xdr:to>
      <xdr:col>8</xdr:col>
      <xdr:colOff>902787</xdr:colOff>
      <xdr:row>233</xdr:row>
      <xdr:rowOff>57150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5791228" y="16383000"/>
          <a:ext cx="1779059" cy="276225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1" name="10 Imagen" descr="seguros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6007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0" name="9 Imagen" descr="seguro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4796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645583</xdr:colOff>
      <xdr:row>37</xdr:row>
      <xdr:rowOff>28574</xdr:rowOff>
    </xdr:from>
    <xdr:to>
      <xdr:col>11</xdr:col>
      <xdr:colOff>638175</xdr:colOff>
      <xdr:row>170</xdr:row>
      <xdr:rowOff>76200</xdr:rowOff>
    </xdr:to>
    <xdr:pic macro="[0]!imprimir">
      <xdr:nvPicPr>
        <xdr:cNvPr id="18" name="Pictur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160933" y="16363949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37</xdr:row>
      <xdr:rowOff>38100</xdr:rowOff>
    </xdr:from>
    <xdr:to>
      <xdr:col>10</xdr:col>
      <xdr:colOff>480511</xdr:colOff>
      <xdr:row>170</xdr:row>
      <xdr:rowOff>47625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7743853" y="5553075"/>
          <a:ext cx="1252008" cy="276225"/>
          <a:chOff x="9239249" y="7067550"/>
          <a:chExt cx="981076" cy="266700"/>
        </a:xfrm>
      </xdr:grpSpPr>
      <xdr:sp macro="[0]!Impresion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37</xdr:row>
      <xdr:rowOff>47625</xdr:rowOff>
    </xdr:from>
    <xdr:to>
      <xdr:col>8</xdr:col>
      <xdr:colOff>902787</xdr:colOff>
      <xdr:row>170</xdr:row>
      <xdr:rowOff>57150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91228" y="5562600"/>
          <a:ext cx="1779059" cy="276225"/>
          <a:chOff x="7858124" y="4762500"/>
          <a:chExt cx="1781176" cy="238125"/>
        </a:xfrm>
      </xdr:grpSpPr>
      <xdr:sp macro="[0]!Impresion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-a2243437lap\Galeana\Notas%20Tecnicas\2006\Gastos%20Medicos%20Mayores\+%20VISI&#211;N%20Grupo%20y%20Colectivo\CalculoTarifas%20gpo%20y%20colec_20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2276351/Desktop/TRANSFORMA/COTIZADORES%20TRANSFORMA/COTIZADOR%20TOTAL%20COMERCIAL_03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ORES"/>
      <sheetName val="TITULAR"/>
      <sheetName val="CONYUGE"/>
      <sheetName val="DEPENDIENTE"/>
      <sheetName val="VALORES"/>
      <sheetName val="CuadroEspecificacionesTARIFARIO"/>
      <sheetName val="COTIZACION"/>
      <sheetName val="IMPRESION"/>
      <sheetName val="TARIFARIO"/>
      <sheetName val="Instrucciones"/>
      <sheetName val="Cotizador"/>
      <sheetName val="CAMBIOS"/>
      <sheetName val="COTIZADOR TOTAL COMERCIAL_03201"/>
    </sheetNames>
    <definedNames>
      <definedName name="Tarifario_ir_cotizacion"/>
      <definedName name="Tarifario_volver_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pageSetUpPr fitToPage="1"/>
  </sheetPr>
  <dimension ref="A1:L33"/>
  <sheetViews>
    <sheetView windowProtection="1" showGridLines="0" showRowColHeaders="0" tabSelected="1" zoomScaleNormal="100" zoomScaleSheetLayoutView="110" workbookViewId="0">
      <selection activeCell="D9" sqref="D9"/>
    </sheetView>
  </sheetViews>
  <sheetFormatPr baseColWidth="10" defaultColWidth="0" defaultRowHeight="12.75" zeroHeight="1"/>
  <cols>
    <col min="1" max="12" width="15.5703125" customWidth="1"/>
    <col min="13" max="16384" width="11.42578125" hidden="1"/>
  </cols>
  <sheetData>
    <row r="1" spans="1:11" ht="9" customHeight="1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</row>
    <row r="2" spans="1:11" ht="9" customHeight="1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1" ht="6" customHeight="1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</row>
    <row r="4" spans="1:11" ht="6" customHeight="1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</row>
    <row r="5" spans="1:11" ht="6" customHeight="1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</row>
    <row r="6" spans="1:11">
      <c r="A6" s="91"/>
      <c r="B6" s="91"/>
      <c r="C6" s="91"/>
      <c r="D6" s="91"/>
      <c r="E6" s="91"/>
      <c r="F6" s="91"/>
      <c r="G6" s="91"/>
      <c r="H6" s="91"/>
      <c r="I6" s="91"/>
      <c r="J6" s="91"/>
      <c r="K6" s="91"/>
    </row>
    <row r="7" spans="1:11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</row>
    <row r="8" spans="1:11">
      <c r="A8" s="91"/>
      <c r="B8" s="91"/>
      <c r="C8" s="91"/>
      <c r="D8" s="91"/>
      <c r="E8" s="91"/>
      <c r="F8" s="91"/>
      <c r="G8" s="91"/>
      <c r="H8" s="91"/>
      <c r="I8" s="91"/>
      <c r="J8" s="91"/>
      <c r="K8" s="91"/>
    </row>
    <row r="9" spans="1:11">
      <c r="A9" s="91"/>
      <c r="B9" s="91"/>
      <c r="C9" s="91"/>
      <c r="D9" s="91"/>
      <c r="E9" s="91"/>
      <c r="F9" s="91"/>
      <c r="G9" s="91"/>
      <c r="H9" s="91"/>
      <c r="I9" s="91"/>
      <c r="J9" s="91"/>
      <c r="K9" s="91"/>
    </row>
    <row r="10" spans="1:11">
      <c r="A10" s="91"/>
      <c r="B10" s="91"/>
      <c r="C10" s="91"/>
      <c r="D10" s="91"/>
      <c r="E10" s="91"/>
      <c r="F10" s="91"/>
      <c r="G10" s="91"/>
      <c r="H10" s="91"/>
      <c r="I10" s="91"/>
      <c r="J10" s="91"/>
      <c r="K10" s="91"/>
    </row>
    <row r="11" spans="1:11">
      <c r="A11" s="91"/>
      <c r="B11" s="91"/>
      <c r="C11" s="91"/>
      <c r="D11" s="91"/>
      <c r="E11" s="91"/>
      <c r="F11" s="91"/>
      <c r="G11" s="91"/>
      <c r="H11" s="91"/>
      <c r="I11" s="91"/>
      <c r="J11" s="91"/>
      <c r="K11" s="91"/>
    </row>
    <row r="12" spans="1:11">
      <c r="A12" s="91"/>
      <c r="B12" s="91"/>
      <c r="C12" s="91"/>
      <c r="D12" s="91"/>
      <c r="E12" s="91"/>
      <c r="F12" s="91"/>
      <c r="G12" s="91"/>
      <c r="H12" s="91"/>
      <c r="I12" s="91"/>
      <c r="J12" s="91"/>
      <c r="K12" s="91"/>
    </row>
    <row r="13" spans="1:11">
      <c r="A13" s="91"/>
      <c r="B13" s="91"/>
      <c r="C13" s="91"/>
      <c r="D13" s="91"/>
      <c r="E13" s="91"/>
      <c r="F13" s="91"/>
      <c r="G13" s="91"/>
      <c r="H13" s="91"/>
      <c r="I13" s="91"/>
      <c r="J13" s="91"/>
      <c r="K13" s="91"/>
    </row>
    <row r="14" spans="1:11">
      <c r="A14" s="91"/>
      <c r="B14" s="91"/>
      <c r="C14" s="91"/>
      <c r="D14" s="91"/>
      <c r="E14" s="91"/>
      <c r="F14" s="91"/>
      <c r="G14" s="91"/>
      <c r="H14" s="91"/>
      <c r="I14" s="91"/>
      <c r="J14" s="91"/>
      <c r="K14" s="91"/>
    </row>
    <row r="15" spans="1:11">
      <c r="A15" s="91"/>
      <c r="B15" s="91"/>
      <c r="C15" s="91"/>
      <c r="D15" s="91"/>
      <c r="E15" s="91"/>
      <c r="F15" s="91"/>
      <c r="G15" s="91"/>
      <c r="H15" s="91"/>
      <c r="I15" s="91"/>
      <c r="J15" s="91"/>
      <c r="K15" s="91"/>
    </row>
    <row r="16" spans="1:11">
      <c r="A16" s="91"/>
      <c r="B16" s="91"/>
      <c r="C16" s="91"/>
      <c r="D16" s="91"/>
      <c r="E16" s="91"/>
      <c r="F16" s="91"/>
      <c r="G16" s="91"/>
      <c r="H16" s="91"/>
      <c r="I16" s="91"/>
      <c r="J16" s="91"/>
      <c r="K16" s="91"/>
    </row>
    <row r="17" spans="1:11">
      <c r="A17" s="91"/>
      <c r="B17" s="91"/>
      <c r="C17" s="91"/>
      <c r="D17" s="91"/>
      <c r="E17" s="91"/>
      <c r="F17" s="91"/>
      <c r="G17" s="91"/>
      <c r="H17" s="91"/>
      <c r="I17" s="91"/>
      <c r="J17" s="91"/>
      <c r="K17" s="91"/>
    </row>
    <row r="18" spans="1:11">
      <c r="A18" s="91"/>
      <c r="B18" s="91"/>
      <c r="C18" s="91"/>
      <c r="D18" s="91"/>
      <c r="E18" s="91"/>
      <c r="F18" s="91"/>
      <c r="G18" s="91"/>
      <c r="H18" s="91"/>
      <c r="I18" s="91"/>
      <c r="J18" s="91"/>
      <c r="K18" s="91"/>
    </row>
    <row r="19" spans="1:11">
      <c r="A19" s="91"/>
      <c r="B19" s="91"/>
      <c r="C19" s="91"/>
      <c r="D19" s="91"/>
      <c r="E19" s="91"/>
      <c r="F19" s="91"/>
      <c r="G19" s="91"/>
      <c r="H19" s="91"/>
      <c r="I19" s="91"/>
      <c r="J19" s="91"/>
      <c r="K19" s="91"/>
    </row>
    <row r="20" spans="1:11">
      <c r="A20" s="91"/>
      <c r="B20" s="91"/>
      <c r="C20" s="91"/>
      <c r="D20" s="91"/>
      <c r="E20" s="91"/>
      <c r="F20" s="91"/>
      <c r="G20" s="91"/>
      <c r="H20" s="91"/>
      <c r="I20" s="91"/>
      <c r="J20" s="91"/>
      <c r="K20" s="91"/>
    </row>
    <row r="21" spans="1:11">
      <c r="A21" s="91"/>
      <c r="B21" s="91"/>
      <c r="C21" s="91"/>
      <c r="D21" s="91"/>
      <c r="E21" s="91"/>
      <c r="F21" s="91"/>
      <c r="G21" s="91"/>
      <c r="H21" s="91"/>
      <c r="I21" s="91"/>
      <c r="J21" s="91"/>
      <c r="K21" s="91"/>
    </row>
    <row r="22" spans="1:11">
      <c r="A22" s="91"/>
      <c r="B22" s="91"/>
      <c r="C22" s="91"/>
      <c r="D22" s="91"/>
      <c r="E22" s="91"/>
      <c r="F22" s="91"/>
      <c r="G22" s="91"/>
      <c r="H22" s="91"/>
      <c r="I22" s="91"/>
      <c r="J22" s="91"/>
      <c r="K22" s="91"/>
    </row>
    <row r="23" spans="1:11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</row>
    <row r="24" spans="1:11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</row>
    <row r="25" spans="1:11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</row>
    <row r="26" spans="1:11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</row>
    <row r="29" spans="1:11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</row>
    <row r="30" spans="1:11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</row>
    <row r="31" spans="1:11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</row>
    <row r="32" spans="1:11">
      <c r="A32" s="91"/>
      <c r="B32" s="91"/>
      <c r="C32" s="91"/>
      <c r="D32" s="91"/>
      <c r="E32" s="91"/>
      <c r="F32" s="91"/>
      <c r="G32" s="91"/>
      <c r="H32" s="91"/>
      <c r="I32" s="91"/>
      <c r="J32" s="91"/>
      <c r="K32" s="91"/>
    </row>
    <row r="33" spans="1:11">
      <c r="A33" s="91"/>
      <c r="B33" s="91"/>
      <c r="C33" s="91"/>
      <c r="D33" s="91"/>
      <c r="E33" s="91"/>
      <c r="F33" s="91"/>
      <c r="G33" s="91"/>
      <c r="H33" s="91"/>
      <c r="I33" s="91"/>
      <c r="J33" s="91"/>
      <c r="K33" s="91"/>
    </row>
  </sheetData>
  <sheetProtection password="F6B9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scale="6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M64"/>
  <sheetViews>
    <sheetView windowProtection="1" showGridLines="0" showRowColHeaders="0" topLeftCell="A19" zoomScaleNormal="100" workbookViewId="0">
      <selection activeCell="B12" sqref="B12:I12"/>
    </sheetView>
  </sheetViews>
  <sheetFormatPr baseColWidth="10" defaultColWidth="0" defaultRowHeight="12.75" zeroHeight="1"/>
  <cols>
    <col min="1" max="5" width="11.42578125" customWidth="1"/>
    <col min="6" max="6" width="16.7109375" customWidth="1"/>
    <col min="7" max="8" width="11.42578125" customWidth="1"/>
    <col min="9" max="9" width="16.85546875" customWidth="1"/>
    <col min="10" max="12" width="11.42578125" customWidth="1"/>
    <col min="13" max="13" width="20.7109375" customWidth="1"/>
    <col min="14" max="16384" width="11.42578125" hidden="1"/>
  </cols>
  <sheetData>
    <row r="1" spans="1:10">
      <c r="A1" s="8"/>
      <c r="B1" s="8"/>
      <c r="C1" s="8"/>
      <c r="D1" s="8"/>
      <c r="E1" s="8"/>
      <c r="F1" s="8"/>
      <c r="G1" s="8"/>
      <c r="H1" s="8"/>
      <c r="I1" s="11"/>
    </row>
    <row r="2" spans="1:10">
      <c r="A2" s="8"/>
      <c r="B2" s="8"/>
      <c r="C2" s="8"/>
      <c r="D2" s="8"/>
      <c r="E2" s="8"/>
      <c r="F2" s="8"/>
      <c r="G2" s="8"/>
      <c r="H2" s="8"/>
      <c r="I2" s="11"/>
    </row>
    <row r="3" spans="1:10">
      <c r="A3" s="8"/>
      <c r="B3" s="8"/>
      <c r="C3" s="8"/>
      <c r="D3" s="8"/>
      <c r="E3" s="8"/>
      <c r="F3" s="8"/>
      <c r="G3" s="8"/>
      <c r="H3" s="8"/>
      <c r="I3" s="11"/>
    </row>
    <row r="4" spans="1:10">
      <c r="A4" s="8"/>
      <c r="B4" s="8"/>
      <c r="C4" s="8"/>
      <c r="D4" s="8"/>
      <c r="E4" s="8"/>
      <c r="F4" s="8"/>
      <c r="G4" s="8"/>
      <c r="H4" s="8"/>
      <c r="I4" s="8"/>
    </row>
    <row r="5" spans="1:10">
      <c r="A5" s="8"/>
      <c r="B5" s="8"/>
      <c r="C5" s="8"/>
      <c r="D5" s="8"/>
      <c r="E5" s="8"/>
      <c r="F5" s="8"/>
      <c r="G5" s="8"/>
      <c r="H5" s="8"/>
      <c r="I5" s="8"/>
    </row>
    <row r="6" spans="1:10">
      <c r="A6" s="8"/>
      <c r="B6" s="8"/>
      <c r="C6" s="8"/>
      <c r="D6" s="8"/>
      <c r="E6" s="8"/>
      <c r="F6" s="8"/>
      <c r="G6" s="8"/>
      <c r="H6" s="8"/>
      <c r="I6" s="8"/>
    </row>
    <row r="7" spans="1:10">
      <c r="A7" s="8"/>
      <c r="B7" s="9"/>
      <c r="C7" s="9"/>
      <c r="D7" s="9"/>
      <c r="E7" s="9"/>
      <c r="F7" s="9"/>
      <c r="G7" s="9"/>
      <c r="H7" s="9"/>
      <c r="I7" s="18">
        <f ca="1">TODAY()</f>
        <v>43844</v>
      </c>
    </row>
    <row r="8" spans="1:10">
      <c r="A8" s="8"/>
      <c r="B8" s="9"/>
      <c r="C8" s="9"/>
      <c r="D8" s="9"/>
      <c r="E8" s="9"/>
      <c r="F8" s="9"/>
      <c r="G8" s="9"/>
      <c r="H8" s="9"/>
      <c r="I8" s="9"/>
    </row>
    <row r="9" spans="1:10">
      <c r="A9" s="8"/>
      <c r="B9" s="9"/>
      <c r="C9" s="9"/>
      <c r="D9" s="10"/>
      <c r="E9" s="10"/>
      <c r="F9" s="8"/>
      <c r="G9" s="7"/>
      <c r="H9" s="7"/>
    </row>
    <row r="10" spans="1:10" ht="14.25">
      <c r="A10" s="6"/>
      <c r="B10" s="523" t="s">
        <v>62</v>
      </c>
      <c r="C10" s="523"/>
      <c r="D10" s="523"/>
      <c r="E10" s="523"/>
      <c r="F10" s="523"/>
      <c r="G10" s="523"/>
      <c r="H10" s="523"/>
      <c r="I10" s="523"/>
    </row>
    <row r="11" spans="1:10" ht="14.25">
      <c r="A11" s="6"/>
      <c r="B11" s="222"/>
      <c r="C11" s="222"/>
      <c r="D11" s="222"/>
      <c r="E11" s="222"/>
      <c r="F11" s="222"/>
      <c r="G11" s="222"/>
      <c r="H11" s="222"/>
      <c r="I11" s="222"/>
    </row>
    <row r="12" spans="1:10" ht="12.75" customHeight="1">
      <c r="A12" s="6"/>
      <c r="B12" s="516" t="s">
        <v>240</v>
      </c>
      <c r="C12" s="517"/>
      <c r="D12" s="517"/>
      <c r="E12" s="517"/>
      <c r="F12" s="517"/>
      <c r="G12" s="517"/>
      <c r="H12" s="517"/>
      <c r="I12" s="517"/>
      <c r="J12" s="98"/>
    </row>
    <row r="13" spans="1:10" ht="18" customHeight="1">
      <c r="A13" s="6"/>
      <c r="B13" s="526" t="s">
        <v>115</v>
      </c>
      <c r="C13" s="526"/>
      <c r="D13" s="526"/>
      <c r="E13" s="526"/>
      <c r="F13" s="526"/>
      <c r="G13" s="526"/>
      <c r="H13" s="526"/>
      <c r="I13" s="526"/>
      <c r="J13" s="98"/>
    </row>
    <row r="14" spans="1:10" ht="12.75" customHeight="1">
      <c r="A14" s="6"/>
      <c r="J14" s="95"/>
    </row>
    <row r="15" spans="1:10" ht="12.75" customHeight="1">
      <c r="A15" s="6"/>
      <c r="B15" s="524" t="s">
        <v>238</v>
      </c>
      <c r="C15" s="525"/>
      <c r="D15" s="525"/>
      <c r="E15" s="525"/>
      <c r="F15" s="525"/>
      <c r="G15" s="525"/>
      <c r="H15" s="525"/>
      <c r="I15" s="525"/>
      <c r="J15" s="95"/>
    </row>
    <row r="16" spans="1:10">
      <c r="A16" s="6"/>
      <c r="J16" s="97"/>
    </row>
    <row r="17" spans="1:10">
      <c r="A17" s="6"/>
      <c r="B17" s="516" t="s">
        <v>351</v>
      </c>
      <c r="C17" s="517"/>
      <c r="D17" s="517"/>
      <c r="E17" s="517"/>
      <c r="F17" s="517"/>
      <c r="G17" s="517"/>
      <c r="H17" s="517"/>
      <c r="I17" s="517"/>
      <c r="J17" s="97"/>
    </row>
    <row r="18" spans="1:10">
      <c r="A18" s="6"/>
      <c r="B18" s="516" t="s">
        <v>297</v>
      </c>
      <c r="C18" s="517"/>
      <c r="D18" s="517"/>
      <c r="E18" s="517"/>
      <c r="F18" s="517"/>
      <c r="G18" s="517"/>
      <c r="H18" s="517"/>
      <c r="I18" s="517"/>
    </row>
    <row r="19" spans="1:10">
      <c r="A19" s="6"/>
      <c r="B19" s="516" t="s">
        <v>298</v>
      </c>
      <c r="C19" s="517"/>
      <c r="D19" s="517"/>
      <c r="E19" s="517"/>
      <c r="F19" s="517"/>
      <c r="G19" s="517"/>
      <c r="H19" s="517"/>
      <c r="I19" s="517"/>
    </row>
    <row r="20" spans="1:10" ht="12.75" customHeight="1">
      <c r="A20" s="6"/>
      <c r="B20" s="516" t="s">
        <v>299</v>
      </c>
      <c r="C20" s="517"/>
      <c r="D20" s="517"/>
      <c r="E20" s="517"/>
      <c r="F20" s="517"/>
      <c r="G20" s="517"/>
      <c r="H20" s="517"/>
      <c r="I20" s="517"/>
    </row>
    <row r="21" spans="1:10">
      <c r="A21" s="6"/>
      <c r="B21" s="516" t="s">
        <v>300</v>
      </c>
      <c r="C21" s="517"/>
      <c r="D21" s="517"/>
      <c r="E21" s="517"/>
      <c r="F21" s="517"/>
      <c r="G21" s="517"/>
      <c r="H21" s="517"/>
      <c r="I21" s="517"/>
    </row>
    <row r="22" spans="1:10">
      <c r="A22" s="6"/>
      <c r="B22" s="516" t="s">
        <v>241</v>
      </c>
      <c r="C22" s="517"/>
      <c r="D22" s="517"/>
      <c r="E22" s="517"/>
      <c r="F22" s="517"/>
      <c r="G22" s="517"/>
      <c r="H22" s="517"/>
      <c r="I22" s="517"/>
    </row>
    <row r="23" spans="1:10" ht="12.75" customHeight="1">
      <c r="A23" s="6"/>
      <c r="B23" s="516" t="s">
        <v>301</v>
      </c>
      <c r="C23" s="517"/>
      <c r="D23" s="517"/>
      <c r="E23" s="517"/>
      <c r="F23" s="517"/>
      <c r="G23" s="517"/>
      <c r="H23" s="517"/>
      <c r="I23" s="517"/>
    </row>
    <row r="24" spans="1:10">
      <c r="A24" s="6"/>
      <c r="B24" s="516" t="s">
        <v>302</v>
      </c>
      <c r="C24" s="517"/>
      <c r="D24" s="517"/>
      <c r="E24" s="517"/>
      <c r="F24" s="517"/>
      <c r="G24" s="517"/>
      <c r="H24" s="517"/>
      <c r="I24" s="517"/>
    </row>
    <row r="25" spans="1:10">
      <c r="A25" s="6"/>
      <c r="B25" s="516" t="s">
        <v>303</v>
      </c>
      <c r="C25" s="517"/>
      <c r="D25" s="517"/>
      <c r="E25" s="517"/>
      <c r="F25" s="517"/>
      <c r="G25" s="517"/>
      <c r="H25" s="517"/>
      <c r="I25" s="517"/>
    </row>
    <row r="26" spans="1:10">
      <c r="A26" s="6"/>
      <c r="B26" s="520" t="s">
        <v>113</v>
      </c>
      <c r="C26" s="520"/>
      <c r="D26" s="520"/>
      <c r="E26" s="520"/>
      <c r="F26" s="520"/>
      <c r="G26" s="520"/>
      <c r="H26" s="520"/>
      <c r="I26" s="520"/>
    </row>
    <row r="27" spans="1:10">
      <c r="A27" s="6"/>
      <c r="B27" s="516" t="s">
        <v>304</v>
      </c>
      <c r="C27" s="517"/>
      <c r="D27" s="517"/>
      <c r="E27" s="517"/>
      <c r="F27" s="517"/>
      <c r="G27" s="517"/>
      <c r="H27" s="517"/>
      <c r="I27" s="517"/>
    </row>
    <row r="28" spans="1:10" ht="27.75" customHeight="1">
      <c r="A28" s="6"/>
      <c r="B28" s="518" t="s">
        <v>339</v>
      </c>
      <c r="C28" s="519"/>
      <c r="D28" s="519"/>
      <c r="E28" s="519"/>
      <c r="F28" s="519"/>
      <c r="G28" s="519"/>
      <c r="H28" s="519"/>
      <c r="I28" s="519"/>
    </row>
    <row r="29" spans="1:10">
      <c r="A29" s="6"/>
      <c r="B29" s="516" t="s">
        <v>305</v>
      </c>
      <c r="C29" s="517"/>
      <c r="D29" s="517"/>
      <c r="E29" s="517"/>
      <c r="F29" s="517"/>
      <c r="G29" s="517"/>
      <c r="H29" s="517"/>
      <c r="I29" s="517"/>
    </row>
    <row r="30" spans="1:10">
      <c r="A30" s="6"/>
      <c r="B30" s="516" t="s">
        <v>308</v>
      </c>
      <c r="C30" s="516"/>
      <c r="D30" s="516"/>
      <c r="E30" s="516"/>
      <c r="F30" s="516"/>
      <c r="G30" s="516"/>
      <c r="H30" s="516"/>
      <c r="I30" s="516"/>
    </row>
    <row r="31" spans="1:10" ht="12.75" customHeight="1">
      <c r="A31" s="93"/>
      <c r="B31" s="516" t="s">
        <v>309</v>
      </c>
      <c r="C31" s="517"/>
      <c r="D31" s="517"/>
      <c r="E31" s="517"/>
      <c r="F31" s="517"/>
      <c r="G31" s="517"/>
      <c r="H31" s="517"/>
      <c r="I31" s="517"/>
      <c r="J31" s="94"/>
    </row>
    <row r="32" spans="1:10" ht="12.75" customHeight="1">
      <c r="A32" s="93"/>
      <c r="B32" s="516" t="s">
        <v>310</v>
      </c>
      <c r="C32" s="517"/>
      <c r="D32" s="517"/>
      <c r="E32" s="517"/>
      <c r="F32" s="517"/>
      <c r="G32" s="517"/>
      <c r="H32" s="517"/>
      <c r="I32" s="517"/>
      <c r="J32" s="94"/>
    </row>
    <row r="33" spans="1:12" ht="12.75" customHeight="1">
      <c r="A33" s="93"/>
      <c r="B33" s="516"/>
      <c r="C33" s="517"/>
      <c r="D33" s="517"/>
      <c r="E33" s="517"/>
      <c r="F33" s="517"/>
      <c r="G33" s="517"/>
      <c r="H33" s="517"/>
      <c r="I33" s="517"/>
      <c r="J33" s="94"/>
    </row>
    <row r="34" spans="1:12" ht="12.75" customHeight="1">
      <c r="A34" s="93"/>
      <c r="B34" s="521"/>
      <c r="C34" s="521"/>
      <c r="D34" s="521"/>
      <c r="E34" s="521"/>
      <c r="F34" s="521"/>
      <c r="G34" s="521"/>
      <c r="H34" s="521"/>
      <c r="I34" s="521"/>
      <c r="J34" s="96"/>
      <c r="K34" s="94"/>
      <c r="L34" s="94"/>
    </row>
    <row r="35" spans="1:12">
      <c r="A35" s="93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</row>
    <row r="36" spans="1:12">
      <c r="A36" s="6"/>
    </row>
    <row r="37" spans="1:12">
      <c r="A37" s="6"/>
    </row>
    <row r="38" spans="1:12">
      <c r="A38" s="6"/>
      <c r="B38" s="522"/>
      <c r="C38" s="522"/>
      <c r="D38" s="522"/>
      <c r="E38" s="522"/>
      <c r="F38" s="522"/>
      <c r="G38" s="522"/>
      <c r="H38" s="522"/>
      <c r="I38" s="522"/>
    </row>
    <row r="39" spans="1:12" hidden="1">
      <c r="A39" s="6"/>
      <c r="B39" s="223"/>
      <c r="C39" s="223"/>
      <c r="D39" s="223"/>
      <c r="E39" s="223"/>
      <c r="F39" s="223"/>
      <c r="G39" s="223"/>
      <c r="H39" s="223"/>
      <c r="I39" s="223"/>
    </row>
    <row r="40" spans="1:12" hidden="1">
      <c r="A40" s="6"/>
      <c r="B40" s="5"/>
      <c r="C40" s="5"/>
      <c r="D40" s="5"/>
      <c r="E40" s="5"/>
      <c r="F40" s="5"/>
      <c r="G40" s="5"/>
      <c r="H40" s="5"/>
      <c r="I40" s="5"/>
    </row>
    <row r="41" spans="1:12" hidden="1">
      <c r="A41" s="6"/>
      <c r="B41" s="5"/>
      <c r="C41" s="5"/>
      <c r="D41" s="5"/>
      <c r="E41" s="5"/>
      <c r="F41" s="5"/>
      <c r="G41" s="5"/>
      <c r="H41" s="5"/>
      <c r="I41" s="5"/>
    </row>
    <row r="42" spans="1:12" hidden="1">
      <c r="A42" s="6"/>
      <c r="B42" s="5"/>
      <c r="C42" s="5"/>
      <c r="D42" s="5"/>
      <c r="E42" s="5"/>
      <c r="F42" s="5"/>
      <c r="G42" s="5"/>
      <c r="H42" s="5"/>
      <c r="I42" s="5"/>
    </row>
    <row r="43" spans="1:12" hidden="1">
      <c r="A43" s="6"/>
      <c r="B43" s="5"/>
      <c r="C43" s="5"/>
      <c r="D43" s="5"/>
      <c r="E43" s="5"/>
      <c r="F43" s="5"/>
      <c r="G43" s="5"/>
      <c r="H43" s="5"/>
      <c r="I43" s="5"/>
    </row>
    <row r="44" spans="1:12"/>
    <row r="45" spans="1:12"/>
    <row r="46" spans="1:12"/>
    <row r="47" spans="1:12" hidden="1"/>
    <row r="48" spans="1:12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/>
    <row r="60"/>
    <row r="61"/>
    <row r="62"/>
    <row r="63"/>
    <row r="64"/>
  </sheetData>
  <sheetProtection password="F6B9" sheet="1" objects="1" scenarios="1"/>
  <mergeCells count="23">
    <mergeCell ref="B10:I10"/>
    <mergeCell ref="B18:I18"/>
    <mergeCell ref="B19:I19"/>
    <mergeCell ref="B21:I21"/>
    <mergeCell ref="B23:I23"/>
    <mergeCell ref="B12:I12"/>
    <mergeCell ref="B15:I15"/>
    <mergeCell ref="B22:I22"/>
    <mergeCell ref="B13:I13"/>
    <mergeCell ref="B17:I17"/>
    <mergeCell ref="B20:I20"/>
    <mergeCell ref="B34:I34"/>
    <mergeCell ref="B32:I32"/>
    <mergeCell ref="B38:I38"/>
    <mergeCell ref="B31:I31"/>
    <mergeCell ref="B33:I33"/>
    <mergeCell ref="B30:I30"/>
    <mergeCell ref="B29:I29"/>
    <mergeCell ref="B28:I28"/>
    <mergeCell ref="B24:I24"/>
    <mergeCell ref="B25:I25"/>
    <mergeCell ref="B27:I27"/>
    <mergeCell ref="B26:I26"/>
  </mergeCells>
  <printOptions horizontalCentered="1"/>
  <pageMargins left="0.70866141732283472" right="0.70866141732283472" top="0.74803149606299213" bottom="0.74803149606299213" header="0.31496062992125984" footer="0.31496062992125984"/>
  <pageSetup scale="6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indexed="9"/>
    <pageSetUpPr fitToPage="1"/>
  </sheetPr>
  <dimension ref="A1:W210"/>
  <sheetViews>
    <sheetView windowProtection="1" showGridLines="0" topLeftCell="A23" zoomScale="85" zoomScaleNormal="85" workbookViewId="0">
      <selection activeCell="D7" sqref="D7"/>
    </sheetView>
  </sheetViews>
  <sheetFormatPr baseColWidth="10" defaultColWidth="0" defaultRowHeight="10.5" zeroHeight="1"/>
  <cols>
    <col min="1" max="1" width="5.28515625" style="100" bestFit="1" customWidth="1"/>
    <col min="2" max="2" width="32.5703125" style="13" customWidth="1"/>
    <col min="3" max="3" width="37.42578125" style="13" customWidth="1"/>
    <col min="4" max="4" width="24.28515625" style="13" customWidth="1"/>
    <col min="5" max="5" width="14" style="13" customWidth="1"/>
    <col min="6" max="6" width="17.85546875" style="13" bestFit="1" customWidth="1"/>
    <col min="7" max="7" width="15.140625" style="13" customWidth="1"/>
    <col min="8" max="8" width="17.7109375" style="13" customWidth="1"/>
    <col min="9" max="9" width="14.85546875" style="13" customWidth="1"/>
    <col min="10" max="10" width="14.28515625" style="13" customWidth="1"/>
    <col min="11" max="11" width="3.140625" style="13" customWidth="1"/>
    <col min="12" max="12" width="7" style="14" hidden="1" customWidth="1"/>
    <col min="13" max="13" width="12.5703125" style="13" hidden="1" customWidth="1"/>
    <col min="14" max="14" width="11.7109375" style="13" hidden="1" customWidth="1"/>
    <col min="15" max="15" width="13.42578125" style="13" hidden="1" customWidth="1"/>
    <col min="16" max="16" width="11.42578125" style="13" hidden="1" customWidth="1"/>
    <col min="17" max="17" width="8" style="13" hidden="1" customWidth="1"/>
    <col min="18" max="19" width="11.42578125" style="13" hidden="1" customWidth="1"/>
    <col min="20" max="20" width="15.5703125" style="13" hidden="1" customWidth="1"/>
    <col min="21" max="21" width="13.5703125" style="13" hidden="1" customWidth="1"/>
    <col min="22" max="16384" width="11.42578125" style="13" hidden="1"/>
  </cols>
  <sheetData>
    <row r="1" spans="1:20" ht="18.75" customHeight="1">
      <c r="A1" s="371"/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20" ht="14.25">
      <c r="A2" s="371"/>
      <c r="B2" s="533"/>
      <c r="C2" s="533"/>
      <c r="D2" s="375"/>
      <c r="E2" s="375"/>
      <c r="F2" s="375"/>
      <c r="G2" s="375"/>
      <c r="H2" s="375"/>
      <c r="I2" s="375"/>
      <c r="J2" s="375"/>
      <c r="K2" s="375"/>
    </row>
    <row r="3" spans="1:20" ht="12.75">
      <c r="A3" s="371"/>
      <c r="B3" s="534"/>
      <c r="C3" s="534"/>
      <c r="D3" s="375"/>
      <c r="E3" s="375"/>
      <c r="F3" s="375"/>
      <c r="G3" s="375"/>
      <c r="H3" s="375"/>
      <c r="I3" s="375"/>
      <c r="J3" s="375"/>
      <c r="K3" s="375"/>
    </row>
    <row r="4" spans="1:20" s="21" customFormat="1" ht="14.25" customHeight="1">
      <c r="A4" s="371"/>
      <c r="B4" s="376"/>
      <c r="C4" s="376"/>
      <c r="D4" s="376"/>
      <c r="E4" s="376"/>
      <c r="F4" s="376"/>
      <c r="G4" s="376"/>
      <c r="H4" s="376"/>
      <c r="I4" s="376"/>
      <c r="J4" s="376"/>
      <c r="K4" s="376"/>
      <c r="L4" s="22"/>
      <c r="M4" s="22"/>
      <c r="Q4" s="22"/>
      <c r="R4" s="22"/>
      <c r="S4" s="22"/>
      <c r="T4" s="23"/>
    </row>
    <row r="5" spans="1:20" s="21" customFormat="1" ht="12.75" customHeight="1">
      <c r="A5" s="372"/>
      <c r="B5" s="536" t="s">
        <v>57</v>
      </c>
      <c r="C5" s="536"/>
      <c r="D5" s="536"/>
      <c r="E5" s="388"/>
      <c r="F5" s="376"/>
      <c r="G5" s="376"/>
      <c r="H5" s="376"/>
      <c r="I5" s="376"/>
      <c r="J5" s="376"/>
      <c r="K5" s="376"/>
      <c r="L5" s="22"/>
      <c r="M5" s="22"/>
      <c r="Q5" s="22"/>
      <c r="R5" s="22"/>
      <c r="S5" s="22"/>
      <c r="T5" s="22"/>
    </row>
    <row r="6" spans="1:20" s="21" customFormat="1" ht="12.75" customHeight="1">
      <c r="A6" s="372"/>
      <c r="B6" s="536"/>
      <c r="C6" s="536"/>
      <c r="D6" s="536"/>
      <c r="E6" s="376"/>
      <c r="F6" s="376"/>
      <c r="G6" s="376"/>
      <c r="H6" s="376"/>
      <c r="I6" s="376"/>
      <c r="J6" s="376"/>
      <c r="K6" s="376"/>
      <c r="L6" s="22"/>
      <c r="M6" s="22"/>
      <c r="Q6" s="22"/>
      <c r="R6" s="22"/>
      <c r="S6" s="22"/>
      <c r="T6" s="22"/>
    </row>
    <row r="7" spans="1:20" s="21" customFormat="1" ht="12.75" customHeight="1">
      <c r="A7" s="372"/>
      <c r="B7" s="377" t="s">
        <v>369</v>
      </c>
      <c r="C7" s="378"/>
      <c r="D7" s="170" t="s">
        <v>247</v>
      </c>
      <c r="E7" s="442" t="str">
        <f>IF(AND(D7="Nueva",E28&gt;64),"COTIZACION INVALIDA",IF(AND(D7="Nueva",E29&gt;64),"COTIZACION INVALIDA","OK"))</f>
        <v>OK</v>
      </c>
      <c r="F7" s="376"/>
      <c r="G7" s="376"/>
      <c r="H7" s="376"/>
      <c r="I7" s="376"/>
      <c r="J7" s="376"/>
      <c r="K7" s="376"/>
      <c r="L7" s="22"/>
      <c r="M7" s="22"/>
      <c r="Q7" s="22"/>
      <c r="R7" s="22"/>
      <c r="S7" s="22"/>
      <c r="T7" s="22"/>
    </row>
    <row r="8" spans="1:20" s="21" customFormat="1" ht="12.75">
      <c r="A8" s="372"/>
      <c r="B8" s="377" t="s">
        <v>179</v>
      </c>
      <c r="C8" s="378"/>
      <c r="D8" s="170" t="s">
        <v>353</v>
      </c>
      <c r="E8" s="389"/>
      <c r="F8" s="439"/>
      <c r="G8" s="376"/>
      <c r="H8" s="376"/>
      <c r="I8" s="376"/>
      <c r="J8" s="376"/>
      <c r="K8" s="376"/>
      <c r="L8" s="22"/>
      <c r="M8" s="22"/>
      <c r="Q8" s="22"/>
      <c r="R8" s="22"/>
      <c r="S8" s="22"/>
      <c r="T8" s="22"/>
    </row>
    <row r="9" spans="1:20" s="21" customFormat="1" ht="12.75">
      <c r="A9" s="372"/>
      <c r="B9" s="379" t="s">
        <v>190</v>
      </c>
      <c r="C9" s="378"/>
      <c r="D9" s="170" t="s">
        <v>48</v>
      </c>
      <c r="E9" s="390"/>
      <c r="F9" s="94"/>
      <c r="G9" s="436"/>
      <c r="H9" s="376"/>
      <c r="I9" s="376"/>
      <c r="J9" s="376"/>
      <c r="K9" s="376"/>
      <c r="L9" s="22"/>
      <c r="M9" s="22"/>
      <c r="Q9" s="22"/>
      <c r="R9" s="22"/>
      <c r="S9" s="22"/>
      <c r="T9" s="22"/>
    </row>
    <row r="10" spans="1:20" s="21" customFormat="1" ht="14.25" customHeight="1">
      <c r="A10" s="372"/>
      <c r="B10" s="379" t="s">
        <v>17</v>
      </c>
      <c r="C10" s="380"/>
      <c r="D10" s="171">
        <v>100000000</v>
      </c>
      <c r="E10" s="391"/>
      <c r="F10" s="94"/>
      <c r="G10" s="437"/>
      <c r="H10" s="376"/>
      <c r="I10" s="376"/>
      <c r="J10" s="376"/>
      <c r="K10" s="376"/>
      <c r="L10" s="22"/>
      <c r="M10" s="22"/>
      <c r="Q10" s="22"/>
      <c r="R10" s="22"/>
      <c r="S10" s="22"/>
      <c r="T10" s="22"/>
    </row>
    <row r="11" spans="1:20" s="21" customFormat="1" ht="14.25" customHeight="1">
      <c r="A11" s="372"/>
      <c r="B11" s="377" t="s">
        <v>250</v>
      </c>
      <c r="C11" s="378"/>
      <c r="D11" s="170" t="s">
        <v>251</v>
      </c>
      <c r="E11" s="391"/>
      <c r="F11" s="440"/>
      <c r="G11" s="437"/>
      <c r="H11" s="376"/>
      <c r="I11" s="376"/>
      <c r="J11" s="376"/>
      <c r="K11" s="376"/>
      <c r="L11" s="22"/>
      <c r="M11" s="22"/>
      <c r="Q11" s="22"/>
      <c r="R11" s="22"/>
      <c r="S11" s="22"/>
      <c r="T11" s="22"/>
    </row>
    <row r="12" spans="1:20" s="21" customFormat="1" ht="14.25" customHeight="1">
      <c r="A12" s="372"/>
      <c r="B12" s="379" t="s">
        <v>19</v>
      </c>
      <c r="C12" s="380"/>
      <c r="D12" s="172">
        <v>12000</v>
      </c>
      <c r="E12" s="388"/>
      <c r="F12" s="440"/>
      <c r="G12" s="437"/>
      <c r="H12" s="376"/>
      <c r="I12" s="376"/>
      <c r="J12" s="376"/>
      <c r="K12" s="376"/>
      <c r="L12" s="22"/>
      <c r="M12" s="535"/>
      <c r="N12" s="535"/>
      <c r="O12" s="535"/>
      <c r="P12" s="535"/>
      <c r="Q12" s="535"/>
      <c r="R12" s="535"/>
      <c r="S12" s="535"/>
      <c r="T12" s="535"/>
    </row>
    <row r="13" spans="1:20" s="21" customFormat="1" ht="14.25" customHeight="1">
      <c r="A13" s="372"/>
      <c r="B13" s="379" t="s">
        <v>20</v>
      </c>
      <c r="C13" s="376"/>
      <c r="D13" s="173" t="s">
        <v>256</v>
      </c>
      <c r="E13" s="388"/>
      <c r="F13" s="440"/>
      <c r="G13" s="437"/>
      <c r="H13" s="376"/>
      <c r="I13" s="376"/>
      <c r="J13" s="376"/>
      <c r="K13" s="376"/>
      <c r="L13" s="22"/>
      <c r="M13" s="218"/>
      <c r="N13" s="218"/>
      <c r="O13" s="218"/>
      <c r="P13" s="218"/>
      <c r="Q13" s="218"/>
      <c r="R13" s="218"/>
      <c r="S13" s="218"/>
      <c r="T13" s="218"/>
    </row>
    <row r="14" spans="1:20" s="21" customFormat="1" ht="14.25" customHeight="1">
      <c r="A14" s="372"/>
      <c r="B14" s="379" t="s">
        <v>83</v>
      </c>
      <c r="C14" s="376"/>
      <c r="D14" s="174" t="s">
        <v>235</v>
      </c>
      <c r="E14" s="388"/>
      <c r="F14" s="440"/>
      <c r="G14" s="437"/>
      <c r="H14" s="376"/>
      <c r="I14" s="376"/>
      <c r="J14" s="376"/>
      <c r="K14" s="376"/>
      <c r="L14" s="22"/>
      <c r="M14" s="218"/>
      <c r="N14" s="218"/>
      <c r="O14" s="218"/>
      <c r="P14" s="218"/>
      <c r="Q14" s="218"/>
      <c r="R14" s="218"/>
      <c r="S14" s="218"/>
      <c r="T14" s="218"/>
    </row>
    <row r="15" spans="1:20" s="21" customFormat="1" ht="14.25" hidden="1" customHeight="1">
      <c r="A15" s="372"/>
      <c r="B15" s="379" t="s">
        <v>184</v>
      </c>
      <c r="C15" s="376"/>
      <c r="D15" s="384">
        <f>VLOOKUP(D14,FACTORES!$N$3:$P$34,2,0)</f>
        <v>8</v>
      </c>
      <c r="E15" s="388"/>
      <c r="F15" s="382"/>
      <c r="G15" s="376"/>
      <c r="H15" s="376"/>
      <c r="I15" s="376"/>
      <c r="J15" s="376"/>
      <c r="K15" s="376"/>
      <c r="L15" s="22"/>
      <c r="M15" s="218"/>
      <c r="N15" s="218"/>
      <c r="O15" s="218"/>
      <c r="P15" s="218"/>
      <c r="Q15" s="218"/>
      <c r="R15" s="218"/>
      <c r="S15" s="218"/>
      <c r="T15" s="218"/>
    </row>
    <row r="16" spans="1:20" s="21" customFormat="1" ht="12.75" hidden="1" customHeight="1">
      <c r="A16" s="373"/>
      <c r="B16" s="379" t="s">
        <v>259</v>
      </c>
      <c r="C16" s="379"/>
      <c r="D16" s="410" t="s">
        <v>43</v>
      </c>
      <c r="E16" s="392"/>
      <c r="F16" s="393"/>
      <c r="G16" s="376"/>
      <c r="H16" s="394"/>
      <c r="I16" s="376"/>
      <c r="J16" s="376"/>
      <c r="K16" s="376"/>
      <c r="L16" s="22"/>
      <c r="M16" s="218"/>
      <c r="N16" s="218"/>
      <c r="O16" s="218"/>
      <c r="P16" s="218"/>
      <c r="Q16" s="218"/>
      <c r="R16" s="218"/>
      <c r="S16" s="218"/>
      <c r="T16" s="218"/>
    </row>
    <row r="17" spans="1:20" s="21" customFormat="1" ht="14.25" customHeight="1">
      <c r="A17" s="372"/>
      <c r="B17" s="379" t="s">
        <v>61</v>
      </c>
      <c r="C17" s="376"/>
      <c r="D17" s="170" t="s">
        <v>44</v>
      </c>
      <c r="E17" s="392" t="str">
        <f>IF(D12&gt;50000,"Gasto por parto o cesárea incluido en cobertura básica de hasta $20,000",IF(D17="NO","Gasto por parto o cesárea incluido en cobertura básica de hasta $20,000","Gasto por parto o cesárea con cobertura incremental contratada, hasta"&amp;" $ "&amp;D17))</f>
        <v>Gasto por parto o cesárea incluido en cobertura básica de hasta $20,000</v>
      </c>
      <c r="F17" s="435"/>
      <c r="G17" s="376"/>
      <c r="H17" s="376"/>
      <c r="I17" s="380"/>
      <c r="J17" s="380"/>
      <c r="K17" s="376"/>
      <c r="L17" s="22"/>
      <c r="M17" s="218"/>
      <c r="N17" s="218"/>
      <c r="O17" s="25"/>
      <c r="P17" s="25"/>
      <c r="Q17" s="22"/>
      <c r="R17" s="22"/>
      <c r="S17" s="22"/>
      <c r="T17" s="26"/>
    </row>
    <row r="18" spans="1:20" s="21" customFormat="1" ht="14.25" customHeight="1">
      <c r="A18" s="372"/>
      <c r="B18" s="379" t="s">
        <v>173</v>
      </c>
      <c r="C18" s="381"/>
      <c r="D18" s="170" t="s">
        <v>44</v>
      </c>
      <c r="E18" s="376"/>
      <c r="F18" s="382"/>
      <c r="G18" s="438"/>
      <c r="H18" s="376"/>
      <c r="I18" s="380"/>
      <c r="J18" s="380"/>
      <c r="K18" s="376"/>
      <c r="L18" s="538"/>
      <c r="M18" s="538"/>
      <c r="N18" s="538"/>
      <c r="O18" s="538"/>
      <c r="P18" s="538"/>
      <c r="Q18" s="538"/>
      <c r="R18" s="538"/>
      <c r="S18" s="538"/>
      <c r="T18" s="538"/>
    </row>
    <row r="19" spans="1:20" s="21" customFormat="1" ht="14.25" customHeight="1">
      <c r="A19" s="372"/>
      <c r="B19" s="379" t="s">
        <v>239</v>
      </c>
      <c r="C19" s="376"/>
      <c r="D19" s="174" t="s">
        <v>44</v>
      </c>
      <c r="E19" s="396" t="str">
        <f>IF(AND(D19&lt;&gt;"NO",SUM(A28:A35)&lt;1),"COBERTURA NO PERMITIDA POR EDAD","")</f>
        <v/>
      </c>
      <c r="F19" s="395"/>
      <c r="G19" s="376"/>
      <c r="H19" s="376"/>
      <c r="I19" s="397"/>
      <c r="J19" s="380"/>
      <c r="K19" s="376"/>
      <c r="L19" s="538"/>
      <c r="M19" s="538"/>
      <c r="N19" s="538"/>
      <c r="O19" s="538"/>
      <c r="P19" s="538"/>
      <c r="Q19" s="538"/>
      <c r="R19" s="538"/>
      <c r="S19" s="538"/>
      <c r="T19" s="538"/>
    </row>
    <row r="20" spans="1:20" s="21" customFormat="1" ht="14.25" customHeight="1">
      <c r="A20" s="372"/>
      <c r="B20" s="379" t="s">
        <v>114</v>
      </c>
      <c r="C20" s="376"/>
      <c r="D20" s="170" t="s">
        <v>44</v>
      </c>
      <c r="E20" s="396" t="str">
        <f>+IF(D8="T","No es posible contratar cobertura en el extranjero en este nivel Hospitalario","")</f>
        <v/>
      </c>
      <c r="F20" s="382"/>
      <c r="G20" s="376"/>
      <c r="H20" s="376"/>
      <c r="I20" s="380"/>
      <c r="J20" s="380"/>
      <c r="K20" s="376"/>
      <c r="L20" s="22"/>
      <c r="M20" s="27"/>
      <c r="N20" s="28"/>
      <c r="O20" s="28"/>
      <c r="P20" s="28"/>
      <c r="Q20" s="22"/>
      <c r="R20" s="22"/>
      <c r="S20" s="22"/>
      <c r="T20" s="22"/>
    </row>
    <row r="21" spans="1:20" s="224" customFormat="1" ht="14.25" customHeight="1">
      <c r="A21" s="374"/>
      <c r="B21" s="377"/>
      <c r="C21" s="382"/>
      <c r="D21" s="387"/>
      <c r="E21" s="382"/>
      <c r="F21" s="395"/>
      <c r="G21" s="382"/>
      <c r="H21" s="382"/>
      <c r="I21" s="398"/>
      <c r="J21" s="398"/>
      <c r="K21" s="382"/>
      <c r="L21" s="258"/>
      <c r="M21" s="259"/>
      <c r="N21" s="260"/>
      <c r="O21" s="260"/>
      <c r="P21" s="260"/>
      <c r="Q21" s="258"/>
      <c r="R21" s="258"/>
      <c r="S21" s="258"/>
      <c r="T21" s="258"/>
    </row>
    <row r="22" spans="1:20" s="21" customFormat="1" ht="14.25" customHeight="1">
      <c r="A22" s="372"/>
      <c r="B22" s="379" t="s">
        <v>253</v>
      </c>
      <c r="C22" s="376"/>
      <c r="D22" s="173">
        <v>0</v>
      </c>
      <c r="E22" s="376"/>
      <c r="F22" s="395"/>
      <c r="G22" s="376"/>
      <c r="H22" s="376"/>
      <c r="I22" s="380"/>
      <c r="J22" s="380"/>
      <c r="K22" s="376"/>
      <c r="L22" s="22"/>
      <c r="M22" s="27"/>
      <c r="N22" s="28"/>
      <c r="O22" s="28"/>
      <c r="P22" s="28"/>
      <c r="Q22" s="22"/>
      <c r="R22" s="22"/>
      <c r="S22" s="22"/>
      <c r="T22" s="22"/>
    </row>
    <row r="23" spans="1:20" ht="12.75" customHeight="1">
      <c r="A23" s="372"/>
      <c r="B23" s="383" t="s">
        <v>80</v>
      </c>
      <c r="C23" s="375"/>
      <c r="D23" s="411">
        <v>0.16</v>
      </c>
      <c r="E23" s="375"/>
      <c r="F23" s="395"/>
      <c r="G23" s="376"/>
      <c r="H23" s="376"/>
      <c r="I23" s="376"/>
      <c r="J23" s="376"/>
      <c r="K23" s="376"/>
      <c r="L23" s="29"/>
      <c r="M23" s="17"/>
      <c r="N23" s="30"/>
      <c r="O23" s="30"/>
      <c r="P23" s="30"/>
      <c r="Q23" s="17"/>
      <c r="R23" s="31"/>
      <c r="S23" s="32"/>
      <c r="T23" s="17"/>
    </row>
    <row r="24" spans="1:20" s="21" customFormat="1" ht="21.75" hidden="1" customHeight="1">
      <c r="A24" s="372"/>
      <c r="B24" s="379" t="s">
        <v>80</v>
      </c>
      <c r="C24" s="376"/>
      <c r="D24" s="412">
        <v>0.16</v>
      </c>
      <c r="E24" s="376"/>
      <c r="F24" s="382"/>
      <c r="G24" s="376"/>
      <c r="H24" s="376"/>
      <c r="I24" s="376"/>
      <c r="J24" s="376"/>
      <c r="K24" s="376"/>
      <c r="L24" s="29"/>
      <c r="M24" s="17"/>
      <c r="N24" s="30"/>
      <c r="O24" s="30"/>
      <c r="P24" s="30"/>
      <c r="Q24" s="17"/>
      <c r="R24" s="33"/>
      <c r="S24" s="17"/>
      <c r="T24" s="17"/>
    </row>
    <row r="25" spans="1:20" s="21" customFormat="1" ht="13.5" customHeight="1">
      <c r="A25" s="372"/>
      <c r="B25" s="376"/>
      <c r="C25" s="376"/>
      <c r="D25" s="376"/>
      <c r="E25" s="385"/>
      <c r="F25" s="386"/>
      <c r="G25" s="385"/>
      <c r="H25" s="376"/>
      <c r="I25" s="376"/>
      <c r="J25" s="376"/>
      <c r="K25" s="376"/>
      <c r="L25" s="17"/>
      <c r="M25" s="17"/>
      <c r="N25" s="30"/>
      <c r="O25" s="30"/>
      <c r="P25" s="30"/>
      <c r="Q25" s="17"/>
      <c r="R25" s="34"/>
      <c r="S25" s="17"/>
      <c r="T25" s="17"/>
    </row>
    <row r="26" spans="1:20" s="21" customFormat="1">
      <c r="A26" s="372"/>
      <c r="B26" s="376"/>
      <c r="C26" s="376"/>
      <c r="D26" s="376"/>
      <c r="E26" s="376"/>
      <c r="F26" s="382"/>
      <c r="G26" s="376"/>
      <c r="H26" s="376"/>
      <c r="I26" s="376"/>
      <c r="J26" s="376"/>
      <c r="K26" s="376"/>
      <c r="L26" s="17"/>
      <c r="M26" s="17"/>
      <c r="N26" s="30"/>
      <c r="O26" s="30"/>
      <c r="P26" s="30"/>
      <c r="Q26" s="17"/>
      <c r="R26" s="17"/>
      <c r="S26" s="17"/>
      <c r="T26" s="17"/>
    </row>
    <row r="27" spans="1:20" s="21" customFormat="1" ht="30" customHeight="1">
      <c r="A27" s="372"/>
      <c r="B27" s="413" t="s">
        <v>200</v>
      </c>
      <c r="C27" s="413" t="s">
        <v>40</v>
      </c>
      <c r="D27" s="413" t="s">
        <v>199</v>
      </c>
      <c r="E27" s="413" t="s">
        <v>5</v>
      </c>
      <c r="F27" s="382"/>
      <c r="G27" s="414" t="s">
        <v>201</v>
      </c>
      <c r="H27" s="414" t="s">
        <v>202</v>
      </c>
      <c r="I27" s="414" t="s">
        <v>203</v>
      </c>
      <c r="J27" s="414" t="s">
        <v>204</v>
      </c>
      <c r="K27" s="376"/>
      <c r="L27" s="29"/>
      <c r="M27" s="17"/>
      <c r="N27" s="30"/>
      <c r="O27" s="35"/>
      <c r="P27" s="36"/>
      <c r="Q27" s="17"/>
      <c r="R27" s="37"/>
      <c r="S27" s="17"/>
      <c r="T27" s="17"/>
    </row>
    <row r="28" spans="1:20" s="21" customFormat="1" ht="15" customHeight="1">
      <c r="A28" s="372">
        <f>+IF(AND(E28&gt;=18,E28&lt;60),1,0)</f>
        <v>0</v>
      </c>
      <c r="B28" s="415" t="s">
        <v>58</v>
      </c>
      <c r="C28" s="228"/>
      <c r="D28" s="229"/>
      <c r="E28" s="229"/>
      <c r="F28" s="399" t="str">
        <f>+IF(E28="","",IF(D9="FAMILIAR",IF(E28&lt;18,"Edad no permitida",""),""))</f>
        <v/>
      </c>
      <c r="G28" s="416" t="s">
        <v>41</v>
      </c>
      <c r="H28" s="417">
        <f>+IMPRESION!E87</f>
        <v>0</v>
      </c>
      <c r="I28" s="417">
        <f>+IMPRESION!F87</f>
        <v>0</v>
      </c>
      <c r="J28" s="418">
        <f>+IMPRESION!G87</f>
        <v>0</v>
      </c>
      <c r="K28" s="376"/>
      <c r="L28" s="220"/>
      <c r="M28" s="220"/>
      <c r="N28" s="219"/>
      <c r="O28" s="35"/>
      <c r="P28" s="38"/>
      <c r="Q28" s="39"/>
      <c r="R28" s="37"/>
      <c r="S28" s="220"/>
      <c r="T28" s="220"/>
    </row>
    <row r="29" spans="1:20" s="21" customFormat="1" ht="15" customHeight="1">
      <c r="A29" s="372">
        <f t="shared" ref="A29:A35" si="0">+IF(AND(E29&gt;=18,E29&lt;60),1,0)</f>
        <v>0</v>
      </c>
      <c r="B29" s="415" t="str">
        <f>IF(D9="FAMILIAR","Cónyuge","")</f>
        <v/>
      </c>
      <c r="C29" s="228"/>
      <c r="D29" s="229"/>
      <c r="E29" s="229"/>
      <c r="F29" s="399" t="str">
        <f>+IF(E29="","",IF(D10="FAMILIAR",IF(E29&lt;18,"Edad no permitida",""),""))</f>
        <v/>
      </c>
      <c r="G29" s="416" t="s">
        <v>42</v>
      </c>
      <c r="H29" s="417">
        <f>+IMPRESION!E88</f>
        <v>0</v>
      </c>
      <c r="I29" s="417">
        <f>+IMPRESION!F88</f>
        <v>0</v>
      </c>
      <c r="J29" s="418">
        <f>+IMPRESION!G88</f>
        <v>0</v>
      </c>
      <c r="K29" s="376"/>
      <c r="L29" s="40"/>
      <c r="M29" s="39"/>
      <c r="N29" s="39"/>
      <c r="O29" s="39"/>
      <c r="P29" s="41"/>
      <c r="Q29" s="220"/>
      <c r="R29" s="220"/>
      <c r="S29" s="220"/>
      <c r="T29" s="220"/>
    </row>
    <row r="30" spans="1:20" s="21" customFormat="1" ht="15" customHeight="1">
      <c r="A30" s="372">
        <f t="shared" si="0"/>
        <v>0</v>
      </c>
      <c r="B30" s="415" t="str">
        <f>IF($D$9="FAMILIAR","Dependiente 1","")</f>
        <v/>
      </c>
      <c r="C30" s="228"/>
      <c r="D30" s="229"/>
      <c r="E30" s="229"/>
      <c r="F30" s="399"/>
      <c r="G30" s="416" t="s">
        <v>73</v>
      </c>
      <c r="H30" s="417">
        <f>+IMPRESION!E89</f>
        <v>0</v>
      </c>
      <c r="I30" s="417">
        <f>+IMPRESION!F89</f>
        <v>0</v>
      </c>
      <c r="J30" s="418">
        <f>+IMPRESION!G89</f>
        <v>0</v>
      </c>
      <c r="K30" s="376"/>
      <c r="L30" s="42"/>
      <c r="M30" s="39"/>
      <c r="N30" s="39"/>
      <c r="O30" s="39"/>
      <c r="P30" s="43"/>
      <c r="Q30" s="220"/>
      <c r="R30" s="37"/>
      <c r="S30" s="220"/>
      <c r="T30" s="32"/>
    </row>
    <row r="31" spans="1:20" s="21" customFormat="1" ht="15" customHeight="1">
      <c r="A31" s="372">
        <f t="shared" si="0"/>
        <v>0</v>
      </c>
      <c r="B31" s="415" t="str">
        <f>IF($D$9="FAMILIAR","Dependiente 2","")</f>
        <v/>
      </c>
      <c r="C31" s="228"/>
      <c r="D31" s="229"/>
      <c r="E31" s="229"/>
      <c r="F31" s="399"/>
      <c r="G31" s="416" t="s">
        <v>75</v>
      </c>
      <c r="H31" s="417">
        <f>+IMPRESION!E90</f>
        <v>0</v>
      </c>
      <c r="I31" s="417">
        <f>+IMPRESION!F90</f>
        <v>0</v>
      </c>
      <c r="J31" s="418">
        <f>+IMPRESION!G90</f>
        <v>0</v>
      </c>
      <c r="K31" s="376"/>
      <c r="L31" s="42"/>
      <c r="M31" s="39"/>
      <c r="N31" s="39"/>
      <c r="O31" s="39"/>
      <c r="P31" s="41"/>
      <c r="Q31" s="220"/>
      <c r="R31" s="44"/>
      <c r="S31" s="220"/>
      <c r="T31" s="220"/>
    </row>
    <row r="32" spans="1:20" s="21" customFormat="1" ht="15" customHeight="1">
      <c r="A32" s="372">
        <f t="shared" si="0"/>
        <v>0</v>
      </c>
      <c r="B32" s="415" t="str">
        <f>IF($D$9="FAMILIAR","Dependiente 3","")</f>
        <v/>
      </c>
      <c r="C32" s="228"/>
      <c r="D32" s="229"/>
      <c r="E32" s="229"/>
      <c r="F32" s="399"/>
      <c r="G32" s="402"/>
      <c r="H32" s="380"/>
      <c r="I32" s="380"/>
      <c r="J32" s="380"/>
      <c r="K32" s="406"/>
      <c r="L32" s="29"/>
      <c r="M32" s="45"/>
      <c r="N32" s="46"/>
      <c r="O32" s="46"/>
      <c r="P32" s="220"/>
      <c r="Q32" s="220"/>
      <c r="R32" s="220"/>
      <c r="S32" s="220"/>
      <c r="T32" s="220"/>
    </row>
    <row r="33" spans="1:20" s="21" customFormat="1" ht="15" customHeight="1">
      <c r="A33" s="372">
        <f t="shared" si="0"/>
        <v>0</v>
      </c>
      <c r="B33" s="415" t="str">
        <f>IF($D$9="FAMILIAR","Dependiente 4","")</f>
        <v/>
      </c>
      <c r="C33" s="228"/>
      <c r="D33" s="229"/>
      <c r="E33" s="229"/>
      <c r="F33" s="399"/>
      <c r="G33" s="402"/>
      <c r="H33" s="380"/>
      <c r="I33" s="380"/>
      <c r="J33" s="380"/>
      <c r="K33" s="376"/>
      <c r="L33" s="29"/>
      <c r="M33" s="45"/>
      <c r="N33" s="46"/>
      <c r="O33" s="46"/>
      <c r="P33" s="220"/>
      <c r="Q33" s="220"/>
      <c r="R33" s="220"/>
      <c r="S33" s="220"/>
      <c r="T33" s="220"/>
    </row>
    <row r="34" spans="1:20" s="21" customFormat="1" ht="15" customHeight="1">
      <c r="A34" s="372">
        <f t="shared" si="0"/>
        <v>0</v>
      </c>
      <c r="B34" s="415" t="str">
        <f>IF($D$9="FAMILIAR","Dependiente 5","")</f>
        <v/>
      </c>
      <c r="C34" s="228"/>
      <c r="D34" s="229"/>
      <c r="E34" s="229"/>
      <c r="F34" s="399"/>
      <c r="G34" s="402"/>
      <c r="H34" s="380"/>
      <c r="I34" s="380"/>
      <c r="J34" s="380"/>
      <c r="K34" s="376"/>
      <c r="L34" s="29"/>
      <c r="M34" s="45"/>
      <c r="N34" s="36"/>
      <c r="O34" s="36"/>
      <c r="P34" s="220"/>
      <c r="Q34" s="220"/>
      <c r="R34" s="220"/>
      <c r="S34" s="32"/>
      <c r="T34" s="32"/>
    </row>
    <row r="35" spans="1:20" s="21" customFormat="1" ht="15" customHeight="1">
      <c r="A35" s="372">
        <f t="shared" si="0"/>
        <v>0</v>
      </c>
      <c r="B35" s="415" t="str">
        <f>IF($D$9="FAMILIAR","Dependiente 6","")</f>
        <v/>
      </c>
      <c r="C35" s="228"/>
      <c r="D35" s="229"/>
      <c r="E35" s="229"/>
      <c r="F35" s="399"/>
      <c r="G35" s="403" t="s">
        <v>72</v>
      </c>
      <c r="H35" s="376"/>
      <c r="I35" s="404"/>
      <c r="J35" s="405"/>
      <c r="K35" s="376"/>
      <c r="L35" s="29"/>
      <c r="M35" s="45"/>
      <c r="N35" s="220"/>
      <c r="O35" s="220"/>
      <c r="P35" s="220"/>
      <c r="Q35" s="220"/>
      <c r="R35" s="220"/>
      <c r="S35" s="32"/>
      <c r="T35" s="32"/>
    </row>
    <row r="36" spans="1:20" s="21" customFormat="1" ht="22.5" customHeight="1">
      <c r="A36" s="372"/>
      <c r="B36" s="376"/>
      <c r="C36" s="376"/>
      <c r="D36" s="376"/>
      <c r="E36" s="376"/>
      <c r="F36" s="382"/>
      <c r="G36" s="414" t="s">
        <v>201</v>
      </c>
      <c r="H36" s="414" t="s">
        <v>182</v>
      </c>
      <c r="I36" s="376"/>
      <c r="J36" s="405"/>
      <c r="K36" s="376"/>
      <c r="L36" s="29"/>
      <c r="M36" s="45"/>
      <c r="N36" s="220"/>
      <c r="O36" s="220"/>
      <c r="P36" s="220"/>
      <c r="Q36" s="220"/>
      <c r="R36" s="220"/>
      <c r="S36" s="32"/>
      <c r="T36" s="32"/>
    </row>
    <row r="37" spans="1:20" s="21" customFormat="1" ht="15" customHeight="1">
      <c r="A37" s="372"/>
      <c r="B37" s="376"/>
      <c r="C37" s="376"/>
      <c r="D37" s="376"/>
      <c r="E37" s="376"/>
      <c r="F37" s="382"/>
      <c r="G37" s="419" t="s">
        <v>42</v>
      </c>
      <c r="H37" s="420">
        <v>4.7300000000000002E-2</v>
      </c>
      <c r="I37" s="540" t="s">
        <v>79</v>
      </c>
      <c r="J37" s="540"/>
      <c r="K37" s="376"/>
      <c r="L37" s="29"/>
      <c r="M37" s="45"/>
      <c r="N37" s="220"/>
      <c r="O37" s="220"/>
      <c r="P37" s="220"/>
      <c r="Q37" s="220"/>
      <c r="R37" s="220"/>
      <c r="S37" s="32"/>
      <c r="T37" s="32"/>
    </row>
    <row r="38" spans="1:20" s="21" customFormat="1" ht="15" customHeight="1">
      <c r="A38" s="372"/>
      <c r="B38" s="376"/>
      <c r="C38" s="376"/>
      <c r="D38" s="376"/>
      <c r="E38" s="376"/>
      <c r="F38" s="382"/>
      <c r="G38" s="419" t="s">
        <v>73</v>
      </c>
      <c r="H38" s="420">
        <v>6.9900000000000004E-2</v>
      </c>
      <c r="I38" s="540"/>
      <c r="J38" s="540"/>
      <c r="K38" s="376"/>
      <c r="L38" s="29"/>
      <c r="M38" s="45"/>
      <c r="N38" s="220"/>
      <c r="O38" s="220"/>
      <c r="P38" s="220"/>
      <c r="Q38" s="220"/>
      <c r="R38" s="24"/>
      <c r="S38" s="32"/>
      <c r="T38" s="32"/>
    </row>
    <row r="39" spans="1:20" s="21" customFormat="1" ht="15" customHeight="1">
      <c r="A39" s="372"/>
      <c r="B39" s="421" t="s">
        <v>237</v>
      </c>
      <c r="C39" s="542"/>
      <c r="D39" s="542"/>
      <c r="E39" s="542"/>
      <c r="F39" s="400"/>
      <c r="G39" s="419" t="s">
        <v>75</v>
      </c>
      <c r="H39" s="420">
        <v>9.9900000000000003E-2</v>
      </c>
      <c r="I39" s="540"/>
      <c r="J39" s="540"/>
      <c r="K39" s="376"/>
      <c r="L39" s="29"/>
      <c r="M39" s="45"/>
      <c r="N39" s="220"/>
      <c r="O39" s="220"/>
      <c r="P39" s="220"/>
      <c r="Q39" s="220"/>
      <c r="R39" s="47"/>
      <c r="S39" s="32"/>
      <c r="T39" s="32"/>
    </row>
    <row r="40" spans="1:20" s="21" customFormat="1" ht="18" customHeight="1">
      <c r="A40" s="372"/>
      <c r="B40" s="421" t="s">
        <v>205</v>
      </c>
      <c r="C40" s="539"/>
      <c r="D40" s="539"/>
      <c r="E40" s="539"/>
      <c r="F40" s="382"/>
      <c r="G40" s="376"/>
      <c r="H40" s="376"/>
      <c r="I40" s="376"/>
      <c r="J40" s="376"/>
      <c r="K40" s="376"/>
      <c r="L40" s="29"/>
      <c r="M40" s="45"/>
      <c r="N40" s="220"/>
      <c r="O40" s="220"/>
      <c r="P40" s="220"/>
      <c r="Q40" s="220"/>
      <c r="R40" s="47"/>
      <c r="S40" s="32"/>
      <c r="T40" s="32"/>
    </row>
    <row r="41" spans="1:20" s="21" customFormat="1" ht="14.1" customHeight="1">
      <c r="A41" s="372"/>
      <c r="B41" s="376"/>
      <c r="C41" s="376"/>
      <c r="D41" s="408"/>
      <c r="E41" s="376"/>
      <c r="F41" s="401"/>
      <c r="G41" s="407"/>
      <c r="H41" s="376"/>
      <c r="I41" s="376"/>
      <c r="J41" s="376"/>
      <c r="K41" s="376"/>
      <c r="L41" s="29"/>
      <c r="M41" s="45"/>
      <c r="N41" s="220"/>
      <c r="O41" s="220"/>
      <c r="P41" s="220"/>
      <c r="Q41" s="220"/>
      <c r="R41" s="220"/>
      <c r="S41" s="220"/>
      <c r="T41" s="32"/>
    </row>
    <row r="42" spans="1:20" s="21" customFormat="1" ht="35.25" customHeight="1">
      <c r="A42" s="372"/>
      <c r="B42" s="541" t="s">
        <v>370</v>
      </c>
      <c r="C42" s="541"/>
      <c r="D42" s="541"/>
      <c r="E42" s="541"/>
      <c r="F42" s="541"/>
      <c r="G42" s="383"/>
      <c r="H42" s="376"/>
      <c r="I42" s="376"/>
      <c r="J42" s="376"/>
      <c r="K42" s="376"/>
      <c r="L42" s="29"/>
      <c r="M42" s="45"/>
      <c r="N42" s="220"/>
      <c r="O42" s="220"/>
      <c r="P42" s="220"/>
      <c r="Q42" s="220"/>
      <c r="R42" s="220"/>
      <c r="S42" s="32"/>
      <c r="T42" s="32"/>
    </row>
    <row r="43" spans="1:20" s="21" customFormat="1" ht="14.1" customHeight="1">
      <c r="A43" s="372"/>
      <c r="B43" s="376"/>
      <c r="C43" s="376"/>
      <c r="D43" s="408"/>
      <c r="E43" s="376"/>
      <c r="F43" s="376"/>
      <c r="G43" s="376"/>
      <c r="H43" s="376"/>
      <c r="I43" s="376"/>
      <c r="J43" s="376"/>
      <c r="K43" s="376"/>
      <c r="L43" s="29"/>
      <c r="M43" s="45"/>
      <c r="N43" s="220"/>
      <c r="O43" s="220"/>
      <c r="P43" s="220"/>
      <c r="Q43" s="220"/>
      <c r="R43" s="220"/>
      <c r="S43" s="220"/>
      <c r="T43" s="30"/>
    </row>
    <row r="44" spans="1:20" s="21" customFormat="1" ht="14.1" customHeight="1">
      <c r="A44" s="372"/>
      <c r="B44" s="376"/>
      <c r="C44" s="376"/>
      <c r="D44" s="376"/>
      <c r="E44" s="376"/>
      <c r="F44" s="376"/>
      <c r="G44" s="376"/>
      <c r="H44" s="376"/>
      <c r="I44" s="376"/>
      <c r="J44" s="376"/>
      <c r="K44" s="376"/>
      <c r="L44" s="29"/>
      <c r="M44" s="220"/>
      <c r="N44" s="220"/>
      <c r="O44" s="220"/>
      <c r="P44" s="220"/>
      <c r="Q44" s="220"/>
      <c r="R44" s="220"/>
      <c r="S44" s="32"/>
      <c r="T44" s="32"/>
    </row>
    <row r="45" spans="1:20" s="21" customFormat="1" ht="14.1" customHeight="1">
      <c r="A45" s="372"/>
      <c r="B45" s="376"/>
      <c r="C45" s="376"/>
      <c r="D45" s="409"/>
      <c r="E45" s="376"/>
      <c r="F45" s="376"/>
      <c r="G45" s="376"/>
      <c r="H45" s="376"/>
      <c r="I45" s="376"/>
      <c r="J45" s="376"/>
      <c r="K45" s="376"/>
      <c r="L45" s="29"/>
      <c r="M45" s="220"/>
      <c r="N45" s="220"/>
      <c r="O45" s="220"/>
      <c r="P45" s="220"/>
      <c r="Q45" s="220"/>
      <c r="R45" s="220"/>
      <c r="S45" s="32"/>
      <c r="T45" s="220"/>
    </row>
    <row r="46" spans="1:20" s="21" customFormat="1">
      <c r="A46" s="372"/>
      <c r="B46" s="376"/>
      <c r="C46" s="376"/>
      <c r="D46" s="376"/>
      <c r="E46" s="376"/>
      <c r="F46" s="376"/>
      <c r="G46" s="376"/>
      <c r="H46" s="376"/>
      <c r="I46" s="376"/>
      <c r="J46" s="376"/>
      <c r="K46" s="376"/>
      <c r="L46" s="29"/>
      <c r="M46" s="220"/>
      <c r="N46" s="220"/>
      <c r="O46" s="220"/>
      <c r="P46" s="220"/>
      <c r="Q46" s="220"/>
      <c r="R46" s="220"/>
      <c r="S46" s="220"/>
      <c r="T46" s="32"/>
    </row>
    <row r="47" spans="1:20" s="21" customFormat="1">
      <c r="A47" s="372"/>
      <c r="B47" s="376"/>
      <c r="C47" s="376"/>
      <c r="D47" s="376"/>
      <c r="E47" s="376"/>
      <c r="F47" s="376"/>
      <c r="G47" s="376"/>
      <c r="H47" s="376"/>
      <c r="I47" s="376"/>
      <c r="J47" s="376"/>
      <c r="K47" s="376"/>
      <c r="L47" s="29"/>
      <c r="M47" s="220"/>
      <c r="N47" s="220"/>
      <c r="O47" s="220"/>
      <c r="P47" s="220"/>
      <c r="Q47" s="220"/>
      <c r="R47" s="50"/>
      <c r="S47" s="220"/>
      <c r="T47" s="32"/>
    </row>
    <row r="48" spans="1:20" s="21" customFormat="1">
      <c r="A48" s="372"/>
      <c r="B48" s="376"/>
      <c r="C48" s="376"/>
      <c r="D48" s="376"/>
      <c r="E48" s="376"/>
      <c r="F48" s="376"/>
      <c r="G48" s="376"/>
      <c r="H48" s="376"/>
      <c r="I48" s="376"/>
      <c r="J48" s="376"/>
      <c r="K48" s="376"/>
      <c r="L48" s="29"/>
      <c r="M48" s="220"/>
      <c r="N48" s="220"/>
      <c r="O48" s="220"/>
      <c r="P48" s="220"/>
      <c r="Q48" s="220"/>
      <c r="R48" s="220"/>
      <c r="S48" s="220"/>
      <c r="T48" s="32"/>
    </row>
    <row r="49" spans="1:20" s="21" customFormat="1">
      <c r="A49" s="372"/>
      <c r="B49" s="376"/>
      <c r="C49" s="376"/>
      <c r="D49" s="376"/>
      <c r="E49" s="376"/>
      <c r="F49" s="376"/>
      <c r="G49" s="376"/>
      <c r="H49" s="376"/>
      <c r="I49" s="376"/>
      <c r="J49" s="376"/>
      <c r="K49" s="376"/>
      <c r="L49" s="220"/>
      <c r="M49" s="220"/>
      <c r="N49" s="220"/>
      <c r="O49" s="220"/>
      <c r="P49" s="220"/>
      <c r="Q49" s="220"/>
      <c r="R49" s="220"/>
      <c r="S49" s="220"/>
      <c r="T49" s="220"/>
    </row>
    <row r="50" spans="1:20" s="21" customFormat="1">
      <c r="A50" s="372"/>
      <c r="B50" s="376"/>
      <c r="C50" s="376"/>
      <c r="D50" s="376"/>
      <c r="E50" s="376"/>
      <c r="F50" s="376"/>
      <c r="G50" s="376"/>
      <c r="H50" s="376"/>
      <c r="I50" s="376"/>
      <c r="J50" s="376"/>
      <c r="K50" s="376"/>
      <c r="L50" s="29"/>
      <c r="M50" s="220"/>
      <c r="N50" s="220"/>
      <c r="O50" s="220"/>
      <c r="P50" s="220"/>
      <c r="Q50" s="220"/>
      <c r="R50" s="220"/>
      <c r="S50" s="220"/>
      <c r="T50" s="220"/>
    </row>
    <row r="51" spans="1:20" s="21" customFormat="1">
      <c r="A51" s="372"/>
      <c r="B51" s="376"/>
      <c r="C51" s="376"/>
      <c r="D51" s="376"/>
      <c r="E51" s="376"/>
      <c r="F51" s="376"/>
      <c r="G51" s="376"/>
      <c r="H51" s="376"/>
      <c r="I51" s="376"/>
      <c r="J51" s="376"/>
      <c r="K51" s="376"/>
      <c r="L51" s="29"/>
      <c r="M51" s="220"/>
      <c r="N51" s="220"/>
      <c r="O51" s="220"/>
      <c r="P51" s="220"/>
      <c r="Q51" s="220"/>
      <c r="R51" s="51"/>
      <c r="S51" s="220"/>
      <c r="T51" s="220"/>
    </row>
    <row r="52" spans="1:20" s="21" customFormat="1" ht="12.75">
      <c r="A52" s="372"/>
      <c r="B52" s="376"/>
      <c r="C52" s="376"/>
      <c r="D52" s="376"/>
      <c r="E52" s="376"/>
      <c r="F52" s="376"/>
      <c r="G52" s="376"/>
      <c r="H52" s="376"/>
      <c r="I52" s="376"/>
      <c r="J52" s="376"/>
      <c r="K52" s="376"/>
      <c r="L52" s="29"/>
      <c r="M52" s="220"/>
      <c r="N52" s="220"/>
      <c r="O52" s="52"/>
      <c r="P52" s="220"/>
      <c r="Q52" s="220"/>
      <c r="R52" s="220"/>
      <c r="S52" s="24"/>
      <c r="T52" s="220"/>
    </row>
    <row r="53" spans="1:20" s="21" customFormat="1">
      <c r="A53" s="372"/>
      <c r="B53" s="376"/>
      <c r="C53" s="376"/>
      <c r="D53" s="376"/>
      <c r="E53" s="376"/>
      <c r="F53" s="376"/>
      <c r="G53" s="376"/>
      <c r="H53" s="376"/>
      <c r="I53" s="376"/>
      <c r="J53" s="376"/>
      <c r="K53" s="376"/>
      <c r="L53" s="29"/>
      <c r="M53" s="220"/>
      <c r="N53" s="220"/>
      <c r="O53" s="220"/>
      <c r="P53" s="220"/>
      <c r="Q53" s="220"/>
      <c r="R53" s="220"/>
      <c r="S53" s="24"/>
      <c r="T53" s="220"/>
    </row>
    <row r="54" spans="1:20" s="21" customFormat="1" ht="12.75">
      <c r="A54" s="372"/>
      <c r="B54" s="376"/>
      <c r="C54" s="376"/>
      <c r="D54" s="376"/>
      <c r="E54" s="376"/>
      <c r="F54" s="376"/>
      <c r="G54" s="376"/>
      <c r="H54" s="376"/>
      <c r="I54" s="376"/>
      <c r="J54" s="376"/>
      <c r="K54" s="376"/>
      <c r="L54" s="29"/>
      <c r="M54" s="220"/>
      <c r="N54" s="220"/>
      <c r="O54" s="52"/>
      <c r="P54" s="220"/>
      <c r="Q54" s="220"/>
      <c r="R54" s="220"/>
      <c r="S54" s="24"/>
      <c r="T54" s="220"/>
    </row>
    <row r="55" spans="1:20" s="21" customFormat="1" hidden="1">
      <c r="A55" s="90"/>
      <c r="L55" s="29"/>
      <c r="M55" s="220"/>
      <c r="N55" s="220"/>
      <c r="O55" s="220"/>
      <c r="P55" s="220"/>
      <c r="Q55" s="220"/>
      <c r="R55" s="220"/>
      <c r="S55" s="220"/>
      <c r="T55" s="220"/>
    </row>
    <row r="56" spans="1:20" s="21" customFormat="1" hidden="1">
      <c r="A56" s="90"/>
      <c r="L56" s="29"/>
      <c r="M56" s="220"/>
      <c r="N56" s="220"/>
      <c r="O56" s="220"/>
      <c r="P56" s="220"/>
      <c r="Q56" s="220"/>
      <c r="R56" s="220"/>
      <c r="S56" s="220"/>
      <c r="T56" s="220"/>
    </row>
    <row r="57" spans="1:20" s="21" customFormat="1" hidden="1">
      <c r="A57" s="90"/>
      <c r="L57" s="29"/>
      <c r="M57" s="220"/>
      <c r="N57" s="220"/>
      <c r="O57" s="220"/>
      <c r="P57" s="220"/>
      <c r="Q57" s="220"/>
      <c r="R57" s="220"/>
      <c r="S57" s="220"/>
      <c r="T57" s="220"/>
    </row>
    <row r="58" spans="1:20" s="21" customFormat="1" hidden="1">
      <c r="A58" s="90"/>
      <c r="L58" s="29"/>
      <c r="M58" s="220"/>
      <c r="N58" s="220"/>
      <c r="O58" s="220"/>
      <c r="P58" s="220"/>
      <c r="Q58" s="220"/>
      <c r="R58" s="32"/>
      <c r="S58" s="220"/>
      <c r="T58" s="220"/>
    </row>
    <row r="59" spans="1:20" s="21" customFormat="1" hidden="1">
      <c r="A59" s="90"/>
      <c r="L59" s="29"/>
      <c r="M59" s="220"/>
      <c r="N59" s="220"/>
      <c r="O59" s="220"/>
      <c r="P59" s="220"/>
      <c r="Q59" s="220"/>
      <c r="R59" s="220"/>
      <c r="S59" s="220"/>
      <c r="T59" s="220"/>
    </row>
    <row r="60" spans="1:20" s="21" customFormat="1" hidden="1">
      <c r="A60" s="90"/>
      <c r="L60" s="29"/>
      <c r="M60" s="220"/>
      <c r="N60" s="220"/>
      <c r="O60" s="220"/>
      <c r="P60" s="220"/>
      <c r="Q60" s="220"/>
      <c r="R60" s="220"/>
      <c r="S60" s="220"/>
      <c r="T60" s="32"/>
    </row>
    <row r="61" spans="1:20" s="21" customFormat="1" hidden="1">
      <c r="A61" s="90"/>
      <c r="L61" s="29"/>
      <c r="M61" s="220"/>
      <c r="N61" s="220"/>
      <c r="O61" s="220"/>
      <c r="P61" s="220"/>
      <c r="Q61" s="220"/>
      <c r="R61" s="220"/>
      <c r="S61" s="220"/>
      <c r="T61" s="32"/>
    </row>
    <row r="62" spans="1:20" s="21" customFormat="1" hidden="1">
      <c r="A62" s="90"/>
      <c r="L62" s="29"/>
      <c r="M62" s="220"/>
      <c r="N62" s="220"/>
      <c r="O62" s="220"/>
      <c r="P62" s="220"/>
      <c r="Q62" s="220"/>
      <c r="R62" s="220"/>
      <c r="S62" s="220"/>
      <c r="T62" s="32"/>
    </row>
    <row r="63" spans="1:20" s="21" customFormat="1" ht="12.75" hidden="1">
      <c r="A63" s="90"/>
      <c r="L63" s="29"/>
      <c r="M63" s="220"/>
      <c r="N63" s="220"/>
      <c r="O63" s="52"/>
      <c r="P63" s="220"/>
      <c r="Q63" s="220"/>
      <c r="R63" s="220"/>
      <c r="S63" s="24"/>
      <c r="T63" s="32"/>
    </row>
    <row r="64" spans="1:20" s="21" customFormat="1" hidden="1">
      <c r="A64" s="90"/>
      <c r="L64" s="29"/>
      <c r="M64" s="220"/>
      <c r="N64" s="220"/>
      <c r="O64" s="220"/>
      <c r="P64" s="220"/>
      <c r="Q64" s="220"/>
      <c r="R64" s="220"/>
      <c r="S64" s="220"/>
      <c r="T64" s="220"/>
    </row>
    <row r="65" spans="1:22" s="21" customFormat="1" hidden="1">
      <c r="A65" s="90"/>
      <c r="L65" s="29"/>
      <c r="M65" s="220"/>
      <c r="N65" s="220"/>
      <c r="O65" s="220"/>
      <c r="P65" s="220"/>
      <c r="Q65" s="220"/>
      <c r="R65" s="220"/>
      <c r="S65" s="220"/>
      <c r="T65" s="220"/>
    </row>
    <row r="66" spans="1:22" s="21" customFormat="1" hidden="1">
      <c r="A66" s="90"/>
      <c r="L66" s="29"/>
      <c r="M66" s="220"/>
      <c r="N66" s="220"/>
      <c r="O66" s="220"/>
      <c r="P66" s="220"/>
      <c r="Q66" s="220"/>
      <c r="R66" s="220"/>
      <c r="S66" s="220"/>
      <c r="T66" s="220"/>
    </row>
    <row r="67" spans="1:22" s="21" customFormat="1" hidden="1">
      <c r="A67" s="90"/>
      <c r="L67" s="29"/>
      <c r="M67" s="220"/>
      <c r="N67" s="220"/>
      <c r="O67" s="220"/>
      <c r="P67" s="220"/>
      <c r="Q67" s="220"/>
      <c r="R67" s="220"/>
      <c r="S67" s="220"/>
      <c r="T67" s="220"/>
    </row>
    <row r="68" spans="1:22" s="21" customFormat="1" hidden="1">
      <c r="A68" s="90"/>
      <c r="L68" s="29"/>
      <c r="M68" s="220"/>
      <c r="N68" s="220"/>
      <c r="O68" s="220"/>
      <c r="P68" s="220"/>
      <c r="Q68" s="220"/>
      <c r="R68" s="220"/>
      <c r="S68" s="220"/>
      <c r="T68" s="220"/>
    </row>
    <row r="69" spans="1:22" s="21" customFormat="1" hidden="1">
      <c r="A69" s="90"/>
      <c r="L69" s="29"/>
      <c r="M69" s="220"/>
      <c r="N69" s="220"/>
      <c r="O69" s="220"/>
      <c r="P69" s="220"/>
      <c r="Q69" s="53"/>
      <c r="R69" s="36"/>
      <c r="S69" s="54"/>
      <c r="T69" s="220"/>
    </row>
    <row r="70" spans="1:22" s="21" customFormat="1" hidden="1">
      <c r="A70" s="90"/>
      <c r="L70" s="29"/>
      <c r="M70" s="220"/>
      <c r="N70" s="220"/>
      <c r="O70" s="220"/>
      <c r="P70" s="220"/>
      <c r="Q70" s="53"/>
      <c r="R70" s="36"/>
      <c r="S70" s="54"/>
      <c r="T70" s="36"/>
    </row>
    <row r="71" spans="1:22" s="21" customFormat="1" hidden="1">
      <c r="A71" s="90"/>
      <c r="L71" s="29"/>
      <c r="M71" s="220"/>
      <c r="N71" s="220"/>
      <c r="O71" s="220"/>
      <c r="P71" s="220"/>
      <c r="Q71" s="53"/>
      <c r="R71" s="36"/>
      <c r="S71" s="54"/>
      <c r="T71" s="36"/>
    </row>
    <row r="72" spans="1:22" s="21" customFormat="1" ht="10.5" hidden="1" customHeight="1">
      <c r="A72" s="90"/>
      <c r="L72" s="29"/>
      <c r="M72" s="220"/>
      <c r="N72" s="220"/>
      <c r="O72" s="220"/>
      <c r="P72" s="220"/>
      <c r="Q72" s="53"/>
      <c r="R72" s="220"/>
      <c r="S72" s="54"/>
      <c r="T72" s="36"/>
    </row>
    <row r="73" spans="1:22" s="21" customFormat="1" ht="10.5" hidden="1" customHeight="1">
      <c r="A73" s="90"/>
      <c r="L73" s="29"/>
      <c r="M73" s="220"/>
      <c r="N73" s="220"/>
      <c r="O73" s="220"/>
      <c r="P73" s="220"/>
      <c r="Q73" s="53"/>
      <c r="R73" s="220"/>
      <c r="S73" s="54"/>
      <c r="T73" s="36"/>
    </row>
    <row r="74" spans="1:22" s="21" customFormat="1" ht="10.5" hidden="1" customHeight="1">
      <c r="A74" s="90"/>
      <c r="L74" s="29"/>
      <c r="M74" s="220"/>
      <c r="N74" s="220"/>
      <c r="O74" s="220"/>
      <c r="P74" s="220"/>
      <c r="Q74" s="220"/>
      <c r="R74" s="220"/>
      <c r="S74" s="220"/>
      <c r="T74" s="220"/>
    </row>
    <row r="75" spans="1:22" s="21" customFormat="1" ht="10.5" hidden="1" customHeight="1">
      <c r="A75" s="90"/>
      <c r="L75" s="29"/>
      <c r="M75" s="220"/>
      <c r="N75" s="220"/>
      <c r="O75" s="220"/>
      <c r="P75" s="220"/>
      <c r="Q75" s="220"/>
      <c r="R75" s="220"/>
      <c r="S75" s="220"/>
      <c r="T75" s="220"/>
    </row>
    <row r="76" spans="1:22" ht="3.75" hidden="1" customHeight="1">
      <c r="A76" s="90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55"/>
      <c r="M76" s="32"/>
      <c r="N76" s="32"/>
      <c r="O76" s="32"/>
      <c r="P76" s="32"/>
      <c r="Q76" s="32"/>
      <c r="R76" s="32"/>
      <c r="S76" s="32"/>
      <c r="T76" s="32"/>
    </row>
    <row r="77" spans="1:22" hidden="1">
      <c r="G77" s="21"/>
      <c r="H77" s="21"/>
      <c r="I77" s="21"/>
      <c r="J77" s="21"/>
      <c r="L77" s="55"/>
      <c r="M77" s="221"/>
      <c r="N77" s="219"/>
      <c r="O77" s="219"/>
      <c r="P77" s="219"/>
      <c r="Q77" s="219"/>
      <c r="R77" s="219"/>
      <c r="S77" s="219"/>
      <c r="T77" s="219"/>
    </row>
    <row r="78" spans="1:22" s="21" customFormat="1" ht="12.75" hidden="1">
      <c r="A78" s="100"/>
      <c r="B78" s="13"/>
      <c r="C78" s="13"/>
      <c r="D78" s="13"/>
      <c r="E78" s="13"/>
      <c r="F78" s="13"/>
      <c r="K78" s="13"/>
      <c r="L78" s="55"/>
      <c r="M78" s="537"/>
      <c r="N78" s="528"/>
      <c r="O78" s="528"/>
      <c r="P78" s="528"/>
      <c r="Q78" s="219"/>
      <c r="R78" s="219"/>
      <c r="S78" s="219"/>
      <c r="T78" s="219"/>
    </row>
    <row r="79" spans="1:22" s="21" customFormat="1" hidden="1">
      <c r="A79" s="90"/>
      <c r="G79" s="13"/>
      <c r="H79" s="13"/>
      <c r="I79" s="13"/>
      <c r="J79" s="13"/>
      <c r="L79" s="55"/>
      <c r="M79" s="219"/>
      <c r="N79" s="219"/>
      <c r="O79" s="219"/>
      <c r="P79" s="219"/>
      <c r="Q79" s="219"/>
      <c r="R79" s="219"/>
      <c r="S79" s="219"/>
      <c r="T79" s="219"/>
    </row>
    <row r="80" spans="1:22" s="21" customFormat="1" hidden="1">
      <c r="A80" s="90"/>
      <c r="G80" s="13"/>
      <c r="H80" s="13"/>
      <c r="I80" s="13"/>
      <c r="J80" s="13"/>
      <c r="L80" s="56"/>
      <c r="M80" s="32"/>
      <c r="N80" s="32"/>
      <c r="O80" s="32"/>
      <c r="P80" s="32"/>
      <c r="Q80" s="57"/>
      <c r="R80" s="57"/>
      <c r="S80" s="57"/>
      <c r="T80" s="58"/>
      <c r="U80" s="48"/>
      <c r="V80" s="48"/>
    </row>
    <row r="81" spans="1:23" s="21" customFormat="1" hidden="1">
      <c r="A81" s="90"/>
      <c r="L81" s="56"/>
      <c r="M81" s="32"/>
      <c r="N81" s="32"/>
      <c r="O81" s="32"/>
      <c r="P81" s="32"/>
      <c r="Q81" s="57"/>
      <c r="R81" s="57"/>
      <c r="S81" s="57"/>
      <c r="T81" s="58"/>
      <c r="U81" s="48"/>
      <c r="V81" s="48"/>
    </row>
    <row r="82" spans="1:23" s="21" customFormat="1" hidden="1">
      <c r="A82" s="90"/>
      <c r="L82" s="56"/>
      <c r="M82" s="32"/>
      <c r="N82" s="32"/>
      <c r="O82" s="32"/>
      <c r="P82" s="32"/>
      <c r="Q82" s="57"/>
      <c r="R82" s="57"/>
      <c r="S82" s="57"/>
      <c r="T82" s="58"/>
      <c r="U82" s="48"/>
      <c r="V82" s="48"/>
    </row>
    <row r="83" spans="1:23" s="21" customFormat="1" hidden="1">
      <c r="A83" s="90"/>
      <c r="L83" s="56"/>
      <c r="M83" s="32"/>
      <c r="N83" s="32"/>
      <c r="O83" s="32"/>
      <c r="P83" s="32"/>
      <c r="Q83" s="57"/>
      <c r="R83" s="57"/>
      <c r="S83" s="57"/>
      <c r="T83" s="58"/>
      <c r="U83" s="48"/>
      <c r="V83" s="48"/>
    </row>
    <row r="84" spans="1:23" s="21" customFormat="1" hidden="1">
      <c r="A84" s="90"/>
      <c r="L84" s="56"/>
      <c r="M84" s="32"/>
      <c r="N84" s="32"/>
      <c r="O84" s="32"/>
      <c r="P84" s="32"/>
      <c r="Q84" s="57"/>
      <c r="R84" s="57"/>
      <c r="S84" s="57"/>
      <c r="T84" s="58"/>
      <c r="U84" s="48"/>
      <c r="V84" s="48"/>
      <c r="W84" s="49"/>
    </row>
    <row r="85" spans="1:23" s="21" customFormat="1" hidden="1">
      <c r="A85" s="90"/>
      <c r="L85" s="56"/>
      <c r="M85" s="32"/>
      <c r="N85" s="32"/>
      <c r="O85" s="32"/>
      <c r="P85" s="32"/>
      <c r="Q85" s="57"/>
      <c r="R85" s="57"/>
      <c r="S85" s="57"/>
      <c r="T85" s="58"/>
      <c r="U85" s="48"/>
      <c r="V85" s="48"/>
      <c r="W85" s="59"/>
    </row>
    <row r="86" spans="1:23" s="21" customFormat="1" hidden="1">
      <c r="A86" s="90"/>
      <c r="L86" s="56"/>
      <c r="M86" s="32"/>
      <c r="N86" s="32"/>
      <c r="O86" s="32"/>
      <c r="P86" s="32"/>
      <c r="Q86" s="57"/>
      <c r="R86" s="57"/>
      <c r="S86" s="57"/>
      <c r="T86" s="58"/>
      <c r="U86" s="49"/>
      <c r="V86" s="48"/>
    </row>
    <row r="87" spans="1:23" s="21" customFormat="1" hidden="1">
      <c r="A87" s="90"/>
      <c r="L87" s="56"/>
      <c r="M87" s="32"/>
      <c r="N87" s="32"/>
      <c r="O87" s="32"/>
      <c r="P87" s="32"/>
      <c r="Q87" s="57"/>
      <c r="R87" s="57"/>
      <c r="S87" s="57"/>
      <c r="T87" s="58"/>
      <c r="U87" s="49"/>
      <c r="V87" s="48"/>
    </row>
    <row r="88" spans="1:23" s="21" customFormat="1" hidden="1">
      <c r="A88" s="90"/>
      <c r="L88" s="56"/>
      <c r="M88" s="32"/>
      <c r="N88" s="32"/>
      <c r="O88" s="32"/>
      <c r="P88" s="32"/>
      <c r="Q88" s="57"/>
      <c r="R88" s="57"/>
      <c r="S88" s="57"/>
      <c r="T88" s="58"/>
      <c r="U88" s="49"/>
      <c r="V88" s="48"/>
    </row>
    <row r="89" spans="1:23" s="21" customFormat="1" ht="12.75" hidden="1">
      <c r="A89" s="90"/>
      <c r="L89" s="56"/>
      <c r="M89" s="60"/>
      <c r="N89" s="61"/>
      <c r="O89" s="529"/>
      <c r="P89" s="528"/>
      <c r="Q89" s="32"/>
      <c r="R89" s="62"/>
      <c r="S89" s="32"/>
      <c r="T89" s="63"/>
      <c r="U89" s="49"/>
      <c r="V89" s="48"/>
    </row>
    <row r="90" spans="1:23" s="21" customFormat="1" ht="12.75" hidden="1">
      <c r="A90" s="90"/>
      <c r="L90" s="56"/>
      <c r="M90" s="64"/>
      <c r="N90" s="61"/>
      <c r="O90" s="527"/>
      <c r="P90" s="528"/>
      <c r="Q90" s="32"/>
      <c r="R90" s="220"/>
      <c r="S90" s="220"/>
      <c r="T90" s="65"/>
      <c r="U90" s="49"/>
      <c r="V90" s="66"/>
    </row>
    <row r="91" spans="1:23" s="21" customFormat="1" ht="12.75" hidden="1">
      <c r="A91" s="90"/>
      <c r="L91" s="56"/>
      <c r="M91" s="64"/>
      <c r="N91" s="61"/>
      <c r="O91" s="527"/>
      <c r="P91" s="528"/>
      <c r="Q91" s="220"/>
      <c r="R91" s="220"/>
      <c r="S91" s="220"/>
      <c r="T91" s="34"/>
      <c r="U91" s="59"/>
      <c r="V91" s="67"/>
    </row>
    <row r="92" spans="1:23" s="21" customFormat="1" hidden="1">
      <c r="A92" s="90"/>
      <c r="L92" s="56"/>
      <c r="M92" s="32"/>
      <c r="N92" s="32"/>
      <c r="O92" s="32"/>
      <c r="P92" s="32"/>
      <c r="Q92" s="220"/>
      <c r="R92" s="220"/>
      <c r="S92" s="220"/>
      <c r="T92" s="58"/>
      <c r="V92" s="48"/>
    </row>
    <row r="93" spans="1:23" s="21" customFormat="1" ht="12.75" hidden="1">
      <c r="A93" s="90"/>
      <c r="L93" s="56"/>
      <c r="M93" s="532"/>
      <c r="N93" s="528"/>
      <c r="O93" s="219"/>
      <c r="P93" s="220"/>
      <c r="Q93" s="220"/>
      <c r="R93" s="220"/>
      <c r="S93" s="220"/>
      <c r="T93" s="34"/>
      <c r="V93" s="67"/>
    </row>
    <row r="94" spans="1:23" ht="12.75" hidden="1" customHeight="1">
      <c r="A94" s="90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56"/>
      <c r="M94" s="32"/>
      <c r="N94" s="32"/>
      <c r="O94" s="32"/>
      <c r="P94" s="32"/>
      <c r="Q94" s="220"/>
      <c r="R94" s="68"/>
      <c r="S94" s="68"/>
      <c r="T94" s="69"/>
      <c r="V94" s="70"/>
    </row>
    <row r="95" spans="1:23" ht="12.75" hidden="1">
      <c r="G95" s="21"/>
      <c r="H95" s="21"/>
      <c r="I95" s="21"/>
      <c r="J95" s="21"/>
      <c r="L95" s="56"/>
      <c r="M95" s="219"/>
      <c r="N95" s="531"/>
      <c r="O95" s="528"/>
      <c r="P95" s="528"/>
      <c r="Q95" s="32"/>
      <c r="R95" s="32"/>
      <c r="S95" s="32"/>
      <c r="T95" s="32"/>
    </row>
    <row r="96" spans="1:23" ht="3.75" hidden="1" customHeight="1">
      <c r="G96" s="21"/>
      <c r="H96" s="21"/>
      <c r="I96" s="21"/>
      <c r="J96" s="21"/>
      <c r="L96" s="56"/>
      <c r="M96" s="219"/>
      <c r="N96" s="220"/>
      <c r="O96" s="220"/>
      <c r="P96" s="220"/>
      <c r="Q96" s="32"/>
      <c r="R96" s="32"/>
      <c r="S96" s="32"/>
      <c r="T96" s="32"/>
    </row>
    <row r="97" spans="12:20" hidden="1">
      <c r="L97" s="56"/>
      <c r="M97" s="71"/>
      <c r="N97" s="71"/>
      <c r="O97" s="71"/>
      <c r="P97" s="71"/>
      <c r="Q97" s="220"/>
      <c r="R97" s="32"/>
      <c r="S97" s="32"/>
      <c r="T97" s="32"/>
    </row>
    <row r="98" spans="12:20" hidden="1">
      <c r="L98" s="56"/>
      <c r="M98" s="219"/>
      <c r="N98" s="33"/>
      <c r="O98" s="33"/>
      <c r="P98" s="33"/>
      <c r="Q98" s="220"/>
      <c r="R98" s="32"/>
      <c r="S98" s="32"/>
      <c r="T98" s="32"/>
    </row>
    <row r="99" spans="12:20" hidden="1">
      <c r="L99" s="56"/>
      <c r="M99" s="219"/>
      <c r="N99" s="33"/>
      <c r="O99" s="33"/>
      <c r="P99" s="33"/>
      <c r="Q99" s="220"/>
      <c r="R99" s="32"/>
      <c r="S99" s="32"/>
      <c r="T99" s="32"/>
    </row>
    <row r="100" spans="12:20" hidden="1">
      <c r="L100" s="56"/>
      <c r="M100" s="72"/>
      <c r="N100" s="33"/>
      <c r="O100" s="33"/>
      <c r="P100" s="33"/>
      <c r="Q100" s="220"/>
      <c r="R100" s="32"/>
      <c r="S100" s="32"/>
      <c r="T100" s="32"/>
    </row>
    <row r="101" spans="12:20" hidden="1">
      <c r="L101" s="56"/>
      <c r="M101" s="72"/>
      <c r="N101" s="33"/>
      <c r="O101" s="33"/>
      <c r="P101" s="33"/>
      <c r="Q101" s="73"/>
      <c r="R101" s="32"/>
      <c r="S101" s="32"/>
      <c r="T101" s="32"/>
    </row>
    <row r="102" spans="12:20" ht="3.75" hidden="1" customHeight="1">
      <c r="L102" s="55"/>
      <c r="M102" s="32"/>
      <c r="N102" s="32"/>
      <c r="O102" s="32"/>
      <c r="P102" s="32"/>
      <c r="Q102" s="32"/>
      <c r="R102" s="32"/>
      <c r="S102" s="32"/>
      <c r="T102" s="32"/>
    </row>
    <row r="103" spans="12:20" ht="12.75" hidden="1" customHeight="1">
      <c r="L103" s="55"/>
      <c r="M103" s="530"/>
      <c r="N103" s="530"/>
      <c r="O103" s="530"/>
      <c r="P103" s="530"/>
      <c r="Q103" s="530"/>
      <c r="R103" s="530"/>
      <c r="S103" s="530"/>
      <c r="T103" s="530"/>
    </row>
    <row r="104" spans="12:20" hidden="1">
      <c r="L104" s="55"/>
      <c r="M104" s="530"/>
      <c r="N104" s="530"/>
      <c r="O104" s="530"/>
      <c r="P104" s="530"/>
      <c r="Q104" s="530"/>
      <c r="R104" s="530"/>
      <c r="S104" s="530"/>
      <c r="T104" s="530"/>
    </row>
    <row r="105" spans="12:20" ht="10.5" hidden="1" customHeight="1">
      <c r="L105" s="55"/>
      <c r="M105" s="530"/>
      <c r="N105" s="530"/>
      <c r="O105" s="530"/>
      <c r="P105" s="530"/>
      <c r="Q105" s="530"/>
      <c r="R105" s="530"/>
      <c r="S105" s="530"/>
      <c r="T105" s="530"/>
    </row>
    <row r="106" spans="12:20" ht="10.5" hidden="1" customHeight="1">
      <c r="L106" s="55"/>
      <c r="M106" s="32"/>
      <c r="N106" s="32"/>
      <c r="O106" s="32"/>
      <c r="P106" s="32"/>
      <c r="Q106" s="32"/>
      <c r="R106" s="32"/>
      <c r="S106" s="32"/>
      <c r="T106" s="32"/>
    </row>
    <row r="107" spans="12:20" hidden="1">
      <c r="L107" s="55"/>
      <c r="M107" s="32"/>
      <c r="N107" s="32"/>
      <c r="O107" s="32"/>
      <c r="P107" s="32"/>
      <c r="Q107" s="32"/>
      <c r="R107" s="32"/>
      <c r="S107" s="32"/>
      <c r="T107" s="32"/>
    </row>
    <row r="108" spans="12:20" hidden="1">
      <c r="L108" s="55"/>
      <c r="M108" s="32"/>
      <c r="N108" s="32"/>
      <c r="O108" s="32"/>
      <c r="P108" s="32"/>
      <c r="Q108" s="32"/>
      <c r="R108" s="32"/>
      <c r="S108" s="32"/>
      <c r="T108" s="32"/>
    </row>
    <row r="109" spans="12:20" hidden="1">
      <c r="L109" s="55"/>
      <c r="M109" s="32"/>
      <c r="N109" s="32"/>
      <c r="O109" s="32"/>
      <c r="P109" s="32"/>
      <c r="Q109" s="32"/>
      <c r="R109" s="32"/>
      <c r="S109" s="32"/>
      <c r="T109" s="32"/>
    </row>
    <row r="110" spans="12:20" hidden="1">
      <c r="L110" s="55"/>
      <c r="M110" s="32"/>
      <c r="N110" s="32"/>
      <c r="O110" s="32"/>
      <c r="P110" s="32"/>
      <c r="Q110" s="32"/>
      <c r="R110" s="32"/>
      <c r="S110" s="32"/>
      <c r="T110" s="32"/>
    </row>
    <row r="111" spans="12:20" hidden="1">
      <c r="L111" s="55"/>
      <c r="M111" s="32"/>
      <c r="N111" s="32"/>
      <c r="O111" s="32"/>
      <c r="P111" s="32"/>
      <c r="Q111" s="32"/>
      <c r="R111" s="32"/>
      <c r="S111" s="32"/>
      <c r="T111" s="32"/>
    </row>
    <row r="112" spans="12:20" hidden="1">
      <c r="L112" s="55"/>
      <c r="M112" s="32"/>
      <c r="N112" s="32"/>
      <c r="O112" s="32"/>
      <c r="P112" s="32"/>
      <c r="Q112" s="32"/>
      <c r="R112" s="32"/>
      <c r="S112" s="32"/>
      <c r="T112" s="32"/>
    </row>
    <row r="113" spans="12:20" hidden="1">
      <c r="L113" s="55"/>
      <c r="M113" s="32"/>
      <c r="N113" s="32"/>
      <c r="O113" s="32"/>
      <c r="P113" s="32"/>
      <c r="Q113" s="32"/>
      <c r="R113" s="32"/>
      <c r="S113" s="32"/>
      <c r="T113" s="32"/>
    </row>
    <row r="114" spans="12:20" hidden="1">
      <c r="L114" s="55"/>
      <c r="M114" s="32"/>
      <c r="N114" s="32"/>
      <c r="O114" s="32"/>
      <c r="P114" s="32"/>
      <c r="Q114" s="32"/>
      <c r="R114" s="32"/>
      <c r="S114" s="32"/>
      <c r="T114" s="32"/>
    </row>
    <row r="115" spans="12:20" hidden="1">
      <c r="L115" s="55"/>
      <c r="M115" s="32"/>
      <c r="N115" s="32"/>
      <c r="O115" s="32"/>
      <c r="P115" s="32"/>
      <c r="Q115" s="32"/>
      <c r="R115" s="32"/>
      <c r="S115" s="32"/>
      <c r="T115" s="32"/>
    </row>
    <row r="116" spans="12:20" hidden="1">
      <c r="L116" s="55"/>
      <c r="M116" s="32"/>
      <c r="N116" s="32"/>
      <c r="O116" s="32"/>
      <c r="P116" s="32"/>
      <c r="Q116" s="32"/>
      <c r="R116" s="32"/>
      <c r="S116" s="32"/>
      <c r="T116" s="32"/>
    </row>
    <row r="117" spans="12:20" hidden="1">
      <c r="L117" s="55"/>
      <c r="M117" s="32"/>
      <c r="N117" s="32"/>
      <c r="O117" s="32"/>
      <c r="P117" s="32"/>
      <c r="Q117" s="32"/>
      <c r="R117" s="32"/>
      <c r="S117" s="32"/>
      <c r="T117" s="32"/>
    </row>
    <row r="118" spans="12:20" hidden="1">
      <c r="L118" s="55"/>
      <c r="M118" s="32"/>
      <c r="N118" s="32"/>
      <c r="O118" s="32"/>
      <c r="P118" s="32"/>
      <c r="Q118" s="32"/>
      <c r="R118" s="32"/>
      <c r="S118" s="32"/>
      <c r="T118" s="32"/>
    </row>
    <row r="119" spans="12:20" hidden="1">
      <c r="L119" s="55"/>
      <c r="M119" s="32"/>
      <c r="N119" s="32"/>
      <c r="O119" s="32"/>
      <c r="P119" s="32"/>
      <c r="Q119" s="32"/>
      <c r="R119" s="32"/>
      <c r="S119" s="32"/>
      <c r="T119" s="32"/>
    </row>
    <row r="120" spans="12:20" hidden="1">
      <c r="L120" s="55"/>
      <c r="M120" s="32"/>
      <c r="N120" s="32"/>
      <c r="O120" s="32"/>
      <c r="P120" s="32"/>
      <c r="Q120" s="32"/>
      <c r="R120" s="32"/>
      <c r="S120" s="32"/>
      <c r="T120" s="32"/>
    </row>
    <row r="121" spans="12:20" hidden="1">
      <c r="L121" s="55"/>
      <c r="M121" s="32"/>
      <c r="N121" s="32"/>
      <c r="O121" s="32"/>
      <c r="P121" s="32"/>
      <c r="Q121" s="32"/>
      <c r="R121" s="32"/>
      <c r="S121" s="32"/>
      <c r="T121" s="32"/>
    </row>
    <row r="122" spans="12:20" hidden="1">
      <c r="L122" s="55"/>
      <c r="M122" s="32"/>
      <c r="N122" s="32"/>
      <c r="O122" s="32"/>
      <c r="P122" s="32"/>
      <c r="Q122" s="32"/>
      <c r="R122" s="32"/>
      <c r="S122" s="32"/>
      <c r="T122" s="32"/>
    </row>
    <row r="123" spans="12:20" hidden="1">
      <c r="L123" s="55"/>
      <c r="M123" s="32"/>
      <c r="N123" s="32"/>
      <c r="O123" s="32"/>
      <c r="P123" s="32"/>
      <c r="Q123" s="32"/>
      <c r="R123" s="32"/>
      <c r="S123" s="32"/>
      <c r="T123" s="32"/>
    </row>
    <row r="124" spans="12:20" hidden="1">
      <c r="L124" s="55"/>
      <c r="M124" s="32"/>
      <c r="N124" s="32"/>
      <c r="O124" s="32"/>
      <c r="P124" s="32"/>
      <c r="Q124" s="32"/>
      <c r="R124" s="32"/>
      <c r="S124" s="32"/>
      <c r="T124" s="32"/>
    </row>
    <row r="125" spans="12:20" hidden="1">
      <c r="L125" s="55"/>
      <c r="M125" s="32"/>
      <c r="N125" s="32"/>
      <c r="O125" s="32"/>
      <c r="P125" s="32"/>
      <c r="Q125" s="32"/>
      <c r="R125" s="32"/>
      <c r="S125" s="32"/>
      <c r="T125" s="32"/>
    </row>
    <row r="126" spans="12:20" hidden="1">
      <c r="L126" s="55"/>
      <c r="M126" s="32"/>
      <c r="N126" s="32"/>
      <c r="O126" s="32"/>
      <c r="P126" s="32"/>
      <c r="Q126" s="32"/>
      <c r="R126" s="32"/>
      <c r="S126" s="32"/>
      <c r="T126" s="32"/>
    </row>
    <row r="127" spans="12:20" hidden="1">
      <c r="L127" s="55"/>
      <c r="M127" s="32"/>
      <c r="N127" s="32"/>
      <c r="O127" s="32"/>
      <c r="P127" s="32"/>
      <c r="Q127" s="32"/>
      <c r="R127" s="32"/>
      <c r="S127" s="32"/>
      <c r="T127" s="32"/>
    </row>
    <row r="128" spans="12:20" hidden="1">
      <c r="L128" s="55"/>
      <c r="M128" s="32"/>
      <c r="N128" s="32"/>
      <c r="O128" s="32"/>
      <c r="P128" s="32"/>
      <c r="Q128" s="32"/>
      <c r="R128" s="32"/>
      <c r="S128" s="32"/>
      <c r="T128" s="32"/>
    </row>
    <row r="129" spans="12:20" hidden="1">
      <c r="L129" s="55"/>
      <c r="M129" s="32"/>
      <c r="N129" s="32"/>
      <c r="O129" s="32"/>
      <c r="P129" s="32"/>
      <c r="Q129" s="32"/>
      <c r="R129" s="32"/>
      <c r="S129" s="32"/>
      <c r="T129" s="32"/>
    </row>
    <row r="130" spans="12:20" hidden="1">
      <c r="L130" s="55"/>
      <c r="M130" s="32"/>
      <c r="N130" s="32"/>
      <c r="O130" s="32"/>
      <c r="P130" s="32"/>
      <c r="Q130" s="32"/>
      <c r="R130" s="32"/>
      <c r="S130" s="32"/>
      <c r="T130" s="32"/>
    </row>
    <row r="131" spans="12:20" hidden="1"/>
    <row r="132" spans="12:20" hidden="1"/>
    <row r="133" spans="12:20" hidden="1"/>
    <row r="134" spans="12:20" hidden="1"/>
    <row r="135" spans="12:20" hidden="1"/>
    <row r="136" spans="12:20" hidden="1"/>
    <row r="137" spans="12:20" hidden="1"/>
    <row r="138" spans="12:20" hidden="1"/>
    <row r="139" spans="12:20" hidden="1"/>
    <row r="140" spans="12:20" hidden="1"/>
    <row r="141" spans="12:20" hidden="1"/>
    <row r="142" spans="12:20" hidden="1"/>
    <row r="143" spans="12:20" hidden="1"/>
    <row r="144" spans="12:20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t="12" hidden="1" customHeight="1"/>
  </sheetData>
  <sheetProtection algorithmName="SHA-512" hashValue="3pYXA6yuOE93D9rV2m9mg9jRR3v8cuLnMyXSnjmfYZ9cIuTYkJLMxxkTgjakQ+BqVIotH299BrIa3jTLCGMmZw==" saltValue="t+dKXivG2G1CnrhfLfoNbQ==" spinCount="100000" sheet="1" selectLockedCells="1"/>
  <sortState xmlns:xlrd2="http://schemas.microsoft.com/office/spreadsheetml/2017/richdata2" ref="C315:D346">
    <sortCondition ref="C315:C346"/>
  </sortState>
  <dataConsolidate/>
  <mergeCells count="17">
    <mergeCell ref="B2:C2"/>
    <mergeCell ref="B3:C3"/>
    <mergeCell ref="M12:T12"/>
    <mergeCell ref="B5:D6"/>
    <mergeCell ref="M78:P78"/>
    <mergeCell ref="L18:T19"/>
    <mergeCell ref="C40:E40"/>
    <mergeCell ref="I37:J39"/>
    <mergeCell ref="B42:F42"/>
    <mergeCell ref="C39:E39"/>
    <mergeCell ref="O91:P91"/>
    <mergeCell ref="O89:P89"/>
    <mergeCell ref="M103:T103"/>
    <mergeCell ref="M104:T105"/>
    <mergeCell ref="N95:P95"/>
    <mergeCell ref="M93:N93"/>
    <mergeCell ref="O90:P90"/>
  </mergeCells>
  <phoneticPr fontId="0" type="noConversion"/>
  <conditionalFormatting sqref="C29:D29">
    <cfRule type="expression" dxfId="3" priority="5">
      <formula>$B$29=""</formula>
    </cfRule>
  </conditionalFormatting>
  <conditionalFormatting sqref="C30:E35">
    <cfRule type="expression" dxfId="2" priority="4">
      <formula>$B$29=""</formula>
    </cfRule>
  </conditionalFormatting>
  <conditionalFormatting sqref="C40:E40">
    <cfRule type="expression" dxfId="1" priority="1">
      <formula>$C$40="Nombre de agente"</formula>
    </cfRule>
  </conditionalFormatting>
  <dataValidations count="1">
    <dataValidation showDropDown="1" showInputMessage="1" showErrorMessage="1" sqref="C39:E39" xr:uid="{00000000-0002-0000-0200-000000000000}"/>
  </dataValidations>
  <printOptions horizontalCentered="1" verticalCentered="1"/>
  <pageMargins left="0.39370078740157483" right="0.39370078740157483" top="0.39370078740157483" bottom="0.39370078740157483" header="0" footer="0"/>
  <pageSetup scale="46" orientation="landscape" r:id="rId1"/>
  <headerFooter alignWithMargins="0"/>
  <cellWatches>
    <cellWatch r="D10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0000000-0002-0000-0200-000001000000}">
          <x14:formula1>
            <xm:f>FACTORES!$X$11:$X$18</xm:f>
          </x14:formula1>
          <xm:sqref>D19</xm:sqref>
        </x14:dataValidation>
        <x14:dataValidation type="list" operator="lessThanOrEqual" allowBlank="1" showInputMessage="1" showErrorMessage="1" errorTitle="AVISO" error="DEDUCIBLE FUERA DE RANGO" xr:uid="{00000000-0002-0000-0200-000002000000}">
          <x14:formula1>
            <xm:f>FACTORES!$G$3:$G$13</xm:f>
          </x14:formula1>
          <xm:sqref>D12</xm:sqref>
        </x14:dataValidation>
        <x14:dataValidation type="list" operator="lessThanOrEqual" allowBlank="1" showInputMessage="1" showErrorMessage="1" errorTitle="AVISO" error="COASEGURO FUERA DE RANGO" xr:uid="{00000000-0002-0000-0200-000003000000}">
          <x14:formula1>
            <xm:f>FACTORES!$K$3:$K$5</xm:f>
          </x14:formula1>
          <xm:sqref>D13</xm:sqref>
        </x14:dataValidation>
        <x14:dataValidation type="list" allowBlank="1" showInputMessage="1" showErrorMessage="1" xr:uid="{00000000-0002-0000-0200-000004000000}">
          <x14:formula1>
            <xm:f>FACTORES!$B$3:$B$27</xm:f>
          </x14:formula1>
          <xm:sqref>E30:E35</xm:sqref>
        </x14:dataValidation>
        <x14:dataValidation type="list" allowBlank="1" showInputMessage="1" showErrorMessage="1" xr:uid="{00000000-0002-0000-0200-000005000000}">
          <x14:formula1>
            <xm:f>FACTORES!$R$21:$R$22</xm:f>
          </x14:formula1>
          <xm:sqref>D9</xm:sqref>
        </x14:dataValidation>
        <x14:dataValidation type="list" allowBlank="1" showInputMessage="1" showErrorMessage="1" xr:uid="{00000000-0002-0000-0200-000006000000}">
          <x14:formula1>
            <xm:f>FACTORES!$R$17:$R$18</xm:f>
          </x14:formula1>
          <xm:sqref>D8</xm:sqref>
        </x14:dataValidation>
        <x14:dataValidation type="list" allowBlank="1" showInputMessage="1" showErrorMessage="1" xr:uid="{00000000-0002-0000-0200-000007000000}">
          <x14:formula1>
            <xm:f>FACTORES!$R$25:$R$26</xm:f>
          </x14:formula1>
          <xm:sqref>D28:D35</xm:sqref>
        </x14:dataValidation>
        <x14:dataValidation type="list" allowBlank="1" showInputMessage="1" showErrorMessage="1" xr:uid="{00000000-0002-0000-0200-000008000000}">
          <x14:formula1>
            <xm:f>IF($D$7="NUEVA",FACTORES!$B$3:$B$67,FACTORES!$B$3:$B$103)</xm:f>
          </x14:formula1>
          <xm:sqref>E28:E29</xm:sqref>
        </x14:dataValidation>
        <x14:dataValidation type="list" allowBlank="1" showInputMessage="1" showErrorMessage="1" xr:uid="{00000000-0002-0000-0200-000009000000}">
          <x14:formula1>
            <xm:f>FACTORES!$H$22:$H$23</xm:f>
          </x14:formula1>
          <xm:sqref>D11</xm:sqref>
        </x14:dataValidation>
        <x14:dataValidation type="list" allowBlank="1" showInputMessage="1" showErrorMessage="1" xr:uid="{00000000-0002-0000-0200-00000A000000}">
          <x14:formula1>
            <xm:f>IF($D$12&gt;50000,FACTORES!$K$21,FACTORES!$K$21:$K$23)</xm:f>
          </x14:formula1>
          <xm:sqref>D17</xm:sqref>
        </x14:dataValidation>
        <x14:dataValidation type="list" allowBlank="1" showInputMessage="1" showErrorMessage="1" xr:uid="{00000000-0002-0000-0200-00000B000000}">
          <x14:formula1>
            <xm:f>FACTORES!$K$11:$K$16</xm:f>
          </x14:formula1>
          <xm:sqref>D22</xm:sqref>
        </x14:dataValidation>
        <x14:dataValidation type="list" operator="lessThanOrEqual" allowBlank="1" showInputMessage="1" showErrorMessage="1" errorTitle="AVISO" error="DEDUCIBLE FUERA DE RANGO" xr:uid="{00000000-0002-0000-0200-00000C000000}">
          <x14:formula1>
            <xm:f>FACTORES!$N$3:$N$34</xm:f>
          </x14:formula1>
          <xm:sqref>D14</xm:sqref>
        </x14:dataValidation>
        <x14:dataValidation type="list" allowBlank="1" showInputMessage="1" showErrorMessage="1" xr:uid="{00000000-0002-0000-0200-00000D000000}">
          <x14:formula1>
            <xm:f>FACTORES!$AC$30:$AC$31</xm:f>
          </x14:formula1>
          <xm:sqref>D20</xm:sqref>
        </x14:dataValidation>
        <x14:dataValidation type="list" allowBlank="1" showInputMessage="1" showErrorMessage="1" xr:uid="{00000000-0002-0000-0200-00000E000000}">
          <x14:formula1>
            <xm:f>FACTORES!#REF!</xm:f>
          </x14:formula1>
          <xm:sqref>D21</xm:sqref>
        </x14:dataValidation>
        <x14:dataValidation type="list" operator="lessThanOrEqual" allowBlank="1" showInputMessage="1" showErrorMessage="1" errorTitle="AVISO" error="DEDUCIBLE FUERA DE RANGO" xr:uid="{00000000-0002-0000-0200-00000F000000}">
          <x14:formula1>
            <xm:f>FACTORES!$AC$35:$AC$36</xm:f>
          </x14:formula1>
          <xm:sqref>D16</xm:sqref>
        </x14:dataValidation>
        <x14:dataValidation type="list" allowBlank="1" showInputMessage="1" showErrorMessage="1" xr:uid="{00000000-0002-0000-0200-000010000000}">
          <x14:formula1>
            <xm:f>FACTORES!$AC$21:$AC$22</xm:f>
          </x14:formula1>
          <xm:sqref>D18</xm:sqref>
        </x14:dataValidation>
        <x14:dataValidation type="list" operator="notBetween" allowBlank="1" showInputMessage="1" showErrorMessage="1" errorTitle="AVISO" error="SUMA ASEGURADA FUERA DE RANGO" xr:uid="{00000000-0002-0000-0200-000012000000}">
          <x14:formula1>
            <xm:f>FACTORES!$U$3:$U$24</xm:f>
          </x14:formula1>
          <xm:sqref>D10</xm:sqref>
        </x14:dataValidation>
        <x14:dataValidation type="list" allowBlank="1" showInputMessage="1" showErrorMessage="1" xr:uid="{AA21548E-6E7C-4E51-A1B3-EEDBAA5A9619}">
          <x14:formula1>
            <xm:f>FACTORES!$R$37:$R$38</xm:f>
          </x14:formula1>
          <xm:sqref>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BH990"/>
  <sheetViews>
    <sheetView windowProtection="1" showGridLines="0" topLeftCell="BH1" zoomScale="85" zoomScaleNormal="85" workbookViewId="0">
      <selection activeCell="BG1" sqref="A1:BG1048576"/>
    </sheetView>
  </sheetViews>
  <sheetFormatPr baseColWidth="10" defaultColWidth="11.42578125" defaultRowHeight="12.75"/>
  <cols>
    <col min="1" max="1" width="2.42578125" style="115" hidden="1" customWidth="1"/>
    <col min="2" max="2" width="6.7109375" style="122" hidden="1" customWidth="1"/>
    <col min="3" max="4" width="14.5703125" style="115" hidden="1" customWidth="1"/>
    <col min="5" max="5" width="1.85546875" style="115" hidden="1" customWidth="1"/>
    <col min="6" max="6" width="4.7109375" style="115" hidden="1" customWidth="1"/>
    <col min="7" max="7" width="13.28515625" style="115" hidden="1" customWidth="1"/>
    <col min="8" max="8" width="23.5703125" style="115" hidden="1" customWidth="1"/>
    <col min="9" max="9" width="11.140625" style="115" hidden="1" customWidth="1"/>
    <col min="10" max="10" width="4.7109375" style="115" hidden="1" customWidth="1"/>
    <col min="11" max="11" width="30.85546875" style="115" hidden="1" customWidth="1"/>
    <col min="12" max="12" width="10.5703125" style="115" hidden="1" customWidth="1"/>
    <col min="13" max="13" width="4.7109375" style="115" hidden="1" customWidth="1"/>
    <col min="14" max="14" width="36.28515625" style="115" hidden="1" customWidth="1"/>
    <col min="15" max="16" width="32.85546875" style="115" hidden="1" customWidth="1"/>
    <col min="17" max="17" width="9" style="115" hidden="1" customWidth="1"/>
    <col min="18" max="18" width="22.7109375" style="115" hidden="1" customWidth="1"/>
    <col min="19" max="19" width="10.140625" style="115" hidden="1" customWidth="1"/>
    <col min="20" max="20" width="4.7109375" style="115" hidden="1" customWidth="1"/>
    <col min="21" max="21" width="26.7109375" style="115" hidden="1" customWidth="1"/>
    <col min="22" max="22" width="9.140625" style="115" hidden="1" customWidth="1"/>
    <col min="23" max="23" width="4.7109375" style="115" hidden="1" customWidth="1"/>
    <col min="24" max="24" width="37" style="115" hidden="1" customWidth="1"/>
    <col min="25" max="25" width="18" style="115" hidden="1" customWidth="1"/>
    <col min="26" max="26" width="10.7109375" style="115" hidden="1" customWidth="1"/>
    <col min="27" max="27" width="13" style="115" hidden="1" customWidth="1"/>
    <col min="28" max="28" width="4.7109375" style="115" hidden="1" customWidth="1"/>
    <col min="29" max="29" width="44.140625" style="115" hidden="1" customWidth="1"/>
    <col min="30" max="30" width="9.85546875" style="115" hidden="1" customWidth="1"/>
    <col min="31" max="31" width="6.28515625" style="115" hidden="1" customWidth="1"/>
    <col min="32" max="32" width="37.85546875" style="115" hidden="1" customWidth="1"/>
    <col min="33" max="33" width="11.140625" style="115" hidden="1" customWidth="1"/>
    <col min="34" max="34" width="13.85546875" style="115" hidden="1" customWidth="1"/>
    <col min="35" max="35" width="13.5703125" style="115" hidden="1" customWidth="1"/>
    <col min="36" max="36" width="10.5703125" style="115" hidden="1" customWidth="1"/>
    <col min="37" max="37" width="12.85546875" style="115" hidden="1" customWidth="1"/>
    <col min="38" max="38" width="12.7109375" style="115" hidden="1" customWidth="1"/>
    <col min="39" max="39" width="11.7109375" style="115" hidden="1" customWidth="1"/>
    <col min="40" max="40" width="10.7109375" style="115" hidden="1" customWidth="1"/>
    <col min="41" max="45" width="13.85546875" style="115" hidden="1" customWidth="1"/>
    <col min="46" max="46" width="33.140625" style="115" hidden="1" customWidth="1"/>
    <col min="47" max="47" width="5.140625" style="115" hidden="1" customWidth="1"/>
    <col min="48" max="48" width="9.140625" style="115" hidden="1" customWidth="1"/>
    <col min="49" max="49" width="4.5703125" style="115" hidden="1" customWidth="1"/>
    <col min="50" max="50" width="23" style="115" hidden="1" customWidth="1"/>
    <col min="51" max="51" width="11.28515625" style="115" hidden="1" customWidth="1"/>
    <col min="52" max="52" width="10.85546875" style="115" hidden="1" customWidth="1"/>
    <col min="53" max="53" width="23.85546875" style="115" hidden="1" customWidth="1"/>
    <col min="54" max="54" width="12.28515625" style="115" hidden="1" customWidth="1"/>
    <col min="55" max="55" width="8.7109375" style="115" hidden="1" customWidth="1"/>
    <col min="56" max="56" width="10.7109375" style="115" hidden="1" customWidth="1"/>
    <col min="57" max="57" width="13" style="115" hidden="1" customWidth="1"/>
    <col min="58" max="59" width="11.42578125" style="115" hidden="1" customWidth="1"/>
    <col min="60" max="60" width="11.42578125" style="115" customWidth="1"/>
    <col min="61" max="61" width="35.140625" style="115" customWidth="1"/>
    <col min="62" max="63" width="13.7109375" style="115" customWidth="1"/>
    <col min="64" max="16384" width="11.42578125" style="115"/>
  </cols>
  <sheetData>
    <row r="1" spans="2:59" ht="13.5" thickBot="1">
      <c r="B1" s="252" t="s">
        <v>260</v>
      </c>
      <c r="C1" s="250"/>
      <c r="D1" s="250" t="s">
        <v>350</v>
      </c>
      <c r="G1" s="117" t="s">
        <v>252</v>
      </c>
      <c r="H1" s="117" t="s">
        <v>251</v>
      </c>
      <c r="I1" s="117" t="s">
        <v>41</v>
      </c>
      <c r="K1" s="544" t="s">
        <v>1</v>
      </c>
      <c r="L1" s="544"/>
      <c r="N1" s="117" t="s">
        <v>211</v>
      </c>
      <c r="R1" s="117" t="s">
        <v>187</v>
      </c>
      <c r="U1" s="117" t="s">
        <v>0</v>
      </c>
      <c r="X1" s="117" t="s">
        <v>210</v>
      </c>
      <c r="AC1" s="117" t="s">
        <v>197</v>
      </c>
      <c r="AF1" s="117" t="s">
        <v>192</v>
      </c>
    </row>
    <row r="2" spans="2:59" ht="15.75" thickBot="1">
      <c r="B2" s="323" t="s">
        <v>5</v>
      </c>
      <c r="C2" s="324" t="s">
        <v>3</v>
      </c>
      <c r="D2" s="325" t="s">
        <v>4</v>
      </c>
      <c r="G2" s="231" t="s">
        <v>181</v>
      </c>
      <c r="H2" s="232" t="s">
        <v>2</v>
      </c>
      <c r="I2" s="233" t="s">
        <v>2</v>
      </c>
      <c r="J2" s="117"/>
      <c r="K2" s="231" t="s">
        <v>182</v>
      </c>
      <c r="L2" s="233" t="s">
        <v>2</v>
      </c>
      <c r="M2" s="117"/>
      <c r="N2" s="305" t="s">
        <v>356</v>
      </c>
      <c r="O2" s="306" t="s">
        <v>306</v>
      </c>
      <c r="P2" s="367" t="s">
        <v>184</v>
      </c>
      <c r="R2" s="231" t="s">
        <v>13</v>
      </c>
      <c r="S2" s="233" t="s">
        <v>2</v>
      </c>
      <c r="T2" s="117"/>
      <c r="U2" s="231" t="s">
        <v>0</v>
      </c>
      <c r="V2" s="233" t="s">
        <v>2</v>
      </c>
      <c r="W2" s="119"/>
      <c r="X2" s="231" t="s">
        <v>209</v>
      </c>
      <c r="Y2" s="232" t="s">
        <v>77</v>
      </c>
      <c r="Z2" s="232" t="s">
        <v>76</v>
      </c>
      <c r="AA2" s="233" t="s">
        <v>78</v>
      </c>
      <c r="AB2" s="119"/>
      <c r="AC2" s="240" t="s">
        <v>198</v>
      </c>
      <c r="AD2" s="241" t="s">
        <v>2</v>
      </c>
      <c r="AE2" s="119"/>
      <c r="AF2" s="242" t="s">
        <v>198</v>
      </c>
      <c r="AG2" s="242" t="s">
        <v>2</v>
      </c>
      <c r="AH2" s="119"/>
      <c r="AI2" s="231" t="s">
        <v>220</v>
      </c>
      <c r="AJ2" s="232" t="s">
        <v>219</v>
      </c>
      <c r="AK2" s="232" t="s">
        <v>221</v>
      </c>
      <c r="AL2" s="232" t="s">
        <v>222</v>
      </c>
      <c r="AM2" s="232" t="s">
        <v>346</v>
      </c>
      <c r="AN2" s="232" t="s">
        <v>348</v>
      </c>
      <c r="AO2" s="233" t="s">
        <v>204</v>
      </c>
      <c r="AQ2" s="119"/>
      <c r="AR2" s="119"/>
      <c r="AS2" s="119"/>
      <c r="AT2" s="119"/>
      <c r="AU2" s="119"/>
      <c r="AV2" s="119" t="s">
        <v>10</v>
      </c>
      <c r="AW2" s="119"/>
      <c r="AZ2" s="118" t="s">
        <v>69</v>
      </c>
      <c r="BA2" s="118" t="s">
        <v>68</v>
      </c>
      <c r="BB2" s="118"/>
      <c r="BD2" s="119" t="s">
        <v>74</v>
      </c>
      <c r="BE2" s="119" t="s">
        <v>77</v>
      </c>
      <c r="BF2" s="119" t="s">
        <v>76</v>
      </c>
      <c r="BG2" s="119" t="s">
        <v>78</v>
      </c>
    </row>
    <row r="3" spans="2:59" ht="15">
      <c r="B3" s="332">
        <v>0</v>
      </c>
      <c r="C3" s="335">
        <v>8689.3628844413688</v>
      </c>
      <c r="D3" s="336">
        <v>8643.7206763893882</v>
      </c>
      <c r="G3" s="270">
        <v>12000</v>
      </c>
      <c r="H3" s="268">
        <v>0.83099999999999996</v>
      </c>
      <c r="I3" s="424">
        <f t="shared" ref="I3:I13" si="0">ROUND(H3*$I$18,3)</f>
        <v>0.751</v>
      </c>
      <c r="J3" s="111"/>
      <c r="K3" s="264" t="s">
        <v>256</v>
      </c>
      <c r="L3" s="429">
        <v>0.92200000000000004</v>
      </c>
      <c r="M3" s="111"/>
      <c r="N3" s="307" t="s">
        <v>93</v>
      </c>
      <c r="O3" s="308">
        <v>5</v>
      </c>
      <c r="P3" s="312">
        <v>3</v>
      </c>
      <c r="R3" s="157">
        <v>1</v>
      </c>
      <c r="S3" s="148">
        <v>0.65</v>
      </c>
      <c r="T3" s="111"/>
      <c r="U3" s="159">
        <v>200000</v>
      </c>
      <c r="V3" s="162">
        <v>0.67700000000000005</v>
      </c>
      <c r="W3" s="111"/>
      <c r="X3" s="180" t="s">
        <v>42</v>
      </c>
      <c r="Y3" s="125">
        <v>4.7300000000000002E-2</v>
      </c>
      <c r="Z3" s="125">
        <f>+COTIZACION!H37</f>
        <v>4.7300000000000002E-2</v>
      </c>
      <c r="AA3" s="181">
        <f>IF(Z3=0,1+Y3,1+Z3)</f>
        <v>1.0472999999999999</v>
      </c>
      <c r="AB3" s="111"/>
      <c r="AC3" s="187" t="s">
        <v>179</v>
      </c>
      <c r="AD3" s="426">
        <f>VLOOKUP(COTIZACION!D8,FACTORES!$R$17:$S$18,2,0)</f>
        <v>0.84</v>
      </c>
      <c r="AE3" s="111"/>
      <c r="AF3" s="179" t="s">
        <v>311</v>
      </c>
      <c r="AG3" s="193">
        <f>$AD$26</f>
        <v>153.80000000000001</v>
      </c>
      <c r="AH3" s="111"/>
      <c r="AI3" s="180">
        <v>1</v>
      </c>
      <c r="AJ3" s="194" t="str">
        <f>(IF(COTIZACION!F28="EDAD NO PERMITIDA","EDAD NO PERMITIDA",IF(IMPRESION!H71="","",IF(IMPRESION!I71="HOMBRE",VLOOKUP(IMPRESION!H71,FACTORES!$B$3:$D$103,2,0)*FACTORES!$AD$9,IF(IMPRESION!I71="MUJER",VLOOKUP(IMPRESION!H71,FACTORES!$B$3:$D$103,3,0)*FACTORES!$AD$9,"")))))</f>
        <v/>
      </c>
      <c r="AK3" s="196" t="str">
        <f>IF(COTIZACION!D28="","",IF(AND(COTIZACION!D28="MUJER",50&gt;COTIZACION!E28,COTIZACION!E28&gt;17,COTIZACION!$D$12&gt;45000),FACTORES!$L$21,IF(AND(COTIZACION!D28="mujer",50&gt;COTIZACION!E28,COTIZACION!E28&gt;17),VLOOKUP(COTIZACION!$D$17,FACTORES!$K$21:$L$23,2,0),0)))</f>
        <v/>
      </c>
      <c r="AL3" s="196" t="str">
        <f>IF(AND(COTIZACION!E28&gt;17,COTIZACION!E28&lt;60),IF(AJ3="","",$AG$8),IF(AJ3="","",$AG$8-$AG$7))</f>
        <v/>
      </c>
      <c r="AM3" s="196" t="str">
        <f>IF(AJ3="","",IF(COTIZACION!E28&lt;20,FACTORES!$AG$26,FACTORES!$AG$27))</f>
        <v/>
      </c>
      <c r="AN3" s="196">
        <f>IFERROR(IF(COTIZACION!D8="T",0,IF(AJ3="","",VLOOKUP(COTIZACION!$D$20,FACTORES!$AC$30:$AD$31,2,0))*AJ3),0)</f>
        <v>0</v>
      </c>
      <c r="AO3" s="192" t="str">
        <f>IF(AJ3="","",SUM(AJ3:AN3))</f>
        <v/>
      </c>
      <c r="AP3" s="126"/>
      <c r="AQ3" s="111"/>
      <c r="AR3" s="111"/>
      <c r="AS3" s="111"/>
      <c r="AT3" s="111"/>
      <c r="AU3" s="111"/>
      <c r="AV3" s="122" t="s">
        <v>43</v>
      </c>
      <c r="AW3" s="111">
        <v>1.05</v>
      </c>
      <c r="AX3" s="195"/>
      <c r="AZ3" s="123"/>
      <c r="BA3" s="124"/>
      <c r="BB3" s="124"/>
      <c r="BD3" s="115" t="s">
        <v>42</v>
      </c>
    </row>
    <row r="4" spans="2:59" ht="15">
      <c r="B4" s="327">
        <v>1</v>
      </c>
      <c r="C4" s="330">
        <v>8689.3628844413688</v>
      </c>
      <c r="D4" s="331">
        <v>8643.7206763893882</v>
      </c>
      <c r="G4" s="149">
        <v>15000</v>
      </c>
      <c r="H4" s="269">
        <v>0.79800000000000004</v>
      </c>
      <c r="I4" s="425">
        <f t="shared" si="0"/>
        <v>0.72099999999999997</v>
      </c>
      <c r="J4" s="111"/>
      <c r="K4" s="155" t="s">
        <v>325</v>
      </c>
      <c r="L4" s="163">
        <v>0.88800000000000001</v>
      </c>
      <c r="M4" s="111"/>
      <c r="N4" s="309" t="s">
        <v>105</v>
      </c>
      <c r="O4" s="310">
        <v>3</v>
      </c>
      <c r="P4" s="310">
        <v>2</v>
      </c>
      <c r="R4" s="158">
        <v>2</v>
      </c>
      <c r="S4" s="150">
        <v>0.71</v>
      </c>
      <c r="T4" s="111"/>
      <c r="U4" s="160">
        <v>300000</v>
      </c>
      <c r="V4" s="163">
        <v>0.71</v>
      </c>
      <c r="W4" s="111"/>
      <c r="X4" s="182" t="s">
        <v>73</v>
      </c>
      <c r="Y4" s="178">
        <v>7.0000000000000007E-2</v>
      </c>
      <c r="Z4" s="178">
        <f>+COTIZACION!H38</f>
        <v>6.9900000000000004E-2</v>
      </c>
      <c r="AA4" s="183">
        <f>IF(Z4=0,1+Y4,1+Z4)</f>
        <v>1.0699000000000001</v>
      </c>
      <c r="AB4" s="111"/>
      <c r="AC4" s="188" t="s">
        <v>17</v>
      </c>
      <c r="AD4" s="427">
        <f>VLOOKUP(COTIZACION!D10,FACTORES!$U$3:$V$24,2,0)</f>
        <v>1.19</v>
      </c>
      <c r="AE4" s="111"/>
      <c r="AF4" s="140" t="s">
        <v>212</v>
      </c>
      <c r="AG4" s="338">
        <f>$AD$13</f>
        <v>69.3</v>
      </c>
      <c r="AH4" s="111"/>
      <c r="AI4" s="182">
        <v>2</v>
      </c>
      <c r="AJ4" s="200" t="str">
        <f>(IF(COTIZACION!F29="EDAD NO PERMITIDA","EDAD NO PERMITIDA",IF(IMPRESION!H72="","",IF(IMPRESION!I72="HOMBRE",VLOOKUP(IMPRESION!H72,FACTORES!$B$3:$D$103,2,0)*FACTORES!$AD$9,IF(IMPRESION!I72="MUJER",VLOOKUP(IMPRESION!H72,FACTORES!$B$3:$D$103,3,0)*FACTORES!$AD$9,"")))))</f>
        <v/>
      </c>
      <c r="AK4" s="197" t="str">
        <f>IF(COTIZACION!D29="","",IF(AND(COTIZACION!D29="MUJER",50&gt;COTIZACION!E29,COTIZACION!E29&gt;17,COTIZACION!$D$12&gt;45000),FACTORES!$L$21,IF(AND(COTIZACION!D29="mujer",50&gt;COTIZACION!E29,COTIZACION!E29&gt;17),VLOOKUP(COTIZACION!$D$17,FACTORES!$K$21:$L$23,2,0),0)))</f>
        <v/>
      </c>
      <c r="AL4" s="197" t="str">
        <f>IF(AND(COTIZACION!E29&gt;17,COTIZACION!E29&lt;60),IF(AJ4="","",$AG$8),IF(AJ4="","",$AG$8-$AG$7))</f>
        <v/>
      </c>
      <c r="AM4" s="197" t="str">
        <f>IF(AJ4="","",IF(COTIZACION!E29&lt;20,FACTORES!$AG$26,FACTORES!$AG$27))</f>
        <v/>
      </c>
      <c r="AN4" s="197">
        <f>IFERROR(IF(COTIZACION!D9="T",0,IF(AJ4="","",VLOOKUP(COTIZACION!$D$20,FACTORES!$AC$30:$AD$31,2,0))*AJ4),0)</f>
        <v>0</v>
      </c>
      <c r="AO4" s="206" t="str">
        <f t="shared" ref="AO4:AO10" si="1">IF(AJ4="","",SUM(AJ4:AN4))</f>
        <v/>
      </c>
      <c r="AP4" s="126"/>
      <c r="AQ4" s="111"/>
      <c r="AR4" s="111"/>
      <c r="AS4" s="111"/>
      <c r="AT4" s="111"/>
      <c r="AU4" s="111"/>
      <c r="AV4" s="122" t="s">
        <v>44</v>
      </c>
      <c r="AW4" s="111">
        <v>1</v>
      </c>
      <c r="AX4" s="112"/>
      <c r="AZ4" s="123"/>
      <c r="BA4" s="124"/>
      <c r="BB4" s="124"/>
      <c r="BD4" s="115" t="s">
        <v>73</v>
      </c>
    </row>
    <row r="5" spans="2:59" ht="15">
      <c r="B5" s="326">
        <v>2</v>
      </c>
      <c r="C5" s="328">
        <v>8689.3628844413688</v>
      </c>
      <c r="D5" s="329">
        <v>8643.7206763893882</v>
      </c>
      <c r="G5" s="270">
        <v>20000</v>
      </c>
      <c r="H5" s="268">
        <v>0.747</v>
      </c>
      <c r="I5" s="424">
        <f t="shared" si="0"/>
        <v>0.67500000000000004</v>
      </c>
      <c r="J5" s="111"/>
      <c r="K5" s="265" t="s">
        <v>326</v>
      </c>
      <c r="L5" s="430">
        <v>0.85</v>
      </c>
      <c r="M5" s="111"/>
      <c r="N5" s="311" t="s">
        <v>111</v>
      </c>
      <c r="O5" s="312">
        <v>5</v>
      </c>
      <c r="P5" s="312">
        <v>3</v>
      </c>
      <c r="R5" s="157">
        <v>3</v>
      </c>
      <c r="S5" s="148">
        <v>0.71</v>
      </c>
      <c r="T5" s="111"/>
      <c r="U5" s="159">
        <v>400000</v>
      </c>
      <c r="V5" s="162">
        <v>0.73399999999999999</v>
      </c>
      <c r="W5" s="111"/>
      <c r="X5" s="184" t="s">
        <v>75</v>
      </c>
      <c r="Y5" s="185">
        <v>0.1</v>
      </c>
      <c r="Z5" s="185">
        <f>+COTIZACION!H39</f>
        <v>9.9900000000000003E-2</v>
      </c>
      <c r="AA5" s="186">
        <f>IF(Z5=0,1+Y5,1+Z5)</f>
        <v>1.0999000000000001</v>
      </c>
      <c r="AB5" s="111"/>
      <c r="AC5" s="187" t="s">
        <v>19</v>
      </c>
      <c r="AD5" s="426">
        <f>IF(COTIZACION!D11="ANUAL",VLOOKUP(COTIZACION!D12,FACTORES!$G$3:$I$17,3,0),VLOOKUP(COTIZACION!D12,FACTORES!$G$3:$I$17,2,0))</f>
        <v>0.83099999999999996</v>
      </c>
      <c r="AE5" s="111"/>
      <c r="AF5" s="179" t="s">
        <v>216</v>
      </c>
      <c r="AG5" s="193">
        <f>$AD$17</f>
        <v>142.25</v>
      </c>
      <c r="AH5" s="111"/>
      <c r="AI5" s="180">
        <v>3</v>
      </c>
      <c r="AJ5" s="194" t="str">
        <f>(IF(COTIZACION!F30="EDAD NO PERMITIDA","EDAD NO PERMITIDA",IF(IMPRESION!H73="","",IF(IMPRESION!I73="HOMBRE",VLOOKUP(IMPRESION!H73,FACTORES!$B$3:$D$103,2,0)*FACTORES!$AD$9,IF(IMPRESION!I73="MUJER",VLOOKUP(IMPRESION!H73,FACTORES!$B$3:$D$103,3,0)*FACTORES!$AD$9,"")))))</f>
        <v/>
      </c>
      <c r="AK5" s="196" t="str">
        <f>IF(COTIZACION!D30="","",IF(AND(COTIZACION!D30="MUJER",50&gt;COTIZACION!E30,COTIZACION!E30&gt;17,COTIZACION!$D$12&gt;45000),FACTORES!$L$21,IF(AND(COTIZACION!D30="mujer",50&gt;COTIZACION!E30,COTIZACION!E30&gt;17),VLOOKUP(COTIZACION!$D$17,FACTORES!$K$21:$L$23,2,0),0)))</f>
        <v/>
      </c>
      <c r="AL5" s="196" t="str">
        <f>IF(AND(COTIZACION!E30&gt;17,COTIZACION!E30&lt;60),IF(AJ5="","",$AG$8),IF(AJ5="","",$AG$8-$AG$7))</f>
        <v/>
      </c>
      <c r="AM5" s="196" t="str">
        <f>IF(AJ5="","",IF(COTIZACION!E30&lt;20,FACTORES!$AG$26,FACTORES!$AG$27))</f>
        <v/>
      </c>
      <c r="AN5" s="196">
        <f>IFERROR(IF(COTIZACION!D10="T",0,IF(AJ5="","",VLOOKUP(COTIZACION!$D$20,FACTORES!$AC$30:$AD$31,2,0))*AJ5),0)</f>
        <v>0</v>
      </c>
      <c r="AO5" s="192" t="str">
        <f t="shared" si="1"/>
        <v/>
      </c>
      <c r="AP5" s="126"/>
      <c r="AQ5" s="111"/>
      <c r="AR5" s="111"/>
      <c r="AS5" s="111"/>
      <c r="AT5" s="111"/>
      <c r="AU5" s="111"/>
      <c r="AV5" s="122"/>
      <c r="AW5" s="111"/>
      <c r="AX5" s="112"/>
      <c r="AZ5" s="123"/>
      <c r="BA5" s="124"/>
      <c r="BB5" s="124"/>
      <c r="BD5" s="115" t="s">
        <v>75</v>
      </c>
    </row>
    <row r="6" spans="2:59" ht="15">
      <c r="B6" s="327">
        <v>3</v>
      </c>
      <c r="C6" s="330">
        <v>8689.3628844413688</v>
      </c>
      <c r="D6" s="331">
        <v>8643.7206763893882</v>
      </c>
      <c r="G6" s="149">
        <v>25000</v>
      </c>
      <c r="H6" s="269">
        <v>0.70399999999999996</v>
      </c>
      <c r="I6" s="425">
        <f t="shared" si="0"/>
        <v>0.63600000000000001</v>
      </c>
      <c r="J6" s="111"/>
      <c r="L6" s="115" t="s">
        <v>350</v>
      </c>
      <c r="M6" s="111"/>
      <c r="N6" s="309" t="s">
        <v>85</v>
      </c>
      <c r="O6" s="310">
        <v>1</v>
      </c>
      <c r="P6" s="310">
        <v>1</v>
      </c>
      <c r="R6" s="158">
        <v>4</v>
      </c>
      <c r="S6" s="150">
        <v>0.84</v>
      </c>
      <c r="T6" s="111"/>
      <c r="U6" s="160">
        <v>500000</v>
      </c>
      <c r="V6" s="163">
        <v>0.753</v>
      </c>
      <c r="W6" s="111"/>
      <c r="X6" s="111"/>
      <c r="Y6" s="111"/>
      <c r="Z6" s="111"/>
      <c r="AA6" s="111"/>
      <c r="AB6" s="111"/>
      <c r="AC6" s="188" t="s">
        <v>20</v>
      </c>
      <c r="AD6" s="427">
        <f>VLOOKUP(COTIZACION!D13,FACTORES!$K$3:$L$5,2,0)</f>
        <v>0.92200000000000004</v>
      </c>
      <c r="AE6" s="111"/>
      <c r="AF6" s="140" t="s">
        <v>217</v>
      </c>
      <c r="AG6" s="338">
        <f>VLOOKUP(COTIZACION!$D$18,FACTORES!$AC$21:$AD$22,2,0)</f>
        <v>0</v>
      </c>
      <c r="AH6" s="111"/>
      <c r="AI6" s="182">
        <v>4</v>
      </c>
      <c r="AJ6" s="200" t="str">
        <f>(IF(COTIZACION!F31="EDAD NO PERMITIDA","EDAD NO PERMITIDA",IF(IMPRESION!H74="","",IF(IMPRESION!I74="HOMBRE",VLOOKUP(IMPRESION!H74,FACTORES!$B$3:$D$103,2,0)*FACTORES!$AD$9,IF(IMPRESION!I74="MUJER",VLOOKUP(IMPRESION!H74,FACTORES!$B$3:$D$103,3,0)*FACTORES!$AD$9,"")))))</f>
        <v/>
      </c>
      <c r="AK6" s="197" t="str">
        <f>IF(COTIZACION!D31="","",IF(AND(COTIZACION!D31="MUJER",50&gt;COTIZACION!E31,COTIZACION!E31&gt;17,COTIZACION!$D$12&gt;45000),FACTORES!$L$21,IF(AND(COTIZACION!D31="mujer",50&gt;COTIZACION!E31,COTIZACION!E31&gt;17),VLOOKUP(COTIZACION!$D$17,FACTORES!$K$21:$L$23,2,0),0)))</f>
        <v/>
      </c>
      <c r="AL6" s="197" t="str">
        <f>IF(AND(COTIZACION!E31&gt;17,COTIZACION!E31&lt;60),IF(AJ6="","",$AG$8),IF(AJ6="","",$AG$8-$AG$7))</f>
        <v/>
      </c>
      <c r="AM6" s="197" t="str">
        <f>IF(AJ6="","",IF(COTIZACION!E31&lt;20,FACTORES!$AG$26,FACTORES!$AG$27))</f>
        <v/>
      </c>
      <c r="AN6" s="197">
        <f>IFERROR(IF(COTIZACION!D11="T",0,IF(AJ6="","",VLOOKUP(COTIZACION!$D$20,FACTORES!$AC$30:$AD$31,2,0))*AJ6),0)</f>
        <v>0</v>
      </c>
      <c r="AO6" s="206" t="str">
        <f t="shared" si="1"/>
        <v/>
      </c>
      <c r="AP6" s="126"/>
      <c r="AQ6" s="111"/>
      <c r="AR6" s="111"/>
      <c r="AS6" s="111"/>
      <c r="AT6" s="111"/>
      <c r="AU6" s="111"/>
      <c r="AV6" s="119" t="s">
        <v>9</v>
      </c>
      <c r="AW6" s="119"/>
      <c r="AX6" s="112"/>
      <c r="AZ6" s="123">
        <v>5500</v>
      </c>
      <c r="BA6" s="124">
        <v>541.66999999999996</v>
      </c>
      <c r="BB6" s="124"/>
    </row>
    <row r="7" spans="2:59" ht="15">
      <c r="B7" s="326">
        <v>4</v>
      </c>
      <c r="C7" s="328">
        <v>8689.3628844413688</v>
      </c>
      <c r="D7" s="329">
        <v>8643.7206763893882</v>
      </c>
      <c r="G7" s="270">
        <v>30000</v>
      </c>
      <c r="H7" s="268">
        <v>0.66400000000000003</v>
      </c>
      <c r="I7" s="424">
        <f t="shared" si="0"/>
        <v>0.6</v>
      </c>
      <c r="J7" s="111"/>
      <c r="M7" s="111"/>
      <c r="N7" s="311" t="s">
        <v>87</v>
      </c>
      <c r="O7" s="312">
        <v>3</v>
      </c>
      <c r="P7" s="312">
        <v>2</v>
      </c>
      <c r="R7" s="157">
        <v>5</v>
      </c>
      <c r="S7" s="148">
        <v>0.84</v>
      </c>
      <c r="T7" s="111"/>
      <c r="U7" s="159">
        <v>600000</v>
      </c>
      <c r="V7" s="162">
        <v>0.76800000000000002</v>
      </c>
      <c r="W7" s="111"/>
      <c r="X7" s="111"/>
      <c r="Y7" s="111"/>
      <c r="Z7" s="111"/>
      <c r="AA7" s="111"/>
      <c r="AB7" s="111"/>
      <c r="AC7" s="187" t="s">
        <v>189</v>
      </c>
      <c r="AD7" s="426">
        <f>VLOOKUP(COTIZACION!D22,FACTORES!$K$11:$L$16,2,0)</f>
        <v>1</v>
      </c>
      <c r="AE7" s="111"/>
      <c r="AF7" s="179" t="s">
        <v>218</v>
      </c>
      <c r="AG7" s="193">
        <f>+IF(OR(COTIZACION!E19="COBERTURA NO PERMITIDA POR EDAD",COTIZACION!D19="NO"),0,VLOOKUP(COTIZACION!D19,FACTORES!X11:AA18,4,FALSE))</f>
        <v>0</v>
      </c>
      <c r="AH7" s="111"/>
      <c r="AI7" s="180">
        <v>5</v>
      </c>
      <c r="AJ7" s="194" t="str">
        <f>(IF(COTIZACION!F32="EDAD NO PERMITIDA","EDAD NO PERMITIDA",IF(IMPRESION!H75="","",IF(IMPRESION!I75="HOMBRE",VLOOKUP(IMPRESION!H75,FACTORES!$B$3:$D$103,2,0)*FACTORES!$AD$9,IF(IMPRESION!I75="MUJER",VLOOKUP(IMPRESION!H75,FACTORES!$B$3:$D$103,3,0)*FACTORES!$AD$9,"")))))</f>
        <v/>
      </c>
      <c r="AK7" s="196" t="str">
        <f>IF(COTIZACION!D32="","",IF(AND(COTIZACION!D32="MUJER",50&gt;COTIZACION!E32,COTIZACION!E32&gt;17,COTIZACION!$D$12&gt;45000),FACTORES!$L$21,IF(AND(COTIZACION!D32="mujer",50&gt;COTIZACION!E32,COTIZACION!E32&gt;17),VLOOKUP(COTIZACION!$D$17,FACTORES!$K$21:$L$23,2,0),0)))</f>
        <v/>
      </c>
      <c r="AL7" s="196" t="str">
        <f>IF(AND(COTIZACION!E32&gt;17,COTIZACION!E32&lt;60),IF(AJ7="","",$AG$8),IF(AJ7="","",$AG$8-$AG$7))</f>
        <v/>
      </c>
      <c r="AM7" s="196" t="str">
        <f>IF(AJ7="","",IF(COTIZACION!E32&lt;20,FACTORES!$AG$26,FACTORES!$AG$27))</f>
        <v/>
      </c>
      <c r="AN7" s="196">
        <f>IFERROR(IF(COTIZACION!D12="T",0,IF(AJ7="","",VLOOKUP(COTIZACION!$D$20,FACTORES!$AC$30:$AD$31,2,0))*AJ7),0)</f>
        <v>0</v>
      </c>
      <c r="AO7" s="192" t="str">
        <f t="shared" si="1"/>
        <v/>
      </c>
      <c r="AP7" s="126"/>
      <c r="AQ7" s="111"/>
      <c r="AR7" s="111"/>
      <c r="AS7" s="111"/>
      <c r="AT7" s="111"/>
      <c r="AU7" s="111"/>
      <c r="AV7" s="122" t="s">
        <v>11</v>
      </c>
      <c r="AW7" s="111">
        <v>3.3</v>
      </c>
      <c r="AX7" s="112"/>
      <c r="AZ7" s="123">
        <v>6000</v>
      </c>
      <c r="BA7" s="124">
        <v>574.51</v>
      </c>
      <c r="BB7" s="124"/>
    </row>
    <row r="8" spans="2:59" ht="15">
      <c r="B8" s="327">
        <v>5</v>
      </c>
      <c r="C8" s="330">
        <v>8689.3628844413688</v>
      </c>
      <c r="D8" s="331">
        <v>8643.7206763893882</v>
      </c>
      <c r="G8" s="149">
        <v>35000</v>
      </c>
      <c r="H8" s="269">
        <v>0.63</v>
      </c>
      <c r="I8" s="425">
        <f t="shared" si="0"/>
        <v>0.56999999999999995</v>
      </c>
      <c r="J8" s="111"/>
      <c r="M8" s="111"/>
      <c r="N8" s="309" t="s">
        <v>104</v>
      </c>
      <c r="O8" s="310">
        <v>7</v>
      </c>
      <c r="P8" s="310">
        <v>4</v>
      </c>
      <c r="R8" s="158">
        <v>6</v>
      </c>
      <c r="S8" s="150">
        <v>1</v>
      </c>
      <c r="T8" s="111"/>
      <c r="U8" s="160">
        <v>700000</v>
      </c>
      <c r="V8" s="163">
        <v>0.78</v>
      </c>
      <c r="W8" s="111"/>
      <c r="Z8" s="111"/>
      <c r="AA8" s="111"/>
      <c r="AB8" s="111"/>
      <c r="AC8" s="283" t="s">
        <v>184</v>
      </c>
      <c r="AD8" s="428">
        <f>VLOOKUP(COTIZACION!D15,FACTORES!$R$3:$S$12,2,0)</f>
        <v>1.25</v>
      </c>
      <c r="AE8" s="111"/>
      <c r="AF8" s="140"/>
      <c r="AG8" s="127">
        <f>SUM(AG3:AG7)</f>
        <v>365.35</v>
      </c>
      <c r="AH8" s="111"/>
      <c r="AI8" s="182">
        <v>6</v>
      </c>
      <c r="AJ8" s="200" t="str">
        <f>(IF(COTIZACION!F33="EDAD NO PERMITIDA","EDAD NO PERMITIDA",IF(IMPRESION!H76="","",IF(IMPRESION!I76="HOMBRE",VLOOKUP(IMPRESION!H76,FACTORES!$B$3:$D$103,2,0)*FACTORES!$AD$9,IF(IMPRESION!I76="MUJER",VLOOKUP(IMPRESION!H76,FACTORES!$B$3:$D$103,3,0)*FACTORES!$AD$9,"")))))</f>
        <v/>
      </c>
      <c r="AK8" s="197" t="str">
        <f>IF(COTIZACION!D33="","",IF(AND(COTIZACION!D33="MUJER",50&gt;COTIZACION!E33,COTIZACION!E33&gt;17,COTIZACION!$D$12&gt;45000),FACTORES!$L$21,IF(AND(COTIZACION!D33="mujer",50&gt;COTIZACION!E33,COTIZACION!E33&gt;17),VLOOKUP(COTIZACION!$D$17,FACTORES!$K$21:$L$23,2,0),0)))</f>
        <v/>
      </c>
      <c r="AL8" s="197" t="str">
        <f>IF(AND(COTIZACION!E33&gt;17,COTIZACION!E33&lt;60),IF(AJ8="","",$AG$8),IF(AJ8="","",$AG$8-$AG$7))</f>
        <v/>
      </c>
      <c r="AM8" s="197" t="str">
        <f>IF(AJ8="","",IF(COTIZACION!E33&lt;20,FACTORES!$AG$26,FACTORES!$AG$27))</f>
        <v/>
      </c>
      <c r="AN8" s="197">
        <f>IFERROR(IF(COTIZACION!D13="T",0,IF(AJ8="","",VLOOKUP(COTIZACION!$D$20,FACTORES!$AC$30:$AD$31,2,0))*AJ8),0)</f>
        <v>0</v>
      </c>
      <c r="AO8" s="206" t="str">
        <f t="shared" si="1"/>
        <v/>
      </c>
      <c r="AP8" s="126"/>
      <c r="AQ8" s="111"/>
      <c r="AR8" s="111"/>
      <c r="AS8" s="111"/>
      <c r="AT8" s="111"/>
      <c r="AU8" s="111"/>
      <c r="AV8" s="122" t="s">
        <v>12</v>
      </c>
      <c r="AW8" s="111">
        <v>1.9</v>
      </c>
      <c r="AX8" s="112"/>
      <c r="AY8" s="111"/>
      <c r="AZ8" s="123">
        <v>8000</v>
      </c>
      <c r="BA8" s="124">
        <v>626.29</v>
      </c>
      <c r="BB8" s="124"/>
      <c r="BD8" s="127" t="s">
        <v>13</v>
      </c>
      <c r="BE8" s="119" t="s">
        <v>167</v>
      </c>
    </row>
    <row r="9" spans="2:59" ht="15">
      <c r="B9" s="326">
        <v>6</v>
      </c>
      <c r="C9" s="328">
        <v>8689.3628844413688</v>
      </c>
      <c r="D9" s="329">
        <v>8643.7206763893882</v>
      </c>
      <c r="G9" s="270">
        <v>40000</v>
      </c>
      <c r="H9" s="268">
        <v>0.59799999999999998</v>
      </c>
      <c r="I9" s="424">
        <f t="shared" si="0"/>
        <v>0.54100000000000004</v>
      </c>
      <c r="J9" s="111"/>
      <c r="K9" s="117" t="s">
        <v>188</v>
      </c>
      <c r="M9" s="111"/>
      <c r="N9" s="311" t="s">
        <v>235</v>
      </c>
      <c r="O9" s="312">
        <v>8</v>
      </c>
      <c r="P9" s="312">
        <v>5</v>
      </c>
      <c r="R9" s="157">
        <v>7</v>
      </c>
      <c r="S9" s="148">
        <v>1</v>
      </c>
      <c r="T9" s="111"/>
      <c r="U9" s="159">
        <v>800000</v>
      </c>
      <c r="V9" s="162">
        <v>0.79100000000000004</v>
      </c>
      <c r="W9" s="111"/>
      <c r="X9" s="212" t="s">
        <v>71</v>
      </c>
      <c r="Y9" s="213"/>
      <c r="Z9" s="213"/>
      <c r="AA9" s="214"/>
      <c r="AB9" s="111"/>
      <c r="AD9" s="115">
        <f>AD3*AD4*AD5*AD6*AD7*AD8</f>
        <v>0.95734440899999995</v>
      </c>
      <c r="AE9" s="111"/>
      <c r="AH9" s="111"/>
      <c r="AI9" s="180">
        <v>7</v>
      </c>
      <c r="AJ9" s="194" t="str">
        <f>(IF(COTIZACION!F34="EDAD NO PERMITIDA","EDAD NO PERMITIDA",IF(IMPRESION!H77="","",IF(IMPRESION!I77="HOMBRE",VLOOKUP(IMPRESION!H77,FACTORES!$B$3:$D$103,2,0)*FACTORES!$AD$9,IF(IMPRESION!I77="MUJER",VLOOKUP(IMPRESION!H77,FACTORES!$B$3:$D$103,3,0)*FACTORES!$AD$9,"")))))</f>
        <v/>
      </c>
      <c r="AK9" s="196" t="str">
        <f>IF(COTIZACION!D34="","",IF(AND(COTIZACION!D34="MUJER",50&gt;COTIZACION!E34,COTIZACION!E34&gt;17,COTIZACION!$D$12&gt;45000),FACTORES!$L$21,IF(AND(COTIZACION!D34="mujer",50&gt;COTIZACION!E34,COTIZACION!E34&gt;17),VLOOKUP(COTIZACION!$D$17,FACTORES!$K$21:$L$23,2,0),0)))</f>
        <v/>
      </c>
      <c r="AL9" s="196" t="str">
        <f>IF(AND(COTIZACION!E34&gt;17,COTIZACION!E34&lt;60),IF(AJ9="","",$AG$8),IF(AJ9="","",$AG$8-$AG$7))</f>
        <v/>
      </c>
      <c r="AM9" s="196" t="str">
        <f>IF(AJ9="","",IF(COTIZACION!E34&lt;20,FACTORES!$AG$26,FACTORES!$AG$27))</f>
        <v/>
      </c>
      <c r="AN9" s="196">
        <f>IFERROR(IF(COTIZACION!D14="T",0,IF(AJ9="","",VLOOKUP(COTIZACION!$D$20,FACTORES!$AC$30:$AD$31,2,0))*AJ9),0)</f>
        <v>0</v>
      </c>
      <c r="AO9" s="192" t="str">
        <f t="shared" si="1"/>
        <v/>
      </c>
      <c r="AP9" s="126"/>
      <c r="AQ9" s="111"/>
      <c r="AR9" s="111"/>
      <c r="AS9" s="111"/>
      <c r="AT9" s="111"/>
      <c r="AU9" s="111"/>
      <c r="AV9" s="119"/>
      <c r="AW9" s="119"/>
      <c r="AX9" s="112"/>
      <c r="AY9" s="111"/>
      <c r="AZ9" s="123">
        <v>9000</v>
      </c>
      <c r="BA9" s="124">
        <v>647.52</v>
      </c>
      <c r="BB9" s="124"/>
      <c r="BD9" s="128">
        <v>1</v>
      </c>
      <c r="BE9" s="129">
        <v>0.627</v>
      </c>
      <c r="BF9" s="130">
        <f>+BE9*$BC$14</f>
        <v>30973.8</v>
      </c>
    </row>
    <row r="10" spans="2:59" ht="15">
      <c r="B10" s="327">
        <v>7</v>
      </c>
      <c r="C10" s="330">
        <v>8689.3628844413688</v>
      </c>
      <c r="D10" s="331">
        <v>8643.7206763893882</v>
      </c>
      <c r="G10" s="149">
        <v>45000</v>
      </c>
      <c r="H10" s="269">
        <v>0.56999999999999995</v>
      </c>
      <c r="I10" s="425">
        <f t="shared" si="0"/>
        <v>0.51500000000000001</v>
      </c>
      <c r="J10" s="111"/>
      <c r="K10" s="231" t="s">
        <v>254</v>
      </c>
      <c r="L10" s="233" t="s">
        <v>183</v>
      </c>
      <c r="M10" s="111"/>
      <c r="N10" s="309" t="s">
        <v>100</v>
      </c>
      <c r="O10" s="310">
        <v>7</v>
      </c>
      <c r="P10" s="310">
        <v>4</v>
      </c>
      <c r="R10" s="158">
        <v>8</v>
      </c>
      <c r="S10" s="150">
        <v>1.25</v>
      </c>
      <c r="T10" s="111"/>
      <c r="U10" s="160">
        <v>1000000</v>
      </c>
      <c r="V10" s="163">
        <v>0.81</v>
      </c>
      <c r="W10" s="111"/>
      <c r="X10" s="238" t="s">
        <v>0</v>
      </c>
      <c r="Y10" s="232" t="s">
        <v>191</v>
      </c>
      <c r="Z10" s="239" t="s">
        <v>2</v>
      </c>
      <c r="AA10" s="233" t="s">
        <v>68</v>
      </c>
      <c r="AB10" s="111"/>
      <c r="AE10" s="111"/>
      <c r="AH10" s="111"/>
      <c r="AI10" s="189">
        <v>8</v>
      </c>
      <c r="AJ10" s="207" t="str">
        <f>(IF(COTIZACION!F35="EDAD NO PERMITIDA","EDAD NO PERMITIDA",IF(IMPRESION!H78="","",IF(IMPRESION!I78="HOMBRE",VLOOKUP(IMPRESION!H78,FACTORES!$B$3:$D$103,2,0)*FACTORES!$AD$9,IF(IMPRESION!I78="MUJER",VLOOKUP(IMPRESION!H78,FACTORES!$B$3:$D$103,3,0)*FACTORES!$AD$9,"")))))</f>
        <v/>
      </c>
      <c r="AK10" s="198" t="str">
        <f>IF(COTIZACION!D35="","",IF(AND(COTIZACION!D35="MUJER",50&gt;COTIZACION!E35,COTIZACION!E35&gt;17,COTIZACION!$D$12&gt;45000),FACTORES!$L$21,IF(AND(COTIZACION!D35="mujer",50&gt;COTIZACION!E35,COTIZACION!E35&gt;17),VLOOKUP(COTIZACION!$D$17,FACTORES!$K$21:$L$23,2,0),0)))</f>
        <v/>
      </c>
      <c r="AL10" s="198" t="str">
        <f>IF(AND(COTIZACION!E35&gt;17,COTIZACION!E35&lt;60),IF(AJ10="","",$AG$8),IF(AJ10="","",$AG$8-$AG$7))</f>
        <v/>
      </c>
      <c r="AM10" s="198" t="str">
        <f>IF(AJ10="","",IF(COTIZACION!E35&lt;20,FACTORES!$AG$26,FACTORES!$AG$27))</f>
        <v/>
      </c>
      <c r="AN10" s="198">
        <f>IFERROR(IF(COTIZACION!D15="T",0,IF(AJ10="","",VLOOKUP(COTIZACION!$D$20,FACTORES!$AC$30:$AD$31,2,0))*AJ10),0)</f>
        <v>0</v>
      </c>
      <c r="AO10" s="191" t="str">
        <f t="shared" si="1"/>
        <v/>
      </c>
      <c r="AP10" s="126"/>
      <c r="AQ10" s="111"/>
      <c r="AR10" s="111"/>
      <c r="AS10" s="111"/>
      <c r="AT10" s="111"/>
      <c r="AU10" s="111"/>
      <c r="AW10" s="121"/>
      <c r="AX10" s="112"/>
      <c r="AY10" s="111"/>
      <c r="AZ10" s="123">
        <v>10000</v>
      </c>
      <c r="BA10" s="124">
        <v>666.48</v>
      </c>
      <c r="BB10" s="124"/>
      <c r="BD10" s="128">
        <v>2</v>
      </c>
      <c r="BE10" s="129">
        <v>0.73699999999999999</v>
      </c>
      <c r="BF10" s="130">
        <f>+BE10*$BC$14</f>
        <v>36407.800000000003</v>
      </c>
    </row>
    <row r="11" spans="2:59" ht="15">
      <c r="B11" s="326">
        <v>8</v>
      </c>
      <c r="C11" s="328">
        <v>8689.3628844413688</v>
      </c>
      <c r="D11" s="329">
        <v>8643.7206763893882</v>
      </c>
      <c r="G11" s="270">
        <v>50000</v>
      </c>
      <c r="H11" s="268">
        <v>0.54400000000000004</v>
      </c>
      <c r="I11" s="424">
        <f t="shared" si="0"/>
        <v>0.49199999999999999</v>
      </c>
      <c r="J11" s="111"/>
      <c r="K11" s="154">
        <v>0</v>
      </c>
      <c r="L11" s="148">
        <v>1</v>
      </c>
      <c r="M11" s="111"/>
      <c r="N11" s="311" t="s">
        <v>97</v>
      </c>
      <c r="O11" s="312">
        <v>5</v>
      </c>
      <c r="P11" s="312">
        <v>3</v>
      </c>
      <c r="R11" s="157">
        <v>9</v>
      </c>
      <c r="S11" s="148">
        <v>1.25</v>
      </c>
      <c r="T11" s="111"/>
      <c r="U11" s="159">
        <v>2000000</v>
      </c>
      <c r="V11" s="162">
        <v>0.86699999999999999</v>
      </c>
      <c r="W11" s="111"/>
      <c r="X11" s="215" t="s">
        <v>44</v>
      </c>
      <c r="Y11" s="196">
        <v>0</v>
      </c>
      <c r="Z11" s="126">
        <v>0</v>
      </c>
      <c r="AA11" s="181">
        <f>+Z11*Y11</f>
        <v>0</v>
      </c>
      <c r="AB11" s="111"/>
      <c r="AC11" s="117" t="s">
        <v>213</v>
      </c>
      <c r="AE11" s="111"/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U11" s="131"/>
      <c r="AV11" s="132"/>
      <c r="AX11" s="123">
        <v>15000</v>
      </c>
      <c r="AY11" s="124">
        <v>739.49</v>
      </c>
      <c r="AZ11" s="124">
        <f>AY11/1.8</f>
        <v>410.82777777777778</v>
      </c>
      <c r="BB11" s="128">
        <v>3</v>
      </c>
      <c r="BC11" s="129">
        <v>0.82399999999999995</v>
      </c>
      <c r="BD11" s="130">
        <f>+BC11*$BC$14</f>
        <v>40705.599999999999</v>
      </c>
    </row>
    <row r="12" spans="2:59" ht="15">
      <c r="B12" s="327">
        <v>9</v>
      </c>
      <c r="C12" s="330">
        <v>8689.3628844413688</v>
      </c>
      <c r="D12" s="331">
        <v>8643.7206763893882</v>
      </c>
      <c r="G12" s="149">
        <v>75000</v>
      </c>
      <c r="H12" s="269">
        <v>0.44400000000000001</v>
      </c>
      <c r="I12" s="425">
        <f t="shared" si="0"/>
        <v>0.40100000000000002</v>
      </c>
      <c r="J12" s="111"/>
      <c r="K12" s="155">
        <v>0.15</v>
      </c>
      <c r="L12" s="150">
        <v>1.1000000000000001</v>
      </c>
      <c r="M12" s="111"/>
      <c r="N12" s="309" t="s">
        <v>103</v>
      </c>
      <c r="O12" s="310">
        <v>5</v>
      </c>
      <c r="P12" s="310">
        <v>3</v>
      </c>
      <c r="R12" s="282">
        <v>10</v>
      </c>
      <c r="S12" s="151" t="s">
        <v>16</v>
      </c>
      <c r="T12" s="111"/>
      <c r="U12" s="160">
        <v>3000000</v>
      </c>
      <c r="V12" s="163">
        <v>0.90100000000000002</v>
      </c>
      <c r="W12" s="111"/>
      <c r="X12" s="216">
        <v>10000</v>
      </c>
      <c r="Y12" s="197">
        <v>94.131276926975843</v>
      </c>
      <c r="Z12" s="210">
        <v>1</v>
      </c>
      <c r="AA12" s="183">
        <f>+Z12*Y12</f>
        <v>94.131276926975843</v>
      </c>
      <c r="AB12" s="111"/>
      <c r="AC12" s="231" t="s">
        <v>206</v>
      </c>
      <c r="AD12" s="233" t="s">
        <v>68</v>
      </c>
      <c r="AE12" s="111"/>
      <c r="AH12" s="111"/>
      <c r="AK12" s="111"/>
      <c r="AL12" s="111"/>
      <c r="AM12" s="111"/>
      <c r="AN12" s="111"/>
      <c r="AO12" s="111"/>
      <c r="AP12" s="111"/>
      <c r="AQ12" s="111"/>
      <c r="AR12" s="111"/>
      <c r="AS12" s="111"/>
      <c r="AU12" s="131"/>
      <c r="AV12" s="132"/>
      <c r="AX12" s="123">
        <v>20000</v>
      </c>
      <c r="AY12" s="124">
        <v>791.3</v>
      </c>
      <c r="AZ12" s="124"/>
      <c r="BB12" s="128">
        <v>4</v>
      </c>
      <c r="BC12" s="129">
        <v>1</v>
      </c>
      <c r="BD12" s="130">
        <f>+BC12*$BC$14</f>
        <v>49400</v>
      </c>
    </row>
    <row r="13" spans="2:59" ht="15">
      <c r="B13" s="326">
        <v>10</v>
      </c>
      <c r="C13" s="328">
        <v>8689.3628844413688</v>
      </c>
      <c r="D13" s="329">
        <v>8643.7206763893882</v>
      </c>
      <c r="G13" s="270">
        <v>100000</v>
      </c>
      <c r="H13" s="268">
        <v>0.376</v>
      </c>
      <c r="I13" s="424">
        <f t="shared" si="0"/>
        <v>0.34</v>
      </c>
      <c r="J13" s="111"/>
      <c r="K13" s="154">
        <v>0.25</v>
      </c>
      <c r="L13" s="148">
        <v>1.1399999999999999</v>
      </c>
      <c r="M13" s="111"/>
      <c r="N13" s="311" t="s">
        <v>99</v>
      </c>
      <c r="O13" s="312">
        <v>9</v>
      </c>
      <c r="P13" s="312">
        <v>5</v>
      </c>
      <c r="T13" s="111"/>
      <c r="U13" s="159">
        <v>4000000</v>
      </c>
      <c r="V13" s="162">
        <v>0.92400000000000004</v>
      </c>
      <c r="W13" s="111"/>
      <c r="X13" s="215">
        <v>20000</v>
      </c>
      <c r="Y13" s="196">
        <v>94.131276926975843</v>
      </c>
      <c r="Z13" s="126">
        <v>2</v>
      </c>
      <c r="AA13" s="181">
        <f t="shared" ref="AA13:AA18" si="2">+Z13*Y13</f>
        <v>188.26255385395169</v>
      </c>
      <c r="AB13" s="111"/>
      <c r="AC13" s="184" t="s">
        <v>43</v>
      </c>
      <c r="AD13" s="190">
        <v>69.3</v>
      </c>
      <c r="AE13" s="111"/>
      <c r="AI13" s="111"/>
      <c r="AJ13" s="243" t="s">
        <v>228</v>
      </c>
      <c r="AK13" s="243" t="s">
        <v>229</v>
      </c>
      <c r="AL13" s="243" t="s">
        <v>230</v>
      </c>
      <c r="AM13" s="243" t="s">
        <v>231</v>
      </c>
      <c r="AN13" s="243" t="s">
        <v>232</v>
      </c>
      <c r="AO13" s="111"/>
      <c r="AP13" s="111"/>
      <c r="AQ13" s="111"/>
      <c r="AR13" s="111"/>
      <c r="AS13" s="111"/>
      <c r="AU13" s="131"/>
      <c r="AV13" s="132"/>
      <c r="AX13" s="123">
        <v>25000</v>
      </c>
      <c r="AY13" s="124">
        <v>831.47</v>
      </c>
      <c r="AZ13" s="124"/>
    </row>
    <row r="14" spans="2:59" ht="15">
      <c r="B14" s="327">
        <v>11</v>
      </c>
      <c r="C14" s="330">
        <v>8698.0522473258097</v>
      </c>
      <c r="D14" s="331">
        <v>8470.8462628615998</v>
      </c>
      <c r="G14" s="149"/>
      <c r="H14" s="269"/>
      <c r="I14" s="163"/>
      <c r="J14" s="111"/>
      <c r="K14" s="155">
        <v>0.5</v>
      </c>
      <c r="L14" s="150">
        <v>1.25</v>
      </c>
      <c r="M14" s="111"/>
      <c r="N14" s="309" t="s">
        <v>94</v>
      </c>
      <c r="O14" s="310">
        <v>3</v>
      </c>
      <c r="P14" s="310">
        <v>2</v>
      </c>
      <c r="T14" s="111"/>
      <c r="U14" s="160">
        <v>5000000</v>
      </c>
      <c r="V14" s="163">
        <v>0.94299999999999995</v>
      </c>
      <c r="W14" s="111"/>
      <c r="X14" s="216">
        <v>30000</v>
      </c>
      <c r="Y14" s="197">
        <v>94.131276926975843</v>
      </c>
      <c r="Z14" s="210">
        <v>3</v>
      </c>
      <c r="AA14" s="183">
        <f t="shared" si="2"/>
        <v>282.39383078092754</v>
      </c>
      <c r="AB14" s="111"/>
      <c r="AC14" s="111"/>
      <c r="AD14" s="111"/>
      <c r="AE14" s="111"/>
      <c r="AI14" s="111" t="str">
        <f>+LEFT(AJ14,4)</f>
        <v>1T T</v>
      </c>
      <c r="AJ14" t="s">
        <v>277</v>
      </c>
      <c r="AK14">
        <v>1200</v>
      </c>
      <c r="AL14" s="257">
        <v>95000</v>
      </c>
      <c r="AM14" t="s">
        <v>249</v>
      </c>
      <c r="AN14" s="111" t="str">
        <f>+VLOOKUP(COTIZACION!D14,FACTORES!N3:O34,2,FALSE)&amp;LEFT(COTIZACION!D8,1)&amp;" "&amp;IF(IFERROR(SEARCH("TOPE",COTIZACION!D13,1),"")="","","T")</f>
        <v>8T T</v>
      </c>
      <c r="AO14" s="111"/>
      <c r="AP14" s="111"/>
      <c r="AQ14" s="111"/>
      <c r="AR14" s="111"/>
      <c r="AS14" s="111"/>
      <c r="AT14" s="133"/>
      <c r="AU14" s="133"/>
      <c r="AV14" s="132"/>
      <c r="AX14" s="123">
        <v>30000</v>
      </c>
      <c r="AY14" s="124">
        <v>1324.73</v>
      </c>
      <c r="AZ14" s="124"/>
      <c r="BB14" s="115" t="s">
        <v>172</v>
      </c>
      <c r="BC14" s="134">
        <v>49400</v>
      </c>
    </row>
    <row r="15" spans="2:59" ht="15">
      <c r="B15" s="326">
        <v>12</v>
      </c>
      <c r="C15" s="328">
        <v>8706.7502995731338</v>
      </c>
      <c r="D15" s="329">
        <v>8301.4293376043679</v>
      </c>
      <c r="G15" s="270"/>
      <c r="H15" s="268"/>
      <c r="I15" s="162"/>
      <c r="J15" s="111"/>
      <c r="K15" s="154">
        <v>0.75</v>
      </c>
      <c r="L15" s="148">
        <v>1.35</v>
      </c>
      <c r="M15" s="111"/>
      <c r="N15" s="311" t="s">
        <v>88</v>
      </c>
      <c r="O15" s="312">
        <v>3</v>
      </c>
      <c r="P15" s="312">
        <v>2</v>
      </c>
      <c r="R15" s="304" t="s">
        <v>349</v>
      </c>
      <c r="T15" s="111"/>
      <c r="U15" s="159">
        <v>6000000</v>
      </c>
      <c r="V15" s="162">
        <v>0.95799999999999996</v>
      </c>
      <c r="W15" s="111"/>
      <c r="X15" s="215">
        <v>40000</v>
      </c>
      <c r="Y15" s="196">
        <v>94.131276926975843</v>
      </c>
      <c r="Z15" s="126">
        <v>4</v>
      </c>
      <c r="AA15" s="181">
        <f t="shared" si="2"/>
        <v>376.52510770790337</v>
      </c>
      <c r="AB15" s="111"/>
      <c r="AC15" s="117" t="s">
        <v>214</v>
      </c>
      <c r="AE15" s="111"/>
      <c r="AI15" s="111" t="str">
        <f t="shared" ref="AI15:AI33" si="3">+LEFT(AJ15,4)</f>
        <v>2T T</v>
      </c>
      <c r="AJ15" t="s">
        <v>278</v>
      </c>
      <c r="AK15">
        <v>1200</v>
      </c>
      <c r="AL15" s="257">
        <v>95001</v>
      </c>
      <c r="AM15" t="s">
        <v>249</v>
      </c>
      <c r="AN15" s="111"/>
      <c r="AO15" s="111"/>
      <c r="AP15" s="111"/>
      <c r="AQ15" s="111"/>
      <c r="AR15" s="111"/>
      <c r="AS15" s="111"/>
      <c r="AT15" s="127"/>
      <c r="AU15" s="127"/>
      <c r="AV15" s="132"/>
      <c r="AX15" s="123">
        <v>35000</v>
      </c>
      <c r="AY15" s="124">
        <v>1367.29</v>
      </c>
      <c r="AZ15" s="124"/>
    </row>
    <row r="16" spans="2:59" ht="15">
      <c r="B16" s="327">
        <v>13</v>
      </c>
      <c r="C16" s="330">
        <v>8715.4570498727062</v>
      </c>
      <c r="D16" s="331">
        <v>8135.4007508522809</v>
      </c>
      <c r="G16" s="149"/>
      <c r="H16" s="269"/>
      <c r="I16" s="163"/>
      <c r="J16" s="111"/>
      <c r="K16" s="156">
        <v>1</v>
      </c>
      <c r="L16" s="151">
        <v>1.45</v>
      </c>
      <c r="M16" s="111"/>
      <c r="N16" s="309" t="s">
        <v>91</v>
      </c>
      <c r="O16" s="310">
        <v>5</v>
      </c>
      <c r="P16" s="310">
        <v>3</v>
      </c>
      <c r="R16" s="231" t="s">
        <v>185</v>
      </c>
      <c r="S16" s="233" t="s">
        <v>2</v>
      </c>
      <c r="T16" s="111"/>
      <c r="U16" s="160">
        <v>7000000</v>
      </c>
      <c r="V16" s="163">
        <v>0.97099999999999997</v>
      </c>
      <c r="W16" s="111"/>
      <c r="X16" s="216">
        <v>50000</v>
      </c>
      <c r="Y16" s="197">
        <v>94.131276926975843</v>
      </c>
      <c r="Z16" s="210">
        <v>5</v>
      </c>
      <c r="AA16" s="183">
        <f t="shared" si="2"/>
        <v>470.6563846348792</v>
      </c>
      <c r="AB16" s="111"/>
      <c r="AC16" s="231" t="s">
        <v>206</v>
      </c>
      <c r="AD16" s="233" t="s">
        <v>68</v>
      </c>
      <c r="AE16" s="111"/>
      <c r="AI16" s="111" t="str">
        <f t="shared" si="3"/>
        <v>3T T</v>
      </c>
      <c r="AJ16" t="s">
        <v>279</v>
      </c>
      <c r="AK16">
        <v>1200</v>
      </c>
      <c r="AL16" s="257">
        <v>95002</v>
      </c>
      <c r="AM16" t="s">
        <v>249</v>
      </c>
      <c r="AN16" s="111"/>
      <c r="AO16" s="111"/>
      <c r="AP16" s="111"/>
      <c r="AQ16" s="111"/>
      <c r="AR16" s="111"/>
      <c r="AS16" s="111"/>
      <c r="AT16" s="128"/>
      <c r="AU16" s="135"/>
      <c r="AV16" s="136">
        <v>1238</v>
      </c>
      <c r="AX16" s="123">
        <v>40000</v>
      </c>
      <c r="AY16" s="124">
        <v>1404.13</v>
      </c>
      <c r="AZ16" s="124"/>
    </row>
    <row r="17" spans="2:53" ht="15">
      <c r="B17" s="326">
        <v>14</v>
      </c>
      <c r="C17" s="328">
        <v>8724.1725069225777</v>
      </c>
      <c r="D17" s="329">
        <v>8135.4007508522809</v>
      </c>
      <c r="G17" s="271"/>
      <c r="H17" s="272"/>
      <c r="I17" s="273"/>
      <c r="J17" s="111"/>
      <c r="K17" s="111"/>
      <c r="L17" s="111" t="s">
        <v>350</v>
      </c>
      <c r="M17" s="111"/>
      <c r="N17" s="311" t="s">
        <v>95</v>
      </c>
      <c r="O17" s="312">
        <v>4</v>
      </c>
      <c r="P17" s="312">
        <v>3</v>
      </c>
      <c r="R17" s="152" t="s">
        <v>352</v>
      </c>
      <c r="S17" s="148">
        <v>0.69</v>
      </c>
      <c r="T17" s="111"/>
      <c r="U17" s="159">
        <v>8000000</v>
      </c>
      <c r="V17" s="162">
        <v>0.98199999999999998</v>
      </c>
      <c r="W17" s="111"/>
      <c r="X17" s="215">
        <v>75000</v>
      </c>
      <c r="Y17" s="196">
        <v>94.131276926975843</v>
      </c>
      <c r="Z17" s="126">
        <v>7.5</v>
      </c>
      <c r="AA17" s="181">
        <f t="shared" si="2"/>
        <v>705.98457695231878</v>
      </c>
      <c r="AB17" s="111"/>
      <c r="AC17" s="184" t="s">
        <v>43</v>
      </c>
      <c r="AD17" s="190">
        <v>142.25</v>
      </c>
      <c r="AE17" s="111"/>
      <c r="AI17" s="111" t="str">
        <f t="shared" si="3"/>
        <v>4T T</v>
      </c>
      <c r="AJ17" t="s">
        <v>280</v>
      </c>
      <c r="AK17">
        <v>1200</v>
      </c>
      <c r="AL17" s="257">
        <v>95003</v>
      </c>
      <c r="AM17" t="s">
        <v>249</v>
      </c>
      <c r="AN17" s="111"/>
      <c r="AO17" s="111"/>
      <c r="AP17" s="111"/>
      <c r="AQ17" s="111"/>
      <c r="AR17" s="111"/>
      <c r="AS17" s="111"/>
      <c r="AT17" s="128"/>
      <c r="AU17" s="135"/>
      <c r="AV17" s="136"/>
      <c r="AX17" s="123">
        <v>45000</v>
      </c>
      <c r="AY17" s="124">
        <v>1436.64</v>
      </c>
      <c r="AZ17" s="124"/>
    </row>
    <row r="18" spans="2:53" ht="15">
      <c r="B18" s="327">
        <v>15</v>
      </c>
      <c r="C18" s="330">
        <v>8732.8966794294993</v>
      </c>
      <c r="D18" s="331">
        <v>8135.4007508522809</v>
      </c>
      <c r="G18" s="140"/>
      <c r="H18" s="140"/>
      <c r="I18" s="140">
        <v>0.90400000000000003</v>
      </c>
      <c r="J18" s="111"/>
      <c r="K18" s="111"/>
      <c r="L18" s="111"/>
      <c r="M18" s="111"/>
      <c r="N18" s="309" t="s">
        <v>96</v>
      </c>
      <c r="O18" s="310">
        <v>5</v>
      </c>
      <c r="P18" s="310">
        <v>3</v>
      </c>
      <c r="R18" s="153" t="s">
        <v>353</v>
      </c>
      <c r="S18" s="151">
        <v>0.84</v>
      </c>
      <c r="T18" s="111"/>
      <c r="U18" s="160">
        <v>9000000</v>
      </c>
      <c r="V18" s="163">
        <v>0.99099999999999999</v>
      </c>
      <c r="W18" s="111"/>
      <c r="X18" s="217">
        <v>100000</v>
      </c>
      <c r="Y18" s="198">
        <v>94.131276926975843</v>
      </c>
      <c r="Z18" s="211">
        <v>10</v>
      </c>
      <c r="AA18" s="199">
        <f t="shared" si="2"/>
        <v>941.31276926975841</v>
      </c>
      <c r="AB18" s="111"/>
      <c r="AC18" s="111"/>
      <c r="AD18" s="111"/>
      <c r="AE18" s="111"/>
      <c r="AI18" s="111" t="str">
        <f t="shared" si="3"/>
        <v>5T T</v>
      </c>
      <c r="AJ18" t="s">
        <v>281</v>
      </c>
      <c r="AK18">
        <v>1200</v>
      </c>
      <c r="AL18" s="257">
        <v>95004</v>
      </c>
      <c r="AM18" t="s">
        <v>249</v>
      </c>
      <c r="AN18" s="111"/>
      <c r="AO18" s="111"/>
      <c r="AP18" s="111"/>
      <c r="AQ18" s="111"/>
      <c r="AR18" s="111"/>
      <c r="AS18" s="111"/>
      <c r="AT18" s="128"/>
      <c r="AU18" s="135"/>
      <c r="AV18" s="132"/>
      <c r="AX18" s="123">
        <v>50000</v>
      </c>
      <c r="AY18" s="124">
        <v>1465.7</v>
      </c>
      <c r="AZ18" s="124"/>
    </row>
    <row r="19" spans="2:53" ht="15">
      <c r="B19" s="326">
        <v>16</v>
      </c>
      <c r="C19" s="328">
        <v>8741.6295761089277</v>
      </c>
      <c r="D19" s="329">
        <v>8135.4007508522809</v>
      </c>
      <c r="G19" s="140"/>
      <c r="H19" s="140"/>
      <c r="I19" s="140" t="s">
        <v>350</v>
      </c>
      <c r="J19" s="111"/>
      <c r="K19" s="117" t="s">
        <v>207</v>
      </c>
      <c r="M19" s="111"/>
      <c r="N19" s="311" t="s">
        <v>107</v>
      </c>
      <c r="O19" s="312">
        <v>7</v>
      </c>
      <c r="P19" s="312">
        <v>4</v>
      </c>
      <c r="T19" s="111"/>
      <c r="U19" s="159">
        <v>10000000</v>
      </c>
      <c r="V19" s="162">
        <v>1</v>
      </c>
      <c r="W19" s="111"/>
      <c r="X19" s="111"/>
      <c r="Y19" s="111"/>
      <c r="Z19" s="111"/>
      <c r="AA19" s="111">
        <f>+IF(OR(COTIZACION!E19="COBERTURA NO PERMITIDA POR EDAD",COTIZACION!D19="NO"),0,VLOOKUP(COTIZACION!D19,FACTORES!X11:AA18,4,FALSE))</f>
        <v>0</v>
      </c>
      <c r="AB19" s="111"/>
      <c r="AC19" s="117" t="s">
        <v>215</v>
      </c>
      <c r="AE19" s="111"/>
      <c r="AI19" s="111" t="str">
        <f t="shared" si="3"/>
        <v>6T T</v>
      </c>
      <c r="AJ19" t="s">
        <v>282</v>
      </c>
      <c r="AK19">
        <v>1200</v>
      </c>
      <c r="AL19" s="257">
        <v>95005</v>
      </c>
      <c r="AM19" t="s">
        <v>249</v>
      </c>
      <c r="AN19" s="111"/>
      <c r="AO19" s="111"/>
      <c r="AP19" s="111"/>
      <c r="AQ19" s="111"/>
      <c r="AR19" s="111"/>
      <c r="AS19" s="111"/>
      <c r="AT19" s="128"/>
      <c r="AU19" s="135"/>
      <c r="AV19" s="132"/>
      <c r="AX19" s="123"/>
      <c r="AY19" s="124"/>
      <c r="AZ19" s="124"/>
    </row>
    <row r="20" spans="2:53" ht="15">
      <c r="B20" s="327">
        <v>17</v>
      </c>
      <c r="C20" s="330">
        <v>8750.3712056850363</v>
      </c>
      <c r="D20" s="331">
        <v>8151.6715523539851</v>
      </c>
      <c r="G20" s="140"/>
      <c r="H20" s="140"/>
      <c r="I20" s="140"/>
      <c r="J20" s="111"/>
      <c r="K20" s="234" t="s">
        <v>186</v>
      </c>
      <c r="L20" s="234" t="s">
        <v>183</v>
      </c>
      <c r="M20" s="111"/>
      <c r="N20" s="309" t="s">
        <v>92</v>
      </c>
      <c r="O20" s="310">
        <v>3</v>
      </c>
      <c r="P20" s="310">
        <v>2</v>
      </c>
      <c r="R20" s="237" t="s">
        <v>53</v>
      </c>
      <c r="T20" s="111"/>
      <c r="U20" s="160">
        <v>20000000</v>
      </c>
      <c r="V20" s="163">
        <v>1.0569999999999999</v>
      </c>
      <c r="W20" s="111"/>
      <c r="X20" s="111"/>
      <c r="Y20" s="111"/>
      <c r="Z20" s="111"/>
      <c r="AA20" s="111"/>
      <c r="AB20" s="111"/>
      <c r="AC20" s="231" t="s">
        <v>206</v>
      </c>
      <c r="AD20" s="233" t="s">
        <v>68</v>
      </c>
      <c r="AE20" s="111"/>
      <c r="AI20" s="111" t="str">
        <f t="shared" si="3"/>
        <v>7T T</v>
      </c>
      <c r="AJ20" t="s">
        <v>283</v>
      </c>
      <c r="AK20">
        <v>1200</v>
      </c>
      <c r="AL20" s="257">
        <v>95006</v>
      </c>
      <c r="AM20" t="s">
        <v>249</v>
      </c>
      <c r="AN20" s="111"/>
      <c r="AO20" s="111"/>
      <c r="AP20" s="111"/>
      <c r="AQ20" s="111"/>
      <c r="AR20" s="111"/>
      <c r="AS20" s="111"/>
      <c r="AT20" s="128"/>
      <c r="AU20" s="135"/>
      <c r="AV20" s="132"/>
      <c r="AX20" s="120"/>
      <c r="AY20" s="126"/>
      <c r="AZ20" s="124"/>
    </row>
    <row r="21" spans="2:53" ht="15">
      <c r="B21" s="326">
        <v>18</v>
      </c>
      <c r="C21" s="328">
        <v>8837.8749177418867</v>
      </c>
      <c r="D21" s="329">
        <v>7010.4375350244272</v>
      </c>
      <c r="G21" s="140"/>
      <c r="H21" s="261" t="s">
        <v>255</v>
      </c>
      <c r="I21" s="140"/>
      <c r="J21" s="111"/>
      <c r="K21" s="176" t="s">
        <v>44</v>
      </c>
      <c r="L21" s="302">
        <v>1737.3071738804852</v>
      </c>
      <c r="M21" s="111"/>
      <c r="N21" s="311" t="s">
        <v>102</v>
      </c>
      <c r="O21" s="312">
        <v>6</v>
      </c>
      <c r="P21" s="312">
        <v>4</v>
      </c>
      <c r="R21" s="164" t="s">
        <v>48</v>
      </c>
      <c r="T21" s="111"/>
      <c r="U21" s="159">
        <v>30000000</v>
      </c>
      <c r="V21" s="162">
        <v>1.091</v>
      </c>
      <c r="W21" s="111"/>
      <c r="X21" s="315" t="s">
        <v>262</v>
      </c>
      <c r="Y21" s="274"/>
      <c r="Z21" s="274"/>
      <c r="AA21" s="111"/>
      <c r="AB21" s="111"/>
      <c r="AC21" s="180" t="s">
        <v>43</v>
      </c>
      <c r="AD21" s="192">
        <v>206.61</v>
      </c>
      <c r="AE21" s="111"/>
      <c r="AI21" s="111" t="str">
        <f t="shared" si="3"/>
        <v>8T T</v>
      </c>
      <c r="AJ21" t="s">
        <v>284</v>
      </c>
      <c r="AK21">
        <v>1200</v>
      </c>
      <c r="AL21" s="257">
        <v>95007</v>
      </c>
      <c r="AM21" t="s">
        <v>249</v>
      </c>
      <c r="AN21" s="111"/>
      <c r="AO21" s="111"/>
      <c r="AP21" s="111"/>
      <c r="AQ21" s="111"/>
      <c r="AR21" s="111"/>
      <c r="AS21" s="111"/>
      <c r="AT21" s="133"/>
      <c r="AU21" s="133"/>
      <c r="AV21" s="132"/>
      <c r="AX21" s="120"/>
      <c r="AY21" s="126"/>
      <c r="AZ21" s="126"/>
    </row>
    <row r="22" spans="2:53" ht="15">
      <c r="B22" s="327">
        <v>19</v>
      </c>
      <c r="C22" s="330">
        <v>8926.253666919305</v>
      </c>
      <c r="D22" s="331">
        <v>7150.6462857249153</v>
      </c>
      <c r="G22" s="140"/>
      <c r="H22" s="262" t="s">
        <v>251</v>
      </c>
      <c r="I22" s="140"/>
      <c r="J22" s="111"/>
      <c r="K22" s="175">
        <v>30000</v>
      </c>
      <c r="L22" s="303">
        <v>3250.7890621620727</v>
      </c>
      <c r="M22" s="111"/>
      <c r="N22" s="309" t="s">
        <v>81</v>
      </c>
      <c r="O22" s="310">
        <v>1</v>
      </c>
      <c r="P22" s="310">
        <v>1</v>
      </c>
      <c r="R22" s="165" t="s">
        <v>49</v>
      </c>
      <c r="T22" s="111"/>
      <c r="U22" s="160">
        <v>40000000</v>
      </c>
      <c r="V22" s="163">
        <v>1.115</v>
      </c>
      <c r="W22" s="111"/>
      <c r="X22" s="235" t="s">
        <v>13</v>
      </c>
      <c r="Y22" s="236" t="s">
        <v>264</v>
      </c>
      <c r="Z22" s="276" t="s">
        <v>167</v>
      </c>
      <c r="AA22" s="111"/>
      <c r="AB22" s="111"/>
      <c r="AC22" s="189" t="s">
        <v>44</v>
      </c>
      <c r="AD22" s="191">
        <v>0</v>
      </c>
      <c r="AE22" s="111"/>
      <c r="AI22" s="111" t="str">
        <f t="shared" si="3"/>
        <v>9T T</v>
      </c>
      <c r="AJ22" t="s">
        <v>285</v>
      </c>
      <c r="AK22">
        <v>1200</v>
      </c>
      <c r="AL22" s="257">
        <v>95008</v>
      </c>
      <c r="AM22" t="s">
        <v>249</v>
      </c>
      <c r="AN22" s="111"/>
      <c r="AO22" s="111"/>
      <c r="AP22" s="111"/>
      <c r="AQ22" s="111"/>
      <c r="AR22" s="111"/>
      <c r="AS22" s="111"/>
      <c r="AT22" s="133"/>
      <c r="AU22" s="133"/>
      <c r="AV22" s="132"/>
      <c r="AX22" s="133"/>
      <c r="AY22" s="133"/>
      <c r="AZ22" s="126"/>
    </row>
    <row r="23" spans="2:53" ht="15">
      <c r="B23" s="326">
        <v>20</v>
      </c>
      <c r="C23" s="328">
        <v>6866.3489745533125</v>
      </c>
      <c r="D23" s="329">
        <v>7550.7204196857256</v>
      </c>
      <c r="G23" s="140"/>
      <c r="H23" s="263" t="s">
        <v>41</v>
      </c>
      <c r="I23" s="140"/>
      <c r="J23" s="111"/>
      <c r="K23" s="177">
        <v>40000</v>
      </c>
      <c r="L23" s="302">
        <v>6926.4069264069258</v>
      </c>
      <c r="M23" s="111"/>
      <c r="N23" s="311" t="s">
        <v>89</v>
      </c>
      <c r="O23" s="312">
        <v>2</v>
      </c>
      <c r="P23" s="312">
        <v>2</v>
      </c>
      <c r="T23" s="111"/>
      <c r="U23" s="159">
        <v>50000000</v>
      </c>
      <c r="V23" s="162">
        <v>1.133</v>
      </c>
      <c r="W23" s="111"/>
      <c r="X23" s="275">
        <v>1</v>
      </c>
      <c r="Y23" s="320">
        <v>0.76091991291861594</v>
      </c>
      <c r="Z23" s="443">
        <f t="shared" ref="Z23:Z31" si="4">Y23*$Y$33</f>
        <v>34798.693825559312</v>
      </c>
      <c r="AA23" s="111"/>
      <c r="AB23" s="111"/>
      <c r="AE23" s="111"/>
      <c r="AF23" s="111"/>
      <c r="AG23" s="111"/>
      <c r="AI23" s="111" t="str">
        <f t="shared" si="3"/>
        <v xml:space="preserve">10T </v>
      </c>
      <c r="AJ23" t="s">
        <v>286</v>
      </c>
      <c r="AK23">
        <v>1200</v>
      </c>
      <c r="AL23" s="257">
        <v>95009</v>
      </c>
      <c r="AM23" t="s">
        <v>249</v>
      </c>
      <c r="AN23" s="111"/>
      <c r="AO23" s="111"/>
      <c r="AP23" s="111"/>
      <c r="AQ23" s="111"/>
      <c r="AR23" s="111"/>
      <c r="AS23" s="111"/>
      <c r="AT23" s="127"/>
      <c r="AU23" s="127"/>
      <c r="AV23" s="133"/>
      <c r="AX23" s="126"/>
      <c r="AZ23" s="133"/>
      <c r="BA23" s="115" t="s">
        <v>178</v>
      </c>
    </row>
    <row r="24" spans="2:53" ht="15">
      <c r="B24" s="327">
        <v>21</v>
      </c>
      <c r="C24" s="330">
        <v>8239.6187694639739</v>
      </c>
      <c r="D24" s="331">
        <v>9174.1253099181577</v>
      </c>
      <c r="G24" s="140"/>
      <c r="H24" s="140"/>
      <c r="I24" s="140"/>
      <c r="J24" s="111"/>
      <c r="K24" s="175">
        <v>50000</v>
      </c>
      <c r="L24" s="303">
        <v>20187.063324336646</v>
      </c>
      <c r="M24" s="111"/>
      <c r="N24" s="309" t="s">
        <v>108</v>
      </c>
      <c r="O24" s="310">
        <v>5</v>
      </c>
      <c r="P24" s="310">
        <v>3</v>
      </c>
      <c r="R24" s="237" t="s">
        <v>233</v>
      </c>
      <c r="T24" s="111"/>
      <c r="U24" s="266">
        <v>100000000</v>
      </c>
      <c r="V24" s="169">
        <v>1.19</v>
      </c>
      <c r="W24" s="111"/>
      <c r="X24" s="280">
        <v>2</v>
      </c>
      <c r="Y24" s="321">
        <v>0.76091991291861594</v>
      </c>
      <c r="Z24" s="444">
        <f t="shared" si="4"/>
        <v>34798.693825559312</v>
      </c>
      <c r="AA24" s="111"/>
      <c r="AB24" s="111"/>
      <c r="AC24" s="202" t="s">
        <v>224</v>
      </c>
      <c r="AD24" s="111"/>
      <c r="AE24" s="111"/>
      <c r="AF24" s="202" t="s">
        <v>257</v>
      </c>
      <c r="AI24" s="111" t="str">
        <f t="shared" si="3"/>
        <v>1E T</v>
      </c>
      <c r="AJ24" t="s">
        <v>287</v>
      </c>
      <c r="AK24">
        <v>1201</v>
      </c>
      <c r="AL24" s="257">
        <v>95010</v>
      </c>
      <c r="AM24" t="s">
        <v>249</v>
      </c>
      <c r="AN24" s="111"/>
      <c r="AO24" s="111"/>
      <c r="AP24" s="111"/>
      <c r="AQ24" s="111"/>
      <c r="AR24" s="111"/>
      <c r="AS24" s="111"/>
      <c r="AT24" s="128"/>
      <c r="AU24" s="135"/>
      <c r="AV24" s="133"/>
      <c r="AX24" s="126"/>
      <c r="BA24" s="115">
        <v>543.35</v>
      </c>
    </row>
    <row r="25" spans="2:53" ht="15">
      <c r="B25" s="326">
        <v>22</v>
      </c>
      <c r="C25" s="328">
        <v>8651.5997079371737</v>
      </c>
      <c r="D25" s="329">
        <v>10275.020347108337</v>
      </c>
      <c r="I25" s="140"/>
      <c r="J25" s="111"/>
      <c r="K25" s="122" t="s">
        <v>347</v>
      </c>
      <c r="L25" s="1" t="s">
        <v>350</v>
      </c>
      <c r="M25" s="111"/>
      <c r="N25" s="311" t="s">
        <v>106</v>
      </c>
      <c r="O25" s="312">
        <v>7</v>
      </c>
      <c r="P25" s="312">
        <v>4</v>
      </c>
      <c r="R25" s="164" t="s">
        <v>7</v>
      </c>
      <c r="T25" s="111"/>
      <c r="V25" s="115" t="s">
        <v>350</v>
      </c>
      <c r="W25" s="111"/>
      <c r="X25" s="275">
        <v>3</v>
      </c>
      <c r="Y25" s="322">
        <v>0.76091991291861594</v>
      </c>
      <c r="Z25" s="445">
        <f t="shared" si="4"/>
        <v>34798.693825559312</v>
      </c>
      <c r="AA25" s="111"/>
      <c r="AB25" s="111"/>
      <c r="AC25" s="240" t="s">
        <v>6</v>
      </c>
      <c r="AD25" s="241" t="s">
        <v>68</v>
      </c>
      <c r="AE25" s="111"/>
      <c r="AF25" s="240" t="s">
        <v>258</v>
      </c>
      <c r="AG25" s="241" t="s">
        <v>68</v>
      </c>
      <c r="AI25" s="111" t="str">
        <f t="shared" si="3"/>
        <v>2E T</v>
      </c>
      <c r="AJ25" t="s">
        <v>288</v>
      </c>
      <c r="AK25">
        <v>1201</v>
      </c>
      <c r="AL25" s="257">
        <v>95011</v>
      </c>
      <c r="AM25" t="s">
        <v>249</v>
      </c>
      <c r="AN25" s="111"/>
      <c r="AO25" s="111"/>
      <c r="AP25" s="111"/>
      <c r="AQ25" s="111"/>
      <c r="AR25" s="111"/>
      <c r="AS25" s="111"/>
      <c r="AT25" s="128"/>
      <c r="AU25" s="135"/>
      <c r="AV25" s="133"/>
      <c r="AX25" s="126"/>
      <c r="BA25" s="115">
        <v>510.75</v>
      </c>
    </row>
    <row r="26" spans="2:53" ht="15">
      <c r="B26" s="327">
        <v>23</v>
      </c>
      <c r="C26" s="330">
        <v>9170.6956904134058</v>
      </c>
      <c r="D26" s="331">
        <v>10891.521567934838</v>
      </c>
      <c r="I26" s="140"/>
      <c r="J26" s="111"/>
      <c r="M26" s="111"/>
      <c r="N26" s="309" t="s">
        <v>112</v>
      </c>
      <c r="O26" s="310">
        <v>7</v>
      </c>
      <c r="P26" s="310">
        <v>4</v>
      </c>
      <c r="R26" s="165" t="s">
        <v>8</v>
      </c>
      <c r="T26" s="111"/>
      <c r="W26" s="111"/>
      <c r="X26" s="280">
        <v>4</v>
      </c>
      <c r="Y26" s="321">
        <v>0.89441382185372176</v>
      </c>
      <c r="Z26" s="444">
        <f t="shared" si="4"/>
        <v>40903.690666543145</v>
      </c>
      <c r="AA26" s="111"/>
      <c r="AB26" s="111"/>
      <c r="AC26" s="204">
        <v>1</v>
      </c>
      <c r="AD26" s="161">
        <v>153.80000000000001</v>
      </c>
      <c r="AE26" s="111"/>
      <c r="AF26" s="203" t="s">
        <v>344</v>
      </c>
      <c r="AG26" s="319">
        <v>747.91009149276499</v>
      </c>
      <c r="AH26" s="111"/>
      <c r="AI26" s="111" t="str">
        <f t="shared" si="3"/>
        <v>3E T</v>
      </c>
      <c r="AJ26" t="s">
        <v>289</v>
      </c>
      <c r="AK26">
        <v>1201</v>
      </c>
      <c r="AL26" s="257">
        <v>95012</v>
      </c>
      <c r="AM26" t="s">
        <v>249</v>
      </c>
      <c r="AN26" s="111"/>
      <c r="AO26" s="111"/>
      <c r="AP26" s="111"/>
      <c r="AQ26" s="111"/>
      <c r="AR26" s="111"/>
      <c r="AS26" s="111"/>
      <c r="AT26" s="128"/>
      <c r="AU26" s="135"/>
      <c r="AV26" s="133"/>
    </row>
    <row r="27" spans="2:53" ht="15">
      <c r="B27" s="326">
        <v>24</v>
      </c>
      <c r="C27" s="328">
        <v>9720.9374318382106</v>
      </c>
      <c r="D27" s="329">
        <v>11436.09764633158</v>
      </c>
      <c r="I27" s="140"/>
      <c r="J27" s="111"/>
      <c r="M27" s="111"/>
      <c r="N27" s="311" t="s">
        <v>110</v>
      </c>
      <c r="O27" s="312">
        <v>5</v>
      </c>
      <c r="P27" s="312">
        <v>3</v>
      </c>
      <c r="T27" s="111"/>
      <c r="W27" s="111"/>
      <c r="X27" s="275">
        <v>5</v>
      </c>
      <c r="Y27" s="322">
        <v>0.89441382185372176</v>
      </c>
      <c r="Z27" s="445">
        <f t="shared" si="4"/>
        <v>40903.690666543145</v>
      </c>
      <c r="AA27" s="111"/>
      <c r="AB27" s="111"/>
      <c r="AE27" s="111"/>
      <c r="AF27" s="205" t="s">
        <v>345</v>
      </c>
      <c r="AG27" s="316">
        <v>1719.4655442300689</v>
      </c>
      <c r="AH27" s="111"/>
      <c r="AI27" s="111" t="str">
        <f t="shared" si="3"/>
        <v>4E T</v>
      </c>
      <c r="AJ27" t="s">
        <v>290</v>
      </c>
      <c r="AK27">
        <v>1201</v>
      </c>
      <c r="AL27" s="257">
        <v>95013</v>
      </c>
      <c r="AM27" t="s">
        <v>249</v>
      </c>
      <c r="AN27" s="111"/>
      <c r="AO27" s="111"/>
      <c r="AP27" s="111"/>
      <c r="AQ27" s="111"/>
      <c r="AR27" s="111"/>
      <c r="AS27" s="111"/>
      <c r="AT27" s="128"/>
      <c r="AU27" s="135"/>
      <c r="AV27" s="133"/>
    </row>
    <row r="28" spans="2:53" ht="15">
      <c r="B28" s="327">
        <v>25</v>
      </c>
      <c r="C28" s="330">
        <v>10304.193677748504</v>
      </c>
      <c r="D28" s="331">
        <v>12007.902528648161</v>
      </c>
      <c r="G28" s="140"/>
      <c r="H28" s="140"/>
      <c r="I28" s="140"/>
      <c r="N28" s="309" t="s">
        <v>109</v>
      </c>
      <c r="O28" s="310">
        <v>7</v>
      </c>
      <c r="P28" s="310">
        <v>4</v>
      </c>
      <c r="W28" s="111"/>
      <c r="X28" s="280">
        <v>6</v>
      </c>
      <c r="Y28" s="321">
        <v>1</v>
      </c>
      <c r="Z28" s="444">
        <f t="shared" si="4"/>
        <v>45732.4</v>
      </c>
      <c r="AA28" s="111"/>
      <c r="AB28" s="111"/>
      <c r="AC28" s="202" t="s">
        <v>223</v>
      </c>
      <c r="AD28" s="111"/>
      <c r="AE28" s="111"/>
      <c r="AF28" s="203"/>
      <c r="AG28" s="148"/>
      <c r="AH28" s="111"/>
      <c r="AI28" s="111" t="str">
        <f t="shared" si="3"/>
        <v>5E T</v>
      </c>
      <c r="AJ28" t="s">
        <v>291</v>
      </c>
      <c r="AK28">
        <v>1201</v>
      </c>
      <c r="AL28" s="257">
        <v>95014</v>
      </c>
      <c r="AM28" t="s">
        <v>249</v>
      </c>
      <c r="AN28" s="111"/>
      <c r="AO28" s="111"/>
      <c r="AP28" s="111"/>
      <c r="AQ28" s="111"/>
      <c r="AR28" s="111"/>
      <c r="AS28" s="111"/>
      <c r="AT28" s="133"/>
      <c r="AU28" s="133"/>
      <c r="AV28" s="133"/>
      <c r="AY28" s="115">
        <v>2318.2560000000003</v>
      </c>
    </row>
    <row r="29" spans="2:53" ht="15">
      <c r="B29" s="326">
        <v>26</v>
      </c>
      <c r="C29" s="328">
        <v>10922.445298413417</v>
      </c>
      <c r="D29" s="329">
        <v>12728.376680367051</v>
      </c>
      <c r="G29" s="140"/>
      <c r="H29" s="140"/>
      <c r="I29" s="140"/>
      <c r="N29" s="311" t="s">
        <v>82</v>
      </c>
      <c r="O29" s="312">
        <v>3</v>
      </c>
      <c r="P29" s="312">
        <v>2</v>
      </c>
      <c r="R29" s="237" t="s">
        <v>206</v>
      </c>
      <c r="W29" s="111"/>
      <c r="X29" s="275">
        <v>7</v>
      </c>
      <c r="Y29" s="322">
        <v>1</v>
      </c>
      <c r="Z29" s="445">
        <f t="shared" si="4"/>
        <v>45732.4</v>
      </c>
      <c r="AA29" s="111"/>
      <c r="AB29" s="111"/>
      <c r="AC29" s="240" t="s">
        <v>6</v>
      </c>
      <c r="AD29" s="241" t="s">
        <v>68</v>
      </c>
      <c r="AE29" s="111"/>
      <c r="AF29" s="205"/>
      <c r="AG29" s="150"/>
      <c r="AH29" s="111"/>
      <c r="AI29" s="111" t="str">
        <f t="shared" si="3"/>
        <v>6E T</v>
      </c>
      <c r="AJ29" t="s">
        <v>292</v>
      </c>
      <c r="AK29">
        <v>1201</v>
      </c>
      <c r="AL29" s="257">
        <v>95015</v>
      </c>
      <c r="AM29" t="s">
        <v>249</v>
      </c>
      <c r="AN29" s="111"/>
      <c r="AO29" s="111"/>
      <c r="AP29" s="111"/>
      <c r="AQ29" s="111"/>
      <c r="AR29" s="111"/>
      <c r="AS29" s="111"/>
      <c r="AT29" s="133"/>
      <c r="AU29" s="133"/>
      <c r="AV29" s="133"/>
      <c r="AX29" s="137"/>
      <c r="AY29" s="137"/>
      <c r="AZ29" s="115">
        <f>AY28*1.1</f>
        <v>2550.0816000000004</v>
      </c>
    </row>
    <row r="30" spans="2:53" ht="15">
      <c r="B30" s="327">
        <v>27</v>
      </c>
      <c r="C30" s="330">
        <v>11468.567563334087</v>
      </c>
      <c r="D30" s="331">
        <v>13364.795514385403</v>
      </c>
      <c r="G30" s="140"/>
      <c r="H30" s="140"/>
      <c r="I30" s="140"/>
      <c r="N30" s="309" t="s">
        <v>101</v>
      </c>
      <c r="O30" s="310">
        <v>7</v>
      </c>
      <c r="P30" s="310">
        <v>4</v>
      </c>
      <c r="R30" s="164" t="s">
        <v>43</v>
      </c>
      <c r="W30" s="111"/>
      <c r="X30" s="280">
        <v>8</v>
      </c>
      <c r="Y30" s="321">
        <v>1.2135809903191439</v>
      </c>
      <c r="Z30" s="444">
        <f t="shared" si="4"/>
        <v>55499.97128167122</v>
      </c>
      <c r="AA30" s="111"/>
      <c r="AB30" s="111"/>
      <c r="AC30" s="180" t="s">
        <v>43</v>
      </c>
      <c r="AD30" s="300">
        <v>0.42399999999999999</v>
      </c>
      <c r="AE30" s="111"/>
      <c r="AF30" s="203"/>
      <c r="AG30" s="148"/>
      <c r="AH30" s="111"/>
      <c r="AI30" s="111" t="str">
        <f t="shared" si="3"/>
        <v>7E T</v>
      </c>
      <c r="AJ30" t="s">
        <v>293</v>
      </c>
      <c r="AK30">
        <v>1201</v>
      </c>
      <c r="AL30" s="257">
        <v>95016</v>
      </c>
      <c r="AM30" t="s">
        <v>249</v>
      </c>
      <c r="AN30" s="111"/>
      <c r="AO30" s="111"/>
      <c r="AP30" s="111"/>
      <c r="AQ30" s="111"/>
      <c r="AR30" s="111"/>
      <c r="AS30" s="111"/>
      <c r="AT30" s="113"/>
      <c r="AU30" s="127"/>
      <c r="AV30" s="119"/>
      <c r="AX30" s="137"/>
      <c r="AY30" s="137"/>
    </row>
    <row r="31" spans="2:53" ht="15">
      <c r="B31" s="326">
        <v>28</v>
      </c>
      <c r="C31" s="328">
        <v>12041.995941500791</v>
      </c>
      <c r="D31" s="329">
        <v>14033.035290104674</v>
      </c>
      <c r="G31" s="140"/>
      <c r="H31" s="140"/>
      <c r="I31" s="140"/>
      <c r="N31" s="311" t="s">
        <v>90</v>
      </c>
      <c r="O31" s="312">
        <v>1</v>
      </c>
      <c r="P31" s="312">
        <v>1</v>
      </c>
      <c r="R31" s="165" t="s">
        <v>44</v>
      </c>
      <c r="W31" s="111"/>
      <c r="X31" s="275">
        <v>9</v>
      </c>
      <c r="Y31" s="322">
        <v>1.2135809903191439</v>
      </c>
      <c r="Z31" s="445">
        <f t="shared" si="4"/>
        <v>55499.97128167122</v>
      </c>
      <c r="AA31" s="111"/>
      <c r="AB31" s="111"/>
      <c r="AC31" s="189" t="s">
        <v>44</v>
      </c>
      <c r="AD31" s="301">
        <v>0</v>
      </c>
      <c r="AE31" s="111"/>
      <c r="AF31" s="205"/>
      <c r="AG31" s="150"/>
      <c r="AH31" s="111"/>
      <c r="AI31" s="111" t="str">
        <f t="shared" si="3"/>
        <v>8E T</v>
      </c>
      <c r="AJ31" t="s">
        <v>294</v>
      </c>
      <c r="AK31">
        <v>1201</v>
      </c>
      <c r="AL31" s="257">
        <v>95017</v>
      </c>
      <c r="AM31" t="s">
        <v>249</v>
      </c>
      <c r="AN31" s="111"/>
      <c r="AO31" s="111"/>
      <c r="AP31" s="111"/>
      <c r="AQ31" s="111"/>
      <c r="AR31" s="111"/>
      <c r="AS31" s="111"/>
      <c r="AT31" s="113"/>
      <c r="AU31" s="128"/>
      <c r="AV31" s="139"/>
      <c r="AW31" s="114"/>
      <c r="AX31" s="137"/>
      <c r="AY31" s="137"/>
    </row>
    <row r="32" spans="2:53" ht="15">
      <c r="B32" s="327">
        <v>29</v>
      </c>
      <c r="C32" s="330">
        <v>12644.095738575832</v>
      </c>
      <c r="D32" s="331">
        <v>14734.687054609909</v>
      </c>
      <c r="G32" s="140"/>
      <c r="H32" s="140"/>
      <c r="N32" s="309" t="s">
        <v>84</v>
      </c>
      <c r="O32" s="310">
        <v>3</v>
      </c>
      <c r="P32" s="310">
        <v>2</v>
      </c>
      <c r="W32" s="111"/>
      <c r="X32" s="280">
        <v>10</v>
      </c>
      <c r="Y32" s="317" t="s">
        <v>16</v>
      </c>
      <c r="Z32" s="318" t="s">
        <v>16</v>
      </c>
      <c r="AA32" s="111"/>
      <c r="AB32" s="111"/>
      <c r="AE32" s="111"/>
      <c r="AF32" s="203"/>
      <c r="AG32" s="148"/>
      <c r="AH32" s="111"/>
      <c r="AI32" s="111" t="str">
        <f t="shared" si="3"/>
        <v>9E T</v>
      </c>
      <c r="AJ32" t="s">
        <v>295</v>
      </c>
      <c r="AK32">
        <v>1201</v>
      </c>
      <c r="AL32" s="257">
        <v>95018</v>
      </c>
      <c r="AM32" t="s">
        <v>249</v>
      </c>
      <c r="AN32" s="111"/>
      <c r="AO32" s="111"/>
      <c r="AP32" s="111"/>
      <c r="AQ32" s="111"/>
      <c r="AR32" s="111"/>
      <c r="AS32" s="111"/>
      <c r="AU32" s="128"/>
      <c r="AV32" s="139"/>
      <c r="AW32" s="114"/>
      <c r="AZ32" s="137"/>
      <c r="BA32" s="137"/>
    </row>
    <row r="33" spans="2:60" ht="15">
      <c r="B33" s="326">
        <v>30</v>
      </c>
      <c r="C33" s="328">
        <v>13276.300525504625</v>
      </c>
      <c r="D33" s="329">
        <v>15471.421407340404</v>
      </c>
      <c r="G33" s="140"/>
      <c r="H33" s="140"/>
      <c r="I33" s="1"/>
      <c r="N33" s="311" t="s">
        <v>86</v>
      </c>
      <c r="O33" s="312">
        <v>1</v>
      </c>
      <c r="P33" s="312">
        <v>1</v>
      </c>
      <c r="W33" s="111"/>
      <c r="X33" s="277" t="s">
        <v>172</v>
      </c>
      <c r="Y33" s="278">
        <v>45732.4</v>
      </c>
      <c r="Z33" s="279"/>
      <c r="AA33" s="111"/>
      <c r="AB33" s="111"/>
      <c r="AC33" s="202" t="s">
        <v>312</v>
      </c>
      <c r="AE33" s="111"/>
      <c r="AF33" s="205"/>
      <c r="AG33" s="150"/>
      <c r="AH33" s="111"/>
      <c r="AI33" s="111" t="str">
        <f t="shared" si="3"/>
        <v xml:space="preserve">10E </v>
      </c>
      <c r="AJ33" t="s">
        <v>296</v>
      </c>
      <c r="AK33">
        <v>1201</v>
      </c>
      <c r="AL33" s="257">
        <v>95019</v>
      </c>
      <c r="AM33" t="s">
        <v>249</v>
      </c>
      <c r="AN33" s="111"/>
      <c r="AO33" s="111"/>
      <c r="AP33" s="111"/>
      <c r="AQ33" s="111"/>
      <c r="AR33" s="111"/>
      <c r="AS33" s="111"/>
      <c r="AT33" s="141"/>
      <c r="AU33" s="128"/>
      <c r="AV33" s="139"/>
      <c r="AW33" s="114"/>
      <c r="AZ33" s="137"/>
      <c r="BA33" s="543" t="s">
        <v>71</v>
      </c>
      <c r="BB33" s="543"/>
    </row>
    <row r="34" spans="2:60" ht="15.75" thickBot="1">
      <c r="B34" s="327">
        <v>31</v>
      </c>
      <c r="C34" s="330">
        <v>13940.115551779856</v>
      </c>
      <c r="D34" s="331">
        <v>16244.992477707425</v>
      </c>
      <c r="G34" s="140"/>
      <c r="H34" s="140"/>
      <c r="I34" s="1"/>
      <c r="J34" s="1"/>
      <c r="M34" s="1"/>
      <c r="N34" s="313" t="s">
        <v>98</v>
      </c>
      <c r="O34" s="314">
        <v>5</v>
      </c>
      <c r="P34" s="314">
        <v>3</v>
      </c>
      <c r="Q34" s="1"/>
      <c r="R34" s="234" t="s">
        <v>208</v>
      </c>
      <c r="S34" s="201">
        <v>800</v>
      </c>
      <c r="T34" s="1"/>
      <c r="W34" s="111"/>
      <c r="AA34" s="111"/>
      <c r="AB34" s="111"/>
      <c r="AC34" s="284" t="s">
        <v>6</v>
      </c>
      <c r="AE34" s="111"/>
      <c r="AF34" s="203"/>
      <c r="AG34" s="148"/>
      <c r="AH34" s="111"/>
      <c r="AI34" s="111"/>
      <c r="AJ34"/>
      <c r="AK34"/>
      <c r="AL34"/>
      <c r="AM34"/>
      <c r="AN34" s="111"/>
      <c r="AO34" s="111"/>
      <c r="AP34" s="111"/>
      <c r="AQ34" s="111"/>
      <c r="AR34" s="111"/>
      <c r="AS34" s="111"/>
      <c r="AT34" s="141"/>
      <c r="AU34" s="128"/>
      <c r="AV34" s="139"/>
      <c r="AW34" s="114"/>
      <c r="AZ34" s="143"/>
      <c r="BA34" s="111">
        <v>10000</v>
      </c>
      <c r="BB34" s="111">
        <v>116.76</v>
      </c>
    </row>
    <row r="35" spans="2:60" ht="15">
      <c r="B35" s="326">
        <v>32</v>
      </c>
      <c r="C35" s="328">
        <v>14637.121329368849</v>
      </c>
      <c r="D35" s="329">
        <v>17057.242101592798</v>
      </c>
      <c r="G35" s="140"/>
      <c r="H35" s="140"/>
      <c r="I35" s="1"/>
      <c r="J35" s="1"/>
      <c r="M35" s="1"/>
      <c r="Q35" s="1"/>
      <c r="T35" s="1"/>
      <c r="W35" s="111"/>
      <c r="AA35" s="111"/>
      <c r="AB35" s="111"/>
      <c r="AC35" s="285" t="s">
        <v>43</v>
      </c>
      <c r="AE35" s="111"/>
      <c r="AF35" s="111"/>
      <c r="AG35" s="111"/>
      <c r="AH35" s="111"/>
      <c r="AI35" s="111"/>
      <c r="AJ35"/>
      <c r="AK35"/>
      <c r="AL35"/>
      <c r="AM35"/>
      <c r="AN35" s="111"/>
      <c r="AO35" s="111"/>
      <c r="AP35" s="111"/>
      <c r="AQ35" s="111"/>
      <c r="AR35" s="111"/>
      <c r="AS35" s="111"/>
      <c r="AT35" s="142"/>
      <c r="AU35" s="128"/>
      <c r="AV35" s="139"/>
      <c r="AW35" s="114"/>
      <c r="AZ35" s="143"/>
      <c r="BA35" s="111">
        <v>20000</v>
      </c>
      <c r="BB35" s="111">
        <f>ROUND(BA35/$BA$34*$BB$34,2)</f>
        <v>233.52</v>
      </c>
    </row>
    <row r="36" spans="2:60" ht="15">
      <c r="B36" s="327">
        <v>33</v>
      </c>
      <c r="C36" s="330">
        <v>15368.977395837292</v>
      </c>
      <c r="D36" s="331">
        <v>17910.104206672437</v>
      </c>
      <c r="G36" s="140"/>
      <c r="H36" s="140"/>
      <c r="I36" s="1"/>
      <c r="J36" s="2"/>
      <c r="M36" s="2"/>
      <c r="Q36" s="2"/>
      <c r="R36" s="234" t="s">
        <v>369</v>
      </c>
      <c r="S36" s="2"/>
      <c r="T36" s="2"/>
      <c r="U36" s="116"/>
      <c r="V36" s="116"/>
      <c r="W36" s="111"/>
      <c r="AA36" s="111"/>
      <c r="AB36" s="111"/>
      <c r="AC36" s="286" t="s">
        <v>44</v>
      </c>
      <c r="AE36" s="111"/>
      <c r="AF36" s="111"/>
      <c r="AG36" s="111"/>
      <c r="AH36" s="111"/>
      <c r="AI36" s="111"/>
      <c r="AJ36"/>
      <c r="AK36"/>
      <c r="AL36"/>
      <c r="AM36"/>
      <c r="AN36" s="111"/>
      <c r="AO36" s="111"/>
      <c r="AP36" s="111"/>
      <c r="AQ36" s="111"/>
      <c r="AR36" s="111"/>
      <c r="AS36" s="111"/>
      <c r="AT36" s="141"/>
      <c r="AU36" s="128"/>
      <c r="AV36" s="139"/>
      <c r="AW36" s="114"/>
      <c r="AZ36" s="143"/>
      <c r="BA36" s="111">
        <v>30000</v>
      </c>
      <c r="BB36" s="111">
        <f>ROUND(BA36/$BA$34*$BB$34,2)</f>
        <v>350.28</v>
      </c>
    </row>
    <row r="37" spans="2:60" ht="15.75" thickBot="1">
      <c r="B37" s="326">
        <v>34</v>
      </c>
      <c r="C37" s="328">
        <v>16137.426265629158</v>
      </c>
      <c r="D37" s="329">
        <v>18626.508374939334</v>
      </c>
      <c r="G37" s="140"/>
      <c r="H37" s="140"/>
      <c r="I37" s="116"/>
      <c r="J37" s="116"/>
      <c r="M37" s="116"/>
      <c r="Q37" s="116"/>
      <c r="R37" s="164" t="s">
        <v>247</v>
      </c>
      <c r="S37" s="116"/>
      <c r="T37" s="116"/>
      <c r="U37" s="116"/>
      <c r="V37" s="116"/>
      <c r="W37" s="111"/>
      <c r="AA37" s="111"/>
      <c r="AB37" s="111"/>
      <c r="AE37" s="111"/>
      <c r="AF37" s="111"/>
      <c r="AG37" s="111"/>
      <c r="AH37" s="111"/>
      <c r="AI37" s="111"/>
      <c r="AJ37"/>
      <c r="AK37"/>
      <c r="AL37"/>
      <c r="AM37"/>
      <c r="AN37" s="111"/>
      <c r="AO37" s="111"/>
      <c r="AP37" s="111"/>
      <c r="AQ37" s="111"/>
      <c r="AR37" s="111"/>
      <c r="AS37" s="111"/>
      <c r="AT37" s="1"/>
      <c r="AU37" s="138"/>
      <c r="AV37" s="119"/>
      <c r="AW37" s="2"/>
      <c r="AZ37" s="143"/>
      <c r="BA37" s="111">
        <v>40000</v>
      </c>
      <c r="BB37" s="111">
        <f>ROUND(BA37/$BA$34*$BB$34,2)</f>
        <v>467.04</v>
      </c>
      <c r="BC37" s="2"/>
      <c r="BD37" s="3"/>
      <c r="BE37" s="2"/>
      <c r="BF37" s="3"/>
      <c r="BG37" s="2"/>
      <c r="BH37" s="3"/>
    </row>
    <row r="38" spans="2:60" ht="15">
      <c r="B38" s="327">
        <v>35</v>
      </c>
      <c r="C38" s="330">
        <v>16944.297578910613</v>
      </c>
      <c r="D38" s="331">
        <v>19371.56870993691</v>
      </c>
      <c r="G38" s="140"/>
      <c r="H38" s="140"/>
      <c r="I38" s="144"/>
      <c r="J38" s="116"/>
      <c r="K38" s="1"/>
      <c r="L38" s="1"/>
      <c r="M38" s="116"/>
      <c r="Q38" s="116"/>
      <c r="R38" s="165" t="s">
        <v>248</v>
      </c>
      <c r="S38" s="116"/>
      <c r="T38" s="116"/>
      <c r="U38" s="116"/>
      <c r="V38" s="116"/>
      <c r="W38" s="116"/>
      <c r="AA38" s="116"/>
      <c r="AB38" s="116"/>
      <c r="AE38" s="111"/>
      <c r="AF38" s="111"/>
      <c r="AG38" s="111"/>
      <c r="AH38" s="145"/>
      <c r="AI38" s="145"/>
      <c r="AJ38" s="290" t="s">
        <v>323</v>
      </c>
      <c r="AK38" s="291" t="s">
        <v>20</v>
      </c>
      <c r="AL38" s="291" t="s">
        <v>336</v>
      </c>
      <c r="AM38" s="291" t="s">
        <v>337</v>
      </c>
      <c r="AN38" s="292" t="s">
        <v>338</v>
      </c>
      <c r="AO38" s="145"/>
      <c r="AP38" s="145"/>
      <c r="AQ38" s="145"/>
      <c r="AR38" s="145"/>
      <c r="AS38" s="145"/>
      <c r="AT38" s="146"/>
      <c r="AU38" s="1"/>
      <c r="AV38" s="3"/>
      <c r="AW38" s="1"/>
      <c r="AZ38" s="143"/>
      <c r="BA38" s="111">
        <v>50000</v>
      </c>
      <c r="BB38" s="111">
        <f>ROUND(BA38/$BA$34*$BB$34,2)</f>
        <v>583.79999999999995</v>
      </c>
      <c r="BC38" s="102"/>
      <c r="BD38" s="4"/>
      <c r="BE38" s="1"/>
      <c r="BF38" s="3"/>
      <c r="BG38" s="1"/>
      <c r="BH38" s="4"/>
    </row>
    <row r="39" spans="2:60" ht="15">
      <c r="B39" s="326">
        <v>36</v>
      </c>
      <c r="C39" s="328">
        <v>17791.512457856148</v>
      </c>
      <c r="D39" s="329">
        <v>20340.147145433755</v>
      </c>
      <c r="G39" s="140"/>
      <c r="H39" s="140"/>
      <c r="I39" s="144"/>
      <c r="J39" s="255"/>
      <c r="K39" s="1"/>
      <c r="L39" s="1"/>
      <c r="M39" s="116"/>
      <c r="Q39" s="116"/>
      <c r="R39" s="116"/>
      <c r="S39" s="116"/>
      <c r="T39" s="116"/>
      <c r="U39" s="116"/>
      <c r="V39" s="116"/>
      <c r="W39" s="116"/>
      <c r="AA39" s="116"/>
      <c r="AB39" s="116"/>
      <c r="AC39" s="111"/>
      <c r="AD39" s="116"/>
      <c r="AE39" s="116"/>
      <c r="AJ39" s="297">
        <v>1</v>
      </c>
      <c r="AK39" s="288" t="s">
        <v>256</v>
      </c>
      <c r="AL39" s="288" t="s">
        <v>325</v>
      </c>
      <c r="AM39" s="288" t="s">
        <v>326</v>
      </c>
      <c r="AN39" s="293" t="s">
        <v>327</v>
      </c>
      <c r="AS39" s="2"/>
      <c r="AT39" s="1"/>
      <c r="AU39" s="2"/>
      <c r="AV39" s="1"/>
      <c r="AW39" s="2"/>
      <c r="AZ39" s="143"/>
      <c r="BA39" s="111">
        <v>75000</v>
      </c>
      <c r="BB39" s="111">
        <f>ROUND(BA39/$BA$34*$BB$34,2)</f>
        <v>875.7</v>
      </c>
      <c r="BC39" s="2"/>
      <c r="BD39" s="1"/>
      <c r="BE39" s="2"/>
      <c r="BF39" s="1"/>
      <c r="BG39" s="2"/>
      <c r="BH39" s="1"/>
    </row>
    <row r="40" spans="2:60" ht="15">
      <c r="B40" s="327">
        <v>37</v>
      </c>
      <c r="C40" s="330">
        <v>18681.088080748956</v>
      </c>
      <c r="D40" s="331">
        <v>21357.154502705442</v>
      </c>
      <c r="G40" s="140"/>
      <c r="H40" s="140"/>
      <c r="I40" s="144"/>
      <c r="J40" s="116"/>
      <c r="K40" s="1"/>
      <c r="L40" s="1"/>
      <c r="M40" s="116"/>
      <c r="Q40" s="116"/>
      <c r="R40" s="116"/>
      <c r="S40" s="116"/>
      <c r="T40" s="116"/>
      <c r="U40" s="116"/>
      <c r="V40" s="116"/>
      <c r="W40" s="116"/>
      <c r="AA40" s="116"/>
      <c r="AB40" s="116"/>
      <c r="AC40" s="116"/>
      <c r="AD40" s="116"/>
      <c r="AE40" s="116"/>
      <c r="AJ40" s="298">
        <v>2</v>
      </c>
      <c r="AK40" s="289" t="s">
        <v>325</v>
      </c>
      <c r="AL40" s="289" t="s">
        <v>326</v>
      </c>
      <c r="AM40" s="289" t="s">
        <v>327</v>
      </c>
      <c r="AN40" s="299" t="s">
        <v>328</v>
      </c>
      <c r="AS40" s="116"/>
      <c r="AT40" s="116"/>
      <c r="AU40" s="116"/>
      <c r="AV40" s="116"/>
      <c r="AW40" s="116"/>
      <c r="AZ40" s="143"/>
      <c r="BA40" s="111">
        <v>100000</v>
      </c>
      <c r="BB40" s="111">
        <f t="shared" ref="BB40:BB53" si="5">ROUND(BA40/$BA$34*$BB$34,2)</f>
        <v>1167.5999999999999</v>
      </c>
      <c r="BC40" s="116"/>
      <c r="BD40" s="116"/>
      <c r="BE40" s="116"/>
      <c r="BF40" s="116"/>
      <c r="BG40" s="116"/>
      <c r="BH40" s="116"/>
    </row>
    <row r="41" spans="2:60" ht="15.75" thickBot="1">
      <c r="B41" s="326">
        <v>38</v>
      </c>
      <c r="C41" s="328">
        <v>19615.142484786404</v>
      </c>
      <c r="D41" s="329">
        <v>22425.012227840714</v>
      </c>
      <c r="G41" s="140"/>
      <c r="R41" s="116"/>
      <c r="U41" s="116"/>
      <c r="V41" s="116"/>
      <c r="W41" s="116"/>
      <c r="AA41" s="116"/>
      <c r="AB41" s="116"/>
      <c r="AC41" s="116"/>
      <c r="AD41" s="116"/>
      <c r="AE41" s="116"/>
      <c r="AJ41" s="294">
        <v>3</v>
      </c>
      <c r="AK41" s="295" t="s">
        <v>326</v>
      </c>
      <c r="AL41" s="295" t="s">
        <v>327</v>
      </c>
      <c r="AM41" s="295" t="s">
        <v>328</v>
      </c>
      <c r="AN41" s="296" t="s">
        <v>329</v>
      </c>
      <c r="AS41" s="116"/>
      <c r="AT41" s="116"/>
      <c r="AU41" s="116"/>
      <c r="AV41" s="116"/>
      <c r="AW41" s="116"/>
      <c r="AZ41" s="143"/>
      <c r="BA41" s="111">
        <v>150000</v>
      </c>
      <c r="BB41" s="111">
        <f t="shared" si="5"/>
        <v>1751.4</v>
      </c>
      <c r="BC41" s="116"/>
      <c r="BD41" s="116"/>
      <c r="BE41" s="116"/>
      <c r="BF41" s="116"/>
      <c r="BG41" s="116"/>
      <c r="BH41" s="116"/>
    </row>
    <row r="42" spans="2:60" ht="15">
      <c r="B42" s="327">
        <v>39</v>
      </c>
      <c r="C42" s="330">
        <v>20595.899609025724</v>
      </c>
      <c r="D42" s="331">
        <v>23546.26283923275</v>
      </c>
      <c r="G42" s="144"/>
      <c r="R42" s="116"/>
      <c r="U42" s="116"/>
      <c r="V42" s="116"/>
      <c r="W42" s="116"/>
      <c r="AA42" s="116"/>
      <c r="AB42" s="116"/>
      <c r="AC42" s="116"/>
      <c r="AD42" s="116"/>
      <c r="AE42" s="116"/>
      <c r="AS42" s="116"/>
      <c r="AT42" s="116"/>
      <c r="AU42" s="116"/>
      <c r="AV42" s="116"/>
      <c r="AW42" s="116"/>
      <c r="AZ42" s="143"/>
      <c r="BA42" s="111">
        <v>200000</v>
      </c>
      <c r="BB42" s="111">
        <f t="shared" si="5"/>
        <v>2335.1999999999998</v>
      </c>
      <c r="BC42" s="116"/>
      <c r="BD42" s="116"/>
      <c r="BE42" s="116"/>
      <c r="BF42" s="116"/>
      <c r="BG42" s="116"/>
      <c r="BH42" s="116"/>
    </row>
    <row r="43" spans="2:60" ht="15">
      <c r="B43" s="326">
        <v>40</v>
      </c>
      <c r="C43" s="328">
        <v>21625.694589477014</v>
      </c>
      <c r="D43" s="329">
        <v>24723.575981194386</v>
      </c>
      <c r="G43" s="144"/>
      <c r="R43" s="116"/>
      <c r="U43" s="116"/>
      <c r="V43" s="116"/>
      <c r="W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Z43" s="143"/>
      <c r="BA43" s="111">
        <v>250000</v>
      </c>
      <c r="BB43" s="111">
        <f t="shared" si="5"/>
        <v>2919</v>
      </c>
      <c r="BC43" s="116"/>
      <c r="BD43" s="116"/>
      <c r="BE43" s="116"/>
      <c r="BF43" s="116"/>
      <c r="BG43" s="116"/>
      <c r="BH43" s="116"/>
    </row>
    <row r="44" spans="2:60" ht="15">
      <c r="B44" s="327">
        <v>41</v>
      </c>
      <c r="C44" s="330">
        <v>22706.979318950864</v>
      </c>
      <c r="D44" s="331">
        <v>25959.754780254108</v>
      </c>
      <c r="G44" s="144"/>
      <c r="R44" s="116"/>
      <c r="U44" s="116"/>
      <c r="V44" s="116"/>
      <c r="W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Z44" s="143"/>
      <c r="BA44" s="111">
        <v>300000</v>
      </c>
      <c r="BB44" s="111">
        <f t="shared" si="5"/>
        <v>3502.8</v>
      </c>
      <c r="BC44" s="116"/>
      <c r="BD44" s="116"/>
      <c r="BE44" s="116"/>
      <c r="BF44" s="116"/>
      <c r="BG44" s="116"/>
      <c r="BH44" s="116"/>
    </row>
    <row r="45" spans="2:60" ht="15">
      <c r="B45" s="326">
        <v>42</v>
      </c>
      <c r="C45" s="328">
        <v>23842.328284898413</v>
      </c>
      <c r="D45" s="329">
        <v>27257.742519266812</v>
      </c>
      <c r="G45" s="144"/>
      <c r="H45" s="267"/>
      <c r="I45" s="267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Z45" s="143"/>
      <c r="BA45" s="111">
        <v>350000</v>
      </c>
      <c r="BB45" s="111">
        <f t="shared" si="5"/>
        <v>4086.6</v>
      </c>
      <c r="BC45" s="116"/>
      <c r="BD45" s="116"/>
      <c r="BE45" s="116"/>
      <c r="BF45" s="116"/>
      <c r="BG45" s="116"/>
      <c r="BH45" s="116"/>
    </row>
    <row r="46" spans="2:60" ht="15">
      <c r="B46" s="327">
        <v>43</v>
      </c>
      <c r="C46" s="330">
        <v>25034.444699143332</v>
      </c>
      <c r="D46" s="331">
        <v>28620.629645230154</v>
      </c>
      <c r="G46" s="144"/>
      <c r="H46" s="267"/>
      <c r="I46" s="267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Z46" s="143"/>
      <c r="BA46" s="111">
        <v>400000</v>
      </c>
      <c r="BB46" s="111">
        <f t="shared" si="5"/>
        <v>4670.3999999999996</v>
      </c>
      <c r="BC46" s="116"/>
      <c r="BD46" s="116"/>
      <c r="BE46" s="116"/>
      <c r="BF46" s="116"/>
      <c r="BG46" s="116"/>
      <c r="BH46" s="116"/>
    </row>
    <row r="47" spans="2:60" ht="15">
      <c r="B47" s="326">
        <v>44</v>
      </c>
      <c r="C47" s="328">
        <v>26286.166934100504</v>
      </c>
      <c r="D47" s="329">
        <v>30051.661127491665</v>
      </c>
      <c r="G47" s="144"/>
      <c r="H47" s="267"/>
      <c r="I47" s="267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Z47" s="143"/>
      <c r="BA47" s="111">
        <v>450000</v>
      </c>
      <c r="BB47" s="111">
        <f t="shared" si="5"/>
        <v>5254.2</v>
      </c>
      <c r="BC47" s="116"/>
      <c r="BD47" s="116"/>
      <c r="BE47" s="116"/>
      <c r="BF47" s="116"/>
      <c r="BG47" s="116"/>
      <c r="BH47" s="116"/>
    </row>
    <row r="48" spans="2:60" ht="15">
      <c r="B48" s="327">
        <v>45</v>
      </c>
      <c r="C48" s="330">
        <v>27600.475280805527</v>
      </c>
      <c r="D48" s="331">
        <v>31854.760795141163</v>
      </c>
      <c r="G48" s="144"/>
      <c r="H48" s="267"/>
      <c r="I48" s="267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Z48" s="143"/>
      <c r="BA48" s="111">
        <v>500000</v>
      </c>
      <c r="BB48" s="111">
        <f t="shared" si="5"/>
        <v>5838</v>
      </c>
      <c r="BC48" s="116"/>
      <c r="BD48" s="116"/>
      <c r="BE48" s="116"/>
      <c r="BF48" s="116"/>
      <c r="BG48" s="116"/>
      <c r="BH48" s="116"/>
    </row>
    <row r="49" spans="2:60" ht="15">
      <c r="B49" s="326">
        <v>46</v>
      </c>
      <c r="C49" s="328">
        <v>28980.499044845805</v>
      </c>
      <c r="D49" s="329">
        <v>33447.498834898222</v>
      </c>
      <c r="G49" s="144"/>
      <c r="H49" s="267"/>
      <c r="I49" s="267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Z49" s="143"/>
      <c r="BA49" s="111">
        <v>550000</v>
      </c>
      <c r="BB49" s="111">
        <f t="shared" si="5"/>
        <v>6421.8</v>
      </c>
      <c r="BC49" s="116"/>
      <c r="BD49" s="116"/>
      <c r="BE49" s="116"/>
      <c r="BF49" s="116"/>
      <c r="BG49" s="116"/>
      <c r="BH49" s="116"/>
    </row>
    <row r="50" spans="2:60" ht="15">
      <c r="B50" s="327">
        <v>47</v>
      </c>
      <c r="C50" s="330">
        <v>30429.523997088098</v>
      </c>
      <c r="D50" s="331">
        <v>35119.873776643137</v>
      </c>
      <c r="G50" s="144"/>
      <c r="H50" s="267"/>
      <c r="I50" s="267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Z50" s="143"/>
      <c r="BA50" s="111">
        <v>600000</v>
      </c>
      <c r="BB50" s="111">
        <f t="shared" si="5"/>
        <v>7005.6</v>
      </c>
      <c r="BC50" s="116"/>
      <c r="BD50" s="116"/>
      <c r="BE50" s="116"/>
      <c r="BF50" s="116"/>
      <c r="BG50" s="116"/>
      <c r="BH50" s="116"/>
    </row>
    <row r="51" spans="2:60" ht="15">
      <c r="B51" s="326">
        <v>48</v>
      </c>
      <c r="C51" s="328">
        <v>31951.000196942499</v>
      </c>
      <c r="D51" s="329">
        <v>36524.668727708864</v>
      </c>
      <c r="G51" s="144"/>
      <c r="H51" s="267"/>
      <c r="I51" s="267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Z51" s="143"/>
      <c r="BA51" s="111">
        <v>650000</v>
      </c>
      <c r="BB51" s="111">
        <f t="shared" si="5"/>
        <v>7589.4</v>
      </c>
      <c r="BC51" s="116"/>
      <c r="BD51" s="116"/>
      <c r="BE51" s="116"/>
      <c r="BF51" s="116"/>
      <c r="BG51" s="116"/>
      <c r="BH51" s="116"/>
    </row>
    <row r="52" spans="2:60" ht="15">
      <c r="B52" s="327">
        <v>49</v>
      </c>
      <c r="C52" s="330">
        <v>33229.040204820201</v>
      </c>
      <c r="D52" s="331">
        <v>37985.655476817221</v>
      </c>
      <c r="G52" s="144"/>
      <c r="H52" s="267"/>
      <c r="I52" s="267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Z52" s="143"/>
      <c r="BA52" s="111">
        <v>700000</v>
      </c>
      <c r="BB52" s="111">
        <f t="shared" si="5"/>
        <v>8173.2</v>
      </c>
      <c r="BC52" s="116"/>
      <c r="BD52" s="116"/>
      <c r="BE52" s="116"/>
      <c r="BF52" s="116"/>
      <c r="BG52" s="116"/>
      <c r="BH52" s="116"/>
    </row>
    <row r="53" spans="2:60" ht="15">
      <c r="B53" s="326">
        <v>50</v>
      </c>
      <c r="C53" s="328">
        <v>36339.552421931206</v>
      </c>
      <c r="D53" s="329">
        <v>38972.295878812474</v>
      </c>
      <c r="G53" s="144"/>
      <c r="H53" s="267"/>
      <c r="I53" s="267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Z53" s="143"/>
      <c r="BA53" s="111">
        <v>750000</v>
      </c>
      <c r="BB53" s="111">
        <f t="shared" si="5"/>
        <v>8757</v>
      </c>
      <c r="BC53" s="116"/>
      <c r="BD53" s="116"/>
      <c r="BE53" s="116"/>
      <c r="BF53" s="116"/>
      <c r="BG53" s="116"/>
      <c r="BH53" s="116"/>
    </row>
    <row r="54" spans="2:60" ht="15">
      <c r="B54" s="327">
        <v>51</v>
      </c>
      <c r="C54" s="330">
        <v>38883.321091466401</v>
      </c>
      <c r="D54" s="331">
        <v>42090.079549117472</v>
      </c>
      <c r="G54" s="144"/>
      <c r="H54" s="144"/>
      <c r="I54" s="144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Z54" s="143"/>
      <c r="BA54" s="111">
        <v>800000</v>
      </c>
      <c r="BB54" s="111">
        <f>ROUND(BA54/$BA$34*$BB$34,2)</f>
        <v>9340.7999999999993</v>
      </c>
      <c r="BC54" s="116"/>
      <c r="BD54" s="116"/>
      <c r="BE54" s="116"/>
      <c r="BF54" s="116"/>
      <c r="BG54" s="116"/>
      <c r="BH54" s="116"/>
    </row>
    <row r="55" spans="2:60" ht="15">
      <c r="B55" s="326">
        <v>52</v>
      </c>
      <c r="C55" s="328">
        <v>41216.320356954384</v>
      </c>
      <c r="D55" s="329">
        <v>44194.583526573348</v>
      </c>
      <c r="G55" s="144"/>
      <c r="H55" s="144"/>
      <c r="I55" s="144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Z55" s="143"/>
      <c r="BA55" s="111">
        <v>850000</v>
      </c>
      <c r="BB55" s="111">
        <f>ROUND(BA55/$BA$34*$BB$34,2)</f>
        <v>9924.6</v>
      </c>
      <c r="BC55" s="116"/>
      <c r="BD55" s="116"/>
      <c r="BE55" s="116"/>
      <c r="BF55" s="116"/>
      <c r="BG55" s="116"/>
      <c r="BH55" s="116"/>
    </row>
    <row r="56" spans="2:60" ht="15">
      <c r="B56" s="327">
        <v>53</v>
      </c>
      <c r="C56" s="330">
        <v>43689.299578371654</v>
      </c>
      <c r="D56" s="331">
        <v>46404.312702902018</v>
      </c>
      <c r="G56" s="144"/>
      <c r="H56" s="144"/>
      <c r="I56" s="144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Z56" s="143"/>
      <c r="BA56" s="111">
        <v>900000</v>
      </c>
      <c r="BB56" s="111">
        <f>ROUND(BA56/$BA$34*$BB$34,2)</f>
        <v>10508.4</v>
      </c>
      <c r="BC56" s="116"/>
      <c r="BD56" s="116"/>
      <c r="BE56" s="116"/>
      <c r="BF56" s="116"/>
      <c r="BG56" s="116"/>
      <c r="BH56" s="116"/>
    </row>
    <row r="57" spans="2:60" ht="15">
      <c r="B57" s="326">
        <v>54</v>
      </c>
      <c r="C57" s="328">
        <v>46310.657553073957</v>
      </c>
      <c r="D57" s="329">
        <v>48724.528338047123</v>
      </c>
      <c r="G57" s="144"/>
      <c r="H57" s="144"/>
      <c r="I57" s="144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Z57" s="143"/>
      <c r="BC57" s="116"/>
      <c r="BD57" s="116"/>
      <c r="BE57" s="116"/>
      <c r="BF57" s="116"/>
      <c r="BG57" s="116"/>
      <c r="BH57" s="116"/>
    </row>
    <row r="58" spans="2:60" ht="15">
      <c r="B58" s="327">
        <v>55</v>
      </c>
      <c r="C58" s="330">
        <v>49089.297006258392</v>
      </c>
      <c r="D58" s="331">
        <v>51160.754754949478</v>
      </c>
      <c r="G58" s="144"/>
      <c r="H58" s="144"/>
      <c r="I58" s="144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Z58" s="143"/>
      <c r="BC58" s="116"/>
      <c r="BD58" s="116"/>
      <c r="BE58" s="116"/>
      <c r="BF58" s="116"/>
      <c r="BG58" s="116"/>
      <c r="BH58" s="116"/>
    </row>
    <row r="59" spans="2:60" ht="15">
      <c r="B59" s="326">
        <v>56</v>
      </c>
      <c r="C59" s="328">
        <v>52034.654826633901</v>
      </c>
      <c r="D59" s="329">
        <v>53718.792492696957</v>
      </c>
      <c r="G59" s="144"/>
      <c r="H59" s="144"/>
      <c r="I59" s="144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Z59" s="143"/>
      <c r="BC59" s="116"/>
      <c r="BD59" s="116"/>
      <c r="BE59" s="116"/>
      <c r="BF59" s="116"/>
      <c r="BG59" s="116"/>
      <c r="BH59" s="116"/>
    </row>
    <row r="60" spans="2:60" ht="15">
      <c r="B60" s="327">
        <v>57</v>
      </c>
      <c r="C60" s="330">
        <v>55156.734116231935</v>
      </c>
      <c r="D60" s="331">
        <v>56404.732117331812</v>
      </c>
      <c r="G60" s="144"/>
      <c r="H60" s="144"/>
      <c r="I60" s="144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Z60" s="143"/>
      <c r="BC60" s="116"/>
      <c r="BD60" s="116"/>
      <c r="BE60" s="116"/>
      <c r="BF60" s="116"/>
      <c r="BG60" s="116"/>
      <c r="BH60" s="116"/>
    </row>
    <row r="61" spans="2:60" ht="15">
      <c r="B61" s="326">
        <v>58</v>
      </c>
      <c r="C61" s="328">
        <v>59845.056516111654</v>
      </c>
      <c r="D61" s="329">
        <v>60635.087026131689</v>
      </c>
      <c r="G61" s="144"/>
      <c r="H61" s="144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Z61" s="143"/>
      <c r="BC61" s="116"/>
      <c r="BD61" s="116"/>
      <c r="BE61" s="116"/>
      <c r="BF61" s="116"/>
      <c r="BG61" s="116"/>
      <c r="BH61" s="116"/>
    </row>
    <row r="62" spans="2:60" ht="15">
      <c r="B62" s="327">
        <v>59</v>
      </c>
      <c r="C62" s="330">
        <v>64931.886319981139</v>
      </c>
      <c r="D62" s="331">
        <v>65182.718553091567</v>
      </c>
      <c r="G62" s="144"/>
      <c r="H62" s="144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Z62" s="143"/>
      <c r="BC62" s="116"/>
      <c r="BD62" s="116"/>
      <c r="BE62" s="116"/>
      <c r="BF62" s="116"/>
      <c r="BG62" s="116"/>
      <c r="BH62" s="116"/>
    </row>
    <row r="63" spans="2:60" ht="15">
      <c r="B63" s="326">
        <v>60</v>
      </c>
      <c r="C63" s="328">
        <v>70451.096657179529</v>
      </c>
      <c r="D63" s="329">
        <v>70071.422444573429</v>
      </c>
      <c r="G63" s="366"/>
      <c r="H63" s="144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Z63" s="143"/>
      <c r="BC63" s="116"/>
      <c r="BD63" s="116"/>
      <c r="BE63" s="116"/>
      <c r="BF63" s="116"/>
      <c r="BG63" s="116"/>
      <c r="BH63" s="116"/>
    </row>
    <row r="64" spans="2:60" ht="15">
      <c r="B64" s="327">
        <v>61</v>
      </c>
      <c r="C64" s="330">
        <v>76439.439873039795</v>
      </c>
      <c r="D64" s="331">
        <v>75326.779127916438</v>
      </c>
      <c r="G64" s="144"/>
      <c r="H64" s="144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Z64" s="143"/>
      <c r="BC64" s="116"/>
      <c r="BD64" s="116"/>
      <c r="BE64" s="116"/>
      <c r="BF64" s="116"/>
      <c r="BG64" s="116"/>
      <c r="BH64" s="116"/>
    </row>
    <row r="65" spans="2:60" ht="15">
      <c r="B65" s="326">
        <v>62</v>
      </c>
      <c r="C65" s="328">
        <v>82936.792262248171</v>
      </c>
      <c r="D65" s="329">
        <v>80976.287562510159</v>
      </c>
      <c r="G65" s="144"/>
      <c r="H65" s="144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Z65" s="143"/>
      <c r="BC65" s="116"/>
      <c r="BD65" s="116"/>
      <c r="BE65" s="116"/>
      <c r="BF65" s="116"/>
      <c r="BG65" s="116"/>
      <c r="BH65" s="116"/>
    </row>
    <row r="66" spans="2:60" ht="15">
      <c r="B66" s="327">
        <v>63</v>
      </c>
      <c r="C66" s="330">
        <v>89986.41960453926</v>
      </c>
      <c r="D66" s="331">
        <v>87049.509129698417</v>
      </c>
      <c r="G66" s="144"/>
      <c r="H66" s="144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Z66" s="143"/>
      <c r="BC66" s="116"/>
      <c r="BD66" s="116"/>
      <c r="BE66" s="116"/>
      <c r="BF66" s="116"/>
      <c r="BG66" s="116"/>
      <c r="BH66" s="116"/>
    </row>
    <row r="67" spans="2:60" ht="15">
      <c r="B67" s="326">
        <v>64</v>
      </c>
      <c r="C67" s="328">
        <v>97635.265270925098</v>
      </c>
      <c r="D67" s="329">
        <v>93578.222314425788</v>
      </c>
      <c r="G67" s="144"/>
      <c r="H67" s="144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Z67" s="143"/>
      <c r="BC67" s="116"/>
      <c r="BD67" s="116"/>
      <c r="BE67" s="116"/>
      <c r="BF67" s="116"/>
      <c r="BG67" s="116"/>
      <c r="BH67" s="116"/>
    </row>
    <row r="68" spans="2:60" ht="15">
      <c r="B68" s="327">
        <v>65</v>
      </c>
      <c r="C68" s="330">
        <v>107398.79179801763</v>
      </c>
      <c r="D68" s="331">
        <v>102936.04454586838</v>
      </c>
      <c r="G68" s="144"/>
      <c r="H68" s="144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1"/>
      <c r="AY68" s="111"/>
      <c r="AZ68" s="143"/>
      <c r="BC68" s="116"/>
      <c r="BD68" s="116"/>
      <c r="BE68" s="116"/>
      <c r="BF68" s="116"/>
      <c r="BG68" s="116"/>
      <c r="BH68" s="116"/>
    </row>
    <row r="69" spans="2:60" ht="15">
      <c r="B69" s="326">
        <v>66</v>
      </c>
      <c r="C69" s="328">
        <v>118138.67097781939</v>
      </c>
      <c r="D69" s="329">
        <v>113229.64900045522</v>
      </c>
      <c r="G69" s="144"/>
      <c r="H69" s="144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Z69" s="143"/>
      <c r="BC69" s="116"/>
      <c r="BD69" s="116"/>
      <c r="BE69" s="116"/>
      <c r="BF69" s="116"/>
      <c r="BG69" s="116"/>
      <c r="BH69" s="116"/>
    </row>
    <row r="70" spans="2:60" ht="15">
      <c r="B70" s="327">
        <v>67</v>
      </c>
      <c r="C70" s="330">
        <v>129952.53807560133</v>
      </c>
      <c r="D70" s="331">
        <v>124552.61390050076</v>
      </c>
      <c r="G70" s="144"/>
      <c r="H70" s="144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BD70" s="116"/>
      <c r="BE70" s="116"/>
      <c r="BF70" s="116"/>
      <c r="BG70" s="116"/>
      <c r="BH70" s="116"/>
    </row>
    <row r="71" spans="2:60" ht="15">
      <c r="B71" s="326">
        <v>68</v>
      </c>
      <c r="C71" s="328">
        <v>142947.79188316147</v>
      </c>
      <c r="D71" s="329">
        <v>137007.87529055084</v>
      </c>
      <c r="G71" s="144"/>
      <c r="H71" s="144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BD71" s="116"/>
      <c r="BE71" s="116"/>
      <c r="BF71" s="116"/>
      <c r="BG71" s="116"/>
      <c r="BH71" s="116"/>
    </row>
    <row r="72" spans="2:60" ht="15">
      <c r="B72" s="327">
        <v>69</v>
      </c>
      <c r="C72" s="330">
        <v>157242.57107147764</v>
      </c>
      <c r="D72" s="331">
        <v>150708.66281960593</v>
      </c>
      <c r="G72" s="144"/>
      <c r="H72" s="144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BD72" s="116"/>
      <c r="BE72" s="116"/>
      <c r="BF72" s="116"/>
      <c r="BG72" s="116"/>
      <c r="BH72" s="116"/>
    </row>
    <row r="73" spans="2:60" ht="15">
      <c r="B73" s="326">
        <v>70</v>
      </c>
      <c r="C73" s="328">
        <v>172966.82817862541</v>
      </c>
      <c r="D73" s="329">
        <v>165779.52910156653</v>
      </c>
      <c r="G73" s="144"/>
      <c r="H73" s="144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BD73" s="116"/>
      <c r="BE73" s="116"/>
      <c r="BF73" s="116"/>
      <c r="BG73" s="116"/>
      <c r="BH73" s="116"/>
    </row>
    <row r="74" spans="2:60" ht="15">
      <c r="B74" s="327">
        <v>71</v>
      </c>
      <c r="C74" s="330">
        <v>190263.51099648795</v>
      </c>
      <c r="D74" s="331">
        <v>182357.48201172319</v>
      </c>
      <c r="G74" s="144"/>
      <c r="H74" s="144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BD74" s="116"/>
      <c r="BE74" s="116"/>
      <c r="BF74" s="116"/>
      <c r="BG74" s="116"/>
      <c r="BH74" s="116"/>
    </row>
    <row r="75" spans="2:60" ht="15">
      <c r="B75" s="326">
        <v>72</v>
      </c>
      <c r="C75" s="328">
        <v>209289.86209613676</v>
      </c>
      <c r="D75" s="329">
        <v>200593.23021289552</v>
      </c>
      <c r="G75" s="144"/>
      <c r="H75" s="144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BD75" s="116"/>
      <c r="BE75" s="116"/>
      <c r="BF75" s="116"/>
      <c r="BG75" s="116"/>
      <c r="BH75" s="116"/>
    </row>
    <row r="76" spans="2:60" ht="15">
      <c r="B76" s="327">
        <v>73</v>
      </c>
      <c r="C76" s="330">
        <v>230218.84830575043</v>
      </c>
      <c r="D76" s="331">
        <v>220652.55323418509</v>
      </c>
      <c r="G76" s="144"/>
      <c r="H76" s="144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BD76" s="116"/>
      <c r="BE76" s="116"/>
      <c r="BF76" s="116"/>
      <c r="BG76" s="116"/>
      <c r="BH76" s="116"/>
    </row>
    <row r="77" spans="2:60" ht="15">
      <c r="B77" s="326">
        <v>74</v>
      </c>
      <c r="C77" s="328">
        <v>253240.73313632552</v>
      </c>
      <c r="D77" s="329">
        <v>242717.80855760365</v>
      </c>
      <c r="G77" s="144"/>
      <c r="H77" s="144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BD77" s="116"/>
      <c r="BE77" s="116"/>
      <c r="BF77" s="116"/>
      <c r="BG77" s="116"/>
      <c r="BH77" s="116"/>
    </row>
    <row r="78" spans="2:60" ht="15">
      <c r="B78" s="327">
        <v>75</v>
      </c>
      <c r="C78" s="330">
        <v>278564.80644995812</v>
      </c>
      <c r="D78" s="331">
        <v>266989.58941336401</v>
      </c>
      <c r="G78" s="144"/>
      <c r="H78" s="144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BD78" s="116"/>
      <c r="BE78" s="116"/>
      <c r="BF78" s="116"/>
      <c r="BG78" s="116"/>
      <c r="BH78" s="116"/>
    </row>
    <row r="79" spans="2:60" ht="15">
      <c r="B79" s="326">
        <v>76</v>
      </c>
      <c r="C79" s="328">
        <v>306421.28709495399</v>
      </c>
      <c r="D79" s="329">
        <v>293688.54835470044</v>
      </c>
      <c r="G79" s="144"/>
      <c r="H79" s="144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BD79" s="116"/>
      <c r="BE79" s="116"/>
      <c r="BF79" s="116"/>
      <c r="BG79" s="116"/>
      <c r="BH79" s="116"/>
    </row>
    <row r="80" spans="2:60" ht="15">
      <c r="B80" s="327">
        <v>77</v>
      </c>
      <c r="C80" s="330">
        <v>337063.41580444935</v>
      </c>
      <c r="D80" s="331">
        <v>323057.40319017053</v>
      </c>
      <c r="G80" s="144"/>
      <c r="H80" s="144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BD80" s="116"/>
      <c r="BE80" s="116"/>
      <c r="BF80" s="116"/>
      <c r="BG80" s="116"/>
      <c r="BH80" s="116"/>
    </row>
    <row r="81" spans="2:60" ht="15">
      <c r="B81" s="326">
        <v>78</v>
      </c>
      <c r="C81" s="328">
        <v>370769.7573848943</v>
      </c>
      <c r="D81" s="329">
        <v>355363.14350918762</v>
      </c>
      <c r="G81" s="144"/>
      <c r="H81" s="144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BD81" s="116"/>
      <c r="BE81" s="116"/>
      <c r="BF81" s="116"/>
      <c r="BG81" s="116"/>
      <c r="BH81" s="116"/>
    </row>
    <row r="82" spans="2:60" ht="15">
      <c r="B82" s="327">
        <v>79</v>
      </c>
      <c r="C82" s="330">
        <v>407846.73312338378</v>
      </c>
      <c r="D82" s="331">
        <v>390899.45786010643</v>
      </c>
      <c r="G82" s="144"/>
      <c r="H82" s="144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BD82" s="116"/>
      <c r="BE82" s="116"/>
      <c r="BF82" s="116"/>
      <c r="BG82" s="116"/>
      <c r="BH82" s="116"/>
    </row>
    <row r="83" spans="2:60" ht="15">
      <c r="B83" s="326">
        <v>80</v>
      </c>
      <c r="C83" s="328">
        <v>448631.40643572214</v>
      </c>
      <c r="D83" s="329">
        <v>429989.40364611713</v>
      </c>
      <c r="G83" s="144"/>
      <c r="H83" s="144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BD83" s="116"/>
      <c r="BE83" s="116"/>
      <c r="BF83" s="116"/>
      <c r="BG83" s="116"/>
      <c r="BH83" s="116"/>
    </row>
    <row r="84" spans="2:60" ht="15">
      <c r="B84" s="327">
        <v>81</v>
      </c>
      <c r="C84" s="330">
        <v>493494.5470792944</v>
      </c>
      <c r="D84" s="331">
        <v>472988.34401072888</v>
      </c>
      <c r="G84" s="144"/>
      <c r="H84" s="144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BD84" s="116"/>
      <c r="BE84" s="116"/>
      <c r="BF84" s="116"/>
      <c r="BG84" s="116"/>
      <c r="BH84" s="116"/>
    </row>
    <row r="85" spans="2:60" ht="15">
      <c r="B85" s="326">
        <v>82</v>
      </c>
      <c r="C85" s="328">
        <v>542844.00178722397</v>
      </c>
      <c r="D85" s="329">
        <v>520287.17841180175</v>
      </c>
      <c r="G85" s="144"/>
      <c r="H85" s="144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BD85" s="116"/>
      <c r="BE85" s="116"/>
      <c r="BF85" s="116"/>
      <c r="BG85" s="116"/>
      <c r="BH85" s="116"/>
    </row>
    <row r="86" spans="2:60" ht="15">
      <c r="B86" s="327">
        <v>83</v>
      </c>
      <c r="C86" s="330">
        <v>597128.40196594642</v>
      </c>
      <c r="D86" s="331">
        <v>572315.89625298197</v>
      </c>
      <c r="G86" s="144"/>
      <c r="H86" s="144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BD86" s="116"/>
      <c r="BE86" s="116"/>
      <c r="BF86" s="116"/>
      <c r="BG86" s="116"/>
      <c r="BH86" s="116"/>
    </row>
    <row r="87" spans="2:60" ht="15">
      <c r="B87" s="326">
        <v>84</v>
      </c>
      <c r="C87" s="328">
        <v>656841.24216254114</v>
      </c>
      <c r="D87" s="329">
        <v>629547.48587828025</v>
      </c>
      <c r="G87" s="144"/>
      <c r="H87" s="144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BD87" s="116"/>
      <c r="BE87" s="116"/>
      <c r="BF87" s="116"/>
      <c r="BG87" s="116"/>
      <c r="BH87" s="116"/>
    </row>
    <row r="88" spans="2:60" ht="15">
      <c r="B88" s="327">
        <v>85</v>
      </c>
      <c r="C88" s="330">
        <v>722525.36637879536</v>
      </c>
      <c r="D88" s="331">
        <v>692502.23446610838</v>
      </c>
      <c r="G88" s="144"/>
      <c r="H88" s="144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BD88" s="116"/>
      <c r="BE88" s="116"/>
      <c r="BF88" s="116"/>
      <c r="BG88" s="116"/>
      <c r="BH88" s="116"/>
    </row>
    <row r="89" spans="2:60" ht="15">
      <c r="B89" s="326">
        <v>86</v>
      </c>
      <c r="C89" s="328">
        <v>722525.36637879536</v>
      </c>
      <c r="D89" s="329">
        <v>692502.23446610838</v>
      </c>
      <c r="G89" s="144"/>
      <c r="H89" s="144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BD89" s="116"/>
      <c r="BE89" s="116"/>
      <c r="BF89" s="116"/>
      <c r="BG89" s="116"/>
      <c r="BH89" s="116"/>
    </row>
    <row r="90" spans="2:60" ht="15">
      <c r="B90" s="327">
        <v>87</v>
      </c>
      <c r="C90" s="330">
        <v>722525.36637879536</v>
      </c>
      <c r="D90" s="331">
        <v>692502.23446610838</v>
      </c>
      <c r="G90" s="144"/>
      <c r="H90" s="144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BD90" s="116"/>
      <c r="BE90" s="116"/>
      <c r="BF90" s="116"/>
      <c r="BG90" s="116"/>
      <c r="BH90" s="116"/>
    </row>
    <row r="91" spans="2:60" ht="15">
      <c r="B91" s="326">
        <v>88</v>
      </c>
      <c r="C91" s="328">
        <v>722525.36637879536</v>
      </c>
      <c r="D91" s="329">
        <v>692502.23446610838</v>
      </c>
      <c r="G91" s="144"/>
      <c r="H91" s="144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BD91" s="116"/>
      <c r="BE91" s="116"/>
      <c r="BF91" s="116"/>
      <c r="BG91" s="116"/>
      <c r="BH91" s="116"/>
    </row>
    <row r="92" spans="2:60" ht="15">
      <c r="B92" s="327">
        <v>89</v>
      </c>
      <c r="C92" s="330">
        <v>722525.36637879536</v>
      </c>
      <c r="D92" s="331">
        <v>692502.23446610838</v>
      </c>
      <c r="G92" s="144"/>
      <c r="H92" s="144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BD92" s="116"/>
      <c r="BE92" s="116"/>
      <c r="BF92" s="116"/>
      <c r="BG92" s="116"/>
      <c r="BH92" s="116"/>
    </row>
    <row r="93" spans="2:60" ht="15">
      <c r="B93" s="326">
        <v>90</v>
      </c>
      <c r="C93" s="328">
        <v>722525.36637879536</v>
      </c>
      <c r="D93" s="329">
        <v>692502.23446610838</v>
      </c>
      <c r="G93" s="144"/>
      <c r="H93" s="144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BD93" s="116"/>
      <c r="BE93" s="116"/>
      <c r="BF93" s="116"/>
      <c r="BG93" s="116"/>
      <c r="BH93" s="116"/>
    </row>
    <row r="94" spans="2:60" ht="15">
      <c r="B94" s="327">
        <v>91</v>
      </c>
      <c r="C94" s="330">
        <v>722525.36637879536</v>
      </c>
      <c r="D94" s="331">
        <v>692502.23446610838</v>
      </c>
      <c r="G94" s="144"/>
      <c r="H94" s="144"/>
      <c r="I94" s="116"/>
      <c r="J94" s="116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  <c r="AM94" s="116"/>
      <c r="AN94" s="116"/>
      <c r="AO94" s="116"/>
      <c r="AP94" s="116"/>
      <c r="AQ94" s="116"/>
      <c r="AR94" s="116"/>
      <c r="AS94" s="116"/>
      <c r="AT94" s="116"/>
      <c r="AU94" s="116"/>
      <c r="AV94" s="116"/>
      <c r="AW94" s="116"/>
      <c r="BD94" s="116"/>
      <c r="BE94" s="116"/>
      <c r="BF94" s="116"/>
      <c r="BG94" s="116"/>
      <c r="BH94" s="116"/>
    </row>
    <row r="95" spans="2:60" ht="15">
      <c r="B95" s="326">
        <v>92</v>
      </c>
      <c r="C95" s="328">
        <v>722525.36637879536</v>
      </c>
      <c r="D95" s="329">
        <v>692502.23446610838</v>
      </c>
      <c r="G95" s="144"/>
      <c r="H95" s="144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BD95" s="116"/>
      <c r="BE95" s="116"/>
      <c r="BF95" s="116"/>
      <c r="BG95" s="116"/>
      <c r="BH95" s="116"/>
    </row>
    <row r="96" spans="2:60" ht="15">
      <c r="B96" s="327">
        <v>93</v>
      </c>
      <c r="C96" s="330">
        <v>722525.36637879536</v>
      </c>
      <c r="D96" s="331">
        <v>692502.23446610838</v>
      </c>
      <c r="G96" s="144"/>
      <c r="H96" s="144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AW96" s="116"/>
      <c r="BD96" s="116"/>
      <c r="BE96" s="116"/>
      <c r="BF96" s="116"/>
      <c r="BG96" s="116"/>
      <c r="BH96" s="116"/>
    </row>
    <row r="97" spans="2:60" ht="15">
      <c r="B97" s="326">
        <v>94</v>
      </c>
      <c r="C97" s="328">
        <v>722525.36637879536</v>
      </c>
      <c r="D97" s="329">
        <v>692502.23446610838</v>
      </c>
      <c r="G97" s="144"/>
      <c r="H97" s="144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AW97" s="116"/>
      <c r="BD97" s="116"/>
      <c r="BE97" s="116"/>
      <c r="BF97" s="116"/>
      <c r="BG97" s="116"/>
      <c r="BH97" s="116"/>
    </row>
    <row r="98" spans="2:60" ht="15">
      <c r="B98" s="327">
        <v>95</v>
      </c>
      <c r="C98" s="330">
        <v>722525.36637879536</v>
      </c>
      <c r="D98" s="331">
        <v>692502.23446610838</v>
      </c>
      <c r="G98" s="144"/>
      <c r="H98" s="144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AW98" s="116"/>
      <c r="BD98" s="116"/>
      <c r="BE98" s="116"/>
      <c r="BF98" s="116"/>
      <c r="BG98" s="116"/>
      <c r="BH98" s="116"/>
    </row>
    <row r="99" spans="2:60" ht="15">
      <c r="B99" s="326">
        <v>96</v>
      </c>
      <c r="C99" s="328">
        <v>722525.36637879536</v>
      </c>
      <c r="D99" s="329">
        <v>692502.23446610838</v>
      </c>
      <c r="G99" s="144"/>
      <c r="H99" s="144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BD99" s="116"/>
      <c r="BE99" s="116"/>
      <c r="BF99" s="116"/>
      <c r="BG99" s="116"/>
      <c r="BH99" s="116"/>
    </row>
    <row r="100" spans="2:60" ht="15">
      <c r="B100" s="327">
        <v>97</v>
      </c>
      <c r="C100" s="330">
        <v>722525.36637879536</v>
      </c>
      <c r="D100" s="331">
        <v>692502.23446610838</v>
      </c>
      <c r="G100" s="144"/>
      <c r="H100" s="144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  <c r="AM100" s="116"/>
      <c r="AN100" s="116"/>
      <c r="AO100" s="116"/>
      <c r="AP100" s="116"/>
      <c r="AQ100" s="116"/>
      <c r="AR100" s="116"/>
      <c r="AS100" s="116"/>
      <c r="AT100" s="116"/>
      <c r="AU100" s="116"/>
      <c r="AV100" s="116"/>
      <c r="AW100" s="116"/>
      <c r="BD100" s="116"/>
      <c r="BE100" s="116"/>
      <c r="BF100" s="116"/>
      <c r="BG100" s="116"/>
      <c r="BH100" s="116"/>
    </row>
    <row r="101" spans="2:60" ht="15">
      <c r="B101" s="326">
        <v>98</v>
      </c>
      <c r="C101" s="328">
        <v>722525.36637879536</v>
      </c>
      <c r="D101" s="329">
        <v>692502.23446610838</v>
      </c>
      <c r="G101" s="144"/>
      <c r="H101" s="144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AW101" s="116"/>
      <c r="BD101" s="116"/>
      <c r="BE101" s="116"/>
      <c r="BF101" s="116"/>
      <c r="BG101" s="116"/>
      <c r="BH101" s="116"/>
    </row>
    <row r="102" spans="2:60" ht="15">
      <c r="B102" s="327">
        <v>99</v>
      </c>
      <c r="C102" s="330">
        <v>722525.36637879536</v>
      </c>
      <c r="D102" s="331">
        <v>692502.23446610838</v>
      </c>
      <c r="G102" s="144"/>
      <c r="H102" s="144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AW102" s="116"/>
      <c r="BD102" s="116"/>
      <c r="BE102" s="116"/>
      <c r="BF102" s="116"/>
      <c r="BG102" s="116"/>
      <c r="BH102" s="116"/>
    </row>
    <row r="103" spans="2:60" ht="15.75" thickBot="1">
      <c r="B103" s="337">
        <v>100</v>
      </c>
      <c r="C103" s="333">
        <v>722525.36637879536</v>
      </c>
      <c r="D103" s="334">
        <v>692502.23446610838</v>
      </c>
      <c r="G103" s="144"/>
      <c r="H103" s="144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BD103" s="116"/>
      <c r="BE103" s="116"/>
      <c r="BF103" s="116"/>
      <c r="BG103" s="116"/>
      <c r="BH103" s="116"/>
    </row>
    <row r="104" spans="2:60">
      <c r="K104" s="116"/>
      <c r="L104" s="116"/>
      <c r="Q104" s="116"/>
      <c r="R104" s="116"/>
      <c r="S104" s="116"/>
      <c r="U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AW104" s="116"/>
      <c r="BD104" s="116"/>
      <c r="BE104" s="116"/>
      <c r="BF104" s="116"/>
      <c r="BG104" s="116"/>
      <c r="BH104" s="116"/>
    </row>
    <row r="105" spans="2:60">
      <c r="K105" s="116"/>
      <c r="L105" s="116"/>
      <c r="Q105" s="116"/>
      <c r="R105" s="116"/>
      <c r="S105" s="116"/>
      <c r="U105" s="116"/>
      <c r="AC105" s="116"/>
    </row>
    <row r="106" spans="2:60">
      <c r="B106"/>
      <c r="C106"/>
      <c r="D106"/>
      <c r="E106"/>
      <c r="F106"/>
      <c r="G106"/>
      <c r="H106"/>
      <c r="I106"/>
      <c r="K106" s="116"/>
      <c r="L106" s="116"/>
      <c r="Q106" s="116"/>
      <c r="R106" s="116"/>
      <c r="S106" s="116"/>
      <c r="U106" s="116"/>
    </row>
    <row r="107" spans="2:60">
      <c r="B107"/>
      <c r="C107"/>
      <c r="D107"/>
      <c r="E107"/>
      <c r="F107"/>
      <c r="G107"/>
      <c r="H107"/>
      <c r="I107"/>
      <c r="R107" s="116"/>
      <c r="S107" s="116"/>
      <c r="U107" s="116"/>
    </row>
    <row r="108" spans="2:60">
      <c r="B108"/>
      <c r="C108"/>
      <c r="D108"/>
      <c r="E108"/>
      <c r="F108"/>
      <c r="G108"/>
      <c r="H108"/>
      <c r="I108"/>
      <c r="R108" s="116"/>
      <c r="S108" s="116"/>
      <c r="U108" s="116"/>
    </row>
    <row r="109" spans="2:60">
      <c r="B109"/>
      <c r="C109"/>
      <c r="D109"/>
      <c r="E109"/>
      <c r="F109"/>
      <c r="G109"/>
      <c r="H109"/>
      <c r="I109"/>
      <c r="R109" s="116"/>
      <c r="S109" s="116"/>
      <c r="U109" s="116"/>
    </row>
    <row r="110" spans="2:60">
      <c r="B110"/>
      <c r="C110"/>
      <c r="D110"/>
      <c r="E110"/>
      <c r="F110"/>
      <c r="G110"/>
      <c r="H110"/>
      <c r="I110"/>
      <c r="R110" s="116"/>
      <c r="S110" s="116"/>
      <c r="U110" s="116"/>
    </row>
    <row r="111" spans="2:60">
      <c r="B111"/>
      <c r="C111"/>
      <c r="D111"/>
      <c r="E111"/>
      <c r="F111"/>
      <c r="G111"/>
      <c r="H111"/>
      <c r="I111"/>
      <c r="R111" s="116"/>
      <c r="S111" s="116"/>
      <c r="U111" s="116"/>
    </row>
    <row r="112" spans="2:60">
      <c r="B112"/>
      <c r="C112"/>
      <c r="D112"/>
      <c r="E112"/>
      <c r="F112"/>
      <c r="G112"/>
      <c r="H112"/>
      <c r="I112"/>
      <c r="R112" s="116"/>
      <c r="S112" s="116"/>
      <c r="U112" s="116"/>
    </row>
    <row r="113" spans="2:21">
      <c r="B113"/>
      <c r="C113"/>
      <c r="D113"/>
      <c r="E113"/>
      <c r="F113"/>
      <c r="G113"/>
      <c r="H113"/>
      <c r="I113"/>
      <c r="R113" s="116"/>
      <c r="S113" s="116"/>
      <c r="U113" s="116"/>
    </row>
    <row r="114" spans="2:21">
      <c r="B114"/>
      <c r="C114"/>
      <c r="D114"/>
      <c r="E114"/>
      <c r="F114"/>
      <c r="G114"/>
      <c r="H114"/>
      <c r="I114"/>
      <c r="R114" s="116"/>
      <c r="S114" s="116"/>
      <c r="U114" s="116"/>
    </row>
    <row r="115" spans="2:21">
      <c r="B115"/>
      <c r="C115"/>
      <c r="D115"/>
      <c r="E115"/>
      <c r="F115"/>
      <c r="G115"/>
      <c r="H115"/>
      <c r="I115"/>
      <c r="R115" s="116"/>
      <c r="S115" s="116"/>
      <c r="U115" s="116"/>
    </row>
    <row r="116" spans="2:21">
      <c r="B116"/>
      <c r="C116"/>
      <c r="D116"/>
      <c r="E116"/>
      <c r="F116"/>
      <c r="G116"/>
      <c r="H116"/>
      <c r="I116"/>
      <c r="R116" s="116"/>
      <c r="S116" s="116"/>
      <c r="U116" s="116"/>
    </row>
    <row r="117" spans="2:21">
      <c r="B117"/>
      <c r="C117"/>
      <c r="D117"/>
      <c r="E117"/>
      <c r="F117"/>
      <c r="G117"/>
      <c r="H117"/>
      <c r="I117"/>
      <c r="R117" s="116"/>
      <c r="S117" s="116"/>
      <c r="U117" s="116"/>
    </row>
    <row r="118" spans="2:21">
      <c r="B118"/>
      <c r="C118"/>
      <c r="D118"/>
      <c r="E118"/>
      <c r="F118"/>
      <c r="G118"/>
      <c r="H118"/>
      <c r="I118"/>
      <c r="R118" s="116"/>
      <c r="S118" s="116"/>
      <c r="U118" s="116"/>
    </row>
    <row r="119" spans="2:21">
      <c r="B119"/>
      <c r="C119"/>
      <c r="D119"/>
      <c r="E119"/>
      <c r="F119"/>
      <c r="G119"/>
      <c r="H119"/>
      <c r="I119"/>
      <c r="R119" s="116"/>
      <c r="S119" s="116"/>
      <c r="U119" s="116"/>
    </row>
    <row r="120" spans="2:21">
      <c r="B120"/>
      <c r="C120"/>
      <c r="D120"/>
      <c r="E120"/>
      <c r="F120"/>
      <c r="G120"/>
      <c r="H120"/>
      <c r="I120"/>
      <c r="R120" s="116"/>
      <c r="S120" s="116"/>
      <c r="U120" s="116"/>
    </row>
    <row r="121" spans="2:21">
      <c r="B121"/>
      <c r="C121"/>
      <c r="D121"/>
      <c r="E121"/>
      <c r="F121"/>
      <c r="G121"/>
      <c r="H121"/>
      <c r="I121"/>
      <c r="R121" s="116"/>
      <c r="S121" s="116"/>
      <c r="U121" s="116"/>
    </row>
    <row r="122" spans="2:21">
      <c r="B122"/>
      <c r="C122"/>
      <c r="D122"/>
      <c r="E122"/>
      <c r="F122"/>
      <c r="G122"/>
      <c r="H122"/>
      <c r="I122"/>
      <c r="R122" s="116"/>
      <c r="S122" s="116"/>
      <c r="U122" s="116"/>
    </row>
    <row r="123" spans="2:21">
      <c r="B123"/>
      <c r="C123"/>
      <c r="D123"/>
      <c r="E123"/>
      <c r="F123"/>
      <c r="G123"/>
      <c r="H123"/>
      <c r="I123"/>
      <c r="R123" s="116"/>
      <c r="S123" s="116"/>
      <c r="U123" s="116"/>
    </row>
    <row r="124" spans="2:21">
      <c r="B124"/>
      <c r="C124"/>
      <c r="D124"/>
      <c r="E124"/>
      <c r="F124"/>
      <c r="G124"/>
      <c r="H124"/>
      <c r="I124"/>
      <c r="R124" s="116"/>
      <c r="S124" s="116"/>
      <c r="U124" s="116"/>
    </row>
    <row r="125" spans="2:21">
      <c r="B125"/>
      <c r="C125"/>
      <c r="D125"/>
      <c r="E125"/>
      <c r="F125"/>
      <c r="G125"/>
      <c r="H125"/>
      <c r="I125"/>
      <c r="Q125" s="116"/>
      <c r="R125" s="116"/>
      <c r="S125" s="116"/>
      <c r="U125" s="116"/>
    </row>
    <row r="126" spans="2:21">
      <c r="B126"/>
      <c r="C126"/>
      <c r="D126"/>
      <c r="E126"/>
      <c r="F126"/>
      <c r="G126"/>
      <c r="H126"/>
      <c r="I126"/>
      <c r="Q126" s="116"/>
      <c r="R126" s="116"/>
      <c r="S126" s="116"/>
      <c r="U126" s="116"/>
    </row>
    <row r="127" spans="2:21">
      <c r="B127"/>
      <c r="C127"/>
      <c r="D127"/>
      <c r="E127"/>
      <c r="F127"/>
      <c r="G127"/>
      <c r="H127"/>
      <c r="I127"/>
      <c r="Q127" s="116"/>
      <c r="R127" s="116"/>
      <c r="S127" s="116"/>
      <c r="U127" s="116"/>
    </row>
    <row r="128" spans="2:21">
      <c r="B128"/>
      <c r="C128"/>
      <c r="D128"/>
      <c r="E128"/>
      <c r="F128"/>
      <c r="G128"/>
      <c r="H128"/>
      <c r="I128"/>
      <c r="Q128" s="116"/>
      <c r="R128" s="116"/>
      <c r="S128" s="116"/>
      <c r="U128" s="116"/>
    </row>
    <row r="129" spans="2:21">
      <c r="B129"/>
      <c r="C129"/>
      <c r="D129"/>
      <c r="E129"/>
      <c r="F129"/>
      <c r="G129"/>
      <c r="H129"/>
      <c r="I129"/>
      <c r="Q129" s="116"/>
      <c r="R129" s="116"/>
      <c r="S129" s="116"/>
      <c r="U129" s="116"/>
    </row>
    <row r="130" spans="2:21">
      <c r="B130"/>
      <c r="C130"/>
      <c r="D130"/>
      <c r="E130"/>
      <c r="F130"/>
      <c r="G130"/>
      <c r="H130"/>
      <c r="I130"/>
      <c r="Q130" s="116"/>
      <c r="R130" s="116"/>
      <c r="S130" s="116"/>
      <c r="U130" s="116"/>
    </row>
    <row r="131" spans="2:21">
      <c r="B131"/>
      <c r="C131"/>
      <c r="D131"/>
      <c r="E131"/>
      <c r="F131"/>
      <c r="G131"/>
      <c r="H131"/>
      <c r="I131"/>
      <c r="Q131" s="116"/>
      <c r="R131" s="116"/>
      <c r="S131" s="116"/>
      <c r="U131" s="116"/>
    </row>
    <row r="132" spans="2:21">
      <c r="B132"/>
      <c r="C132"/>
      <c r="D132"/>
      <c r="E132"/>
      <c r="F132"/>
      <c r="G132"/>
      <c r="H132"/>
      <c r="I132"/>
      <c r="Q132" s="116"/>
      <c r="R132" s="116"/>
      <c r="S132" s="116"/>
      <c r="U132" s="116"/>
    </row>
    <row r="133" spans="2:21">
      <c r="B133"/>
      <c r="C133"/>
      <c r="D133"/>
      <c r="E133"/>
      <c r="F133"/>
      <c r="G133"/>
      <c r="H133"/>
      <c r="I133"/>
      <c r="Q133" s="116"/>
      <c r="R133" s="116"/>
      <c r="S133" s="116"/>
      <c r="U133" s="116"/>
    </row>
    <row r="134" spans="2:21">
      <c r="B134"/>
      <c r="C134"/>
      <c r="D134"/>
      <c r="E134"/>
      <c r="F134"/>
      <c r="G134"/>
      <c r="H134"/>
      <c r="I134"/>
      <c r="Q134" s="116"/>
      <c r="R134" s="116"/>
      <c r="S134" s="116"/>
      <c r="U134" s="116"/>
    </row>
    <row r="135" spans="2:21">
      <c r="B135"/>
      <c r="C135"/>
      <c r="D135"/>
      <c r="E135"/>
      <c r="F135"/>
      <c r="G135"/>
      <c r="H135"/>
      <c r="I135"/>
      <c r="Q135" s="116"/>
      <c r="R135" s="116"/>
      <c r="S135" s="116"/>
      <c r="U135" s="116"/>
    </row>
    <row r="136" spans="2:21">
      <c r="B136"/>
      <c r="C136"/>
      <c r="D136"/>
      <c r="E136"/>
      <c r="F136"/>
      <c r="G136"/>
      <c r="H136"/>
      <c r="I136"/>
      <c r="Q136" s="116"/>
      <c r="R136" s="116"/>
      <c r="S136" s="116"/>
      <c r="U136" s="116"/>
    </row>
    <row r="137" spans="2:21">
      <c r="B137"/>
      <c r="C137"/>
      <c r="D137"/>
      <c r="E137"/>
      <c r="F137"/>
      <c r="G137"/>
      <c r="H137"/>
      <c r="I137"/>
      <c r="Q137" s="116"/>
      <c r="R137" s="116"/>
      <c r="S137" s="116"/>
      <c r="U137" s="116"/>
    </row>
    <row r="138" spans="2:21">
      <c r="B138"/>
      <c r="C138"/>
      <c r="D138"/>
      <c r="E138"/>
      <c r="F138"/>
      <c r="G138"/>
      <c r="H138"/>
      <c r="I138"/>
      <c r="Q138" s="116"/>
      <c r="R138" s="116"/>
      <c r="S138" s="116"/>
      <c r="U138" s="116"/>
    </row>
    <row r="139" spans="2:21">
      <c r="B139"/>
      <c r="C139"/>
      <c r="D139"/>
      <c r="E139"/>
      <c r="F139"/>
      <c r="G139"/>
      <c r="H139"/>
      <c r="I139"/>
      <c r="Q139" s="116"/>
      <c r="R139" s="116"/>
      <c r="S139" s="116"/>
      <c r="U139" s="116"/>
    </row>
    <row r="140" spans="2:21">
      <c r="B140"/>
      <c r="C140"/>
      <c r="D140"/>
      <c r="E140"/>
      <c r="F140"/>
      <c r="G140"/>
      <c r="H140"/>
      <c r="I140"/>
      <c r="Q140" s="116"/>
      <c r="R140" s="116"/>
      <c r="S140" s="116"/>
      <c r="U140" s="116"/>
    </row>
    <row r="141" spans="2:21">
      <c r="B141"/>
      <c r="C141"/>
      <c r="D141"/>
      <c r="E141"/>
      <c r="F141"/>
      <c r="G141"/>
      <c r="H141"/>
      <c r="I141"/>
      <c r="Q141" s="116"/>
      <c r="R141" s="116"/>
      <c r="S141" s="116"/>
      <c r="U141" s="116"/>
    </row>
    <row r="142" spans="2:21">
      <c r="B142"/>
      <c r="C142"/>
      <c r="D142"/>
      <c r="E142"/>
      <c r="F142"/>
      <c r="G142"/>
      <c r="H142"/>
      <c r="I142"/>
      <c r="Q142" s="116"/>
      <c r="R142" s="116"/>
      <c r="S142" s="116"/>
      <c r="U142" s="116"/>
    </row>
    <row r="143" spans="2:21">
      <c r="B143"/>
      <c r="C143"/>
      <c r="D143"/>
      <c r="E143"/>
      <c r="F143"/>
      <c r="G143"/>
      <c r="H143"/>
      <c r="I143"/>
      <c r="Q143" s="116"/>
      <c r="R143" s="116"/>
      <c r="S143" s="116"/>
      <c r="U143" s="116"/>
    </row>
    <row r="144" spans="2:21">
      <c r="B144"/>
      <c r="C144"/>
      <c r="D144"/>
      <c r="E144"/>
      <c r="F144"/>
      <c r="G144"/>
      <c r="H144"/>
      <c r="I144"/>
      <c r="Q144" s="116"/>
      <c r="R144" s="116"/>
      <c r="S144" s="116"/>
      <c r="U144" s="116"/>
    </row>
    <row r="145" spans="2:21">
      <c r="B145"/>
      <c r="C145"/>
      <c r="D145"/>
      <c r="E145"/>
      <c r="F145"/>
      <c r="G145"/>
      <c r="H145"/>
      <c r="I145"/>
      <c r="Q145" s="116"/>
      <c r="R145" s="116"/>
      <c r="S145" s="116"/>
      <c r="U145" s="116"/>
    </row>
    <row r="146" spans="2:21">
      <c r="B146"/>
      <c r="C146"/>
      <c r="D146"/>
      <c r="E146"/>
      <c r="F146"/>
      <c r="G146"/>
      <c r="H146"/>
      <c r="I146"/>
      <c r="Q146" s="116"/>
      <c r="R146" s="116"/>
      <c r="S146" s="116"/>
      <c r="U146" s="116"/>
    </row>
    <row r="147" spans="2:21">
      <c r="B147"/>
      <c r="C147"/>
      <c r="D147"/>
      <c r="E147"/>
      <c r="F147"/>
      <c r="G147"/>
      <c r="H147"/>
      <c r="I147"/>
      <c r="Q147" s="116"/>
      <c r="R147" s="116"/>
      <c r="S147" s="116"/>
      <c r="U147" s="116"/>
    </row>
    <row r="148" spans="2:21">
      <c r="B148"/>
      <c r="C148"/>
      <c r="D148"/>
      <c r="E148"/>
      <c r="F148"/>
      <c r="G148"/>
      <c r="H148"/>
      <c r="I148"/>
      <c r="Q148" s="116"/>
      <c r="R148" s="116"/>
      <c r="S148" s="116"/>
      <c r="U148" s="116"/>
    </row>
    <row r="149" spans="2:21">
      <c r="B149"/>
      <c r="C149"/>
      <c r="D149"/>
      <c r="E149"/>
      <c r="F149"/>
      <c r="G149"/>
      <c r="H149"/>
      <c r="I149"/>
      <c r="Q149" s="116"/>
      <c r="R149" s="116"/>
      <c r="S149" s="116"/>
      <c r="U149" s="116"/>
    </row>
    <row r="150" spans="2:21">
      <c r="B150"/>
      <c r="C150"/>
      <c r="D150"/>
      <c r="E150"/>
      <c r="F150"/>
      <c r="G150"/>
      <c r="H150"/>
      <c r="I150"/>
      <c r="Q150" s="116"/>
      <c r="R150" s="116"/>
      <c r="S150" s="116"/>
      <c r="U150" s="116"/>
    </row>
    <row r="151" spans="2:21">
      <c r="B151"/>
      <c r="C151"/>
      <c r="D151"/>
      <c r="E151"/>
      <c r="F151"/>
      <c r="G151"/>
      <c r="H151"/>
      <c r="I151"/>
      <c r="Q151" s="116"/>
      <c r="R151" s="116"/>
      <c r="S151" s="116"/>
      <c r="U151" s="116"/>
    </row>
    <row r="152" spans="2:21">
      <c r="B152"/>
      <c r="C152"/>
      <c r="D152"/>
      <c r="E152"/>
      <c r="F152"/>
      <c r="G152"/>
      <c r="H152"/>
      <c r="I152"/>
      <c r="Q152" s="116"/>
      <c r="R152" s="116"/>
      <c r="S152" s="116"/>
      <c r="U152" s="116"/>
    </row>
    <row r="153" spans="2:21">
      <c r="B153"/>
      <c r="C153"/>
      <c r="D153"/>
      <c r="E153"/>
      <c r="F153"/>
      <c r="G153"/>
      <c r="H153"/>
      <c r="I153"/>
      <c r="Q153" s="116"/>
      <c r="R153" s="116"/>
      <c r="S153" s="116"/>
      <c r="U153" s="116"/>
    </row>
    <row r="154" spans="2:21">
      <c r="B154"/>
      <c r="C154"/>
      <c r="D154"/>
      <c r="E154"/>
      <c r="F154"/>
      <c r="G154"/>
      <c r="H154"/>
      <c r="I154"/>
      <c r="Q154" s="116"/>
      <c r="R154" s="116"/>
      <c r="S154" s="116"/>
      <c r="U154" s="116"/>
    </row>
    <row r="155" spans="2:21">
      <c r="B155"/>
      <c r="C155"/>
      <c r="D155"/>
      <c r="E155"/>
      <c r="F155"/>
      <c r="G155"/>
      <c r="H155"/>
      <c r="I155"/>
      <c r="Q155" s="116"/>
      <c r="R155" s="116"/>
      <c r="S155" s="116"/>
      <c r="U155" s="116"/>
    </row>
    <row r="156" spans="2:21">
      <c r="B156"/>
      <c r="C156"/>
      <c r="D156"/>
      <c r="E156"/>
      <c r="F156"/>
      <c r="G156"/>
      <c r="H156"/>
      <c r="I156"/>
      <c r="Q156" s="116"/>
      <c r="R156" s="116"/>
      <c r="S156" s="116"/>
      <c r="U156" s="116"/>
    </row>
    <row r="157" spans="2:21">
      <c r="B157"/>
      <c r="C157"/>
      <c r="D157"/>
      <c r="E157"/>
      <c r="F157"/>
      <c r="G157"/>
      <c r="H157"/>
      <c r="I157"/>
      <c r="Q157" s="116"/>
      <c r="R157" s="116"/>
      <c r="S157" s="116"/>
      <c r="U157" s="116"/>
    </row>
    <row r="158" spans="2:21">
      <c r="B158"/>
      <c r="C158"/>
      <c r="D158"/>
      <c r="E158"/>
      <c r="F158"/>
      <c r="G158"/>
      <c r="H158"/>
      <c r="I158"/>
      <c r="Q158" s="116"/>
      <c r="R158" s="116"/>
      <c r="S158" s="116"/>
      <c r="U158" s="116"/>
    </row>
    <row r="159" spans="2:21">
      <c r="B159"/>
      <c r="C159"/>
      <c r="D159"/>
      <c r="E159"/>
      <c r="F159"/>
      <c r="G159"/>
      <c r="H159"/>
      <c r="I159"/>
      <c r="Q159" s="116"/>
      <c r="R159" s="116"/>
      <c r="S159" s="116"/>
      <c r="U159" s="116"/>
    </row>
    <row r="160" spans="2:21">
      <c r="B160"/>
      <c r="C160"/>
      <c r="D160"/>
      <c r="E160"/>
      <c r="F160"/>
      <c r="G160"/>
      <c r="H160"/>
      <c r="I160"/>
      <c r="Q160" s="116"/>
      <c r="R160" s="116"/>
      <c r="S160" s="116"/>
      <c r="U160" s="116"/>
    </row>
    <row r="161" spans="2:21">
      <c r="B161"/>
      <c r="C161"/>
      <c r="D161"/>
      <c r="E161"/>
      <c r="F161"/>
      <c r="G161"/>
      <c r="H161"/>
      <c r="I161"/>
      <c r="Q161" s="116"/>
      <c r="R161" s="116"/>
      <c r="S161" s="116"/>
      <c r="U161" s="116"/>
    </row>
    <row r="162" spans="2:21">
      <c r="B162"/>
      <c r="C162"/>
      <c r="D162"/>
      <c r="E162"/>
      <c r="F162"/>
      <c r="G162"/>
      <c r="H162"/>
      <c r="I162"/>
      <c r="Q162" s="116"/>
      <c r="R162" s="116"/>
      <c r="S162" s="116"/>
      <c r="U162" s="116"/>
    </row>
    <row r="163" spans="2:21">
      <c r="B163"/>
      <c r="C163"/>
      <c r="D163"/>
      <c r="E163"/>
      <c r="F163"/>
      <c r="G163"/>
      <c r="H163"/>
      <c r="I163"/>
      <c r="Q163" s="116"/>
      <c r="R163" s="116"/>
      <c r="S163" s="116"/>
      <c r="U163" s="116"/>
    </row>
    <row r="164" spans="2:21">
      <c r="B164"/>
      <c r="C164"/>
      <c r="D164"/>
      <c r="E164"/>
      <c r="F164"/>
      <c r="G164"/>
      <c r="H164"/>
      <c r="I164"/>
      <c r="Q164" s="116"/>
      <c r="R164" s="116"/>
      <c r="S164" s="116"/>
      <c r="U164" s="116"/>
    </row>
    <row r="165" spans="2:21">
      <c r="B165"/>
      <c r="C165"/>
      <c r="D165"/>
      <c r="E165"/>
      <c r="F165"/>
      <c r="G165"/>
      <c r="H165"/>
      <c r="I165"/>
      <c r="Q165" s="116"/>
      <c r="R165" s="116"/>
      <c r="S165" s="116"/>
      <c r="U165" s="116"/>
    </row>
    <row r="166" spans="2:21">
      <c r="B166"/>
      <c r="C166"/>
      <c r="D166"/>
      <c r="E166"/>
      <c r="F166"/>
      <c r="G166"/>
      <c r="H166"/>
      <c r="I166"/>
      <c r="Q166" s="116"/>
      <c r="R166" s="116"/>
      <c r="S166" s="116"/>
      <c r="U166" s="116"/>
    </row>
    <row r="167" spans="2:21">
      <c r="B167"/>
      <c r="C167"/>
      <c r="D167"/>
      <c r="E167"/>
      <c r="F167"/>
      <c r="G167"/>
      <c r="H167"/>
      <c r="I167"/>
      <c r="Q167" s="116"/>
      <c r="R167" s="116"/>
      <c r="S167" s="116"/>
      <c r="U167" s="116"/>
    </row>
    <row r="168" spans="2:21">
      <c r="B168"/>
      <c r="C168"/>
      <c r="D168"/>
      <c r="E168"/>
      <c r="F168"/>
      <c r="G168"/>
      <c r="H168"/>
      <c r="I168"/>
      <c r="Q168" s="116"/>
      <c r="R168" s="116"/>
      <c r="S168" s="116"/>
      <c r="U168" s="116"/>
    </row>
    <row r="169" spans="2:21">
      <c r="B169"/>
      <c r="C169"/>
      <c r="D169"/>
      <c r="E169"/>
      <c r="F169"/>
      <c r="G169"/>
      <c r="H169"/>
      <c r="I169"/>
      <c r="Q169" s="116"/>
      <c r="R169" s="116"/>
      <c r="S169" s="116"/>
      <c r="U169" s="116"/>
    </row>
    <row r="170" spans="2:21">
      <c r="B170"/>
      <c r="C170"/>
      <c r="D170"/>
      <c r="E170"/>
      <c r="F170"/>
      <c r="G170"/>
      <c r="H170"/>
      <c r="I170"/>
      <c r="Q170" s="116"/>
      <c r="R170" s="116"/>
      <c r="S170" s="116"/>
      <c r="U170" s="116"/>
    </row>
    <row r="171" spans="2:21">
      <c r="B171"/>
      <c r="C171"/>
      <c r="D171"/>
      <c r="E171"/>
      <c r="F171"/>
      <c r="G171"/>
      <c r="H171"/>
      <c r="I171"/>
      <c r="Q171" s="116"/>
      <c r="R171" s="116"/>
      <c r="S171" s="116"/>
      <c r="U171" s="116"/>
    </row>
    <row r="172" spans="2:21">
      <c r="B172"/>
      <c r="C172"/>
      <c r="D172"/>
      <c r="E172"/>
      <c r="F172"/>
      <c r="G172"/>
      <c r="H172"/>
      <c r="I172"/>
      <c r="Q172" s="116"/>
      <c r="R172" s="116"/>
      <c r="S172" s="116"/>
      <c r="U172" s="116"/>
    </row>
    <row r="173" spans="2:21">
      <c r="B173"/>
      <c r="C173"/>
      <c r="D173"/>
      <c r="E173"/>
      <c r="F173"/>
      <c r="G173"/>
      <c r="H173"/>
      <c r="I173"/>
      <c r="Q173" s="116"/>
      <c r="R173" s="116"/>
      <c r="S173" s="116"/>
      <c r="U173" s="116"/>
    </row>
    <row r="174" spans="2:21">
      <c r="B174"/>
      <c r="C174"/>
      <c r="D174"/>
      <c r="E174"/>
      <c r="F174"/>
      <c r="G174"/>
      <c r="H174"/>
      <c r="I174"/>
      <c r="Q174" s="116"/>
      <c r="R174" s="116"/>
      <c r="S174" s="116"/>
      <c r="U174" s="116"/>
    </row>
    <row r="175" spans="2:21">
      <c r="B175"/>
      <c r="C175"/>
      <c r="D175"/>
      <c r="E175"/>
      <c r="F175"/>
      <c r="G175"/>
      <c r="H175"/>
      <c r="I175"/>
      <c r="Q175" s="116"/>
      <c r="R175" s="116"/>
      <c r="S175" s="116"/>
      <c r="U175" s="116"/>
    </row>
    <row r="176" spans="2:21">
      <c r="B176"/>
      <c r="C176"/>
      <c r="D176"/>
      <c r="E176"/>
      <c r="F176"/>
      <c r="G176"/>
      <c r="H176"/>
      <c r="I176"/>
      <c r="Q176" s="116"/>
      <c r="R176" s="116"/>
      <c r="S176" s="116"/>
      <c r="U176" s="116"/>
    </row>
    <row r="177" spans="2:21">
      <c r="B177"/>
      <c r="C177"/>
      <c r="D177"/>
      <c r="E177"/>
      <c r="F177"/>
      <c r="G177"/>
      <c r="H177"/>
      <c r="I177"/>
      <c r="Q177" s="116"/>
      <c r="R177" s="116"/>
      <c r="S177" s="116"/>
      <c r="U177" s="116"/>
    </row>
    <row r="178" spans="2:21">
      <c r="B178"/>
      <c r="C178"/>
      <c r="D178"/>
      <c r="E178"/>
      <c r="F178"/>
      <c r="G178"/>
      <c r="H178"/>
      <c r="I178"/>
      <c r="Q178" s="116"/>
      <c r="R178" s="116"/>
      <c r="S178" s="116"/>
      <c r="U178" s="116"/>
    </row>
    <row r="179" spans="2:21">
      <c r="B179"/>
      <c r="C179"/>
      <c r="D179"/>
      <c r="E179"/>
      <c r="F179"/>
      <c r="G179"/>
      <c r="H179"/>
      <c r="I179"/>
      <c r="Q179" s="116"/>
      <c r="R179" s="116"/>
      <c r="S179" s="116"/>
      <c r="U179" s="116"/>
    </row>
    <row r="180" spans="2:21">
      <c r="B180"/>
      <c r="C180"/>
      <c r="D180"/>
      <c r="E180"/>
      <c r="F180"/>
      <c r="G180"/>
      <c r="H180"/>
      <c r="I180"/>
      <c r="Q180" s="116"/>
      <c r="R180" s="116"/>
      <c r="S180" s="116"/>
      <c r="U180" s="116"/>
    </row>
    <row r="181" spans="2:21">
      <c r="B181"/>
      <c r="C181"/>
      <c r="D181"/>
      <c r="E181"/>
      <c r="F181"/>
      <c r="G181"/>
      <c r="H181"/>
      <c r="I181"/>
      <c r="Q181" s="116"/>
      <c r="R181" s="116"/>
      <c r="S181" s="116"/>
      <c r="U181" s="116"/>
    </row>
    <row r="182" spans="2:21">
      <c r="B182"/>
      <c r="C182"/>
      <c r="D182"/>
      <c r="E182"/>
      <c r="F182"/>
      <c r="G182"/>
      <c r="H182"/>
      <c r="I182"/>
      <c r="Q182" s="116"/>
      <c r="R182" s="116"/>
      <c r="S182" s="116"/>
      <c r="U182" s="116"/>
    </row>
    <row r="183" spans="2:21">
      <c r="B183"/>
      <c r="C183"/>
      <c r="D183"/>
      <c r="E183"/>
      <c r="F183"/>
      <c r="G183"/>
      <c r="H183"/>
      <c r="I183"/>
      <c r="Q183" s="116"/>
      <c r="R183" s="116"/>
      <c r="S183" s="116"/>
      <c r="U183" s="116"/>
    </row>
    <row r="184" spans="2:21">
      <c r="B184"/>
      <c r="C184"/>
      <c r="D184"/>
      <c r="E184"/>
      <c r="F184"/>
      <c r="G184"/>
      <c r="H184"/>
      <c r="I184"/>
      <c r="Q184" s="116"/>
      <c r="R184" s="116"/>
      <c r="S184" s="116"/>
      <c r="U184" s="116"/>
    </row>
    <row r="185" spans="2:21">
      <c r="B185"/>
      <c r="C185"/>
      <c r="D185"/>
      <c r="E185"/>
      <c r="F185"/>
      <c r="G185"/>
      <c r="H185"/>
      <c r="I185"/>
      <c r="Q185" s="116"/>
      <c r="R185" s="116"/>
      <c r="S185" s="116"/>
      <c r="U185" s="116"/>
    </row>
    <row r="186" spans="2:21">
      <c r="B186"/>
      <c r="C186"/>
      <c r="D186"/>
      <c r="E186"/>
      <c r="F186"/>
      <c r="G186"/>
      <c r="H186"/>
      <c r="I186"/>
      <c r="Q186" s="116"/>
      <c r="R186" s="116"/>
      <c r="S186" s="116"/>
      <c r="U186" s="116"/>
    </row>
    <row r="187" spans="2:21">
      <c r="B187"/>
      <c r="C187"/>
      <c r="D187"/>
      <c r="E187"/>
      <c r="F187"/>
      <c r="G187"/>
      <c r="H187"/>
      <c r="I187"/>
      <c r="Q187" s="116"/>
      <c r="R187" s="116"/>
      <c r="S187" s="116"/>
      <c r="U187" s="116"/>
    </row>
    <row r="188" spans="2:21">
      <c r="B188"/>
      <c r="C188"/>
      <c r="D188"/>
      <c r="E188"/>
      <c r="F188"/>
      <c r="G188"/>
      <c r="H188"/>
      <c r="I188"/>
      <c r="Q188" s="116"/>
      <c r="R188" s="116"/>
      <c r="S188" s="116"/>
      <c r="U188" s="116"/>
    </row>
    <row r="189" spans="2:21">
      <c r="B189"/>
      <c r="C189"/>
      <c r="D189"/>
      <c r="E189"/>
      <c r="F189"/>
      <c r="G189"/>
      <c r="H189"/>
      <c r="I189"/>
      <c r="Q189" s="116"/>
      <c r="R189" s="116"/>
      <c r="S189" s="116"/>
      <c r="U189" s="116"/>
    </row>
    <row r="190" spans="2:21">
      <c r="B190"/>
      <c r="C190"/>
      <c r="D190"/>
      <c r="E190"/>
      <c r="F190"/>
      <c r="G190"/>
      <c r="H190"/>
      <c r="I190"/>
      <c r="Q190" s="116"/>
      <c r="R190" s="116"/>
      <c r="S190" s="116"/>
      <c r="U190" s="116"/>
    </row>
    <row r="191" spans="2:21">
      <c r="B191"/>
      <c r="C191"/>
      <c r="D191"/>
      <c r="E191"/>
      <c r="F191"/>
      <c r="G191"/>
      <c r="H191"/>
      <c r="I191"/>
      <c r="Q191" s="116"/>
      <c r="R191" s="116"/>
      <c r="S191" s="116"/>
      <c r="U191" s="116"/>
    </row>
    <row r="192" spans="2:21">
      <c r="B192"/>
      <c r="C192"/>
      <c r="D192"/>
      <c r="E192"/>
      <c r="F192"/>
      <c r="G192"/>
      <c r="H192"/>
      <c r="I192"/>
      <c r="Q192" s="116"/>
      <c r="R192" s="116"/>
      <c r="S192" s="116"/>
      <c r="U192" s="116"/>
    </row>
    <row r="193" spans="2:21">
      <c r="B193"/>
      <c r="C193"/>
      <c r="D193"/>
      <c r="E193"/>
      <c r="F193"/>
      <c r="G193"/>
      <c r="H193"/>
      <c r="I193"/>
      <c r="Q193" s="116"/>
      <c r="R193" s="116"/>
      <c r="S193" s="116"/>
      <c r="U193" s="116"/>
    </row>
    <row r="194" spans="2:21">
      <c r="B194"/>
      <c r="C194"/>
      <c r="D194"/>
      <c r="E194"/>
      <c r="F194"/>
      <c r="G194"/>
      <c r="H194"/>
      <c r="I194"/>
      <c r="Q194" s="116"/>
      <c r="R194" s="116"/>
      <c r="S194" s="116"/>
      <c r="U194" s="116"/>
    </row>
    <row r="195" spans="2:21">
      <c r="B195"/>
      <c r="C195"/>
      <c r="D195"/>
      <c r="E195"/>
      <c r="F195"/>
      <c r="G195"/>
      <c r="H195"/>
      <c r="I195"/>
      <c r="Q195" s="116"/>
      <c r="R195" s="116"/>
      <c r="S195" s="116"/>
      <c r="U195" s="116"/>
    </row>
    <row r="196" spans="2:21">
      <c r="B196"/>
      <c r="C196"/>
      <c r="D196"/>
      <c r="E196"/>
      <c r="F196"/>
      <c r="G196"/>
      <c r="H196"/>
      <c r="I196"/>
      <c r="Q196" s="116"/>
      <c r="R196" s="116"/>
      <c r="S196" s="116"/>
      <c r="U196" s="116"/>
    </row>
    <row r="197" spans="2:21">
      <c r="B197"/>
      <c r="C197"/>
      <c r="D197"/>
      <c r="E197"/>
      <c r="F197"/>
      <c r="G197"/>
      <c r="H197"/>
      <c r="I197"/>
      <c r="Q197" s="116"/>
      <c r="R197" s="116"/>
      <c r="S197" s="116"/>
      <c r="U197" s="116"/>
    </row>
    <row r="198" spans="2:21">
      <c r="B198"/>
      <c r="C198"/>
      <c r="D198"/>
      <c r="E198"/>
      <c r="F198"/>
      <c r="G198"/>
      <c r="H198"/>
      <c r="I198"/>
      <c r="Q198" s="116"/>
      <c r="R198" s="116"/>
      <c r="S198" s="116"/>
      <c r="U198" s="116"/>
    </row>
    <row r="199" spans="2:21">
      <c r="B199"/>
      <c r="C199"/>
      <c r="D199"/>
      <c r="E199"/>
      <c r="F199"/>
      <c r="G199"/>
      <c r="H199"/>
      <c r="I199"/>
      <c r="Q199" s="116"/>
      <c r="R199" s="116"/>
      <c r="S199" s="116"/>
      <c r="U199" s="116"/>
    </row>
    <row r="200" spans="2:21">
      <c r="B200"/>
      <c r="C200"/>
      <c r="D200"/>
      <c r="E200"/>
      <c r="F200"/>
      <c r="G200"/>
      <c r="H200"/>
      <c r="I200"/>
      <c r="Q200" s="116"/>
      <c r="R200" s="116"/>
      <c r="S200" s="116"/>
      <c r="U200" s="116"/>
    </row>
    <row r="201" spans="2:21">
      <c r="B201"/>
      <c r="C201"/>
      <c r="D201"/>
      <c r="E201"/>
      <c r="F201"/>
      <c r="G201"/>
      <c r="H201"/>
      <c r="I201"/>
      <c r="Q201" s="116"/>
      <c r="R201" s="116"/>
      <c r="S201" s="116"/>
      <c r="U201" s="116"/>
    </row>
    <row r="202" spans="2:21">
      <c r="B202"/>
      <c r="C202"/>
      <c r="D202"/>
      <c r="E202"/>
      <c r="F202"/>
      <c r="G202"/>
      <c r="H202"/>
      <c r="I202"/>
      <c r="Q202" s="116"/>
      <c r="R202" s="116"/>
      <c r="S202" s="116"/>
      <c r="U202" s="116"/>
    </row>
    <row r="203" spans="2:21">
      <c r="B203"/>
      <c r="C203"/>
      <c r="D203"/>
      <c r="E203"/>
      <c r="F203"/>
      <c r="G203"/>
      <c r="H203"/>
      <c r="I203"/>
      <c r="Q203" s="116"/>
      <c r="R203" s="116"/>
      <c r="S203" s="116"/>
      <c r="U203" s="116"/>
    </row>
    <row r="204" spans="2:21">
      <c r="B204"/>
      <c r="C204"/>
      <c r="D204"/>
      <c r="E204"/>
      <c r="F204"/>
      <c r="G204"/>
      <c r="H204"/>
      <c r="I204"/>
      <c r="Q204" s="116"/>
      <c r="R204" s="116"/>
      <c r="S204" s="116"/>
      <c r="U204" s="116"/>
    </row>
    <row r="205" spans="2:21">
      <c r="B205"/>
      <c r="C205"/>
      <c r="D205"/>
      <c r="E205"/>
      <c r="F205"/>
      <c r="G205"/>
      <c r="H205"/>
      <c r="I205"/>
      <c r="Q205" s="116"/>
      <c r="R205" s="116"/>
      <c r="S205" s="116"/>
      <c r="U205" s="116"/>
    </row>
    <row r="206" spans="2:21">
      <c r="B206"/>
      <c r="C206"/>
      <c r="D206"/>
      <c r="E206"/>
      <c r="F206"/>
      <c r="G206"/>
      <c r="H206"/>
      <c r="I206"/>
      <c r="Q206" s="116"/>
      <c r="R206" s="116"/>
      <c r="S206" s="116"/>
      <c r="U206" s="116"/>
    </row>
    <row r="207" spans="2:21">
      <c r="B207"/>
      <c r="C207"/>
      <c r="D207"/>
      <c r="E207"/>
      <c r="F207"/>
      <c r="G207"/>
      <c r="H207"/>
      <c r="I207"/>
      <c r="Q207" s="116"/>
      <c r="R207" s="116"/>
      <c r="S207" s="116"/>
      <c r="U207" s="116"/>
    </row>
    <row r="208" spans="2:21">
      <c r="Q208" s="116"/>
      <c r="R208" s="116"/>
      <c r="S208" s="116"/>
      <c r="U208" s="116"/>
    </row>
    <row r="209" spans="17:21">
      <c r="Q209" s="116"/>
      <c r="R209" s="116"/>
      <c r="S209" s="116"/>
      <c r="U209" s="116"/>
    </row>
    <row r="210" spans="17:21">
      <c r="Q210" s="116"/>
      <c r="R210" s="116"/>
      <c r="S210" s="116"/>
      <c r="U210" s="116"/>
    </row>
    <row r="211" spans="17:21">
      <c r="Q211" s="116"/>
      <c r="R211" s="116"/>
      <c r="S211" s="116"/>
      <c r="U211" s="116"/>
    </row>
    <row r="212" spans="17:21">
      <c r="Q212" s="116"/>
      <c r="R212" s="116"/>
      <c r="S212" s="116"/>
      <c r="U212" s="116"/>
    </row>
    <row r="213" spans="17:21">
      <c r="Q213" s="116"/>
      <c r="R213" s="116"/>
      <c r="S213" s="116"/>
      <c r="U213" s="116"/>
    </row>
    <row r="214" spans="17:21">
      <c r="Q214" s="116"/>
      <c r="R214" s="116"/>
      <c r="S214" s="116"/>
      <c r="U214" s="116"/>
    </row>
    <row r="215" spans="17:21">
      <c r="Q215" s="116"/>
      <c r="R215" s="116"/>
      <c r="S215" s="116"/>
      <c r="U215" s="116"/>
    </row>
    <row r="216" spans="17:21">
      <c r="Q216" s="116"/>
      <c r="R216" s="116"/>
      <c r="S216" s="116"/>
      <c r="U216" s="116"/>
    </row>
    <row r="217" spans="17:21">
      <c r="Q217" s="116"/>
      <c r="R217" s="116"/>
      <c r="S217" s="116"/>
      <c r="U217" s="116"/>
    </row>
    <row r="218" spans="17:21">
      <c r="Q218" s="116"/>
      <c r="R218" s="116"/>
      <c r="S218" s="116"/>
      <c r="U218" s="116"/>
    </row>
    <row r="219" spans="17:21">
      <c r="Q219" s="116"/>
      <c r="R219" s="116"/>
      <c r="S219" s="116"/>
      <c r="U219" s="116"/>
    </row>
    <row r="220" spans="17:21">
      <c r="Q220" s="116"/>
      <c r="R220" s="116"/>
      <c r="S220" s="116"/>
      <c r="U220" s="116"/>
    </row>
    <row r="221" spans="17:21">
      <c r="Q221" s="116"/>
      <c r="R221" s="116"/>
      <c r="S221" s="116"/>
      <c r="U221" s="116"/>
    </row>
    <row r="222" spans="17:21">
      <c r="Q222" s="116"/>
      <c r="R222" s="116"/>
      <c r="S222" s="116"/>
      <c r="U222" s="116"/>
    </row>
    <row r="223" spans="17:21">
      <c r="Q223" s="116"/>
      <c r="R223" s="116"/>
      <c r="S223" s="116"/>
      <c r="U223" s="116"/>
    </row>
    <row r="224" spans="17:21">
      <c r="Q224" s="116"/>
      <c r="R224" s="116"/>
      <c r="S224" s="116"/>
      <c r="U224" s="116"/>
    </row>
    <row r="225" spans="17:21">
      <c r="Q225" s="116"/>
      <c r="R225" s="116"/>
      <c r="S225" s="116"/>
      <c r="U225" s="116"/>
    </row>
    <row r="226" spans="17:21">
      <c r="Q226" s="116"/>
      <c r="R226" s="116"/>
      <c r="S226" s="116"/>
      <c r="U226" s="116"/>
    </row>
    <row r="227" spans="17:21">
      <c r="Q227" s="116"/>
      <c r="R227" s="116"/>
      <c r="S227" s="116"/>
      <c r="U227" s="116"/>
    </row>
    <row r="228" spans="17:21">
      <c r="Q228" s="116"/>
      <c r="R228" s="116"/>
      <c r="S228" s="116"/>
      <c r="U228" s="116"/>
    </row>
    <row r="229" spans="17:21">
      <c r="Q229" s="116"/>
      <c r="R229" s="116"/>
      <c r="S229" s="116"/>
      <c r="U229" s="116"/>
    </row>
    <row r="230" spans="17:21">
      <c r="Q230" s="116"/>
      <c r="R230" s="116"/>
      <c r="S230" s="116"/>
      <c r="U230" s="116"/>
    </row>
    <row r="231" spans="17:21">
      <c r="Q231" s="116"/>
      <c r="R231" s="116"/>
      <c r="S231" s="116"/>
      <c r="U231" s="116"/>
    </row>
    <row r="232" spans="17:21">
      <c r="Q232" s="116"/>
      <c r="R232" s="116"/>
      <c r="S232" s="116"/>
      <c r="U232" s="116"/>
    </row>
    <row r="233" spans="17:21">
      <c r="Q233" s="116"/>
      <c r="R233" s="116"/>
      <c r="S233" s="116"/>
      <c r="U233" s="116"/>
    </row>
    <row r="234" spans="17:21">
      <c r="Q234" s="116"/>
      <c r="R234" s="116"/>
      <c r="S234" s="116"/>
      <c r="U234" s="116"/>
    </row>
    <row r="235" spans="17:21">
      <c r="Q235" s="116"/>
      <c r="R235" s="116"/>
      <c r="S235" s="116"/>
      <c r="U235" s="116"/>
    </row>
    <row r="236" spans="17:21">
      <c r="Q236" s="116"/>
      <c r="R236" s="116"/>
      <c r="S236" s="116"/>
      <c r="U236" s="116"/>
    </row>
    <row r="237" spans="17:21">
      <c r="Q237" s="116"/>
      <c r="R237" s="116"/>
      <c r="S237" s="116"/>
      <c r="U237" s="116"/>
    </row>
    <row r="238" spans="17:21">
      <c r="Q238" s="116"/>
      <c r="R238" s="116"/>
      <c r="S238" s="116"/>
      <c r="U238" s="116"/>
    </row>
    <row r="239" spans="17:21">
      <c r="Q239" s="116"/>
      <c r="R239" s="116"/>
      <c r="S239" s="116"/>
      <c r="U239" s="116"/>
    </row>
    <row r="240" spans="17:21">
      <c r="Q240" s="116"/>
      <c r="R240" s="116"/>
      <c r="S240" s="116"/>
      <c r="U240" s="116"/>
    </row>
    <row r="241" spans="17:21">
      <c r="Q241" s="116"/>
      <c r="R241" s="116"/>
      <c r="S241" s="116"/>
      <c r="U241" s="116"/>
    </row>
    <row r="242" spans="17:21">
      <c r="Q242" s="116"/>
      <c r="R242" s="116"/>
      <c r="S242" s="116"/>
      <c r="U242" s="116"/>
    </row>
    <row r="243" spans="17:21">
      <c r="Q243" s="116"/>
      <c r="R243" s="116"/>
      <c r="S243" s="116"/>
      <c r="U243" s="116"/>
    </row>
    <row r="244" spans="17:21">
      <c r="Q244" s="116"/>
      <c r="R244" s="116"/>
      <c r="S244" s="116"/>
      <c r="U244" s="116"/>
    </row>
    <row r="245" spans="17:21">
      <c r="Q245" s="116"/>
      <c r="R245" s="116"/>
      <c r="S245" s="116"/>
      <c r="U245" s="116"/>
    </row>
    <row r="246" spans="17:21">
      <c r="Q246" s="116"/>
      <c r="R246" s="116"/>
      <c r="S246" s="116"/>
      <c r="U246" s="116"/>
    </row>
    <row r="247" spans="17:21">
      <c r="Q247" s="116"/>
      <c r="R247" s="116"/>
      <c r="S247" s="116"/>
      <c r="U247" s="116"/>
    </row>
    <row r="248" spans="17:21">
      <c r="Q248" s="116"/>
      <c r="R248" s="116"/>
      <c r="S248" s="116"/>
      <c r="U248" s="116"/>
    </row>
    <row r="249" spans="17:21">
      <c r="Q249" s="116"/>
      <c r="R249" s="116"/>
      <c r="S249" s="116"/>
      <c r="U249" s="116"/>
    </row>
    <row r="250" spans="17:21">
      <c r="Q250" s="116"/>
      <c r="R250" s="116"/>
      <c r="S250" s="116"/>
      <c r="U250" s="116"/>
    </row>
    <row r="251" spans="17:21">
      <c r="Q251" s="116"/>
      <c r="R251" s="116"/>
      <c r="S251" s="116"/>
      <c r="U251" s="116"/>
    </row>
    <row r="252" spans="17:21">
      <c r="Q252" s="116"/>
      <c r="R252" s="116"/>
      <c r="S252" s="116"/>
      <c r="U252" s="116"/>
    </row>
    <row r="253" spans="17:21">
      <c r="Q253" s="116"/>
      <c r="R253" s="116"/>
      <c r="S253" s="116"/>
      <c r="U253" s="116"/>
    </row>
    <row r="254" spans="17:21">
      <c r="Q254" s="116"/>
      <c r="R254" s="116"/>
      <c r="S254" s="116"/>
      <c r="U254" s="116"/>
    </row>
    <row r="255" spans="17:21">
      <c r="Q255" s="116"/>
      <c r="R255" s="116"/>
      <c r="S255" s="116"/>
      <c r="U255" s="116"/>
    </row>
    <row r="256" spans="17:21">
      <c r="Q256" s="116"/>
      <c r="R256" s="116"/>
      <c r="S256" s="116"/>
      <c r="U256" s="116"/>
    </row>
    <row r="257" spans="17:21">
      <c r="Q257" s="116"/>
      <c r="R257" s="116"/>
      <c r="S257" s="116"/>
      <c r="U257" s="116"/>
    </row>
    <row r="258" spans="17:21">
      <c r="Q258" s="116"/>
      <c r="R258" s="116"/>
      <c r="S258" s="116"/>
      <c r="U258" s="116"/>
    </row>
    <row r="259" spans="17:21">
      <c r="Q259" s="116"/>
      <c r="R259" s="116"/>
      <c r="S259" s="116"/>
      <c r="U259" s="116"/>
    </row>
    <row r="260" spans="17:21">
      <c r="Q260" s="116"/>
      <c r="R260" s="116"/>
      <c r="S260" s="116"/>
      <c r="U260" s="116"/>
    </row>
    <row r="261" spans="17:21">
      <c r="Q261" s="116"/>
      <c r="R261" s="116"/>
      <c r="S261" s="116"/>
      <c r="U261" s="116"/>
    </row>
    <row r="262" spans="17:21">
      <c r="Q262" s="116"/>
      <c r="R262" s="116"/>
      <c r="S262" s="116"/>
      <c r="U262" s="116"/>
    </row>
    <row r="263" spans="17:21">
      <c r="Q263" s="116"/>
      <c r="R263" s="116"/>
      <c r="S263" s="116"/>
      <c r="U263" s="116"/>
    </row>
    <row r="264" spans="17:21">
      <c r="Q264" s="116"/>
      <c r="R264" s="116"/>
      <c r="S264" s="116"/>
      <c r="U264" s="116"/>
    </row>
    <row r="265" spans="17:21">
      <c r="Q265" s="116"/>
      <c r="R265" s="116"/>
      <c r="S265" s="116"/>
      <c r="U265" s="116"/>
    </row>
    <row r="266" spans="17:21">
      <c r="Q266" s="116"/>
      <c r="R266" s="116"/>
      <c r="S266" s="116"/>
      <c r="U266" s="116"/>
    </row>
    <row r="267" spans="17:21">
      <c r="Q267" s="116"/>
      <c r="R267" s="116"/>
      <c r="S267" s="116"/>
      <c r="U267" s="116"/>
    </row>
    <row r="268" spans="17:21">
      <c r="Q268" s="116"/>
      <c r="R268" s="116"/>
      <c r="S268" s="116"/>
      <c r="U268" s="116"/>
    </row>
    <row r="269" spans="17:21">
      <c r="Q269" s="116"/>
      <c r="R269" s="116"/>
      <c r="S269" s="116"/>
      <c r="U269" s="116"/>
    </row>
    <row r="270" spans="17:21">
      <c r="Q270" s="116"/>
      <c r="R270" s="116"/>
      <c r="S270" s="116"/>
      <c r="U270" s="116"/>
    </row>
    <row r="271" spans="17:21">
      <c r="Q271" s="116"/>
      <c r="R271" s="116"/>
      <c r="S271" s="116"/>
      <c r="U271" s="116"/>
    </row>
    <row r="272" spans="17:21">
      <c r="Q272" s="116"/>
      <c r="R272" s="116"/>
      <c r="S272" s="116"/>
      <c r="U272" s="116"/>
    </row>
    <row r="273" spans="17:21">
      <c r="Q273" s="116"/>
      <c r="R273" s="116"/>
      <c r="S273" s="116"/>
      <c r="U273" s="116"/>
    </row>
    <row r="274" spans="17:21">
      <c r="Q274" s="116"/>
      <c r="R274" s="116"/>
      <c r="S274" s="116"/>
      <c r="U274" s="116"/>
    </row>
    <row r="275" spans="17:21">
      <c r="Q275" s="116"/>
      <c r="R275" s="116"/>
      <c r="S275" s="116"/>
      <c r="U275" s="116"/>
    </row>
    <row r="276" spans="17:21">
      <c r="Q276" s="116"/>
      <c r="R276" s="116"/>
      <c r="S276" s="116"/>
      <c r="U276" s="116"/>
    </row>
    <row r="277" spans="17:21">
      <c r="Q277" s="116"/>
      <c r="R277" s="116"/>
      <c r="S277" s="116"/>
      <c r="U277" s="116"/>
    </row>
    <row r="278" spans="17:21">
      <c r="Q278" s="116"/>
      <c r="R278" s="116"/>
      <c r="S278" s="116"/>
      <c r="U278" s="116"/>
    </row>
    <row r="279" spans="17:21">
      <c r="Q279" s="116"/>
      <c r="R279" s="116"/>
      <c r="S279" s="116"/>
      <c r="U279" s="116"/>
    </row>
    <row r="280" spans="17:21">
      <c r="Q280" s="116"/>
      <c r="R280" s="116"/>
      <c r="S280" s="116"/>
      <c r="U280" s="116"/>
    </row>
    <row r="281" spans="17:21">
      <c r="Q281" s="116"/>
      <c r="R281" s="116"/>
      <c r="S281" s="116"/>
      <c r="U281" s="116"/>
    </row>
    <row r="282" spans="17:21">
      <c r="Q282" s="116"/>
      <c r="R282" s="116"/>
      <c r="S282" s="116"/>
      <c r="U282" s="116"/>
    </row>
    <row r="283" spans="17:21">
      <c r="Q283" s="116"/>
      <c r="R283" s="116"/>
      <c r="S283" s="116"/>
      <c r="U283" s="116"/>
    </row>
    <row r="284" spans="17:21">
      <c r="Q284" s="116"/>
      <c r="R284" s="116"/>
      <c r="S284" s="116"/>
      <c r="U284" s="116"/>
    </row>
    <row r="285" spans="17:21">
      <c r="Q285" s="116"/>
      <c r="R285" s="116"/>
      <c r="S285" s="116"/>
      <c r="U285" s="116"/>
    </row>
    <row r="286" spans="17:21">
      <c r="Q286" s="116"/>
      <c r="R286" s="116"/>
      <c r="S286" s="116"/>
      <c r="U286" s="116"/>
    </row>
    <row r="287" spans="17:21">
      <c r="Q287" s="116"/>
      <c r="R287" s="116"/>
      <c r="S287" s="116"/>
      <c r="U287" s="116"/>
    </row>
    <row r="288" spans="17:21">
      <c r="Q288" s="116"/>
      <c r="R288" s="116"/>
      <c r="S288" s="116"/>
      <c r="U288" s="116"/>
    </row>
    <row r="289" spans="17:21">
      <c r="Q289" s="116"/>
      <c r="R289" s="116"/>
      <c r="S289" s="116"/>
      <c r="U289" s="116"/>
    </row>
    <row r="290" spans="17:21">
      <c r="Q290" s="116"/>
      <c r="R290" s="116"/>
      <c r="S290" s="116"/>
      <c r="U290" s="116"/>
    </row>
    <row r="291" spans="17:21">
      <c r="Q291" s="116"/>
      <c r="R291" s="116"/>
      <c r="S291" s="116"/>
      <c r="U291" s="116"/>
    </row>
    <row r="292" spans="17:21">
      <c r="Q292" s="116"/>
      <c r="R292" s="116"/>
      <c r="S292" s="116"/>
      <c r="U292" s="116"/>
    </row>
    <row r="293" spans="17:21">
      <c r="Q293" s="116"/>
      <c r="R293" s="116"/>
      <c r="S293" s="116"/>
      <c r="U293" s="116"/>
    </row>
    <row r="294" spans="17:21">
      <c r="Q294" s="116"/>
      <c r="R294" s="116"/>
      <c r="S294" s="116"/>
      <c r="U294" s="116"/>
    </row>
    <row r="295" spans="17:21">
      <c r="Q295" s="116"/>
      <c r="R295" s="116"/>
      <c r="S295" s="116"/>
      <c r="U295" s="116"/>
    </row>
    <row r="296" spans="17:21">
      <c r="Q296" s="116"/>
      <c r="R296" s="116"/>
      <c r="S296" s="116"/>
      <c r="U296" s="116"/>
    </row>
    <row r="297" spans="17:21">
      <c r="Q297" s="116"/>
      <c r="R297" s="116"/>
      <c r="S297" s="116"/>
      <c r="U297" s="116"/>
    </row>
    <row r="298" spans="17:21">
      <c r="Q298" s="116"/>
      <c r="R298" s="116"/>
      <c r="S298" s="116"/>
      <c r="U298" s="116"/>
    </row>
    <row r="299" spans="17:21">
      <c r="Q299" s="116"/>
      <c r="R299" s="116"/>
      <c r="S299" s="116"/>
      <c r="U299" s="116"/>
    </row>
    <row r="300" spans="17:21">
      <c r="Q300" s="116"/>
      <c r="R300" s="116"/>
      <c r="S300" s="116"/>
      <c r="U300" s="116"/>
    </row>
    <row r="301" spans="17:21">
      <c r="Q301" s="116"/>
      <c r="R301" s="116"/>
      <c r="S301" s="116"/>
      <c r="U301" s="116"/>
    </row>
    <row r="302" spans="17:21">
      <c r="Q302" s="116"/>
      <c r="R302" s="116"/>
      <c r="S302" s="116"/>
      <c r="U302" s="116"/>
    </row>
    <row r="303" spans="17:21">
      <c r="Q303" s="116"/>
      <c r="R303" s="116"/>
      <c r="S303" s="116"/>
      <c r="U303" s="116"/>
    </row>
    <row r="304" spans="17:21">
      <c r="Q304" s="116"/>
      <c r="R304" s="116"/>
      <c r="S304" s="116"/>
      <c r="U304" s="116"/>
    </row>
    <row r="305" spans="17:21">
      <c r="Q305" s="116"/>
      <c r="R305" s="116"/>
      <c r="S305" s="116"/>
      <c r="U305" s="116"/>
    </row>
    <row r="306" spans="17:21">
      <c r="Q306" s="116"/>
      <c r="R306" s="116"/>
      <c r="S306" s="116"/>
      <c r="U306" s="116"/>
    </row>
    <row r="307" spans="17:21">
      <c r="Q307" s="116"/>
      <c r="R307" s="116"/>
      <c r="S307" s="116"/>
      <c r="U307" s="116"/>
    </row>
    <row r="308" spans="17:21">
      <c r="Q308" s="116"/>
      <c r="R308" s="116"/>
      <c r="S308" s="116"/>
      <c r="U308" s="116"/>
    </row>
    <row r="309" spans="17:21">
      <c r="Q309" s="116"/>
      <c r="R309" s="116"/>
      <c r="S309" s="116"/>
      <c r="U309" s="116"/>
    </row>
    <row r="310" spans="17:21">
      <c r="Q310" s="116"/>
      <c r="R310" s="116"/>
      <c r="S310" s="116"/>
      <c r="U310" s="116"/>
    </row>
    <row r="311" spans="17:21">
      <c r="Q311" s="116"/>
      <c r="R311" s="116"/>
      <c r="S311" s="116"/>
      <c r="U311" s="116"/>
    </row>
    <row r="312" spans="17:21">
      <c r="Q312" s="116"/>
      <c r="R312" s="116"/>
      <c r="S312" s="116"/>
      <c r="U312" s="116"/>
    </row>
    <row r="313" spans="17:21">
      <c r="Q313" s="116"/>
      <c r="R313" s="116"/>
      <c r="S313" s="116"/>
      <c r="U313" s="116"/>
    </row>
    <row r="314" spans="17:21">
      <c r="Q314" s="116"/>
      <c r="R314" s="116"/>
      <c r="S314" s="116"/>
      <c r="U314" s="116"/>
    </row>
    <row r="315" spans="17:21">
      <c r="Q315" s="116"/>
      <c r="R315" s="116"/>
      <c r="S315" s="116"/>
      <c r="U315" s="116"/>
    </row>
    <row r="316" spans="17:21">
      <c r="Q316" s="116"/>
      <c r="R316" s="116"/>
      <c r="S316" s="116"/>
      <c r="U316" s="116"/>
    </row>
    <row r="317" spans="17:21">
      <c r="Q317" s="116"/>
      <c r="R317" s="116"/>
      <c r="S317" s="116"/>
      <c r="U317" s="116"/>
    </row>
    <row r="318" spans="17:21">
      <c r="Q318" s="116"/>
      <c r="R318" s="116"/>
      <c r="S318" s="116"/>
      <c r="U318" s="116"/>
    </row>
    <row r="319" spans="17:21">
      <c r="Q319" s="116"/>
      <c r="R319" s="116"/>
      <c r="S319" s="116"/>
      <c r="U319" s="116"/>
    </row>
    <row r="320" spans="17:21">
      <c r="Q320" s="116"/>
      <c r="R320" s="116"/>
      <c r="S320" s="116"/>
      <c r="U320" s="116"/>
    </row>
    <row r="321" spans="17:21">
      <c r="Q321" s="116"/>
      <c r="R321" s="116"/>
      <c r="S321" s="116"/>
      <c r="U321" s="116"/>
    </row>
    <row r="322" spans="17:21">
      <c r="Q322" s="116"/>
      <c r="R322" s="116"/>
      <c r="S322" s="116"/>
      <c r="U322" s="116"/>
    </row>
    <row r="323" spans="17:21">
      <c r="Q323" s="116"/>
      <c r="R323" s="116"/>
      <c r="S323" s="116"/>
      <c r="U323" s="116"/>
    </row>
    <row r="324" spans="17:21">
      <c r="Q324" s="116"/>
      <c r="R324" s="116"/>
      <c r="S324" s="116"/>
      <c r="U324" s="116"/>
    </row>
    <row r="325" spans="17:21">
      <c r="Q325" s="116"/>
      <c r="R325" s="116"/>
      <c r="S325" s="116"/>
      <c r="U325" s="116"/>
    </row>
    <row r="326" spans="17:21">
      <c r="Q326" s="116"/>
      <c r="R326" s="116"/>
      <c r="S326" s="116"/>
      <c r="U326" s="116"/>
    </row>
    <row r="327" spans="17:21">
      <c r="Q327" s="116"/>
      <c r="R327" s="116"/>
      <c r="S327" s="116"/>
      <c r="U327" s="116"/>
    </row>
    <row r="328" spans="17:21">
      <c r="Q328" s="116"/>
      <c r="R328" s="116"/>
      <c r="S328" s="116"/>
      <c r="U328" s="116"/>
    </row>
    <row r="329" spans="17:21">
      <c r="Q329" s="116"/>
      <c r="R329" s="116"/>
      <c r="S329" s="116"/>
      <c r="U329" s="116"/>
    </row>
    <row r="330" spans="17:21">
      <c r="Q330" s="116"/>
      <c r="R330" s="116"/>
      <c r="S330" s="116"/>
      <c r="U330" s="116"/>
    </row>
    <row r="331" spans="17:21">
      <c r="Q331" s="116"/>
      <c r="R331" s="116"/>
      <c r="S331" s="116"/>
      <c r="U331" s="116"/>
    </row>
    <row r="332" spans="17:21">
      <c r="Q332" s="116"/>
      <c r="R332" s="116"/>
      <c r="S332" s="116"/>
      <c r="U332" s="116"/>
    </row>
    <row r="333" spans="17:21">
      <c r="Q333" s="116"/>
      <c r="R333" s="116"/>
      <c r="S333" s="116"/>
      <c r="U333" s="116"/>
    </row>
    <row r="334" spans="17:21">
      <c r="Q334" s="116"/>
      <c r="R334" s="116"/>
      <c r="S334" s="116"/>
      <c r="U334" s="116"/>
    </row>
    <row r="335" spans="17:21">
      <c r="Q335" s="116"/>
      <c r="R335" s="116"/>
      <c r="S335" s="116"/>
      <c r="U335" s="116"/>
    </row>
    <row r="336" spans="17:21">
      <c r="Q336" s="116"/>
      <c r="R336" s="116"/>
      <c r="S336" s="116"/>
      <c r="U336" s="116"/>
    </row>
    <row r="337" spans="17:21">
      <c r="Q337" s="116"/>
      <c r="R337" s="116"/>
      <c r="S337" s="116"/>
      <c r="U337" s="116"/>
    </row>
    <row r="338" spans="17:21">
      <c r="Q338" s="116"/>
      <c r="R338" s="116"/>
      <c r="S338" s="116"/>
      <c r="U338" s="116"/>
    </row>
    <row r="339" spans="17:21">
      <c r="Q339" s="116"/>
      <c r="R339" s="116"/>
      <c r="S339" s="116"/>
      <c r="U339" s="116"/>
    </row>
    <row r="340" spans="17:21">
      <c r="Q340" s="116"/>
      <c r="R340" s="116"/>
      <c r="S340" s="116"/>
      <c r="U340" s="116"/>
    </row>
    <row r="341" spans="17:21">
      <c r="Q341" s="116"/>
      <c r="R341" s="116"/>
      <c r="S341" s="116"/>
      <c r="U341" s="116"/>
    </row>
    <row r="342" spans="17:21">
      <c r="Q342" s="116"/>
      <c r="R342" s="116"/>
      <c r="S342" s="116"/>
      <c r="U342" s="116"/>
    </row>
    <row r="343" spans="17:21">
      <c r="Q343" s="116"/>
      <c r="R343" s="116"/>
      <c r="S343" s="116"/>
      <c r="U343" s="116"/>
    </row>
    <row r="344" spans="17:21">
      <c r="Q344" s="116"/>
      <c r="R344" s="116"/>
      <c r="S344" s="116"/>
      <c r="U344" s="116"/>
    </row>
    <row r="345" spans="17:21">
      <c r="Q345" s="116"/>
      <c r="R345" s="116"/>
      <c r="S345" s="116"/>
      <c r="U345" s="116"/>
    </row>
    <row r="346" spans="17:21">
      <c r="Q346" s="116"/>
      <c r="R346" s="116"/>
      <c r="S346" s="116"/>
      <c r="U346" s="116"/>
    </row>
    <row r="347" spans="17:21">
      <c r="Q347" s="116"/>
      <c r="R347" s="116"/>
      <c r="S347" s="116"/>
      <c r="U347" s="116"/>
    </row>
    <row r="348" spans="17:21">
      <c r="Q348" s="116"/>
      <c r="R348" s="116"/>
      <c r="S348" s="116"/>
      <c r="U348" s="116"/>
    </row>
    <row r="349" spans="17:21">
      <c r="Q349" s="116"/>
      <c r="R349" s="116"/>
      <c r="S349" s="116"/>
      <c r="U349" s="116"/>
    </row>
    <row r="350" spans="17:21">
      <c r="Q350" s="116"/>
      <c r="R350" s="116"/>
      <c r="S350" s="116"/>
      <c r="U350" s="116"/>
    </row>
    <row r="351" spans="17:21">
      <c r="Q351" s="116"/>
      <c r="R351" s="116"/>
      <c r="S351" s="116"/>
      <c r="U351" s="116"/>
    </row>
    <row r="352" spans="17:21">
      <c r="Q352" s="116"/>
      <c r="R352" s="116"/>
      <c r="S352" s="116"/>
      <c r="U352" s="116"/>
    </row>
    <row r="353" spans="17:21">
      <c r="Q353" s="116"/>
      <c r="R353" s="116"/>
      <c r="S353" s="116"/>
      <c r="U353" s="116"/>
    </row>
    <row r="354" spans="17:21">
      <c r="Q354" s="116"/>
      <c r="R354" s="116"/>
      <c r="S354" s="116"/>
      <c r="U354" s="116"/>
    </row>
    <row r="355" spans="17:21">
      <c r="Q355" s="116"/>
      <c r="R355" s="116"/>
      <c r="S355" s="116"/>
      <c r="U355" s="116"/>
    </row>
    <row r="356" spans="17:21">
      <c r="Q356" s="116"/>
      <c r="R356" s="116"/>
      <c r="S356" s="116"/>
      <c r="U356" s="116"/>
    </row>
    <row r="357" spans="17:21">
      <c r="Q357" s="116"/>
      <c r="R357" s="116"/>
      <c r="S357" s="116"/>
      <c r="U357" s="116"/>
    </row>
    <row r="358" spans="17:21">
      <c r="Q358" s="116"/>
      <c r="R358" s="116"/>
      <c r="S358" s="116"/>
      <c r="U358" s="116"/>
    </row>
    <row r="359" spans="17:21">
      <c r="Q359" s="116"/>
      <c r="R359" s="116"/>
      <c r="S359" s="116"/>
      <c r="U359" s="116"/>
    </row>
    <row r="360" spans="17:21">
      <c r="Q360" s="116"/>
      <c r="R360" s="116"/>
      <c r="S360" s="116"/>
      <c r="U360" s="116"/>
    </row>
    <row r="361" spans="17:21">
      <c r="Q361" s="116"/>
      <c r="R361" s="116"/>
      <c r="S361" s="116"/>
      <c r="U361" s="116"/>
    </row>
    <row r="362" spans="17:21">
      <c r="Q362" s="116"/>
      <c r="R362" s="116"/>
      <c r="S362" s="116"/>
      <c r="U362" s="116"/>
    </row>
    <row r="363" spans="17:21">
      <c r="Q363" s="116"/>
      <c r="R363" s="116"/>
      <c r="S363" s="116"/>
      <c r="U363" s="116"/>
    </row>
    <row r="364" spans="17:21">
      <c r="Q364" s="116"/>
      <c r="R364" s="116"/>
      <c r="S364" s="116"/>
      <c r="U364" s="116"/>
    </row>
    <row r="365" spans="17:21">
      <c r="Q365" s="116"/>
      <c r="R365" s="116"/>
      <c r="S365" s="116"/>
      <c r="U365" s="116"/>
    </row>
    <row r="366" spans="17:21">
      <c r="Q366" s="116"/>
      <c r="R366" s="116"/>
      <c r="S366" s="116"/>
      <c r="U366" s="116"/>
    </row>
    <row r="367" spans="17:21">
      <c r="Q367" s="116"/>
      <c r="R367" s="116"/>
      <c r="S367" s="116"/>
      <c r="U367" s="116"/>
    </row>
    <row r="368" spans="17:21">
      <c r="Q368" s="116"/>
      <c r="R368" s="116"/>
      <c r="S368" s="116"/>
      <c r="U368" s="116"/>
    </row>
    <row r="369" spans="17:21">
      <c r="Q369" s="116"/>
      <c r="R369" s="116"/>
      <c r="S369" s="116"/>
      <c r="U369" s="116"/>
    </row>
    <row r="370" spans="17:21">
      <c r="Q370" s="116"/>
      <c r="R370" s="116"/>
      <c r="S370" s="116"/>
      <c r="U370" s="116"/>
    </row>
    <row r="371" spans="17:21">
      <c r="Q371" s="116"/>
      <c r="R371" s="116"/>
      <c r="S371" s="116"/>
      <c r="U371" s="116"/>
    </row>
    <row r="372" spans="17:21">
      <c r="Q372" s="116"/>
      <c r="R372" s="116"/>
      <c r="S372" s="116"/>
      <c r="U372" s="116"/>
    </row>
    <row r="373" spans="17:21">
      <c r="Q373" s="116"/>
      <c r="R373" s="116"/>
      <c r="S373" s="116"/>
      <c r="U373" s="116"/>
    </row>
    <row r="374" spans="17:21">
      <c r="Q374" s="116"/>
      <c r="R374" s="116"/>
      <c r="S374" s="116"/>
      <c r="U374" s="116"/>
    </row>
    <row r="375" spans="17:21">
      <c r="Q375" s="116"/>
      <c r="R375" s="116"/>
      <c r="S375" s="116"/>
      <c r="U375" s="116"/>
    </row>
    <row r="376" spans="17:21">
      <c r="Q376" s="116"/>
      <c r="R376" s="116"/>
      <c r="S376" s="116"/>
      <c r="U376" s="116"/>
    </row>
    <row r="377" spans="17:21">
      <c r="Q377" s="116"/>
      <c r="R377" s="116"/>
      <c r="S377" s="116"/>
      <c r="U377" s="116"/>
    </row>
    <row r="378" spans="17:21">
      <c r="Q378" s="116"/>
      <c r="R378" s="116"/>
      <c r="S378" s="116"/>
      <c r="U378" s="116"/>
    </row>
    <row r="379" spans="17:21">
      <c r="Q379" s="116"/>
      <c r="R379" s="116"/>
      <c r="S379" s="116"/>
      <c r="U379" s="116"/>
    </row>
    <row r="380" spans="17:21">
      <c r="Q380" s="116"/>
      <c r="R380" s="116"/>
      <c r="S380" s="116"/>
      <c r="U380" s="116"/>
    </row>
    <row r="381" spans="17:21">
      <c r="Q381" s="116"/>
      <c r="R381" s="116"/>
      <c r="S381" s="116"/>
      <c r="U381" s="116"/>
    </row>
    <row r="382" spans="17:21">
      <c r="Q382" s="116"/>
      <c r="R382" s="116"/>
      <c r="S382" s="116"/>
      <c r="U382" s="116"/>
    </row>
    <row r="383" spans="17:21">
      <c r="Q383" s="116"/>
      <c r="R383" s="116"/>
      <c r="S383" s="116"/>
      <c r="U383" s="116"/>
    </row>
    <row r="384" spans="17:21">
      <c r="Q384" s="116"/>
      <c r="R384" s="116"/>
      <c r="S384" s="116"/>
      <c r="U384" s="116"/>
    </row>
    <row r="385" spans="17:21">
      <c r="Q385" s="116"/>
      <c r="R385" s="116"/>
      <c r="S385" s="116"/>
      <c r="U385" s="116"/>
    </row>
    <row r="386" spans="17:21">
      <c r="Q386" s="116"/>
      <c r="R386" s="116"/>
      <c r="S386" s="116"/>
      <c r="U386" s="116"/>
    </row>
    <row r="387" spans="17:21">
      <c r="Q387" s="116"/>
      <c r="R387" s="116"/>
      <c r="S387" s="116"/>
      <c r="U387" s="116"/>
    </row>
    <row r="388" spans="17:21">
      <c r="Q388" s="116"/>
      <c r="R388" s="116"/>
      <c r="S388" s="116"/>
      <c r="U388" s="116"/>
    </row>
    <row r="389" spans="17:21">
      <c r="Q389" s="116"/>
      <c r="R389" s="116"/>
      <c r="S389" s="116"/>
      <c r="U389" s="116"/>
    </row>
    <row r="390" spans="17:21">
      <c r="Q390" s="116"/>
      <c r="R390" s="116"/>
      <c r="S390" s="116"/>
      <c r="U390" s="116"/>
    </row>
    <row r="391" spans="17:21">
      <c r="Q391" s="116"/>
      <c r="R391" s="116"/>
      <c r="S391" s="116"/>
      <c r="U391" s="116"/>
    </row>
    <row r="392" spans="17:21">
      <c r="Q392" s="116"/>
      <c r="R392" s="116"/>
      <c r="S392" s="116"/>
      <c r="U392" s="116"/>
    </row>
    <row r="393" spans="17:21">
      <c r="Q393" s="116"/>
      <c r="R393" s="116"/>
      <c r="S393" s="116"/>
      <c r="U393" s="116"/>
    </row>
    <row r="394" spans="17:21">
      <c r="Q394" s="116"/>
      <c r="R394" s="116"/>
      <c r="S394" s="116"/>
      <c r="U394" s="116"/>
    </row>
    <row r="395" spans="17:21">
      <c r="Q395" s="116"/>
      <c r="R395" s="116"/>
      <c r="S395" s="116"/>
      <c r="U395" s="116"/>
    </row>
    <row r="396" spans="17:21">
      <c r="Q396" s="116"/>
      <c r="R396" s="116"/>
      <c r="S396" s="116"/>
      <c r="U396" s="116"/>
    </row>
    <row r="397" spans="17:21">
      <c r="Q397" s="116"/>
      <c r="R397" s="116"/>
      <c r="S397" s="116"/>
      <c r="U397" s="116"/>
    </row>
    <row r="398" spans="17:21">
      <c r="Q398" s="116"/>
      <c r="R398" s="116"/>
      <c r="S398" s="116"/>
      <c r="U398" s="116"/>
    </row>
    <row r="399" spans="17:21">
      <c r="Q399" s="116"/>
      <c r="R399" s="116"/>
      <c r="S399" s="116"/>
      <c r="U399" s="116"/>
    </row>
    <row r="400" spans="17:21">
      <c r="Q400" s="116"/>
      <c r="R400" s="116"/>
      <c r="S400" s="116"/>
      <c r="U400" s="116"/>
    </row>
    <row r="401" spans="17:21">
      <c r="Q401" s="116"/>
      <c r="R401" s="116"/>
      <c r="S401" s="116"/>
      <c r="U401" s="116"/>
    </row>
    <row r="402" spans="17:21">
      <c r="Q402" s="116"/>
      <c r="R402" s="116"/>
      <c r="S402" s="116"/>
      <c r="U402" s="116"/>
    </row>
    <row r="403" spans="17:21">
      <c r="Q403" s="116"/>
      <c r="R403" s="116"/>
      <c r="S403" s="116"/>
      <c r="U403" s="116"/>
    </row>
    <row r="404" spans="17:21">
      <c r="Q404" s="116"/>
      <c r="R404" s="116"/>
      <c r="S404" s="116"/>
      <c r="U404" s="116"/>
    </row>
    <row r="405" spans="17:21">
      <c r="Q405" s="116"/>
      <c r="R405" s="116"/>
      <c r="S405" s="116"/>
      <c r="U405" s="116"/>
    </row>
    <row r="406" spans="17:21">
      <c r="Q406" s="116"/>
      <c r="R406" s="116"/>
      <c r="S406" s="116"/>
      <c r="U406" s="116"/>
    </row>
    <row r="407" spans="17:21">
      <c r="Q407" s="116"/>
      <c r="R407" s="116"/>
      <c r="S407" s="116"/>
      <c r="U407" s="116"/>
    </row>
    <row r="408" spans="17:21">
      <c r="Q408" s="116"/>
      <c r="R408" s="116"/>
      <c r="S408" s="116"/>
      <c r="U408" s="116"/>
    </row>
    <row r="409" spans="17:21">
      <c r="Q409" s="116"/>
      <c r="R409" s="116"/>
      <c r="S409" s="116"/>
      <c r="U409" s="116"/>
    </row>
    <row r="410" spans="17:21">
      <c r="Q410" s="116"/>
      <c r="R410" s="116"/>
      <c r="S410" s="116"/>
      <c r="U410" s="116"/>
    </row>
    <row r="411" spans="17:21">
      <c r="Q411" s="116"/>
      <c r="R411" s="116"/>
      <c r="S411" s="116"/>
      <c r="U411" s="116"/>
    </row>
    <row r="412" spans="17:21">
      <c r="Q412" s="116"/>
      <c r="R412" s="116"/>
      <c r="S412" s="116"/>
      <c r="U412" s="116"/>
    </row>
    <row r="413" spans="17:21">
      <c r="Q413" s="116"/>
      <c r="R413" s="116"/>
      <c r="S413" s="116"/>
      <c r="U413" s="116"/>
    </row>
    <row r="414" spans="17:21">
      <c r="Q414" s="116"/>
      <c r="R414" s="116"/>
      <c r="S414" s="116"/>
      <c r="U414" s="116"/>
    </row>
    <row r="415" spans="17:21">
      <c r="Q415" s="116"/>
      <c r="R415" s="116"/>
      <c r="S415" s="116"/>
      <c r="U415" s="116"/>
    </row>
    <row r="416" spans="17:21">
      <c r="Q416" s="116"/>
      <c r="R416" s="116"/>
      <c r="S416" s="116"/>
      <c r="U416" s="116"/>
    </row>
    <row r="417" spans="17:21">
      <c r="Q417" s="116"/>
      <c r="R417" s="116"/>
      <c r="S417" s="116"/>
      <c r="U417" s="116"/>
    </row>
    <row r="418" spans="17:21">
      <c r="Q418" s="116"/>
      <c r="R418" s="116"/>
      <c r="S418" s="116"/>
      <c r="U418" s="116"/>
    </row>
    <row r="419" spans="17:21">
      <c r="Q419" s="116"/>
      <c r="R419" s="116"/>
      <c r="S419" s="116"/>
      <c r="U419" s="116"/>
    </row>
    <row r="420" spans="17:21">
      <c r="Q420" s="116"/>
      <c r="R420" s="116"/>
      <c r="S420" s="116"/>
      <c r="U420" s="116"/>
    </row>
    <row r="421" spans="17:21">
      <c r="Q421" s="116"/>
      <c r="R421" s="116"/>
      <c r="S421" s="116"/>
      <c r="U421" s="116"/>
    </row>
    <row r="422" spans="17:21">
      <c r="Q422" s="116"/>
      <c r="R422" s="116"/>
      <c r="S422" s="116"/>
      <c r="U422" s="116"/>
    </row>
    <row r="423" spans="17:21">
      <c r="Q423" s="116"/>
      <c r="R423" s="116"/>
      <c r="S423" s="116"/>
      <c r="U423" s="116"/>
    </row>
    <row r="424" spans="17:21">
      <c r="Q424" s="116"/>
      <c r="R424" s="116"/>
      <c r="S424" s="116"/>
      <c r="U424" s="116"/>
    </row>
    <row r="425" spans="17:21">
      <c r="Q425" s="116"/>
      <c r="R425" s="116"/>
      <c r="S425" s="116"/>
      <c r="U425" s="116"/>
    </row>
    <row r="426" spans="17:21">
      <c r="Q426" s="116"/>
      <c r="R426" s="116"/>
      <c r="S426" s="116"/>
      <c r="U426" s="116"/>
    </row>
    <row r="427" spans="17:21">
      <c r="Q427" s="116"/>
      <c r="R427" s="116"/>
      <c r="S427" s="116"/>
      <c r="U427" s="116"/>
    </row>
    <row r="428" spans="17:21">
      <c r="Q428" s="116"/>
      <c r="R428" s="116"/>
      <c r="S428" s="116"/>
      <c r="U428" s="116"/>
    </row>
    <row r="429" spans="17:21">
      <c r="Q429" s="116"/>
      <c r="R429" s="116"/>
      <c r="S429" s="116"/>
      <c r="U429" s="116"/>
    </row>
    <row r="430" spans="17:21">
      <c r="Q430" s="116"/>
      <c r="R430" s="116"/>
      <c r="S430" s="116"/>
      <c r="U430" s="116"/>
    </row>
    <row r="431" spans="17:21">
      <c r="Q431" s="116"/>
      <c r="R431" s="116"/>
      <c r="S431" s="116"/>
      <c r="U431" s="116"/>
    </row>
    <row r="432" spans="17:21">
      <c r="Q432" s="116"/>
      <c r="R432" s="116"/>
      <c r="S432" s="116"/>
      <c r="U432" s="116"/>
    </row>
    <row r="433" spans="17:21">
      <c r="Q433" s="116"/>
      <c r="R433" s="116"/>
      <c r="S433" s="116"/>
      <c r="U433" s="116"/>
    </row>
    <row r="434" spans="17:21">
      <c r="Q434" s="116"/>
      <c r="R434" s="116"/>
      <c r="S434" s="116"/>
      <c r="U434" s="116"/>
    </row>
    <row r="435" spans="17:21">
      <c r="Q435" s="116"/>
      <c r="R435" s="116"/>
      <c r="S435" s="116"/>
      <c r="U435" s="116"/>
    </row>
    <row r="436" spans="17:21">
      <c r="Q436" s="116"/>
      <c r="R436" s="116"/>
      <c r="S436" s="116"/>
      <c r="U436" s="116"/>
    </row>
    <row r="437" spans="17:21">
      <c r="Q437" s="116"/>
      <c r="R437" s="116"/>
      <c r="S437" s="116"/>
      <c r="U437" s="116"/>
    </row>
    <row r="438" spans="17:21">
      <c r="Q438" s="116"/>
      <c r="R438" s="116"/>
      <c r="S438" s="116"/>
      <c r="U438" s="116"/>
    </row>
    <row r="439" spans="17:21">
      <c r="Q439" s="116"/>
      <c r="R439" s="116"/>
      <c r="S439" s="116"/>
      <c r="U439" s="116"/>
    </row>
    <row r="440" spans="17:21">
      <c r="Q440" s="116"/>
      <c r="R440" s="116"/>
      <c r="S440" s="116"/>
      <c r="U440" s="116"/>
    </row>
    <row r="441" spans="17:21">
      <c r="Q441" s="116"/>
      <c r="R441" s="116"/>
      <c r="S441" s="116"/>
      <c r="U441" s="116"/>
    </row>
    <row r="442" spans="17:21">
      <c r="Q442" s="116"/>
      <c r="R442" s="116"/>
      <c r="S442" s="116"/>
      <c r="U442" s="116"/>
    </row>
    <row r="443" spans="17:21">
      <c r="Q443" s="116"/>
      <c r="R443" s="116"/>
      <c r="S443" s="116"/>
      <c r="U443" s="116"/>
    </row>
    <row r="444" spans="17:21">
      <c r="Q444" s="116"/>
      <c r="R444" s="116"/>
      <c r="S444" s="116"/>
      <c r="U444" s="116"/>
    </row>
    <row r="445" spans="17:21">
      <c r="Q445" s="116"/>
      <c r="R445" s="116"/>
      <c r="S445" s="116"/>
      <c r="U445" s="116"/>
    </row>
    <row r="446" spans="17:21">
      <c r="Q446" s="116"/>
      <c r="R446" s="116"/>
      <c r="S446" s="116"/>
      <c r="U446" s="116"/>
    </row>
    <row r="447" spans="17:21">
      <c r="Q447" s="116"/>
      <c r="R447" s="116"/>
      <c r="S447" s="116"/>
      <c r="U447" s="116"/>
    </row>
    <row r="448" spans="17:21">
      <c r="Q448" s="116"/>
      <c r="R448" s="116"/>
      <c r="S448" s="116"/>
      <c r="U448" s="116"/>
    </row>
    <row r="449" spans="17:21">
      <c r="Q449" s="116"/>
      <c r="R449" s="116"/>
      <c r="S449" s="116"/>
      <c r="U449" s="116"/>
    </row>
    <row r="450" spans="17:21">
      <c r="Q450" s="116"/>
      <c r="R450" s="116"/>
      <c r="S450" s="116"/>
      <c r="U450" s="116"/>
    </row>
    <row r="451" spans="17:21">
      <c r="Q451" s="116"/>
      <c r="R451" s="116"/>
      <c r="S451" s="116"/>
      <c r="U451" s="116"/>
    </row>
    <row r="452" spans="17:21">
      <c r="Q452" s="116"/>
      <c r="R452" s="116"/>
      <c r="S452" s="116"/>
      <c r="U452" s="116"/>
    </row>
    <row r="453" spans="17:21">
      <c r="Q453" s="116"/>
      <c r="R453" s="116"/>
      <c r="S453" s="116"/>
      <c r="U453" s="116"/>
    </row>
    <row r="454" spans="17:21">
      <c r="Q454" s="116"/>
      <c r="R454" s="116"/>
      <c r="S454" s="116"/>
      <c r="U454" s="116"/>
    </row>
    <row r="455" spans="17:21">
      <c r="Q455" s="116"/>
      <c r="R455" s="116"/>
      <c r="S455" s="116"/>
      <c r="U455" s="116"/>
    </row>
    <row r="456" spans="17:21">
      <c r="Q456" s="116"/>
      <c r="R456" s="116"/>
      <c r="S456" s="116"/>
      <c r="U456" s="116"/>
    </row>
    <row r="457" spans="17:21">
      <c r="Q457" s="116"/>
      <c r="R457" s="116"/>
      <c r="S457" s="116"/>
      <c r="U457" s="116"/>
    </row>
    <row r="458" spans="17:21">
      <c r="Q458" s="116"/>
      <c r="R458" s="116"/>
      <c r="S458" s="116"/>
      <c r="U458" s="116"/>
    </row>
    <row r="459" spans="17:21">
      <c r="Q459" s="116"/>
      <c r="R459" s="116"/>
      <c r="S459" s="116"/>
      <c r="U459" s="116"/>
    </row>
    <row r="460" spans="17:21">
      <c r="Q460" s="116"/>
      <c r="R460" s="116"/>
      <c r="S460" s="116"/>
      <c r="U460" s="116"/>
    </row>
    <row r="461" spans="17:21">
      <c r="Q461" s="116"/>
      <c r="R461" s="116"/>
      <c r="S461" s="116"/>
      <c r="U461" s="116"/>
    </row>
    <row r="462" spans="17:21">
      <c r="Q462" s="116"/>
      <c r="R462" s="116"/>
      <c r="S462" s="116"/>
      <c r="U462" s="116"/>
    </row>
    <row r="463" spans="17:21">
      <c r="Q463" s="116"/>
      <c r="R463" s="116"/>
      <c r="S463" s="116"/>
      <c r="U463" s="116"/>
    </row>
    <row r="464" spans="17:21">
      <c r="Q464" s="116"/>
      <c r="R464" s="116"/>
      <c r="S464" s="116"/>
      <c r="U464" s="116"/>
    </row>
    <row r="465" spans="17:21">
      <c r="Q465" s="116"/>
      <c r="R465" s="116"/>
      <c r="S465" s="116"/>
      <c r="U465" s="116"/>
    </row>
    <row r="466" spans="17:21">
      <c r="Q466" s="116"/>
      <c r="R466" s="116"/>
      <c r="S466" s="116"/>
      <c r="U466" s="116"/>
    </row>
    <row r="467" spans="17:21">
      <c r="Q467" s="116"/>
      <c r="R467" s="116"/>
      <c r="S467" s="116"/>
      <c r="U467" s="116"/>
    </row>
    <row r="468" spans="17:21">
      <c r="Q468" s="116"/>
      <c r="R468" s="116"/>
      <c r="S468" s="116"/>
      <c r="U468" s="116"/>
    </row>
    <row r="469" spans="17:21">
      <c r="Q469" s="116"/>
      <c r="R469" s="116"/>
      <c r="S469" s="116"/>
      <c r="U469" s="116"/>
    </row>
    <row r="470" spans="17:21">
      <c r="Q470" s="116"/>
      <c r="R470" s="116"/>
      <c r="S470" s="116"/>
      <c r="U470" s="116"/>
    </row>
    <row r="471" spans="17:21">
      <c r="Q471" s="116"/>
      <c r="R471" s="116"/>
      <c r="S471" s="116"/>
      <c r="U471" s="116"/>
    </row>
    <row r="472" spans="17:21">
      <c r="Q472" s="116"/>
      <c r="R472" s="116"/>
      <c r="S472" s="116"/>
      <c r="U472" s="116"/>
    </row>
    <row r="473" spans="17:21">
      <c r="Q473" s="116"/>
      <c r="R473" s="116"/>
      <c r="S473" s="116"/>
      <c r="U473" s="116"/>
    </row>
    <row r="474" spans="17:21">
      <c r="Q474" s="116"/>
      <c r="R474" s="116"/>
      <c r="S474" s="116"/>
      <c r="U474" s="116"/>
    </row>
    <row r="475" spans="17:21">
      <c r="Q475" s="116"/>
      <c r="R475" s="116"/>
      <c r="S475" s="116"/>
      <c r="U475" s="116"/>
    </row>
    <row r="476" spans="17:21">
      <c r="Q476" s="116"/>
      <c r="R476" s="116"/>
      <c r="S476" s="116"/>
      <c r="U476" s="116"/>
    </row>
    <row r="477" spans="17:21">
      <c r="Q477" s="116"/>
      <c r="R477" s="116"/>
      <c r="S477" s="116"/>
      <c r="U477" s="116"/>
    </row>
    <row r="478" spans="17:21">
      <c r="Q478" s="116"/>
      <c r="R478" s="116"/>
      <c r="S478" s="116"/>
      <c r="U478" s="116"/>
    </row>
    <row r="479" spans="17:21">
      <c r="Q479" s="116"/>
      <c r="R479" s="116"/>
      <c r="S479" s="116"/>
      <c r="U479" s="116"/>
    </row>
    <row r="480" spans="17:21">
      <c r="Q480" s="116"/>
      <c r="R480" s="116"/>
      <c r="S480" s="116"/>
      <c r="U480" s="116"/>
    </row>
    <row r="481" spans="17:21">
      <c r="Q481" s="116"/>
      <c r="R481" s="116"/>
      <c r="S481" s="116"/>
      <c r="U481" s="116"/>
    </row>
    <row r="482" spans="17:21">
      <c r="Q482" s="116"/>
      <c r="R482" s="116"/>
      <c r="S482" s="116"/>
      <c r="U482" s="116"/>
    </row>
    <row r="483" spans="17:21">
      <c r="Q483" s="116"/>
      <c r="R483" s="116"/>
      <c r="S483" s="116"/>
      <c r="U483" s="116"/>
    </row>
    <row r="484" spans="17:21">
      <c r="Q484" s="116"/>
      <c r="R484" s="116"/>
      <c r="S484" s="116"/>
      <c r="U484" s="116"/>
    </row>
    <row r="485" spans="17:21">
      <c r="Q485" s="116"/>
      <c r="R485" s="116"/>
      <c r="S485" s="116"/>
      <c r="U485" s="116"/>
    </row>
    <row r="486" spans="17:21">
      <c r="Q486" s="116"/>
      <c r="R486" s="116"/>
      <c r="S486" s="116"/>
      <c r="U486" s="116"/>
    </row>
    <row r="487" spans="17:21">
      <c r="Q487" s="116"/>
      <c r="R487" s="116"/>
      <c r="S487" s="116"/>
      <c r="U487" s="116"/>
    </row>
    <row r="488" spans="17:21">
      <c r="Q488" s="116"/>
      <c r="R488" s="116"/>
      <c r="S488" s="116"/>
      <c r="U488" s="116"/>
    </row>
    <row r="489" spans="17:21">
      <c r="Q489" s="116"/>
      <c r="R489" s="116"/>
      <c r="S489" s="116"/>
      <c r="U489" s="116"/>
    </row>
    <row r="490" spans="17:21">
      <c r="Q490" s="116"/>
      <c r="R490" s="116"/>
      <c r="S490" s="116"/>
      <c r="U490" s="116"/>
    </row>
    <row r="491" spans="17:21">
      <c r="Q491" s="116"/>
      <c r="R491" s="116"/>
      <c r="S491" s="116"/>
      <c r="U491" s="116"/>
    </row>
    <row r="492" spans="17:21">
      <c r="Q492" s="116"/>
      <c r="R492" s="116"/>
      <c r="S492" s="116"/>
      <c r="U492" s="116"/>
    </row>
    <row r="493" spans="17:21">
      <c r="Q493" s="116"/>
      <c r="R493" s="116"/>
      <c r="S493" s="116"/>
      <c r="U493" s="116"/>
    </row>
    <row r="494" spans="17:21">
      <c r="Q494" s="116"/>
      <c r="R494" s="116"/>
      <c r="S494" s="116"/>
      <c r="U494" s="116"/>
    </row>
    <row r="495" spans="17:21">
      <c r="Q495" s="116"/>
      <c r="R495" s="116"/>
      <c r="S495" s="116"/>
      <c r="U495" s="116"/>
    </row>
    <row r="496" spans="17:21">
      <c r="Q496" s="116"/>
      <c r="R496" s="116"/>
      <c r="S496" s="116"/>
      <c r="U496" s="116"/>
    </row>
    <row r="497" spans="17:21">
      <c r="Q497" s="116"/>
      <c r="R497" s="116"/>
      <c r="S497" s="116"/>
      <c r="U497" s="116"/>
    </row>
    <row r="498" spans="17:21">
      <c r="Q498" s="116"/>
      <c r="R498" s="116"/>
      <c r="S498" s="116"/>
      <c r="U498" s="116"/>
    </row>
    <row r="499" spans="17:21">
      <c r="Q499" s="116"/>
      <c r="R499" s="116"/>
      <c r="S499" s="116"/>
      <c r="U499" s="116"/>
    </row>
    <row r="500" spans="17:21">
      <c r="Q500" s="116"/>
      <c r="R500" s="116"/>
      <c r="S500" s="116"/>
      <c r="U500" s="116"/>
    </row>
    <row r="501" spans="17:21">
      <c r="Q501" s="116"/>
      <c r="R501" s="116"/>
      <c r="S501" s="116"/>
      <c r="U501" s="116"/>
    </row>
    <row r="502" spans="17:21">
      <c r="Q502" s="116"/>
      <c r="R502" s="116"/>
      <c r="S502" s="116"/>
      <c r="U502" s="116"/>
    </row>
    <row r="503" spans="17:21">
      <c r="Q503" s="116"/>
      <c r="R503" s="116"/>
      <c r="S503" s="116"/>
      <c r="U503" s="116"/>
    </row>
    <row r="504" spans="17:21">
      <c r="Q504" s="116"/>
      <c r="R504" s="116"/>
      <c r="S504" s="116"/>
      <c r="U504" s="116"/>
    </row>
    <row r="505" spans="17:21">
      <c r="Q505" s="116"/>
      <c r="R505" s="116"/>
      <c r="S505" s="116"/>
      <c r="U505" s="116"/>
    </row>
    <row r="506" spans="17:21">
      <c r="Q506" s="116"/>
      <c r="R506" s="116"/>
      <c r="S506" s="116"/>
      <c r="U506" s="116"/>
    </row>
    <row r="507" spans="17:21">
      <c r="Q507" s="116"/>
      <c r="R507" s="116"/>
      <c r="S507" s="116"/>
      <c r="U507" s="116"/>
    </row>
    <row r="508" spans="17:21">
      <c r="Q508" s="116"/>
      <c r="R508" s="116"/>
      <c r="S508" s="116"/>
      <c r="U508" s="116"/>
    </row>
    <row r="509" spans="17:21">
      <c r="Q509" s="116"/>
      <c r="R509" s="116"/>
      <c r="S509" s="116"/>
      <c r="U509" s="116"/>
    </row>
    <row r="510" spans="17:21">
      <c r="Q510" s="116"/>
      <c r="R510" s="116"/>
      <c r="S510" s="116"/>
      <c r="U510" s="116"/>
    </row>
    <row r="511" spans="17:21">
      <c r="Q511" s="116"/>
      <c r="R511" s="116"/>
      <c r="S511" s="116"/>
      <c r="U511" s="116"/>
    </row>
    <row r="512" spans="17:21">
      <c r="Q512" s="116"/>
      <c r="R512" s="116"/>
      <c r="S512" s="116"/>
      <c r="U512" s="116"/>
    </row>
    <row r="513" spans="17:21">
      <c r="Q513" s="116"/>
      <c r="R513" s="116"/>
      <c r="S513" s="116"/>
      <c r="U513" s="116"/>
    </row>
    <row r="514" spans="17:21">
      <c r="Q514" s="116"/>
      <c r="R514" s="116"/>
      <c r="S514" s="116"/>
      <c r="U514" s="116"/>
    </row>
    <row r="515" spans="17:21">
      <c r="Q515" s="116"/>
      <c r="R515" s="116"/>
      <c r="S515" s="116"/>
      <c r="U515" s="116"/>
    </row>
    <row r="516" spans="17:21">
      <c r="Q516" s="116"/>
      <c r="R516" s="116"/>
      <c r="S516" s="116"/>
      <c r="U516" s="116"/>
    </row>
    <row r="517" spans="17:21">
      <c r="Q517" s="116"/>
      <c r="R517" s="116"/>
      <c r="S517" s="116"/>
      <c r="U517" s="116"/>
    </row>
    <row r="518" spans="17:21">
      <c r="Q518" s="116"/>
      <c r="R518" s="116"/>
      <c r="S518" s="116"/>
      <c r="U518" s="116"/>
    </row>
    <row r="519" spans="17:21">
      <c r="Q519" s="116"/>
      <c r="R519" s="116"/>
      <c r="S519" s="116"/>
      <c r="U519" s="116"/>
    </row>
    <row r="520" spans="17:21">
      <c r="Q520" s="116"/>
      <c r="R520" s="116"/>
      <c r="S520" s="116"/>
      <c r="U520" s="116"/>
    </row>
    <row r="521" spans="17:21">
      <c r="Q521" s="116"/>
      <c r="R521" s="116"/>
      <c r="S521" s="116"/>
      <c r="U521" s="116"/>
    </row>
    <row r="522" spans="17:21">
      <c r="Q522" s="116"/>
      <c r="R522" s="116"/>
      <c r="S522" s="116"/>
      <c r="U522" s="116"/>
    </row>
    <row r="523" spans="17:21">
      <c r="Q523" s="116"/>
      <c r="R523" s="116"/>
      <c r="S523" s="116"/>
      <c r="U523" s="116"/>
    </row>
    <row r="524" spans="17:21">
      <c r="Q524" s="116"/>
      <c r="R524" s="116"/>
      <c r="S524" s="116"/>
      <c r="U524" s="116"/>
    </row>
    <row r="525" spans="17:21">
      <c r="Q525" s="116"/>
      <c r="R525" s="116"/>
      <c r="S525" s="116"/>
      <c r="U525" s="116"/>
    </row>
    <row r="526" spans="17:21">
      <c r="Q526" s="116"/>
      <c r="R526" s="116"/>
      <c r="S526" s="116"/>
      <c r="U526" s="116"/>
    </row>
    <row r="527" spans="17:21">
      <c r="Q527" s="116"/>
      <c r="R527" s="116"/>
      <c r="S527" s="116"/>
      <c r="U527" s="116"/>
    </row>
    <row r="528" spans="17:21">
      <c r="Q528" s="116"/>
      <c r="R528" s="116"/>
      <c r="S528" s="116"/>
      <c r="U528" s="116"/>
    </row>
    <row r="529" spans="17:21">
      <c r="Q529" s="116"/>
      <c r="R529" s="116"/>
      <c r="S529" s="116"/>
      <c r="U529" s="116"/>
    </row>
    <row r="530" spans="17:21">
      <c r="Q530" s="116"/>
      <c r="R530" s="116"/>
      <c r="S530" s="116"/>
      <c r="U530" s="116"/>
    </row>
    <row r="531" spans="17:21">
      <c r="Q531" s="116"/>
      <c r="R531" s="116"/>
      <c r="S531" s="116"/>
      <c r="U531" s="116"/>
    </row>
    <row r="532" spans="17:21">
      <c r="Q532" s="116"/>
      <c r="R532" s="116"/>
      <c r="S532" s="116"/>
      <c r="U532" s="116"/>
    </row>
    <row r="533" spans="17:21">
      <c r="Q533" s="116"/>
      <c r="R533" s="116"/>
      <c r="S533" s="116"/>
      <c r="U533" s="116"/>
    </row>
    <row r="534" spans="17:21">
      <c r="Q534" s="116"/>
      <c r="R534" s="116"/>
      <c r="S534" s="116"/>
      <c r="U534" s="116"/>
    </row>
    <row r="535" spans="17:21">
      <c r="Q535" s="116"/>
      <c r="R535" s="116"/>
      <c r="S535" s="116"/>
      <c r="U535" s="116"/>
    </row>
    <row r="536" spans="17:21">
      <c r="Q536" s="116"/>
      <c r="R536" s="116"/>
      <c r="S536" s="116"/>
      <c r="U536" s="116"/>
    </row>
    <row r="537" spans="17:21">
      <c r="Q537" s="116"/>
      <c r="R537" s="116"/>
      <c r="S537" s="116"/>
      <c r="U537" s="116"/>
    </row>
    <row r="538" spans="17:21">
      <c r="Q538" s="116"/>
      <c r="R538" s="116"/>
      <c r="S538" s="116"/>
      <c r="U538" s="116"/>
    </row>
    <row r="539" spans="17:21">
      <c r="Q539" s="116"/>
      <c r="R539" s="116"/>
      <c r="S539" s="116"/>
      <c r="U539" s="116"/>
    </row>
    <row r="540" spans="17:21">
      <c r="Q540" s="116"/>
      <c r="R540" s="116"/>
      <c r="S540" s="116"/>
      <c r="U540" s="116"/>
    </row>
    <row r="541" spans="17:21">
      <c r="Q541" s="116"/>
      <c r="R541" s="116"/>
      <c r="S541" s="116"/>
      <c r="U541" s="116"/>
    </row>
    <row r="542" spans="17:21">
      <c r="Q542" s="116"/>
      <c r="R542" s="116"/>
      <c r="S542" s="116"/>
      <c r="U542" s="116"/>
    </row>
    <row r="543" spans="17:21">
      <c r="Q543" s="116"/>
      <c r="R543" s="116"/>
      <c r="S543" s="116"/>
      <c r="U543" s="116"/>
    </row>
    <row r="544" spans="17:21">
      <c r="Q544" s="116"/>
      <c r="R544" s="116"/>
      <c r="S544" s="116"/>
      <c r="U544" s="116"/>
    </row>
    <row r="545" spans="17:21">
      <c r="Q545" s="116"/>
      <c r="R545" s="116"/>
      <c r="S545" s="116"/>
      <c r="U545" s="116"/>
    </row>
    <row r="546" spans="17:21">
      <c r="Q546" s="116"/>
      <c r="R546" s="116"/>
      <c r="S546" s="116"/>
      <c r="U546" s="116"/>
    </row>
    <row r="547" spans="17:21">
      <c r="Q547" s="116"/>
      <c r="R547" s="116"/>
      <c r="S547" s="116"/>
      <c r="U547" s="116"/>
    </row>
    <row r="548" spans="17:21">
      <c r="Q548" s="116"/>
      <c r="R548" s="116"/>
      <c r="S548" s="116"/>
      <c r="U548" s="116"/>
    </row>
    <row r="549" spans="17:21">
      <c r="Q549" s="116"/>
      <c r="R549" s="116"/>
      <c r="S549" s="116"/>
      <c r="U549" s="116"/>
    </row>
    <row r="550" spans="17:21">
      <c r="Q550" s="116"/>
      <c r="R550" s="116"/>
      <c r="S550" s="116"/>
      <c r="U550" s="116"/>
    </row>
    <row r="551" spans="17:21">
      <c r="Q551" s="116"/>
      <c r="R551" s="116"/>
      <c r="S551" s="116"/>
      <c r="U551" s="116"/>
    </row>
    <row r="552" spans="17:21">
      <c r="Q552" s="116"/>
      <c r="R552" s="116"/>
      <c r="S552" s="116"/>
      <c r="U552" s="116"/>
    </row>
    <row r="553" spans="17:21">
      <c r="Q553" s="116"/>
      <c r="R553" s="116"/>
      <c r="S553" s="116"/>
      <c r="U553" s="116"/>
    </row>
    <row r="554" spans="17:21">
      <c r="Q554" s="116"/>
      <c r="R554" s="116"/>
      <c r="S554" s="116"/>
      <c r="U554" s="116"/>
    </row>
    <row r="555" spans="17:21">
      <c r="Q555" s="116"/>
      <c r="R555" s="116"/>
      <c r="S555" s="116"/>
      <c r="U555" s="116"/>
    </row>
    <row r="556" spans="17:21">
      <c r="Q556" s="116"/>
      <c r="R556" s="116"/>
      <c r="S556" s="116"/>
      <c r="U556" s="116"/>
    </row>
    <row r="557" spans="17:21">
      <c r="Q557" s="116"/>
      <c r="R557" s="116"/>
      <c r="S557" s="116"/>
      <c r="U557" s="116"/>
    </row>
    <row r="558" spans="17:21">
      <c r="Q558" s="116"/>
      <c r="R558" s="116"/>
      <c r="S558" s="116"/>
      <c r="U558" s="116"/>
    </row>
    <row r="559" spans="17:21">
      <c r="Q559" s="116"/>
      <c r="R559" s="116"/>
      <c r="S559" s="116"/>
      <c r="U559" s="116"/>
    </row>
    <row r="560" spans="17:21">
      <c r="Q560" s="116"/>
      <c r="R560" s="116"/>
      <c r="S560" s="116"/>
      <c r="U560" s="116"/>
    </row>
    <row r="561" spans="17:21">
      <c r="Q561" s="116"/>
      <c r="R561" s="116"/>
      <c r="S561" s="116"/>
      <c r="U561" s="116"/>
    </row>
    <row r="562" spans="17:21">
      <c r="Q562" s="116"/>
      <c r="R562" s="116"/>
      <c r="S562" s="116"/>
      <c r="U562" s="116"/>
    </row>
    <row r="563" spans="17:21">
      <c r="Q563" s="116"/>
      <c r="R563" s="116"/>
      <c r="S563" s="116"/>
      <c r="U563" s="116"/>
    </row>
    <row r="564" spans="17:21">
      <c r="Q564" s="116"/>
      <c r="R564" s="116"/>
      <c r="S564" s="116"/>
      <c r="U564" s="116"/>
    </row>
    <row r="565" spans="17:21">
      <c r="Q565" s="116"/>
      <c r="R565" s="116"/>
      <c r="S565" s="116"/>
      <c r="U565" s="116"/>
    </row>
    <row r="566" spans="17:21">
      <c r="Q566" s="116"/>
      <c r="R566" s="116"/>
      <c r="S566" s="116"/>
      <c r="U566" s="116"/>
    </row>
    <row r="567" spans="17:21">
      <c r="Q567" s="116"/>
      <c r="R567" s="116"/>
      <c r="S567" s="116"/>
      <c r="U567" s="116"/>
    </row>
    <row r="568" spans="17:21">
      <c r="Q568" s="116"/>
      <c r="R568" s="116"/>
      <c r="S568" s="116"/>
      <c r="U568" s="116"/>
    </row>
    <row r="569" spans="17:21">
      <c r="Q569" s="116"/>
      <c r="R569" s="116"/>
      <c r="S569" s="116"/>
      <c r="U569" s="116"/>
    </row>
    <row r="570" spans="17:21">
      <c r="Q570" s="116"/>
      <c r="R570" s="116"/>
      <c r="S570" s="116"/>
      <c r="U570" s="116"/>
    </row>
    <row r="571" spans="17:21">
      <c r="Q571" s="116"/>
      <c r="R571" s="116"/>
      <c r="S571" s="116"/>
      <c r="U571" s="116"/>
    </row>
    <row r="572" spans="17:21">
      <c r="Q572" s="116"/>
      <c r="R572" s="116"/>
      <c r="S572" s="116"/>
      <c r="U572" s="116"/>
    </row>
    <row r="573" spans="17:21">
      <c r="Q573" s="116"/>
      <c r="R573" s="116"/>
      <c r="S573" s="116"/>
      <c r="U573" s="116"/>
    </row>
    <row r="574" spans="17:21">
      <c r="Q574" s="116"/>
      <c r="R574" s="116"/>
      <c r="S574" s="116"/>
      <c r="U574" s="116"/>
    </row>
    <row r="575" spans="17:21">
      <c r="Q575" s="116"/>
      <c r="R575" s="116"/>
      <c r="S575" s="116"/>
      <c r="U575" s="116"/>
    </row>
    <row r="576" spans="17:21">
      <c r="Q576" s="116"/>
      <c r="R576" s="116"/>
      <c r="S576" s="116"/>
      <c r="U576" s="116"/>
    </row>
    <row r="577" spans="17:21">
      <c r="Q577" s="116"/>
      <c r="R577" s="116"/>
      <c r="S577" s="116"/>
      <c r="U577" s="116"/>
    </row>
    <row r="578" spans="17:21">
      <c r="Q578" s="116"/>
      <c r="R578" s="116"/>
      <c r="S578" s="116"/>
      <c r="U578" s="116"/>
    </row>
    <row r="579" spans="17:21">
      <c r="Q579" s="116"/>
      <c r="R579" s="116"/>
      <c r="S579" s="116"/>
      <c r="U579" s="116"/>
    </row>
    <row r="580" spans="17:21">
      <c r="Q580" s="116"/>
      <c r="R580" s="116"/>
      <c r="S580" s="116"/>
      <c r="U580" s="116"/>
    </row>
    <row r="581" spans="17:21">
      <c r="Q581" s="116"/>
      <c r="R581" s="116"/>
      <c r="S581" s="116"/>
      <c r="U581" s="116"/>
    </row>
    <row r="582" spans="17:21">
      <c r="Q582" s="116"/>
      <c r="R582" s="116"/>
      <c r="S582" s="116"/>
      <c r="U582" s="116"/>
    </row>
    <row r="583" spans="17:21">
      <c r="Q583" s="116"/>
      <c r="R583" s="116"/>
      <c r="S583" s="116"/>
      <c r="U583" s="116"/>
    </row>
    <row r="584" spans="17:21">
      <c r="Q584" s="116"/>
      <c r="R584" s="116"/>
      <c r="S584" s="116"/>
      <c r="U584" s="116"/>
    </row>
    <row r="585" spans="17:21">
      <c r="Q585" s="116"/>
      <c r="R585" s="116"/>
      <c r="S585" s="116"/>
      <c r="U585" s="116"/>
    </row>
    <row r="586" spans="17:21">
      <c r="Q586" s="116"/>
      <c r="R586" s="116"/>
      <c r="S586" s="116"/>
      <c r="U586" s="116"/>
    </row>
    <row r="587" spans="17:21">
      <c r="Q587" s="116"/>
      <c r="R587" s="116"/>
      <c r="S587" s="116"/>
      <c r="U587" s="116"/>
    </row>
    <row r="588" spans="17:21">
      <c r="Q588" s="116"/>
      <c r="R588" s="116"/>
      <c r="S588" s="116"/>
      <c r="U588" s="116"/>
    </row>
    <row r="589" spans="17:21">
      <c r="Q589" s="116"/>
      <c r="R589" s="116"/>
      <c r="S589" s="116"/>
      <c r="U589" s="116"/>
    </row>
    <row r="590" spans="17:21">
      <c r="Q590" s="116"/>
      <c r="R590" s="116"/>
      <c r="S590" s="116"/>
      <c r="U590" s="116"/>
    </row>
    <row r="591" spans="17:21">
      <c r="Q591" s="116"/>
      <c r="R591" s="116"/>
      <c r="S591" s="116"/>
      <c r="U591" s="116"/>
    </row>
    <row r="592" spans="17:21">
      <c r="Q592" s="116"/>
      <c r="R592" s="116"/>
      <c r="S592" s="116"/>
      <c r="U592" s="116"/>
    </row>
    <row r="593" spans="17:21">
      <c r="Q593" s="116"/>
      <c r="R593" s="116"/>
      <c r="S593" s="116"/>
      <c r="U593" s="116"/>
    </row>
    <row r="594" spans="17:21">
      <c r="Q594" s="116"/>
      <c r="R594" s="116"/>
      <c r="S594" s="116"/>
      <c r="U594" s="116"/>
    </row>
    <row r="595" spans="17:21">
      <c r="Q595" s="116"/>
      <c r="R595" s="116"/>
      <c r="S595" s="116"/>
      <c r="U595" s="116"/>
    </row>
    <row r="596" spans="17:21">
      <c r="Q596" s="116"/>
      <c r="R596" s="116"/>
      <c r="S596" s="116"/>
      <c r="U596" s="116"/>
    </row>
    <row r="597" spans="17:21">
      <c r="Q597" s="116"/>
      <c r="R597" s="116"/>
      <c r="S597" s="116"/>
      <c r="U597" s="116"/>
    </row>
    <row r="598" spans="17:21">
      <c r="Q598" s="116"/>
      <c r="R598" s="116"/>
      <c r="S598" s="116"/>
      <c r="U598" s="116"/>
    </row>
    <row r="599" spans="17:21">
      <c r="Q599" s="116"/>
      <c r="R599" s="116"/>
      <c r="S599" s="116"/>
      <c r="U599" s="116"/>
    </row>
    <row r="600" spans="17:21">
      <c r="Q600" s="116"/>
      <c r="R600" s="116"/>
      <c r="S600" s="116"/>
      <c r="U600" s="116"/>
    </row>
    <row r="601" spans="17:21">
      <c r="Q601" s="116"/>
      <c r="R601" s="116"/>
      <c r="S601" s="116"/>
      <c r="U601" s="116"/>
    </row>
    <row r="602" spans="17:21">
      <c r="Q602" s="116"/>
      <c r="R602" s="116"/>
      <c r="S602" s="116"/>
      <c r="U602" s="116"/>
    </row>
    <row r="603" spans="17:21">
      <c r="Q603" s="116"/>
      <c r="R603" s="116"/>
      <c r="S603" s="116"/>
      <c r="U603" s="116"/>
    </row>
    <row r="604" spans="17:21">
      <c r="Q604" s="116"/>
      <c r="R604" s="116"/>
      <c r="S604" s="116"/>
      <c r="U604" s="116"/>
    </row>
    <row r="605" spans="17:21">
      <c r="Q605" s="116"/>
      <c r="R605" s="116"/>
      <c r="S605" s="116"/>
      <c r="U605" s="116"/>
    </row>
    <row r="606" spans="17:21">
      <c r="Q606" s="116"/>
      <c r="R606" s="116"/>
      <c r="S606" s="116"/>
      <c r="U606" s="116"/>
    </row>
    <row r="607" spans="17:21">
      <c r="Q607" s="116"/>
      <c r="R607" s="116"/>
      <c r="S607" s="116"/>
      <c r="U607" s="116"/>
    </row>
    <row r="608" spans="17:21">
      <c r="Q608" s="116"/>
      <c r="R608" s="116"/>
      <c r="S608" s="116"/>
      <c r="U608" s="116"/>
    </row>
    <row r="609" spans="17:21">
      <c r="Q609" s="116"/>
      <c r="R609" s="116"/>
      <c r="S609" s="116"/>
      <c r="U609" s="116"/>
    </row>
    <row r="610" spans="17:21">
      <c r="Q610" s="116"/>
      <c r="R610" s="116"/>
      <c r="S610" s="116"/>
      <c r="U610" s="116"/>
    </row>
    <row r="611" spans="17:21">
      <c r="Q611" s="116"/>
      <c r="R611" s="116"/>
      <c r="S611" s="116"/>
      <c r="U611" s="116"/>
    </row>
    <row r="612" spans="17:21">
      <c r="Q612" s="116"/>
      <c r="R612" s="116"/>
      <c r="S612" s="116"/>
      <c r="U612" s="116"/>
    </row>
    <row r="613" spans="17:21">
      <c r="Q613" s="116"/>
      <c r="R613" s="116"/>
      <c r="S613" s="116"/>
      <c r="U613" s="116"/>
    </row>
    <row r="614" spans="17:21">
      <c r="Q614" s="116"/>
      <c r="R614" s="116"/>
      <c r="S614" s="116"/>
      <c r="U614" s="116"/>
    </row>
    <row r="615" spans="17:21">
      <c r="Q615" s="116"/>
      <c r="R615" s="116"/>
      <c r="S615" s="116"/>
      <c r="U615" s="116"/>
    </row>
    <row r="616" spans="17:21">
      <c r="Q616" s="116"/>
      <c r="R616" s="116"/>
      <c r="S616" s="116"/>
      <c r="U616" s="116"/>
    </row>
    <row r="617" spans="17:21">
      <c r="Q617" s="116"/>
      <c r="R617" s="116"/>
      <c r="S617" s="116"/>
      <c r="U617" s="116"/>
    </row>
    <row r="618" spans="17:21">
      <c r="Q618" s="116"/>
      <c r="R618" s="116"/>
      <c r="S618" s="116"/>
      <c r="U618" s="116"/>
    </row>
    <row r="619" spans="17:21">
      <c r="Q619" s="116"/>
      <c r="R619" s="116"/>
      <c r="S619" s="116"/>
      <c r="U619" s="116"/>
    </row>
    <row r="620" spans="17:21">
      <c r="Q620" s="116"/>
      <c r="R620" s="116"/>
      <c r="S620" s="116"/>
      <c r="U620" s="116"/>
    </row>
    <row r="621" spans="17:21">
      <c r="Q621" s="116"/>
      <c r="R621" s="116"/>
      <c r="S621" s="116"/>
      <c r="U621" s="116"/>
    </row>
    <row r="622" spans="17:21">
      <c r="Q622" s="116"/>
      <c r="R622" s="116"/>
      <c r="S622" s="116"/>
      <c r="U622" s="116"/>
    </row>
    <row r="623" spans="17:21">
      <c r="Q623" s="116"/>
      <c r="R623" s="116"/>
      <c r="S623" s="116"/>
      <c r="U623" s="116"/>
    </row>
    <row r="624" spans="17:21">
      <c r="Q624" s="116"/>
      <c r="R624" s="116"/>
      <c r="S624" s="116"/>
      <c r="U624" s="116"/>
    </row>
    <row r="625" spans="17:21">
      <c r="Q625" s="116"/>
      <c r="R625" s="116"/>
      <c r="S625" s="116"/>
      <c r="U625" s="116"/>
    </row>
    <row r="626" spans="17:21">
      <c r="Q626" s="116"/>
      <c r="R626" s="116"/>
      <c r="S626" s="116"/>
      <c r="U626" s="116"/>
    </row>
    <row r="627" spans="17:21">
      <c r="Q627" s="116"/>
      <c r="R627" s="116"/>
      <c r="S627" s="116"/>
      <c r="U627" s="116"/>
    </row>
    <row r="628" spans="17:21">
      <c r="Q628" s="116"/>
      <c r="R628" s="116"/>
      <c r="S628" s="116"/>
      <c r="U628" s="116"/>
    </row>
    <row r="629" spans="17:21">
      <c r="Q629" s="116"/>
      <c r="R629" s="116"/>
      <c r="S629" s="116"/>
      <c r="U629" s="116"/>
    </row>
    <row r="630" spans="17:21">
      <c r="Q630" s="116"/>
      <c r="R630" s="116"/>
      <c r="S630" s="116"/>
      <c r="U630" s="116"/>
    </row>
    <row r="631" spans="17:21">
      <c r="Q631" s="116"/>
      <c r="R631" s="116"/>
      <c r="S631" s="116"/>
      <c r="U631" s="116"/>
    </row>
    <row r="632" spans="17:21">
      <c r="Q632" s="116"/>
      <c r="R632" s="116"/>
      <c r="S632" s="116"/>
      <c r="U632" s="116"/>
    </row>
    <row r="633" spans="17:21">
      <c r="Q633" s="116"/>
      <c r="R633" s="116"/>
      <c r="S633" s="116"/>
      <c r="U633" s="116"/>
    </row>
    <row r="634" spans="17:21">
      <c r="Q634" s="116"/>
      <c r="R634" s="116"/>
      <c r="S634" s="116"/>
      <c r="U634" s="116"/>
    </row>
    <row r="635" spans="17:21">
      <c r="Q635" s="116"/>
      <c r="R635" s="116"/>
      <c r="S635" s="116"/>
      <c r="U635" s="116"/>
    </row>
    <row r="636" spans="17:21">
      <c r="Q636" s="116"/>
      <c r="R636" s="116"/>
      <c r="S636" s="116"/>
      <c r="U636" s="116"/>
    </row>
    <row r="637" spans="17:21">
      <c r="Q637" s="116"/>
      <c r="R637" s="116"/>
      <c r="S637" s="116"/>
      <c r="U637" s="116"/>
    </row>
    <row r="638" spans="17:21">
      <c r="Q638" s="116"/>
      <c r="R638" s="116"/>
      <c r="S638" s="116"/>
      <c r="U638" s="116"/>
    </row>
    <row r="639" spans="17:21">
      <c r="Q639" s="116"/>
      <c r="R639" s="116"/>
      <c r="S639" s="116"/>
      <c r="U639" s="116"/>
    </row>
    <row r="640" spans="17:21">
      <c r="Q640" s="116"/>
      <c r="R640" s="116"/>
      <c r="S640" s="116"/>
      <c r="U640" s="116"/>
    </row>
    <row r="641" spans="17:21">
      <c r="Q641" s="116"/>
      <c r="R641" s="116"/>
      <c r="S641" s="116"/>
      <c r="U641" s="116"/>
    </row>
    <row r="642" spans="17:21">
      <c r="Q642" s="116"/>
      <c r="R642" s="116"/>
      <c r="S642" s="116"/>
      <c r="U642" s="116"/>
    </row>
    <row r="643" spans="17:21">
      <c r="Q643" s="116"/>
      <c r="R643" s="116"/>
      <c r="S643" s="116"/>
      <c r="U643" s="116"/>
    </row>
    <row r="644" spans="17:21">
      <c r="Q644" s="116"/>
      <c r="R644" s="116"/>
      <c r="S644" s="116"/>
      <c r="U644" s="116"/>
    </row>
    <row r="645" spans="17:21">
      <c r="Q645" s="116"/>
      <c r="R645" s="116"/>
      <c r="S645" s="116"/>
      <c r="U645" s="116"/>
    </row>
    <row r="646" spans="17:21">
      <c r="Q646" s="116"/>
      <c r="R646" s="116"/>
      <c r="S646" s="116"/>
      <c r="U646" s="116"/>
    </row>
    <row r="647" spans="17:21">
      <c r="Q647" s="116"/>
      <c r="R647" s="116"/>
      <c r="S647" s="116"/>
      <c r="U647" s="116"/>
    </row>
    <row r="648" spans="17:21">
      <c r="Q648" s="116"/>
      <c r="R648" s="116"/>
      <c r="S648" s="116"/>
      <c r="U648" s="116"/>
    </row>
    <row r="649" spans="17:21">
      <c r="Q649" s="116"/>
      <c r="R649" s="116"/>
      <c r="S649" s="116"/>
      <c r="U649" s="116"/>
    </row>
    <row r="650" spans="17:21">
      <c r="Q650" s="116"/>
      <c r="R650" s="116"/>
      <c r="S650" s="116"/>
      <c r="U650" s="116"/>
    </row>
    <row r="651" spans="17:21">
      <c r="Q651" s="116"/>
      <c r="R651" s="116"/>
      <c r="S651" s="116"/>
      <c r="U651" s="116"/>
    </row>
    <row r="652" spans="17:21">
      <c r="Q652" s="116"/>
      <c r="R652" s="116"/>
      <c r="S652" s="116"/>
      <c r="U652" s="116"/>
    </row>
    <row r="653" spans="17:21">
      <c r="Q653" s="116"/>
      <c r="R653" s="116"/>
      <c r="S653" s="116"/>
      <c r="U653" s="116"/>
    </row>
    <row r="654" spans="17:21">
      <c r="Q654" s="116"/>
      <c r="R654" s="116"/>
      <c r="S654" s="116"/>
      <c r="U654" s="116"/>
    </row>
    <row r="655" spans="17:21">
      <c r="Q655" s="116"/>
      <c r="R655" s="116"/>
      <c r="S655" s="116"/>
      <c r="U655" s="116"/>
    </row>
    <row r="656" spans="17:21">
      <c r="Q656" s="116"/>
      <c r="R656" s="116"/>
      <c r="S656" s="116"/>
      <c r="U656" s="116"/>
    </row>
    <row r="657" spans="17:21">
      <c r="Q657" s="116"/>
      <c r="R657" s="116"/>
      <c r="S657" s="116"/>
      <c r="U657" s="116"/>
    </row>
    <row r="658" spans="17:21">
      <c r="Q658" s="116"/>
      <c r="R658" s="116"/>
      <c r="S658" s="116"/>
      <c r="U658" s="116"/>
    </row>
    <row r="659" spans="17:21">
      <c r="Q659" s="116"/>
      <c r="R659" s="116"/>
      <c r="S659" s="116"/>
      <c r="U659" s="116"/>
    </row>
    <row r="660" spans="17:21">
      <c r="Q660" s="116"/>
      <c r="R660" s="116"/>
      <c r="S660" s="116"/>
      <c r="U660" s="116"/>
    </row>
    <row r="661" spans="17:21">
      <c r="Q661" s="116"/>
      <c r="R661" s="116"/>
      <c r="S661" s="116"/>
      <c r="U661" s="116"/>
    </row>
    <row r="662" spans="17:21">
      <c r="Q662" s="116"/>
      <c r="R662" s="116"/>
      <c r="S662" s="116"/>
      <c r="U662" s="116"/>
    </row>
    <row r="663" spans="17:21">
      <c r="Q663" s="116"/>
      <c r="R663" s="116"/>
      <c r="S663" s="116"/>
      <c r="U663" s="116"/>
    </row>
    <row r="664" spans="17:21">
      <c r="Q664" s="116"/>
      <c r="R664" s="116"/>
      <c r="S664" s="116"/>
      <c r="U664" s="116"/>
    </row>
    <row r="665" spans="17:21">
      <c r="Q665" s="116"/>
      <c r="R665" s="116"/>
      <c r="S665" s="116"/>
      <c r="U665" s="116"/>
    </row>
    <row r="666" spans="17:21">
      <c r="Q666" s="116"/>
      <c r="R666" s="116"/>
      <c r="S666" s="116"/>
      <c r="U666" s="116"/>
    </row>
    <row r="667" spans="17:21">
      <c r="Q667" s="116"/>
      <c r="R667" s="116"/>
      <c r="S667" s="116"/>
      <c r="U667" s="116"/>
    </row>
    <row r="668" spans="17:21">
      <c r="Q668" s="116"/>
      <c r="R668" s="116"/>
      <c r="S668" s="116"/>
      <c r="U668" s="116"/>
    </row>
    <row r="669" spans="17:21">
      <c r="Q669" s="116"/>
      <c r="R669" s="116"/>
      <c r="S669" s="116"/>
      <c r="U669" s="116"/>
    </row>
    <row r="670" spans="17:21">
      <c r="Q670" s="116"/>
      <c r="R670" s="116"/>
      <c r="S670" s="116"/>
      <c r="U670" s="116"/>
    </row>
    <row r="671" spans="17:21">
      <c r="Q671" s="116"/>
      <c r="R671" s="116"/>
      <c r="S671" s="116"/>
      <c r="U671" s="116"/>
    </row>
    <row r="672" spans="17:21">
      <c r="Q672" s="116"/>
      <c r="R672" s="116"/>
      <c r="S672" s="116"/>
      <c r="U672" s="116"/>
    </row>
    <row r="673" spans="17:21">
      <c r="Q673" s="116"/>
      <c r="R673" s="116"/>
      <c r="S673" s="116"/>
      <c r="U673" s="116"/>
    </row>
    <row r="674" spans="17:21">
      <c r="Q674" s="116"/>
      <c r="R674" s="116"/>
      <c r="S674" s="116"/>
      <c r="U674" s="116"/>
    </row>
    <row r="675" spans="17:21">
      <c r="Q675" s="116"/>
      <c r="R675" s="116"/>
      <c r="S675" s="116"/>
      <c r="U675" s="116"/>
    </row>
    <row r="676" spans="17:21">
      <c r="Q676" s="116"/>
      <c r="R676" s="116"/>
      <c r="S676" s="116"/>
      <c r="U676" s="116"/>
    </row>
    <row r="677" spans="17:21">
      <c r="Q677" s="116"/>
      <c r="R677" s="116"/>
      <c r="S677" s="116"/>
      <c r="U677" s="116"/>
    </row>
    <row r="678" spans="17:21">
      <c r="Q678" s="116"/>
      <c r="R678" s="116"/>
      <c r="S678" s="116"/>
      <c r="U678" s="116"/>
    </row>
    <row r="679" spans="17:21">
      <c r="Q679" s="116"/>
      <c r="R679" s="116"/>
      <c r="S679" s="116"/>
      <c r="U679" s="116"/>
    </row>
    <row r="680" spans="17:21">
      <c r="Q680" s="116"/>
      <c r="R680" s="116"/>
      <c r="S680" s="116"/>
      <c r="U680" s="116"/>
    </row>
    <row r="681" spans="17:21">
      <c r="Q681" s="116"/>
      <c r="R681" s="116"/>
      <c r="S681" s="116"/>
      <c r="U681" s="116"/>
    </row>
    <row r="682" spans="17:21">
      <c r="Q682" s="116"/>
      <c r="R682" s="116"/>
      <c r="S682" s="116"/>
      <c r="U682" s="116"/>
    </row>
    <row r="683" spans="17:21">
      <c r="Q683" s="116"/>
      <c r="R683" s="116"/>
      <c r="S683" s="116"/>
      <c r="U683" s="116"/>
    </row>
    <row r="684" spans="17:21">
      <c r="Q684" s="116"/>
      <c r="R684" s="116"/>
      <c r="S684" s="116"/>
      <c r="U684" s="116"/>
    </row>
    <row r="685" spans="17:21">
      <c r="Q685" s="116"/>
      <c r="R685" s="116"/>
      <c r="S685" s="116"/>
      <c r="U685" s="116"/>
    </row>
    <row r="686" spans="17:21">
      <c r="Q686" s="116"/>
      <c r="R686" s="116"/>
      <c r="S686" s="116"/>
      <c r="U686" s="116"/>
    </row>
    <row r="687" spans="17:21">
      <c r="Q687" s="116"/>
      <c r="R687" s="116"/>
      <c r="S687" s="116"/>
      <c r="U687" s="116"/>
    </row>
    <row r="688" spans="17:21">
      <c r="Q688" s="116"/>
      <c r="R688" s="116"/>
      <c r="S688" s="116"/>
      <c r="U688" s="116"/>
    </row>
    <row r="689" spans="17:21">
      <c r="Q689" s="116"/>
      <c r="R689" s="116"/>
      <c r="S689" s="116"/>
      <c r="U689" s="116"/>
    </row>
    <row r="690" spans="17:21">
      <c r="Q690" s="116"/>
      <c r="R690" s="116"/>
      <c r="S690" s="116"/>
      <c r="U690" s="116"/>
    </row>
    <row r="691" spans="17:21">
      <c r="Q691" s="116"/>
      <c r="R691" s="116"/>
      <c r="S691" s="116"/>
      <c r="U691" s="116"/>
    </row>
    <row r="692" spans="17:21">
      <c r="Q692" s="116"/>
      <c r="R692" s="116"/>
      <c r="S692" s="116"/>
      <c r="U692" s="116"/>
    </row>
    <row r="693" spans="17:21">
      <c r="Q693" s="116"/>
      <c r="R693" s="116"/>
      <c r="S693" s="116"/>
      <c r="U693" s="116"/>
    </row>
    <row r="694" spans="17:21">
      <c r="Q694" s="116"/>
      <c r="R694" s="116"/>
      <c r="S694" s="116"/>
      <c r="U694" s="116"/>
    </row>
    <row r="695" spans="17:21">
      <c r="Q695" s="116"/>
      <c r="R695" s="116"/>
      <c r="S695" s="116"/>
      <c r="U695" s="116"/>
    </row>
    <row r="696" spans="17:21">
      <c r="Q696" s="116"/>
      <c r="R696" s="116"/>
      <c r="S696" s="116"/>
      <c r="U696" s="116"/>
    </row>
    <row r="697" spans="17:21">
      <c r="Q697" s="116"/>
      <c r="R697" s="116"/>
      <c r="S697" s="116"/>
      <c r="U697" s="116"/>
    </row>
    <row r="698" spans="17:21">
      <c r="Q698" s="116"/>
      <c r="R698" s="116"/>
      <c r="S698" s="116"/>
      <c r="U698" s="116"/>
    </row>
    <row r="699" spans="17:21">
      <c r="Q699" s="116"/>
      <c r="R699" s="116"/>
      <c r="S699" s="116"/>
      <c r="U699" s="116"/>
    </row>
    <row r="700" spans="17:21">
      <c r="Q700" s="116"/>
      <c r="R700" s="116"/>
      <c r="S700" s="116"/>
      <c r="U700" s="116"/>
    </row>
    <row r="701" spans="17:21">
      <c r="Q701" s="116"/>
      <c r="R701" s="116"/>
      <c r="S701" s="116"/>
      <c r="U701" s="116"/>
    </row>
    <row r="702" spans="17:21">
      <c r="Q702" s="116"/>
      <c r="R702" s="116"/>
      <c r="S702" s="116"/>
      <c r="U702" s="116"/>
    </row>
    <row r="703" spans="17:21">
      <c r="Q703" s="116"/>
      <c r="R703" s="116"/>
      <c r="S703" s="116"/>
      <c r="U703" s="116"/>
    </row>
    <row r="704" spans="17:21">
      <c r="Q704" s="116"/>
      <c r="R704" s="116"/>
      <c r="S704" s="116"/>
      <c r="U704" s="116"/>
    </row>
    <row r="705" spans="17:21">
      <c r="Q705" s="116"/>
      <c r="R705" s="116"/>
      <c r="S705" s="116"/>
      <c r="U705" s="116"/>
    </row>
    <row r="706" spans="17:21">
      <c r="Q706" s="116"/>
      <c r="R706" s="116"/>
      <c r="S706" s="116"/>
      <c r="U706" s="116"/>
    </row>
    <row r="707" spans="17:21">
      <c r="Q707" s="116"/>
      <c r="R707" s="116"/>
      <c r="S707" s="116"/>
      <c r="U707" s="116"/>
    </row>
    <row r="708" spans="17:21">
      <c r="Q708" s="116"/>
      <c r="R708" s="116"/>
      <c r="S708" s="116"/>
      <c r="U708" s="116"/>
    </row>
    <row r="709" spans="17:21">
      <c r="Q709" s="116"/>
      <c r="R709" s="116"/>
      <c r="S709" s="116"/>
      <c r="U709" s="116"/>
    </row>
    <row r="710" spans="17:21">
      <c r="Q710" s="116"/>
      <c r="R710" s="116"/>
      <c r="S710" s="116"/>
      <c r="U710" s="116"/>
    </row>
    <row r="711" spans="17:21">
      <c r="Q711" s="116"/>
      <c r="R711" s="116"/>
      <c r="S711" s="116"/>
      <c r="U711" s="116"/>
    </row>
    <row r="712" spans="17:21">
      <c r="Q712" s="116"/>
      <c r="R712" s="116"/>
      <c r="S712" s="116"/>
      <c r="U712" s="116"/>
    </row>
    <row r="713" spans="17:21">
      <c r="Q713" s="116"/>
      <c r="R713" s="116"/>
      <c r="S713" s="116"/>
      <c r="U713" s="116"/>
    </row>
    <row r="714" spans="17:21">
      <c r="Q714" s="116"/>
      <c r="R714" s="116"/>
      <c r="S714" s="116"/>
    </row>
    <row r="715" spans="17:21">
      <c r="Q715" s="116"/>
      <c r="R715" s="116"/>
      <c r="S715" s="116"/>
    </row>
    <row r="716" spans="17:21">
      <c r="Q716" s="116"/>
      <c r="R716" s="116"/>
      <c r="S716" s="116"/>
    </row>
    <row r="717" spans="17:21">
      <c r="Q717" s="116"/>
      <c r="R717" s="116"/>
      <c r="S717" s="116"/>
    </row>
    <row r="718" spans="17:21">
      <c r="Q718" s="116"/>
      <c r="R718" s="116"/>
      <c r="S718" s="116"/>
    </row>
    <row r="719" spans="17:21">
      <c r="Q719" s="116"/>
      <c r="R719" s="116"/>
      <c r="S719" s="116"/>
    </row>
    <row r="720" spans="17:21">
      <c r="Q720" s="116"/>
      <c r="R720" s="116"/>
      <c r="S720" s="116"/>
    </row>
    <row r="721" spans="17:19">
      <c r="Q721" s="116"/>
      <c r="R721" s="116"/>
      <c r="S721" s="116"/>
    </row>
    <row r="722" spans="17:19">
      <c r="Q722" s="116"/>
      <c r="R722" s="116"/>
      <c r="S722" s="116"/>
    </row>
    <row r="723" spans="17:19">
      <c r="Q723" s="116"/>
      <c r="R723" s="116"/>
      <c r="S723" s="116"/>
    </row>
    <row r="724" spans="17:19">
      <c r="Q724" s="116"/>
      <c r="R724" s="116"/>
    </row>
    <row r="725" spans="17:19">
      <c r="Q725" s="116"/>
      <c r="R725" s="116"/>
    </row>
    <row r="726" spans="17:19">
      <c r="Q726" s="116"/>
      <c r="R726" s="116"/>
    </row>
    <row r="727" spans="17:19">
      <c r="Q727" s="116"/>
      <c r="R727" s="116"/>
    </row>
    <row r="728" spans="17:19">
      <c r="Q728" s="116"/>
      <c r="R728" s="116"/>
    </row>
    <row r="729" spans="17:19">
      <c r="Q729" s="116"/>
      <c r="R729" s="116"/>
    </row>
    <row r="730" spans="17:19">
      <c r="Q730" s="116"/>
      <c r="R730" s="116"/>
    </row>
    <row r="731" spans="17:19">
      <c r="Q731" s="116"/>
      <c r="R731" s="116"/>
    </row>
    <row r="732" spans="17:19">
      <c r="Q732" s="116"/>
      <c r="R732" s="116"/>
    </row>
    <row r="733" spans="17:19">
      <c r="Q733" s="116"/>
      <c r="R733" s="116"/>
    </row>
    <row r="734" spans="17:19">
      <c r="Q734" s="116"/>
      <c r="R734" s="116"/>
    </row>
    <row r="735" spans="17:19">
      <c r="Q735" s="116"/>
      <c r="R735" s="116"/>
    </row>
    <row r="736" spans="17:19">
      <c r="Q736" s="116"/>
      <c r="R736" s="116"/>
    </row>
    <row r="737" spans="17:18">
      <c r="Q737" s="116"/>
      <c r="R737" s="116"/>
    </row>
    <row r="738" spans="17:18">
      <c r="Q738" s="116"/>
      <c r="R738" s="116"/>
    </row>
    <row r="739" spans="17:18">
      <c r="Q739" s="116"/>
      <c r="R739" s="116"/>
    </row>
    <row r="740" spans="17:18">
      <c r="Q740" s="116"/>
      <c r="R740" s="116"/>
    </row>
    <row r="741" spans="17:18">
      <c r="Q741" s="116"/>
      <c r="R741" s="116"/>
    </row>
    <row r="742" spans="17:18">
      <c r="Q742" s="116"/>
      <c r="R742" s="116"/>
    </row>
    <row r="743" spans="17:18">
      <c r="Q743" s="116"/>
      <c r="R743" s="116"/>
    </row>
    <row r="744" spans="17:18">
      <c r="Q744" s="116"/>
      <c r="R744" s="116"/>
    </row>
    <row r="745" spans="17:18">
      <c r="Q745" s="116"/>
      <c r="R745" s="116"/>
    </row>
    <row r="746" spans="17:18">
      <c r="Q746" s="116"/>
      <c r="R746" s="116"/>
    </row>
    <row r="747" spans="17:18">
      <c r="Q747" s="116"/>
      <c r="R747" s="116"/>
    </row>
    <row r="748" spans="17:18">
      <c r="Q748" s="116"/>
      <c r="R748" s="116"/>
    </row>
    <row r="749" spans="17:18">
      <c r="Q749" s="116"/>
      <c r="R749" s="116"/>
    </row>
    <row r="750" spans="17:18">
      <c r="Q750" s="116"/>
      <c r="R750" s="116"/>
    </row>
    <row r="751" spans="17:18">
      <c r="Q751" s="116"/>
      <c r="R751" s="116"/>
    </row>
    <row r="752" spans="17:18">
      <c r="Q752" s="116"/>
      <c r="R752" s="116"/>
    </row>
    <row r="753" spans="17:18">
      <c r="Q753" s="116"/>
      <c r="R753" s="116"/>
    </row>
    <row r="754" spans="17:18">
      <c r="Q754" s="116"/>
      <c r="R754" s="116"/>
    </row>
    <row r="755" spans="17:18">
      <c r="Q755" s="116"/>
      <c r="R755" s="116"/>
    </row>
    <row r="756" spans="17:18">
      <c r="Q756" s="116"/>
      <c r="R756" s="116"/>
    </row>
    <row r="757" spans="17:18">
      <c r="Q757" s="116"/>
      <c r="R757" s="116"/>
    </row>
    <row r="758" spans="17:18">
      <c r="Q758" s="116"/>
      <c r="R758" s="116"/>
    </row>
    <row r="759" spans="17:18">
      <c r="Q759" s="116"/>
      <c r="R759" s="116"/>
    </row>
    <row r="760" spans="17:18">
      <c r="Q760" s="116"/>
      <c r="R760" s="116"/>
    </row>
    <row r="761" spans="17:18">
      <c r="Q761" s="116"/>
      <c r="R761" s="116"/>
    </row>
    <row r="762" spans="17:18">
      <c r="Q762" s="116"/>
      <c r="R762" s="116"/>
    </row>
    <row r="763" spans="17:18">
      <c r="Q763" s="116"/>
      <c r="R763" s="116"/>
    </row>
    <row r="764" spans="17:18">
      <c r="Q764" s="116"/>
      <c r="R764" s="116"/>
    </row>
    <row r="765" spans="17:18">
      <c r="Q765" s="116"/>
      <c r="R765" s="116"/>
    </row>
    <row r="766" spans="17:18">
      <c r="Q766" s="116"/>
      <c r="R766" s="116"/>
    </row>
    <row r="767" spans="17:18">
      <c r="Q767" s="116"/>
      <c r="R767" s="116"/>
    </row>
    <row r="768" spans="17:18">
      <c r="Q768" s="116"/>
      <c r="R768" s="116"/>
    </row>
    <row r="769" spans="17:18">
      <c r="Q769" s="116"/>
      <c r="R769" s="116"/>
    </row>
    <row r="770" spans="17:18">
      <c r="Q770" s="116"/>
      <c r="R770" s="116"/>
    </row>
    <row r="771" spans="17:18">
      <c r="Q771" s="116"/>
      <c r="R771" s="116"/>
    </row>
    <row r="772" spans="17:18">
      <c r="Q772" s="116"/>
      <c r="R772" s="116"/>
    </row>
    <row r="773" spans="17:18">
      <c r="Q773" s="116"/>
      <c r="R773" s="116"/>
    </row>
    <row r="774" spans="17:18">
      <c r="Q774" s="116"/>
      <c r="R774" s="116"/>
    </row>
    <row r="775" spans="17:18">
      <c r="Q775" s="116"/>
      <c r="R775" s="116"/>
    </row>
    <row r="776" spans="17:18">
      <c r="Q776" s="116"/>
      <c r="R776" s="116"/>
    </row>
    <row r="777" spans="17:18">
      <c r="Q777" s="116"/>
      <c r="R777" s="116"/>
    </row>
    <row r="778" spans="17:18">
      <c r="Q778" s="116"/>
      <c r="R778" s="116"/>
    </row>
    <row r="779" spans="17:18">
      <c r="Q779" s="116"/>
      <c r="R779" s="116"/>
    </row>
    <row r="780" spans="17:18">
      <c r="Q780" s="116"/>
      <c r="R780" s="116"/>
    </row>
    <row r="781" spans="17:18">
      <c r="Q781" s="116"/>
      <c r="R781" s="116"/>
    </row>
    <row r="782" spans="17:18">
      <c r="Q782" s="116"/>
      <c r="R782" s="116"/>
    </row>
    <row r="783" spans="17:18">
      <c r="Q783" s="116"/>
      <c r="R783" s="116"/>
    </row>
    <row r="784" spans="17:18">
      <c r="Q784" s="116"/>
      <c r="R784" s="116"/>
    </row>
    <row r="785" spans="17:18">
      <c r="Q785" s="116"/>
      <c r="R785" s="116"/>
    </row>
    <row r="786" spans="17:18">
      <c r="Q786" s="116"/>
      <c r="R786" s="116"/>
    </row>
    <row r="787" spans="17:18">
      <c r="Q787" s="116"/>
      <c r="R787" s="116"/>
    </row>
    <row r="788" spans="17:18">
      <c r="Q788" s="116"/>
      <c r="R788" s="116"/>
    </row>
    <row r="789" spans="17:18">
      <c r="Q789" s="116"/>
      <c r="R789" s="116"/>
    </row>
    <row r="790" spans="17:18">
      <c r="Q790" s="116"/>
      <c r="R790" s="116"/>
    </row>
    <row r="791" spans="17:18">
      <c r="Q791" s="116"/>
      <c r="R791" s="116"/>
    </row>
    <row r="792" spans="17:18">
      <c r="Q792" s="116"/>
      <c r="R792" s="116"/>
    </row>
    <row r="793" spans="17:18">
      <c r="Q793" s="116"/>
      <c r="R793" s="116"/>
    </row>
    <row r="794" spans="17:18">
      <c r="Q794" s="116"/>
      <c r="R794" s="116"/>
    </row>
    <row r="795" spans="17:18">
      <c r="Q795" s="116"/>
      <c r="R795" s="116"/>
    </row>
    <row r="796" spans="17:18">
      <c r="Q796" s="116"/>
      <c r="R796" s="116"/>
    </row>
    <row r="797" spans="17:18">
      <c r="Q797" s="116"/>
      <c r="R797" s="116"/>
    </row>
    <row r="798" spans="17:18">
      <c r="Q798" s="116"/>
      <c r="R798" s="116"/>
    </row>
    <row r="799" spans="17:18">
      <c r="Q799" s="116"/>
      <c r="R799" s="116"/>
    </row>
    <row r="800" spans="17:18">
      <c r="Q800" s="116"/>
      <c r="R800" s="116"/>
    </row>
    <row r="801" spans="17:18">
      <c r="Q801" s="116"/>
      <c r="R801" s="116"/>
    </row>
    <row r="802" spans="17:18">
      <c r="Q802" s="116"/>
      <c r="R802" s="116"/>
    </row>
    <row r="803" spans="17:18">
      <c r="Q803" s="116"/>
      <c r="R803" s="116"/>
    </row>
    <row r="804" spans="17:18">
      <c r="Q804" s="116"/>
      <c r="R804" s="116"/>
    </row>
    <row r="805" spans="17:18">
      <c r="Q805" s="116"/>
      <c r="R805" s="116"/>
    </row>
    <row r="806" spans="17:18">
      <c r="Q806" s="116"/>
      <c r="R806" s="116"/>
    </row>
    <row r="807" spans="17:18">
      <c r="Q807" s="116"/>
      <c r="R807" s="116"/>
    </row>
    <row r="808" spans="17:18">
      <c r="Q808" s="116"/>
      <c r="R808" s="116"/>
    </row>
    <row r="809" spans="17:18">
      <c r="Q809" s="116"/>
      <c r="R809" s="116"/>
    </row>
    <row r="810" spans="17:18">
      <c r="Q810" s="116"/>
      <c r="R810" s="116"/>
    </row>
    <row r="811" spans="17:18">
      <c r="Q811" s="116"/>
      <c r="R811" s="116"/>
    </row>
    <row r="812" spans="17:18">
      <c r="Q812" s="116"/>
      <c r="R812" s="116"/>
    </row>
    <row r="813" spans="17:18">
      <c r="Q813" s="116"/>
      <c r="R813" s="116"/>
    </row>
    <row r="814" spans="17:18">
      <c r="Q814" s="116"/>
      <c r="R814" s="116"/>
    </row>
    <row r="815" spans="17:18">
      <c r="Q815" s="116"/>
      <c r="R815" s="116"/>
    </row>
    <row r="816" spans="17:18">
      <c r="Q816" s="116"/>
      <c r="R816" s="116"/>
    </row>
    <row r="817" spans="17:18">
      <c r="Q817" s="116"/>
      <c r="R817" s="116"/>
    </row>
    <row r="818" spans="17:18">
      <c r="Q818" s="116"/>
      <c r="R818" s="116"/>
    </row>
    <row r="819" spans="17:18">
      <c r="Q819" s="116"/>
      <c r="R819" s="116"/>
    </row>
    <row r="820" spans="17:18">
      <c r="Q820" s="116"/>
      <c r="R820" s="116"/>
    </row>
    <row r="821" spans="17:18">
      <c r="Q821" s="116"/>
      <c r="R821" s="116"/>
    </row>
    <row r="822" spans="17:18">
      <c r="Q822" s="116"/>
      <c r="R822" s="116"/>
    </row>
    <row r="823" spans="17:18">
      <c r="Q823" s="116"/>
      <c r="R823" s="116"/>
    </row>
    <row r="824" spans="17:18">
      <c r="Q824" s="116"/>
      <c r="R824" s="116"/>
    </row>
    <row r="825" spans="17:18">
      <c r="Q825" s="116"/>
      <c r="R825" s="116"/>
    </row>
    <row r="826" spans="17:18">
      <c r="Q826" s="116"/>
      <c r="R826" s="116"/>
    </row>
    <row r="827" spans="17:18">
      <c r="Q827" s="116"/>
      <c r="R827" s="116"/>
    </row>
    <row r="828" spans="17:18">
      <c r="Q828" s="116"/>
      <c r="R828" s="116"/>
    </row>
    <row r="829" spans="17:18">
      <c r="Q829" s="116"/>
      <c r="R829" s="116"/>
    </row>
    <row r="830" spans="17:18">
      <c r="Q830" s="116"/>
      <c r="R830" s="116"/>
    </row>
    <row r="831" spans="17:18">
      <c r="Q831" s="116"/>
      <c r="R831" s="116"/>
    </row>
    <row r="832" spans="17:18">
      <c r="Q832" s="116"/>
      <c r="R832" s="116"/>
    </row>
    <row r="833" spans="17:18">
      <c r="Q833" s="116"/>
      <c r="R833" s="116"/>
    </row>
    <row r="834" spans="17:18">
      <c r="Q834" s="116"/>
      <c r="R834" s="116"/>
    </row>
    <row r="835" spans="17:18">
      <c r="Q835" s="116"/>
      <c r="R835" s="116"/>
    </row>
    <row r="836" spans="17:18">
      <c r="Q836" s="116"/>
      <c r="R836" s="116"/>
    </row>
    <row r="837" spans="17:18">
      <c r="Q837" s="116"/>
      <c r="R837" s="116"/>
    </row>
    <row r="838" spans="17:18">
      <c r="Q838" s="116"/>
      <c r="R838" s="116"/>
    </row>
    <row r="839" spans="17:18">
      <c r="Q839" s="116"/>
      <c r="R839" s="116"/>
    </row>
    <row r="840" spans="17:18">
      <c r="Q840" s="116"/>
      <c r="R840" s="116"/>
    </row>
    <row r="841" spans="17:18">
      <c r="Q841" s="116"/>
      <c r="R841" s="116"/>
    </row>
    <row r="842" spans="17:18">
      <c r="Q842" s="116"/>
      <c r="R842" s="116"/>
    </row>
    <row r="843" spans="17:18">
      <c r="Q843" s="116"/>
      <c r="R843" s="116"/>
    </row>
    <row r="844" spans="17:18">
      <c r="Q844" s="116"/>
      <c r="R844" s="116"/>
    </row>
    <row r="845" spans="17:18">
      <c r="Q845" s="116"/>
      <c r="R845" s="116"/>
    </row>
    <row r="846" spans="17:18">
      <c r="Q846" s="116"/>
      <c r="R846" s="116"/>
    </row>
    <row r="847" spans="17:18">
      <c r="Q847" s="116"/>
      <c r="R847" s="116"/>
    </row>
    <row r="848" spans="17:18">
      <c r="Q848" s="116"/>
      <c r="R848" s="116"/>
    </row>
    <row r="849" spans="17:18">
      <c r="Q849" s="116"/>
      <c r="R849" s="116"/>
    </row>
    <row r="850" spans="17:18">
      <c r="Q850" s="116"/>
      <c r="R850" s="116"/>
    </row>
    <row r="851" spans="17:18">
      <c r="Q851" s="116"/>
      <c r="R851" s="116"/>
    </row>
    <row r="852" spans="17:18">
      <c r="Q852" s="116"/>
      <c r="R852" s="116"/>
    </row>
    <row r="853" spans="17:18">
      <c r="Q853" s="116"/>
      <c r="R853" s="116"/>
    </row>
    <row r="854" spans="17:18">
      <c r="Q854" s="116"/>
      <c r="R854" s="116"/>
    </row>
    <row r="855" spans="17:18">
      <c r="Q855" s="116"/>
      <c r="R855" s="116"/>
    </row>
    <row r="856" spans="17:18">
      <c r="Q856" s="116"/>
      <c r="R856" s="116"/>
    </row>
    <row r="857" spans="17:18">
      <c r="Q857" s="116"/>
      <c r="R857" s="116"/>
    </row>
    <row r="858" spans="17:18">
      <c r="Q858" s="116"/>
      <c r="R858" s="116"/>
    </row>
    <row r="859" spans="17:18">
      <c r="Q859" s="116"/>
      <c r="R859" s="116"/>
    </row>
    <row r="860" spans="17:18">
      <c r="Q860" s="116"/>
      <c r="R860" s="116"/>
    </row>
    <row r="861" spans="17:18">
      <c r="Q861" s="116"/>
      <c r="R861" s="116"/>
    </row>
    <row r="862" spans="17:18">
      <c r="Q862" s="116"/>
      <c r="R862" s="116"/>
    </row>
    <row r="863" spans="17:18">
      <c r="Q863" s="116"/>
      <c r="R863" s="116"/>
    </row>
    <row r="864" spans="17:18">
      <c r="Q864" s="116"/>
      <c r="R864" s="116"/>
    </row>
    <row r="865" spans="17:18">
      <c r="Q865" s="116"/>
      <c r="R865" s="116"/>
    </row>
    <row r="866" spans="17:18">
      <c r="Q866" s="116"/>
      <c r="R866" s="116"/>
    </row>
    <row r="867" spans="17:18">
      <c r="Q867" s="116"/>
      <c r="R867" s="116"/>
    </row>
    <row r="868" spans="17:18">
      <c r="Q868" s="116"/>
      <c r="R868" s="116"/>
    </row>
    <row r="869" spans="17:18">
      <c r="Q869" s="116"/>
      <c r="R869" s="116"/>
    </row>
    <row r="870" spans="17:18">
      <c r="Q870" s="116"/>
      <c r="R870" s="116"/>
    </row>
    <row r="871" spans="17:18">
      <c r="Q871" s="116"/>
      <c r="R871" s="116"/>
    </row>
    <row r="872" spans="17:18">
      <c r="Q872" s="116"/>
      <c r="R872" s="116"/>
    </row>
    <row r="873" spans="17:18">
      <c r="Q873" s="116"/>
      <c r="R873" s="116"/>
    </row>
    <row r="874" spans="17:18">
      <c r="Q874" s="116"/>
      <c r="R874" s="116"/>
    </row>
    <row r="875" spans="17:18">
      <c r="Q875" s="116"/>
      <c r="R875" s="116"/>
    </row>
    <row r="876" spans="17:18">
      <c r="Q876" s="116"/>
      <c r="R876" s="116"/>
    </row>
    <row r="877" spans="17:18">
      <c r="Q877" s="116"/>
      <c r="R877" s="116"/>
    </row>
    <row r="878" spans="17:18">
      <c r="Q878" s="116"/>
      <c r="R878" s="116"/>
    </row>
    <row r="879" spans="17:18">
      <c r="Q879" s="116"/>
      <c r="R879" s="116"/>
    </row>
    <row r="880" spans="17:18">
      <c r="Q880" s="116"/>
      <c r="R880" s="116"/>
    </row>
    <row r="881" spans="17:18">
      <c r="Q881" s="116"/>
      <c r="R881" s="116"/>
    </row>
    <row r="882" spans="17:18">
      <c r="Q882" s="116"/>
      <c r="R882" s="116"/>
    </row>
    <row r="883" spans="17:18">
      <c r="Q883" s="116"/>
      <c r="R883" s="116"/>
    </row>
    <row r="884" spans="17:18">
      <c r="Q884" s="116"/>
      <c r="R884" s="116"/>
    </row>
    <row r="885" spans="17:18">
      <c r="Q885" s="116"/>
      <c r="R885" s="116"/>
    </row>
    <row r="886" spans="17:18">
      <c r="Q886" s="116"/>
      <c r="R886" s="116"/>
    </row>
    <row r="887" spans="17:18">
      <c r="Q887" s="116"/>
      <c r="R887" s="116"/>
    </row>
    <row r="888" spans="17:18">
      <c r="Q888" s="116"/>
      <c r="R888" s="116"/>
    </row>
    <row r="889" spans="17:18">
      <c r="Q889" s="116"/>
      <c r="R889" s="116"/>
    </row>
    <row r="890" spans="17:18">
      <c r="Q890" s="116"/>
      <c r="R890" s="116"/>
    </row>
    <row r="891" spans="17:18">
      <c r="Q891" s="116"/>
      <c r="R891" s="116"/>
    </row>
    <row r="892" spans="17:18">
      <c r="Q892" s="116"/>
      <c r="R892" s="116"/>
    </row>
    <row r="893" spans="17:18">
      <c r="Q893" s="116"/>
      <c r="R893" s="116"/>
    </row>
    <row r="894" spans="17:18">
      <c r="Q894" s="116"/>
      <c r="R894" s="116"/>
    </row>
    <row r="895" spans="17:18">
      <c r="Q895" s="116"/>
      <c r="R895" s="116"/>
    </row>
    <row r="896" spans="17:18">
      <c r="Q896" s="116"/>
      <c r="R896" s="116"/>
    </row>
    <row r="897" spans="17:18">
      <c r="Q897" s="116"/>
      <c r="R897" s="116"/>
    </row>
    <row r="898" spans="17:18">
      <c r="Q898" s="116"/>
      <c r="R898" s="116"/>
    </row>
    <row r="899" spans="17:18">
      <c r="Q899" s="116"/>
      <c r="R899" s="116"/>
    </row>
    <row r="900" spans="17:18">
      <c r="Q900" s="116"/>
      <c r="R900" s="116"/>
    </row>
    <row r="901" spans="17:18">
      <c r="Q901" s="116"/>
      <c r="R901" s="116"/>
    </row>
    <row r="902" spans="17:18">
      <c r="Q902" s="116"/>
      <c r="R902" s="116"/>
    </row>
    <row r="903" spans="17:18">
      <c r="Q903" s="116"/>
      <c r="R903" s="116"/>
    </row>
    <row r="904" spans="17:18">
      <c r="Q904" s="116"/>
      <c r="R904" s="116"/>
    </row>
    <row r="905" spans="17:18">
      <c r="Q905" s="116"/>
      <c r="R905" s="116"/>
    </row>
    <row r="906" spans="17:18">
      <c r="Q906" s="116"/>
      <c r="R906" s="116"/>
    </row>
    <row r="907" spans="17:18">
      <c r="Q907" s="116"/>
      <c r="R907" s="116"/>
    </row>
    <row r="908" spans="17:18">
      <c r="Q908" s="116"/>
      <c r="R908" s="116"/>
    </row>
    <row r="909" spans="17:18">
      <c r="Q909" s="116"/>
      <c r="R909" s="116"/>
    </row>
    <row r="910" spans="17:18">
      <c r="Q910" s="116"/>
      <c r="R910" s="116"/>
    </row>
    <row r="911" spans="17:18">
      <c r="Q911" s="116"/>
      <c r="R911" s="116"/>
    </row>
    <row r="912" spans="17:18">
      <c r="Q912" s="116"/>
      <c r="R912" s="116"/>
    </row>
    <row r="913" spans="17:18">
      <c r="Q913" s="116"/>
      <c r="R913" s="116"/>
    </row>
    <row r="914" spans="17:18">
      <c r="Q914" s="116"/>
      <c r="R914" s="116"/>
    </row>
    <row r="915" spans="17:18">
      <c r="Q915" s="116"/>
      <c r="R915" s="116"/>
    </row>
    <row r="916" spans="17:18">
      <c r="Q916" s="116"/>
      <c r="R916" s="116"/>
    </row>
    <row r="917" spans="17:18">
      <c r="Q917" s="116"/>
      <c r="R917" s="116"/>
    </row>
    <row r="918" spans="17:18">
      <c r="Q918" s="116"/>
      <c r="R918" s="116"/>
    </row>
    <row r="919" spans="17:18">
      <c r="Q919" s="116"/>
      <c r="R919" s="116"/>
    </row>
    <row r="920" spans="17:18">
      <c r="Q920" s="116"/>
      <c r="R920" s="116"/>
    </row>
    <row r="921" spans="17:18">
      <c r="Q921" s="116"/>
      <c r="R921" s="116"/>
    </row>
    <row r="922" spans="17:18">
      <c r="Q922" s="116"/>
      <c r="R922" s="116"/>
    </row>
    <row r="923" spans="17:18">
      <c r="Q923" s="116"/>
      <c r="R923" s="116"/>
    </row>
    <row r="924" spans="17:18">
      <c r="Q924" s="116"/>
      <c r="R924" s="116"/>
    </row>
    <row r="925" spans="17:18">
      <c r="Q925" s="116"/>
      <c r="R925" s="116"/>
    </row>
    <row r="926" spans="17:18">
      <c r="Q926" s="116"/>
      <c r="R926" s="116"/>
    </row>
    <row r="927" spans="17:18">
      <c r="Q927" s="116"/>
      <c r="R927" s="116"/>
    </row>
    <row r="928" spans="17:18">
      <c r="Q928" s="116"/>
      <c r="R928" s="116"/>
    </row>
    <row r="929" spans="17:18">
      <c r="Q929" s="116"/>
      <c r="R929" s="116"/>
    </row>
    <row r="930" spans="17:18">
      <c r="Q930" s="116"/>
      <c r="R930" s="116"/>
    </row>
    <row r="931" spans="17:18">
      <c r="Q931" s="116"/>
      <c r="R931" s="116"/>
    </row>
    <row r="932" spans="17:18">
      <c r="Q932" s="116"/>
      <c r="R932" s="116"/>
    </row>
    <row r="933" spans="17:18">
      <c r="Q933" s="116"/>
      <c r="R933" s="116"/>
    </row>
    <row r="934" spans="17:18">
      <c r="Q934" s="116"/>
      <c r="R934" s="116"/>
    </row>
    <row r="935" spans="17:18">
      <c r="Q935" s="116"/>
      <c r="R935" s="116"/>
    </row>
    <row r="936" spans="17:18">
      <c r="Q936" s="116"/>
      <c r="R936" s="116"/>
    </row>
    <row r="937" spans="17:18">
      <c r="Q937" s="116"/>
      <c r="R937" s="116"/>
    </row>
    <row r="938" spans="17:18">
      <c r="Q938" s="116"/>
      <c r="R938" s="116"/>
    </row>
    <row r="939" spans="17:18">
      <c r="Q939" s="116"/>
      <c r="R939" s="116"/>
    </row>
    <row r="940" spans="17:18">
      <c r="Q940" s="116"/>
      <c r="R940" s="116"/>
    </row>
    <row r="941" spans="17:18">
      <c r="Q941" s="116"/>
      <c r="R941" s="116"/>
    </row>
    <row r="942" spans="17:18">
      <c r="Q942" s="116"/>
      <c r="R942" s="116"/>
    </row>
    <row r="943" spans="17:18">
      <c r="Q943" s="116"/>
      <c r="R943" s="116"/>
    </row>
    <row r="944" spans="17:18">
      <c r="Q944" s="116"/>
      <c r="R944" s="116"/>
    </row>
    <row r="945" spans="17:18">
      <c r="Q945" s="116"/>
      <c r="R945" s="116"/>
    </row>
    <row r="946" spans="17:18">
      <c r="Q946" s="116"/>
      <c r="R946" s="116"/>
    </row>
    <row r="947" spans="17:18">
      <c r="Q947" s="116"/>
      <c r="R947" s="116"/>
    </row>
    <row r="948" spans="17:18">
      <c r="Q948" s="116"/>
      <c r="R948" s="116"/>
    </row>
    <row r="949" spans="17:18">
      <c r="Q949" s="116"/>
      <c r="R949" s="116"/>
    </row>
    <row r="950" spans="17:18">
      <c r="Q950" s="116"/>
      <c r="R950" s="116"/>
    </row>
    <row r="951" spans="17:18">
      <c r="Q951" s="116"/>
      <c r="R951" s="116"/>
    </row>
    <row r="952" spans="17:18">
      <c r="Q952" s="116"/>
      <c r="R952" s="116"/>
    </row>
    <row r="953" spans="17:18">
      <c r="Q953" s="116"/>
      <c r="R953" s="116"/>
    </row>
    <row r="954" spans="17:18">
      <c r="Q954" s="116"/>
      <c r="R954" s="116"/>
    </row>
    <row r="955" spans="17:18">
      <c r="Q955" s="116"/>
      <c r="R955" s="116"/>
    </row>
    <row r="956" spans="17:18">
      <c r="Q956" s="116"/>
      <c r="R956" s="116"/>
    </row>
    <row r="957" spans="17:18">
      <c r="Q957" s="116"/>
      <c r="R957" s="116"/>
    </row>
    <row r="958" spans="17:18">
      <c r="Q958" s="116"/>
      <c r="R958" s="116"/>
    </row>
    <row r="959" spans="17:18">
      <c r="Q959" s="116"/>
      <c r="R959" s="116"/>
    </row>
    <row r="960" spans="17:18">
      <c r="Q960" s="116"/>
      <c r="R960" s="116"/>
    </row>
    <row r="961" spans="17:18">
      <c r="Q961" s="116"/>
      <c r="R961" s="116"/>
    </row>
    <row r="962" spans="17:18">
      <c r="Q962" s="116"/>
      <c r="R962" s="116"/>
    </row>
    <row r="963" spans="17:18">
      <c r="Q963" s="116"/>
      <c r="R963" s="116"/>
    </row>
    <row r="964" spans="17:18">
      <c r="Q964" s="116"/>
      <c r="R964" s="116"/>
    </row>
    <row r="965" spans="17:18">
      <c r="Q965" s="116"/>
      <c r="R965" s="116"/>
    </row>
    <row r="966" spans="17:18">
      <c r="Q966" s="116"/>
      <c r="R966" s="116"/>
    </row>
    <row r="967" spans="17:18">
      <c r="Q967" s="116"/>
      <c r="R967" s="116"/>
    </row>
    <row r="968" spans="17:18">
      <c r="Q968" s="116"/>
      <c r="R968" s="116"/>
    </row>
    <row r="969" spans="17:18">
      <c r="Q969" s="116"/>
      <c r="R969" s="116"/>
    </row>
    <row r="970" spans="17:18">
      <c r="Q970" s="116"/>
      <c r="R970" s="116"/>
    </row>
    <row r="971" spans="17:18">
      <c r="Q971" s="116"/>
      <c r="R971" s="116"/>
    </row>
    <row r="972" spans="17:18">
      <c r="Q972" s="116"/>
      <c r="R972" s="116"/>
    </row>
    <row r="973" spans="17:18">
      <c r="Q973" s="116"/>
      <c r="R973" s="116"/>
    </row>
    <row r="974" spans="17:18">
      <c r="Q974" s="116"/>
      <c r="R974" s="116"/>
    </row>
    <row r="975" spans="17:18">
      <c r="Q975" s="116"/>
      <c r="R975" s="116"/>
    </row>
    <row r="976" spans="17:18">
      <c r="Q976" s="116"/>
      <c r="R976" s="116"/>
    </row>
    <row r="977" spans="17:18">
      <c r="Q977" s="116"/>
      <c r="R977" s="116"/>
    </row>
    <row r="978" spans="17:18">
      <c r="Q978" s="116"/>
      <c r="R978" s="116"/>
    </row>
    <row r="979" spans="17:18">
      <c r="Q979" s="116"/>
      <c r="R979" s="116"/>
    </row>
    <row r="980" spans="17:18">
      <c r="Q980" s="116"/>
      <c r="R980" s="116"/>
    </row>
    <row r="981" spans="17:18">
      <c r="Q981" s="116"/>
      <c r="R981" s="116"/>
    </row>
    <row r="982" spans="17:18">
      <c r="Q982" s="116"/>
      <c r="R982" s="116"/>
    </row>
    <row r="983" spans="17:18">
      <c r="Q983" s="116"/>
      <c r="R983" s="116"/>
    </row>
    <row r="984" spans="17:18">
      <c r="Q984" s="116"/>
      <c r="R984" s="116"/>
    </row>
    <row r="985" spans="17:18">
      <c r="Q985" s="116"/>
      <c r="R985" s="116"/>
    </row>
    <row r="986" spans="17:18">
      <c r="Q986" s="116"/>
      <c r="R986" s="116"/>
    </row>
    <row r="987" spans="17:18">
      <c r="Q987" s="116"/>
      <c r="R987" s="116"/>
    </row>
    <row r="988" spans="17:18">
      <c r="Q988" s="116"/>
      <c r="R988" s="116"/>
    </row>
    <row r="989" spans="17:18">
      <c r="Q989" s="116"/>
      <c r="R989" s="116"/>
    </row>
    <row r="990" spans="17:18">
      <c r="Q990" s="116"/>
      <c r="R990" s="116"/>
    </row>
  </sheetData>
  <sheetProtection algorithmName="SHA-512" hashValue="Ayjpbp3pbxy0tzhToUQx4VH6GC6LtzoZAjR+yq+hcWjBSZR62+uSVwiVKs2VH0vV+mOsW3kgCuSb0x/rbusG/w==" saltValue="3c3ef1M9CmAvCw5AEqz2YQ==" spinCount="100000" sheet="1" selectLockedCells="1"/>
  <autoFilter ref="N2:O40" xr:uid="{00000000-0009-0000-0000-000003000000}">
    <sortState xmlns:xlrd2="http://schemas.microsoft.com/office/spreadsheetml/2017/richdata2" ref="N3:O40">
      <sortCondition ref="N2:N40"/>
    </sortState>
  </autoFilter>
  <sortState xmlns:xlrd2="http://schemas.microsoft.com/office/spreadsheetml/2017/richdata2" ref="G107:H196">
    <sortCondition ref="G107:G196"/>
  </sortState>
  <mergeCells count="2">
    <mergeCell ref="BA33:BB33"/>
    <mergeCell ref="K1:L1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AO92"/>
  <sheetViews>
    <sheetView windowProtection="1" showGridLines="0" topLeftCell="A70" zoomScaleNormal="100" workbookViewId="0">
      <selection activeCell="J39" sqref="J39"/>
    </sheetView>
  </sheetViews>
  <sheetFormatPr baseColWidth="10" defaultColWidth="0" defaultRowHeight="12.75" zeroHeight="1"/>
  <cols>
    <col min="1" max="1" width="7.42578125" customWidth="1"/>
    <col min="2" max="2" width="11" customWidth="1"/>
    <col min="3" max="3" width="11.42578125" customWidth="1"/>
    <col min="4" max="4" width="13.28515625" bestFit="1" customWidth="1"/>
    <col min="5" max="7" width="11.42578125" customWidth="1"/>
    <col min="8" max="8" width="15" customWidth="1"/>
    <col min="9" max="11" width="11.42578125" customWidth="1"/>
    <col min="12" max="12" width="13.7109375" customWidth="1"/>
    <col min="13" max="14" width="11.42578125" customWidth="1"/>
    <col min="15" max="15" width="11.42578125" hidden="1" customWidth="1"/>
    <col min="16" max="16" width="11" hidden="1" customWidth="1"/>
    <col min="17" max="17" width="11.42578125" hidden="1" customWidth="1"/>
    <col min="18" max="18" width="13.28515625" hidden="1" customWidth="1"/>
    <col min="19" max="19" width="11.42578125" hidden="1" customWidth="1"/>
    <col min="20" max="20" width="11" hidden="1" customWidth="1"/>
    <col min="21" max="21" width="11.42578125" hidden="1" customWidth="1"/>
    <col min="22" max="22" width="13.28515625" hidden="1" customWidth="1"/>
    <col min="23" max="23" width="11.42578125" hidden="1" customWidth="1"/>
    <col min="24" max="24" width="11" hidden="1" customWidth="1"/>
    <col min="25" max="25" width="11.42578125" hidden="1" customWidth="1"/>
    <col min="26" max="26" width="13.28515625" hidden="1" customWidth="1"/>
    <col min="27" max="41" width="0" hidden="1" customWidth="1"/>
    <col min="42" max="16384" width="11.42578125" hidden="1"/>
  </cols>
  <sheetData>
    <row r="1" spans="1:13">
      <c r="A1" s="339"/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</row>
    <row r="2" spans="1:13">
      <c r="A2" s="339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</row>
    <row r="3" spans="1:13">
      <c r="A3" s="339"/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</row>
    <row r="4" spans="1:13">
      <c r="A4" s="339"/>
      <c r="B4" s="339"/>
      <c r="C4" s="339"/>
      <c r="D4" s="339"/>
      <c r="E4" s="339"/>
      <c r="F4" s="339"/>
      <c r="G4" s="339"/>
      <c r="H4" s="339"/>
      <c r="I4" s="339"/>
      <c r="J4" s="339"/>
      <c r="K4" s="339"/>
      <c r="L4" s="339"/>
      <c r="M4" s="339"/>
    </row>
    <row r="5" spans="1:13">
      <c r="A5" s="339"/>
      <c r="B5" s="339"/>
      <c r="C5" s="339"/>
      <c r="D5" s="339"/>
      <c r="E5" s="339"/>
      <c r="F5" s="339"/>
      <c r="G5" s="339"/>
      <c r="H5" s="339"/>
      <c r="I5" s="339"/>
      <c r="J5" s="339"/>
      <c r="K5" s="339"/>
      <c r="L5" s="339"/>
      <c r="M5" s="339"/>
    </row>
    <row r="6" spans="1:13">
      <c r="A6" s="339"/>
      <c r="B6" s="339"/>
      <c r="C6" s="339"/>
      <c r="D6" s="339"/>
      <c r="E6" s="339"/>
      <c r="F6" s="339"/>
      <c r="G6" s="339"/>
      <c r="H6" s="339"/>
      <c r="I6" s="339"/>
      <c r="J6" s="339"/>
      <c r="K6" s="339"/>
      <c r="L6" s="339"/>
      <c r="M6" s="339"/>
    </row>
    <row r="7" spans="1:13">
      <c r="A7" s="339"/>
      <c r="B7" s="339"/>
      <c r="C7" s="340"/>
      <c r="D7" s="341" t="str">
        <f>COTIZACION!D9</f>
        <v>INDIVIDUAL</v>
      </c>
      <c r="E7" s="339"/>
      <c r="G7" s="341" t="str">
        <f>COTIZACION!D8</f>
        <v>T+</v>
      </c>
      <c r="H7" s="339"/>
      <c r="I7" s="339"/>
      <c r="J7" s="339"/>
      <c r="K7" s="342" t="s">
        <v>357</v>
      </c>
      <c r="L7" s="343">
        <f>VLOOKUP(COTIZACION!D14,FACTORES!$N$2:$P$34,3,0)</f>
        <v>5</v>
      </c>
      <c r="M7" s="339"/>
    </row>
    <row r="8" spans="1:13">
      <c r="A8" s="339"/>
      <c r="B8" s="339"/>
      <c r="C8" s="339"/>
      <c r="D8" s="339"/>
      <c r="E8" s="339"/>
      <c r="F8" s="339"/>
      <c r="G8" s="339"/>
      <c r="H8" s="339"/>
      <c r="I8" s="339"/>
      <c r="J8" s="339"/>
      <c r="K8" s="342"/>
      <c r="L8" s="344"/>
      <c r="M8" s="339"/>
    </row>
    <row r="9" spans="1:13">
      <c r="A9" s="339"/>
      <c r="B9" s="339"/>
      <c r="C9" s="345" t="s">
        <v>358</v>
      </c>
      <c r="D9" s="346"/>
      <c r="E9" s="347"/>
      <c r="F9" s="347"/>
      <c r="G9" s="347"/>
      <c r="H9" s="347"/>
      <c r="I9" s="347"/>
      <c r="J9" s="347"/>
      <c r="K9" s="348"/>
      <c r="L9" s="344"/>
      <c r="M9" s="339"/>
    </row>
    <row r="10" spans="1:13">
      <c r="A10" s="339"/>
      <c r="B10" s="349"/>
      <c r="C10" s="350" t="s">
        <v>359</v>
      </c>
      <c r="D10" s="347"/>
      <c r="E10" s="347"/>
      <c r="F10" s="351" t="str">
        <f>IF(COTIZACION!D12&gt;45000,"$20,000",IF(COTIZACION!$D$17="NO","$20,000",COTIZACION!$D$17))</f>
        <v>$20,000</v>
      </c>
      <c r="G10" s="352"/>
      <c r="H10" s="350" t="s">
        <v>114</v>
      </c>
      <c r="I10" s="342"/>
      <c r="J10" s="350"/>
      <c r="K10" s="353" t="str">
        <f>IF(COTIZACION!D20="NO","NO INCLUIDO", "INCLUIDO")</f>
        <v>NO INCLUIDO</v>
      </c>
      <c r="L10" s="339"/>
      <c r="M10" s="339"/>
    </row>
    <row r="11" spans="1:13">
      <c r="A11" s="339"/>
      <c r="B11" s="349"/>
      <c r="C11" s="545" t="s">
        <v>360</v>
      </c>
      <c r="D11" s="545"/>
      <c r="E11" s="545"/>
      <c r="F11" s="548" t="str">
        <f>IF(OR(COTIZACION!D19="NO",SUM(COTIZACION!A28:A35)&lt;=0),"Excluido",COTIZACION!D19)</f>
        <v>Excluido</v>
      </c>
      <c r="G11" s="352"/>
      <c r="H11" s="350" t="s">
        <v>250</v>
      </c>
      <c r="K11" s="422" t="str">
        <f>COTIZACION!D11</f>
        <v>POR PADECIMIENTO</v>
      </c>
      <c r="L11" s="339"/>
      <c r="M11" s="339"/>
    </row>
    <row r="12" spans="1:13">
      <c r="A12" s="339"/>
      <c r="B12" s="349"/>
      <c r="C12" s="545"/>
      <c r="D12" s="545"/>
      <c r="E12" s="545"/>
      <c r="F12" s="548"/>
      <c r="G12" s="352"/>
      <c r="H12" s="350" t="s">
        <v>367</v>
      </c>
      <c r="K12" s="423">
        <f>+COTIZACION!$D$22</f>
        <v>0</v>
      </c>
      <c r="L12" s="339"/>
      <c r="M12" s="339"/>
    </row>
    <row r="13" spans="1:13">
      <c r="A13" s="339"/>
      <c r="B13" s="349"/>
      <c r="C13" s="339"/>
      <c r="D13" s="339"/>
      <c r="E13" s="339"/>
      <c r="F13" s="354"/>
      <c r="G13" s="339"/>
      <c r="H13" s="339"/>
      <c r="I13" s="339"/>
      <c r="J13" s="354"/>
      <c r="K13" s="339"/>
      <c r="L13" s="339"/>
      <c r="M13" s="339"/>
    </row>
    <row r="14" spans="1:13">
      <c r="A14" s="339"/>
      <c r="B14" s="349"/>
      <c r="C14" s="339"/>
      <c r="D14" s="339"/>
      <c r="E14" s="339"/>
      <c r="F14" s="354"/>
      <c r="G14" s="339"/>
      <c r="H14" s="339"/>
      <c r="I14" s="339"/>
      <c r="J14" s="354"/>
      <c r="K14" s="339"/>
      <c r="L14" s="339"/>
      <c r="M14" s="339"/>
    </row>
    <row r="15" spans="1:13">
      <c r="A15" s="339"/>
      <c r="B15" s="352" t="s">
        <v>361</v>
      </c>
      <c r="C15" s="347"/>
      <c r="D15" s="355">
        <f>COTIZACION!$D$10</f>
        <v>100000000</v>
      </c>
      <c r="E15" s="339"/>
      <c r="F15" s="352" t="s">
        <v>361</v>
      </c>
      <c r="G15" s="347"/>
      <c r="H15" s="355">
        <f>COTIZACION!$D$10</f>
        <v>100000000</v>
      </c>
      <c r="I15" s="339"/>
      <c r="J15" s="352" t="s">
        <v>361</v>
      </c>
      <c r="K15" s="347"/>
      <c r="L15" s="355">
        <f>COTIZACION!$D$10</f>
        <v>100000000</v>
      </c>
      <c r="M15" s="339"/>
    </row>
    <row r="16" spans="1:13">
      <c r="A16" s="339"/>
      <c r="B16" s="352" t="s">
        <v>362</v>
      </c>
      <c r="C16" s="347"/>
      <c r="D16" s="355">
        <f>COTIZACION!$D$12</f>
        <v>12000</v>
      </c>
      <c r="E16" s="339"/>
      <c r="F16" s="352" t="s">
        <v>362</v>
      </c>
      <c r="G16" s="347"/>
      <c r="H16" s="355">
        <f>COTIZACION!$D$12</f>
        <v>12000</v>
      </c>
      <c r="I16" s="339"/>
      <c r="J16" s="352" t="s">
        <v>362</v>
      </c>
      <c r="K16" s="347"/>
      <c r="L16" s="355">
        <f>COTIZACION!$D$12</f>
        <v>12000</v>
      </c>
      <c r="M16" s="339"/>
    </row>
    <row r="17" spans="1:41">
      <c r="A17" s="339"/>
      <c r="B17" s="352" t="s">
        <v>363</v>
      </c>
      <c r="C17" s="347"/>
      <c r="D17" s="356" t="str">
        <f>COTIZACION!$D$13</f>
        <v>10% CON TOPE DE $35,000</v>
      </c>
      <c r="E17" s="339"/>
      <c r="F17" s="352" t="s">
        <v>363</v>
      </c>
      <c r="G17" s="347"/>
      <c r="H17" s="356" t="str">
        <f>COTIZACION!$D$13</f>
        <v>10% CON TOPE DE $35,000</v>
      </c>
      <c r="I17" s="339"/>
      <c r="J17" s="352" t="s">
        <v>363</v>
      </c>
      <c r="K17" s="347"/>
      <c r="L17" s="356" t="str">
        <f>COTIZACION!$D$13</f>
        <v>10% CON TOPE DE $35,000</v>
      </c>
      <c r="M17" s="339"/>
    </row>
    <row r="18" spans="1:41">
      <c r="A18" s="339"/>
      <c r="B18" s="339"/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</row>
    <row r="19" spans="1:41">
      <c r="A19" s="357"/>
      <c r="B19" s="354"/>
      <c r="C19" s="546"/>
      <c r="D19" s="546"/>
      <c r="E19" s="357"/>
      <c r="F19" s="354"/>
      <c r="G19" s="546" t="s">
        <v>364</v>
      </c>
      <c r="H19" s="546"/>
      <c r="I19" s="357"/>
      <c r="J19" s="354"/>
      <c r="K19" s="546"/>
      <c r="L19" s="546"/>
      <c r="M19" s="357"/>
    </row>
    <row r="20" spans="1:41">
      <c r="A20" s="357"/>
      <c r="B20" s="354"/>
      <c r="C20" s="546"/>
      <c r="D20" s="546"/>
      <c r="E20" s="357"/>
      <c r="F20" s="354"/>
      <c r="G20" s="546"/>
      <c r="H20" s="546"/>
      <c r="I20" s="357"/>
      <c r="J20" s="354"/>
      <c r="K20" s="546"/>
      <c r="L20" s="546"/>
      <c r="M20" s="357"/>
    </row>
    <row r="21" spans="1:41">
      <c r="A21" s="357"/>
      <c r="B21" s="358" t="s">
        <v>5</v>
      </c>
      <c r="C21" s="358" t="s">
        <v>7</v>
      </c>
      <c r="D21" s="358" t="s">
        <v>8</v>
      </c>
      <c r="E21" s="357"/>
      <c r="F21" s="358" t="s">
        <v>5</v>
      </c>
      <c r="G21" s="358" t="s">
        <v>7</v>
      </c>
      <c r="H21" s="358" t="s">
        <v>8</v>
      </c>
      <c r="I21" s="357"/>
      <c r="J21" s="358" t="s">
        <v>5</v>
      </c>
      <c r="K21" s="358" t="s">
        <v>7</v>
      </c>
      <c r="L21" s="358" t="s">
        <v>8</v>
      </c>
      <c r="M21" s="357"/>
      <c r="P21" s="358" t="s">
        <v>5</v>
      </c>
      <c r="Q21" s="358" t="s">
        <v>7</v>
      </c>
      <c r="R21" s="358" t="s">
        <v>8</v>
      </c>
      <c r="S21" s="357"/>
      <c r="T21" s="358" t="s">
        <v>5</v>
      </c>
      <c r="U21" s="358" t="s">
        <v>7</v>
      </c>
      <c r="V21" s="358" t="s">
        <v>8</v>
      </c>
      <c r="W21" s="357"/>
      <c r="X21" s="358" t="s">
        <v>5</v>
      </c>
      <c r="Y21" s="358" t="s">
        <v>7</v>
      </c>
      <c r="Z21" s="358" t="s">
        <v>8</v>
      </c>
    </row>
    <row r="22" spans="1:41">
      <c r="B22" s="359" t="s">
        <v>365</v>
      </c>
      <c r="C22" s="362">
        <f>(Q22+DER)*(1+COTIZACION!$D$23)</f>
        <v>11869.088757354391</v>
      </c>
      <c r="D22" s="362">
        <f>(R22+DER)*(1+COTIZACION!$D$23)</f>
        <v>11818.402194630537</v>
      </c>
      <c r="F22" s="359" t="s">
        <v>365</v>
      </c>
      <c r="G22" s="362">
        <f>U22*(1+COTIZACION!$D$23)</f>
        <v>10941.088757354391</v>
      </c>
      <c r="H22" s="362">
        <f>V22*(1+COTIZACION!$D$23)</f>
        <v>10890.402194630537</v>
      </c>
      <c r="J22" s="359" t="s">
        <v>365</v>
      </c>
      <c r="K22" s="362">
        <f>Y22*(1+COTIZACION!$D$23)</f>
        <v>10941.088757354391</v>
      </c>
      <c r="L22" s="362">
        <f>Z22*(1+COTIZACION!$D$23)</f>
        <v>10890.402194630537</v>
      </c>
      <c r="P22" s="359" t="s">
        <v>365</v>
      </c>
      <c r="Q22" s="362">
        <f>IF($K$10="INCLUIDO",FACTORES!$C3*FACTORES!$AD$9+CDENT+CEE+VIS+ASIS+EDXA019+(FACTORES!$C3*FACTORES!$AD$9*CTE),FACTORES!$C3*FACTORES!$AD$9+CDENT+CEE+VIS+ASIS+EDXA019)</f>
        <v>9431.9730666848209</v>
      </c>
      <c r="R22" s="362">
        <f>IF($K$10="INCLUIDO",FACTORES!$D3*FACTORES!$AD$9+CDENT+CEE+VIS+ASIS+EDXA019+(FACTORES!$D3*FACTORES!$AD$9*CTE),FACTORES!D3*FACTORES!$AD$9+CDENT+CEE+VIS+ASIS+EDXA019)</f>
        <v>9388.2777539918425</v>
      </c>
      <c r="T22" s="359" t="s">
        <v>365</v>
      </c>
      <c r="U22" s="362">
        <f>IF($K$10="INCLUIDO",FACTORES!$C3*FACTORES!$AD$9+CDENT+CEE+VIS+ASIS+EDXA019+(FACTORES!$C3*FACTORES!$AD$9*CTE),FACTORES!$C3*FACTORES!$AD$9+CDENT+CEE+VIS+ASIS+EDXA019)</f>
        <v>9431.9730666848209</v>
      </c>
      <c r="V22" s="362">
        <f>IF($K$10="INCLUIDO",FACTORES!$D3*FACTORES!$AD$9+CDENT+CEE+VIS+ASIS+EDXA019+(FACTORES!$D3*FACTORES!$AD$9*CTE),FACTORES!D3*FACTORES!$AD$9+CDENT+CEE+VIS+ASIS+EDXA019)</f>
        <v>9388.2777539918425</v>
      </c>
      <c r="X22" s="359" t="s">
        <v>365</v>
      </c>
      <c r="Y22" s="362">
        <f>IF($K$10="INCLUIDO",FACTORES!$C3*FACTORES!$AD$9+CDENT+CEE+VIS+ASIS+EDXA019+(FACTORES!$C3*FACTORES!$AD$9*CTE),FACTORES!$C3*FACTORES!$AD$9+CDENT+CEE+VIS+ASIS+EDXA019)</f>
        <v>9431.9730666848209</v>
      </c>
      <c r="Z22" s="362">
        <f>IF($K$10="INCLUIDO",FACTORES!$D3*FACTORES!$AD$9+CDENT+CEE+VIS+ASIS+EDXA019+(FACTORES!$D3*FACTORES!$AD$9*CTE),FACTORES!D3*FACTORES!$AD$9+CDENT+CEE+VIS+ASIS+EDXA019)</f>
        <v>9388.2777539918425</v>
      </c>
      <c r="AL22">
        <f t="shared" ref="AL22" si="0">IF(L22=Z22,1,0)</f>
        <v>0</v>
      </c>
      <c r="AO22">
        <f>IF(AND(Q22=U22,U22=Y22),1,0)</f>
        <v>1</v>
      </c>
    </row>
    <row r="23" spans="1:41">
      <c r="B23" s="361">
        <v>11</v>
      </c>
      <c r="C23" s="363">
        <f>(Q23+DER)*(1+COTIZACION!$D$23)</f>
        <v>11878.738464405613</v>
      </c>
      <c r="D23" s="363">
        <f>(R23+DER)*(1+COTIZACION!$D$23)</f>
        <v>11626.421784860559</v>
      </c>
      <c r="F23" s="361">
        <v>11</v>
      </c>
      <c r="G23" s="363">
        <f>U23*(1+COTIZACION!$D$23)</f>
        <v>10950.738464405613</v>
      </c>
      <c r="H23" s="363">
        <f>V23*(1+COTIZACION!$D$23)</f>
        <v>10698.421784860559</v>
      </c>
      <c r="J23" s="361">
        <v>11</v>
      </c>
      <c r="K23" s="363">
        <f>Y23*(1+COTIZACION!$D$23)</f>
        <v>10950.738464405613</v>
      </c>
      <c r="L23" s="363">
        <f>Z23*(1+COTIZACION!$D$23)</f>
        <v>10698.421784860559</v>
      </c>
      <c r="P23" s="361">
        <v>11</v>
      </c>
      <c r="Q23" s="363">
        <f>IF($K$10="INCLUIDO",FACTORES!$C14*FACTORES!$AD$9+CDENT+CEE+VIS+ASIS+EDXA019+(FACTORES!$C14*FACTORES!$AD$9*CTE),FACTORES!$C14*FACTORES!$AD$9+CDENT+CEE+VIS+ASIS+EDXA019)</f>
        <v>9440.2917796600123</v>
      </c>
      <c r="R23" s="363">
        <f>IF($K$10="INCLUIDO",FACTORES!$D14*FACTORES!$AD$9+CDENT+CEE+VIS+ASIS+EDXA019+(FACTORES!$D14*FACTORES!$AD$9*CTE),FACTORES!$D14*FACTORES!$AD$9+CDENT+CEE+VIS+ASIS+EDXA019)</f>
        <v>9222.7774007418611</v>
      </c>
      <c r="T23" s="361">
        <v>11</v>
      </c>
      <c r="U23" s="363">
        <f>IF($K$10="INCLUIDO",FACTORES!$C14*FACTORES!$AD$9+CDENT+CEE+VIS+ASIS+EDXA019+(FACTORES!$C14*FACTORES!$AD$9*CTE),FACTORES!$C14*FACTORES!$AD$9+CDENT+CEE+VIS+ASIS+EDXA019)</f>
        <v>9440.2917796600123</v>
      </c>
      <c r="V23" s="363">
        <f>IF($K$10="INCLUIDO",FACTORES!$D14*FACTORES!$AD$9+CDENT+CEE+VIS+ASIS+EDXA019+(FACTORES!$D14*FACTORES!$AD$9*CTE),FACTORES!$D14*FACTORES!$AD$9+CDENT+CEE+VIS+ASIS+EDXA019)</f>
        <v>9222.7774007418611</v>
      </c>
      <c r="X23" s="361">
        <v>11</v>
      </c>
      <c r="Y23" s="363">
        <f>IF($K$10="INCLUIDO",FACTORES!$C14*FACTORES!$AD$9+CDENT+CEE+VIS+ASIS+EDXA019+(FACTORES!$C14*FACTORES!$AD$9*CTE),FACTORES!$C14*FACTORES!$AD$9+CDENT+CEE+VIS+ASIS+EDXA019)</f>
        <v>9440.2917796600123</v>
      </c>
      <c r="Z23" s="363">
        <f>IF($K$10="INCLUIDO",FACTORES!$D14*FACTORES!$AD$9+CDENT+CEE+VIS+ASIS+EDXA019+(FACTORES!$D14*FACTORES!$AD$9*CTE),FACTORES!$D14*FACTORES!$AD$9+CDENT+CEE+VIS+ASIS+EDXA019)</f>
        <v>9222.7774007418611</v>
      </c>
      <c r="AL23">
        <f t="shared" ref="AL23:AL36" si="1">IF(L23=Z23,1,0)</f>
        <v>0</v>
      </c>
      <c r="AO23">
        <f t="shared" ref="AO23:AO36" si="2">IF(AND(Q23=U23,U23=Y23),1,0)</f>
        <v>1</v>
      </c>
    </row>
    <row r="24" spans="1:41">
      <c r="B24" s="360">
        <v>12</v>
      </c>
      <c r="C24" s="362">
        <f>(Q24+DER)*(1+COTIZACION!$D$23)</f>
        <v>11888.397821163886</v>
      </c>
      <c r="D24" s="362">
        <f>(R24+DER)*(1+COTIZACION!$D$23)</f>
        <v>11438.28098328598</v>
      </c>
      <c r="F24" s="360">
        <v>12</v>
      </c>
      <c r="G24" s="362">
        <f>U24*(1+COTIZACION!$D$23)</f>
        <v>10960.397821163886</v>
      </c>
      <c r="H24" s="362">
        <f>V24*(1+COTIZACION!$D$23)</f>
        <v>10510.28098328598</v>
      </c>
      <c r="J24" s="360">
        <v>12</v>
      </c>
      <c r="K24" s="362">
        <f>Y24*(1+COTIZACION!$D$23)</f>
        <v>10960.397821163886</v>
      </c>
      <c r="L24" s="362">
        <f>Z24*(1+COTIZACION!$D$23)</f>
        <v>10510.28098328598</v>
      </c>
      <c r="P24" s="360">
        <v>12</v>
      </c>
      <c r="Q24" s="362">
        <f>IF($K$10="INCLUIDO",FACTORES!$C15*FACTORES!$AD$9+CDENT+CEE+VIS+ASIS+EDXA019+(FACTORES!$C15*FACTORES!$AD$9*CTE),FACTORES!$C15*FACTORES!$AD$9+CDENT+CEE+VIS+ASIS+EDXA019)</f>
        <v>9448.6188113481785</v>
      </c>
      <c r="R24" s="362">
        <f>IF($K$10="INCLUIDO",FACTORES!$D15*FACTORES!$AD$9+CDENT+CEE+VIS+ASIS+EDXA019+(FACTORES!$D15*FACTORES!$AD$9*CTE),FACTORES!$D15*FACTORES!$AD$9+CDENT+CEE+VIS+ASIS+EDXA019)</f>
        <v>9060.5870545568796</v>
      </c>
      <c r="T24" s="360">
        <v>12</v>
      </c>
      <c r="U24" s="362">
        <f>IF($K$10="INCLUIDO",FACTORES!$C15*FACTORES!$AD$9+CDENT+CEE+VIS+ASIS+EDXA019+(FACTORES!$C15*FACTORES!$AD$9*CTE),FACTORES!$C15*FACTORES!$AD$9+CDENT+CEE+VIS+ASIS+EDXA019)</f>
        <v>9448.6188113481785</v>
      </c>
      <c r="V24" s="362">
        <f>IF($K$10="INCLUIDO",FACTORES!$D15*FACTORES!$AD$9+CDENT+CEE+VIS+ASIS+EDXA019+(FACTORES!$D15*FACTORES!$AD$9*CTE),FACTORES!$D15*FACTORES!$AD$9+CDENT+CEE+VIS+ASIS+EDXA019)</f>
        <v>9060.5870545568796</v>
      </c>
      <c r="X24" s="360">
        <v>12</v>
      </c>
      <c r="Y24" s="362">
        <f>IF($K$10="INCLUIDO",FACTORES!$C15*FACTORES!$AD$9+CDENT+CEE+VIS+ASIS+EDXA019+(FACTORES!$C15*FACTORES!$AD$9*CTE),FACTORES!$C15*FACTORES!$AD$9+CDENT+CEE+VIS+ASIS+EDXA019)</f>
        <v>9448.6188113481785</v>
      </c>
      <c r="Z24" s="362">
        <f>IF($K$10="INCLUIDO",FACTORES!$D15*FACTORES!$AD$9+CDENT+CEE+VIS+ASIS+EDXA019+(FACTORES!$D15*FACTORES!$AD$9*CTE),FACTORES!$D15*FACTORES!$AD$9+CDENT+CEE+VIS+ASIS+EDXA019)</f>
        <v>9060.5870545568796</v>
      </c>
      <c r="AL24">
        <f t="shared" si="1"/>
        <v>0</v>
      </c>
      <c r="AO24">
        <f t="shared" si="2"/>
        <v>1</v>
      </c>
    </row>
    <row r="25" spans="1:41">
      <c r="B25" s="361">
        <v>13</v>
      </c>
      <c r="C25" s="363">
        <f>(Q25+DER)*(1+COTIZACION!$D$23)</f>
        <v>11898.066837278917</v>
      </c>
      <c r="D25" s="363">
        <f>(R25+DER)*(1+COTIZACION!$D$23)</f>
        <v>11253.902997742893</v>
      </c>
      <c r="F25" s="361">
        <v>13</v>
      </c>
      <c r="G25" s="363">
        <f>U25*(1+COTIZACION!$D$23)</f>
        <v>10970.066837278917</v>
      </c>
      <c r="H25" s="363">
        <f>V25*(1+COTIZACION!$D$23)</f>
        <v>10325.902997742893</v>
      </c>
      <c r="J25" s="361">
        <v>13</v>
      </c>
      <c r="K25" s="363">
        <f>Y25*(1+COTIZACION!$D$23)</f>
        <v>10970.066837278917</v>
      </c>
      <c r="L25" s="363">
        <f>Z25*(1+COTIZACION!$D$23)</f>
        <v>10325.902997742893</v>
      </c>
      <c r="P25" s="361">
        <v>13</v>
      </c>
      <c r="Q25" s="363">
        <f>IF($K$10="INCLUIDO",FACTORES!$C16*FACTORES!$AD$9+CDENT+CEE+VIS+ASIS+EDXA019+(FACTORES!$C16*FACTORES!$AD$9*CTE),FACTORES!$C16*FACTORES!$AD$9+CDENT+CEE+VIS+ASIS+EDXA019)</f>
        <v>9456.9541700680329</v>
      </c>
      <c r="R25" s="363">
        <f>IF($K$10="INCLUIDO",FACTORES!$D16*FACTORES!$AD$9+CDENT+CEE+VIS+ASIS+EDXA019+(FACTORES!$D16*FACTORES!$AD$9*CTE),FACTORES!$D16*FACTORES!$AD$9+CDENT+CEE+VIS+ASIS+EDXA019)</f>
        <v>8901.6405152955977</v>
      </c>
      <c r="T25" s="361">
        <v>13</v>
      </c>
      <c r="U25" s="363">
        <f>IF($K$10="INCLUIDO",FACTORES!$C16*FACTORES!$AD$9+CDENT+CEE+VIS+ASIS+EDXA019+(FACTORES!$C16*FACTORES!$AD$9*CTE),FACTORES!$C16*FACTORES!$AD$9+CDENT+CEE+VIS+ASIS+EDXA019)</f>
        <v>9456.9541700680329</v>
      </c>
      <c r="V25" s="363">
        <f>IF($K$10="INCLUIDO",FACTORES!$D16*FACTORES!$AD$9+CDENT+CEE+VIS+ASIS+EDXA019+(FACTORES!$D16*FACTORES!$AD$9*CTE),FACTORES!$D16*FACTORES!$AD$9+CDENT+CEE+VIS+ASIS+EDXA019)</f>
        <v>8901.6405152955977</v>
      </c>
      <c r="X25" s="361">
        <v>13</v>
      </c>
      <c r="Y25" s="363">
        <f>IF($K$10="INCLUIDO",FACTORES!$C16*FACTORES!$AD$9+CDENT+CEE+VIS+ASIS+EDXA019+(FACTORES!$C16*FACTORES!$AD$9*CTE),FACTORES!$C16*FACTORES!$AD$9+CDENT+CEE+VIS+ASIS+EDXA019)</f>
        <v>9456.9541700680329</v>
      </c>
      <c r="Z25" s="363">
        <f>IF($K$10="INCLUIDO",FACTORES!$D16*FACTORES!$AD$9+CDENT+CEE+VIS+ASIS+EDXA019+(FACTORES!$D16*FACTORES!$AD$9*CTE),FACTORES!$D16*FACTORES!$AD$9+CDENT+CEE+VIS+ASIS+EDXA019)</f>
        <v>8901.6405152955977</v>
      </c>
      <c r="AL25">
        <f t="shared" si="1"/>
        <v>0</v>
      </c>
      <c r="AO25">
        <f t="shared" si="2"/>
        <v>1</v>
      </c>
    </row>
    <row r="26" spans="1:41">
      <c r="B26" s="360">
        <v>14</v>
      </c>
      <c r="C26" s="362">
        <f>(Q26+DER)*(1+COTIZACION!$D$23)</f>
        <v>11907.745522410063</v>
      </c>
      <c r="D26" s="362">
        <f>(R26+DER)*(1+COTIZACION!$D$23)</f>
        <v>11253.902997742893</v>
      </c>
      <c r="F26" s="360">
        <v>14</v>
      </c>
      <c r="G26" s="362">
        <f>U26*(1+COTIZACION!$D$23)</f>
        <v>10979.745522410063</v>
      </c>
      <c r="H26" s="362">
        <f>V26*(1+COTIZACION!$D$23)</f>
        <v>10325.902997742893</v>
      </c>
      <c r="J26" s="360">
        <v>14</v>
      </c>
      <c r="K26" s="362">
        <f>Y26*(1+COTIZACION!$D$23)</f>
        <v>10979.745522410063</v>
      </c>
      <c r="L26" s="362">
        <f>Z26*(1+COTIZACION!$D$23)</f>
        <v>10325.902997742893</v>
      </c>
      <c r="P26" s="360">
        <v>14</v>
      </c>
      <c r="Q26" s="362">
        <f>IF($K$10="INCLUIDO",FACTORES!$C17*FACTORES!$AD$9+CDENT+CEE+VIS+ASIS+EDXA019+(FACTORES!$C17*FACTORES!$AD$9*CTE),FACTORES!$C17*FACTORES!$AD$9+CDENT+CEE+VIS+ASIS+EDXA019)</f>
        <v>9465.297864146607</v>
      </c>
      <c r="R26" s="362">
        <f>IF($K$10="INCLUIDO",FACTORES!$D17*FACTORES!$AD$9+CDENT+CEE+VIS+ASIS+EDXA019+(FACTORES!$D17*FACTORES!$AD$9*CTE),FACTORES!$D17*FACTORES!$AD$9+CDENT+CEE+VIS+ASIS+EDXA019)</f>
        <v>8901.6405152955977</v>
      </c>
      <c r="T26" s="360">
        <v>14</v>
      </c>
      <c r="U26" s="362">
        <f>IF($K$10="INCLUIDO",FACTORES!$C17*FACTORES!$AD$9+CDENT+CEE+VIS+ASIS+EDXA019+(FACTORES!$C17*FACTORES!$AD$9*CTE),FACTORES!$C17*FACTORES!$AD$9+CDENT+CEE+VIS+ASIS+EDXA019)</f>
        <v>9465.297864146607</v>
      </c>
      <c r="V26" s="362">
        <f>IF($K$10="INCLUIDO",FACTORES!$D17*FACTORES!$AD$9+CDENT+CEE+VIS+ASIS+EDXA019+(FACTORES!$D17*FACTORES!$AD$9*CTE),FACTORES!$D17*FACTORES!$AD$9+CDENT+CEE+VIS+ASIS+EDXA019)</f>
        <v>8901.6405152955977</v>
      </c>
      <c r="X26" s="360">
        <v>14</v>
      </c>
      <c r="Y26" s="362">
        <f>IF($K$10="INCLUIDO",FACTORES!$C17*FACTORES!$AD$9+CDENT+CEE+VIS+ASIS+EDXA019+(FACTORES!$C17*FACTORES!$AD$9*CTE),FACTORES!$C17*FACTORES!$AD$9+CDENT+CEE+VIS+ASIS+EDXA019)</f>
        <v>9465.297864146607</v>
      </c>
      <c r="Z26" s="362">
        <f>IF($K$10="INCLUIDO",FACTORES!$D17*FACTORES!$AD$9+CDENT+CEE+VIS+ASIS+EDXA019+(FACTORES!$D17*FACTORES!$AD$9*CTE),FACTORES!$D17*FACTORES!$AD$9+CDENT+CEE+VIS+ASIS+EDXA019)</f>
        <v>8901.6405152955977</v>
      </c>
      <c r="AL26">
        <f t="shared" si="1"/>
        <v>0</v>
      </c>
      <c r="AO26">
        <f t="shared" si="2"/>
        <v>1</v>
      </c>
    </row>
    <row r="27" spans="1:41">
      <c r="B27" s="361">
        <v>15</v>
      </c>
      <c r="C27" s="363">
        <f>(Q27+DER)*(1+COTIZACION!$D$23)</f>
        <v>11917.433886226341</v>
      </c>
      <c r="D27" s="363">
        <f>(R27+DER)*(1+COTIZACION!$D$23)</f>
        <v>11253.902997742893</v>
      </c>
      <c r="F27" s="361">
        <v>15</v>
      </c>
      <c r="G27" s="363">
        <f>U27*(1+COTIZACION!$D$23)</f>
        <v>10989.433886226341</v>
      </c>
      <c r="H27" s="363">
        <f>V27*(1+COTIZACION!$D$23)</f>
        <v>10325.902997742893</v>
      </c>
      <c r="J27" s="361">
        <v>15</v>
      </c>
      <c r="K27" s="363">
        <f>Y27*(1+COTIZACION!$D$23)</f>
        <v>10989.433886226341</v>
      </c>
      <c r="L27" s="363">
        <f>Z27*(1+COTIZACION!$D$23)</f>
        <v>10325.902997742893</v>
      </c>
      <c r="P27" s="361">
        <v>15</v>
      </c>
      <c r="Q27" s="363">
        <f>IF($K$10="INCLUIDO",FACTORES!$C18*FACTORES!$AD$9+CDENT+CEE+VIS+ASIS+EDXA019+(FACTORES!$C18*FACTORES!$AD$9*CTE),FACTORES!$C18*FACTORES!$AD$9+CDENT+CEE+VIS+ASIS+EDXA019)</f>
        <v>9473.6499019192597</v>
      </c>
      <c r="R27" s="363">
        <f>IF($K$10="INCLUIDO",FACTORES!$D18*FACTORES!$AD$9+CDENT+CEE+VIS+ASIS+EDXA019+(FACTORES!$D18*FACTORES!$AD$9*CTE),FACTORES!$D18*FACTORES!$AD$9+CDENT+CEE+VIS+ASIS+EDXA019)</f>
        <v>8901.6405152955977</v>
      </c>
      <c r="T27" s="361">
        <v>15</v>
      </c>
      <c r="U27" s="363">
        <f>IF($K$10="INCLUIDO",FACTORES!$C18*FACTORES!$AD$9+CDENT+CEE+VIS+ASIS+EDXA019+(FACTORES!$C18*FACTORES!$AD$9*CTE),FACTORES!$C18*FACTORES!$AD$9+CDENT+CEE+VIS+ASIS+EDXA019)</f>
        <v>9473.6499019192597</v>
      </c>
      <c r="V27" s="363">
        <f>IF($K$10="INCLUIDO",FACTORES!$D18*FACTORES!$AD$9+CDENT+CEE+VIS+ASIS+EDXA019+(FACTORES!$D18*FACTORES!$AD$9*CTE),FACTORES!$D18*FACTORES!$AD$9+CDENT+CEE+VIS+ASIS+EDXA019)</f>
        <v>8901.6405152955977</v>
      </c>
      <c r="X27" s="361">
        <v>15</v>
      </c>
      <c r="Y27" s="363">
        <f>IF($K$10="INCLUIDO",FACTORES!$C18*FACTORES!$AD$9+CDENT+CEE+VIS+ASIS+EDXA019+(FACTORES!$C18*FACTORES!$AD$9*CTE),FACTORES!$C18*FACTORES!$AD$9+CDENT+CEE+VIS+ASIS+EDXA019)</f>
        <v>9473.6499019192597</v>
      </c>
      <c r="Z27" s="363">
        <f>IF($K$10="INCLUIDO",FACTORES!$D18*FACTORES!$AD$9+CDENT+CEE+VIS+ASIS+EDXA019+(FACTORES!$D18*FACTORES!$AD$9*CTE),FACTORES!$D18*FACTORES!$AD$9+CDENT+CEE+VIS+ASIS+EDXA019)</f>
        <v>8901.6405152955977</v>
      </c>
      <c r="AL27">
        <f t="shared" si="1"/>
        <v>0</v>
      </c>
      <c r="AO27">
        <f t="shared" si="2"/>
        <v>1</v>
      </c>
    </row>
    <row r="28" spans="1:41">
      <c r="B28" s="360">
        <v>16</v>
      </c>
      <c r="C28" s="362">
        <f>(Q28+DER)*(1+COTIZACION!$D$23)</f>
        <v>11927.131938406435</v>
      </c>
      <c r="D28" s="362">
        <f>(R28+DER)*(1+COTIZACION!$D$23)</f>
        <v>11253.902997742893</v>
      </c>
      <c r="F28" s="360">
        <v>16</v>
      </c>
      <c r="G28" s="362">
        <f>U28*(1+COTIZACION!$D$23)</f>
        <v>10999.131938406435</v>
      </c>
      <c r="H28" s="362">
        <f>V28*(1+COTIZACION!$D$23)</f>
        <v>10325.902997742893</v>
      </c>
      <c r="J28" s="360">
        <v>16</v>
      </c>
      <c r="K28" s="362">
        <f>Y28*(1+COTIZACION!$D$23)</f>
        <v>10999.131938406435</v>
      </c>
      <c r="L28" s="362">
        <f>Z28*(1+COTIZACION!$D$23)</f>
        <v>10325.902997742893</v>
      </c>
      <c r="P28" s="360">
        <v>16</v>
      </c>
      <c r="Q28" s="362">
        <f>IF($K$10="INCLUIDO",FACTORES!$C19*FACTORES!$AD$9+CDENT+CEE+VIS+ASIS+EDXA019+(FACTORES!$C19*FACTORES!$AD$9*CTE),FACTORES!$C19*FACTORES!$AD$9+CDENT+CEE+VIS+ASIS+EDXA019)</f>
        <v>9482.0102917296863</v>
      </c>
      <c r="R28" s="362">
        <f>IF($K$10="INCLUIDO",FACTORES!$D19*FACTORES!$AD$9+CDENT+CEE+VIS+ASIS+EDXA019+(FACTORES!$D19*FACTORES!$AD$9*CTE),FACTORES!$D19*FACTORES!$AD$9+CDENT+CEE+VIS+ASIS+EDXA019)</f>
        <v>8901.6405152955977</v>
      </c>
      <c r="T28" s="360">
        <v>16</v>
      </c>
      <c r="U28" s="362">
        <f>IF($K$10="INCLUIDO",FACTORES!$C19*FACTORES!$AD$9+CDENT+CEE+VIS+ASIS+EDXA019+(FACTORES!$C19*FACTORES!$AD$9*CTE),FACTORES!$C19*FACTORES!$AD$9+CDENT+CEE+VIS+ASIS+EDXA019)</f>
        <v>9482.0102917296863</v>
      </c>
      <c r="V28" s="362">
        <f>IF($K$10="INCLUIDO",FACTORES!$D19*FACTORES!$AD$9+CDENT+CEE+VIS+ASIS+EDXA019+(FACTORES!$D19*FACTORES!$AD$9*CTE),FACTORES!$D19*FACTORES!$AD$9+CDENT+CEE+VIS+ASIS+EDXA019)</f>
        <v>8901.6405152955977</v>
      </c>
      <c r="X28" s="360">
        <v>16</v>
      </c>
      <c r="Y28" s="362">
        <f>IF($K$10="INCLUIDO",FACTORES!$C19*FACTORES!$AD$9+CDENT+CEE+VIS+ASIS+EDXA019+(FACTORES!$C19*FACTORES!$AD$9*CTE),FACTORES!$C19*FACTORES!$AD$9+CDENT+CEE+VIS+ASIS+EDXA019)</f>
        <v>9482.0102917296863</v>
      </c>
      <c r="Z28" s="362">
        <f>IF($K$10="INCLUIDO",FACTORES!$D19*FACTORES!$AD$9+CDENT+CEE+VIS+ASIS+EDXA019+(FACTORES!$D19*FACTORES!$AD$9*CTE),FACTORES!$D19*FACTORES!$AD$9+CDENT+CEE+VIS+ASIS+EDXA019)</f>
        <v>8901.6405152955977</v>
      </c>
      <c r="AL28">
        <f t="shared" si="1"/>
        <v>0</v>
      </c>
      <c r="AO28">
        <f t="shared" si="2"/>
        <v>1</v>
      </c>
    </row>
    <row r="29" spans="1:41">
      <c r="B29" s="361">
        <v>17</v>
      </c>
      <c r="C29" s="363">
        <f>(Q29+DER)*(1+COTIZACION!$D$23)</f>
        <v>11936.839688638709</v>
      </c>
      <c r="D29" s="363">
        <f>(R29+DER)*(1+COTIZACION!$D$23)</f>
        <v>11271.972040326114</v>
      </c>
      <c r="F29" s="361">
        <v>17</v>
      </c>
      <c r="G29" s="363">
        <f>U29*(1+COTIZACION!$D$23)</f>
        <v>11008.839688638709</v>
      </c>
      <c r="H29" s="363">
        <f>V29*(1+COTIZACION!$D$23)</f>
        <v>10343.972040326114</v>
      </c>
      <c r="J29" s="361">
        <v>17</v>
      </c>
      <c r="K29" s="363">
        <f>Y29*(1+COTIZACION!$D$23)</f>
        <v>11008.839688638709</v>
      </c>
      <c r="L29" s="363">
        <f>Z29*(1+COTIZACION!$D$23)</f>
        <v>10343.972040326114</v>
      </c>
      <c r="P29" s="361">
        <v>17</v>
      </c>
      <c r="Q29" s="363">
        <f>IF($K$10="INCLUIDO",FACTORES!$C20*FACTORES!$AD$9+CDENT+CEE+VIS+ASIS+EDXA019+(FACTORES!$C20*FACTORES!$AD$9*CTE),FACTORES!$C20*FACTORES!$AD$9+CDENT+CEE+VIS+ASIS+EDXA019)</f>
        <v>9490.3790419299221</v>
      </c>
      <c r="R29" s="363">
        <f>IF($K$10="INCLUIDO",FACTORES!$D20*FACTORES!$AD$9+CDENT+CEE+VIS+ASIS+EDXA019+(FACTORES!$D20*FACTORES!$AD$9*CTE),FACTORES!$D20*FACTORES!$AD$9+CDENT+CEE+VIS+ASIS+EDXA019)</f>
        <v>8917.217276143203</v>
      </c>
      <c r="T29" s="361">
        <v>17</v>
      </c>
      <c r="U29" s="363">
        <f>IF($K$10="INCLUIDO",FACTORES!$C20*FACTORES!$AD$9+CDENT+CEE+VIS+ASIS+EDXA019+(FACTORES!$C20*FACTORES!$AD$9*CTE),FACTORES!$C20*FACTORES!$AD$9+CDENT+CEE+VIS+ASIS+EDXA019)</f>
        <v>9490.3790419299221</v>
      </c>
      <c r="V29" s="363">
        <f>IF($K$10="INCLUIDO",FACTORES!$D20*FACTORES!$AD$9+CDENT+CEE+VIS+ASIS+EDXA019+(FACTORES!$D20*FACTORES!$AD$9*CTE),FACTORES!$D20*FACTORES!$AD$9+CDENT+CEE+VIS+ASIS+EDXA019)</f>
        <v>8917.217276143203</v>
      </c>
      <c r="X29" s="361">
        <v>17</v>
      </c>
      <c r="Y29" s="363">
        <f>IF($K$10="INCLUIDO",FACTORES!$C20*FACTORES!$AD$9+CDENT+CEE+VIS+ASIS+EDXA019+(FACTORES!$C20*FACTORES!$AD$9*CTE),FACTORES!$C20*FACTORES!$AD$9+CDENT+CEE+VIS+ASIS+EDXA019)</f>
        <v>9490.3790419299221</v>
      </c>
      <c r="Z29" s="363">
        <f>IF($K$10="INCLUIDO",FACTORES!$D20*FACTORES!$AD$9+CDENT+CEE+VIS+ASIS+EDXA019+(FACTORES!$D20*FACTORES!$AD$9*CTE),FACTORES!$D20*FACTORES!$AD$9+CDENT+CEE+VIS+ASIS+EDXA019)</f>
        <v>8917.217276143203</v>
      </c>
      <c r="AL29">
        <f t="shared" si="1"/>
        <v>0</v>
      </c>
      <c r="AO29">
        <f t="shared" si="2"/>
        <v>1</v>
      </c>
    </row>
    <row r="30" spans="1:41">
      <c r="B30" s="360">
        <v>18</v>
      </c>
      <c r="C30" s="362">
        <f>(Q30+DER)*(1+COTIZACION!$D$23)</f>
        <v>12034.014268463781</v>
      </c>
      <c r="D30" s="362">
        <f>(R30+DER)*(1+COTIZACION!$D$23)</f>
        <v>12019.885715240247</v>
      </c>
      <c r="F30" s="360">
        <v>18</v>
      </c>
      <c r="G30" s="362">
        <f>U30*(1+COTIZACION!$D$23)</f>
        <v>11106.014268463781</v>
      </c>
      <c r="H30" s="362">
        <f>V30*(1+COTIZACION!$D$23)</f>
        <v>11091.885715240247</v>
      </c>
      <c r="J30" s="360">
        <v>18</v>
      </c>
      <c r="K30" s="362">
        <f>Y30*(1+COTIZACION!$D$23)</f>
        <v>11106.014268463781</v>
      </c>
      <c r="L30" s="362">
        <f>Z30*(1+COTIZACION!$D$23)</f>
        <v>11091.885715240247</v>
      </c>
      <c r="P30" s="360">
        <v>18</v>
      </c>
      <c r="Q30" s="362">
        <f>IF($K$10="INCLUIDO",FACTORES!$C21*FACTORES!$AD$9+CDENT+CEE+VIS+ASIS+EDXA019+(FACTORES!$C21*FACTORES!$AD$9*CTE)+ENFGR,FACTORES!$C21*FACTORES!$AD$9+CDENT+CEE+VIS+ASIS+EDXA019+ENFGR)</f>
        <v>9574.1502314342943</v>
      </c>
      <c r="R30" s="362">
        <f>IF($K$10="INCLUIDO",FACTORES!$D21*FACTORES!$AD$9+CDENT+CEE+VIS+ASIS+EDXA019+(FACTORES!$D21*FACTORES!$AD$9*CTE)+ENFGR+VLOOKUP(COTIZACION!$D$17,FACTORES!$K$21:$L$24,2,0),FACTORES!$D21*FACTORES!$AD$9+CDENT+CEE+VIS+ASIS+EDXA019+ENFGR+VLOOKUP(COTIZACION!$D$17,FACTORES!$K$21:$L$24,2,0))</f>
        <v>9561.970444172628</v>
      </c>
      <c r="T30" s="360">
        <v>18</v>
      </c>
      <c r="U30" s="362">
        <f>IF($K$10="INCLUIDO",FACTORES!$C21*FACTORES!$AD$9+CDENT+CEE+VIS+ASIS+EDXA019+(FACTORES!$C21*FACTORES!$AD$9*CTE)+ENFGR,FACTORES!$C21*FACTORES!$AD$9+CDENT+CEE+VIS+ASIS+EDXA019+ENFGR)</f>
        <v>9574.1502314342943</v>
      </c>
      <c r="V30" s="362">
        <f>IF($K$10="INCLUIDO",FACTORES!$D21*FACTORES!$AD$9+CDENT+CEE+VIS+ASIS+EDXA019+(FACTORES!$D21*FACTORES!$AD$9*CTE)+ENFGR+VLOOKUP(COTIZACION!$D$17,FACTORES!$K$21:$L$24,2,0),FACTORES!$D21*FACTORES!$AD$9+CDENT+CEE+VIS+ASIS+EDXA019+ENFGR+VLOOKUP(COTIZACION!$D$17,FACTORES!$K$21:$L$24,2,0))</f>
        <v>9561.970444172628</v>
      </c>
      <c r="X30" s="360">
        <v>18</v>
      </c>
      <c r="Y30" s="362">
        <f>IF($K$10="INCLUIDO",FACTORES!$C21*FACTORES!$AD$9+CDENT+CEE+VIS+ASIS+EDXA019+(FACTORES!$C21*FACTORES!$AD$9*CTE)+ENFGR,FACTORES!$C21*FACTORES!$AD$9+CDENT+CEE+VIS+ASIS+EDXA019+ENFGR)</f>
        <v>9574.1502314342943</v>
      </c>
      <c r="Z30" s="362">
        <f>IF($K$10="INCLUIDO",FACTORES!$D21*FACTORES!$AD$9+CDENT+CEE+VIS+ASIS+EDXA019+(FACTORES!$D21*FACTORES!$AD$9*CTE)+ENFGR+VLOOKUP(COTIZACION!$D$17,FACTORES!$K$21:$L$24,2,0),FACTORES!$D21*FACTORES!$AD$9+CDENT+CEE+VIS+ASIS+EDXA019+ENFGR+VLOOKUP(COTIZACION!$D$17,FACTORES!$K$21:$L$24,2,0))</f>
        <v>9561.970444172628</v>
      </c>
      <c r="AL30">
        <f t="shared" si="1"/>
        <v>0</v>
      </c>
      <c r="AO30">
        <f t="shared" si="2"/>
        <v>1</v>
      </c>
    </row>
    <row r="31" spans="1:41">
      <c r="B31" s="361">
        <v>19</v>
      </c>
      <c r="C31" s="363">
        <f>(Q31+DER)*(1+COTIZACION!$D$23)</f>
        <v>12132.160594087101</v>
      </c>
      <c r="D31" s="363">
        <f>(R31+DER)*(1+COTIZACION!$D$23)</f>
        <v>12175.590268988391</v>
      </c>
      <c r="F31" s="361">
        <v>19</v>
      </c>
      <c r="G31" s="363">
        <f>U31*(1+COTIZACION!$D$23)</f>
        <v>11204.160594087101</v>
      </c>
      <c r="H31" s="363">
        <f>V31*(1+COTIZACION!$D$23)</f>
        <v>11247.590268988391</v>
      </c>
      <c r="J31" s="361">
        <v>19</v>
      </c>
      <c r="K31" s="363">
        <f>Y31*(1+COTIZACION!$D$23)</f>
        <v>11204.160594087101</v>
      </c>
      <c r="L31" s="363">
        <f>Z31*(1+COTIZACION!$D$23)</f>
        <v>11247.590268988391</v>
      </c>
      <c r="P31" s="361">
        <v>19</v>
      </c>
      <c r="Q31" s="363">
        <f>IF($K$10="INCLUIDO",FACTORES!$C22*FACTORES!$AD$9+CDENT+CEE+VIS+ASIS+EDXA019+(FACTORES!$C22*FACTORES!$AD$9*CTE)+ENFGR,FACTORES!$C22*FACTORES!$AD$9+CDENT+CEE+VIS+ASIS+EDXA019+ENFGR)</f>
        <v>9658.7591328337094</v>
      </c>
      <c r="R31" s="363">
        <f>IF($K$10="INCLUIDO",FACTORES!$D22*FACTORES!$AD$9+CDENT+CEE+VIS+ASIS+EDXA019+(FACTORES!$D22*FACTORES!$AD$9*CTE)+ENFGR+VLOOKUP(COTIZACION!$D$17,FACTORES!$K$21:$L$24,2,0),FACTORES!$D22*FACTORES!$AD$9+CDENT+CEE+VIS+ASIS+EDXA019+ENFGR+VLOOKUP(COTIZACION!$D$17,FACTORES!$K$21:$L$24,2,0))</f>
        <v>9696.1985077486133</v>
      </c>
      <c r="T31" s="361">
        <v>19</v>
      </c>
      <c r="U31" s="363">
        <f>IF($K$10="INCLUIDO",FACTORES!$C22*FACTORES!$AD$9+CDENT+CEE+VIS+ASIS+EDXA019+(FACTORES!$C22*FACTORES!$AD$9*CTE)+ENFGR,FACTORES!$C22*FACTORES!$AD$9+CDENT+CEE+VIS+ASIS+EDXA019+ENFGR)</f>
        <v>9658.7591328337094</v>
      </c>
      <c r="V31" s="363">
        <f>IF($K$10="INCLUIDO",FACTORES!$D22*FACTORES!$AD$9+CDENT+CEE+VIS+ASIS+EDXA019+(FACTORES!$D22*FACTORES!$AD$9*CTE)+ENFGR+VLOOKUP(COTIZACION!$D$17,FACTORES!$K$21:$L$24,2,0),FACTORES!$D22*FACTORES!$AD$9+CDENT+CEE+VIS+ASIS+EDXA019+ENFGR+VLOOKUP(COTIZACION!$D$17,FACTORES!$K$21:$L$24,2,0))</f>
        <v>9696.1985077486133</v>
      </c>
      <c r="X31" s="361">
        <v>19</v>
      </c>
      <c r="Y31" s="363">
        <f>IF($K$10="INCLUIDO",FACTORES!$C22*FACTORES!$AD$9+CDENT+CEE+VIS+ASIS+EDXA019+(FACTORES!$C22*FACTORES!$AD$9*CTE)+ENFGR,FACTORES!$C22*FACTORES!$AD$9+CDENT+CEE+VIS+ASIS+EDXA019+ENFGR)</f>
        <v>9658.7591328337094</v>
      </c>
      <c r="Z31" s="363">
        <f>IF($K$10="INCLUIDO",FACTORES!$D22*FACTORES!$AD$9+CDENT+CEE+VIS+ASIS+EDXA019+(FACTORES!$D22*FACTORES!$AD$9*CTE)+ENFGR+VLOOKUP(COTIZACION!$D$17,FACTORES!$K$21:$L$24,2,0),FACTORES!$D22*FACTORES!$AD$9+CDENT+CEE+VIS+ASIS+EDXA019+ENFGR+VLOOKUP(COTIZACION!$D$17,FACTORES!$K$21:$L$24,2,0))</f>
        <v>9696.1985077486133</v>
      </c>
      <c r="AL31">
        <f t="shared" si="1"/>
        <v>0</v>
      </c>
      <c r="AO31">
        <f t="shared" si="2"/>
        <v>1</v>
      </c>
    </row>
    <row r="32" spans="1:41">
      <c r="B32" s="360">
        <v>20</v>
      </c>
      <c r="C32" s="362">
        <f>(Q32+DER)*(1+COTIZACION!$D$23)</f>
        <v>10971.600560503415</v>
      </c>
      <c r="D32" s="362">
        <f>(R32+DER)*(1+COTIZACION!$D$23)</f>
        <v>13746.884727149825</v>
      </c>
      <c r="F32" s="360">
        <v>20</v>
      </c>
      <c r="G32" s="362">
        <f>U32*(1+COTIZACION!$D$23)</f>
        <v>10043.600560503415</v>
      </c>
      <c r="H32" s="362">
        <f>V32*(1+COTIZACION!$D$23)</f>
        <v>12818.884727149825</v>
      </c>
      <c r="J32" s="360">
        <v>20</v>
      </c>
      <c r="K32" s="362">
        <f>Y32*(1+COTIZACION!$D$23)</f>
        <v>10043.600560503415</v>
      </c>
      <c r="L32" s="362">
        <f>Z32*(1+COTIZACION!$D$23)</f>
        <v>12818.884727149825</v>
      </c>
      <c r="P32" s="360">
        <v>20</v>
      </c>
      <c r="Q32" s="362">
        <f>IF($K$10="INCLUIDO",FACTORES!$C23*FACTORES!$AD$9+CDENT+CEE+VIS+ASIS+EDXA20100+(FACTORES!$C23*FACTORES!$AD$9*CTE)+ENFGR,FACTORES!$C23*FACTORES!$AD$9+CDENT+CEE+VIS+ASIS+EDXA20100+ENFGR)</f>
        <v>8658.2763452615654</v>
      </c>
      <c r="R32" s="362">
        <f>IF($K$10="INCLUIDO",FACTORES!$D23*FACTORES!$AD$9+CDENT+CEE+VIS+ASIS+EDXA20100+(FACTORES!$D23*FACTORES!$AD$9*CTE)+ENFGR+VLOOKUP(COTIZACION!$D$17,FACTORES!$K$21:$L$24,2,0),FACTORES!$D23*FACTORES!$AD$9+CDENT+CEE+VIS+ASIS+EDXA20100+ENFGR+VLOOKUP(COTIZACION!$D$17,FACTORES!$K$21:$L$24,2,0))</f>
        <v>11050.762695818816</v>
      </c>
      <c r="T32" s="360">
        <v>20</v>
      </c>
      <c r="U32" s="362">
        <f>IF($K$10="INCLUIDO",FACTORES!$C23*FACTORES!$AD$9+CDENT+CEE+VIS+ASIS+EDXA20100+(FACTORES!$C23*FACTORES!$AD$9*CTE)+ENFGR,FACTORES!$C23*FACTORES!$AD$9+CDENT+CEE+VIS+ASIS+EDXA20100+ENFGR)</f>
        <v>8658.2763452615654</v>
      </c>
      <c r="V32" s="362">
        <f>IF($K$10="INCLUIDO",FACTORES!$D23*FACTORES!$AD$9+CDENT+CEE+VIS+ASIS+EDXA20100+(FACTORES!$D23*FACTORES!$AD$9*CTE)+ENFGR+VLOOKUP(COTIZACION!$D$17,FACTORES!$K$21:$L$24,2,0),FACTORES!$D23*FACTORES!$AD$9+CDENT+CEE+VIS+ASIS+EDXA20100+ENFGR+VLOOKUP(COTIZACION!$D$17,FACTORES!$K$21:$L$24,2,0))</f>
        <v>11050.762695818816</v>
      </c>
      <c r="X32" s="360">
        <v>20</v>
      </c>
      <c r="Y32" s="362">
        <f>IF($K$10="INCLUIDO",FACTORES!$C23*FACTORES!$AD$9+CDENT+CEE+VIS+ASIS+EDXA20100+(FACTORES!$C23*FACTORES!$AD$9*CTE)+ENFGR,FACTORES!$C23*FACTORES!$AD$9+CDENT+CEE+VIS+ASIS+EDXA20100+ENFGR)</f>
        <v>8658.2763452615654</v>
      </c>
      <c r="Z32" s="362">
        <f>IF($K$10="INCLUIDO",FACTORES!$D23*FACTORES!$AD$9+CDENT+CEE+VIS+ASIS+EDXA20100+(FACTORES!$D23*FACTORES!$AD$9*CTE)+ENFGR+VLOOKUP(COTIZACION!$D$17,FACTORES!$K$21:$L$24,2,0),FACTORES!$D23*FACTORES!$AD$9+CDENT+CEE+VIS+ASIS+EDXA20100+ENFGR+VLOOKUP(COTIZACION!$D$17,FACTORES!$K$21:$L$24,2,0))</f>
        <v>11050.762695818816</v>
      </c>
      <c r="AL32">
        <f t="shared" si="1"/>
        <v>0</v>
      </c>
      <c r="AO32">
        <f t="shared" si="2"/>
        <v>1</v>
      </c>
    </row>
    <row r="33" spans="2:41">
      <c r="B33" s="361">
        <v>21</v>
      </c>
      <c r="C33" s="363">
        <f>(Q33+DER)*(1+COTIZACION!$D$23)</f>
        <v>12496.643466342721</v>
      </c>
      <c r="D33" s="363">
        <f>(R33+DER)*(1+COTIZACION!$D$23)</f>
        <v>15549.707537590266</v>
      </c>
      <c r="F33" s="361">
        <v>21</v>
      </c>
      <c r="G33" s="363">
        <f>U33*(1+COTIZACION!$D$23)</f>
        <v>11568.643466342721</v>
      </c>
      <c r="H33" s="363">
        <f>V33*(1+COTIZACION!$D$23)</f>
        <v>14621.707537590266</v>
      </c>
      <c r="J33" s="361">
        <v>21</v>
      </c>
      <c r="K33" s="363">
        <f>Y33*(1+COTIZACION!$D$23)</f>
        <v>11568.643466342721</v>
      </c>
      <c r="L33" s="363">
        <f>Z33*(1+COTIZACION!$D$23)</f>
        <v>14621.707537590266</v>
      </c>
      <c r="P33" s="361">
        <v>21</v>
      </c>
      <c r="Q33" s="363">
        <f>IF($K$10="INCLUIDO",FACTORES!$C24*FACTORES!$AD$9+CDENT+CEE+VIS+ASIS+EDXA20100+(FACTORES!$C24*FACTORES!$AD$9*CTE)+ENFGR,FACTORES!$C24*FACTORES!$AD$9+CDENT+CEE+VIS+ASIS+EDXA20100+ENFGR)</f>
        <v>9972.968505467863</v>
      </c>
      <c r="R33" s="363">
        <f>IF($K$10="INCLUIDO",FACTORES!$D24*FACTORES!$AD$9+CDENT+CEE+VIS+ASIS+EDXA20100+(FACTORES!$D24*FACTORES!$AD$9*CTE)+ENFGR+VLOOKUP(COTIZACION!$D$17,FACTORES!$K$21:$L$24,2,0),FACTORES!$D24*FACTORES!$AD$9+CDENT+CEE+VIS+ASIS+EDXA20100+ENFGR+VLOOKUP(COTIZACION!$D$17,FACTORES!$K$21:$L$24,2,0))</f>
        <v>12604.920291026092</v>
      </c>
      <c r="T33" s="361">
        <v>21</v>
      </c>
      <c r="U33" s="363">
        <f>IF($K$10="INCLUIDO",FACTORES!$C24*FACTORES!$AD$9+CDENT+CEE+VIS+ASIS+EDXA20100+(FACTORES!$C24*FACTORES!$AD$9*CTE)+ENFGR,FACTORES!$C24*FACTORES!$AD$9+CDENT+CEE+VIS+ASIS+EDXA20100+ENFGR)</f>
        <v>9972.968505467863</v>
      </c>
      <c r="V33" s="363">
        <f>IF($K$10="INCLUIDO",FACTORES!$D24*FACTORES!$AD$9+CDENT+CEE+VIS+ASIS+EDXA20100+(FACTORES!$D24*FACTORES!$AD$9*CTE)+ENFGR+VLOOKUP(COTIZACION!$D$17,FACTORES!$K$21:$L$24,2,0),FACTORES!$D24*FACTORES!$AD$9+CDENT+CEE+VIS+ASIS+EDXA20100+ENFGR+VLOOKUP(COTIZACION!$D$17,FACTORES!$K$21:$L$24,2,0))</f>
        <v>12604.920291026092</v>
      </c>
      <c r="X33" s="361">
        <v>21</v>
      </c>
      <c r="Y33" s="363">
        <f>IF($K$10="INCLUIDO",FACTORES!$C24*FACTORES!$AD$9+CDENT+CEE+VIS+ASIS+EDXA20100+(FACTORES!$C24*FACTORES!$AD$9*CTE)+ENFGR,FACTORES!$C24*FACTORES!$AD$9+CDENT+CEE+VIS+ASIS+EDXA20100+ENFGR)</f>
        <v>9972.968505467863</v>
      </c>
      <c r="Z33" s="363">
        <f>IF($K$10="INCLUIDO",FACTORES!$D24*FACTORES!$AD$9+CDENT+CEE+VIS+ASIS+EDXA20100+(FACTORES!$D24*FACTORES!$AD$9*CTE)+ENFGR+VLOOKUP(COTIZACION!$D$17,FACTORES!$K$21:$L$24,2,0),FACTORES!$D24*FACTORES!$AD$9+CDENT+CEE+VIS+ASIS+EDXA20100+ENFGR+VLOOKUP(COTIZACION!$D$17,FACTORES!$K$21:$L$24,2,0))</f>
        <v>12604.920291026092</v>
      </c>
      <c r="AL33">
        <f t="shared" si="1"/>
        <v>0</v>
      </c>
      <c r="AO33">
        <f t="shared" si="2"/>
        <v>1</v>
      </c>
    </row>
    <row r="34" spans="2:41">
      <c r="B34" s="360">
        <v>22</v>
      </c>
      <c r="C34" s="362">
        <f>(Q34+DER)*(1+COTIZACION!$D$23)</f>
        <v>12954.156338094512</v>
      </c>
      <c r="D34" s="362">
        <f>(R34+DER)*(1+COTIZACION!$D$23)</f>
        <v>16772.272959740108</v>
      </c>
      <c r="F34" s="360">
        <v>22</v>
      </c>
      <c r="G34" s="362">
        <f>U34*(1+COTIZACION!$D$23)</f>
        <v>12026.156338094512</v>
      </c>
      <c r="H34" s="362">
        <f>V34*(1+COTIZACION!$D$23)</f>
        <v>15844.272959740108</v>
      </c>
      <c r="J34" s="360">
        <v>22</v>
      </c>
      <c r="K34" s="362">
        <f>Y34*(1+COTIZACION!$D$23)</f>
        <v>12026.156338094512</v>
      </c>
      <c r="L34" s="362">
        <f>Z34*(1+COTIZACION!$D$23)</f>
        <v>15844.272959740108</v>
      </c>
      <c r="P34" s="360">
        <v>22</v>
      </c>
      <c r="Q34" s="362">
        <f>IF($K$10="INCLUIDO",FACTORES!$C25*FACTORES!$AD$9+CDENT+CEE+VIS+ASIS+EDXA20100+(FACTORES!$C25*FACTORES!$AD$9*CTE)+ENFGR,FACTORES!$C25*FACTORES!$AD$9+CDENT+CEE+VIS+ASIS+EDXA20100+ENFGR)</f>
        <v>10367.376153529753</v>
      </c>
      <c r="R34" s="362">
        <f>IF($K$10="INCLUIDO",FACTORES!$D25*FACTORES!$AD$9+CDENT+CEE+VIS+ASIS+EDXA20100+(FACTORES!$D25*FACTORES!$AD$9*CTE)+ENFGR+VLOOKUP(COTIZACION!$D$17,FACTORES!$K$21:$L$24,2,0),FACTORES!$D25*FACTORES!$AD$9+CDENT+CEE+VIS+ASIS+EDXA20100+ENFGR+VLOOKUP(COTIZACION!$D$17,FACTORES!$K$21:$L$24,2,0))</f>
        <v>13658.855999775957</v>
      </c>
      <c r="T34" s="360">
        <v>22</v>
      </c>
      <c r="U34" s="362">
        <f>IF($K$10="INCLUIDO",FACTORES!$C25*FACTORES!$AD$9+CDENT+CEE+VIS+ASIS+EDXA20100+(FACTORES!$C25*FACTORES!$AD$9*CTE)+ENFGR,FACTORES!$C25*FACTORES!$AD$9+CDENT+CEE+VIS+ASIS+EDXA20100+ENFGR)</f>
        <v>10367.376153529753</v>
      </c>
      <c r="V34" s="362">
        <f>IF($K$10="INCLUIDO",FACTORES!$D25*FACTORES!$AD$9+CDENT+CEE+VIS+ASIS+EDXA20100+(FACTORES!$D25*FACTORES!$AD$9*CTE)+ENFGR+VLOOKUP(COTIZACION!$D$17,FACTORES!$K$21:$L$24,2,0),FACTORES!$D25*FACTORES!$AD$9+CDENT+CEE+VIS+ASIS+EDXA20100+ENFGR+VLOOKUP(COTIZACION!$D$17,FACTORES!$K$21:$L$24,2,0))</f>
        <v>13658.855999775957</v>
      </c>
      <c r="X34" s="360">
        <v>22</v>
      </c>
      <c r="Y34" s="362">
        <f>IF($K$10="INCLUIDO",FACTORES!$C25*FACTORES!$AD$9+CDENT+CEE+VIS+ASIS+EDXA20100+(FACTORES!$C25*FACTORES!$AD$9*CTE)+ENFGR,FACTORES!$C25*FACTORES!$AD$9+CDENT+CEE+VIS+ASIS+EDXA20100+ENFGR)</f>
        <v>10367.376153529753</v>
      </c>
      <c r="Z34" s="362">
        <f>IF($K$10="INCLUIDO",FACTORES!$D25*FACTORES!$AD$9+CDENT+CEE+VIS+ASIS+EDXA20100+(FACTORES!$D25*FACTORES!$AD$9*CTE)+ENFGR+VLOOKUP(COTIZACION!$D$17,FACTORES!$K$21:$L$24,2,0),FACTORES!$D25*FACTORES!$AD$9+CDENT+CEE+VIS+ASIS+EDXA20100+ENFGR+VLOOKUP(COTIZACION!$D$17,FACTORES!$K$21:$L$24,2,0))</f>
        <v>13658.855999775957</v>
      </c>
      <c r="AL34">
        <f t="shared" si="1"/>
        <v>0</v>
      </c>
      <c r="AO34">
        <f t="shared" si="2"/>
        <v>1</v>
      </c>
    </row>
    <row r="35" spans="2:41">
      <c r="B35" s="361">
        <v>23</v>
      </c>
      <c r="C35" s="363">
        <f>(Q35+DER)*(1+COTIZACION!$D$23)</f>
        <v>13530.622556501772</v>
      </c>
      <c r="D35" s="363">
        <f>(R35+DER)*(1+COTIZACION!$D$23)</f>
        <v>17456.909596144022</v>
      </c>
      <c r="F35" s="361">
        <v>23</v>
      </c>
      <c r="G35" s="363">
        <f>U35*(1+COTIZACION!$D$23)</f>
        <v>12602.622556501772</v>
      </c>
      <c r="H35" s="363">
        <f>V35*(1+COTIZACION!$D$23)</f>
        <v>16528.909596144022</v>
      </c>
      <c r="J35" s="361">
        <v>23</v>
      </c>
      <c r="K35" s="363">
        <f>Y35*(1+COTIZACION!$D$23)</f>
        <v>12602.622556501772</v>
      </c>
      <c r="L35" s="363">
        <f>Z35*(1+COTIZACION!$D$23)</f>
        <v>16528.909596144022</v>
      </c>
      <c r="P35" s="361">
        <v>23</v>
      </c>
      <c r="Q35" s="363">
        <f>IF($K$10="INCLUIDO",FACTORES!$C26*FACTORES!$AD$9+CDENT+CEE+VIS+ASIS+EDXA20100+(FACTORES!$C26*FACTORES!$AD$9*CTE)+ENFGR,FACTORES!$C26*FACTORES!$AD$9+CDENT+CEE+VIS+ASIS+EDXA20100+ENFGR)</f>
        <v>10864.329790087735</v>
      </c>
      <c r="R35" s="363">
        <f>IF($K$10="INCLUIDO",FACTORES!$D26*FACTORES!$AD$9+CDENT+CEE+VIS+ASIS+EDXA20100+(FACTORES!$D26*FACTORES!$AD$9*CTE)+ENFGR+VLOOKUP(COTIZACION!$D$17,FACTORES!$K$21:$L$24,2,0),FACTORES!$D26*FACTORES!$AD$9+CDENT+CEE+VIS+ASIS+EDXA20100+ENFGR+VLOOKUP(COTIZACION!$D$17,FACTORES!$K$21:$L$24,2,0))</f>
        <v>14249.059996675882</v>
      </c>
      <c r="T35" s="361">
        <v>23</v>
      </c>
      <c r="U35" s="363">
        <f>IF($K$10="INCLUIDO",FACTORES!$C26*FACTORES!$AD$9+CDENT+CEE+VIS+ASIS+EDXA20100+(FACTORES!$C26*FACTORES!$AD$9*CTE)+ENFGR,FACTORES!$C26*FACTORES!$AD$9+CDENT+CEE+VIS+ASIS+EDXA20100+ENFGR)</f>
        <v>10864.329790087735</v>
      </c>
      <c r="V35" s="363">
        <f>IF($K$10="INCLUIDO",FACTORES!$D26*FACTORES!$AD$9+CDENT+CEE+VIS+ASIS+EDXA20100+(FACTORES!$D26*FACTORES!$AD$9*CTE)+ENFGR+VLOOKUP(COTIZACION!$D$17,FACTORES!$K$21:$L$24,2,0),FACTORES!$D26*FACTORES!$AD$9+CDENT+CEE+VIS+ASIS+EDXA20100+ENFGR+VLOOKUP(COTIZACION!$D$17,FACTORES!$K$21:$L$24,2,0))</f>
        <v>14249.059996675882</v>
      </c>
      <c r="X35" s="361">
        <v>23</v>
      </c>
      <c r="Y35" s="363">
        <f>IF($K$10="INCLUIDO",FACTORES!$C26*FACTORES!$AD$9+CDENT+CEE+VIS+ASIS+EDXA20100+(FACTORES!$C26*FACTORES!$AD$9*CTE)+ENFGR,FACTORES!$C26*FACTORES!$AD$9+CDENT+CEE+VIS+ASIS+EDXA20100+ENFGR)</f>
        <v>10864.329790087735</v>
      </c>
      <c r="Z35" s="363">
        <f>IF($K$10="INCLUIDO",FACTORES!$D26*FACTORES!$AD$9+CDENT+CEE+VIS+ASIS+EDXA20100+(FACTORES!$D26*FACTORES!$AD$9*CTE)+ENFGR+VLOOKUP(COTIZACION!$D$17,FACTORES!$K$21:$L$24,2,0),FACTORES!$D26*FACTORES!$AD$9+CDENT+CEE+VIS+ASIS+EDXA20100+ENFGR+VLOOKUP(COTIZACION!$D$17,FACTORES!$K$21:$L$24,2,0))</f>
        <v>14249.059996675882</v>
      </c>
      <c r="AL35">
        <f t="shared" si="1"/>
        <v>0</v>
      </c>
      <c r="AO35">
        <f t="shared" si="2"/>
        <v>1</v>
      </c>
    </row>
    <row r="36" spans="2:41">
      <c r="B36" s="360">
        <v>24</v>
      </c>
      <c r="C36" s="362">
        <f>(Q36+DER)*(1+COTIZACION!$D$23)</f>
        <v>14141.676748013468</v>
      </c>
      <c r="D36" s="362">
        <f>(R36+DER)*(1+COTIZACION!$D$23)</f>
        <v>18061.671958300813</v>
      </c>
      <c r="F36" s="360">
        <v>24</v>
      </c>
      <c r="G36" s="362">
        <f>U36*(1+COTIZACION!$D$23)</f>
        <v>13213.676748013468</v>
      </c>
      <c r="H36" s="362">
        <f>V36*(1+COTIZACION!$D$23)</f>
        <v>17133.671958300813</v>
      </c>
      <c r="J36" s="360">
        <v>24</v>
      </c>
      <c r="K36" s="362">
        <f>Y36*(1+COTIZACION!$D$23)</f>
        <v>13213.676748013468</v>
      </c>
      <c r="L36" s="362">
        <f>Z36*(1+COTIZACION!$D$23)</f>
        <v>17133.671958300813</v>
      </c>
      <c r="P36" s="360">
        <v>24</v>
      </c>
      <c r="Q36" s="362">
        <f>IF($K$10="INCLUIDO",FACTORES!$C27*FACTORES!$AD$9+CDENT+CEE+VIS+ASIS+EDXA20100+(FACTORES!$C27*FACTORES!$AD$9*CTE)+ENFGR,FACTORES!$C27*FACTORES!$AD$9+CDENT+CEE+VIS+ASIS+EDXA20100+ENFGR)</f>
        <v>11391.100644839196</v>
      </c>
      <c r="R36" s="362">
        <f>IF($K$10="INCLUIDO",FACTORES!$D27*FACTORES!$AD$9+CDENT+CEE+VIS+ASIS+EDXA20100+(FACTORES!$D27*FACTORES!$AD$9*CTE)+ENFGR+VLOOKUP(COTIZACION!$D$17,FACTORES!$K$21:$L$24,2,0),FACTORES!$D27*FACTORES!$AD$9+CDENT+CEE+VIS+ASIS+EDXA20100+ENFGR+VLOOKUP(COTIZACION!$D$17,FACTORES!$K$21:$L$24,2,0))</f>
        <v>14770.406860604149</v>
      </c>
      <c r="T36" s="360">
        <v>24</v>
      </c>
      <c r="U36" s="362">
        <f>IF($K$10="INCLUIDO",FACTORES!$C27*FACTORES!$AD$9+CDENT+CEE+VIS+ASIS+EDXA20100+(FACTORES!$C27*FACTORES!$AD$9*CTE)+ENFGR,FACTORES!$C27*FACTORES!$AD$9+CDENT+CEE+VIS+ASIS+EDXA20100+ENFGR)</f>
        <v>11391.100644839196</v>
      </c>
      <c r="V36" s="362">
        <f>IF($K$10="INCLUIDO",FACTORES!$D27*FACTORES!$AD$9+CDENT+CEE+VIS+ASIS+EDXA20100+(FACTORES!$D27*FACTORES!$AD$9*CTE)+ENFGR+VLOOKUP(COTIZACION!$D$17,FACTORES!$K$21:$L$24,2,0),FACTORES!$D27*FACTORES!$AD$9+CDENT+CEE+VIS+ASIS+EDXA20100+ENFGR+VLOOKUP(COTIZACION!$D$17,FACTORES!$K$21:$L$24,2,0))</f>
        <v>14770.406860604149</v>
      </c>
      <c r="X36" s="360">
        <v>24</v>
      </c>
      <c r="Y36" s="362">
        <f>IF($K$10="INCLUIDO",FACTORES!$C27*FACTORES!$AD$9+CDENT+CEE+VIS+ASIS+EDXA20100+(FACTORES!$C27*FACTORES!$AD$9*CTE)+ENFGR,FACTORES!$C27*FACTORES!$AD$9+CDENT+CEE+VIS+ASIS+EDXA20100+ENFGR)</f>
        <v>11391.100644839196</v>
      </c>
      <c r="Z36" s="362">
        <f>IF($K$10="INCLUIDO",FACTORES!$D27*FACTORES!$AD$9+CDENT+CEE+VIS+ASIS+EDXA20100+(FACTORES!$D27*FACTORES!$AD$9*CTE)+ENFGR+VLOOKUP(COTIZACION!$D$17,FACTORES!$K$21:$L$24,2,0),FACTORES!$D27*FACTORES!$AD$9+CDENT+CEE+VIS+ASIS+EDXA20100+ENFGR+VLOOKUP(COTIZACION!$D$17,FACTORES!$K$21:$L$24,2,0))</f>
        <v>14770.406860604149</v>
      </c>
      <c r="AL36">
        <f t="shared" si="1"/>
        <v>0</v>
      </c>
      <c r="AO36">
        <f t="shared" si="2"/>
        <v>1</v>
      </c>
    </row>
    <row r="37" spans="2:41">
      <c r="B37" s="361">
        <v>25</v>
      </c>
      <c r="C37" s="363">
        <f>(Q37+DER)*(1+COTIZACION!$D$23)</f>
        <v>14789.394191015863</v>
      </c>
      <c r="D37" s="363">
        <f>(R37+DER)*(1+COTIZACION!$D$23)</f>
        <v>18696.672438565442</v>
      </c>
      <c r="F37" s="361">
        <v>25</v>
      </c>
      <c r="G37" s="363">
        <f>U37*(1+COTIZACION!$D$23)</f>
        <v>13861.394191015863</v>
      </c>
      <c r="H37" s="363">
        <f>V37*(1+COTIZACION!$D$23)</f>
        <v>17768.672438565442</v>
      </c>
      <c r="J37" s="364"/>
      <c r="K37" s="365"/>
      <c r="L37" s="365"/>
      <c r="M37" s="365"/>
      <c r="P37" s="361">
        <v>25</v>
      </c>
      <c r="Q37" s="363">
        <f>IF($K$10="INCLUIDO",FACTORES!$C28*FACTORES!$AD$9+CDENT+CEE+VIS+ASIS+EDXA20100+(FACTORES!$C28*FACTORES!$AD$9*CTE)+ENFGR,FACTORES!$C28*FACTORES!$AD$9+CDENT+CEE+VIS+ASIS+EDXA20100+ENFGR)</f>
        <v>11949.477750875745</v>
      </c>
      <c r="R37" s="363">
        <f>IF($K$10="INCLUIDO",FACTORES!$D28*FACTORES!$AD$9+CDENT+CEE+VIS+ASIS+EDXA20100+(FACTORES!$D28*FACTORES!$AD$9*CTE)+ENFGR+VLOOKUP(COTIZACION!$D$17,FACTORES!$K$21:$L$24,2,0),FACTORES!$D28*FACTORES!$AD$9+CDENT+CEE+VIS+ASIS+EDXA20100+ENFGR+VLOOKUP(COTIZACION!$D$17,FACTORES!$K$21:$L$24,2,0))</f>
        <v>15317.82106772883</v>
      </c>
      <c r="T37" s="361">
        <v>25</v>
      </c>
      <c r="U37" s="363">
        <f>IF($K$10="INCLUIDO",FACTORES!$C28*FACTORES!$AD$9+CDENT+CEE+VIS+ASIS+EDXA20100+(FACTORES!$C28*FACTORES!$AD$9*CTE)+ENFGR,FACTORES!$C28*FACTORES!$AD$9+CDENT+CEE+VIS+ASIS+EDXA20100+ENFGR)</f>
        <v>11949.477750875745</v>
      </c>
      <c r="V37" s="363">
        <f>IF($K$10="INCLUIDO",FACTORES!$D28*FACTORES!$AD$9+CDENT+CEE+VIS+ASIS+EDXA20100+(FACTORES!$D28*FACTORES!$AD$9*CTE)+ENFGR+VLOOKUP(COTIZACION!$D$17,FACTORES!$K$21:$L$24,2,0),FACTORES!$D28*FACTORES!$AD$9+CDENT+CEE+VIS+ASIS+EDXA20100+ENFGR+VLOOKUP(COTIZACION!$D$17,FACTORES!$K$21:$L$24,2,0))</f>
        <v>15317.82106772883</v>
      </c>
      <c r="X37" s="364"/>
      <c r="Y37" s="365"/>
      <c r="Z37" s="365"/>
      <c r="AO37">
        <f>IF(Q37=U37,1,0)</f>
        <v>1</v>
      </c>
    </row>
    <row r="38" spans="2:41">
      <c r="B38" s="360">
        <v>26</v>
      </c>
      <c r="C38" s="362">
        <f>(Q38+DER)*(1+COTIZACION!$D$23)</f>
        <v>15475.974680598403</v>
      </c>
      <c r="D38" s="362">
        <f>(R38+DER)*(1+COTIZACION!$D$23)</f>
        <v>19496.773043698875</v>
      </c>
      <c r="F38" s="360">
        <v>26</v>
      </c>
      <c r="G38" s="362">
        <f>U38*(1+COTIZACION!$D$23)</f>
        <v>14547.974680598403</v>
      </c>
      <c r="H38" s="362">
        <f>V38*(1+COTIZACION!$D$23)</f>
        <v>18568.773043698875</v>
      </c>
      <c r="J38" s="364"/>
      <c r="K38" s="365"/>
      <c r="L38" s="365"/>
      <c r="M38" s="365"/>
      <c r="P38" s="360">
        <v>26</v>
      </c>
      <c r="Q38" s="362">
        <f>IF($K$10="INCLUIDO",FACTORES!$C29*FACTORES!$AD$9+CDENT+CEE+VIS+ASIS+EDXA20100+(FACTORES!$C29*FACTORES!$AD$9*CTE)+ENFGR,FACTORES!$C29*FACTORES!$AD$9+CDENT+CEE+VIS+ASIS+EDXA20100+ENFGR)</f>
        <v>12541.357483274487</v>
      </c>
      <c r="R38" s="362">
        <f>IF($K$10="INCLUIDO",FACTORES!$D29*FACTORES!$AD$9+CDENT+CEE+VIS+ASIS+EDXA20100+(FACTORES!$D29*FACTORES!$AD$9*CTE)+ENFGR+VLOOKUP(COTIZACION!$D$17,FACTORES!$K$21:$L$24,2,0),FACTORES!$D29*FACTORES!$AD$9+CDENT+CEE+VIS+ASIS+EDXA20100+ENFGR+VLOOKUP(COTIZACION!$D$17,FACTORES!$K$21:$L$24,2,0))</f>
        <v>16007.562968705928</v>
      </c>
      <c r="T38" s="360">
        <v>26</v>
      </c>
      <c r="U38" s="362">
        <f>IF($K$10="INCLUIDO",FACTORES!$C29*FACTORES!$AD$9+CDENT+CEE+VIS+ASIS+EDXA20100+(FACTORES!$C29*FACTORES!$AD$9*CTE)+ENFGR,FACTORES!$C29*FACTORES!$AD$9+CDENT+CEE+VIS+ASIS+EDXA20100+ENFGR)</f>
        <v>12541.357483274487</v>
      </c>
      <c r="V38" s="362">
        <f>IF($K$10="INCLUIDO",FACTORES!$D29*FACTORES!$AD$9+CDENT+CEE+VIS+ASIS+EDXA20100+(FACTORES!$D29*FACTORES!$AD$9*CTE)+ENFGR+VLOOKUP(COTIZACION!$D$17,FACTORES!$K$21:$L$24,2,0),FACTORES!$D29*FACTORES!$AD$9+CDENT+CEE+VIS+ASIS+EDXA20100+ENFGR+VLOOKUP(COTIZACION!$D$17,FACTORES!$K$21:$L$24,2,0))</f>
        <v>16007.562968705928</v>
      </c>
      <c r="X38" s="364"/>
      <c r="Y38" s="365"/>
      <c r="Z38" s="365"/>
      <c r="AO38">
        <f t="shared" ref="AO38:AO76" si="3">IF(Q38=U38,1,0)</f>
        <v>1</v>
      </c>
    </row>
    <row r="39" spans="2:41">
      <c r="B39" s="361">
        <v>27</v>
      </c>
      <c r="C39" s="363">
        <f>(Q39+DER)*(1+COTIZACION!$D$23)</f>
        <v>16082.454113062979</v>
      </c>
      <c r="D39" s="363">
        <f>(R39+DER)*(1+COTIZACION!$D$23)</f>
        <v>20203.528578233407</v>
      </c>
      <c r="F39" s="361">
        <v>27</v>
      </c>
      <c r="G39" s="363">
        <f>U39*(1+COTIZACION!$D$23)</f>
        <v>15154.454113062979</v>
      </c>
      <c r="H39" s="363">
        <f>V39*(1+COTIZACION!$D$23)</f>
        <v>19275.528578233407</v>
      </c>
      <c r="J39" s="364"/>
      <c r="K39" s="365"/>
      <c r="L39" s="365"/>
      <c r="M39" s="365"/>
      <c r="P39" s="361">
        <v>27</v>
      </c>
      <c r="Q39" s="363">
        <f>IF($K$10="INCLUIDO",FACTORES!$C30*FACTORES!$AD$9+CDENT+CEE+VIS+ASIS+EDXA20100+(FACTORES!$C30*FACTORES!$AD$9*CTE)+ENFGR,FACTORES!$C30*FACTORES!$AD$9+CDENT+CEE+VIS+ASIS+EDXA20100+ENFGR)</f>
        <v>13064.184580226707</v>
      </c>
      <c r="R39" s="363">
        <f>IF($K$10="INCLUIDO",FACTORES!$D30*FACTORES!$AD$9+CDENT+CEE+VIS+ASIS+EDXA20100+(FACTORES!$D30*FACTORES!$AD$9*CTE)+ENFGR+VLOOKUP(COTIZACION!$D$17,FACTORES!$K$21:$L$24,2,0),FACTORES!$D30*FACTORES!$AD$9+CDENT+CEE+VIS+ASIS+EDXA20100+ENFGR+VLOOKUP(COTIZACION!$D$17,FACTORES!$K$21:$L$24,2,0))</f>
        <v>16616.834981235697</v>
      </c>
      <c r="T39" s="361">
        <v>27</v>
      </c>
      <c r="U39" s="363">
        <f>IF($K$10="INCLUIDO",FACTORES!$C30*FACTORES!$AD$9+CDENT+CEE+VIS+ASIS+EDXA20100+(FACTORES!$C30*FACTORES!$AD$9*CTE)+ENFGR,FACTORES!$C30*FACTORES!$AD$9+CDENT+CEE+VIS+ASIS+EDXA20100+ENFGR)</f>
        <v>13064.184580226707</v>
      </c>
      <c r="V39" s="363">
        <f>IF($K$10="INCLUIDO",FACTORES!$D30*FACTORES!$AD$9+CDENT+CEE+VIS+ASIS+EDXA20100+(FACTORES!$D30*FACTORES!$AD$9*CTE)+ENFGR+VLOOKUP(COTIZACION!$D$17,FACTORES!$K$21:$L$24,2,0),FACTORES!$D30*FACTORES!$AD$9+CDENT+CEE+VIS+ASIS+EDXA20100+ENFGR+VLOOKUP(COTIZACION!$D$17,FACTORES!$K$21:$L$24,2,0))</f>
        <v>16616.834981235697</v>
      </c>
      <c r="X39" s="364"/>
      <c r="Y39" s="365"/>
      <c r="Z39" s="365"/>
      <c r="AO39">
        <f t="shared" si="3"/>
        <v>1</v>
      </c>
    </row>
    <row r="40" spans="2:41">
      <c r="B40" s="360">
        <v>28</v>
      </c>
      <c r="C40" s="362">
        <f>(Q40+DER)*(1+COTIZACION!$D$23)</f>
        <v>16719.257517150785</v>
      </c>
      <c r="D40" s="362">
        <f>(R40+DER)*(1+COTIZACION!$D$23)</f>
        <v>20945.621889494665</v>
      </c>
      <c r="F40" s="360">
        <v>28</v>
      </c>
      <c r="G40" s="362">
        <f>U40*(1+COTIZACION!$D$23)</f>
        <v>15791.257517150785</v>
      </c>
      <c r="H40" s="362">
        <f>V40*(1+COTIZACION!$D$23)</f>
        <v>20017.621889494665</v>
      </c>
      <c r="J40" s="364"/>
      <c r="K40" s="365"/>
      <c r="L40" s="365"/>
      <c r="M40" s="365"/>
      <c r="P40" s="360">
        <v>28</v>
      </c>
      <c r="Q40" s="362">
        <f>IF($K$10="INCLUIDO",FACTORES!$C31*FACTORES!$AD$9+CDENT+CEE+VIS+ASIS+EDXA20100+(FACTORES!$C31*FACTORES!$AD$9*CTE)+ENFGR,FACTORES!$C31*FACTORES!$AD$9+CDENT+CEE+VIS+ASIS+EDXA20100+ENFGR)</f>
        <v>13613.153032026539</v>
      </c>
      <c r="R40" s="362">
        <f>IF($K$10="INCLUIDO",FACTORES!$D31*FACTORES!$AD$9+CDENT+CEE+VIS+ASIS+EDXA20100+(FACTORES!$D31*FACTORES!$AD$9*CTE)+ENFGR+VLOOKUP(COTIZACION!$D$17,FACTORES!$K$21:$L$24,2,0),FACTORES!$D31*FACTORES!$AD$9+CDENT+CEE+VIS+ASIS+EDXA20100+ENFGR+VLOOKUP(COTIZACION!$D$17,FACTORES!$K$21:$L$24,2,0))</f>
        <v>17256.570594391953</v>
      </c>
      <c r="T40" s="360">
        <v>28</v>
      </c>
      <c r="U40" s="362">
        <f>IF($K$10="INCLUIDO",FACTORES!$C31*FACTORES!$AD$9+CDENT+CEE+VIS+ASIS+EDXA20100+(FACTORES!$C31*FACTORES!$AD$9*CTE)+ENFGR,FACTORES!$C31*FACTORES!$AD$9+CDENT+CEE+VIS+ASIS+EDXA20100+ENFGR)</f>
        <v>13613.153032026539</v>
      </c>
      <c r="V40" s="362">
        <f>IF($K$10="INCLUIDO",FACTORES!$D31*FACTORES!$AD$9+CDENT+CEE+VIS+ASIS+EDXA20100+(FACTORES!$D31*FACTORES!$AD$9*CTE)+ENFGR+VLOOKUP(COTIZACION!$D$17,FACTORES!$K$21:$L$24,2,0),FACTORES!$D31*FACTORES!$AD$9+CDENT+CEE+VIS+ASIS+EDXA20100+ENFGR+VLOOKUP(COTIZACION!$D$17,FACTORES!$K$21:$L$24,2,0))</f>
        <v>17256.570594391953</v>
      </c>
      <c r="X40" s="364"/>
      <c r="Y40" s="365"/>
      <c r="Z40" s="365"/>
      <c r="AO40">
        <f t="shared" si="3"/>
        <v>1</v>
      </c>
    </row>
    <row r="41" spans="2:41">
      <c r="B41" s="361">
        <v>29</v>
      </c>
      <c r="C41" s="363">
        <f>(Q41+DER)*(1+COTIZACION!$D$23)</f>
        <v>17387.901091442982</v>
      </c>
      <c r="D41" s="363">
        <f>(R41+DER)*(1+COTIZACION!$D$23)</f>
        <v>21724.819866318991</v>
      </c>
      <c r="F41" s="361">
        <v>29</v>
      </c>
      <c r="G41" s="363">
        <f>U41*(1+COTIZACION!$D$23)</f>
        <v>16459.901091442982</v>
      </c>
      <c r="H41" s="363">
        <f>V41*(1+COTIZACION!$D$23)</f>
        <v>20796.819866318991</v>
      </c>
      <c r="J41" s="364"/>
      <c r="K41" s="365"/>
      <c r="L41" s="365"/>
      <c r="M41" s="365"/>
      <c r="P41" s="361">
        <v>29</v>
      </c>
      <c r="Q41" s="363">
        <f>IF($K$10="INCLUIDO",FACTORES!$C32*FACTORES!$AD$9+CDENT+CEE+VIS+ASIS+EDXA20100+(FACTORES!$C32*FACTORES!$AD$9*CTE)+ENFGR,FACTORES!$C32*FACTORES!$AD$9+CDENT+CEE+VIS+ASIS+EDXA20100+ENFGR)</f>
        <v>14189.569906416364</v>
      </c>
      <c r="R41" s="363">
        <f>IF($K$10="INCLUIDO",FACTORES!$D32*FACTORES!$AD$9+CDENT+CEE+VIS+ASIS+EDXA20100+(FACTORES!$D32*FACTORES!$AD$9*CTE)+ENFGR+VLOOKUP(COTIZACION!$D$17,FACTORES!$K$21:$L$24,2,0),FACTORES!$D32*FACTORES!$AD$9+CDENT+CEE+VIS+ASIS+EDXA20100+ENFGR+VLOOKUP(COTIZACION!$D$17,FACTORES!$K$21:$L$24,2,0))</f>
        <v>17928.292988206027</v>
      </c>
      <c r="T41" s="361">
        <v>29</v>
      </c>
      <c r="U41" s="363">
        <f>IF($K$10="INCLUIDO",FACTORES!$C32*FACTORES!$AD$9+CDENT+CEE+VIS+ASIS+EDXA20100+(FACTORES!$C32*FACTORES!$AD$9*CTE)+ENFGR,FACTORES!$C32*FACTORES!$AD$9+CDENT+CEE+VIS+ASIS+EDXA20100+ENFGR)</f>
        <v>14189.569906416364</v>
      </c>
      <c r="V41" s="363">
        <f>IF($K$10="INCLUIDO",FACTORES!$D32*FACTORES!$AD$9+CDENT+CEE+VIS+ASIS+EDXA20100+(FACTORES!$D32*FACTORES!$AD$9*CTE)+ENFGR+VLOOKUP(COTIZACION!$D$17,FACTORES!$K$21:$L$24,2,0),FACTORES!$D32*FACTORES!$AD$9+CDENT+CEE+VIS+ASIS+EDXA20100+ENFGR+VLOOKUP(COTIZACION!$D$17,FACTORES!$K$21:$L$24,2,0))</f>
        <v>17928.292988206027</v>
      </c>
      <c r="X41" s="364"/>
      <c r="Y41" s="365"/>
      <c r="Z41" s="365"/>
      <c r="AO41">
        <f t="shared" si="3"/>
        <v>1</v>
      </c>
    </row>
    <row r="42" spans="2:41">
      <c r="B42" s="360">
        <v>30</v>
      </c>
      <c r="C42" s="362">
        <f>(Q42+DER)*(1+COTIZACION!$D$23)</f>
        <v>18089.976844449786</v>
      </c>
      <c r="D42" s="362">
        <f>(R42+DER)*(1+COTIZACION!$D$23)</f>
        <v>22542.977741984527</v>
      </c>
      <c r="F42" s="360">
        <v>30</v>
      </c>
      <c r="G42" s="362">
        <f>U42*(1+COTIZACION!$D$23)</f>
        <v>17161.976844449786</v>
      </c>
      <c r="H42" s="362">
        <f>V42*(1+COTIZACION!$D$23)</f>
        <v>21614.977741984527</v>
      </c>
      <c r="I42" s="362"/>
      <c r="J42" s="364"/>
      <c r="K42" s="365"/>
      <c r="L42" s="365"/>
      <c r="M42" s="433"/>
      <c r="N42" s="434"/>
      <c r="P42" s="360">
        <v>30</v>
      </c>
      <c r="Q42" s="362">
        <f>IF($K$10="INCLUIDO",FACTORES!$C33*FACTORES!$AD$9+CDENT+CEE+VIS+ASIS+EDXA20100+(FACTORES!$C33*FACTORES!$AD$9*CTE)+ENFGR,FACTORES!$C33*FACTORES!$AD$9+CDENT+CEE+VIS+ASIS+EDXA20100+ENFGR)</f>
        <v>14794.80762452568</v>
      </c>
      <c r="R42" s="362">
        <f>IF($K$10="INCLUIDO",FACTORES!$D33*FACTORES!$AD$9+CDENT+CEE+VIS+ASIS+EDXA20100+(FACTORES!$D33*FACTORES!$AD$9*CTE)+ENFGR+VLOOKUP(COTIZACION!$D$17,FACTORES!$K$21:$L$24,2,0),FACTORES!$D33*FACTORES!$AD$9+CDENT+CEE+VIS+ASIS+EDXA20100+ENFGR+VLOOKUP(COTIZACION!$D$17,FACTORES!$K$21:$L$24,2,0))</f>
        <v>18633.6015017108</v>
      </c>
      <c r="T42" s="360">
        <v>30</v>
      </c>
      <c r="U42" s="362">
        <f>IF($K$10="INCLUIDO",FACTORES!$C33*FACTORES!$AD$9+CDENT+CEE+VIS+ASIS+EDXA20100+(FACTORES!$C33*FACTORES!$AD$9*CTE)+ENFGR,FACTORES!$C33*FACTORES!$AD$9+CDENT+CEE+VIS+ASIS+EDXA20100+ENFGR)</f>
        <v>14794.80762452568</v>
      </c>
      <c r="V42" s="362">
        <f>IF($K$10="INCLUIDO",FACTORES!$D33*FACTORES!$AD$9+CDENT+CEE+VIS+ASIS+EDXA20100+(FACTORES!$D33*FACTORES!$AD$9*CTE)+ENFGR+VLOOKUP(COTIZACION!$D$17,FACTORES!$K$21:$L$24,2,0),FACTORES!$D33*FACTORES!$AD$9+CDENT+CEE+VIS+ASIS+EDXA20100+ENFGR+VLOOKUP(COTIZACION!$D$17,FACTORES!$K$21:$L$24,2,0))</f>
        <v>18633.6015017108</v>
      </c>
      <c r="X42" s="364"/>
      <c r="Y42" s="365"/>
      <c r="Z42" s="365"/>
      <c r="AO42">
        <f t="shared" si="3"/>
        <v>1</v>
      </c>
    </row>
    <row r="43" spans="2:41">
      <c r="B43" s="361">
        <v>31</v>
      </c>
      <c r="C43" s="363">
        <f>(Q43+DER)*(1+COTIZACION!$D$23)</f>
        <v>18827.156385106933</v>
      </c>
      <c r="D43" s="363">
        <f>(R43+DER)*(1+COTIZACION!$D$23)</f>
        <v>23402.043511433341</v>
      </c>
      <c r="F43" s="361">
        <v>31</v>
      </c>
      <c r="G43" s="363">
        <f>U43*(1+COTIZACION!$D$23)</f>
        <v>17899.156385106933</v>
      </c>
      <c r="H43" s="363">
        <f>V43*(1+COTIZACION!$D$23)</f>
        <v>22474.043511433341</v>
      </c>
      <c r="J43" s="364"/>
      <c r="K43" s="365"/>
      <c r="L43" s="365"/>
      <c r="M43" s="432"/>
      <c r="N43" s="431"/>
      <c r="P43" s="361">
        <v>31</v>
      </c>
      <c r="Q43" s="363">
        <f>IF($K$10="INCLUIDO",FACTORES!$C34*FACTORES!$AD$9+CDENT+CEE+VIS+ASIS+EDXA20100+(FACTORES!$C34*FACTORES!$AD$9*CTE)+ENFGR,FACTORES!$C34*FACTORES!$AD$9+CDENT+CEE+VIS+ASIS+EDXA20100+ENFGR)</f>
        <v>15430.307228540461</v>
      </c>
      <c r="R43" s="363">
        <f>IF($K$10="INCLUIDO",FACTORES!$D34*FACTORES!$AD$9+CDENT+CEE+VIS+ASIS+EDXA20100+(FACTORES!$D34*FACTORES!$AD$9*CTE)+ENFGR+VLOOKUP(COTIZACION!$D$17,FACTORES!$K$21:$L$24,2,0),FACTORES!$D34*FACTORES!$AD$9+CDENT+CEE+VIS+ASIS+EDXA20100+ENFGR+VLOOKUP(COTIZACION!$D$17,FACTORES!$K$21:$L$24,2,0))</f>
        <v>19374.175440890813</v>
      </c>
      <c r="T43" s="361">
        <v>31</v>
      </c>
      <c r="U43" s="363">
        <f>IF($K$10="INCLUIDO",FACTORES!$C34*FACTORES!$AD$9+CDENT+CEE+VIS+ASIS+EDXA20100+(FACTORES!$C34*FACTORES!$AD$9*CTE)+ENFGR,FACTORES!$C34*FACTORES!$AD$9+CDENT+CEE+VIS+ASIS+EDXA20100+ENFGR)</f>
        <v>15430.307228540461</v>
      </c>
      <c r="V43" s="363">
        <f>IF($K$10="INCLUIDO",FACTORES!$D34*FACTORES!$AD$9+CDENT+CEE+VIS+ASIS+EDXA20100+(FACTORES!$D34*FACTORES!$AD$9*CTE)+ENFGR+VLOOKUP(COTIZACION!$D$17,FACTORES!$K$21:$L$24,2,0),FACTORES!$D34*FACTORES!$AD$9+CDENT+CEE+VIS+ASIS+EDXA20100+ENFGR+VLOOKUP(COTIZACION!$D$17,FACTORES!$K$21:$L$24,2,0))</f>
        <v>19374.175440890813</v>
      </c>
      <c r="X43" s="364"/>
      <c r="Y43" s="365"/>
      <c r="Z43" s="365"/>
      <c r="AO43">
        <f t="shared" si="3"/>
        <v>1</v>
      </c>
    </row>
    <row r="44" spans="2:41">
      <c r="B44" s="360">
        <v>32</v>
      </c>
      <c r="C44" s="362">
        <f>(Q44+DER)*(1+COTIZACION!$D$23)</f>
        <v>19601.194902796939</v>
      </c>
      <c r="D44" s="362">
        <f>(R44+DER)*(1+COTIZACION!$D$23)</f>
        <v>24304.062569354599</v>
      </c>
      <c r="F44" s="360">
        <v>32</v>
      </c>
      <c r="G44" s="362">
        <f>U44*(1+COTIZACION!$D$23)</f>
        <v>18673.194902796939</v>
      </c>
      <c r="H44" s="362">
        <f>V44*(1+COTIZACION!$D$23)</f>
        <v>23376.062569354599</v>
      </c>
      <c r="J44" s="364"/>
      <c r="K44" s="365"/>
      <c r="L44" s="365"/>
      <c r="M44" s="432"/>
      <c r="N44" s="431"/>
      <c r="P44" s="360">
        <v>32</v>
      </c>
      <c r="Q44" s="362">
        <f>IF($K$10="INCLUIDO",FACTORES!$C35*FACTORES!$AD$9+CDENT+CEE+VIS+ASIS+EDXA20100+(FACTORES!$C35*FACTORES!$AD$9*CTE)+ENFGR,FACTORES!$C35*FACTORES!$AD$9+CDENT+CEE+VIS+ASIS+EDXA20100+ENFGR)</f>
        <v>16097.581812755981</v>
      </c>
      <c r="R44" s="362">
        <f>IF($K$10="INCLUIDO",FACTORES!$D35*FACTORES!$AD$9+CDENT+CEE+VIS+ASIS+EDXA20100+(FACTORES!$D35*FACTORES!$AD$9*CTE)+ENFGR+VLOOKUP(COTIZACION!$D$17,FACTORES!$K$21:$L$24,2,0),FACTORES!$D35*FACTORES!$AD$9+CDENT+CEE+VIS+ASIS+EDXA20100+ENFGR+VLOOKUP(COTIZACION!$D$17,FACTORES!$K$21:$L$24,2,0))</f>
        <v>20151.778077029827</v>
      </c>
      <c r="T44" s="360">
        <v>32</v>
      </c>
      <c r="U44" s="362">
        <f>IF($K$10="INCLUIDO",FACTORES!$C35*FACTORES!$AD$9+CDENT+CEE+VIS+ASIS+EDXA20100+(FACTORES!$C35*FACTORES!$AD$9*CTE)+ENFGR,FACTORES!$C35*FACTORES!$AD$9+CDENT+CEE+VIS+ASIS+EDXA20100+ENFGR)</f>
        <v>16097.581812755981</v>
      </c>
      <c r="V44" s="362">
        <f>IF($K$10="INCLUIDO",FACTORES!$D35*FACTORES!$AD$9+CDENT+CEE+VIS+ASIS+EDXA20100+(FACTORES!$D35*FACTORES!$AD$9*CTE)+ENFGR+VLOOKUP(COTIZACION!$D$17,FACTORES!$K$21:$L$24,2,0),FACTORES!$D35*FACTORES!$AD$9+CDENT+CEE+VIS+ASIS+EDXA20100+ENFGR+VLOOKUP(COTIZACION!$D$17,FACTORES!$K$21:$L$24,2,0))</f>
        <v>20151.778077029827</v>
      </c>
      <c r="X44" s="364"/>
      <c r="Y44" s="365"/>
      <c r="Z44" s="365"/>
      <c r="AO44">
        <f t="shared" si="3"/>
        <v>1</v>
      </c>
    </row>
    <row r="45" spans="2:41">
      <c r="B45" s="361">
        <v>33</v>
      </c>
      <c r="C45" s="363">
        <f>(Q45+DER)*(1+COTIZACION!$D$23)</f>
        <v>20413.93534637144</v>
      </c>
      <c r="D45" s="363">
        <f>(R45+DER)*(1+COTIZACION!$D$23)</f>
        <v>25251.182580171913</v>
      </c>
      <c r="F45" s="361">
        <v>33</v>
      </c>
      <c r="G45" s="363">
        <f>U45*(1+COTIZACION!$D$23)</f>
        <v>19485.93534637144</v>
      </c>
      <c r="H45" s="363">
        <f>V45*(1+COTIZACION!$D$23)</f>
        <v>24323.182580171913</v>
      </c>
      <c r="J45" s="364"/>
      <c r="K45" s="365"/>
      <c r="L45" s="365"/>
      <c r="M45" s="432"/>
      <c r="N45" s="431"/>
      <c r="P45" s="361">
        <v>33</v>
      </c>
      <c r="Q45" s="363">
        <f>IF($K$10="INCLUIDO",FACTORES!$C36*FACTORES!$AD$9+CDENT+CEE+VIS+ASIS+EDXA20100+(FACTORES!$C36*FACTORES!$AD$9*CTE)+ENFGR,FACTORES!$C36*FACTORES!$AD$9+CDENT+CEE+VIS+ASIS+EDXA20100+ENFGR)</f>
        <v>16798.220126182277</v>
      </c>
      <c r="R45" s="363">
        <f>IF($K$10="INCLUIDO",FACTORES!$D36*FACTORES!$AD$9+CDENT+CEE+VIS+ASIS+EDXA20100+(FACTORES!$D36*FACTORES!$AD$9*CTE)+ENFGR+VLOOKUP(COTIZACION!$D$17,FACTORES!$K$21:$L$24,2,0),FACTORES!$D36*FACTORES!$AD$9+CDENT+CEE+VIS+ASIS+EDXA20100+ENFGR+VLOOKUP(COTIZACION!$D$17,FACTORES!$K$21:$L$24,2,0))</f>
        <v>20968.26084497579</v>
      </c>
      <c r="T45" s="361">
        <v>33</v>
      </c>
      <c r="U45" s="363">
        <f>IF($K$10="INCLUIDO",FACTORES!$C36*FACTORES!$AD$9+CDENT+CEE+VIS+ASIS+EDXA20100+(FACTORES!$C36*FACTORES!$AD$9*CTE)+ENFGR,FACTORES!$C36*FACTORES!$AD$9+CDENT+CEE+VIS+ASIS+EDXA20100+ENFGR)</f>
        <v>16798.220126182277</v>
      </c>
      <c r="V45" s="363">
        <f>IF($K$10="INCLUIDO",FACTORES!$D36*FACTORES!$AD$9+CDENT+CEE+VIS+ASIS+EDXA20100+(FACTORES!$D36*FACTORES!$AD$9*CTE)+ENFGR+VLOOKUP(COTIZACION!$D$17,FACTORES!$K$21:$L$24,2,0),FACTORES!$D36*FACTORES!$AD$9+CDENT+CEE+VIS+ASIS+EDXA20100+ENFGR+VLOOKUP(COTIZACION!$D$17,FACTORES!$K$21:$L$24,2,0))</f>
        <v>20968.26084497579</v>
      </c>
      <c r="X45" s="364"/>
      <c r="Y45" s="365"/>
      <c r="Z45" s="365"/>
      <c r="AO45">
        <f t="shared" si="3"/>
        <v>1</v>
      </c>
    </row>
    <row r="46" spans="2:41">
      <c r="B46" s="360">
        <v>34</v>
      </c>
      <c r="C46" s="362">
        <f>(Q46+DER)*(1+COTIZACION!$D$23)</f>
        <v>21267.312812124674</v>
      </c>
      <c r="D46" s="362">
        <f>(R46+DER)*(1+COTIZACION!$D$23)</f>
        <v>26046.76338925846</v>
      </c>
      <c r="F46" s="360">
        <v>34</v>
      </c>
      <c r="G46" s="362">
        <f>U46*(1+COTIZACION!$D$23)</f>
        <v>20339.312812124674</v>
      </c>
      <c r="H46" s="362">
        <f>V46*(1+COTIZACION!$D$23)</f>
        <v>25118.76338925846</v>
      </c>
      <c r="J46" s="364"/>
      <c r="K46" s="365"/>
      <c r="L46" s="365"/>
      <c r="M46" s="365"/>
      <c r="P46" s="360">
        <v>34</v>
      </c>
      <c r="Q46" s="362">
        <f>IF($K$10="INCLUIDO",FACTORES!$C37*FACTORES!$AD$9+CDENT+CEE+VIS+ASIS+EDXA20100+(FACTORES!$C37*FACTORES!$AD$9*CTE)+ENFGR,FACTORES!$C37*FACTORES!$AD$9+CDENT+CEE+VIS+ASIS+EDXA20100+ENFGR)</f>
        <v>17533.890355279891</v>
      </c>
      <c r="R46" s="362">
        <f>IF($K$10="INCLUIDO",FACTORES!$D37*FACTORES!$AD$9+CDENT+CEE+VIS+ASIS+EDXA20100+(FACTORES!$D37*FACTORES!$AD$9*CTE)+ENFGR+VLOOKUP(COTIZACION!$D$17,FACTORES!$K$21:$L$24,2,0),FACTORES!$D37*FACTORES!$AD$9+CDENT+CEE+VIS+ASIS+EDXA20100+ENFGR+VLOOKUP(COTIZACION!$D$17,FACTORES!$K$21:$L$24,2,0))</f>
        <v>21654.106370050398</v>
      </c>
      <c r="T46" s="360">
        <v>34</v>
      </c>
      <c r="U46" s="362">
        <f>IF($K$10="INCLUIDO",FACTORES!$C37*FACTORES!$AD$9+CDENT+CEE+VIS+ASIS+EDXA20100+(FACTORES!$C37*FACTORES!$AD$9*CTE)+ENFGR,FACTORES!$C37*FACTORES!$AD$9+CDENT+CEE+VIS+ASIS+EDXA20100+ENFGR)</f>
        <v>17533.890355279891</v>
      </c>
      <c r="V46" s="362">
        <f>IF($K$10="INCLUIDO",FACTORES!$D37*FACTORES!$AD$9+CDENT+CEE+VIS+ASIS+EDXA20100+(FACTORES!$D37*FACTORES!$AD$9*CTE)+ENFGR+VLOOKUP(COTIZACION!$D$17,FACTORES!$K$21:$L$24,2,0),FACTORES!$D37*FACTORES!$AD$9+CDENT+CEE+VIS+ASIS+EDXA20100+ENFGR+VLOOKUP(COTIZACION!$D$17,FACTORES!$K$21:$L$24,2,0))</f>
        <v>21654.106370050398</v>
      </c>
      <c r="X46" s="364"/>
      <c r="Y46" s="365"/>
      <c r="Z46" s="365"/>
      <c r="AO46">
        <f t="shared" si="3"/>
        <v>1</v>
      </c>
    </row>
    <row r="47" spans="2:41">
      <c r="B47" s="361">
        <v>35</v>
      </c>
      <c r="C47" s="363">
        <f>(Q47+DER)*(1+COTIZACION!$D$23)</f>
        <v>22163.359151165558</v>
      </c>
      <c r="D47" s="363">
        <f>(R47+DER)*(1+COTIZACION!$D$23)</f>
        <v>26874.167430708472</v>
      </c>
      <c r="F47" s="361">
        <v>35</v>
      </c>
      <c r="G47" s="363">
        <f>U47*(1+COTIZACION!$D$23)</f>
        <v>21235.359151165558</v>
      </c>
      <c r="H47" s="363">
        <f>V47*(1+COTIZACION!$D$23)</f>
        <v>25946.167430708472</v>
      </c>
      <c r="J47" s="364"/>
      <c r="K47" s="365"/>
      <c r="L47" s="365"/>
      <c r="M47" s="432"/>
      <c r="P47" s="361">
        <v>35</v>
      </c>
      <c r="Q47" s="363">
        <f>IF($K$10="INCLUIDO",FACTORES!$C38*FACTORES!$AD$9+CDENT+CEE+VIS+ASIS+EDXA20100+(FACTORES!$C38*FACTORES!$AD$9*CTE)+ENFGR,FACTORES!$C38*FACTORES!$AD$9+CDENT+CEE+VIS+ASIS+EDXA20100+ENFGR)</f>
        <v>18306.344095832377</v>
      </c>
      <c r="R47" s="363">
        <f>IF($K$10="INCLUIDO",FACTORES!$D38*FACTORES!$AD$9+CDENT+CEE+VIS+ASIS+EDXA20100+(FACTORES!$D38*FACTORES!$AD$9*CTE)+ENFGR+VLOOKUP(COTIZACION!$D$17,FACTORES!$K$21:$L$24,2,0),FACTORES!$D38*FACTORES!$AD$9+CDENT+CEE+VIS+ASIS+EDXA20100+ENFGR+VLOOKUP(COTIZACION!$D$17,FACTORES!$K$21:$L$24,2,0))</f>
        <v>22367.385716127996</v>
      </c>
      <c r="T47" s="361">
        <v>35</v>
      </c>
      <c r="U47" s="363">
        <f>IF($K$10="INCLUIDO",FACTORES!$C38*FACTORES!$AD$9+CDENT+CEE+VIS+ASIS+EDXA20100+(FACTORES!$C38*FACTORES!$AD$9*CTE)+ENFGR,FACTORES!$C38*FACTORES!$AD$9+CDENT+CEE+VIS+ASIS+EDXA20100+ENFGR)</f>
        <v>18306.344095832377</v>
      </c>
      <c r="V47" s="363">
        <f>IF($K$10="INCLUIDO",FACTORES!$D38*FACTORES!$AD$9+CDENT+CEE+VIS+ASIS+EDXA20100+(FACTORES!$D38*FACTORES!$AD$9*CTE)+ENFGR+VLOOKUP(COTIZACION!$D$17,FACTORES!$K$21:$L$24,2,0),FACTORES!$D38*FACTORES!$AD$9+CDENT+CEE+VIS+ASIS+EDXA20100+ENFGR+VLOOKUP(COTIZACION!$D$17,FACTORES!$K$21:$L$24,2,0))</f>
        <v>22367.385716127996</v>
      </c>
      <c r="X47" s="364"/>
      <c r="Y47" s="365"/>
      <c r="Z47" s="365"/>
      <c r="AO47">
        <f t="shared" si="3"/>
        <v>1</v>
      </c>
    </row>
    <row r="48" spans="2:41">
      <c r="B48" s="360">
        <v>36</v>
      </c>
      <c r="C48" s="362">
        <f>(Q48+DER)*(1+COTIZACION!$D$23)</f>
        <v>23104.207807158495</v>
      </c>
      <c r="D48" s="362">
        <f>(R48+DER)*(1+COTIZACION!$D$23)</f>
        <v>27949.792684593485</v>
      </c>
      <c r="F48" s="360">
        <v>36</v>
      </c>
      <c r="G48" s="362">
        <f>U48*(1+COTIZACION!$D$23)</f>
        <v>22176.207807158495</v>
      </c>
      <c r="H48" s="362">
        <f>V48*(1+COTIZACION!$D$23)</f>
        <v>27021.792684593485</v>
      </c>
      <c r="J48" s="364"/>
      <c r="K48" s="365"/>
      <c r="L48" s="365"/>
      <c r="M48" s="365"/>
      <c r="P48" s="360">
        <v>36</v>
      </c>
      <c r="Q48" s="362">
        <f>IF($K$10="INCLUIDO",FACTORES!$C39*FACTORES!$AD$9+CDENT+CEE+VIS+ASIS+EDXA20100+(FACTORES!$C39*FACTORES!$AD$9*CTE)+ENFGR,FACTORES!$C39*FACTORES!$AD$9+CDENT+CEE+VIS+ASIS+EDXA20100+ENFGR)</f>
        <v>19117.420523412497</v>
      </c>
      <c r="R48" s="362">
        <f>IF($K$10="INCLUIDO",FACTORES!$D39*FACTORES!$AD$9+CDENT+CEE+VIS+ASIS+EDXA20100+(FACTORES!$D39*FACTORES!$AD$9*CTE)+ENFGR+VLOOKUP(COTIZACION!$D$17,FACTORES!$K$21:$L$24,2,0),FACTORES!$D39*FACTORES!$AD$9+CDENT+CEE+VIS+ASIS+EDXA20100+ENFGR+VLOOKUP(COTIZACION!$D$17,FACTORES!$K$21:$L$24,2,0))</f>
        <v>23294.648866028867</v>
      </c>
      <c r="T48" s="360">
        <v>36</v>
      </c>
      <c r="U48" s="362">
        <f>IF($K$10="INCLUIDO",FACTORES!$C39*FACTORES!$AD$9+CDENT+CEE+VIS+ASIS+EDXA20100+(FACTORES!$C39*FACTORES!$AD$9*CTE)+ENFGR,FACTORES!$C39*FACTORES!$AD$9+CDENT+CEE+VIS+ASIS+EDXA20100+ENFGR)</f>
        <v>19117.420523412497</v>
      </c>
      <c r="V48" s="362">
        <f>IF($K$10="INCLUIDO",FACTORES!$D39*FACTORES!$AD$9+CDENT+CEE+VIS+ASIS+EDXA20100+(FACTORES!$D39*FACTORES!$AD$9*CTE)+ENFGR+VLOOKUP(COTIZACION!$D$17,FACTORES!$K$21:$L$24,2,0),FACTORES!$D39*FACTORES!$AD$9+CDENT+CEE+VIS+ASIS+EDXA20100+ENFGR+VLOOKUP(COTIZACION!$D$17,FACTORES!$K$21:$L$24,2,0))</f>
        <v>23294.648866028867</v>
      </c>
      <c r="X48" s="364"/>
      <c r="Y48" s="365"/>
      <c r="Z48" s="365"/>
      <c r="AO48">
        <f t="shared" si="3"/>
        <v>1</v>
      </c>
    </row>
    <row r="49" spans="2:41">
      <c r="B49" s="361">
        <v>37</v>
      </c>
      <c r="C49" s="363">
        <f>(Q49+DER)*(1+COTIZACION!$D$23)</f>
        <v>24092.098895951076</v>
      </c>
      <c r="D49" s="363">
        <f>(R49+DER)*(1+COTIZACION!$D$23)</f>
        <v>29079.199201172745</v>
      </c>
      <c r="F49" s="361">
        <v>37</v>
      </c>
      <c r="G49" s="363">
        <f>U49*(1+COTIZACION!$D$23)</f>
        <v>23164.098895951076</v>
      </c>
      <c r="H49" s="363">
        <f>V49*(1+COTIZACION!$D$23)</f>
        <v>28151.199201172745</v>
      </c>
      <c r="J49" s="364"/>
      <c r="K49" s="365"/>
      <c r="L49" s="365"/>
      <c r="M49" s="365"/>
      <c r="P49" s="361">
        <v>37</v>
      </c>
      <c r="Q49" s="363">
        <f>IF($K$10="INCLUIDO",FACTORES!$C40*FACTORES!$AD$9+CDENT+CEE+VIS+ASIS+EDXA20100+(FACTORES!$C40*FACTORES!$AD$9*CTE)+ENFGR,FACTORES!$C40*FACTORES!$AD$9+CDENT+CEE+VIS+ASIS+EDXA20100+ENFGR)</f>
        <v>19969.050772371618</v>
      </c>
      <c r="R49" s="363">
        <f>IF($K$10="INCLUIDO",FACTORES!$D40*FACTORES!$AD$9+CDENT+CEE+VIS+ASIS+EDXA20100+(FACTORES!$D40*FACTORES!$AD$9*CTE)+ENFGR+VLOOKUP(COTIZACION!$D$17,FACTORES!$K$21:$L$24,2,0),FACTORES!$D40*FACTORES!$AD$9+CDENT+CEE+VIS+ASIS+EDXA20100+ENFGR+VLOOKUP(COTIZACION!$D$17,FACTORES!$K$21:$L$24,2,0))</f>
        <v>24268.275173424783</v>
      </c>
      <c r="T49" s="361">
        <v>37</v>
      </c>
      <c r="U49" s="363">
        <f>IF($K$10="INCLUIDO",FACTORES!$C40*FACTORES!$AD$9+CDENT+CEE+VIS+ASIS+EDXA20100+(FACTORES!$C40*FACTORES!$AD$9*CTE)+ENFGR,FACTORES!$C40*FACTORES!$AD$9+CDENT+CEE+VIS+ASIS+EDXA20100+ENFGR)</f>
        <v>19969.050772371618</v>
      </c>
      <c r="V49" s="363">
        <f>IF($K$10="INCLUIDO",FACTORES!$D40*FACTORES!$AD$9+CDENT+CEE+VIS+ASIS+EDXA20100+(FACTORES!$D40*FACTORES!$AD$9*CTE)+ENFGR+VLOOKUP(COTIZACION!$D$17,FACTORES!$K$21:$L$24,2,0),FACTORES!$D40*FACTORES!$AD$9+CDENT+CEE+VIS+ASIS+EDXA20100+ENFGR+VLOOKUP(COTIZACION!$D$17,FACTORES!$K$21:$L$24,2,0))</f>
        <v>24268.275173424783</v>
      </c>
      <c r="X49" s="364"/>
      <c r="Y49" s="365"/>
      <c r="Z49" s="365"/>
      <c r="AO49">
        <f t="shared" si="3"/>
        <v>1</v>
      </c>
    </row>
    <row r="50" spans="2:41">
      <c r="B50" s="360">
        <v>38</v>
      </c>
      <c r="C50" s="362">
        <f>(Q50+DER)*(1+COTIZACION!$D$23)</f>
        <v>25129.384539183284</v>
      </c>
      <c r="D50" s="362">
        <f>(R50+DER)*(1+COTIZACION!$D$23)</f>
        <v>30265.076043580972</v>
      </c>
      <c r="F50" s="360">
        <v>38</v>
      </c>
      <c r="G50" s="362">
        <f>U50*(1+COTIZACION!$D$23)</f>
        <v>24201.384539183284</v>
      </c>
      <c r="H50" s="362">
        <f>V50*(1+COTIZACION!$D$23)</f>
        <v>29337.076043580972</v>
      </c>
      <c r="J50" s="364"/>
      <c r="K50" s="365"/>
      <c r="L50" s="365"/>
      <c r="M50" s="365"/>
      <c r="P50" s="360">
        <v>38</v>
      </c>
      <c r="Q50" s="362">
        <f>IF($K$10="INCLUIDO",FACTORES!$C41*FACTORES!$AD$9+CDENT+CEE+VIS+ASIS+EDXA20100+(FACTORES!$C41*FACTORES!$AD$9*CTE)+ENFGR,FACTORES!$C41*FACTORES!$AD$9+CDENT+CEE+VIS+ASIS+EDXA20100+ENFGR)</f>
        <v>20863.262533778696</v>
      </c>
      <c r="R50" s="362">
        <f>IF($K$10="INCLUIDO",FACTORES!$D41*FACTORES!$AD$9+CDENT+CEE+VIS+ASIS+EDXA20100+(FACTORES!$D41*FACTORES!$AD$9*CTE)+ENFGR+VLOOKUP(COTIZACION!$D$17,FACTORES!$K$21:$L$24,2,0),FACTORES!$D41*FACTORES!$AD$9+CDENT+CEE+VIS+ASIS+EDXA20100+ENFGR+VLOOKUP(COTIZACION!$D$17,FACTORES!$K$21:$L$24,2,0))</f>
        <v>25290.582796190494</v>
      </c>
      <c r="T50" s="360">
        <v>38</v>
      </c>
      <c r="U50" s="362">
        <f>IF($K$10="INCLUIDO",FACTORES!$C41*FACTORES!$AD$9+CDENT+CEE+VIS+ASIS+EDXA20100+(FACTORES!$C41*FACTORES!$AD$9*CTE)+ENFGR,FACTORES!$C41*FACTORES!$AD$9+CDENT+CEE+VIS+ASIS+EDXA20100+ENFGR)</f>
        <v>20863.262533778696</v>
      </c>
      <c r="V50" s="362">
        <f>IF($K$10="INCLUIDO",FACTORES!$D41*FACTORES!$AD$9+CDENT+CEE+VIS+ASIS+EDXA20100+(FACTORES!$D41*FACTORES!$AD$9*CTE)+ENFGR+VLOOKUP(COTIZACION!$D$17,FACTORES!$K$21:$L$24,2,0),FACTORES!$D41*FACTORES!$AD$9+CDENT+CEE+VIS+ASIS+EDXA20100+ENFGR+VLOOKUP(COTIZACION!$D$17,FACTORES!$K$21:$L$24,2,0))</f>
        <v>25290.582796190494</v>
      </c>
      <c r="X50" s="364"/>
      <c r="Y50" s="365"/>
      <c r="Z50" s="365"/>
      <c r="AO50">
        <f t="shared" si="3"/>
        <v>1</v>
      </c>
    </row>
    <row r="51" spans="2:41">
      <c r="B51" s="361">
        <v>39</v>
      </c>
      <c r="C51" s="363">
        <f>(Q51+DER)*(1+COTIZACION!$D$23)</f>
        <v>26218.534464577107</v>
      </c>
      <c r="D51" s="363">
        <f>(R51+DER)*(1+COTIZACION!$D$23)</f>
        <v>31510.246728109607</v>
      </c>
      <c r="F51" s="361">
        <v>39</v>
      </c>
      <c r="G51" s="363">
        <f>U51*(1+COTIZACION!$D$23)</f>
        <v>25290.534464577107</v>
      </c>
      <c r="H51" s="363">
        <f>V51*(1+COTIZACION!$D$23)</f>
        <v>30582.246728109607</v>
      </c>
      <c r="J51" s="364"/>
      <c r="K51" s="365"/>
      <c r="L51" s="365"/>
      <c r="M51" s="365"/>
      <c r="P51" s="361">
        <v>39</v>
      </c>
      <c r="Q51" s="363">
        <f>IF($K$10="INCLUIDO",FACTORES!$C42*FACTORES!$AD$9+CDENT+CEE+VIS+ASIS+EDXA20100+(FACTORES!$C42*FACTORES!$AD$9*CTE)+ENFGR,FACTORES!$C42*FACTORES!$AD$9+CDENT+CEE+VIS+ASIS+EDXA20100+ENFGR)</f>
        <v>21802.18488325613</v>
      </c>
      <c r="R51" s="363">
        <f>IF($K$10="INCLUIDO",FACTORES!$D42*FACTORES!$AD$9+CDENT+CEE+VIS+ASIS+EDXA20100+(FACTORES!$D42*FACTORES!$AD$9*CTE)+ENFGR+VLOOKUP(COTIZACION!$D$17,FACTORES!$K$21:$L$24,2,0),FACTORES!$D42*FACTORES!$AD$9+CDENT+CEE+VIS+ASIS+EDXA20100+ENFGR+VLOOKUP(COTIZACION!$D$17,FACTORES!$K$21:$L$24,2,0))</f>
        <v>26364.005800094492</v>
      </c>
      <c r="T51" s="361">
        <v>39</v>
      </c>
      <c r="U51" s="363">
        <f>IF($K$10="INCLUIDO",FACTORES!$C42*FACTORES!$AD$9+CDENT+CEE+VIS+ASIS+EDXA20100+(FACTORES!$C42*FACTORES!$AD$9*CTE)+ENFGR,FACTORES!$C42*FACTORES!$AD$9+CDENT+CEE+VIS+ASIS+EDXA20100+ENFGR)</f>
        <v>21802.18488325613</v>
      </c>
      <c r="V51" s="363">
        <f>IF($K$10="INCLUIDO",FACTORES!$D42*FACTORES!$AD$9+CDENT+CEE+VIS+ASIS+EDXA20100+(FACTORES!$D42*FACTORES!$AD$9*CTE)+ENFGR+VLOOKUP(COTIZACION!$D$17,FACTORES!$K$21:$L$24,2,0),FACTORES!$D42*FACTORES!$AD$9+CDENT+CEE+VIS+ASIS+EDXA20100+ENFGR+VLOOKUP(COTIZACION!$D$17,FACTORES!$K$21:$L$24,2,0))</f>
        <v>26364.005800094492</v>
      </c>
      <c r="X51" s="364"/>
      <c r="Y51" s="365"/>
      <c r="Z51" s="365"/>
      <c r="AO51">
        <f t="shared" si="3"/>
        <v>1</v>
      </c>
    </row>
    <row r="52" spans="2:41">
      <c r="B52" s="360">
        <v>40</v>
      </c>
      <c r="C52" s="362">
        <f>(Q52+DER)*(1+COTIZACION!$D$23)</f>
        <v>27362.141886240624</v>
      </c>
      <c r="D52" s="362">
        <f>(R52+DER)*(1+COTIZACION!$D$23)</f>
        <v>32817.675946864678</v>
      </c>
      <c r="F52" s="360">
        <v>40</v>
      </c>
      <c r="G52" s="362">
        <f>U52*(1+COTIZACION!$D$23)</f>
        <v>26434.141886240624</v>
      </c>
      <c r="H52" s="362">
        <f>V52*(1+COTIZACION!$D$23)</f>
        <v>31889.675946864674</v>
      </c>
      <c r="J52" s="364"/>
      <c r="K52" s="365"/>
      <c r="L52" s="365"/>
      <c r="M52" s="365"/>
      <c r="P52" s="360">
        <v>40</v>
      </c>
      <c r="Q52" s="362">
        <f>IF($K$10="INCLUIDO",FACTORES!$C43*FACTORES!$AD$9+CDENT+CEE+VIS+ASIS+EDXA20100+(FACTORES!$C43*FACTORES!$AD$9*CTE)+ENFGR,FACTORES!$C43*FACTORES!$AD$9+CDENT+CEE+VIS+ASIS+EDXA20100+ENFGR)</f>
        <v>22788.053350207436</v>
      </c>
      <c r="R52" s="362">
        <f>IF($K$10="INCLUIDO",FACTORES!$D43*FACTORES!$AD$9+CDENT+CEE+VIS+ASIS+EDXA20100+(FACTORES!$D43*FACTORES!$AD$9*CTE)+ENFGR+VLOOKUP(COTIZACION!$D$17,FACTORES!$K$21:$L$24,2,0),FACTORES!$D43*FACTORES!$AD$9+CDENT+CEE+VIS+ASIS+EDXA20100+ENFGR+VLOOKUP(COTIZACION!$D$17,FACTORES!$K$21:$L$24,2,0))</f>
        <v>27491.099954193687</v>
      </c>
      <c r="T52" s="360">
        <v>40</v>
      </c>
      <c r="U52" s="362">
        <f>IF($K$10="INCLUIDO",FACTORES!$C43*FACTORES!$AD$9+CDENT+CEE+VIS+ASIS+EDXA20100+(FACTORES!$C43*FACTORES!$AD$9*CTE)+ENFGR,FACTORES!$C43*FACTORES!$AD$9+CDENT+CEE+VIS+ASIS+EDXA20100+ENFGR)</f>
        <v>22788.053350207436</v>
      </c>
      <c r="V52" s="362">
        <f>IF($K$10="INCLUIDO",FACTORES!$D43*FACTORES!$AD$9+CDENT+CEE+VIS+ASIS+EDXA20100+(FACTORES!$D43*FACTORES!$AD$9*CTE)+ENFGR+VLOOKUP(COTIZACION!$D$17,FACTORES!$K$21:$L$24,2,0),FACTORES!$D43*FACTORES!$AD$9+CDENT+CEE+VIS+ASIS+EDXA20100+ENFGR+VLOOKUP(COTIZACION!$D$17,FACTORES!$K$21:$L$24,2,0))</f>
        <v>27491.099954193687</v>
      </c>
      <c r="X52" s="364"/>
      <c r="Y52" s="365"/>
      <c r="Z52" s="365"/>
      <c r="AO52">
        <f t="shared" si="3"/>
        <v>1</v>
      </c>
    </row>
    <row r="53" spans="2:41">
      <c r="B53" s="361">
        <v>41</v>
      </c>
      <c r="C53" s="363">
        <f>(Q53+DER)*(1+COTIZACION!$D$23)</f>
        <v>28562.929678987308</v>
      </c>
      <c r="D53" s="363">
        <f>(R53+DER)*(1+COTIZACION!$D$23)</f>
        <v>34190.476626557494</v>
      </c>
      <c r="F53" s="361">
        <v>41</v>
      </c>
      <c r="G53" s="363">
        <f>U53*(1+COTIZACION!$D$23)</f>
        <v>27634.929678987308</v>
      </c>
      <c r="H53" s="363">
        <f>V53*(1+COTIZACION!$D$23)</f>
        <v>33262.476626557494</v>
      </c>
      <c r="J53" s="364"/>
      <c r="K53" s="365"/>
      <c r="L53" s="365"/>
      <c r="M53" s="365"/>
      <c r="P53" s="361">
        <v>41</v>
      </c>
      <c r="Q53" s="363">
        <f>IF($K$10="INCLUIDO",FACTORES!$C44*FACTORES!$AD$9+CDENT+CEE+VIS+ASIS+EDXA20100+(FACTORES!$C44*FACTORES!$AD$9*CTE)+ENFGR,FACTORES!$C44*FACTORES!$AD$9+CDENT+CEE+VIS+ASIS+EDXA20100+ENFGR)</f>
        <v>23823.215240506303</v>
      </c>
      <c r="R53" s="363">
        <f>IF($K$10="INCLUIDO",FACTORES!$D44*FACTORES!$AD$9+CDENT+CEE+VIS+ASIS+EDXA20100+(FACTORES!$D44*FACTORES!$AD$9*CTE)+ENFGR+VLOOKUP(COTIZACION!$D$17,FACTORES!$K$21:$L$24,2,0),FACTORES!$D44*FACTORES!$AD$9+CDENT+CEE+VIS+ASIS+EDXA20100+ENFGR+VLOOKUP(COTIZACION!$D$17,FACTORES!$K$21:$L$24,2,0))</f>
        <v>28674.548815997845</v>
      </c>
      <c r="T53" s="361">
        <v>41</v>
      </c>
      <c r="U53" s="363">
        <f>IF($K$10="INCLUIDO",FACTORES!$C44*FACTORES!$AD$9+CDENT+CEE+VIS+ASIS+EDXA20100+(FACTORES!$C44*FACTORES!$AD$9*CTE)+ENFGR,FACTORES!$C44*FACTORES!$AD$9+CDENT+CEE+VIS+ASIS+EDXA20100+ENFGR)</f>
        <v>23823.215240506303</v>
      </c>
      <c r="V53" s="363">
        <f>IF($K$10="INCLUIDO",FACTORES!$D44*FACTORES!$AD$9+CDENT+CEE+VIS+ASIS+EDXA20100+(FACTORES!$D44*FACTORES!$AD$9*CTE)+ENFGR+VLOOKUP(COTIZACION!$D$17,FACTORES!$K$21:$L$24,2,0),FACTORES!$D44*FACTORES!$AD$9+CDENT+CEE+VIS+ASIS+EDXA20100+ENFGR+VLOOKUP(COTIZACION!$D$17,FACTORES!$K$21:$L$24,2,0))</f>
        <v>28674.548815997845</v>
      </c>
      <c r="X53" s="364"/>
      <c r="Y53" s="365"/>
      <c r="Z53" s="365"/>
      <c r="AO53">
        <f t="shared" si="3"/>
        <v>1</v>
      </c>
    </row>
    <row r="54" spans="2:41">
      <c r="B54" s="360">
        <v>42</v>
      </c>
      <c r="C54" s="362">
        <f>(Q54+DER)*(1+COTIZACION!$D$23)</f>
        <v>29823.756861371334</v>
      </c>
      <c r="D54" s="362">
        <f>(R54+DER)*(1+COTIZACION!$D$23)</f>
        <v>35631.917340234962</v>
      </c>
      <c r="F54" s="360">
        <v>42</v>
      </c>
      <c r="G54" s="362">
        <f>U54*(1+COTIZACION!$D$23)</f>
        <v>28895.756861371334</v>
      </c>
      <c r="H54" s="362">
        <f>V54*(1+COTIZACION!$D$23)</f>
        <v>34703.917340234962</v>
      </c>
      <c r="J54" s="364"/>
      <c r="K54" s="365"/>
      <c r="L54" s="365"/>
      <c r="M54" s="365"/>
      <c r="P54" s="360">
        <v>42</v>
      </c>
      <c r="Q54" s="362">
        <f>IF($K$10="INCLUIDO",FACTORES!$C45*FACTORES!$AD$9+CDENT+CEE+VIS+ASIS+EDXA20100+(FACTORES!$C45*FACTORES!$AD$9*CTE)+ENFGR,FACTORES!$C45*FACTORES!$AD$9+CDENT+CEE+VIS+ASIS+EDXA20100+ENFGR)</f>
        <v>24910.135225320118</v>
      </c>
      <c r="R54" s="362">
        <f>IF($K$10="INCLUIDO",FACTORES!$D45*FACTORES!$AD$9+CDENT+CEE+VIS+ASIS+EDXA20100+(FACTORES!$D45*FACTORES!$AD$9*CTE)+ENFGR+VLOOKUP(COTIZACION!$D$17,FACTORES!$K$21:$L$24,2,0),FACTORES!$D45*FACTORES!$AD$9+CDENT+CEE+VIS+ASIS+EDXA20100+ENFGR+VLOOKUP(COTIZACION!$D$17,FACTORES!$K$21:$L$24,2,0))</f>
        <v>29917.17012089221</v>
      </c>
      <c r="T54" s="360">
        <v>42</v>
      </c>
      <c r="U54" s="362">
        <f>IF($K$10="INCLUIDO",FACTORES!$C45*FACTORES!$AD$9+CDENT+CEE+VIS+ASIS+EDXA20100+(FACTORES!$C45*FACTORES!$AD$9*CTE)+ENFGR,FACTORES!$C45*FACTORES!$AD$9+CDENT+CEE+VIS+ASIS+EDXA20100+ENFGR)</f>
        <v>24910.135225320118</v>
      </c>
      <c r="V54" s="362">
        <f>IF($K$10="INCLUIDO",FACTORES!$D45*FACTORES!$AD$9+CDENT+CEE+VIS+ASIS+EDXA20100+(FACTORES!$D45*FACTORES!$AD$9*CTE)+ENFGR+VLOOKUP(COTIZACION!$D$17,FACTORES!$K$21:$L$24,2,0),FACTORES!$D45*FACTORES!$AD$9+CDENT+CEE+VIS+ASIS+EDXA20100+ENFGR+VLOOKUP(COTIZACION!$D$17,FACTORES!$K$21:$L$24,2,0))</f>
        <v>29917.17012089221</v>
      </c>
      <c r="X54" s="364"/>
      <c r="Y54" s="365"/>
      <c r="Z54" s="365"/>
      <c r="AO54">
        <f t="shared" si="3"/>
        <v>1</v>
      </c>
    </row>
    <row r="55" spans="2:41">
      <c r="B55" s="361">
        <v>43</v>
      </c>
      <c r="C55" s="363">
        <f>(Q55+DER)*(1+COTIZACION!$D$23)</f>
        <v>31147.625402874557</v>
      </c>
      <c r="D55" s="363">
        <f>(R55+DER)*(1+COTIZACION!$D$23)</f>
        <v>37145.430089596302</v>
      </c>
      <c r="F55" s="361">
        <v>43</v>
      </c>
      <c r="G55" s="363">
        <f>U55*(1+COTIZACION!$D$23)</f>
        <v>30219.625402874557</v>
      </c>
      <c r="H55" s="363">
        <f>V55*(1+COTIZACION!$D$23)</f>
        <v>36217.430089596302</v>
      </c>
      <c r="J55" s="364"/>
      <c r="K55" s="365"/>
      <c r="L55" s="365"/>
      <c r="M55" s="365"/>
      <c r="P55" s="361">
        <v>43</v>
      </c>
      <c r="Q55" s="363">
        <f>IF($K$10="INCLUIDO",FACTORES!$C46*FACTORES!$AD$9+CDENT+CEE+VIS+ASIS+EDXA20100+(FACTORES!$C46*FACTORES!$AD$9*CTE)+ENFGR,FACTORES!$C46*FACTORES!$AD$9+CDENT+CEE+VIS+ASIS+EDXA20100+ENFGR)</f>
        <v>26051.401209374621</v>
      </c>
      <c r="R55" s="363">
        <f>IF($K$10="INCLUIDO",FACTORES!$D46*FACTORES!$AD$9+CDENT+CEE+VIS+ASIS+EDXA20100+(FACTORES!$D46*FACTORES!$AD$9*CTE)+ENFGR+VLOOKUP(COTIZACION!$D$17,FACTORES!$K$21:$L$24,2,0),FACTORES!$D46*FACTORES!$AD$9+CDENT+CEE+VIS+ASIS+EDXA20100+ENFGR+VLOOKUP(COTIZACION!$D$17,FACTORES!$K$21:$L$24,2,0))</f>
        <v>31221.922491031295</v>
      </c>
      <c r="T55" s="361">
        <v>43</v>
      </c>
      <c r="U55" s="363">
        <f>IF($K$10="INCLUIDO",FACTORES!$C46*FACTORES!$AD$9+CDENT+CEE+VIS+ASIS+EDXA20100+(FACTORES!$C46*FACTORES!$AD$9*CTE)+ENFGR,FACTORES!$C46*FACTORES!$AD$9+CDENT+CEE+VIS+ASIS+EDXA20100+ENFGR)</f>
        <v>26051.401209374621</v>
      </c>
      <c r="V55" s="363">
        <f>IF($K$10="INCLUIDO",FACTORES!$D46*FACTORES!$AD$9+CDENT+CEE+VIS+ASIS+EDXA20100+(FACTORES!$D46*FACTORES!$AD$9*CTE)+ENFGR+VLOOKUP(COTIZACION!$D$17,FACTORES!$K$21:$L$24,2,0),FACTORES!$D46*FACTORES!$AD$9+CDENT+CEE+VIS+ASIS+EDXA20100+ENFGR+VLOOKUP(COTIZACION!$D$17,FACTORES!$K$21:$L$24,2,0))</f>
        <v>31221.922491031295</v>
      </c>
      <c r="X55" s="364"/>
      <c r="Y55" s="365"/>
      <c r="Z55" s="365"/>
      <c r="AO55">
        <f t="shared" si="3"/>
        <v>1</v>
      </c>
    </row>
    <row r="56" spans="2:41">
      <c r="B56" s="360">
        <v>44</v>
      </c>
      <c r="C56" s="362">
        <f>(Q56+DER)*(1+COTIZACION!$D$23)</f>
        <v>32537.687371452947</v>
      </c>
      <c r="D56" s="362">
        <f>(R56+DER)*(1+COTIZACION!$D$23)</f>
        <v>38734.618476425705</v>
      </c>
      <c r="F56" s="360">
        <v>44</v>
      </c>
      <c r="G56" s="362">
        <f>U56*(1+COTIZACION!$D$23)</f>
        <v>31609.687371452947</v>
      </c>
      <c r="H56" s="362">
        <f>V56*(1+COTIZACION!$D$23)</f>
        <v>37806.618476425705</v>
      </c>
      <c r="J56" s="364"/>
      <c r="K56" s="365"/>
      <c r="L56" s="365"/>
      <c r="M56" s="365"/>
      <c r="P56" s="360">
        <v>44</v>
      </c>
      <c r="Q56" s="362">
        <f>IF($K$10="INCLUIDO",FACTORES!$C47*FACTORES!$AD$9+CDENT+CEE+VIS+ASIS+EDXA20100+(FACTORES!$C47*FACTORES!$AD$9*CTE)+ENFGR,FACTORES!$C47*FACTORES!$AD$9+CDENT+CEE+VIS+ASIS+EDXA20100+ENFGR)</f>
        <v>27249.730492631854</v>
      </c>
      <c r="R56" s="362">
        <f>IF($K$10="INCLUIDO",FACTORES!$D47*FACTORES!$AD$9+CDENT+CEE+VIS+ASIS+EDXA20100+(FACTORES!$D47*FACTORES!$AD$9*CTE)+ENFGR+VLOOKUP(COTIZACION!$D$17,FACTORES!$K$21:$L$24,2,0),FACTORES!$D47*FACTORES!$AD$9+CDENT+CEE+VIS+ASIS+EDXA20100+ENFGR+VLOOKUP(COTIZACION!$D$17,FACTORES!$K$21:$L$24,2,0))</f>
        <v>32591.912479677332</v>
      </c>
      <c r="T56" s="360">
        <v>44</v>
      </c>
      <c r="U56" s="362">
        <f>IF($K$10="INCLUIDO",FACTORES!$C47*FACTORES!$AD$9+CDENT+CEE+VIS+ASIS+EDXA20100+(FACTORES!$C47*FACTORES!$AD$9*CTE)+ENFGR,FACTORES!$C47*FACTORES!$AD$9+CDENT+CEE+VIS+ASIS+EDXA20100+ENFGR)</f>
        <v>27249.730492631854</v>
      </c>
      <c r="V56" s="362">
        <f>IF($K$10="INCLUIDO",FACTORES!$D47*FACTORES!$AD$9+CDENT+CEE+VIS+ASIS+EDXA20100+(FACTORES!$D47*FACTORES!$AD$9*CTE)+ENFGR+VLOOKUP(COTIZACION!$D$17,FACTORES!$K$21:$L$24,2,0),FACTORES!$D47*FACTORES!$AD$9+CDENT+CEE+VIS+ASIS+EDXA20100+ENFGR+VLOOKUP(COTIZACION!$D$17,FACTORES!$K$21:$L$24,2,0))</f>
        <v>32591.912479677332</v>
      </c>
      <c r="X56" s="364"/>
      <c r="Y56" s="365"/>
      <c r="Z56" s="365"/>
      <c r="AO56">
        <f t="shared" si="3"/>
        <v>1</v>
      </c>
    </row>
    <row r="57" spans="2:41">
      <c r="B57" s="361">
        <v>45</v>
      </c>
      <c r="C57" s="363">
        <f>(Q57+DER)*(1+COTIZACION!$D$23)</f>
        <v>33997.252438460251</v>
      </c>
      <c r="D57" s="363">
        <f>(R57+DER)*(1+COTIZACION!$D$23)</f>
        <v>40736.995843830751</v>
      </c>
      <c r="F57" s="361">
        <v>45</v>
      </c>
      <c r="G57" s="363">
        <f>U57*(1+COTIZACION!$D$23)</f>
        <v>33069.252438460251</v>
      </c>
      <c r="H57" s="363">
        <f>V57*(1+COTIZACION!$D$23)</f>
        <v>39808.995843830751</v>
      </c>
      <c r="J57" s="364"/>
      <c r="K57" s="365"/>
      <c r="L57" s="365"/>
      <c r="M57" s="365"/>
      <c r="P57" s="361">
        <v>45</v>
      </c>
      <c r="Q57" s="363">
        <f>IF($K$10="INCLUIDO",FACTORES!$C48*FACTORES!$AD$9+CDENT+CEE+VIS+ASIS+EDXA20100+(FACTORES!$C48*FACTORES!$AD$9*CTE)+ENFGR,FACTORES!$C48*FACTORES!$AD$9+CDENT+CEE+VIS+ASIS+EDXA20100+ENFGR)</f>
        <v>28507.976240051943</v>
      </c>
      <c r="R57" s="363">
        <f>IF($K$10="INCLUIDO",FACTORES!$D48*FACTORES!$AD$9+CDENT+CEE+VIS+ASIS+EDXA20100+(FACTORES!$D48*FACTORES!$AD$9*CTE)+ENFGR+VLOOKUP(COTIZACION!$D$17,FACTORES!$K$21:$L$24,2,0),FACTORES!$D48*FACTORES!$AD$9+CDENT+CEE+VIS+ASIS+EDXA20100+ENFGR+VLOOKUP(COTIZACION!$D$17,FACTORES!$K$21:$L$24,2,0))</f>
        <v>34318.09986537134</v>
      </c>
      <c r="T57" s="361">
        <v>45</v>
      </c>
      <c r="U57" s="363">
        <f>IF($K$10="INCLUIDO",FACTORES!$C48*FACTORES!$AD$9+CDENT+CEE+VIS+ASIS+EDXA20100+(FACTORES!$C48*FACTORES!$AD$9*CTE)+ENFGR,FACTORES!$C48*FACTORES!$AD$9+CDENT+CEE+VIS+ASIS+EDXA20100+ENFGR)</f>
        <v>28507.976240051943</v>
      </c>
      <c r="V57" s="363">
        <f>IF($K$10="INCLUIDO",FACTORES!$D48*FACTORES!$AD$9+CDENT+CEE+VIS+ASIS+EDXA20100+(FACTORES!$D48*FACTORES!$AD$9*CTE)+ENFGR+VLOOKUP(COTIZACION!$D$17,FACTORES!$K$21:$L$24,2,0),FACTORES!$D48*FACTORES!$AD$9+CDENT+CEE+VIS+ASIS+EDXA20100+ENFGR+VLOOKUP(COTIZACION!$D$17,FACTORES!$K$21:$L$24,2,0))</f>
        <v>34318.09986537134</v>
      </c>
      <c r="X57" s="364"/>
      <c r="Y57" s="365"/>
      <c r="Z57" s="365"/>
      <c r="AO57">
        <f t="shared" si="3"/>
        <v>1</v>
      </c>
    </row>
    <row r="58" spans="2:41">
      <c r="B58" s="360">
        <v>46</v>
      </c>
      <c r="C58" s="362">
        <f>(Q58+DER)*(1+COTIZACION!$D$23)</f>
        <v>35529.79575881792</v>
      </c>
      <c r="D58" s="362">
        <f>(R58+DER)*(1+COTIZACION!$D$23)</f>
        <v>42505.762518371877</v>
      </c>
      <c r="F58" s="360">
        <v>46</v>
      </c>
      <c r="G58" s="362">
        <f>U58*(1+COTIZACION!$D$23)</f>
        <v>34601.79575881792</v>
      </c>
      <c r="H58" s="362">
        <f>V58*(1+COTIZACION!$D$23)</f>
        <v>41577.762518371877</v>
      </c>
      <c r="J58" s="364"/>
      <c r="K58" s="365"/>
      <c r="L58" s="365"/>
      <c r="M58" s="365"/>
      <c r="P58" s="360">
        <v>46</v>
      </c>
      <c r="Q58" s="362">
        <f>IF($K$10="INCLUIDO",FACTORES!$C49*FACTORES!$AD$9+CDENT+CEE+VIS+ASIS+EDXA20100+(FACTORES!$C49*FACTORES!$AD$9*CTE)+ENFGR,FACTORES!$C49*FACTORES!$AD$9+CDENT+CEE+VIS+ASIS+EDXA20100+ENFGR)</f>
        <v>29829.134274843036</v>
      </c>
      <c r="R58" s="362">
        <f>IF($K$10="INCLUIDO",FACTORES!$D49*FACTORES!$AD$9+CDENT+CEE+VIS+ASIS+EDXA20100+(FACTORES!$D49*FACTORES!$AD$9*CTE)+ENFGR+VLOOKUP(COTIZACION!$D$17,FACTORES!$K$21:$L$24,2,0),FACTORES!$D49*FACTORES!$AD$9+CDENT+CEE+VIS+ASIS+EDXA20100+ENFGR+VLOOKUP(COTIZACION!$D$17,FACTORES!$K$21:$L$24,2,0))</f>
        <v>35842.898722734382</v>
      </c>
      <c r="T58" s="360">
        <v>46</v>
      </c>
      <c r="U58" s="362">
        <f>IF($K$10="INCLUIDO",FACTORES!$C49*FACTORES!$AD$9+CDENT+CEE+VIS+ASIS+EDXA20100+(FACTORES!$C49*FACTORES!$AD$9*CTE)+ENFGR,FACTORES!$C49*FACTORES!$AD$9+CDENT+CEE+VIS+ASIS+EDXA20100+ENFGR)</f>
        <v>29829.134274843036</v>
      </c>
      <c r="V58" s="362">
        <f>IF($K$10="INCLUIDO",FACTORES!$D49*FACTORES!$AD$9+CDENT+CEE+VIS+ASIS+EDXA20100+(FACTORES!$D49*FACTORES!$AD$9*CTE)+ENFGR+VLOOKUP(COTIZACION!$D$17,FACTORES!$K$21:$L$24,2,0),FACTORES!$D49*FACTORES!$AD$9+CDENT+CEE+VIS+ASIS+EDXA20100+ENFGR+VLOOKUP(COTIZACION!$D$17,FACTORES!$K$21:$L$24,2,0))</f>
        <v>35842.898722734382</v>
      </c>
      <c r="X58" s="364"/>
      <c r="Y58" s="365"/>
      <c r="Z58" s="365"/>
      <c r="AO58">
        <f t="shared" si="3"/>
        <v>1</v>
      </c>
    </row>
    <row r="59" spans="2:41">
      <c r="B59" s="361">
        <v>47</v>
      </c>
      <c r="C59" s="363">
        <f>(Q59+DER)*(1+COTIZACION!$D$23)</f>
        <v>37138.966245193471</v>
      </c>
      <c r="D59" s="363">
        <f>(R59+DER)*(1+COTIZACION!$D$23)</f>
        <v>44362.967526640074</v>
      </c>
      <c r="F59" s="361">
        <v>47</v>
      </c>
      <c r="G59" s="363">
        <f>U59*(1+COTIZACION!$D$23)</f>
        <v>36210.966245193471</v>
      </c>
      <c r="H59" s="363">
        <f>V59*(1+COTIZACION!$D$23)</f>
        <v>43434.967526640074</v>
      </c>
      <c r="J59" s="364"/>
      <c r="K59" s="365"/>
      <c r="L59" s="365"/>
      <c r="M59" s="365"/>
      <c r="P59" s="361">
        <v>47</v>
      </c>
      <c r="Q59" s="363">
        <f>IF($K$10="INCLUIDO",FACTORES!$C50*FACTORES!$AD$9+CDENT+CEE+VIS+ASIS+EDXA20100+(FACTORES!$C50*FACTORES!$AD$9*CTE)+ENFGR,FACTORES!$C50*FACTORES!$AD$9+CDENT+CEE+VIS+ASIS+EDXA20100+ENFGR)</f>
        <v>31216.350211373687</v>
      </c>
      <c r="R59" s="363">
        <f>IF($K$10="INCLUIDO",FACTORES!$D50*FACTORES!$AD$9+CDENT+CEE+VIS+ASIS+EDXA20100+(FACTORES!$D50*FACTORES!$AD$9*CTE)+ENFGR+VLOOKUP(COTIZACION!$D$17,FACTORES!$K$21:$L$24,2,0),FACTORES!$D50*FACTORES!$AD$9+CDENT+CEE+VIS+ASIS+EDXA20100+ENFGR+VLOOKUP(COTIZACION!$D$17,FACTORES!$K$21:$L$24,2,0))</f>
        <v>37443.937522965585</v>
      </c>
      <c r="T59" s="361">
        <v>47</v>
      </c>
      <c r="U59" s="363">
        <f>IF($K$10="INCLUIDO",FACTORES!$C50*FACTORES!$AD$9+CDENT+CEE+VIS+ASIS+EDXA20100+(FACTORES!$C50*FACTORES!$AD$9*CTE)+ENFGR,FACTORES!$C50*FACTORES!$AD$9+CDENT+CEE+VIS+ASIS+EDXA20100+ENFGR)</f>
        <v>31216.350211373687</v>
      </c>
      <c r="V59" s="363">
        <f>IF($K$10="INCLUIDO",FACTORES!$D50*FACTORES!$AD$9+CDENT+CEE+VIS+ASIS+EDXA20100+(FACTORES!$D50*FACTORES!$AD$9*CTE)+ENFGR+VLOOKUP(COTIZACION!$D$17,FACTORES!$K$21:$L$24,2,0),FACTORES!$D50*FACTORES!$AD$9+CDENT+CEE+VIS+ASIS+EDXA20100+ENFGR+VLOOKUP(COTIZACION!$D$17,FACTORES!$K$21:$L$24,2,0))</f>
        <v>37443.937522965585</v>
      </c>
      <c r="X59" s="364"/>
      <c r="Y59" s="365"/>
      <c r="Z59" s="365"/>
      <c r="AO59">
        <f t="shared" si="3"/>
        <v>1</v>
      </c>
    </row>
    <row r="60" spans="2:41">
      <c r="B60" s="360">
        <v>48</v>
      </c>
      <c r="C60" s="362">
        <f>(Q60+DER)*(1+COTIZACION!$D$23)</f>
        <v>38828.595255887798</v>
      </c>
      <c r="D60" s="362">
        <f>(R60+DER)*(1+COTIZACION!$D$23)</f>
        <v>45923.019733585352</v>
      </c>
      <c r="F60" s="360">
        <v>48</v>
      </c>
      <c r="G60" s="362">
        <f>U60*(1+COTIZACION!$D$23)</f>
        <v>37900.595255887798</v>
      </c>
      <c r="H60" s="362">
        <f>V60*(1+COTIZACION!$D$23)</f>
        <v>44995.019733585352</v>
      </c>
      <c r="J60" s="364"/>
      <c r="K60" s="365"/>
      <c r="L60" s="365"/>
      <c r="M60" s="365"/>
      <c r="P60" s="360">
        <v>48</v>
      </c>
      <c r="Q60" s="362">
        <f>IF($K$10="INCLUIDO",FACTORES!$C51*FACTORES!$AD$9+CDENT+CEE+VIS+ASIS+EDXA20100+(FACTORES!$C51*FACTORES!$AD$9*CTE)+ENFGR,FACTORES!$C51*FACTORES!$AD$9+CDENT+CEE+VIS+ASIS+EDXA20100+ENFGR)</f>
        <v>32672.926944730865</v>
      </c>
      <c r="R60" s="362">
        <f>IF($K$10="INCLUIDO",FACTORES!$D51*FACTORES!$AD$9+CDENT+CEE+VIS+ASIS+EDXA20100+(FACTORES!$D51*FACTORES!$AD$9*CTE)+ENFGR+VLOOKUP(COTIZACION!$D$17,FACTORES!$K$21:$L$24,2,0),FACTORES!$D51*FACTORES!$AD$9+CDENT+CEE+VIS+ASIS+EDXA20100+ENFGR+VLOOKUP(COTIZACION!$D$17,FACTORES!$K$21:$L$24,2,0))</f>
        <v>38788.810115159788</v>
      </c>
      <c r="T60" s="360">
        <v>48</v>
      </c>
      <c r="U60" s="362">
        <f>IF($K$10="INCLUIDO",FACTORES!$C51*FACTORES!$AD$9+CDENT+CEE+VIS+ASIS+EDXA20100+(FACTORES!$C51*FACTORES!$AD$9*CTE)+ENFGR,FACTORES!$C51*FACTORES!$AD$9+CDENT+CEE+VIS+ASIS+EDXA20100+ENFGR)</f>
        <v>32672.926944730865</v>
      </c>
      <c r="V60" s="362">
        <f>IF($K$10="INCLUIDO",FACTORES!$D51*FACTORES!$AD$9+CDENT+CEE+VIS+ASIS+EDXA20100+(FACTORES!$D51*FACTORES!$AD$9*CTE)+ENFGR+VLOOKUP(COTIZACION!$D$17,FACTORES!$K$21:$L$24,2,0),FACTORES!$D51*FACTORES!$AD$9+CDENT+CEE+VIS+ASIS+EDXA20100+ENFGR+VLOOKUP(COTIZACION!$D$17,FACTORES!$K$21:$L$24,2,0))</f>
        <v>38788.810115159788</v>
      </c>
      <c r="X60" s="364"/>
      <c r="Y60" s="365"/>
      <c r="Z60" s="365"/>
      <c r="AO60">
        <f t="shared" si="3"/>
        <v>1</v>
      </c>
    </row>
    <row r="61" spans="2:41">
      <c r="B61" s="361">
        <v>49</v>
      </c>
      <c r="C61" s="363">
        <f>(Q61+DER)*(1+COTIZACION!$D$23)</f>
        <v>40247.883624871043</v>
      </c>
      <c r="D61" s="363">
        <f>(R61+DER)*(1+COTIZACION!$D$23)</f>
        <v>47545.474028808436</v>
      </c>
      <c r="F61" s="361">
        <v>49</v>
      </c>
      <c r="G61" s="363">
        <f>U61*(1+COTIZACION!$D$23)</f>
        <v>39319.883624871043</v>
      </c>
      <c r="H61" s="363">
        <f>V61*(1+COTIZACION!$D$23)</f>
        <v>46617.474028808436</v>
      </c>
      <c r="J61" s="364"/>
      <c r="K61" s="365"/>
      <c r="L61" s="365"/>
      <c r="M61" s="365"/>
      <c r="P61" s="361">
        <v>49</v>
      </c>
      <c r="Q61" s="363">
        <f>IF($K$10="INCLUIDO",FACTORES!$C52*FACTORES!$AD$9+CDENT+CEE+VIS+ASIS+EDXA20100+(FACTORES!$C52*FACTORES!$AD$9*CTE)+ENFGR,FACTORES!$C52*FACTORES!$AD$9+CDENT+CEE+VIS+ASIS+EDXA20100+ENFGR)</f>
        <v>33896.451400750899</v>
      </c>
      <c r="R61" s="363">
        <f>IF($K$10="INCLUIDO",FACTORES!$D52*FACTORES!$AD$9+CDENT+CEE+VIS+ASIS+EDXA20100+(FACTORES!$D52*FACTORES!$AD$9*CTE)+ENFGR+VLOOKUP(COTIZACION!$D$17,FACTORES!$K$21:$L$24,2,0),FACTORES!$D52*FACTORES!$AD$9+CDENT+CEE+VIS+ASIS+EDXA20100+ENFGR+VLOOKUP(COTIZACION!$D$17,FACTORES!$K$21:$L$24,2,0))</f>
        <v>40187.477611041759</v>
      </c>
      <c r="T61" s="361">
        <v>49</v>
      </c>
      <c r="U61" s="363">
        <f>IF($K$10="INCLUIDO",FACTORES!$C52*FACTORES!$AD$9+CDENT+CEE+VIS+ASIS+EDXA20100+(FACTORES!$C52*FACTORES!$AD$9*CTE)+ENFGR,FACTORES!$C52*FACTORES!$AD$9+CDENT+CEE+VIS+ASIS+EDXA20100+ENFGR)</f>
        <v>33896.451400750899</v>
      </c>
      <c r="V61" s="363">
        <f>IF($K$10="INCLUIDO",FACTORES!$D52*FACTORES!$AD$9+CDENT+CEE+VIS+ASIS+EDXA20100+(FACTORES!$D52*FACTORES!$AD$9*CTE)+ENFGR+VLOOKUP(COTIZACION!$D$17,FACTORES!$K$21:$L$24,2,0),FACTORES!$D52*FACTORES!$AD$9+CDENT+CEE+VIS+ASIS+EDXA20100+ENFGR+VLOOKUP(COTIZACION!$D$17,FACTORES!$K$21:$L$24,2,0))</f>
        <v>40187.477611041759</v>
      </c>
      <c r="X61" s="364"/>
      <c r="Y61" s="365"/>
      <c r="Z61" s="365"/>
      <c r="AO61">
        <f t="shared" si="3"/>
        <v>1</v>
      </c>
    </row>
    <row r="62" spans="2:41">
      <c r="B62" s="360">
        <v>50</v>
      </c>
      <c r="C62" s="362">
        <f>(Q62+DER)*(1+COTIZACION!$D$23)</f>
        <v>43702.168141876849</v>
      </c>
      <c r="D62" s="362">
        <f>(R62+DER)*(1+COTIZACION!$D$23)</f>
        <v>48641.157448959086</v>
      </c>
      <c r="F62" s="360">
        <v>50</v>
      </c>
      <c r="G62" s="362">
        <f>U62*(1+COTIZACION!$D$23)</f>
        <v>42774.168141876849</v>
      </c>
      <c r="H62" s="362">
        <f>V62*(1+COTIZACION!$D$23)</f>
        <v>47713.157448959086</v>
      </c>
      <c r="J62" s="364"/>
      <c r="K62" s="365"/>
      <c r="L62" s="365"/>
      <c r="M62" s="365"/>
      <c r="P62" s="360">
        <v>50</v>
      </c>
      <c r="Q62" s="362">
        <f>IF($K$10="INCLUIDO",FACTORES!$C53*FACTORES!$AD$9+CDENT+CEE+VIS+ASIS+EDXA20100+(FACTORES!$C53*FACTORES!$AD$9*CTE)+ENFGR,FACTORES!$C53*FACTORES!$AD$9+CDENT+CEE+VIS+ASIS+EDXA20100+ENFGR)</f>
        <v>36874.282880928324</v>
      </c>
      <c r="R62" s="362">
        <f>IF($K$10="INCLUIDO",FACTORES!$D53*FACTORES!$AD$9+CDENT+CEE+VIS+ASIS+EDXA20100+(FACTORES!$D53*FACTORES!$AD$9*CTE)+ENFGR+VLOOKUP(COTIZACION!$D$17,FACTORES!$K$21:$L$24,2,0),FACTORES!$D53*FACTORES!$AD$9+CDENT+CEE+VIS+ASIS+EDXA20100+ENFGR+VLOOKUP(COTIZACION!$D$17,FACTORES!$K$21:$L$24,2,0))</f>
        <v>41132.032283585424</v>
      </c>
      <c r="T62" s="360">
        <v>50</v>
      </c>
      <c r="U62" s="362">
        <f>IF($K$10="INCLUIDO",FACTORES!$C53*FACTORES!$AD$9+CDENT+CEE+VIS+ASIS+EDXA20100+(FACTORES!$C53*FACTORES!$AD$9*CTE)+ENFGR,FACTORES!$C53*FACTORES!$AD$9+CDENT+CEE+VIS+ASIS+EDXA20100+ENFGR)</f>
        <v>36874.282880928324</v>
      </c>
      <c r="V62" s="362">
        <f>IF($K$10="INCLUIDO",FACTORES!$D53*FACTORES!$AD$9+CDENT+CEE+VIS+ASIS+EDXA20100+(FACTORES!$D53*FACTORES!$AD$9*CTE)+ENFGR+VLOOKUP(COTIZACION!$D$17,FACTORES!$K$21:$L$24,2,0),FACTORES!$D53*FACTORES!$AD$9+CDENT+CEE+VIS+ASIS+EDXA20100+ENFGR+VLOOKUP(COTIZACION!$D$17,FACTORES!$K$21:$L$24,2,0))</f>
        <v>41132.032283585424</v>
      </c>
      <c r="X62" s="364"/>
      <c r="Y62" s="365"/>
      <c r="Z62" s="365"/>
      <c r="AO62">
        <f t="shared" si="3"/>
        <v>1</v>
      </c>
    </row>
    <row r="63" spans="2:41">
      <c r="B63" s="361">
        <v>51</v>
      </c>
      <c r="C63" s="363">
        <f>(Q63+DER)*(1+COTIZACION!$D$23)</f>
        <v>46527.072889616764</v>
      </c>
      <c r="D63" s="363">
        <f>(R63+DER)*(1+COTIZACION!$D$23)</f>
        <v>50088.240734933788</v>
      </c>
      <c r="F63" s="361">
        <v>51</v>
      </c>
      <c r="G63" s="363">
        <f>U63*(1+COTIZACION!$D$23)</f>
        <v>45599.072889616764</v>
      </c>
      <c r="H63" s="363">
        <f>V63*(1+COTIZACION!$D$23)</f>
        <v>49160.240734933788</v>
      </c>
      <c r="J63" s="364"/>
      <c r="K63" s="365"/>
      <c r="L63" s="365"/>
      <c r="M63" s="365"/>
      <c r="P63" s="361">
        <v>51</v>
      </c>
      <c r="Q63" s="363">
        <f>IF($K$10="INCLUIDO",FACTORES!$C54*FACTORES!$AD$9+CDENT+CEE+VIS+ASIS+EDXA20100+(FACTORES!$C54*FACTORES!$AD$9*CTE)+ENFGR,FACTORES!$C54*FACTORES!$AD$9+CDENT+CEE+VIS+ASIS+EDXA20100+ENFGR)</f>
        <v>39309.545594497213</v>
      </c>
      <c r="R63" s="363">
        <f>IF($K$10="INCLUIDO",FACTORES!$D54*FACTORES!$AD$9+CDENT+CEE+VIS+ASIS+EDXA20100+(FACTORES!$D54*FACTORES!$AD$9*CTE)+ENFGR,FACTORES!$D54*FACTORES!$AD$9+CDENT+CEE+VIS+ASIS+EDXA20100+ENFGR)</f>
        <v>42379.517874942925</v>
      </c>
      <c r="T63" s="361">
        <v>51</v>
      </c>
      <c r="U63" s="363">
        <f>IF($K$10="INCLUIDO",FACTORES!$C54*FACTORES!$AD$9+CDENT+CEE+VIS+ASIS+EDXA20100+(FACTORES!$C54*FACTORES!$AD$9*CTE)+ENFGR,FACTORES!$C54*FACTORES!$AD$9+CDENT+CEE+VIS+ASIS+EDXA20100+ENFGR)</f>
        <v>39309.545594497213</v>
      </c>
      <c r="V63" s="363">
        <f>IF($K$10="INCLUIDO",FACTORES!$D54*FACTORES!$AD$9+CDENT+CEE+VIS+ASIS+EDXA20100+(FACTORES!$D54*FACTORES!$AD$9*CTE)+ENFGR,FACTORES!$D54*FACTORES!$AD$9+CDENT+CEE+VIS+ASIS+EDXA20100+ENFGR)</f>
        <v>42379.517874942925</v>
      </c>
      <c r="X63" s="364"/>
      <c r="Y63" s="365"/>
      <c r="Z63" s="365"/>
      <c r="AO63">
        <f t="shared" si="3"/>
        <v>1</v>
      </c>
    </row>
    <row r="64" spans="2:41">
      <c r="B64" s="360">
        <v>52</v>
      </c>
      <c r="C64" s="362">
        <f>(Q64+DER)*(1+COTIZACION!$D$23)</f>
        <v>49117.914101115355</v>
      </c>
      <c r="D64" s="362">
        <f>(R64+DER)*(1+COTIZACION!$D$23)</f>
        <v>52425.33347011514</v>
      </c>
      <c r="F64" s="360">
        <v>52</v>
      </c>
      <c r="G64" s="362">
        <f>U64*(1+COTIZACION!$D$23)</f>
        <v>48189.914101115355</v>
      </c>
      <c r="H64" s="362">
        <f>V64*(1+COTIZACION!$D$23)</f>
        <v>51497.33347011514</v>
      </c>
      <c r="J64" s="364"/>
      <c r="K64" s="365"/>
      <c r="L64" s="365"/>
      <c r="M64" s="365"/>
      <c r="P64" s="360">
        <v>52</v>
      </c>
      <c r="Q64" s="362">
        <f>IF($K$10="INCLUIDO",FACTORES!$C55*FACTORES!$AD$9+CDENT+CEE+VIS+ASIS+EDXA20100+(FACTORES!$C55*FACTORES!$AD$9*CTE)+ENFGR,FACTORES!$C55*FACTORES!$AD$9+CDENT+CEE+VIS+ASIS+EDXA20100+ENFGR)</f>
        <v>41543.029397513237</v>
      </c>
      <c r="R64" s="362">
        <f>IF($K$10="INCLUIDO",FACTORES!$D55*FACTORES!$AD$9+CDENT+CEE+VIS+ASIS+EDXA20100+(FACTORES!$D55*FACTORES!$AD$9*CTE)+ENFGR,FACTORES!$D55*FACTORES!$AD$9+CDENT+CEE+VIS+ASIS+EDXA20100+ENFGR)</f>
        <v>44394.25299147857</v>
      </c>
      <c r="T64" s="360">
        <v>52</v>
      </c>
      <c r="U64" s="362">
        <f>IF($K$10="INCLUIDO",FACTORES!$C55*FACTORES!$AD$9+CDENT+CEE+VIS+ASIS+EDXA20100+(FACTORES!$C55*FACTORES!$AD$9*CTE)+ENFGR,FACTORES!$C55*FACTORES!$AD$9+CDENT+CEE+VIS+ASIS+EDXA20100+ENFGR)</f>
        <v>41543.029397513237</v>
      </c>
      <c r="V64" s="362">
        <f>IF($K$10="INCLUIDO",FACTORES!$D55*FACTORES!$AD$9+CDENT+CEE+VIS+ASIS+EDXA20100+(FACTORES!$D55*FACTORES!$AD$9*CTE)+ENFGR,FACTORES!$D55*FACTORES!$AD$9+CDENT+CEE+VIS+ASIS+EDXA20100+ENFGR)</f>
        <v>44394.25299147857</v>
      </c>
      <c r="X64" s="364"/>
      <c r="Y64" s="365"/>
      <c r="Z64" s="365"/>
      <c r="AO64">
        <f t="shared" si="3"/>
        <v>1</v>
      </c>
    </row>
    <row r="65" spans="2:41">
      <c r="B65" s="361">
        <v>53</v>
      </c>
      <c r="C65" s="363">
        <f>(Q65+DER)*(1+COTIZACION!$D$23)</f>
        <v>51864.205785303871</v>
      </c>
      <c r="D65" s="363">
        <f>(R65+DER)*(1+COTIZACION!$D$23)</f>
        <v>54879.280842055559</v>
      </c>
      <c r="F65" s="361">
        <v>53</v>
      </c>
      <c r="G65" s="363">
        <f>U65*(1+COTIZACION!$D$23)</f>
        <v>50936.205785303871</v>
      </c>
      <c r="H65" s="363">
        <f>V65*(1+COTIZACION!$D$23)</f>
        <v>53951.280842055559</v>
      </c>
      <c r="J65" s="364"/>
      <c r="K65" s="365"/>
      <c r="L65" s="365"/>
      <c r="M65" s="365"/>
      <c r="P65" s="361">
        <v>53</v>
      </c>
      <c r="Q65" s="363">
        <f>IF($K$10="INCLUIDO",FACTORES!$C56*FACTORES!$AD$9+CDENT+CEE+VIS+ASIS+EDXA20100+(FACTORES!$C56*FACTORES!$AD$9*CTE)+ENFGR,FACTORES!$C56*FACTORES!$AD$9+CDENT+CEE+VIS+ASIS+EDXA20100+ENFGR)</f>
        <v>43910.522228710237</v>
      </c>
      <c r="R65" s="363">
        <f>IF($K$10="INCLUIDO",FACTORES!$D56*FACTORES!$AD$9+CDENT+CEE+VIS+ASIS+EDXA20100+(FACTORES!$D56*FACTORES!$AD$9*CTE)+ENFGR,FACTORES!$D56*FACTORES!$AD$9+CDENT+CEE+VIS+ASIS+EDXA20100+ENFGR)</f>
        <v>46509.724863841002</v>
      </c>
      <c r="T65" s="361">
        <v>53</v>
      </c>
      <c r="U65" s="363">
        <f>IF($K$10="INCLUIDO",FACTORES!$C56*FACTORES!$AD$9+CDENT+CEE+VIS+ASIS+EDXA20100+(FACTORES!$C56*FACTORES!$AD$9*CTE)+ENFGR,FACTORES!$C56*FACTORES!$AD$9+CDENT+CEE+VIS+ASIS+EDXA20100+ENFGR)</f>
        <v>43910.522228710237</v>
      </c>
      <c r="V65" s="363">
        <f>IF($K$10="INCLUIDO",FACTORES!$D56*FACTORES!$AD$9+CDENT+CEE+VIS+ASIS+EDXA20100+(FACTORES!$D56*FACTORES!$AD$9*CTE)+ENFGR,FACTORES!$D56*FACTORES!$AD$9+CDENT+CEE+VIS+ASIS+EDXA20100+ENFGR)</f>
        <v>46509.724863841002</v>
      </c>
      <c r="X65" s="364"/>
      <c r="Y65" s="365"/>
      <c r="Z65" s="365"/>
      <c r="AO65">
        <f t="shared" si="3"/>
        <v>1</v>
      </c>
    </row>
    <row r="66" spans="2:41">
      <c r="B66" s="360">
        <v>54</v>
      </c>
      <c r="C66" s="362">
        <f>(Q66+DER)*(1+COTIZACION!$D$23)</f>
        <v>54775.274970543695</v>
      </c>
      <c r="D66" s="362">
        <f>(R66+DER)*(1+COTIZACION!$D$23)</f>
        <v>57455.925582593001</v>
      </c>
      <c r="F66" s="360">
        <v>54</v>
      </c>
      <c r="G66" s="362">
        <f>U66*(1+COTIZACION!$D$23)</f>
        <v>53847.274970543695</v>
      </c>
      <c r="H66" s="362">
        <f>V66*(1+COTIZACION!$D$23)</f>
        <v>56527.925582593001</v>
      </c>
      <c r="J66" s="364"/>
      <c r="K66" s="365"/>
      <c r="L66" s="365"/>
      <c r="M66" s="365"/>
      <c r="P66" s="360">
        <v>54</v>
      </c>
      <c r="Q66" s="362">
        <f>IF($K$10="INCLUIDO",FACTORES!$C57*FACTORES!$AD$9+CDENT+CEE+VIS+ASIS+EDXA20100+(FACTORES!$C57*FACTORES!$AD$9*CTE)+ENFGR,FACTORES!$C57*FACTORES!$AD$9+CDENT+CEE+VIS+ASIS+EDXA20100+ENFGR)</f>
        <v>46420.064629779052</v>
      </c>
      <c r="R66" s="362">
        <f>IF($K$10="INCLUIDO",FACTORES!$D57*FACTORES!$AD$9+CDENT+CEE+VIS+ASIS+EDXA20100+(FACTORES!$D57*FACTORES!$AD$9*CTE)+ENFGR,FACTORES!$D57*FACTORES!$AD$9+CDENT+CEE+VIS+ASIS+EDXA20100+ENFGR)</f>
        <v>48730.970329821554</v>
      </c>
      <c r="T66" s="360">
        <v>54</v>
      </c>
      <c r="U66" s="362">
        <f>IF($K$10="INCLUIDO",FACTORES!$C57*FACTORES!$AD$9+CDENT+CEE+VIS+ASIS+EDXA20100+(FACTORES!$C57*FACTORES!$AD$9*CTE)+ENFGR,FACTORES!$C57*FACTORES!$AD$9+CDENT+CEE+VIS+ASIS+EDXA20100+ENFGR)</f>
        <v>46420.064629779052</v>
      </c>
      <c r="V66" s="362">
        <f>IF($K$10="INCLUIDO",FACTORES!$D57*FACTORES!$AD$9+CDENT+CEE+VIS+ASIS+EDXA20100+(FACTORES!$D57*FACTORES!$AD$9*CTE)+ENFGR,FACTORES!$D57*FACTORES!$AD$9+CDENT+CEE+VIS+ASIS+EDXA20100+ENFGR)</f>
        <v>48730.970329821554</v>
      </c>
      <c r="X66" s="364"/>
      <c r="Y66" s="365"/>
      <c r="Z66" s="365"/>
      <c r="AO66">
        <f t="shared" si="3"/>
        <v>1</v>
      </c>
    </row>
    <row r="67" spans="2:41">
      <c r="B67" s="361">
        <v>55</v>
      </c>
      <c r="C67" s="363">
        <f>(Q67+DER)*(1+COTIZACION!$D$23)</f>
        <v>57861.0083068979</v>
      </c>
      <c r="D67" s="363">
        <f>(R67+DER)*(1+COTIZACION!$D$23)</f>
        <v>60161.402560157294</v>
      </c>
      <c r="F67" s="361">
        <v>55</v>
      </c>
      <c r="G67" s="363">
        <f>U67*(1+COTIZACION!$D$23)</f>
        <v>56933.0083068979</v>
      </c>
      <c r="H67" s="363">
        <f>V67*(1+COTIZACION!$D$23)</f>
        <v>59233.402560157294</v>
      </c>
      <c r="J67" s="364"/>
      <c r="K67" s="365"/>
      <c r="L67" s="365"/>
      <c r="M67" s="365"/>
      <c r="P67" s="361">
        <v>55</v>
      </c>
      <c r="Q67" s="363">
        <f>IF($K$10="INCLUIDO",FACTORES!$C58*FACTORES!$AD$9+CDENT+CEE+VIS+ASIS+EDXA20100+(FACTORES!$C58*FACTORES!$AD$9*CTE)+ENFGR,FACTORES!$C58*FACTORES!$AD$9+CDENT+CEE+VIS+ASIS+EDXA20100+ENFGR)</f>
        <v>49080.179574911985</v>
      </c>
      <c r="R67" s="363">
        <f>IF($K$10="INCLUIDO",FACTORES!$D58*FACTORES!$AD$9+CDENT+CEE+VIS+ASIS+EDXA20100+(FACTORES!$D58*FACTORES!$AD$9*CTE)+ENFGR,FACTORES!$D58*FACTORES!$AD$9+CDENT+CEE+VIS+ASIS+EDXA20100+ENFGR)</f>
        <v>51063.278069101121</v>
      </c>
      <c r="T67" s="361">
        <v>55</v>
      </c>
      <c r="U67" s="363">
        <f>IF($K$10="INCLUIDO",FACTORES!$C58*FACTORES!$AD$9+CDENT+CEE+VIS+ASIS+EDXA20100+(FACTORES!$C58*FACTORES!$AD$9*CTE)+ENFGR,FACTORES!$C58*FACTORES!$AD$9+CDENT+CEE+VIS+ASIS+EDXA20100+ENFGR)</f>
        <v>49080.179574911985</v>
      </c>
      <c r="V67" s="363">
        <f>IF($K$10="INCLUIDO",FACTORES!$D58*FACTORES!$AD$9+CDENT+CEE+VIS+ASIS+EDXA20100+(FACTORES!$D58*FACTORES!$AD$9*CTE)+ENFGR,FACTORES!$D58*FACTORES!$AD$9+CDENT+CEE+VIS+ASIS+EDXA20100+ENFGR)</f>
        <v>51063.278069101121</v>
      </c>
      <c r="X67" s="364"/>
      <c r="Y67" s="365"/>
      <c r="Z67" s="365"/>
      <c r="AO67">
        <f t="shared" si="3"/>
        <v>1</v>
      </c>
    </row>
    <row r="68" spans="2:41">
      <c r="B68" s="360">
        <v>56</v>
      </c>
      <c r="C68" s="362">
        <f>(Q68+DER)*(1+COTIZACION!$D$23)</f>
        <v>61131.885643433365</v>
      </c>
      <c r="D68" s="362">
        <f>(R68+DER)*(1+COTIZACION!$D$23)</f>
        <v>63002.153386599821</v>
      </c>
      <c r="F68" s="360">
        <v>56</v>
      </c>
      <c r="G68" s="362">
        <f>U68*(1+COTIZACION!$D$23)</f>
        <v>60203.885643433365</v>
      </c>
      <c r="H68" s="362">
        <f>V68*(1+COTIZACION!$D$23)</f>
        <v>62074.153386599821</v>
      </c>
      <c r="J68" s="364"/>
      <c r="K68" s="365"/>
      <c r="L68" s="365"/>
      <c r="M68" s="365"/>
      <c r="P68" s="360">
        <v>56</v>
      </c>
      <c r="Q68" s="362">
        <f>IF($K$10="INCLUIDO",FACTORES!$C59*FACTORES!$AD$9+CDENT+CEE+VIS+ASIS+EDXA20100+(FACTORES!$C59*FACTORES!$AD$9*CTE)+ENFGR,FACTORES!$C59*FACTORES!$AD$9+CDENT+CEE+VIS+ASIS+EDXA20100+ENFGR)</f>
        <v>51899.901416752902</v>
      </c>
      <c r="R68" s="362">
        <f>IF($K$10="INCLUIDO",FACTORES!$D59*FACTORES!$AD$9+CDENT+CEE+VIS+ASIS+EDXA20100+(FACTORES!$D59*FACTORES!$AD$9*CTE)+ENFGR,FACTORES!$D59*FACTORES!$AD$9+CDENT+CEE+VIS+ASIS+EDXA20100+ENFGR)</f>
        <v>53512.201195344678</v>
      </c>
      <c r="T68" s="360">
        <v>56</v>
      </c>
      <c r="U68" s="362">
        <f>IF($K$10="INCLUIDO",FACTORES!$C59*FACTORES!$AD$9+CDENT+CEE+VIS+ASIS+EDXA20100+(FACTORES!$C59*FACTORES!$AD$9*CTE)+ENFGR,FACTORES!$C59*FACTORES!$AD$9+CDENT+CEE+VIS+ASIS+EDXA20100+ENFGR)</f>
        <v>51899.901416752902</v>
      </c>
      <c r="V68" s="362">
        <f>IF($K$10="INCLUIDO",FACTORES!$D59*FACTORES!$AD$9+CDENT+CEE+VIS+ASIS+EDXA20100+(FACTORES!$D59*FACTORES!$AD$9*CTE)+ENFGR,FACTORES!$D59*FACTORES!$AD$9+CDENT+CEE+VIS+ASIS+EDXA20100+ENFGR)</f>
        <v>53512.201195344678</v>
      </c>
      <c r="X68" s="364"/>
      <c r="Y68" s="365"/>
      <c r="Z68" s="365"/>
      <c r="AO68">
        <f t="shared" si="3"/>
        <v>1</v>
      </c>
    </row>
    <row r="69" spans="2:41">
      <c r="B69" s="361">
        <v>57</v>
      </c>
      <c r="C69" s="363">
        <f>(Q69+DER)*(1+COTIZACION!$D$23)</f>
        <v>64599.01562016095</v>
      </c>
      <c r="D69" s="363">
        <f>(R69+DER)*(1+COTIZACION!$D$23)</f>
        <v>65984.941754364481</v>
      </c>
      <c r="F69" s="361">
        <v>57</v>
      </c>
      <c r="G69" s="363">
        <f>U69*(1+COTIZACION!$D$23)</f>
        <v>63671.01562016095</v>
      </c>
      <c r="H69" s="363">
        <f>V69*(1+COTIZACION!$D$23)</f>
        <v>65056.941754364474</v>
      </c>
      <c r="J69" s="364"/>
      <c r="K69" s="365"/>
      <c r="L69" s="365"/>
      <c r="M69" s="365"/>
      <c r="P69" s="361">
        <v>57</v>
      </c>
      <c r="Q69" s="363">
        <f>IF($K$10="INCLUIDO",FACTORES!$C60*FACTORES!$AD$9+CDENT+CEE+VIS+ASIS+EDXA20100+(FACTORES!$C60*FACTORES!$AD$9*CTE)+ENFGR,FACTORES!$C60*FACTORES!$AD$9+CDENT+CEE+VIS+ASIS+EDXA20100+ENFGR)</f>
        <v>54888.806569104272</v>
      </c>
      <c r="R69" s="363">
        <f>IF($K$10="INCLUIDO",FACTORES!$D60*FACTORES!$AD$9+CDENT+CEE+VIS+ASIS+EDXA20100+(FACTORES!$D60*FACTORES!$AD$9*CTE)+ENFGR,FACTORES!$D60*FACTORES!$AD$9+CDENT+CEE+VIS+ASIS+EDXA20100+ENFGR)</f>
        <v>56083.570477900415</v>
      </c>
      <c r="T69" s="361">
        <v>57</v>
      </c>
      <c r="U69" s="363">
        <f>IF($K$10="INCLUIDO",FACTORES!$C60*FACTORES!$AD$9+CDENT+CEE+VIS+ASIS+EDXA20100+(FACTORES!$C60*FACTORES!$AD$9*CTE)+ENFGR,FACTORES!$C60*FACTORES!$AD$9+CDENT+CEE+VIS+ASIS+EDXA20100+ENFGR)</f>
        <v>54888.806569104272</v>
      </c>
      <c r="V69" s="363">
        <f>IF($K$10="INCLUIDO",FACTORES!$D60*FACTORES!$AD$9+CDENT+CEE+VIS+ASIS+EDXA20100+(FACTORES!$D60*FACTORES!$AD$9*CTE)+ENFGR,FACTORES!$D60*FACTORES!$AD$9+CDENT+CEE+VIS+ASIS+EDXA20100+ENFGR)</f>
        <v>56083.570477900415</v>
      </c>
      <c r="X69" s="364"/>
      <c r="Y69" s="365"/>
      <c r="Z69" s="365"/>
      <c r="AO69">
        <f t="shared" si="3"/>
        <v>1</v>
      </c>
    </row>
    <row r="70" spans="2:41">
      <c r="B70" s="360">
        <v>58</v>
      </c>
      <c r="C70" s="362">
        <f>(Q70+DER)*(1+COTIZACION!$D$23)</f>
        <v>69805.48913521356</v>
      </c>
      <c r="D70" s="362">
        <f>(R70+DER)*(1+COTIZACION!$D$23)</f>
        <v>70682.833433593798</v>
      </c>
      <c r="F70" s="360">
        <v>58</v>
      </c>
      <c r="G70" s="362">
        <f>U70*(1+COTIZACION!$D$23)</f>
        <v>68877.48913521356</v>
      </c>
      <c r="H70" s="362">
        <f>V70*(1+COTIZACION!$D$23)</f>
        <v>69754.833433593798</v>
      </c>
      <c r="J70" s="364"/>
      <c r="K70" s="365"/>
      <c r="L70" s="365"/>
      <c r="M70" s="365"/>
      <c r="P70" s="360">
        <v>58</v>
      </c>
      <c r="Q70" s="362">
        <f>IF($K$10="INCLUIDO",FACTORES!$C61*FACTORES!$AD$9+CDENT+CEE+VIS+ASIS+EDXA20100+(FACTORES!$C61*FACTORES!$AD$9*CTE)+ENFGR,FACTORES!$C61*FACTORES!$AD$9+CDENT+CEE+VIS+ASIS+EDXA20100+ENFGR)</f>
        <v>59377.145806218585</v>
      </c>
      <c r="R70" s="362">
        <f>IF($K$10="INCLUIDO",FACTORES!$D61*FACTORES!$AD$9+CDENT+CEE+VIS+ASIS+EDXA20100+(FACTORES!$D61*FACTORES!$AD$9*CTE)+ENFGR,FACTORES!$D61*FACTORES!$AD$9+CDENT+CEE+VIS+ASIS+EDXA20100+ENFGR)</f>
        <v>60133.477097925686</v>
      </c>
      <c r="T70" s="360">
        <v>58</v>
      </c>
      <c r="U70" s="362">
        <f>IF($K$10="INCLUIDO",FACTORES!$C61*FACTORES!$AD$9+CDENT+CEE+VIS+ASIS+EDXA20100+(FACTORES!$C61*FACTORES!$AD$9*CTE)+ENFGR,FACTORES!$C61*FACTORES!$AD$9+CDENT+CEE+VIS+ASIS+EDXA20100+ENFGR)</f>
        <v>59377.145806218585</v>
      </c>
      <c r="V70" s="362">
        <f>IF($K$10="INCLUIDO",FACTORES!$D61*FACTORES!$AD$9+CDENT+CEE+VIS+ASIS+EDXA20100+(FACTORES!$D61*FACTORES!$AD$9*CTE)+ENFGR,FACTORES!$D61*FACTORES!$AD$9+CDENT+CEE+VIS+ASIS+EDXA20100+ENFGR)</f>
        <v>60133.477097925686</v>
      </c>
      <c r="X70" s="364"/>
      <c r="Y70" s="365"/>
      <c r="Z70" s="365"/>
      <c r="AO70">
        <f t="shared" si="3"/>
        <v>1</v>
      </c>
    </row>
    <row r="71" spans="2:41">
      <c r="B71" s="361">
        <v>59</v>
      </c>
      <c r="C71" s="363">
        <f>(Q71+DER)*(1+COTIZACION!$D$23)</f>
        <v>75454.512899045614</v>
      </c>
      <c r="D71" s="363">
        <f>(R71+DER)*(1+COTIZACION!$D$23)</f>
        <v>75733.066988765306</v>
      </c>
      <c r="F71" s="361">
        <v>59</v>
      </c>
      <c r="G71" s="363">
        <f>U71*(1+COTIZACION!$D$23)</f>
        <v>74526.512899045614</v>
      </c>
      <c r="H71" s="363">
        <f>V71*(1+COTIZACION!$D$23)</f>
        <v>74805.066988765306</v>
      </c>
      <c r="J71" s="364"/>
      <c r="K71" s="365"/>
      <c r="L71" s="365"/>
      <c r="M71" s="365"/>
      <c r="P71" s="361">
        <v>59</v>
      </c>
      <c r="Q71" s="363">
        <f>IF($K$10="INCLUIDO",FACTORES!$C62*FACTORES!$AD$9+CDENT+CEE+VIS+ASIS+EDXA20100+(FACTORES!$C62*FACTORES!$AD$9*CTE)+ENFGR,FACTORES!$C62*FACTORES!$AD$9+CDENT+CEE+VIS+ASIS+EDXA20100+ENFGR)</f>
        <v>64246.993878487599</v>
      </c>
      <c r="R71" s="363">
        <f>IF($K$10="INCLUIDO",FACTORES!$D62*FACTORES!$AD$9+CDENT+CEE+VIS+ASIS+EDXA20100+(FACTORES!$D62*FACTORES!$AD$9*CTE)+ENFGR,FACTORES!$D62*FACTORES!$AD$9+CDENT+CEE+VIS+ASIS+EDXA20100+ENFGR)</f>
        <v>64487.126714452854</v>
      </c>
      <c r="T71" s="361">
        <v>59</v>
      </c>
      <c r="U71" s="363">
        <f>IF($K$10="INCLUIDO",FACTORES!$C62*FACTORES!$AD$9+CDENT+CEE+VIS+ASIS+EDXA20100+(FACTORES!$C62*FACTORES!$AD$9*CTE)+ENFGR,FACTORES!$C62*FACTORES!$AD$9+CDENT+CEE+VIS+ASIS+EDXA20100+ENFGR)</f>
        <v>64246.993878487599</v>
      </c>
      <c r="V71" s="363">
        <f>IF($K$10="INCLUIDO",FACTORES!$D62*FACTORES!$AD$9+CDENT+CEE+VIS+ASIS+EDXA20100+(FACTORES!$D62*FACTORES!$AD$9*CTE)+ENFGR,FACTORES!$D62*FACTORES!$AD$9+CDENT+CEE+VIS+ASIS+EDXA20100+ENFGR)</f>
        <v>64487.126714452854</v>
      </c>
      <c r="X71" s="364"/>
      <c r="Y71" s="365"/>
      <c r="Z71" s="365"/>
      <c r="AO71">
        <f t="shared" si="3"/>
        <v>1</v>
      </c>
    </row>
    <row r="72" spans="2:41">
      <c r="B72" s="360">
        <v>60</v>
      </c>
      <c r="C72" s="362">
        <f>(Q72+DER)*(1+COTIZACION!$D$23)</f>
        <v>81583.703682803403</v>
      </c>
      <c r="D72" s="362">
        <f>(R72+DER)*(1+COTIZACION!$D$23)</f>
        <v>81162.068060574689</v>
      </c>
      <c r="F72" s="360">
        <v>60</v>
      </c>
      <c r="G72" s="362">
        <f>U72*(1+COTIZACION!$D$23)</f>
        <v>80655.703682803403</v>
      </c>
      <c r="H72" s="362">
        <f>V72*(1+COTIZACION!$D$23)</f>
        <v>80234.068060574689</v>
      </c>
      <c r="J72" s="364"/>
      <c r="K72" s="365"/>
      <c r="L72" s="365"/>
      <c r="M72" s="365"/>
      <c r="P72" s="360">
        <v>60</v>
      </c>
      <c r="Q72" s="362">
        <f>IF($K$10="INCLUIDO",FACTORES!$C63*FACTORES!$AD$9+CDENT+CEE+VIS+ASIS+EDXA20100+(FACTORES!$C63*FACTORES!$AD$9*CTE),FACTORES!$C63*FACTORES!$AD$9+CDENT+CEE+VIS+ASIS+EDXA20100)</f>
        <v>69530.77903689949</v>
      </c>
      <c r="R72" s="362">
        <f>IF($K$10="INCLUIDO",FACTORES!$D63*FACTORES!$AD$9+CDENT+CEE+VIS+ASIS+EDXA20100+(FACTORES!$D63*FACTORES!$AD$9*CTE),FACTORES!$D63*FACTORES!$AD$9+CDENT+CEE+VIS+ASIS+EDXA20100)</f>
        <v>69167.300052219565</v>
      </c>
      <c r="T72" s="360">
        <v>60</v>
      </c>
      <c r="U72" s="362">
        <f>IF($K$10="INCLUIDO",FACTORES!$C63*FACTORES!$AD$9+CDENT+CEE+VIS+ASIS+EDXA20100+(FACTORES!$C63*FACTORES!$AD$9*CTE),FACTORES!$C63*FACTORES!$AD$9+CDENT+CEE+VIS+ASIS+EDXA20100)</f>
        <v>69530.77903689949</v>
      </c>
      <c r="V72" s="362">
        <f>IF($K$10="INCLUIDO",FACTORES!$D63*FACTORES!$AD$9+CDENT+CEE+VIS+ASIS+EDXA20100+(FACTORES!$D63*FACTORES!$AD$9*CTE),FACTORES!$D63*FACTORES!$AD$9+CDENT+CEE+VIS+ASIS+EDXA20100)</f>
        <v>69167.300052219565</v>
      </c>
      <c r="X72" s="364"/>
      <c r="Y72" s="365"/>
      <c r="Z72" s="365"/>
      <c r="AO72">
        <f t="shared" si="3"/>
        <v>1</v>
      </c>
    </row>
    <row r="73" spans="2:41">
      <c r="B73" s="361">
        <v>61</v>
      </c>
      <c r="C73" s="363">
        <f>(Q73+DER)*(1+COTIZACION!$D$23)</f>
        <v>88233.875683180609</v>
      </c>
      <c r="D73" s="363">
        <f>(R73+DER)*(1+COTIZACION!$D$23)</f>
        <v>86998.244212769758</v>
      </c>
      <c r="F73" s="361">
        <v>61</v>
      </c>
      <c r="G73" s="363">
        <f>U73*(1+COTIZACION!$D$23)</f>
        <v>87305.875683180609</v>
      </c>
      <c r="H73" s="363">
        <f>V73*(1+COTIZACION!$D$23)</f>
        <v>86070.244212769758</v>
      </c>
      <c r="J73" s="364"/>
      <c r="K73" s="365"/>
      <c r="L73" s="365"/>
      <c r="M73" s="365"/>
      <c r="P73" s="361">
        <v>61</v>
      </c>
      <c r="Q73" s="363">
        <f>IF($K$10="INCLUIDO",FACTORES!$C64*FACTORES!$AD$9+CDENT+CEE+VIS+ASIS+EDXA20100+(FACTORES!$C64*FACTORES!$AD$9*CTE),FACTORES!$C64*FACTORES!$AD$9+CDENT+CEE+VIS+ASIS+EDXA20100)</f>
        <v>75263.685933776389</v>
      </c>
      <c r="R73" s="363">
        <f>IF($K$10="INCLUIDO",FACTORES!$D64*FACTORES!$AD$9+CDENT+CEE+VIS+ASIS+EDXA20100+(FACTORES!$D64*FACTORES!$AD$9*CTE),FACTORES!$D64*FACTORES!$AD$9+CDENT+CEE+VIS+ASIS+EDXA20100)</f>
        <v>74198.486390318765</v>
      </c>
      <c r="T73" s="361">
        <v>61</v>
      </c>
      <c r="U73" s="363">
        <f>IF($K$10="INCLUIDO",FACTORES!$C64*FACTORES!$AD$9+CDENT+CEE+VIS+ASIS+EDXA20100+(FACTORES!$C64*FACTORES!$AD$9*CTE),FACTORES!$C64*FACTORES!$AD$9+CDENT+CEE+VIS+ASIS+EDXA20100)</f>
        <v>75263.685933776389</v>
      </c>
      <c r="V73" s="363">
        <f>IF($K$10="INCLUIDO",FACTORES!$D64*FACTORES!$AD$9+CDENT+CEE+VIS+ASIS+EDXA20100+(FACTORES!$D64*FACTORES!$AD$9*CTE),FACTORES!$D64*FACTORES!$AD$9+CDENT+CEE+VIS+ASIS+EDXA20100)</f>
        <v>74198.486390318765</v>
      </c>
      <c r="X73" s="364"/>
      <c r="Y73" s="365"/>
      <c r="Z73" s="365"/>
      <c r="AO73">
        <f t="shared" si="3"/>
        <v>1</v>
      </c>
    </row>
    <row r="74" spans="2:41">
      <c r="B74" s="360">
        <v>62</v>
      </c>
      <c r="C74" s="362">
        <f>(Q74+DER)*(1+COTIZACION!$D$23)</f>
        <v>95449.312303589875</v>
      </c>
      <c r="D74" s="362">
        <f>(R74+DER)*(1+COTIZACION!$D$23)</f>
        <v>93272.133576379463</v>
      </c>
      <c r="F74" s="360">
        <v>62</v>
      </c>
      <c r="G74" s="362">
        <f>U74*(1+COTIZACION!$D$23)</f>
        <v>94521.312303589875</v>
      </c>
      <c r="H74" s="362">
        <f>V74*(1+COTIZACION!$D$23)</f>
        <v>92344.133576379463</v>
      </c>
      <c r="J74" s="364"/>
      <c r="K74" s="365"/>
      <c r="L74" s="365"/>
      <c r="M74" s="365"/>
      <c r="P74" s="360">
        <v>62</v>
      </c>
      <c r="Q74" s="362">
        <f>IF($K$10="INCLUIDO",FACTORES!$C65*FACTORES!$AD$9+CDENT+CEE+VIS+ASIS+EDXA20100+(FACTORES!$C65*FACTORES!$AD$9*CTE),FACTORES!$C65*FACTORES!$AD$9+CDENT+CEE+VIS+ASIS+EDXA20100)</f>
        <v>81483.889916887827</v>
      </c>
      <c r="R74" s="362">
        <f>IF($K$10="INCLUIDO",FACTORES!$D65*FACTORES!$AD$9+CDENT+CEE+VIS+ASIS+EDXA20100+(FACTORES!$D65*FACTORES!$AD$9*CTE),FACTORES!$D65*FACTORES!$AD$9+CDENT+CEE+VIS+ASIS+EDXA20100)</f>
        <v>79607.01170377541</v>
      </c>
      <c r="T74" s="360">
        <v>62</v>
      </c>
      <c r="U74" s="362">
        <f>IF($K$10="INCLUIDO",FACTORES!$C65*FACTORES!$AD$9+CDENT+CEE+VIS+ASIS+EDXA20100+(FACTORES!$C65*FACTORES!$AD$9*CTE),FACTORES!$C65*FACTORES!$AD$9+CDENT+CEE+VIS+ASIS+EDXA20100)</f>
        <v>81483.889916887827</v>
      </c>
      <c r="V74" s="362">
        <f>IF($K$10="INCLUIDO",FACTORES!$D65*FACTORES!$AD$9+CDENT+CEE+VIS+ASIS+EDXA20100+(FACTORES!$D65*FACTORES!$AD$9*CTE),FACTORES!$D65*FACTORES!$AD$9+CDENT+CEE+VIS+ASIS+EDXA20100)</f>
        <v>79607.01170377541</v>
      </c>
      <c r="X74" s="364"/>
      <c r="Y74" s="365"/>
      <c r="Z74" s="365"/>
      <c r="AO74">
        <f t="shared" si="3"/>
        <v>1</v>
      </c>
    </row>
    <row r="75" spans="2:41">
      <c r="B75" s="361">
        <v>63</v>
      </c>
      <c r="C75" s="363">
        <f>(Q75+DER)*(1+COTIZACION!$D$23)</f>
        <v>103278.06103673391</v>
      </c>
      <c r="D75" s="363">
        <f>(R75+DER)*(1+COTIZACION!$D$23)</f>
        <v>100016.56464225991</v>
      </c>
      <c r="F75" s="361">
        <v>63</v>
      </c>
      <c r="G75" s="363">
        <f>U75*(1+COTIZACION!$D$23)</f>
        <v>102350.06103673391</v>
      </c>
      <c r="H75" s="363">
        <f>V75*(1+COTIZACION!$D$23)</f>
        <v>99088.564642259909</v>
      </c>
      <c r="J75" s="364"/>
      <c r="K75" s="365"/>
      <c r="L75" s="365"/>
      <c r="M75" s="365"/>
      <c r="P75" s="361">
        <v>63</v>
      </c>
      <c r="Q75" s="363">
        <f>IF($K$10="INCLUIDO",FACTORES!$C66*FACTORES!$AD$9+CDENT+CEE+VIS+ASIS+EDXA20100+(FACTORES!$C66*FACTORES!$AD$9*CTE),FACTORES!$C66*FACTORES!$AD$9+CDENT+CEE+VIS+ASIS+EDXA20100)</f>
        <v>88232.811238563721</v>
      </c>
      <c r="R75" s="363">
        <f>IF($K$10="INCLUIDO",FACTORES!$D66*FACTORES!$AD$9+CDENT+CEE+VIS+ASIS+EDXA20100+(FACTORES!$D66*FACTORES!$AD$9*CTE),FACTORES!$D66*FACTORES!$AD$9+CDENT+CEE+VIS+ASIS+EDXA20100)</f>
        <v>85421.176415741313</v>
      </c>
      <c r="T75" s="361">
        <v>63</v>
      </c>
      <c r="U75" s="363">
        <f>IF($K$10="INCLUIDO",FACTORES!$C66*FACTORES!$AD$9+CDENT+CEE+VIS+ASIS+EDXA20100+(FACTORES!$C66*FACTORES!$AD$9*CTE),FACTORES!$C66*FACTORES!$AD$9+CDENT+CEE+VIS+ASIS+EDXA20100)</f>
        <v>88232.811238563721</v>
      </c>
      <c r="V75" s="363">
        <f>IF($K$10="INCLUIDO",FACTORES!$D66*FACTORES!$AD$9+CDENT+CEE+VIS+ASIS+EDXA20100+(FACTORES!$D66*FACTORES!$AD$9*CTE),FACTORES!$D66*FACTORES!$AD$9+CDENT+CEE+VIS+ASIS+EDXA20100)</f>
        <v>85421.176415741313</v>
      </c>
      <c r="X75" s="364"/>
      <c r="Y75" s="365"/>
      <c r="Z75" s="365"/>
      <c r="AO75">
        <f t="shared" si="3"/>
        <v>1</v>
      </c>
    </row>
    <row r="76" spans="2:41">
      <c r="B76" s="360">
        <v>64</v>
      </c>
      <c r="C76" s="362">
        <f>(Q76+DER)*(1+COTIZACION!$D$23)</f>
        <v>111772.2534121952</v>
      </c>
      <c r="D76" s="362">
        <f>(R76+DER)*(1+COTIZACION!$D$23)</f>
        <v>107266.82803808138</v>
      </c>
      <c r="F76" s="360">
        <v>64</v>
      </c>
      <c r="G76" s="362">
        <f>U76*(1+COTIZACION!$D$23)</f>
        <v>110844.2534121952</v>
      </c>
      <c r="H76" s="362">
        <f>V76*(1+COTIZACION!$D$23)</f>
        <v>106338.82803808138</v>
      </c>
      <c r="J76" s="364"/>
      <c r="K76" s="365"/>
      <c r="L76" s="365"/>
      <c r="M76" s="365"/>
      <c r="P76" s="360">
        <v>64</v>
      </c>
      <c r="Q76" s="362">
        <f>IF($K$10="INCLUIDO",FACTORES!$C67*FACTORES!$AD$9+CDENT+CEE+VIS+ASIS+EDXA20100+(FACTORES!$C67*FACTORES!$AD$9*CTE),FACTORES!$C67*FACTORES!$AD$9+CDENT+CEE+VIS+ASIS+EDXA20100)</f>
        <v>95555.39087258208</v>
      </c>
      <c r="R76" s="362">
        <f>IF($K$10="INCLUIDO",FACTORES!$D67*FACTORES!$AD$9+CDENT+CEE+VIS+ASIS+EDXA20100+(FACTORES!$D67*FACTORES!$AD$9*CTE),FACTORES!$D67*FACTORES!$AD$9+CDENT+CEE+VIS+ASIS+EDXA20100)</f>
        <v>91671.403481104644</v>
      </c>
      <c r="T76" s="360">
        <v>64</v>
      </c>
      <c r="U76" s="362">
        <f>IF($K$10="INCLUIDO",FACTORES!$C67*FACTORES!$AD$9+CDENT+CEE+VIS+ASIS+EDXA20100+(FACTORES!$C67*FACTORES!$AD$9*CTE),FACTORES!$C67*FACTORES!$AD$9+CDENT+CEE+VIS+ASIS+EDXA20100)</f>
        <v>95555.39087258208</v>
      </c>
      <c r="V76" s="362">
        <f>IF($K$10="INCLUIDO",FACTORES!$D67*FACTORES!$AD$9+CDENT+CEE+VIS+ASIS+EDXA20100+(FACTORES!$D67*FACTORES!$AD$9*CTE),FACTORES!$D67*FACTORES!$AD$9+CDENT+CEE+VIS+ASIS+EDXA20100)</f>
        <v>91671.403481104644</v>
      </c>
      <c r="X76" s="364"/>
      <c r="Y76" s="365"/>
      <c r="Z76" s="365"/>
      <c r="AO76">
        <f t="shared" si="3"/>
        <v>1</v>
      </c>
    </row>
    <row r="77" spans="2:41">
      <c r="J77" s="365"/>
      <c r="K77" s="365"/>
      <c r="L77" s="365"/>
      <c r="M77" s="365"/>
    </row>
    <row r="78" spans="2:41">
      <c r="B78" s="360"/>
      <c r="J78" s="365"/>
      <c r="K78" s="365"/>
      <c r="L78" s="365"/>
      <c r="M78" s="365"/>
    </row>
    <row r="79" spans="2:41" ht="12.75" customHeight="1">
      <c r="B79" s="547" t="s">
        <v>366</v>
      </c>
      <c r="C79" s="547"/>
      <c r="D79" s="547"/>
      <c r="E79" s="547"/>
      <c r="F79" s="547"/>
      <c r="G79" s="547"/>
      <c r="H79" s="547"/>
      <c r="I79" s="547"/>
      <c r="J79" s="547"/>
      <c r="K79" s="547"/>
      <c r="L79" s="547"/>
      <c r="M79" s="365"/>
    </row>
    <row r="80" spans="2:41">
      <c r="B80" s="547"/>
      <c r="C80" s="547"/>
      <c r="D80" s="547"/>
      <c r="E80" s="547"/>
      <c r="F80" s="547"/>
      <c r="G80" s="547"/>
      <c r="H80" s="547"/>
      <c r="I80" s="547"/>
      <c r="J80" s="547"/>
      <c r="K80" s="547"/>
      <c r="L80" s="547"/>
      <c r="M80" s="365"/>
    </row>
    <row r="81" spans="1:13">
      <c r="B81" s="360"/>
      <c r="J81" s="365"/>
      <c r="K81" s="365"/>
      <c r="L81" s="365"/>
      <c r="M81" s="365"/>
    </row>
    <row r="82" spans="1:13">
      <c r="A82" s="357"/>
      <c r="B82" s="101" t="str">
        <f>+IMPRESION!B98</f>
        <v>Tarifa Vig: 01 de Enero 2020</v>
      </c>
      <c r="C82" s="369"/>
      <c r="D82" s="370"/>
      <c r="E82" s="357"/>
      <c r="F82" s="357"/>
      <c r="G82" s="369"/>
      <c r="H82" s="370"/>
      <c r="I82" s="357"/>
      <c r="J82" s="357"/>
      <c r="K82" s="369"/>
      <c r="L82" s="370"/>
      <c r="M82" s="357"/>
    </row>
    <row r="83" spans="1:13">
      <c r="A83" s="357"/>
      <c r="B83" s="357"/>
      <c r="C83" s="369"/>
      <c r="D83" s="370"/>
      <c r="E83" s="357"/>
      <c r="F83" s="357"/>
      <c r="G83" s="369"/>
      <c r="H83" s="370"/>
      <c r="I83" s="357"/>
      <c r="J83" s="357"/>
      <c r="K83" s="369"/>
      <c r="L83" s="370"/>
      <c r="M83" s="357"/>
    </row>
    <row r="84" spans="1:13">
      <c r="A84" s="357"/>
      <c r="B84" s="357"/>
      <c r="C84" s="369"/>
      <c r="D84" s="370"/>
      <c r="E84" s="357"/>
      <c r="F84" s="357"/>
      <c r="G84" s="369"/>
      <c r="H84" s="370"/>
      <c r="I84" s="357"/>
      <c r="J84" s="357"/>
      <c r="K84" s="369"/>
      <c r="L84" s="370"/>
      <c r="M84" s="357"/>
    </row>
    <row r="85" spans="1:13">
      <c r="A85" s="357"/>
      <c r="B85" s="357"/>
      <c r="C85" s="357"/>
      <c r="D85" s="357"/>
      <c r="E85" s="357"/>
      <c r="F85" s="357"/>
      <c r="G85" s="357"/>
      <c r="H85" s="357"/>
      <c r="I85" s="357"/>
      <c r="J85" s="357"/>
      <c r="K85" s="357"/>
      <c r="L85" s="357"/>
      <c r="M85" s="357"/>
    </row>
    <row r="86" spans="1:13">
      <c r="A86" s="357"/>
      <c r="B86" s="357"/>
      <c r="C86" s="357"/>
      <c r="D86" s="357"/>
      <c r="E86" s="357"/>
      <c r="F86" s="357"/>
      <c r="G86" s="357"/>
      <c r="H86" s="357"/>
      <c r="I86" s="357"/>
      <c r="J86" s="357"/>
      <c r="K86" s="357"/>
      <c r="L86" s="357"/>
      <c r="M86" s="357"/>
    </row>
    <row r="87" spans="1:13">
      <c r="A87" s="357"/>
      <c r="B87" s="357"/>
      <c r="C87" s="357"/>
      <c r="D87" s="357"/>
      <c r="E87" s="357"/>
      <c r="F87" s="357"/>
      <c r="G87" s="357"/>
      <c r="H87" s="357"/>
      <c r="I87" s="357"/>
      <c r="J87" s="357"/>
      <c r="K87" s="357"/>
      <c r="L87" s="357"/>
      <c r="M87" s="357"/>
    </row>
    <row r="88" spans="1:13">
      <c r="B88" s="360"/>
    </row>
    <row r="89" spans="1:13">
      <c r="B89" s="360"/>
    </row>
    <row r="90" spans="1:13">
      <c r="B90" s="360"/>
    </row>
    <row r="91" spans="1:13"/>
    <row r="92" spans="1:13"/>
  </sheetData>
  <sheetProtection algorithmName="SHA-512" hashValue="lPa3Xb6TKhpm2EIF3vDVEug+MmRbwDzPlCgI+wHTZp1KO+YqN8niMaeL3efk/5xfw3pF1QTzkPV7crYFEyjpaw==" saltValue="xdk3/71DF0jRkzhBBWOprQ==" spinCount="100000" sheet="1" objects="1" scenarios="1"/>
  <mergeCells count="6">
    <mergeCell ref="C11:E12"/>
    <mergeCell ref="C19:D20"/>
    <mergeCell ref="G19:H20"/>
    <mergeCell ref="K19:L20"/>
    <mergeCell ref="B79:L80"/>
    <mergeCell ref="F11:F12"/>
  </mergeCells>
  <pageMargins left="0.7" right="0.7" top="0.75" bottom="0.75" header="0.3" footer="0.3"/>
  <pageSetup scale="6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7"/>
    <pageSetUpPr fitToPage="1"/>
  </sheetPr>
  <dimension ref="A1:N333"/>
  <sheetViews>
    <sheetView windowProtection="1" showGridLines="0" showRowColHeaders="0" topLeftCell="A84" zoomScaleNormal="100" workbookViewId="0">
      <selection activeCell="F98" sqref="F98:K99"/>
    </sheetView>
  </sheetViews>
  <sheetFormatPr baseColWidth="10" defaultColWidth="0" defaultRowHeight="10.5" zeroHeight="1"/>
  <cols>
    <col min="1" max="1" width="3.42578125" style="13" customWidth="1"/>
    <col min="2" max="2" width="3" style="14" customWidth="1"/>
    <col min="3" max="3" width="2.85546875" style="13" customWidth="1"/>
    <col min="4" max="4" width="24.28515625" style="13" customWidth="1"/>
    <col min="5" max="5" width="14.5703125" style="13" customWidth="1"/>
    <col min="6" max="6" width="19.28515625" style="13" customWidth="1"/>
    <col min="7" max="7" width="13.7109375" style="13" customWidth="1"/>
    <col min="8" max="8" width="18.85546875" style="13" customWidth="1"/>
    <col min="9" max="9" width="15.42578125" style="13" customWidth="1"/>
    <col min="10" max="10" width="12.28515625" style="13" customWidth="1"/>
    <col min="11" max="11" width="17.42578125" style="13" customWidth="1"/>
    <col min="12" max="12" width="13.5703125" style="13" bestFit="1" customWidth="1"/>
    <col min="13" max="16384" width="0" style="13" hidden="1"/>
  </cols>
  <sheetData>
    <row r="1" spans="1:11" s="21" customFormat="1" ht="9" customHeight="1">
      <c r="B1" s="83"/>
      <c r="C1" s="83"/>
      <c r="D1" s="83"/>
      <c r="E1" s="83"/>
      <c r="F1" s="83"/>
      <c r="G1" s="83"/>
      <c r="H1" s="83"/>
      <c r="I1" s="83"/>
      <c r="J1" s="83"/>
      <c r="K1" s="84"/>
    </row>
    <row r="2" spans="1:11" s="21" customFormat="1" ht="9">
      <c r="B2" s="83"/>
      <c r="C2" s="83"/>
      <c r="D2" s="83"/>
      <c r="E2" s="83"/>
      <c r="F2" s="83"/>
      <c r="G2" s="83"/>
      <c r="H2" s="83"/>
      <c r="I2" s="83"/>
      <c r="J2" s="83"/>
      <c r="K2" s="83"/>
    </row>
    <row r="3" spans="1:11" s="21" customFormat="1" ht="9">
      <c r="B3" s="83"/>
      <c r="C3" s="83"/>
      <c r="D3" s="83"/>
      <c r="E3" s="83"/>
      <c r="F3" s="83"/>
      <c r="G3" s="83"/>
      <c r="H3" s="83"/>
      <c r="I3" s="83"/>
      <c r="J3" s="83"/>
      <c r="K3" s="83"/>
    </row>
    <row r="4" spans="1:11" s="21" customFormat="1" ht="9">
      <c r="B4" s="83"/>
      <c r="C4" s="83"/>
      <c r="D4" s="83"/>
      <c r="E4" s="83"/>
      <c r="F4" s="83"/>
      <c r="G4" s="83"/>
      <c r="H4" s="83"/>
      <c r="I4" s="83"/>
      <c r="J4" s="83"/>
      <c r="K4" s="83"/>
    </row>
    <row r="5" spans="1:11" s="24" customFormat="1" ht="15.75" customHeight="1">
      <c r="B5" s="22"/>
      <c r="C5" s="22"/>
      <c r="D5" s="22"/>
      <c r="E5" s="22"/>
      <c r="F5" s="22"/>
      <c r="G5" s="22"/>
      <c r="H5" s="22"/>
      <c r="I5" s="22"/>
      <c r="J5" s="22"/>
      <c r="K5" s="22"/>
    </row>
    <row r="6" spans="1:11" s="21" customFormat="1" ht="11.25">
      <c r="B6" s="83"/>
      <c r="C6" s="85"/>
      <c r="D6" s="85"/>
      <c r="E6" s="85"/>
      <c r="F6" s="86"/>
      <c r="G6" s="86"/>
      <c r="H6" s="83"/>
      <c r="I6" s="83"/>
      <c r="J6" s="83"/>
      <c r="K6" s="99">
        <f ca="1">TODAY()</f>
        <v>43844</v>
      </c>
    </row>
    <row r="7" spans="1:11" s="21" customFormat="1" ht="15">
      <c r="B7" s="92" t="str">
        <f>"Apreciable  "&amp;COTIZACION!C28</f>
        <v xml:space="preserve">Apreciable  </v>
      </c>
      <c r="C7" s="12"/>
      <c r="D7" s="85"/>
      <c r="E7" s="85"/>
      <c r="F7" s="86"/>
      <c r="G7" s="86"/>
      <c r="H7" s="83"/>
      <c r="I7" s="83"/>
      <c r="J7" s="83"/>
      <c r="K7" s="19"/>
    </row>
    <row r="8" spans="1:11" s="21" customFormat="1" ht="3" customHeight="1">
      <c r="B8" s="12"/>
      <c r="C8" s="12"/>
      <c r="D8" s="85"/>
      <c r="E8" s="85"/>
      <c r="F8" s="86"/>
      <c r="G8" s="86"/>
      <c r="H8" s="83"/>
      <c r="I8" s="83"/>
      <c r="J8" s="83"/>
      <c r="K8" s="19"/>
    </row>
    <row r="9" spans="1:11" s="21" customFormat="1" ht="10.5" customHeight="1">
      <c r="B9" s="550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550"/>
      <c r="D9" s="550"/>
      <c r="E9" s="550"/>
      <c r="F9" s="550"/>
      <c r="G9" s="550"/>
      <c r="H9" s="550"/>
      <c r="I9" s="550"/>
      <c r="J9" s="550"/>
      <c r="K9" s="550"/>
    </row>
    <row r="10" spans="1:11" s="21" customFormat="1" ht="4.5" customHeight="1">
      <c r="B10" s="550"/>
      <c r="C10" s="550"/>
      <c r="D10" s="550"/>
      <c r="E10" s="550"/>
      <c r="F10" s="550"/>
      <c r="G10" s="550"/>
      <c r="H10" s="550"/>
      <c r="I10" s="550"/>
      <c r="J10" s="550"/>
      <c r="K10" s="550"/>
    </row>
    <row r="11" spans="1:11" s="21" customFormat="1" ht="9">
      <c r="B11" s="446"/>
      <c r="C11" s="447"/>
      <c r="D11" s="447"/>
      <c r="E11" s="448"/>
      <c r="F11" s="448"/>
      <c r="G11" s="448"/>
      <c r="H11" s="446"/>
      <c r="I11" s="446"/>
      <c r="J11" s="446"/>
      <c r="K11" s="446"/>
    </row>
    <row r="12" spans="1:11" s="21" customFormat="1" ht="15.75" customHeight="1">
      <c r="A12" s="13"/>
      <c r="B12" s="376"/>
      <c r="C12" s="536" t="s">
        <v>15</v>
      </c>
      <c r="D12" s="536"/>
      <c r="E12" s="536"/>
      <c r="F12" s="536"/>
      <c r="G12" s="536"/>
      <c r="H12" s="536"/>
      <c r="I12" s="536"/>
      <c r="J12" s="536"/>
      <c r="K12" s="536"/>
    </row>
    <row r="13" spans="1:11" ht="12.75" customHeight="1">
      <c r="A13" s="21"/>
      <c r="B13" s="449"/>
      <c r="C13" s="450" t="s">
        <v>16</v>
      </c>
      <c r="D13" s="451" t="s">
        <v>17</v>
      </c>
      <c r="E13" s="452"/>
      <c r="F13" s="452"/>
      <c r="G13" s="452"/>
      <c r="H13" s="453"/>
      <c r="I13" s="454">
        <f>COTIZACION!D10</f>
        <v>100000000</v>
      </c>
      <c r="J13" s="453" t="str">
        <f>IF(I13&lt;&gt;"SIN LÍMITE","M.N.","")</f>
        <v>M.N.</v>
      </c>
      <c r="K13" s="453"/>
    </row>
    <row r="14" spans="1:11" ht="12.75" customHeight="1">
      <c r="A14" s="21"/>
      <c r="B14" s="449"/>
      <c r="C14" s="450" t="s">
        <v>16</v>
      </c>
      <c r="D14" s="455" t="s">
        <v>261</v>
      </c>
      <c r="E14" s="452"/>
      <c r="F14" s="452"/>
      <c r="G14" s="452"/>
      <c r="H14" s="453"/>
      <c r="I14" s="454" t="str">
        <f>COTIZACION!D11</f>
        <v>POR PADECIMIENTO</v>
      </c>
      <c r="J14" s="453"/>
      <c r="K14" s="453"/>
    </row>
    <row r="15" spans="1:11" ht="12.75" customHeight="1">
      <c r="A15" s="21"/>
      <c r="B15" s="449"/>
      <c r="C15" s="450" t="s">
        <v>16</v>
      </c>
      <c r="D15" s="451" t="s">
        <v>70</v>
      </c>
      <c r="E15" s="452"/>
      <c r="F15" s="452"/>
      <c r="G15" s="456"/>
      <c r="H15" s="453"/>
      <c r="I15" s="454">
        <f>COTIZACION!D12</f>
        <v>12000</v>
      </c>
      <c r="J15" s="453" t="s">
        <v>18</v>
      </c>
      <c r="K15" s="453"/>
    </row>
    <row r="16" spans="1:11" s="21" customFormat="1" ht="12.75">
      <c r="B16" s="449"/>
      <c r="C16" s="450" t="s">
        <v>16</v>
      </c>
      <c r="D16" s="455" t="s">
        <v>180</v>
      </c>
      <c r="E16" s="452"/>
      <c r="F16" s="452"/>
      <c r="G16" s="456"/>
      <c r="H16" s="453"/>
      <c r="I16" s="457" t="str">
        <f>COTIZACION!D13</f>
        <v>10% CON TOPE DE $35,000</v>
      </c>
      <c r="J16" s="453"/>
      <c r="K16" s="453"/>
    </row>
    <row r="17" spans="2:11" s="21" customFormat="1" ht="12.75">
      <c r="B17" s="449"/>
      <c r="C17" s="450" t="s">
        <v>16</v>
      </c>
      <c r="D17" s="451" t="s">
        <v>50</v>
      </c>
      <c r="E17" s="452"/>
      <c r="F17" s="452"/>
      <c r="G17" s="452"/>
      <c r="H17" s="453"/>
      <c r="I17" s="458" t="str">
        <f>+COTIZACION!D8</f>
        <v>T+</v>
      </c>
      <c r="J17" s="376"/>
      <c r="K17" s="453"/>
    </row>
    <row r="18" spans="2:11" s="21" customFormat="1" ht="10.5" customHeight="1">
      <c r="B18" s="449"/>
      <c r="C18" s="450" t="s">
        <v>16</v>
      </c>
      <c r="D18" s="459" t="s">
        <v>51</v>
      </c>
      <c r="E18" s="460"/>
      <c r="F18" s="460"/>
      <c r="G18" s="456"/>
      <c r="H18" s="453"/>
      <c r="I18" s="461">
        <f>COTIZACION!D22</f>
        <v>0</v>
      </c>
      <c r="J18" s="453"/>
      <c r="K18" s="462"/>
    </row>
    <row r="19" spans="2:11" s="21" customFormat="1" ht="13.5" customHeight="1">
      <c r="B19" s="449"/>
      <c r="C19" s="450" t="s">
        <v>16</v>
      </c>
      <c r="D19" s="463" t="s">
        <v>225</v>
      </c>
      <c r="E19" s="464"/>
      <c r="F19" s="465"/>
      <c r="G19" s="451"/>
      <c r="H19" s="453"/>
      <c r="I19" s="466">
        <f>IF(COTIZACION!D22=0,VLOOKUP(VLOOKUP(COTIZACION!D14,FACTORES!$N$2:$O$34,2,0),FACTORES!$X$22:$Z$32,3,0),(VLOOKUP(VLOOKUP(COTIZACION!D14,FACTORES!$N$2:$O$34,2,0),FACTORES!$X$22:$Z$32,3,0)*(1+COTIZACION!D22)))</f>
        <v>55499.97128167122</v>
      </c>
      <c r="J19" s="453"/>
      <c r="K19" s="453"/>
    </row>
    <row r="20" spans="2:11" s="21" customFormat="1" ht="13.5" customHeight="1">
      <c r="B20" s="449"/>
      <c r="C20" s="450" t="s">
        <v>16</v>
      </c>
      <c r="D20" s="459" t="s">
        <v>21</v>
      </c>
      <c r="E20" s="467"/>
      <c r="F20" s="467"/>
      <c r="G20" s="451"/>
      <c r="H20" s="453"/>
      <c r="I20" s="455" t="s">
        <v>45</v>
      </c>
      <c r="J20" s="462"/>
      <c r="K20" s="462"/>
    </row>
    <row r="21" spans="2:11" s="21" customFormat="1" ht="13.5" customHeight="1">
      <c r="B21" s="449"/>
      <c r="C21" s="450" t="s">
        <v>16</v>
      </c>
      <c r="D21" s="459" t="s">
        <v>22</v>
      </c>
      <c r="E21" s="453"/>
      <c r="F21" s="451"/>
      <c r="G21" s="451"/>
      <c r="H21" s="453"/>
      <c r="I21" s="455" t="s">
        <v>45</v>
      </c>
      <c r="J21" s="462"/>
      <c r="K21" s="462"/>
    </row>
    <row r="22" spans="2:11" s="21" customFormat="1" ht="13.5" customHeight="1">
      <c r="B22" s="449"/>
      <c r="C22" s="450" t="s">
        <v>16</v>
      </c>
      <c r="D22" s="463" t="s">
        <v>265</v>
      </c>
      <c r="E22" s="453"/>
      <c r="F22" s="451"/>
      <c r="G22" s="451"/>
      <c r="H22" s="453"/>
      <c r="I22" s="455" t="s">
        <v>45</v>
      </c>
      <c r="J22" s="462"/>
      <c r="K22" s="462"/>
    </row>
    <row r="23" spans="2:11" s="21" customFormat="1" ht="13.5" customHeight="1">
      <c r="B23" s="449"/>
      <c r="C23" s="450" t="s">
        <v>16</v>
      </c>
      <c r="D23" s="459" t="s">
        <v>23</v>
      </c>
      <c r="E23" s="453"/>
      <c r="F23" s="451"/>
      <c r="G23" s="451"/>
      <c r="H23" s="453"/>
      <c r="I23" s="455" t="s">
        <v>24</v>
      </c>
      <c r="J23" s="462"/>
      <c r="K23" s="462"/>
    </row>
    <row r="24" spans="2:11" s="21" customFormat="1" ht="13.5" customHeight="1">
      <c r="B24" s="449"/>
      <c r="C24" s="450" t="s">
        <v>16</v>
      </c>
      <c r="D24" s="459" t="s">
        <v>54</v>
      </c>
      <c r="E24" s="453"/>
      <c r="F24" s="451"/>
      <c r="G24" s="451"/>
      <c r="H24" s="453"/>
      <c r="I24" s="451"/>
      <c r="J24" s="462"/>
      <c r="K24" s="462"/>
    </row>
    <row r="25" spans="2:11" s="21" customFormat="1" ht="13.5" customHeight="1">
      <c r="B25" s="449"/>
      <c r="C25" s="450"/>
      <c r="D25" s="459" t="s">
        <v>55</v>
      </c>
      <c r="E25" s="453"/>
      <c r="F25" s="451"/>
      <c r="G25" s="451"/>
      <c r="H25" s="453"/>
      <c r="I25" s="468" t="s">
        <v>30</v>
      </c>
      <c r="J25" s="462"/>
      <c r="K25" s="462"/>
    </row>
    <row r="26" spans="2:11" s="21" customFormat="1" ht="13.5" customHeight="1">
      <c r="B26" s="449"/>
      <c r="C26" s="450" t="s">
        <v>16</v>
      </c>
      <c r="D26" s="459" t="s">
        <v>56</v>
      </c>
      <c r="E26" s="453"/>
      <c r="F26" s="451"/>
      <c r="G26" s="451"/>
      <c r="H26" s="453"/>
      <c r="I26" s="468" t="s">
        <v>30</v>
      </c>
      <c r="J26" s="462"/>
      <c r="K26" s="462"/>
    </row>
    <row r="27" spans="2:11" s="21" customFormat="1" ht="13.5" customHeight="1">
      <c r="B27" s="449"/>
      <c r="C27" s="450" t="s">
        <v>16</v>
      </c>
      <c r="D27" s="459" t="s">
        <v>26</v>
      </c>
      <c r="E27" s="453"/>
      <c r="F27" s="451"/>
      <c r="G27" s="451"/>
      <c r="H27" s="453"/>
      <c r="I27" s="455" t="s">
        <v>27</v>
      </c>
      <c r="J27" s="453"/>
      <c r="K27" s="462"/>
    </row>
    <row r="28" spans="2:11" s="21" customFormat="1" ht="13.5" customHeight="1">
      <c r="B28" s="449"/>
      <c r="C28" s="450" t="s">
        <v>16</v>
      </c>
      <c r="D28" s="459" t="s">
        <v>25</v>
      </c>
      <c r="E28" s="453"/>
      <c r="F28" s="451"/>
      <c r="G28" s="451"/>
      <c r="H28" s="453"/>
      <c r="I28" s="455" t="s">
        <v>27</v>
      </c>
      <c r="J28" s="462"/>
      <c r="K28" s="462"/>
    </row>
    <row r="29" spans="2:11" s="21" customFormat="1" ht="13.5" customHeight="1">
      <c r="B29" s="449"/>
      <c r="C29" s="450" t="s">
        <v>16</v>
      </c>
      <c r="D29" s="463" t="s">
        <v>266</v>
      </c>
      <c r="E29" s="453"/>
      <c r="F29" s="451"/>
      <c r="G29" s="451"/>
      <c r="H29" s="453"/>
      <c r="I29" s="469">
        <v>100000</v>
      </c>
      <c r="J29" s="470" t="s">
        <v>18</v>
      </c>
      <c r="K29" s="462"/>
    </row>
    <row r="30" spans="2:11" s="21" customFormat="1" ht="13.5" customHeight="1">
      <c r="B30" s="449"/>
      <c r="C30" s="450" t="s">
        <v>16</v>
      </c>
      <c r="D30" s="471" t="s">
        <v>267</v>
      </c>
      <c r="E30" s="453"/>
      <c r="F30" s="451"/>
      <c r="G30" s="451"/>
      <c r="H30" s="453"/>
      <c r="I30" s="472">
        <f>IF(I12&lt;0,"Excluido",300)</f>
        <v>300</v>
      </c>
      <c r="J30" s="470" t="s">
        <v>18</v>
      </c>
      <c r="K30" s="462"/>
    </row>
    <row r="31" spans="2:11" s="21" customFormat="1" ht="13.5" customHeight="1">
      <c r="B31" s="449"/>
      <c r="C31" s="450" t="s">
        <v>16</v>
      </c>
      <c r="D31" s="459" t="s">
        <v>63</v>
      </c>
      <c r="E31" s="453"/>
      <c r="F31" s="453"/>
      <c r="G31" s="453"/>
      <c r="H31" s="453"/>
      <c r="I31" s="467"/>
      <c r="J31" s="453"/>
      <c r="K31" s="462"/>
    </row>
    <row r="32" spans="2:11" s="21" customFormat="1" ht="13.5" customHeight="1">
      <c r="B32" s="449"/>
      <c r="C32" s="450"/>
      <c r="D32" s="459" t="s">
        <v>64</v>
      </c>
      <c r="E32" s="453"/>
      <c r="F32" s="453"/>
      <c r="G32" s="453"/>
      <c r="H32" s="453"/>
      <c r="I32" s="454" t="str">
        <f>IF(COTIZACION!D12&gt;45000,"$20,000",IF(COTIZACION!$D$17="NO","$20,000",COTIZACION!$D$17))</f>
        <v>$20,000</v>
      </c>
      <c r="J32" s="453" t="str">
        <f>IF(I32="Excluido","","M.N.")</f>
        <v>M.N.</v>
      </c>
      <c r="K32" s="462"/>
    </row>
    <row r="33" spans="2:11" s="21" customFormat="1" ht="13.5" customHeight="1">
      <c r="B33" s="449"/>
      <c r="C33" s="450" t="s">
        <v>16</v>
      </c>
      <c r="D33" s="459" t="s">
        <v>66</v>
      </c>
      <c r="E33" s="453"/>
      <c r="F33" s="451"/>
      <c r="G33" s="451"/>
      <c r="H33" s="453"/>
      <c r="I33" s="451"/>
      <c r="J33" s="453"/>
      <c r="K33" s="462"/>
    </row>
    <row r="34" spans="2:11" s="21" customFormat="1" ht="13.5" customHeight="1">
      <c r="B34" s="449"/>
      <c r="C34" s="450"/>
      <c r="D34" s="459" t="s">
        <v>65</v>
      </c>
      <c r="E34" s="453"/>
      <c r="F34" s="453"/>
      <c r="G34" s="453"/>
      <c r="H34" s="453"/>
      <c r="I34" s="455" t="s">
        <v>30</v>
      </c>
      <c r="J34" s="453"/>
      <c r="K34" s="453"/>
    </row>
    <row r="35" spans="2:11" s="21" customFormat="1" ht="13.5" customHeight="1">
      <c r="B35" s="449"/>
      <c r="C35" s="450" t="s">
        <v>16</v>
      </c>
      <c r="D35" s="459" t="s">
        <v>59</v>
      </c>
      <c r="E35" s="453"/>
      <c r="F35" s="451"/>
      <c r="G35" s="451"/>
      <c r="H35" s="453"/>
      <c r="I35" s="455"/>
      <c r="J35" s="453"/>
      <c r="K35" s="453"/>
    </row>
    <row r="36" spans="2:11" s="21" customFormat="1" ht="13.5" customHeight="1">
      <c r="B36" s="449"/>
      <c r="C36" s="450"/>
      <c r="D36" s="459" t="s">
        <v>28</v>
      </c>
      <c r="E36" s="453"/>
      <c r="F36" s="451"/>
      <c r="G36" s="451"/>
      <c r="H36" s="453"/>
      <c r="I36" s="469" t="s">
        <v>226</v>
      </c>
      <c r="J36" s="453"/>
      <c r="K36" s="453"/>
    </row>
    <row r="37" spans="2:11" s="21" customFormat="1" ht="13.5" customHeight="1">
      <c r="B37" s="449"/>
      <c r="C37" s="450" t="s">
        <v>16</v>
      </c>
      <c r="D37" s="463" t="s">
        <v>268</v>
      </c>
      <c r="E37" s="453"/>
      <c r="F37" s="451"/>
      <c r="G37" s="451"/>
      <c r="H37" s="453"/>
      <c r="I37" s="376"/>
      <c r="J37" s="453"/>
      <c r="K37" s="453"/>
    </row>
    <row r="38" spans="2:11" s="21" customFormat="1" ht="13.5" customHeight="1">
      <c r="B38" s="449"/>
      <c r="C38" s="450"/>
      <c r="D38" s="456" t="s">
        <v>67</v>
      </c>
      <c r="E38" s="453"/>
      <c r="F38" s="451"/>
      <c r="G38" s="451"/>
      <c r="H38" s="453"/>
      <c r="I38" s="455" t="s">
        <v>227</v>
      </c>
      <c r="J38" s="453"/>
      <c r="K38" s="453"/>
    </row>
    <row r="39" spans="2:11" s="21" customFormat="1" ht="13.5" customHeight="1">
      <c r="B39" s="449"/>
      <c r="C39" s="450" t="s">
        <v>16</v>
      </c>
      <c r="D39" s="463" t="s">
        <v>269</v>
      </c>
      <c r="E39" s="453"/>
      <c r="F39" s="451"/>
      <c r="G39" s="451"/>
      <c r="H39" s="453"/>
      <c r="I39" s="451" t="s">
        <v>27</v>
      </c>
      <c r="J39" s="453"/>
      <c r="K39" s="453"/>
    </row>
    <row r="40" spans="2:11" s="21" customFormat="1" ht="13.5" customHeight="1">
      <c r="B40" s="449"/>
      <c r="C40" s="450" t="s">
        <v>16</v>
      </c>
      <c r="D40" s="473" t="s">
        <v>174</v>
      </c>
      <c r="E40" s="453"/>
      <c r="F40" s="451"/>
      <c r="G40" s="451"/>
      <c r="H40" s="453"/>
      <c r="I40" s="451"/>
      <c r="J40" s="453"/>
      <c r="K40" s="453"/>
    </row>
    <row r="41" spans="2:11" s="21" customFormat="1" ht="13.5" customHeight="1">
      <c r="B41" s="449"/>
      <c r="C41" s="450"/>
      <c r="D41" s="473" t="s">
        <v>175</v>
      </c>
      <c r="E41" s="453"/>
      <c r="F41" s="451"/>
      <c r="G41" s="451"/>
      <c r="H41" s="453"/>
      <c r="I41" s="451"/>
      <c r="J41" s="453"/>
      <c r="K41" s="453"/>
    </row>
    <row r="42" spans="2:11" s="21" customFormat="1" ht="13.5" customHeight="1">
      <c r="B42" s="449"/>
      <c r="C42" s="450"/>
      <c r="D42" s="473" t="s">
        <v>176</v>
      </c>
      <c r="E42" s="453"/>
      <c r="F42" s="451"/>
      <c r="G42" s="451"/>
      <c r="H42" s="453"/>
      <c r="I42" s="451"/>
      <c r="J42" s="453"/>
      <c r="K42" s="453"/>
    </row>
    <row r="43" spans="2:11" s="21" customFormat="1" ht="13.5" customHeight="1">
      <c r="B43" s="449"/>
      <c r="C43" s="450"/>
      <c r="D43" s="474" t="s">
        <v>177</v>
      </c>
      <c r="E43" s="453"/>
      <c r="F43" s="451"/>
      <c r="G43" s="451"/>
      <c r="H43" s="453"/>
      <c r="I43" s="455" t="s">
        <v>30</v>
      </c>
      <c r="J43" s="453"/>
      <c r="K43" s="453"/>
    </row>
    <row r="44" spans="2:11" s="21" customFormat="1" ht="13.5" customHeight="1">
      <c r="B44" s="449"/>
      <c r="C44" s="450" t="s">
        <v>16</v>
      </c>
      <c r="D44" s="471" t="s">
        <v>270</v>
      </c>
      <c r="E44" s="453"/>
      <c r="F44" s="451"/>
      <c r="G44" s="451"/>
      <c r="H44" s="453"/>
      <c r="I44" s="469">
        <v>10000</v>
      </c>
      <c r="J44" s="470" t="s">
        <v>18</v>
      </c>
      <c r="K44" s="453"/>
    </row>
    <row r="45" spans="2:11" s="21" customFormat="1" ht="13.5" customHeight="1">
      <c r="B45" s="449"/>
      <c r="C45" s="450" t="s">
        <v>16</v>
      </c>
      <c r="D45" s="463" t="s">
        <v>116</v>
      </c>
      <c r="E45" s="453"/>
      <c r="F45" s="451"/>
      <c r="G45" s="451"/>
      <c r="H45" s="453"/>
      <c r="I45" s="451"/>
      <c r="J45" s="453"/>
      <c r="K45" s="462"/>
    </row>
    <row r="46" spans="2:11" s="21" customFormat="1" ht="13.5" customHeight="1">
      <c r="B46" s="449"/>
      <c r="C46" s="450"/>
      <c r="D46" s="459" t="s">
        <v>29</v>
      </c>
      <c r="E46" s="453"/>
      <c r="F46" s="451"/>
      <c r="G46" s="451"/>
      <c r="H46" s="453"/>
      <c r="I46" s="451" t="s">
        <v>30</v>
      </c>
      <c r="J46" s="453"/>
      <c r="K46" s="453"/>
    </row>
    <row r="47" spans="2:11" s="21" customFormat="1" ht="13.5" customHeight="1">
      <c r="B47" s="449"/>
      <c r="C47" s="450" t="s">
        <v>16</v>
      </c>
      <c r="D47" s="459" t="s">
        <v>60</v>
      </c>
      <c r="E47" s="453"/>
      <c r="F47" s="451"/>
      <c r="G47" s="451"/>
      <c r="H47" s="453"/>
      <c r="I47" s="451" t="s">
        <v>30</v>
      </c>
      <c r="J47" s="453"/>
      <c r="K47" s="453"/>
    </row>
    <row r="48" spans="2:11" s="21" customFormat="1" ht="13.5" customHeight="1">
      <c r="B48" s="449"/>
      <c r="C48" s="450" t="s">
        <v>16</v>
      </c>
      <c r="D48" s="475" t="s">
        <v>271</v>
      </c>
      <c r="E48" s="453"/>
      <c r="F48" s="451"/>
      <c r="G48" s="451"/>
      <c r="H48" s="453"/>
      <c r="I48" s="451"/>
      <c r="J48" s="453"/>
      <c r="K48" s="453"/>
    </row>
    <row r="49" spans="2:11" s="21" customFormat="1" ht="13.5" customHeight="1">
      <c r="B49" s="449"/>
      <c r="C49" s="450"/>
      <c r="D49" s="475" t="s">
        <v>272</v>
      </c>
      <c r="E49" s="453"/>
      <c r="F49" s="451"/>
      <c r="G49" s="451"/>
      <c r="H49" s="453"/>
      <c r="I49" s="451" t="s">
        <v>30</v>
      </c>
      <c r="J49" s="453"/>
      <c r="K49" s="453"/>
    </row>
    <row r="50" spans="2:11" s="21" customFormat="1" ht="13.5" customHeight="1">
      <c r="B50" s="449"/>
      <c r="C50" s="450" t="s">
        <v>16</v>
      </c>
      <c r="D50" s="459" t="s">
        <v>46</v>
      </c>
      <c r="E50" s="453"/>
      <c r="F50" s="453"/>
      <c r="G50" s="453"/>
      <c r="H50" s="453"/>
      <c r="I50" s="451" t="s">
        <v>30</v>
      </c>
      <c r="J50" s="453"/>
      <c r="K50" s="453"/>
    </row>
    <row r="51" spans="2:11" s="21" customFormat="1" ht="13.5" customHeight="1">
      <c r="B51" s="449"/>
      <c r="C51" s="476" t="s">
        <v>16</v>
      </c>
      <c r="D51" s="463" t="s">
        <v>273</v>
      </c>
      <c r="E51" s="463"/>
      <c r="F51" s="470"/>
      <c r="G51" s="470"/>
      <c r="H51" s="455"/>
      <c r="I51" s="451" t="s">
        <v>30</v>
      </c>
      <c r="J51" s="455"/>
      <c r="K51" s="477"/>
    </row>
    <row r="52" spans="2:11" s="21" customFormat="1" ht="13.5" customHeight="1">
      <c r="B52" s="449"/>
      <c r="C52" s="476" t="s">
        <v>16</v>
      </c>
      <c r="D52" s="471" t="s">
        <v>274</v>
      </c>
      <c r="E52" s="471"/>
      <c r="F52" s="478"/>
      <c r="G52" s="478"/>
      <c r="H52" s="479"/>
      <c r="I52" s="469">
        <v>12000</v>
      </c>
      <c r="J52" s="470" t="s">
        <v>18</v>
      </c>
      <c r="K52" s="478"/>
    </row>
    <row r="53" spans="2:11" s="21" customFormat="1" ht="13.5" customHeight="1">
      <c r="B53" s="449"/>
      <c r="C53" s="476" t="s">
        <v>16</v>
      </c>
      <c r="D53" s="471" t="s">
        <v>275</v>
      </c>
      <c r="E53" s="471"/>
      <c r="F53" s="478"/>
      <c r="G53" s="479"/>
      <c r="H53" s="479"/>
      <c r="I53" s="469">
        <v>3000</v>
      </c>
      <c r="J53" s="470" t="s">
        <v>18</v>
      </c>
      <c r="K53" s="478"/>
    </row>
    <row r="54" spans="2:11" s="21" customFormat="1" ht="13.5" customHeight="1">
      <c r="B54" s="449"/>
      <c r="C54" s="480" t="s">
        <v>16</v>
      </c>
      <c r="D54" s="459" t="s">
        <v>307</v>
      </c>
      <c r="E54" s="453"/>
      <c r="F54" s="451"/>
      <c r="G54" s="451"/>
      <c r="H54" s="453"/>
      <c r="I54" s="451" t="s">
        <v>30</v>
      </c>
      <c r="J54" s="453"/>
      <c r="K54" s="453"/>
    </row>
    <row r="55" spans="2:11" s="21" customFormat="1" ht="13.5" customHeight="1">
      <c r="B55" s="449"/>
      <c r="C55" s="450" t="s">
        <v>16</v>
      </c>
      <c r="D55" s="481" t="s">
        <v>234</v>
      </c>
      <c r="E55" s="453"/>
      <c r="F55" s="451"/>
      <c r="G55" s="451"/>
      <c r="H55" s="453"/>
      <c r="I55" s="451" t="s">
        <v>30</v>
      </c>
      <c r="J55" s="453"/>
      <c r="K55" s="453"/>
    </row>
    <row r="56" spans="2:11" s="21" customFormat="1" ht="13.5" customHeight="1">
      <c r="B56" s="449"/>
      <c r="C56" s="480" t="s">
        <v>16</v>
      </c>
      <c r="D56" s="471" t="s">
        <v>354</v>
      </c>
      <c r="E56" s="482"/>
      <c r="F56" s="482"/>
      <c r="G56" s="483"/>
      <c r="H56" s="484"/>
      <c r="I56" s="479" t="s">
        <v>30</v>
      </c>
      <c r="J56" s="453"/>
      <c r="K56" s="453"/>
    </row>
    <row r="57" spans="2:11" s="21" customFormat="1" ht="13.5" customHeight="1">
      <c r="B57" s="449"/>
      <c r="C57" s="450" t="s">
        <v>16</v>
      </c>
      <c r="D57" s="481" t="s">
        <v>355</v>
      </c>
      <c r="E57" s="453"/>
      <c r="F57" s="451"/>
      <c r="G57" s="451"/>
      <c r="H57" s="453"/>
      <c r="I57" s="451" t="s">
        <v>30</v>
      </c>
      <c r="J57" s="453"/>
      <c r="K57" s="453"/>
    </row>
    <row r="58" spans="2:11" s="21" customFormat="1" ht="13.5" customHeight="1">
      <c r="B58" s="449"/>
      <c r="C58" s="481"/>
      <c r="D58" s="459"/>
      <c r="E58" s="453"/>
      <c r="F58" s="451"/>
      <c r="G58" s="451"/>
      <c r="H58" s="453"/>
      <c r="I58" s="451"/>
      <c r="J58" s="453"/>
      <c r="K58" s="453"/>
    </row>
    <row r="59" spans="2:11" s="21" customFormat="1" ht="18" customHeight="1">
      <c r="B59" s="449"/>
      <c r="C59" s="481"/>
      <c r="D59" s="459"/>
      <c r="E59" s="453"/>
      <c r="F59" s="451"/>
      <c r="G59" s="451"/>
      <c r="H59" s="453"/>
      <c r="I59" s="451"/>
      <c r="J59" s="453"/>
      <c r="K59" s="453"/>
    </row>
    <row r="60" spans="2:11" s="21" customFormat="1" ht="13.5" customHeight="1">
      <c r="B60" s="376"/>
      <c r="C60" s="564" t="s">
        <v>192</v>
      </c>
      <c r="D60" s="564"/>
      <c r="E60" s="564"/>
      <c r="F60" s="564"/>
      <c r="G60" s="564"/>
      <c r="H60" s="564"/>
      <c r="I60" s="564"/>
      <c r="J60" s="564"/>
      <c r="K60" s="564"/>
    </row>
    <row r="61" spans="2:11" s="21" customFormat="1" ht="13.5" customHeight="1">
      <c r="B61" s="485"/>
      <c r="C61" s="471" t="s">
        <v>263</v>
      </c>
      <c r="D61" s="486"/>
      <c r="E61" s="482"/>
      <c r="F61" s="482"/>
      <c r="G61" s="483"/>
      <c r="H61" s="487"/>
      <c r="I61" s="483" t="str">
        <f>IF(FACTORES!AN3&lt;&gt;0,"Incluido","Excluido")</f>
        <v>Excluido</v>
      </c>
      <c r="J61" s="488"/>
      <c r="K61" s="489"/>
    </row>
    <row r="62" spans="2:11" s="21" customFormat="1" ht="13.5" customHeight="1">
      <c r="B62" s="490"/>
      <c r="C62" s="471" t="s">
        <v>244</v>
      </c>
      <c r="D62" s="486"/>
      <c r="E62" s="482"/>
      <c r="F62" s="482"/>
      <c r="G62" s="483"/>
      <c r="H62" s="487"/>
      <c r="I62" s="491" t="str">
        <f>IF(OR(COTIZACION!D19="NO",SUM(COTIZACION!A28:A35)&lt;=0),"Excluido",COTIZACION!D19)</f>
        <v>Excluido</v>
      </c>
      <c r="J62" s="475" t="str">
        <f>IF(I62="EXCLUIDO","","M.N.")</f>
        <v/>
      </c>
      <c r="K62" s="489"/>
    </row>
    <row r="63" spans="2:11" s="21" customFormat="1" ht="13.5" customHeight="1">
      <c r="B63" s="490"/>
      <c r="C63" s="463" t="s">
        <v>243</v>
      </c>
      <c r="D63" s="459"/>
      <c r="E63" s="453"/>
      <c r="F63" s="453"/>
      <c r="G63" s="451"/>
      <c r="H63" s="492"/>
      <c r="I63" s="493" t="str">
        <f>IF(COTIZACION!D18="SI","Incluido","Excluido")</f>
        <v>Excluido</v>
      </c>
      <c r="J63" s="494"/>
      <c r="K63" s="489"/>
    </row>
    <row r="64" spans="2:11" s="21" customFormat="1" ht="3" customHeight="1">
      <c r="B64" s="490"/>
      <c r="C64" s="489"/>
      <c r="D64" s="486"/>
      <c r="E64" s="482"/>
      <c r="F64" s="482"/>
      <c r="G64" s="483"/>
      <c r="H64" s="487"/>
      <c r="I64" s="491"/>
      <c r="J64" s="494"/>
      <c r="K64" s="489"/>
    </row>
    <row r="65" spans="1:14" ht="12.75" customHeight="1">
      <c r="A65" s="21"/>
      <c r="B65" s="568" t="s">
        <v>196</v>
      </c>
      <c r="C65" s="568"/>
      <c r="D65" s="568"/>
      <c r="E65" s="568"/>
      <c r="F65" s="568"/>
      <c r="G65" s="568"/>
      <c r="H65" s="568"/>
      <c r="I65" s="568"/>
      <c r="J65" s="568"/>
      <c r="K65" s="568"/>
    </row>
    <row r="66" spans="1:14" ht="12.75" customHeight="1">
      <c r="A66" s="21"/>
      <c r="B66" s="481"/>
      <c r="C66" s="495"/>
      <c r="D66" s="481"/>
      <c r="E66" s="496"/>
      <c r="F66" s="496"/>
      <c r="G66" s="496"/>
      <c r="H66" s="496"/>
      <c r="I66" s="455"/>
      <c r="J66" s="496"/>
      <c r="K66" s="496"/>
    </row>
    <row r="67" spans="1:14" ht="18" customHeight="1">
      <c r="C67" s="570" t="s">
        <v>32</v>
      </c>
      <c r="D67" s="570"/>
      <c r="E67" s="570"/>
      <c r="F67" s="570"/>
      <c r="G67" s="570"/>
      <c r="H67" s="570"/>
      <c r="I67" s="570"/>
      <c r="J67" s="570"/>
      <c r="K67" s="570"/>
      <c r="L67" s="375"/>
    </row>
    <row r="68" spans="1:14" s="107" customFormat="1" ht="12.75" customHeight="1">
      <c r="B68" s="168"/>
      <c r="C68" s="497"/>
      <c r="D68" s="497"/>
      <c r="E68" s="497"/>
      <c r="F68" s="497"/>
      <c r="G68" s="497"/>
      <c r="H68" s="497"/>
      <c r="I68" s="497"/>
      <c r="J68" s="497"/>
      <c r="K68" s="497"/>
      <c r="L68" s="495"/>
    </row>
    <row r="69" spans="1:14" s="21" customFormat="1" ht="11.25" customHeight="1">
      <c r="A69" s="13"/>
      <c r="B69" s="167"/>
      <c r="C69" s="558" t="s">
        <v>33</v>
      </c>
      <c r="D69" s="558"/>
      <c r="E69" s="558"/>
      <c r="F69" s="558"/>
      <c r="G69" s="558"/>
      <c r="H69" s="558" t="s">
        <v>31</v>
      </c>
      <c r="I69" s="558" t="s">
        <v>34</v>
      </c>
      <c r="J69" s="558" t="s">
        <v>35</v>
      </c>
      <c r="K69" s="559" t="s">
        <v>193</v>
      </c>
      <c r="L69" s="376"/>
    </row>
    <row r="70" spans="1:14" s="21" customFormat="1" ht="11.25" customHeight="1">
      <c r="B70" s="167"/>
      <c r="C70" s="558"/>
      <c r="D70" s="558"/>
      <c r="E70" s="558"/>
      <c r="F70" s="558"/>
      <c r="G70" s="558"/>
      <c r="H70" s="558"/>
      <c r="I70" s="558"/>
      <c r="J70" s="558"/>
      <c r="K70" s="560"/>
      <c r="L70" s="409"/>
    </row>
    <row r="71" spans="1:14" s="21" customFormat="1" ht="11.25">
      <c r="A71" s="90">
        <f t="shared" ref="A71:A78" si="0">IF(AND(H71&lt;&gt;"",H71&gt;69),1,0)</f>
        <v>0</v>
      </c>
      <c r="B71" s="15"/>
      <c r="C71" s="569" t="str">
        <f>IF(COTIZACION!C28="","",COTIZACION!C28)</f>
        <v/>
      </c>
      <c r="D71" s="569"/>
      <c r="E71" s="569"/>
      <c r="F71" s="569"/>
      <c r="G71" s="569"/>
      <c r="H71" s="498" t="str">
        <f>IF(OR(COTIZACION!E28="",COTIZACION!D28=""),"",COTIZACION!E28)</f>
        <v/>
      </c>
      <c r="I71" s="498" t="str">
        <f>IF(OR(COTIZACION!D28="",COTIZACION!E28=""),"",COTIZACION!D28)</f>
        <v/>
      </c>
      <c r="J71" s="498" t="str">
        <f>IF(I71="","",COTIZACION!B28)</f>
        <v/>
      </c>
      <c r="K71" s="499" t="str">
        <f>IF(COTIZACION!E7="ok",IF(COTIZACION!$F$28&lt;&gt;"",0,FACTORES!AO3),"COTIZACION NO VALIDA")</f>
        <v/>
      </c>
      <c r="L71" s="499"/>
      <c r="M71" s="48"/>
    </row>
    <row r="72" spans="1:14" s="21" customFormat="1" ht="11.25">
      <c r="A72" s="90">
        <f t="shared" si="0"/>
        <v>0</v>
      </c>
      <c r="B72" s="15"/>
      <c r="C72" s="566" t="str">
        <f>IF(OR(COTIZACION!C29="",COTIZACION!$D$9="INDIVIDUAL"),"",COTIZACION!C29)</f>
        <v/>
      </c>
      <c r="D72" s="566"/>
      <c r="E72" s="566"/>
      <c r="F72" s="566"/>
      <c r="G72" s="566"/>
      <c r="H72" s="500" t="str">
        <f>IF(OR(COTIZACION!E29="",COTIZACION!D29="",COTIZACION!$D$9="INDIVIDUAL"),"",COTIZACION!E29)</f>
        <v/>
      </c>
      <c r="I72" s="500" t="str">
        <f>IF(OR(COTIZACION!D29="",COTIZACION!E29="",COTIZACION!$D$9="INDIVIDUAL"),"",COTIZACION!D29)</f>
        <v/>
      </c>
      <c r="J72" s="500" t="str">
        <f>IF(I72="","",COTIZACION!B29)</f>
        <v/>
      </c>
      <c r="K72" s="501" t="str">
        <f>IF(COTIZACION!E7="ok",IF(COTIZACION!$F$28&lt;&gt;"",0,FACTORES!AO4),"COTIZACION NO VALIDA")</f>
        <v/>
      </c>
      <c r="L72" s="499"/>
      <c r="M72" s="48"/>
    </row>
    <row r="73" spans="1:14" s="21" customFormat="1" ht="11.25">
      <c r="A73" s="90">
        <f t="shared" si="0"/>
        <v>0</v>
      </c>
      <c r="B73" s="15"/>
      <c r="C73" s="563" t="str">
        <f>IF(OR(COTIZACION!C30="",COTIZACION!$D$9="INDIVIDUAL"),"",COTIZACION!C30)</f>
        <v/>
      </c>
      <c r="D73" s="563"/>
      <c r="E73" s="563"/>
      <c r="F73" s="563"/>
      <c r="G73" s="563"/>
      <c r="H73" s="498" t="str">
        <f>IF(OR(COTIZACION!E30="",COTIZACION!D30="",COTIZACION!$D$9="INDIVIDUAL"),"",COTIZACION!E30)</f>
        <v/>
      </c>
      <c r="I73" s="498" t="str">
        <f>IF(OR(COTIZACION!D30="",COTIZACION!E30="",COTIZACION!$D$9="INDIVIDUAL"),"",COTIZACION!D30)</f>
        <v/>
      </c>
      <c r="J73" s="498" t="str">
        <f>IF(I73="","",COTIZACION!B30)</f>
        <v/>
      </c>
      <c r="K73" s="499" t="str">
        <f>IF(COTIZACION!$F$28&lt;&gt;"",0,FACTORES!AO5)</f>
        <v/>
      </c>
      <c r="L73" s="499"/>
      <c r="M73" s="48"/>
    </row>
    <row r="74" spans="1:14" s="21" customFormat="1" ht="11.25">
      <c r="A74" s="90">
        <f t="shared" si="0"/>
        <v>0</v>
      </c>
      <c r="B74" s="15"/>
      <c r="C74" s="566" t="str">
        <f>IF(OR(COTIZACION!C31="",COTIZACION!$D$9="INDIVIDUAL"),"",COTIZACION!C31)</f>
        <v/>
      </c>
      <c r="D74" s="566"/>
      <c r="E74" s="566"/>
      <c r="F74" s="566"/>
      <c r="G74" s="566"/>
      <c r="H74" s="500" t="str">
        <f>IF(OR(COTIZACION!E31="",COTIZACION!D31="",COTIZACION!$D$9="INDIVIDUAL"),"",COTIZACION!E31)</f>
        <v/>
      </c>
      <c r="I74" s="500" t="str">
        <f>IF(OR(COTIZACION!D31="",COTIZACION!E31="",COTIZACION!$D$9="INDIVIDUAL"),"",COTIZACION!D31)</f>
        <v/>
      </c>
      <c r="J74" s="500" t="str">
        <f>IF(I74="","",COTIZACION!B31)</f>
        <v/>
      </c>
      <c r="K74" s="502" t="str">
        <f>IF(COTIZACION!$F$28&lt;&gt;"",0,FACTORES!AO6)</f>
        <v/>
      </c>
      <c r="L74" s="499"/>
      <c r="M74" s="48"/>
    </row>
    <row r="75" spans="1:14" s="21" customFormat="1" ht="11.25">
      <c r="A75" s="90">
        <f t="shared" si="0"/>
        <v>0</v>
      </c>
      <c r="B75" s="15"/>
      <c r="C75" s="563" t="str">
        <f>IF(OR(COTIZACION!C32="",COTIZACION!$D$9="INDIVIDUAL"),"",COTIZACION!C32)</f>
        <v/>
      </c>
      <c r="D75" s="563"/>
      <c r="E75" s="563"/>
      <c r="F75" s="563"/>
      <c r="G75" s="563"/>
      <c r="H75" s="498" t="str">
        <f>IF(OR(COTIZACION!E32="",COTIZACION!D32="",COTIZACION!$D$9="INDIVIDUAL"),"",COTIZACION!E32)</f>
        <v/>
      </c>
      <c r="I75" s="498" t="str">
        <f>IF(OR(COTIZACION!D32="",COTIZACION!E32="",COTIZACION!$D$9="INDIVIDUAL"),"",COTIZACION!D32)</f>
        <v/>
      </c>
      <c r="J75" s="498" t="str">
        <f>IF(I75="","",COTIZACION!B32)</f>
        <v/>
      </c>
      <c r="K75" s="503" t="str">
        <f>IF(COTIZACION!$F$28&lt;&gt;"",0,FACTORES!AO7)</f>
        <v/>
      </c>
      <c r="L75" s="499"/>
      <c r="M75" s="48"/>
      <c r="N75" s="49"/>
    </row>
    <row r="76" spans="1:14" s="21" customFormat="1" ht="11.25">
      <c r="A76" s="90">
        <f t="shared" si="0"/>
        <v>0</v>
      </c>
      <c r="B76" s="15"/>
      <c r="C76" s="566" t="str">
        <f>IF(OR(COTIZACION!C33="",COTIZACION!$D$9="INDIVIDUAL"),"",COTIZACION!C33)</f>
        <v/>
      </c>
      <c r="D76" s="566"/>
      <c r="E76" s="566"/>
      <c r="F76" s="566"/>
      <c r="G76" s="566"/>
      <c r="H76" s="500" t="str">
        <f>IF(OR(COTIZACION!E33="",COTIZACION!D33="",COTIZACION!$D$9="INDIVIDUAL"),"",COTIZACION!E33)</f>
        <v/>
      </c>
      <c r="I76" s="500" t="str">
        <f>IF(OR(COTIZACION!D33="",COTIZACION!E33="",COTIZACION!$D$9="INDIVIDUAL"),"",COTIZACION!D33)</f>
        <v/>
      </c>
      <c r="J76" s="500" t="str">
        <f>IF(I76="","",COTIZACION!B33)</f>
        <v/>
      </c>
      <c r="K76" s="502" t="str">
        <f>IF(COTIZACION!$F$28&lt;&gt;"",0,FACTORES!AO8)</f>
        <v/>
      </c>
      <c r="L76" s="499"/>
      <c r="M76" s="48"/>
      <c r="N76" s="59"/>
    </row>
    <row r="77" spans="1:14" s="21" customFormat="1" ht="11.25">
      <c r="A77" s="90">
        <f t="shared" si="0"/>
        <v>0</v>
      </c>
      <c r="B77" s="15"/>
      <c r="C77" s="563" t="str">
        <f>IF(OR(COTIZACION!C34="",COTIZACION!$D$9="INDIVIDUAL"),"",COTIZACION!C34)</f>
        <v/>
      </c>
      <c r="D77" s="563"/>
      <c r="E77" s="563"/>
      <c r="F77" s="563"/>
      <c r="G77" s="563"/>
      <c r="H77" s="498" t="str">
        <f>IF(OR(COTIZACION!E34="",COTIZACION!D34="",COTIZACION!$D$9="INDIVIDUAL"),"",COTIZACION!E34)</f>
        <v/>
      </c>
      <c r="I77" s="498" t="str">
        <f>IF(OR(COTIZACION!D34="",COTIZACION!E34="",COTIZACION!$D$9="INDIVIDUAL"),"",COTIZACION!D34)</f>
        <v/>
      </c>
      <c r="J77" s="498" t="str">
        <f>IF(I77="","",COTIZACION!B34)</f>
        <v/>
      </c>
      <c r="K77" s="503" t="str">
        <f>IF(COTIZACION!$F$28&lt;&gt;"",0,FACTORES!AO9)</f>
        <v/>
      </c>
      <c r="L77" s="499"/>
      <c r="M77" s="48"/>
    </row>
    <row r="78" spans="1:14" s="21" customFormat="1" ht="11.25">
      <c r="A78" s="90">
        <f t="shared" si="0"/>
        <v>0</v>
      </c>
      <c r="B78" s="15"/>
      <c r="C78" s="567" t="str">
        <f>IF(OR(COTIZACION!C35="",COTIZACION!$D$9="INDIVIDUAL"),"",COTIZACION!C35)</f>
        <v/>
      </c>
      <c r="D78" s="567"/>
      <c r="E78" s="567"/>
      <c r="F78" s="567"/>
      <c r="G78" s="567"/>
      <c r="H78" s="504" t="str">
        <f>IF(OR(COTIZACION!E35="",COTIZACION!D35="",COTIZACION!$D$9="INDIVIDUAL"),"",COTIZACION!E35)</f>
        <v/>
      </c>
      <c r="I78" s="504" t="str">
        <f>IF(OR(COTIZACION!D35="",COTIZACION!E35="",COTIZACION!$D$9="INDIVIDUAL"),"",COTIZACION!D35)</f>
        <v/>
      </c>
      <c r="J78" s="504" t="str">
        <f>IF(I78="","",COTIZACION!B35)</f>
        <v/>
      </c>
      <c r="K78" s="505" t="str">
        <f>IF(COTIZACION!$F$28&lt;&gt;"",0,FACTORES!AO10)</f>
        <v/>
      </c>
      <c r="L78" s="499"/>
      <c r="M78" s="48"/>
    </row>
    <row r="79" spans="1:14" s="21" customFormat="1" ht="11.25">
      <c r="B79" s="15"/>
      <c r="C79" s="375"/>
      <c r="D79" s="375"/>
      <c r="E79" s="375"/>
      <c r="F79" s="375"/>
      <c r="G79" s="375"/>
      <c r="H79" s="375"/>
      <c r="I79" s="506" t="s">
        <v>39</v>
      </c>
      <c r="J79" s="441"/>
      <c r="K79" s="507">
        <f>IF(OR(K71="Edad no Permitida",K72="Edad no Permitida",K73="Edad no Permitida",K74="Edad no Permitida",K75="Edad no Permitida",K76="Edad no Permitida",K77="Edad no Permitida",K78="Edad no Permitida"),0,IF(IMPRESION!A97=0,SUM(K71:K78),0))</f>
        <v>0</v>
      </c>
      <c r="L79" s="409"/>
      <c r="M79" s="48"/>
    </row>
    <row r="80" spans="1:14" s="21" customFormat="1" ht="11.25">
      <c r="B80" s="15"/>
      <c r="C80" s="375"/>
      <c r="D80" s="375"/>
      <c r="E80" s="375"/>
      <c r="F80" s="375"/>
      <c r="G80" s="375"/>
      <c r="H80" s="508"/>
      <c r="I80" s="509" t="s">
        <v>36</v>
      </c>
      <c r="J80" s="509"/>
      <c r="K80" s="510">
        <f>IF(K79=0,0,FACTORES!$S$34)</f>
        <v>0</v>
      </c>
      <c r="L80" s="511"/>
      <c r="M80" s="67"/>
    </row>
    <row r="81" spans="1:13" s="21" customFormat="1" ht="11.25">
      <c r="B81" s="15"/>
      <c r="C81" s="375"/>
      <c r="D81" s="375"/>
      <c r="E81" s="375"/>
      <c r="F81" s="375"/>
      <c r="G81" s="375"/>
      <c r="H81" s="508"/>
      <c r="I81" s="509" t="s">
        <v>37</v>
      </c>
      <c r="J81" s="509"/>
      <c r="K81" s="507">
        <f>+K79+K80</f>
        <v>0</v>
      </c>
      <c r="L81" s="376"/>
      <c r="M81" s="48"/>
    </row>
    <row r="82" spans="1:13" s="21" customFormat="1" ht="15.75" customHeight="1">
      <c r="B82" s="15"/>
      <c r="C82" s="561" t="s">
        <v>194</v>
      </c>
      <c r="D82" s="562"/>
      <c r="E82" s="512" t="str">
        <f>COTIZACION!D14</f>
        <v>CIUDAD DE MÉXICO</v>
      </c>
      <c r="F82" s="513"/>
      <c r="G82" s="508"/>
      <c r="H82" s="508"/>
      <c r="I82" s="509" t="s">
        <v>38</v>
      </c>
      <c r="J82" s="509"/>
      <c r="K82" s="510">
        <f>+K81*COTIZACION!$D$24</f>
        <v>0</v>
      </c>
      <c r="L82" s="376"/>
      <c r="M82" s="67"/>
    </row>
    <row r="83" spans="1:13" ht="12.75" customHeight="1">
      <c r="A83" s="21"/>
      <c r="B83" s="15"/>
      <c r="C83" s="375"/>
      <c r="D83" s="375"/>
      <c r="E83" s="375"/>
      <c r="F83" s="375"/>
      <c r="G83" s="375"/>
      <c r="H83" s="508"/>
      <c r="I83" s="514" t="s">
        <v>39</v>
      </c>
      <c r="J83" s="514"/>
      <c r="K83" s="515">
        <f>SUM(K81:K82)</f>
        <v>0</v>
      </c>
      <c r="L83" s="375"/>
      <c r="M83" s="70"/>
    </row>
    <row r="84" spans="1:13" ht="15">
      <c r="B84" s="15"/>
      <c r="C84" s="561" t="s">
        <v>195</v>
      </c>
      <c r="D84" s="562"/>
      <c r="E84" s="555" t="str">
        <f>IF(COTIZACION!C40="","",COTIZACION!C40)</f>
        <v/>
      </c>
      <c r="F84" s="556"/>
      <c r="G84" s="557"/>
      <c r="H84" s="375"/>
      <c r="I84" s="375"/>
      <c r="J84" s="375"/>
      <c r="K84" s="375"/>
      <c r="L84" s="375"/>
    </row>
    <row r="85" spans="1:13" ht="16.5" customHeight="1">
      <c r="B85" s="15"/>
      <c r="C85" s="219"/>
      <c r="D85" s="219"/>
      <c r="E85" s="220"/>
      <c r="F85" s="220"/>
      <c r="G85" s="220"/>
    </row>
    <row r="86" spans="1:13" ht="22.5">
      <c r="B86" s="15"/>
      <c r="C86" s="553" t="s">
        <v>201</v>
      </c>
      <c r="D86" s="554"/>
      <c r="E86" s="227" t="s">
        <v>202</v>
      </c>
      <c r="F86" s="227" t="s">
        <v>203</v>
      </c>
      <c r="G86" s="227" t="s">
        <v>204</v>
      </c>
      <c r="H86" s="16"/>
      <c r="K86" s="20"/>
    </row>
    <row r="87" spans="1:13" ht="12.95" customHeight="1">
      <c r="B87" s="15"/>
      <c r="C87" s="245" t="str">
        <f>+COTIZACION!G28</f>
        <v>ANUAL</v>
      </c>
      <c r="D87" s="245"/>
      <c r="E87" s="246">
        <f>IF(COTIZACION!F28&lt;&gt;"",0,K83)</f>
        <v>0</v>
      </c>
      <c r="F87" s="247">
        <v>0</v>
      </c>
      <c r="G87" s="247">
        <f>+F87+E87</f>
        <v>0</v>
      </c>
      <c r="H87" s="16"/>
      <c r="K87" s="20"/>
    </row>
    <row r="88" spans="1:13" ht="12.95" customHeight="1">
      <c r="B88" s="15"/>
      <c r="C88" s="245" t="str">
        <f>"SEMESTRAL    (Recargo "&amp;COTIZACION!H37*100&amp;"%)"</f>
        <v>SEMESTRAL    (Recargo 4.73%)</v>
      </c>
      <c r="D88" s="245"/>
      <c r="E88" s="246">
        <f>IF(COTIZACION!F28&lt;&gt;"",0,IF((IMPRESION!K79*RSEM/2+DER)*(1+COTIZACION!$D$24)&lt;1000,0,(IMPRESION!K79*RSEM/2+DER)*(1+COTIZACION!$D$24)))</f>
        <v>0</v>
      </c>
      <c r="F88" s="248">
        <f>IF(E88=0,0,(IMPRESION!K79*RSEM/2)*(1+COTIZACION!$D$24))</f>
        <v>0</v>
      </c>
      <c r="G88" s="247">
        <f>F88+E88</f>
        <v>0</v>
      </c>
      <c r="H88" s="225"/>
    </row>
    <row r="89" spans="1:13" ht="12.95" customHeight="1">
      <c r="B89" s="15"/>
      <c r="C89" s="245" t="str">
        <f>"TRIMESTRAL  (Recargo "&amp;COTIZACION!H38*100&amp;"%)"</f>
        <v>TRIMESTRAL  (Recargo 6.99%)</v>
      </c>
      <c r="D89" s="249"/>
      <c r="E89" s="246">
        <f>IF(COTIZACION!F28&lt;&gt;"",0,IF((IMPRESION!K79*RTRIM/4+DER)*(1+COTIZACION!$D$24)&lt;1000,0,(IMPRESION!K79*RTRIM/4+DER)*(1+COTIZACION!$D$24)))</f>
        <v>0</v>
      </c>
      <c r="F89" s="248">
        <f>(IF(E89=0,0,(IMPRESION!K79*RTRIM/4)*(1+COTIZACION!$D$24)))</f>
        <v>0</v>
      </c>
      <c r="G89" s="247">
        <f>+E89+F89*3</f>
        <v>0</v>
      </c>
      <c r="H89" s="16"/>
    </row>
    <row r="90" spans="1:13" ht="12.95" customHeight="1">
      <c r="B90" s="15"/>
      <c r="C90" s="245" t="str">
        <f>"MENSUAL        (Recargo "&amp;COTIZACION!H39*100&amp;"%)"</f>
        <v>MENSUAL        (Recargo 9.99%)</v>
      </c>
      <c r="D90" s="249"/>
      <c r="E90" s="246">
        <f>IF(COTIZACION!F28&lt;&gt;"",0,IF((IMPRESION!K79*RMES/12+DER)*(1+COTIZACION!$D$24)&lt;1000,0,(IMPRESION!K79*RMES/12+DER)*(1+COTIZACION!$D$24)))</f>
        <v>0</v>
      </c>
      <c r="F90" s="248">
        <f>(IF(E90=0,0,(IMPRESION!K79*RMES/12)*(1+COTIZACION!$D$24)))</f>
        <v>0</v>
      </c>
      <c r="G90" s="247">
        <f>+E90+F90*11</f>
        <v>0</v>
      </c>
      <c r="H90" s="89"/>
    </row>
    <row r="91" spans="1:13"/>
    <row r="92" spans="1:13" ht="12.75" customHeight="1">
      <c r="C92" s="551" t="s">
        <v>52</v>
      </c>
      <c r="D92" s="551"/>
      <c r="E92" s="551"/>
      <c r="F92" s="551"/>
      <c r="G92" s="551"/>
      <c r="H92" s="551"/>
      <c r="I92" s="551"/>
      <c r="J92" s="551"/>
      <c r="K92" s="551"/>
    </row>
    <row r="93" spans="1:13" ht="12.75" customHeight="1">
      <c r="C93" s="109" t="s">
        <v>155</v>
      </c>
      <c r="D93" s="110"/>
      <c r="E93" s="110"/>
      <c r="F93" s="110"/>
      <c r="G93" s="110"/>
      <c r="H93" s="110"/>
      <c r="I93" s="110"/>
      <c r="J93" s="110"/>
      <c r="K93" s="110"/>
    </row>
    <row r="94" spans="1:13" ht="12.75" customHeight="1">
      <c r="C94" s="109" t="s">
        <v>156</v>
      </c>
      <c r="D94" s="110"/>
      <c r="E94" s="110"/>
      <c r="F94" s="110"/>
      <c r="G94" s="110"/>
      <c r="H94" s="110"/>
      <c r="I94" s="110"/>
      <c r="J94" s="110"/>
      <c r="K94" s="110"/>
    </row>
    <row r="95" spans="1:13">
      <c r="C95" s="552" t="s">
        <v>236</v>
      </c>
      <c r="D95" s="552"/>
      <c r="E95" s="552"/>
      <c r="F95" s="552"/>
      <c r="G95" s="552"/>
      <c r="H95" s="552"/>
      <c r="I95" s="552"/>
      <c r="J95" s="552"/>
      <c r="K95" s="552"/>
    </row>
    <row r="96" spans="1:13" ht="10.5" customHeight="1">
      <c r="C96" s="552"/>
      <c r="D96" s="552"/>
      <c r="E96" s="552"/>
      <c r="F96" s="552"/>
      <c r="G96" s="552"/>
      <c r="H96" s="552"/>
      <c r="I96" s="552"/>
      <c r="J96" s="552"/>
      <c r="K96" s="552"/>
    </row>
    <row r="97" spans="1:11" ht="24.95" customHeight="1">
      <c r="A97" s="100"/>
      <c r="C97" s="549" t="s">
        <v>276</v>
      </c>
      <c r="D97" s="549"/>
      <c r="E97" s="549"/>
      <c r="F97" s="549"/>
      <c r="G97" s="549"/>
      <c r="H97" s="549"/>
      <c r="I97" s="549"/>
      <c r="J97" s="549"/>
    </row>
    <row r="98" spans="1:11" ht="15.75" customHeight="1">
      <c r="B98" s="576" t="s">
        <v>368</v>
      </c>
      <c r="C98" s="21"/>
      <c r="D98" s="21"/>
      <c r="E98" s="21"/>
      <c r="F98" s="565" t="str">
        <f>IF(COTIZACION!D7="RENOVADA","ESTA COTIZACIÓN ES SOLO VALIDA PARA RENOVACIONES"," ")</f>
        <v xml:space="preserve"> </v>
      </c>
      <c r="G98" s="565"/>
      <c r="H98" s="565"/>
      <c r="I98" s="565"/>
      <c r="J98" s="565"/>
      <c r="K98" s="565"/>
    </row>
    <row r="99" spans="1:11" ht="14.25" customHeight="1">
      <c r="B99" s="226" t="s">
        <v>371</v>
      </c>
      <c r="C99" s="21"/>
      <c r="D99" s="21"/>
      <c r="E99" s="21"/>
      <c r="F99" s="565"/>
      <c r="G99" s="565"/>
      <c r="H99" s="565"/>
      <c r="I99" s="565"/>
      <c r="J99" s="565"/>
      <c r="K99" s="565"/>
    </row>
    <row r="100" spans="1:11" ht="15.75" customHeight="1">
      <c r="B100" s="281" t="str">
        <f>VLOOKUP(FACTORES!$AN$14,FACTORES!$AI$14:$AM$37,3,FALSE)&amp;"/"&amp;VLOOKUP(FACTORES!$AN$14,FACTORES!$AI$14:$AM$37,4,FALSE)&amp;"/"&amp;VLOOKUP(FACTORES!$AN$14,FACTORES!$AI$14:$AM$37,5,FALSE)</f>
        <v>1200/95007/1,2,3,5,6,7,8</v>
      </c>
      <c r="C100" s="21"/>
      <c r="D100" s="21"/>
      <c r="E100" s="21"/>
      <c r="F100" s="21"/>
    </row>
    <row r="101" spans="1:11"/>
    <row r="102" spans="1:11"/>
    <row r="103" spans="1:11" hidden="1"/>
    <row r="104" spans="1:11" hidden="1"/>
    <row r="105" spans="1:11" hidden="1"/>
    <row r="106" spans="1:11" hidden="1"/>
    <row r="107" spans="1:11" hidden="1"/>
    <row r="108" spans="1:11" hidden="1"/>
    <row r="109" spans="1:11" hidden="1"/>
    <row r="110" spans="1:11" hidden="1"/>
    <row r="111" spans="1:11" hidden="1"/>
    <row r="112" spans="1:11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spans="1:5" hidden="1"/>
    <row r="194" spans="1:5" hidden="1"/>
    <row r="195" spans="1:5" hidden="1"/>
    <row r="196" spans="1:5" hidden="1"/>
    <row r="197" spans="1:5" hidden="1"/>
    <row r="198" spans="1:5" ht="12" hidden="1" customHeight="1"/>
    <row r="199" spans="1:5" hidden="1"/>
    <row r="200" spans="1:5" hidden="1"/>
    <row r="201" spans="1:5" hidden="1"/>
    <row r="202" spans="1:5" hidden="1"/>
    <row r="203" spans="1:5" ht="11.25" hidden="1" thickBot="1"/>
    <row r="204" spans="1:5" s="16" customFormat="1" ht="11.25" hidden="1" thickTop="1">
      <c r="A204" s="74"/>
      <c r="B204" s="75"/>
      <c r="C204" s="220"/>
      <c r="D204" s="220"/>
      <c r="E204" s="220"/>
    </row>
    <row r="205" spans="1:5" s="16" customFormat="1" hidden="1">
      <c r="A205" s="76"/>
      <c r="B205" s="77"/>
      <c r="C205" s="220"/>
      <c r="D205" s="220"/>
      <c r="E205" s="220"/>
    </row>
    <row r="206" spans="1:5" s="16" customFormat="1" hidden="1">
      <c r="A206" s="76"/>
      <c r="B206" s="77"/>
      <c r="C206" s="220"/>
      <c r="D206" s="220"/>
      <c r="E206" s="220"/>
    </row>
    <row r="207" spans="1:5" s="16" customFormat="1" hidden="1">
      <c r="A207" s="76"/>
      <c r="B207" s="77"/>
      <c r="C207" s="220"/>
      <c r="D207" s="220"/>
      <c r="E207" s="220"/>
    </row>
    <row r="208" spans="1:5" s="16" customFormat="1" hidden="1">
      <c r="A208" s="76"/>
      <c r="B208" s="77"/>
      <c r="C208" s="220"/>
      <c r="D208" s="220"/>
      <c r="E208" s="220"/>
    </row>
    <row r="209" spans="1:5" s="16" customFormat="1" hidden="1">
      <c r="A209" s="76"/>
      <c r="B209" s="77"/>
      <c r="C209" s="220"/>
      <c r="D209" s="220"/>
      <c r="E209" s="220"/>
    </row>
    <row r="210" spans="1:5" s="16" customFormat="1" hidden="1">
      <c r="A210" s="76"/>
      <c r="B210" s="77"/>
      <c r="C210" s="220"/>
      <c r="D210" s="220"/>
      <c r="E210" s="220"/>
    </row>
    <row r="211" spans="1:5" s="16" customFormat="1" ht="11.25" hidden="1" thickBot="1">
      <c r="A211" s="78"/>
      <c r="B211" s="79"/>
      <c r="C211" s="220"/>
      <c r="D211" s="220"/>
      <c r="E211" s="220"/>
    </row>
    <row r="212" spans="1:5" s="16" customFormat="1" ht="11.25" hidden="1" thickTop="1">
      <c r="A212" s="80"/>
      <c r="B212" s="80"/>
    </row>
    <row r="213" spans="1:5" s="16" customFormat="1" hidden="1">
      <c r="A213" s="81" t="s">
        <v>47</v>
      </c>
      <c r="B213" s="80"/>
    </row>
    <row r="214" spans="1:5" s="16" customFormat="1" hidden="1">
      <c r="A214" s="81" t="e">
        <f>IF(#REF!="ANUAL",1,IF(#REF!="SEMESTRAL",2,IF(#REF!="TRIMESTRAL",4,IF(#REF!="MENSUAL",12,1))))</f>
        <v>#REF!</v>
      </c>
      <c r="B214" s="80"/>
    </row>
    <row r="215" spans="1:5" s="16" customFormat="1" hidden="1">
      <c r="A215" s="80"/>
      <c r="B215" s="80"/>
    </row>
    <row r="216" spans="1:5" s="16" customFormat="1" hidden="1">
      <c r="A216" s="80" t="s">
        <v>14</v>
      </c>
      <c r="B216" s="80"/>
    </row>
    <row r="217" spans="1:5" s="16" customFormat="1" hidden="1">
      <c r="A217" s="82">
        <v>0.1</v>
      </c>
      <c r="B217" s="80"/>
    </row>
    <row r="218" spans="1:5" s="16" customFormat="1" hidden="1">
      <c r="A218" s="82">
        <v>0.15</v>
      </c>
      <c r="B218" s="80"/>
    </row>
    <row r="219" spans="1:5" s="16" customFormat="1" hidden="1">
      <c r="A219" s="80"/>
      <c r="B219" s="80"/>
    </row>
    <row r="220" spans="1:5" s="16" customFormat="1" hidden="1">
      <c r="A220" s="80"/>
      <c r="B220" s="80"/>
    </row>
    <row r="221" spans="1:5" s="16" customFormat="1" hidden="1">
      <c r="A221" s="80"/>
      <c r="B221" s="80"/>
    </row>
    <row r="222" spans="1:5" s="16" customFormat="1" hidden="1">
      <c r="A222" s="80"/>
      <c r="B222" s="80"/>
    </row>
    <row r="223" spans="1:5" s="16" customFormat="1" hidden="1">
      <c r="A223" s="80"/>
      <c r="B223" s="80"/>
    </row>
    <row r="224" spans="1:5" s="16" customFormat="1" hidden="1">
      <c r="A224" s="80"/>
      <c r="B224" s="80"/>
    </row>
    <row r="225" spans="1:2" s="16" customFormat="1" hidden="1">
      <c r="A225" s="80"/>
      <c r="B225" s="80"/>
    </row>
    <row r="226" spans="1:2" s="16" customFormat="1" hidden="1">
      <c r="A226" s="80"/>
      <c r="B226" s="80"/>
    </row>
    <row r="227" spans="1:2" s="16" customFormat="1" hidden="1">
      <c r="A227" s="80"/>
      <c r="B227" s="80"/>
    </row>
    <row r="228" spans="1:2" s="16" customFormat="1" hidden="1">
      <c r="A228" s="80"/>
      <c r="B228" s="80"/>
    </row>
    <row r="229" spans="1:2" s="16" customFormat="1" hidden="1">
      <c r="A229" s="80"/>
      <c r="B229" s="80"/>
    </row>
    <row r="230" spans="1:2" s="16" customFormat="1" hidden="1">
      <c r="A230" s="80"/>
      <c r="B230" s="80"/>
    </row>
    <row r="231" spans="1:2" s="16" customFormat="1" hidden="1">
      <c r="A231" s="80"/>
      <c r="B231" s="80"/>
    </row>
    <row r="232" spans="1:2" s="16" customFormat="1" hidden="1">
      <c r="A232" s="80"/>
      <c r="B232" s="80"/>
    </row>
    <row r="233" spans="1:2" s="16" customFormat="1" hidden="1">
      <c r="A233" s="80"/>
      <c r="B233" s="80"/>
    </row>
    <row r="234" spans="1:2"/>
    <row r="235" spans="1:2"/>
    <row r="236" spans="1:2" hidden="1"/>
    <row r="237" spans="1:2" hidden="1"/>
    <row r="238" spans="1:2" hidden="1"/>
    <row r="239" spans="1:2" hidden="1"/>
    <row r="240" spans="1:2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/>
    <row r="319"/>
    <row r="320"/>
    <row r="32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</sheetData>
  <sheetProtection algorithmName="SHA-512" hashValue="+0VhKIHydJHLoTudOT+jgVXh70O9WCQehIsULO1hjcPAfdxjO5MAV8nL9KfsYladYfiFNtmjvLMsv8fP+RTcPw==" saltValue="cL5SQENJp9Jzy8uZXUy2FQ==" spinCount="100000" sheet="1" objects="1" scenarios="1"/>
  <mergeCells count="26">
    <mergeCell ref="F98:K99"/>
    <mergeCell ref="C76:G76"/>
    <mergeCell ref="C77:G77"/>
    <mergeCell ref="C78:G78"/>
    <mergeCell ref="B65:K65"/>
    <mergeCell ref="C71:G71"/>
    <mergeCell ref="C72:G72"/>
    <mergeCell ref="C73:G73"/>
    <mergeCell ref="C74:G74"/>
    <mergeCell ref="C67:K67"/>
    <mergeCell ref="C12:K12"/>
    <mergeCell ref="C97:J97"/>
    <mergeCell ref="B9:K10"/>
    <mergeCell ref="C92:K92"/>
    <mergeCell ref="C95:K96"/>
    <mergeCell ref="C86:D86"/>
    <mergeCell ref="E84:G84"/>
    <mergeCell ref="C69:G70"/>
    <mergeCell ref="H69:H70"/>
    <mergeCell ref="I69:I70"/>
    <mergeCell ref="J69:J70"/>
    <mergeCell ref="K69:K70"/>
    <mergeCell ref="C82:D82"/>
    <mergeCell ref="C84:D84"/>
    <mergeCell ref="C75:G75"/>
    <mergeCell ref="C60:K60"/>
  </mergeCells>
  <phoneticPr fontId="0" type="noConversion"/>
  <conditionalFormatting sqref="E84:G84">
    <cfRule type="expression" dxfId="0" priority="1">
      <formula>$E$84="Nombre de agente"</formula>
    </cfRule>
  </conditionalFormatting>
  <printOptions horizontalCentered="1" verticalCentered="1"/>
  <pageMargins left="0.39370078740157483" right="0.39370078740157483" top="0.19685039370078741" bottom="0.35433070866141736" header="0" footer="0.23622047244094491"/>
  <pageSetup paperSize="9" scale="5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7"/>
    <pageSetUpPr fitToPage="1"/>
  </sheetPr>
  <dimension ref="A1:K177"/>
  <sheetViews>
    <sheetView windowProtection="1" showGridLines="0" showRowColHeaders="0" topLeftCell="A17" zoomScaleNormal="100" workbookViewId="0">
      <selection activeCell="F98" sqref="F98:K99"/>
    </sheetView>
  </sheetViews>
  <sheetFormatPr baseColWidth="10" defaultColWidth="0" defaultRowHeight="10.5" customHeight="1" zeroHeight="1"/>
  <cols>
    <col min="1" max="1" width="3.42578125" style="13" customWidth="1"/>
    <col min="2" max="2" width="3" style="14" customWidth="1"/>
    <col min="3" max="3" width="2.85546875" style="13" customWidth="1"/>
    <col min="4" max="4" width="24.28515625" style="13" customWidth="1"/>
    <col min="5" max="5" width="14.5703125" style="13" customWidth="1"/>
    <col min="6" max="6" width="19.28515625" style="13" customWidth="1"/>
    <col min="7" max="7" width="13.7109375" style="13" customWidth="1"/>
    <col min="8" max="8" width="18.85546875" style="13" customWidth="1"/>
    <col min="9" max="9" width="15.42578125" style="13" customWidth="1"/>
    <col min="10" max="10" width="12.28515625" style="13" customWidth="1"/>
    <col min="11" max="11" width="17.42578125" style="13" customWidth="1"/>
    <col min="12" max="12" width="13.5703125" style="13" bestFit="1" customWidth="1"/>
    <col min="13" max="16384" width="0" style="13" hidden="1"/>
  </cols>
  <sheetData>
    <row r="1" spans="1:11" s="21" customFormat="1" ht="9" customHeight="1">
      <c r="B1" s="83"/>
      <c r="C1" s="83"/>
      <c r="D1" s="83"/>
      <c r="E1" s="83"/>
      <c r="F1" s="83"/>
      <c r="G1" s="83"/>
      <c r="H1" s="83"/>
      <c r="I1" s="83"/>
      <c r="J1" s="83"/>
      <c r="K1" s="84"/>
    </row>
    <row r="2" spans="1:11" s="21" customFormat="1" ht="9">
      <c r="B2" s="83"/>
      <c r="C2" s="83"/>
      <c r="D2" s="83"/>
      <c r="E2" s="83"/>
      <c r="F2" s="83"/>
      <c r="G2" s="83"/>
      <c r="H2" s="83"/>
      <c r="I2" s="83"/>
      <c r="J2" s="83"/>
      <c r="K2" s="83"/>
    </row>
    <row r="3" spans="1:11" s="21" customFormat="1" ht="9">
      <c r="B3" s="83"/>
      <c r="C3" s="83"/>
      <c r="D3" s="83"/>
      <c r="E3" s="83"/>
      <c r="F3" s="83"/>
      <c r="G3" s="83"/>
      <c r="H3" s="83"/>
      <c r="I3" s="83"/>
      <c r="J3" s="83"/>
      <c r="K3" s="83"/>
    </row>
    <row r="4" spans="1:11" s="21" customFormat="1" ht="9">
      <c r="B4" s="83"/>
      <c r="C4" s="83"/>
      <c r="D4" s="83"/>
      <c r="E4" s="83"/>
      <c r="F4" s="83"/>
      <c r="G4" s="83"/>
      <c r="H4" s="83"/>
      <c r="I4" s="83"/>
      <c r="J4" s="83"/>
      <c r="K4" s="83"/>
    </row>
    <row r="5" spans="1:11" s="24" customFormat="1" ht="15.75" customHeight="1">
      <c r="B5" s="22"/>
      <c r="C5" s="22"/>
      <c r="D5" s="22"/>
      <c r="E5" s="22"/>
      <c r="F5" s="22"/>
      <c r="G5" s="22"/>
      <c r="H5" s="22"/>
      <c r="I5" s="22"/>
      <c r="J5" s="22"/>
      <c r="K5" s="22"/>
    </row>
    <row r="6" spans="1:11" s="21" customFormat="1" ht="11.25">
      <c r="B6" s="83"/>
      <c r="C6" s="85"/>
      <c r="D6" s="85"/>
      <c r="E6" s="85"/>
      <c r="F6" s="86"/>
      <c r="G6" s="86"/>
      <c r="H6" s="83"/>
      <c r="I6" s="83"/>
      <c r="J6" s="83"/>
      <c r="K6" s="99">
        <f ca="1">TODAY()</f>
        <v>43844</v>
      </c>
    </row>
    <row r="7" spans="1:11" s="21" customFormat="1" ht="15">
      <c r="B7" s="92" t="str">
        <f>"Apreciable  "&amp;COTIZACION!C28</f>
        <v xml:space="preserve">Apreciable  </v>
      </c>
      <c r="C7" s="12"/>
      <c r="D7" s="85"/>
      <c r="E7" s="85"/>
      <c r="F7" s="86"/>
      <c r="G7" s="86"/>
      <c r="H7" s="83"/>
      <c r="I7" s="83"/>
      <c r="J7" s="83"/>
      <c r="K7" s="19"/>
    </row>
    <row r="8" spans="1:11" s="21" customFormat="1" ht="3" customHeight="1">
      <c r="B8" s="12"/>
      <c r="C8" s="12"/>
      <c r="D8" s="85"/>
      <c r="E8" s="85"/>
      <c r="F8" s="86"/>
      <c r="G8" s="86"/>
      <c r="H8" s="83"/>
      <c r="I8" s="83"/>
      <c r="J8" s="83"/>
      <c r="K8" s="19"/>
    </row>
    <row r="9" spans="1:11" s="21" customFormat="1" ht="10.5" customHeight="1">
      <c r="B9" s="573" t="s">
        <v>341</v>
      </c>
      <c r="C9" s="574"/>
      <c r="D9" s="574"/>
      <c r="E9" s="574"/>
      <c r="F9" s="574"/>
      <c r="G9" s="574"/>
      <c r="H9" s="574"/>
      <c r="I9" s="574"/>
      <c r="J9" s="574"/>
      <c r="K9" s="574"/>
    </row>
    <row r="10" spans="1:11" s="21" customFormat="1" ht="4.5" customHeight="1">
      <c r="B10" s="574"/>
      <c r="C10" s="574"/>
      <c r="D10" s="574"/>
      <c r="E10" s="574"/>
      <c r="F10" s="574"/>
      <c r="G10" s="574"/>
      <c r="H10" s="574"/>
      <c r="I10" s="574"/>
      <c r="J10" s="574"/>
      <c r="K10" s="574"/>
    </row>
    <row r="11" spans="1:11" s="21" customFormat="1" ht="9">
      <c r="B11" s="83"/>
      <c r="C11" s="87"/>
      <c r="D11" s="87"/>
      <c r="E11" s="88"/>
      <c r="F11" s="88"/>
      <c r="G11" s="88"/>
      <c r="H11" s="83"/>
      <c r="I11" s="83"/>
      <c r="J11" s="83"/>
      <c r="K11" s="83"/>
    </row>
    <row r="12" spans="1:11" s="21" customFormat="1" ht="15.75" customHeight="1">
      <c r="A12" s="13"/>
      <c r="C12" s="575" t="s">
        <v>340</v>
      </c>
      <c r="D12" s="575"/>
      <c r="E12" s="575"/>
      <c r="F12" s="575"/>
      <c r="G12" s="575"/>
      <c r="H12" s="575"/>
      <c r="I12" s="575"/>
      <c r="J12" s="575"/>
      <c r="K12" s="575"/>
    </row>
    <row r="13" spans="1:11" ht="12.75">
      <c r="C13" s="571" t="s">
        <v>342</v>
      </c>
      <c r="D13" s="572"/>
      <c r="E13" s="572"/>
      <c r="F13" s="572"/>
      <c r="G13" s="572"/>
      <c r="H13" s="572"/>
      <c r="I13" s="572"/>
      <c r="J13" s="572"/>
      <c r="K13" s="572"/>
    </row>
    <row r="14" spans="1:11" ht="10.5" customHeight="1"/>
    <row r="15" spans="1:11" ht="12.75">
      <c r="C15" s="244" t="s">
        <v>16</v>
      </c>
      <c r="D15" s="108" t="s">
        <v>314</v>
      </c>
      <c r="E15" s="208"/>
      <c r="F15" s="208"/>
      <c r="G15" s="208"/>
      <c r="H15" s="103"/>
      <c r="I15" s="108" t="s">
        <v>343</v>
      </c>
      <c r="J15" s="103"/>
      <c r="K15" s="103"/>
    </row>
    <row r="16" spans="1:11" ht="12.75">
      <c r="C16" s="244" t="s">
        <v>16</v>
      </c>
      <c r="D16" s="108" t="s">
        <v>315</v>
      </c>
      <c r="E16" s="208"/>
      <c r="F16" s="208"/>
      <c r="G16" s="208"/>
      <c r="H16" s="103"/>
      <c r="I16" s="209">
        <v>5000</v>
      </c>
      <c r="J16" s="103" t="s">
        <v>18</v>
      </c>
    </row>
    <row r="17" spans="1:11" ht="12.75">
      <c r="C17" s="244" t="s">
        <v>16</v>
      </c>
      <c r="D17" s="108" t="s">
        <v>316</v>
      </c>
      <c r="E17" s="208"/>
      <c r="F17" s="208"/>
      <c r="G17" s="208"/>
      <c r="H17" s="103"/>
      <c r="I17" s="209">
        <v>5000</v>
      </c>
      <c r="J17" s="103" t="s">
        <v>18</v>
      </c>
    </row>
    <row r="18" spans="1:11" ht="12.75">
      <c r="C18" s="244" t="s">
        <v>16</v>
      </c>
      <c r="D18" s="108" t="s">
        <v>317</v>
      </c>
      <c r="E18" s="208"/>
      <c r="F18" s="208"/>
      <c r="G18" s="208"/>
      <c r="H18" s="103"/>
      <c r="I18" s="209">
        <v>10000</v>
      </c>
      <c r="J18" s="103" t="s">
        <v>18</v>
      </c>
    </row>
    <row r="19" spans="1:11" ht="12.75">
      <c r="C19" s="244" t="s">
        <v>16</v>
      </c>
      <c r="D19" s="108" t="s">
        <v>318</v>
      </c>
      <c r="E19" s="208"/>
      <c r="F19" s="208"/>
      <c r="G19" s="208"/>
      <c r="H19" s="103"/>
      <c r="I19" s="209">
        <v>5000</v>
      </c>
      <c r="J19" s="103" t="s">
        <v>18</v>
      </c>
    </row>
    <row r="20" spans="1:11" ht="12.75">
      <c r="C20" s="244" t="s">
        <v>16</v>
      </c>
      <c r="D20" s="108" t="s">
        <v>319</v>
      </c>
      <c r="E20" s="208"/>
      <c r="F20" s="208"/>
      <c r="G20" s="208"/>
      <c r="H20" s="103"/>
      <c r="I20" s="209">
        <v>10000</v>
      </c>
      <c r="J20" s="103" t="s">
        <v>18</v>
      </c>
    </row>
    <row r="21" spans="1:11" ht="12.75">
      <c r="C21" s="244" t="s">
        <v>16</v>
      </c>
      <c r="D21" s="108" t="s">
        <v>320</v>
      </c>
      <c r="E21" s="208"/>
      <c r="F21" s="208"/>
      <c r="G21" s="208"/>
      <c r="H21" s="103"/>
      <c r="I21" s="209">
        <v>10000</v>
      </c>
      <c r="J21" s="103" t="s">
        <v>18</v>
      </c>
    </row>
    <row r="22" spans="1:11" ht="12.75">
      <c r="C22" s="244" t="s">
        <v>16</v>
      </c>
      <c r="D22" s="108" t="s">
        <v>321</v>
      </c>
      <c r="E22" s="208"/>
      <c r="F22" s="208"/>
      <c r="G22" s="208"/>
      <c r="H22" s="103"/>
      <c r="I22" s="209">
        <v>20000</v>
      </c>
      <c r="J22" s="103" t="s">
        <v>18</v>
      </c>
    </row>
    <row r="23" spans="1:11">
      <c r="C23" s="21"/>
      <c r="D23" s="21"/>
      <c r="E23" s="21"/>
      <c r="F23" s="21"/>
    </row>
    <row r="24" spans="1:11" s="21" customFormat="1" ht="15.75" customHeight="1">
      <c r="A24" s="13"/>
      <c r="C24" s="575" t="s">
        <v>322</v>
      </c>
      <c r="D24" s="575"/>
      <c r="E24" s="575"/>
      <c r="F24" s="575"/>
      <c r="G24" s="575"/>
      <c r="H24" s="575"/>
      <c r="I24" s="575"/>
      <c r="J24" s="575"/>
      <c r="K24" s="575"/>
    </row>
    <row r="25" spans="1:11" ht="12.75">
      <c r="C25" s="571" t="s">
        <v>313</v>
      </c>
      <c r="D25" s="572"/>
      <c r="E25" s="572"/>
      <c r="F25" s="572"/>
      <c r="G25" s="572"/>
      <c r="H25" s="572"/>
      <c r="I25" s="572"/>
      <c r="J25" s="572"/>
      <c r="K25" s="572"/>
    </row>
    <row r="26" spans="1:11">
      <c r="C26" s="21"/>
      <c r="D26" s="21"/>
      <c r="E26" s="21"/>
      <c r="F26" s="21"/>
    </row>
    <row r="27" spans="1:11" ht="12.75">
      <c r="C27" s="244" t="s">
        <v>16</v>
      </c>
      <c r="D27" s="108" t="s">
        <v>324</v>
      </c>
      <c r="E27" s="208"/>
      <c r="F27" s="208"/>
      <c r="G27" s="208"/>
      <c r="H27" s="103"/>
      <c r="I27" s="287" t="str">
        <f>COTIZACION!$D$13</f>
        <v>10% CON TOPE DE $35,000</v>
      </c>
      <c r="J27" s="103"/>
      <c r="K27" s="103"/>
    </row>
    <row r="28" spans="1:11" ht="12.75">
      <c r="C28" s="244" t="s">
        <v>16</v>
      </c>
      <c r="D28" s="108" t="s">
        <v>330</v>
      </c>
      <c r="E28" s="208"/>
      <c r="F28" s="208"/>
      <c r="G28" s="208"/>
      <c r="H28" s="103"/>
      <c r="I28" s="287" t="str">
        <f>VLOOKUP($I$27,FACTORES!$AK$38:$AN$41,2,0)</f>
        <v>15% CON TOPE DE $45,000</v>
      </c>
      <c r="J28" s="103"/>
    </row>
    <row r="29" spans="1:11" ht="12.75">
      <c r="C29" s="244" t="s">
        <v>16</v>
      </c>
      <c r="D29" s="108" t="s">
        <v>331</v>
      </c>
      <c r="E29" s="208"/>
      <c r="F29" s="208"/>
      <c r="G29" s="208"/>
      <c r="H29" s="103"/>
      <c r="I29" s="287" t="str">
        <f>VLOOKUP($I$27,FACTORES!$AK$38:$AN$41,2,0)</f>
        <v>15% CON TOPE DE $45,000</v>
      </c>
      <c r="J29" s="103"/>
    </row>
    <row r="30" spans="1:11" ht="12.75">
      <c r="C30" s="244" t="s">
        <v>16</v>
      </c>
      <c r="D30" s="108" t="s">
        <v>332</v>
      </c>
      <c r="E30" s="208"/>
      <c r="F30" s="208"/>
      <c r="G30" s="208"/>
      <c r="H30" s="103"/>
      <c r="I30" s="287" t="str">
        <f>VLOOKUP($I$27,FACTORES!$AK$38:$AN$41,2,0)</f>
        <v>15% CON TOPE DE $45,000</v>
      </c>
      <c r="J30" s="103"/>
    </row>
    <row r="31" spans="1:11" ht="12.75">
      <c r="C31" s="244" t="s">
        <v>16</v>
      </c>
      <c r="D31" s="108" t="s">
        <v>333</v>
      </c>
      <c r="E31" s="208"/>
      <c r="F31" s="208"/>
      <c r="G31" s="208"/>
      <c r="H31" s="103"/>
      <c r="I31" s="287" t="str">
        <f>VLOOKUP($I$27,FACTORES!$AK$38:$AN$41,3,0)</f>
        <v>20% CON TOPE DE $60,000</v>
      </c>
      <c r="J31" s="103"/>
    </row>
    <row r="32" spans="1:11" ht="12.75">
      <c r="C32" s="244" t="s">
        <v>16</v>
      </c>
      <c r="D32" s="108" t="s">
        <v>334</v>
      </c>
      <c r="E32" s="208"/>
      <c r="F32" s="208"/>
      <c r="G32" s="208"/>
      <c r="H32" s="103"/>
      <c r="I32" s="287" t="str">
        <f>VLOOKUP($I$27,FACTORES!$AK$38:$AN$41,3,0)</f>
        <v>20% CON TOPE DE $60,000</v>
      </c>
      <c r="J32" s="103"/>
    </row>
    <row r="33" spans="1:10" ht="12.75">
      <c r="C33" s="244" t="s">
        <v>16</v>
      </c>
      <c r="D33" s="108" t="s">
        <v>335</v>
      </c>
      <c r="E33" s="208"/>
      <c r="F33" s="208"/>
      <c r="G33" s="208"/>
      <c r="H33" s="103"/>
      <c r="I33" s="287" t="str">
        <f>VLOOKUP($I$27,FACTORES!$AK$38:$AN$41,3,0)</f>
        <v>20% CON TOPE DE $60,000</v>
      </c>
      <c r="J33" s="103"/>
    </row>
    <row r="34" spans="1:10" ht="12.75">
      <c r="C34" s="244" t="s">
        <v>16</v>
      </c>
      <c r="D34" s="108" t="s">
        <v>321</v>
      </c>
      <c r="E34" s="208"/>
      <c r="F34" s="208"/>
      <c r="G34" s="208"/>
      <c r="H34" s="103"/>
      <c r="I34" s="287" t="str">
        <f>VLOOKUP($I$27,FACTORES!$AK$38:$AN$41,4,0)</f>
        <v>25% CON TOPE DE $80,000</v>
      </c>
    </row>
    <row r="35" spans="1:10">
      <c r="A35" s="100"/>
      <c r="C35" s="21"/>
      <c r="D35" s="21"/>
      <c r="E35" s="21"/>
      <c r="F35" s="21"/>
    </row>
    <row r="36" spans="1:10" ht="10.5" customHeight="1"/>
    <row r="37" spans="1:10" ht="15.75" customHeight="1">
      <c r="B37" s="281"/>
      <c r="C37" s="21"/>
      <c r="D37" s="21"/>
      <c r="E37" s="21"/>
      <c r="F37" s="21"/>
    </row>
    <row r="38" spans="1:10" ht="10.5" customHeight="1"/>
    <row r="39" spans="1:10" hidden="1"/>
    <row r="40" spans="1:10" hidden="1"/>
    <row r="41" spans="1:10" hidden="1"/>
    <row r="42" spans="1:10" hidden="1"/>
    <row r="43" spans="1:10" hidden="1"/>
    <row r="44" spans="1:10" hidden="1"/>
    <row r="45" spans="1:10" hidden="1"/>
    <row r="46" spans="1:10" hidden="1"/>
    <row r="47" spans="1:10" hidden="1"/>
    <row r="48" spans="1:10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spans="1:5" hidden="1"/>
    <row r="130" spans="1:5" hidden="1"/>
    <row r="131" spans="1:5" hidden="1"/>
    <row r="132" spans="1:5" hidden="1"/>
    <row r="133" spans="1:5" hidden="1"/>
    <row r="134" spans="1:5" hidden="1"/>
    <row r="135" spans="1:5" ht="12" hidden="1" customHeight="1"/>
    <row r="136" spans="1:5" hidden="1"/>
    <row r="137" spans="1:5" hidden="1"/>
    <row r="138" spans="1:5" hidden="1"/>
    <row r="139" spans="1:5" ht="12.75" hidden="1">
      <c r="A139"/>
      <c r="B139"/>
      <c r="C139"/>
    </row>
    <row r="140" spans="1:5" ht="12.75" hidden="1">
      <c r="A140"/>
      <c r="B140"/>
      <c r="C140"/>
    </row>
    <row r="141" spans="1:5" s="16" customFormat="1" ht="12.75" hidden="1">
      <c r="A141"/>
      <c r="B141"/>
      <c r="C141"/>
      <c r="D141" s="13"/>
      <c r="E141" s="368"/>
    </row>
    <row r="142" spans="1:5" s="16" customFormat="1" ht="12.75" hidden="1">
      <c r="A142"/>
      <c r="B142"/>
      <c r="C142"/>
      <c r="D142" s="13"/>
      <c r="E142" s="368"/>
    </row>
    <row r="143" spans="1:5" s="16" customFormat="1" ht="12.75" hidden="1">
      <c r="A143"/>
      <c r="B143"/>
      <c r="C143"/>
      <c r="D143" s="13"/>
      <c r="E143" s="368"/>
    </row>
    <row r="144" spans="1:5" s="16" customFormat="1" ht="12.75" hidden="1">
      <c r="A144"/>
      <c r="B144"/>
      <c r="C144"/>
      <c r="D144" s="13"/>
      <c r="E144" s="368"/>
    </row>
    <row r="145" spans="1:5" s="16" customFormat="1" ht="12.75" hidden="1">
      <c r="A145"/>
      <c r="B145"/>
      <c r="C145"/>
      <c r="D145" s="13"/>
      <c r="E145" s="368"/>
    </row>
    <row r="146" spans="1:5" s="16" customFormat="1" ht="12.75" hidden="1">
      <c r="A146"/>
      <c r="B146"/>
      <c r="C146"/>
      <c r="D146" s="13"/>
      <c r="E146" s="368"/>
    </row>
    <row r="147" spans="1:5" s="16" customFormat="1" ht="12.75" hidden="1">
      <c r="A147"/>
      <c r="B147"/>
      <c r="C147"/>
      <c r="D147" s="13"/>
      <c r="E147" s="368"/>
    </row>
    <row r="148" spans="1:5" s="16" customFormat="1" ht="12.75" hidden="1">
      <c r="A148"/>
      <c r="B148"/>
      <c r="C148"/>
      <c r="D148" s="13"/>
      <c r="E148" s="368"/>
    </row>
    <row r="149" spans="1:5" s="16" customFormat="1" ht="12.75" hidden="1">
      <c r="A149"/>
      <c r="B149"/>
      <c r="C149"/>
      <c r="D149" s="13"/>
    </row>
    <row r="150" spans="1:5" s="16" customFormat="1" ht="12.75" hidden="1">
      <c r="A150"/>
      <c r="B150"/>
      <c r="C150"/>
      <c r="D150" s="13"/>
    </row>
    <row r="151" spans="1:5" s="16" customFormat="1" ht="12.75" hidden="1">
      <c r="A151"/>
      <c r="B151"/>
      <c r="C151"/>
      <c r="D151" s="13"/>
    </row>
    <row r="152" spans="1:5" s="16" customFormat="1" ht="12.75" hidden="1">
      <c r="A152"/>
      <c r="B152"/>
      <c r="C152"/>
      <c r="D152" s="13"/>
    </row>
    <row r="153" spans="1:5" s="16" customFormat="1" ht="12.75" hidden="1">
      <c r="A153"/>
      <c r="B153"/>
      <c r="C153"/>
      <c r="D153" s="13"/>
    </row>
    <row r="154" spans="1:5" s="16" customFormat="1" ht="12.75" hidden="1">
      <c r="A154"/>
      <c r="B154"/>
      <c r="C154"/>
      <c r="D154" s="13"/>
    </row>
    <row r="155" spans="1:5" s="16" customFormat="1" ht="12.75" hidden="1">
      <c r="A155"/>
      <c r="B155"/>
      <c r="C155"/>
      <c r="D155" s="13"/>
    </row>
    <row r="156" spans="1:5" s="16" customFormat="1" ht="12.75" hidden="1">
      <c r="A156"/>
      <c r="B156"/>
      <c r="C156"/>
      <c r="D156" s="13"/>
    </row>
    <row r="157" spans="1:5" s="16" customFormat="1" ht="12.75" hidden="1">
      <c r="A157"/>
      <c r="B157"/>
      <c r="C157"/>
      <c r="D157" s="13"/>
    </row>
    <row r="158" spans="1:5" s="16" customFormat="1" hidden="1">
      <c r="A158" s="80"/>
      <c r="B158" s="80"/>
      <c r="D158" s="13"/>
    </row>
    <row r="159" spans="1:5" s="16" customFormat="1" hidden="1">
      <c r="A159" s="80"/>
      <c r="B159" s="80"/>
      <c r="D159" s="13"/>
    </row>
    <row r="160" spans="1:5" s="16" customFormat="1" hidden="1">
      <c r="A160" s="80"/>
      <c r="B160" s="80"/>
      <c r="D160" s="13"/>
    </row>
    <row r="161" spans="1:4" s="16" customFormat="1" hidden="1">
      <c r="A161" s="80"/>
      <c r="B161" s="80"/>
      <c r="D161" s="13"/>
    </row>
    <row r="162" spans="1:4" s="16" customFormat="1" hidden="1">
      <c r="A162" s="80"/>
      <c r="B162" s="80"/>
      <c r="D162" s="13"/>
    </row>
    <row r="163" spans="1:4" s="16" customFormat="1" hidden="1">
      <c r="A163" s="80"/>
      <c r="B163" s="80"/>
      <c r="D163" s="13"/>
    </row>
    <row r="164" spans="1:4" s="16" customFormat="1" hidden="1">
      <c r="A164" s="80"/>
      <c r="B164" s="80"/>
      <c r="D164" s="13"/>
    </row>
    <row r="165" spans="1:4" s="16" customFormat="1" hidden="1">
      <c r="A165" s="80"/>
      <c r="B165" s="80"/>
      <c r="D165" s="13"/>
    </row>
    <row r="166" spans="1:4" s="16" customFormat="1" hidden="1">
      <c r="A166" s="80"/>
      <c r="B166" s="80"/>
      <c r="D166" s="13"/>
    </row>
    <row r="167" spans="1:4" s="16" customFormat="1" hidden="1">
      <c r="A167" s="80"/>
      <c r="B167" s="80"/>
      <c r="D167" s="13"/>
    </row>
    <row r="168" spans="1:4" s="16" customFormat="1" hidden="1">
      <c r="A168" s="80"/>
      <c r="B168" s="80"/>
      <c r="D168" s="13"/>
    </row>
    <row r="169" spans="1:4" s="16" customFormat="1" hidden="1">
      <c r="A169" s="80"/>
      <c r="B169" s="80"/>
      <c r="D169" s="13"/>
    </row>
    <row r="170" spans="1:4" s="16" customFormat="1">
      <c r="A170" s="80"/>
      <c r="B170" s="80"/>
      <c r="D170" s="13"/>
    </row>
    <row r="171" spans="1:4" ht="10.5" customHeight="1"/>
    <row r="172" spans="1:4" ht="10.5" customHeight="1"/>
    <row r="173" spans="1:4" ht="10.5" customHeight="1"/>
    <row r="174" spans="1:4" ht="10.5" customHeight="1"/>
    <row r="175" spans="1:4" ht="10.5" customHeight="1"/>
    <row r="176" spans="1:4" ht="10.5" customHeight="1"/>
    <row r="177" ht="10.5" customHeight="1"/>
  </sheetData>
  <sheetProtection password="F6B9" sheet="1" objects="1" scenarios="1"/>
  <mergeCells count="5">
    <mergeCell ref="C25:K25"/>
    <mergeCell ref="B9:K10"/>
    <mergeCell ref="C12:K12"/>
    <mergeCell ref="C13:K13"/>
    <mergeCell ref="C24:K24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2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B1:P104"/>
  <sheetViews>
    <sheetView windowProtection="1" showGridLines="0" zoomScaleNormal="100" workbookViewId="0">
      <selection activeCell="B12" sqref="B12:I12"/>
    </sheetView>
  </sheetViews>
  <sheetFormatPr baseColWidth="10" defaultColWidth="11.42578125" defaultRowHeight="12.75" zeroHeight="1"/>
  <cols>
    <col min="1" max="1" width="2.42578125" style="115" customWidth="1"/>
    <col min="2" max="2" width="7.42578125" style="122" hidden="1" customWidth="1"/>
    <col min="3" max="4" width="11.28515625" style="115" hidden="1" customWidth="1"/>
    <col min="5" max="5" width="1.85546875" style="115" hidden="1" customWidth="1"/>
    <col min="6" max="6" width="7.42578125" style="122" hidden="1" customWidth="1"/>
    <col min="7" max="8" width="11.28515625" style="115" hidden="1" customWidth="1"/>
    <col min="9" max="9" width="1.85546875" style="115" hidden="1" customWidth="1"/>
    <col min="10" max="10" width="6.7109375" style="122" hidden="1" customWidth="1"/>
    <col min="11" max="12" width="11.28515625" style="115" hidden="1" customWidth="1"/>
    <col min="13" max="13" width="1.85546875" style="115" hidden="1" customWidth="1"/>
    <col min="14" max="14" width="6.7109375" style="122" hidden="1" customWidth="1"/>
    <col min="15" max="16" width="11.28515625" style="115" hidden="1" customWidth="1"/>
    <col min="17" max="27" width="0" style="115" hidden="1" customWidth="1"/>
    <col min="28" max="16384" width="11.42578125" style="115"/>
  </cols>
  <sheetData>
    <row r="1" spans="2:16">
      <c r="J1" s="256" t="s">
        <v>247</v>
      </c>
      <c r="N1" s="256" t="s">
        <v>248</v>
      </c>
    </row>
    <row r="2" spans="2:16" hidden="1">
      <c r="B2" s="254" t="s">
        <v>242</v>
      </c>
      <c r="F2" s="253" t="s">
        <v>246</v>
      </c>
      <c r="G2" s="230"/>
      <c r="H2" s="230"/>
      <c r="J2" s="252" t="s">
        <v>245</v>
      </c>
      <c r="K2" s="250"/>
      <c r="L2" s="250"/>
      <c r="N2" s="252" t="s">
        <v>245</v>
      </c>
      <c r="O2" s="250"/>
      <c r="P2" s="250"/>
    </row>
    <row r="3" spans="2:16" hidden="1">
      <c r="B3" s="231" t="s">
        <v>5</v>
      </c>
      <c r="C3" s="232" t="s">
        <v>3</v>
      </c>
      <c r="D3" s="233" t="s">
        <v>4</v>
      </c>
      <c r="F3" s="231" t="s">
        <v>5</v>
      </c>
      <c r="G3" s="232" t="s">
        <v>3</v>
      </c>
      <c r="H3" s="233" t="s">
        <v>4</v>
      </c>
      <c r="J3" s="231" t="s">
        <v>5</v>
      </c>
      <c r="K3" s="232" t="s">
        <v>3</v>
      </c>
      <c r="L3" s="233" t="s">
        <v>4</v>
      </c>
      <c r="N3" s="231" t="s">
        <v>5</v>
      </c>
      <c r="O3" s="232" t="s">
        <v>3</v>
      </c>
      <c r="P3" s="233" t="s">
        <v>4</v>
      </c>
    </row>
    <row r="4" spans="2:16" hidden="1">
      <c r="B4" s="157">
        <v>0</v>
      </c>
      <c r="C4" s="111">
        <v>3860.33</v>
      </c>
      <c r="D4" s="148">
        <v>3860.33</v>
      </c>
      <c r="F4" s="157">
        <v>0</v>
      </c>
      <c r="G4" s="111">
        <f>+C4*1.12</f>
        <v>4323.5696000000007</v>
      </c>
      <c r="H4" s="148">
        <f>+D4*1.12</f>
        <v>4323.5696000000007</v>
      </c>
      <c r="J4" s="157">
        <v>0</v>
      </c>
      <c r="K4" s="111">
        <f>+G4*1.4</f>
        <v>6052.997440000001</v>
      </c>
      <c r="L4" s="148">
        <f t="shared" ref="L4:L23" si="0">+H4*1.4</f>
        <v>6052.997440000001</v>
      </c>
      <c r="N4" s="157">
        <v>0</v>
      </c>
      <c r="O4" s="111">
        <f>+G4*1.2</f>
        <v>5188.2835200000009</v>
      </c>
      <c r="P4" s="148">
        <f t="shared" ref="P4:P23" si="1">+H4*1.2</f>
        <v>5188.2835200000009</v>
      </c>
    </row>
    <row r="5" spans="2:16" hidden="1">
      <c r="B5" s="158">
        <v>1</v>
      </c>
      <c r="C5" s="147">
        <v>3860.33</v>
      </c>
      <c r="D5" s="150">
        <v>3860.33</v>
      </c>
      <c r="F5" s="158">
        <v>1</v>
      </c>
      <c r="G5" s="147">
        <f t="shared" ref="G5:H20" si="2">+C5*1.12</f>
        <v>4323.5696000000007</v>
      </c>
      <c r="H5" s="150">
        <f t="shared" si="2"/>
        <v>4323.5696000000007</v>
      </c>
      <c r="J5" s="158">
        <v>1</v>
      </c>
      <c r="K5" s="147">
        <f t="shared" ref="K5:K22" si="3">+G5*1.4</f>
        <v>6052.997440000001</v>
      </c>
      <c r="L5" s="150">
        <f t="shared" si="0"/>
        <v>6052.997440000001</v>
      </c>
      <c r="N5" s="158">
        <v>1</v>
      </c>
      <c r="O5" s="147">
        <f t="shared" ref="O5:O22" si="4">+G5*1.2</f>
        <v>5188.2835200000009</v>
      </c>
      <c r="P5" s="150">
        <f t="shared" si="1"/>
        <v>5188.2835200000009</v>
      </c>
    </row>
    <row r="6" spans="2:16" hidden="1">
      <c r="B6" s="157">
        <v>2</v>
      </c>
      <c r="C6" s="111">
        <v>3860.33</v>
      </c>
      <c r="D6" s="148">
        <v>3860.33</v>
      </c>
      <c r="F6" s="157">
        <v>2</v>
      </c>
      <c r="G6" s="111">
        <f t="shared" si="2"/>
        <v>4323.5696000000007</v>
      </c>
      <c r="H6" s="148">
        <f t="shared" si="2"/>
        <v>4323.5696000000007</v>
      </c>
      <c r="J6" s="157">
        <v>2</v>
      </c>
      <c r="K6" s="111">
        <f t="shared" si="3"/>
        <v>6052.997440000001</v>
      </c>
      <c r="L6" s="148">
        <f t="shared" si="0"/>
        <v>6052.997440000001</v>
      </c>
      <c r="N6" s="157">
        <v>2</v>
      </c>
      <c r="O6" s="111">
        <f t="shared" si="4"/>
        <v>5188.2835200000009</v>
      </c>
      <c r="P6" s="148">
        <f t="shared" si="1"/>
        <v>5188.2835200000009</v>
      </c>
    </row>
    <row r="7" spans="2:16" hidden="1">
      <c r="B7" s="158">
        <v>3</v>
      </c>
      <c r="C7" s="147">
        <v>3860.33</v>
      </c>
      <c r="D7" s="150">
        <v>3860.33</v>
      </c>
      <c r="F7" s="158">
        <v>3</v>
      </c>
      <c r="G7" s="147">
        <f t="shared" si="2"/>
        <v>4323.5696000000007</v>
      </c>
      <c r="H7" s="150">
        <f t="shared" si="2"/>
        <v>4323.5696000000007</v>
      </c>
      <c r="J7" s="158">
        <v>3</v>
      </c>
      <c r="K7" s="147">
        <f t="shared" si="3"/>
        <v>6052.997440000001</v>
      </c>
      <c r="L7" s="150">
        <f t="shared" si="0"/>
        <v>6052.997440000001</v>
      </c>
      <c r="N7" s="158">
        <v>3</v>
      </c>
      <c r="O7" s="147">
        <f t="shared" si="4"/>
        <v>5188.2835200000009</v>
      </c>
      <c r="P7" s="150">
        <f t="shared" si="1"/>
        <v>5188.2835200000009</v>
      </c>
    </row>
    <row r="8" spans="2:16" hidden="1">
      <c r="B8" s="157">
        <v>4</v>
      </c>
      <c r="C8" s="111">
        <v>3860.33</v>
      </c>
      <c r="D8" s="148">
        <v>3860.33</v>
      </c>
      <c r="F8" s="157">
        <v>4</v>
      </c>
      <c r="G8" s="111">
        <f t="shared" si="2"/>
        <v>4323.5696000000007</v>
      </c>
      <c r="H8" s="148">
        <f t="shared" si="2"/>
        <v>4323.5696000000007</v>
      </c>
      <c r="J8" s="157">
        <v>4</v>
      </c>
      <c r="K8" s="111">
        <f t="shared" si="3"/>
        <v>6052.997440000001</v>
      </c>
      <c r="L8" s="148">
        <f t="shared" si="0"/>
        <v>6052.997440000001</v>
      </c>
      <c r="N8" s="157">
        <v>4</v>
      </c>
      <c r="O8" s="111">
        <f t="shared" si="4"/>
        <v>5188.2835200000009</v>
      </c>
      <c r="P8" s="148">
        <f t="shared" si="1"/>
        <v>5188.2835200000009</v>
      </c>
    </row>
    <row r="9" spans="2:16" hidden="1">
      <c r="B9" s="158">
        <v>5</v>
      </c>
      <c r="C9" s="147">
        <v>3860.33</v>
      </c>
      <c r="D9" s="150">
        <v>3860.33</v>
      </c>
      <c r="F9" s="158">
        <v>5</v>
      </c>
      <c r="G9" s="147">
        <f t="shared" si="2"/>
        <v>4323.5696000000007</v>
      </c>
      <c r="H9" s="150">
        <f t="shared" si="2"/>
        <v>4323.5696000000007</v>
      </c>
      <c r="J9" s="158">
        <v>5</v>
      </c>
      <c r="K9" s="147">
        <f t="shared" si="3"/>
        <v>6052.997440000001</v>
      </c>
      <c r="L9" s="150">
        <f t="shared" si="0"/>
        <v>6052.997440000001</v>
      </c>
      <c r="N9" s="158">
        <v>5</v>
      </c>
      <c r="O9" s="147">
        <f t="shared" si="4"/>
        <v>5188.2835200000009</v>
      </c>
      <c r="P9" s="150">
        <f t="shared" si="1"/>
        <v>5188.2835200000009</v>
      </c>
    </row>
    <row r="10" spans="2:16" hidden="1">
      <c r="B10" s="157">
        <v>6</v>
      </c>
      <c r="C10" s="111">
        <v>3860.33</v>
      </c>
      <c r="D10" s="148">
        <v>3860.33</v>
      </c>
      <c r="F10" s="157">
        <v>6</v>
      </c>
      <c r="G10" s="111">
        <f t="shared" si="2"/>
        <v>4323.5696000000007</v>
      </c>
      <c r="H10" s="148">
        <f t="shared" si="2"/>
        <v>4323.5696000000007</v>
      </c>
      <c r="J10" s="157">
        <v>6</v>
      </c>
      <c r="K10" s="111">
        <f t="shared" si="3"/>
        <v>6052.997440000001</v>
      </c>
      <c r="L10" s="148">
        <f t="shared" si="0"/>
        <v>6052.997440000001</v>
      </c>
      <c r="N10" s="157">
        <v>6</v>
      </c>
      <c r="O10" s="111">
        <f t="shared" si="4"/>
        <v>5188.2835200000009</v>
      </c>
      <c r="P10" s="148">
        <f t="shared" si="1"/>
        <v>5188.2835200000009</v>
      </c>
    </row>
    <row r="11" spans="2:16" hidden="1">
      <c r="B11" s="158">
        <v>7</v>
      </c>
      <c r="C11" s="147">
        <v>3860.33</v>
      </c>
      <c r="D11" s="150">
        <v>3860.33</v>
      </c>
      <c r="F11" s="158">
        <v>7</v>
      </c>
      <c r="G11" s="147">
        <f t="shared" si="2"/>
        <v>4323.5696000000007</v>
      </c>
      <c r="H11" s="150">
        <f t="shared" si="2"/>
        <v>4323.5696000000007</v>
      </c>
      <c r="J11" s="158">
        <v>7</v>
      </c>
      <c r="K11" s="147">
        <f t="shared" si="3"/>
        <v>6052.997440000001</v>
      </c>
      <c r="L11" s="150">
        <f t="shared" si="0"/>
        <v>6052.997440000001</v>
      </c>
      <c r="N11" s="158">
        <v>7</v>
      </c>
      <c r="O11" s="147">
        <f t="shared" si="4"/>
        <v>5188.2835200000009</v>
      </c>
      <c r="P11" s="150">
        <f t="shared" si="1"/>
        <v>5188.2835200000009</v>
      </c>
    </row>
    <row r="12" spans="2:16" hidden="1">
      <c r="B12" s="157">
        <v>8</v>
      </c>
      <c r="C12" s="111">
        <v>3860.33</v>
      </c>
      <c r="D12" s="148">
        <v>3860.33</v>
      </c>
      <c r="F12" s="157">
        <v>8</v>
      </c>
      <c r="G12" s="111">
        <f t="shared" si="2"/>
        <v>4323.5696000000007</v>
      </c>
      <c r="H12" s="148">
        <f t="shared" si="2"/>
        <v>4323.5696000000007</v>
      </c>
      <c r="J12" s="157">
        <v>8</v>
      </c>
      <c r="K12" s="111">
        <f t="shared" si="3"/>
        <v>6052.997440000001</v>
      </c>
      <c r="L12" s="148">
        <f t="shared" si="0"/>
        <v>6052.997440000001</v>
      </c>
      <c r="N12" s="157">
        <v>8</v>
      </c>
      <c r="O12" s="111">
        <f t="shared" si="4"/>
        <v>5188.2835200000009</v>
      </c>
      <c r="P12" s="148">
        <f t="shared" si="1"/>
        <v>5188.2835200000009</v>
      </c>
    </row>
    <row r="13" spans="2:16" hidden="1">
      <c r="B13" s="158">
        <v>9</v>
      </c>
      <c r="C13" s="147">
        <v>3860.33</v>
      </c>
      <c r="D13" s="150">
        <v>3860.33</v>
      </c>
      <c r="F13" s="158">
        <v>9</v>
      </c>
      <c r="G13" s="147">
        <f t="shared" si="2"/>
        <v>4323.5696000000007</v>
      </c>
      <c r="H13" s="150">
        <f t="shared" si="2"/>
        <v>4323.5696000000007</v>
      </c>
      <c r="J13" s="158">
        <v>9</v>
      </c>
      <c r="K13" s="147">
        <f t="shared" si="3"/>
        <v>6052.997440000001</v>
      </c>
      <c r="L13" s="150">
        <f t="shared" si="0"/>
        <v>6052.997440000001</v>
      </c>
      <c r="N13" s="158">
        <v>9</v>
      </c>
      <c r="O13" s="147">
        <f t="shared" si="4"/>
        <v>5188.2835200000009</v>
      </c>
      <c r="P13" s="150">
        <f t="shared" si="1"/>
        <v>5188.2835200000009</v>
      </c>
    </row>
    <row r="14" spans="2:16" hidden="1">
      <c r="B14" s="157">
        <v>10</v>
      </c>
      <c r="C14" s="111">
        <v>3860.33</v>
      </c>
      <c r="D14" s="148">
        <v>3860.33</v>
      </c>
      <c r="F14" s="157">
        <v>10</v>
      </c>
      <c r="G14" s="111">
        <f t="shared" si="2"/>
        <v>4323.5696000000007</v>
      </c>
      <c r="H14" s="148">
        <f t="shared" si="2"/>
        <v>4323.5696000000007</v>
      </c>
      <c r="J14" s="157">
        <v>10</v>
      </c>
      <c r="K14" s="111">
        <f t="shared" si="3"/>
        <v>6052.997440000001</v>
      </c>
      <c r="L14" s="148">
        <f t="shared" si="0"/>
        <v>6052.997440000001</v>
      </c>
      <c r="N14" s="157">
        <v>10</v>
      </c>
      <c r="O14" s="111">
        <f t="shared" si="4"/>
        <v>5188.2835200000009</v>
      </c>
      <c r="P14" s="148">
        <f t="shared" si="1"/>
        <v>5188.2835200000009</v>
      </c>
    </row>
    <row r="15" spans="2:16" hidden="1">
      <c r="B15" s="158">
        <v>11</v>
      </c>
      <c r="C15" s="147">
        <v>3860.33</v>
      </c>
      <c r="D15" s="150">
        <v>3860.33</v>
      </c>
      <c r="F15" s="158">
        <v>11</v>
      </c>
      <c r="G15" s="147">
        <f t="shared" si="2"/>
        <v>4323.5696000000007</v>
      </c>
      <c r="H15" s="150">
        <f t="shared" si="2"/>
        <v>4323.5696000000007</v>
      </c>
      <c r="J15" s="158">
        <v>11</v>
      </c>
      <c r="K15" s="147">
        <f t="shared" si="3"/>
        <v>6052.997440000001</v>
      </c>
      <c r="L15" s="150">
        <f t="shared" si="0"/>
        <v>6052.997440000001</v>
      </c>
      <c r="N15" s="158">
        <v>11</v>
      </c>
      <c r="O15" s="147">
        <f t="shared" si="4"/>
        <v>5188.2835200000009</v>
      </c>
      <c r="P15" s="150">
        <f t="shared" si="1"/>
        <v>5188.2835200000009</v>
      </c>
    </row>
    <row r="16" spans="2:16" hidden="1">
      <c r="B16" s="157">
        <v>12</v>
      </c>
      <c r="C16" s="111">
        <v>3860.33</v>
      </c>
      <c r="D16" s="148">
        <v>3860.33</v>
      </c>
      <c r="F16" s="157">
        <v>12</v>
      </c>
      <c r="G16" s="111">
        <f t="shared" si="2"/>
        <v>4323.5696000000007</v>
      </c>
      <c r="H16" s="148">
        <f t="shared" si="2"/>
        <v>4323.5696000000007</v>
      </c>
      <c r="J16" s="157">
        <v>12</v>
      </c>
      <c r="K16" s="111">
        <f t="shared" si="3"/>
        <v>6052.997440000001</v>
      </c>
      <c r="L16" s="148">
        <f t="shared" si="0"/>
        <v>6052.997440000001</v>
      </c>
      <c r="N16" s="157">
        <v>12</v>
      </c>
      <c r="O16" s="111">
        <f t="shared" si="4"/>
        <v>5188.2835200000009</v>
      </c>
      <c r="P16" s="148">
        <f t="shared" si="1"/>
        <v>5188.2835200000009</v>
      </c>
    </row>
    <row r="17" spans="2:16" hidden="1">
      <c r="B17" s="158">
        <v>13</v>
      </c>
      <c r="C17" s="147">
        <v>3860.33</v>
      </c>
      <c r="D17" s="150">
        <v>3860.33</v>
      </c>
      <c r="F17" s="158">
        <v>13</v>
      </c>
      <c r="G17" s="147">
        <f t="shared" si="2"/>
        <v>4323.5696000000007</v>
      </c>
      <c r="H17" s="150">
        <f t="shared" si="2"/>
        <v>4323.5696000000007</v>
      </c>
      <c r="J17" s="158">
        <v>13</v>
      </c>
      <c r="K17" s="147">
        <f t="shared" si="3"/>
        <v>6052.997440000001</v>
      </c>
      <c r="L17" s="150">
        <f t="shared" si="0"/>
        <v>6052.997440000001</v>
      </c>
      <c r="N17" s="158">
        <v>13</v>
      </c>
      <c r="O17" s="147">
        <f t="shared" si="4"/>
        <v>5188.2835200000009</v>
      </c>
      <c r="P17" s="150">
        <f t="shared" si="1"/>
        <v>5188.2835200000009</v>
      </c>
    </row>
    <row r="18" spans="2:16" hidden="1">
      <c r="B18" s="157">
        <v>14</v>
      </c>
      <c r="C18" s="111">
        <v>3860.33</v>
      </c>
      <c r="D18" s="148">
        <v>3860.33</v>
      </c>
      <c r="F18" s="157">
        <v>14</v>
      </c>
      <c r="G18" s="111">
        <f t="shared" si="2"/>
        <v>4323.5696000000007</v>
      </c>
      <c r="H18" s="148">
        <f t="shared" si="2"/>
        <v>4323.5696000000007</v>
      </c>
      <c r="J18" s="157">
        <v>14</v>
      </c>
      <c r="K18" s="111">
        <f t="shared" si="3"/>
        <v>6052.997440000001</v>
      </c>
      <c r="L18" s="148">
        <f t="shared" si="0"/>
        <v>6052.997440000001</v>
      </c>
      <c r="N18" s="157">
        <v>14</v>
      </c>
      <c r="O18" s="111">
        <f t="shared" si="4"/>
        <v>5188.2835200000009</v>
      </c>
      <c r="P18" s="148">
        <f t="shared" si="1"/>
        <v>5188.2835200000009</v>
      </c>
    </row>
    <row r="19" spans="2:16" hidden="1">
      <c r="B19" s="158">
        <v>15</v>
      </c>
      <c r="C19" s="147">
        <v>3860.33</v>
      </c>
      <c r="D19" s="150">
        <v>3860.33</v>
      </c>
      <c r="F19" s="158">
        <v>15</v>
      </c>
      <c r="G19" s="147">
        <f t="shared" si="2"/>
        <v>4323.5696000000007</v>
      </c>
      <c r="H19" s="150">
        <f t="shared" si="2"/>
        <v>4323.5696000000007</v>
      </c>
      <c r="J19" s="158">
        <v>15</v>
      </c>
      <c r="K19" s="147">
        <f t="shared" si="3"/>
        <v>6052.997440000001</v>
      </c>
      <c r="L19" s="150">
        <f t="shared" si="0"/>
        <v>6052.997440000001</v>
      </c>
      <c r="N19" s="158">
        <v>15</v>
      </c>
      <c r="O19" s="147">
        <f t="shared" si="4"/>
        <v>5188.2835200000009</v>
      </c>
      <c r="P19" s="150">
        <f t="shared" si="1"/>
        <v>5188.2835200000009</v>
      </c>
    </row>
    <row r="20" spans="2:16" hidden="1">
      <c r="B20" s="157">
        <v>16</v>
      </c>
      <c r="C20" s="111">
        <v>3860.33</v>
      </c>
      <c r="D20" s="148">
        <v>3860.33</v>
      </c>
      <c r="F20" s="157">
        <v>16</v>
      </c>
      <c r="G20" s="111">
        <f t="shared" si="2"/>
        <v>4323.5696000000007</v>
      </c>
      <c r="H20" s="148">
        <f t="shared" si="2"/>
        <v>4323.5696000000007</v>
      </c>
      <c r="J20" s="157">
        <v>16</v>
      </c>
      <c r="K20" s="111">
        <f t="shared" si="3"/>
        <v>6052.997440000001</v>
      </c>
      <c r="L20" s="148">
        <f t="shared" si="0"/>
        <v>6052.997440000001</v>
      </c>
      <c r="N20" s="157">
        <v>16</v>
      </c>
      <c r="O20" s="111">
        <f t="shared" si="4"/>
        <v>5188.2835200000009</v>
      </c>
      <c r="P20" s="148">
        <f t="shared" si="1"/>
        <v>5188.2835200000009</v>
      </c>
    </row>
    <row r="21" spans="2:16" hidden="1">
      <c r="B21" s="158">
        <v>17</v>
      </c>
      <c r="C21" s="147">
        <v>3860.33</v>
      </c>
      <c r="D21" s="150">
        <v>3860.33</v>
      </c>
      <c r="F21" s="158">
        <v>17</v>
      </c>
      <c r="G21" s="147">
        <f t="shared" ref="G21:H72" si="5">+C21*1.12</f>
        <v>4323.5696000000007</v>
      </c>
      <c r="H21" s="150">
        <f t="shared" si="5"/>
        <v>4323.5696000000007</v>
      </c>
      <c r="J21" s="158">
        <v>17</v>
      </c>
      <c r="K21" s="147">
        <f t="shared" si="3"/>
        <v>6052.997440000001</v>
      </c>
      <c r="L21" s="150">
        <f t="shared" si="0"/>
        <v>6052.997440000001</v>
      </c>
      <c r="N21" s="158">
        <v>17</v>
      </c>
      <c r="O21" s="147">
        <f t="shared" si="4"/>
        <v>5188.2835200000009</v>
      </c>
      <c r="P21" s="150">
        <f t="shared" si="1"/>
        <v>5188.2835200000009</v>
      </c>
    </row>
    <row r="22" spans="2:16" hidden="1">
      <c r="B22" s="157">
        <v>18</v>
      </c>
      <c r="C22" s="111">
        <v>3860.33</v>
      </c>
      <c r="D22" s="148">
        <v>3860.33</v>
      </c>
      <c r="F22" s="157">
        <v>18</v>
      </c>
      <c r="G22" s="111">
        <f t="shared" si="5"/>
        <v>4323.5696000000007</v>
      </c>
      <c r="H22" s="148">
        <f t="shared" si="5"/>
        <v>4323.5696000000007</v>
      </c>
      <c r="J22" s="157">
        <v>18</v>
      </c>
      <c r="K22" s="111">
        <f t="shared" si="3"/>
        <v>6052.997440000001</v>
      </c>
      <c r="L22" s="148">
        <f t="shared" si="0"/>
        <v>6052.997440000001</v>
      </c>
      <c r="N22" s="157">
        <v>18</v>
      </c>
      <c r="O22" s="111">
        <f t="shared" si="4"/>
        <v>5188.2835200000009</v>
      </c>
      <c r="P22" s="148">
        <f t="shared" si="1"/>
        <v>5188.2835200000009</v>
      </c>
    </row>
    <row r="23" spans="2:16" hidden="1">
      <c r="B23" s="158">
        <v>19</v>
      </c>
      <c r="C23" s="147">
        <v>3860.33</v>
      </c>
      <c r="D23" s="150">
        <v>3860.33</v>
      </c>
      <c r="F23" s="158">
        <v>19</v>
      </c>
      <c r="G23" s="147">
        <f t="shared" si="5"/>
        <v>4323.5696000000007</v>
      </c>
      <c r="H23" s="150">
        <f t="shared" si="5"/>
        <v>4323.5696000000007</v>
      </c>
      <c r="J23" s="158">
        <v>19</v>
      </c>
      <c r="K23" s="147">
        <f>+G23*1.4</f>
        <v>6052.997440000001</v>
      </c>
      <c r="L23" s="150">
        <f t="shared" si="0"/>
        <v>6052.997440000001</v>
      </c>
      <c r="N23" s="158">
        <v>19</v>
      </c>
      <c r="O23" s="147">
        <f>+G23*1.2</f>
        <v>5188.2835200000009</v>
      </c>
      <c r="P23" s="150">
        <f t="shared" si="1"/>
        <v>5188.2835200000009</v>
      </c>
    </row>
    <row r="24" spans="2:16" hidden="1">
      <c r="B24" s="157">
        <v>20</v>
      </c>
      <c r="C24" s="111">
        <v>5204.2</v>
      </c>
      <c r="D24" s="148">
        <v>6177.15</v>
      </c>
      <c r="F24" s="157">
        <v>20</v>
      </c>
      <c r="G24" s="111">
        <f t="shared" si="5"/>
        <v>5828.7040000000006</v>
      </c>
      <c r="H24" s="148">
        <f t="shared" si="5"/>
        <v>6918.4080000000004</v>
      </c>
      <c r="J24" s="157">
        <v>20</v>
      </c>
      <c r="K24" s="111">
        <f>+G24*1.2</f>
        <v>6994.4448000000002</v>
      </c>
      <c r="L24" s="148">
        <f t="shared" ref="L24:L87" si="6">+H24*1.2</f>
        <v>8302.0895999999993</v>
      </c>
      <c r="N24" s="157">
        <v>20</v>
      </c>
      <c r="O24" s="111">
        <f>+G24*1.15</f>
        <v>6703.0096000000003</v>
      </c>
      <c r="P24" s="148">
        <f t="shared" ref="P24:P87" si="7">+H24*1.15</f>
        <v>7956.1691999999994</v>
      </c>
    </row>
    <row r="25" spans="2:16" hidden="1">
      <c r="B25" s="158">
        <v>21</v>
      </c>
      <c r="C25" s="147">
        <v>5749.06</v>
      </c>
      <c r="D25" s="150">
        <v>7225.07</v>
      </c>
      <c r="F25" s="158">
        <v>21</v>
      </c>
      <c r="G25" s="147">
        <f t="shared" si="5"/>
        <v>6438.9472000000014</v>
      </c>
      <c r="H25" s="150">
        <f t="shared" si="5"/>
        <v>8092.0784000000003</v>
      </c>
      <c r="J25" s="158">
        <v>21</v>
      </c>
      <c r="K25" s="147">
        <f t="shared" ref="K25:L88" si="8">+G25*1.2</f>
        <v>7726.736640000001</v>
      </c>
      <c r="L25" s="150">
        <f t="shared" si="6"/>
        <v>9710.4940800000004</v>
      </c>
      <c r="N25" s="158">
        <v>21</v>
      </c>
      <c r="O25" s="147">
        <f t="shared" ref="O25:P88" si="9">+G25*1.15</f>
        <v>7404.7892800000009</v>
      </c>
      <c r="P25" s="150">
        <f t="shared" si="7"/>
        <v>9305.890159999999</v>
      </c>
    </row>
    <row r="26" spans="2:16" hidden="1">
      <c r="B26" s="157">
        <v>22</v>
      </c>
      <c r="C26" s="111">
        <v>6350.96</v>
      </c>
      <c r="D26" s="148">
        <v>8450.77</v>
      </c>
      <c r="F26" s="157">
        <v>22</v>
      </c>
      <c r="G26" s="111">
        <f t="shared" si="5"/>
        <v>7113.0752000000011</v>
      </c>
      <c r="H26" s="148">
        <f t="shared" si="5"/>
        <v>9464.8624000000018</v>
      </c>
      <c r="J26" s="157">
        <v>22</v>
      </c>
      <c r="K26" s="111">
        <f t="shared" si="8"/>
        <v>8535.6902400000017</v>
      </c>
      <c r="L26" s="148">
        <f t="shared" si="6"/>
        <v>11357.834880000002</v>
      </c>
      <c r="N26" s="157">
        <v>22</v>
      </c>
      <c r="O26" s="111">
        <f t="shared" si="9"/>
        <v>8180.0364800000007</v>
      </c>
      <c r="P26" s="148">
        <f t="shared" si="7"/>
        <v>10884.591760000001</v>
      </c>
    </row>
    <row r="27" spans="2:16" hidden="1">
      <c r="B27" s="158">
        <v>23</v>
      </c>
      <c r="C27" s="147">
        <v>6837.31</v>
      </c>
      <c r="D27" s="150">
        <v>8757.84</v>
      </c>
      <c r="F27" s="158">
        <v>23</v>
      </c>
      <c r="G27" s="147">
        <f t="shared" si="5"/>
        <v>7657.7872000000016</v>
      </c>
      <c r="H27" s="150">
        <f t="shared" si="5"/>
        <v>9808.7808000000005</v>
      </c>
      <c r="J27" s="158">
        <v>23</v>
      </c>
      <c r="K27" s="147">
        <f t="shared" si="8"/>
        <v>9189.3446400000012</v>
      </c>
      <c r="L27" s="150">
        <f t="shared" si="6"/>
        <v>11770.536959999999</v>
      </c>
      <c r="N27" s="158">
        <v>23</v>
      </c>
      <c r="O27" s="147">
        <f t="shared" si="9"/>
        <v>8806.4552800000019</v>
      </c>
      <c r="P27" s="150">
        <f t="shared" si="7"/>
        <v>11280.09792</v>
      </c>
    </row>
    <row r="28" spans="2:16" hidden="1">
      <c r="B28" s="157">
        <v>24</v>
      </c>
      <c r="C28" s="111">
        <v>7360.9</v>
      </c>
      <c r="D28" s="148">
        <v>9076.06</v>
      </c>
      <c r="F28" s="157">
        <v>24</v>
      </c>
      <c r="G28" s="111">
        <f t="shared" si="5"/>
        <v>8244.2080000000005</v>
      </c>
      <c r="H28" s="148">
        <f t="shared" si="5"/>
        <v>10165.1872</v>
      </c>
      <c r="J28" s="157">
        <v>24</v>
      </c>
      <c r="K28" s="111">
        <f t="shared" si="8"/>
        <v>9893.0496000000003</v>
      </c>
      <c r="L28" s="148">
        <f t="shared" si="6"/>
        <v>12198.22464</v>
      </c>
      <c r="N28" s="157">
        <v>24</v>
      </c>
      <c r="O28" s="111">
        <f t="shared" si="9"/>
        <v>9480.8392000000003</v>
      </c>
      <c r="P28" s="148">
        <f t="shared" si="7"/>
        <v>11689.96528</v>
      </c>
    </row>
    <row r="29" spans="2:16" hidden="1">
      <c r="B29" s="158">
        <v>25</v>
      </c>
      <c r="C29" s="147">
        <v>7924.59</v>
      </c>
      <c r="D29" s="150">
        <v>9405.85</v>
      </c>
      <c r="F29" s="158">
        <v>25</v>
      </c>
      <c r="G29" s="147">
        <f t="shared" si="5"/>
        <v>8875.5408000000007</v>
      </c>
      <c r="H29" s="150">
        <f t="shared" si="5"/>
        <v>10534.552000000001</v>
      </c>
      <c r="J29" s="158">
        <v>25</v>
      </c>
      <c r="K29" s="147">
        <f t="shared" si="8"/>
        <v>10650.64896</v>
      </c>
      <c r="L29" s="150">
        <f t="shared" si="6"/>
        <v>12641.462400000002</v>
      </c>
      <c r="N29" s="158">
        <v>25</v>
      </c>
      <c r="O29" s="147">
        <f t="shared" si="9"/>
        <v>10206.87192</v>
      </c>
      <c r="P29" s="150">
        <f t="shared" si="7"/>
        <v>12114.7348</v>
      </c>
    </row>
    <row r="30" spans="2:16" hidden="1">
      <c r="B30" s="157">
        <v>26</v>
      </c>
      <c r="C30" s="111">
        <v>8531.4500000000007</v>
      </c>
      <c r="D30" s="148">
        <v>9747.6200000000008</v>
      </c>
      <c r="F30" s="157">
        <v>26</v>
      </c>
      <c r="G30" s="111">
        <f t="shared" si="5"/>
        <v>9555.224000000002</v>
      </c>
      <c r="H30" s="148">
        <f t="shared" si="5"/>
        <v>10917.334400000002</v>
      </c>
      <c r="J30" s="157">
        <v>26</v>
      </c>
      <c r="K30" s="111">
        <f t="shared" si="8"/>
        <v>11466.268800000002</v>
      </c>
      <c r="L30" s="148">
        <f t="shared" si="6"/>
        <v>13100.801280000001</v>
      </c>
      <c r="N30" s="157">
        <v>26</v>
      </c>
      <c r="O30" s="111">
        <f t="shared" si="9"/>
        <v>10988.507600000001</v>
      </c>
      <c r="P30" s="148">
        <f t="shared" si="7"/>
        <v>12554.934560000002</v>
      </c>
    </row>
    <row r="31" spans="2:16" hidden="1">
      <c r="B31" s="158">
        <v>27</v>
      </c>
      <c r="C31" s="147">
        <v>9184.7800000000007</v>
      </c>
      <c r="D31" s="150">
        <v>10101.81</v>
      </c>
      <c r="F31" s="158">
        <v>27</v>
      </c>
      <c r="G31" s="147">
        <f t="shared" si="5"/>
        <v>10286.953600000003</v>
      </c>
      <c r="H31" s="150">
        <f t="shared" si="5"/>
        <v>11314.0272</v>
      </c>
      <c r="J31" s="158">
        <v>27</v>
      </c>
      <c r="K31" s="147">
        <f t="shared" si="8"/>
        <v>12344.344320000002</v>
      </c>
      <c r="L31" s="150">
        <f t="shared" si="6"/>
        <v>13576.832640000001</v>
      </c>
      <c r="N31" s="158">
        <v>27</v>
      </c>
      <c r="O31" s="147">
        <f t="shared" si="9"/>
        <v>11829.996640000001</v>
      </c>
      <c r="P31" s="150">
        <f t="shared" si="7"/>
        <v>13011.13128</v>
      </c>
    </row>
    <row r="32" spans="2:16" hidden="1">
      <c r="B32" s="157">
        <v>28</v>
      </c>
      <c r="C32" s="111">
        <v>9747.0300000000007</v>
      </c>
      <c r="D32" s="148">
        <v>10600.98</v>
      </c>
      <c r="F32" s="157">
        <v>28</v>
      </c>
      <c r="G32" s="111">
        <f t="shared" si="5"/>
        <v>10916.673600000002</v>
      </c>
      <c r="H32" s="148">
        <f t="shared" si="5"/>
        <v>11873.097600000001</v>
      </c>
      <c r="J32" s="157">
        <v>28</v>
      </c>
      <c r="K32" s="111">
        <f t="shared" si="8"/>
        <v>13100.008320000003</v>
      </c>
      <c r="L32" s="148">
        <f t="shared" si="6"/>
        <v>14247.717120000001</v>
      </c>
      <c r="N32" s="157">
        <v>28</v>
      </c>
      <c r="O32" s="111">
        <f t="shared" si="9"/>
        <v>12554.174640000001</v>
      </c>
      <c r="P32" s="148">
        <f t="shared" si="7"/>
        <v>13654.062239999999</v>
      </c>
    </row>
    <row r="33" spans="2:16" hidden="1">
      <c r="B33" s="158">
        <v>29</v>
      </c>
      <c r="C33" s="147">
        <v>10343.700000000001</v>
      </c>
      <c r="D33" s="150">
        <v>11124.82</v>
      </c>
      <c r="F33" s="158">
        <v>29</v>
      </c>
      <c r="G33" s="147">
        <f t="shared" si="5"/>
        <v>11584.944000000001</v>
      </c>
      <c r="H33" s="150">
        <f t="shared" si="5"/>
        <v>12459.798400000001</v>
      </c>
      <c r="J33" s="158">
        <v>29</v>
      </c>
      <c r="K33" s="147">
        <f t="shared" si="8"/>
        <v>13901.9328</v>
      </c>
      <c r="L33" s="150">
        <f t="shared" si="6"/>
        <v>14951.758080000001</v>
      </c>
      <c r="N33" s="158">
        <v>29</v>
      </c>
      <c r="O33" s="147">
        <f t="shared" si="9"/>
        <v>13322.685600000001</v>
      </c>
      <c r="P33" s="150">
        <f t="shared" si="7"/>
        <v>14328.768160000001</v>
      </c>
    </row>
    <row r="34" spans="2:16" hidden="1">
      <c r="B34" s="157">
        <v>30</v>
      </c>
      <c r="C34" s="111">
        <v>10976.9</v>
      </c>
      <c r="D34" s="148">
        <v>11674.54</v>
      </c>
      <c r="F34" s="157">
        <v>30</v>
      </c>
      <c r="G34" s="111">
        <f t="shared" si="5"/>
        <v>12294.128000000001</v>
      </c>
      <c r="H34" s="148">
        <f t="shared" si="5"/>
        <v>13075.484800000002</v>
      </c>
      <c r="J34" s="157">
        <v>30</v>
      </c>
      <c r="K34" s="111">
        <f t="shared" si="8"/>
        <v>14752.953600000001</v>
      </c>
      <c r="L34" s="148">
        <f t="shared" si="6"/>
        <v>15690.581760000001</v>
      </c>
      <c r="N34" s="157">
        <v>30</v>
      </c>
      <c r="O34" s="111">
        <f t="shared" si="9"/>
        <v>14138.2472</v>
      </c>
      <c r="P34" s="148">
        <f t="shared" si="7"/>
        <v>15036.80752</v>
      </c>
    </row>
    <row r="35" spans="2:16" hidden="1">
      <c r="B35" s="158">
        <v>31</v>
      </c>
      <c r="C35" s="147">
        <v>11648.86</v>
      </c>
      <c r="D35" s="150">
        <v>12251.43</v>
      </c>
      <c r="F35" s="158">
        <v>31</v>
      </c>
      <c r="G35" s="147">
        <f t="shared" si="5"/>
        <v>13046.723200000002</v>
      </c>
      <c r="H35" s="150">
        <f t="shared" si="5"/>
        <v>13721.601600000002</v>
      </c>
      <c r="J35" s="158">
        <v>31</v>
      </c>
      <c r="K35" s="147">
        <f t="shared" si="8"/>
        <v>15656.067840000002</v>
      </c>
      <c r="L35" s="150">
        <f t="shared" si="6"/>
        <v>16465.921920000001</v>
      </c>
      <c r="N35" s="158">
        <v>31</v>
      </c>
      <c r="O35" s="147">
        <f t="shared" si="9"/>
        <v>15003.731680000001</v>
      </c>
      <c r="P35" s="150">
        <f t="shared" si="7"/>
        <v>15779.841840000001</v>
      </c>
    </row>
    <row r="36" spans="2:16" hidden="1">
      <c r="B36" s="157">
        <v>32</v>
      </c>
      <c r="C36" s="111">
        <v>12361.95</v>
      </c>
      <c r="D36" s="148">
        <v>12856.82</v>
      </c>
      <c r="F36" s="157">
        <v>32</v>
      </c>
      <c r="G36" s="111">
        <f t="shared" si="5"/>
        <v>13845.384000000002</v>
      </c>
      <c r="H36" s="148">
        <f t="shared" si="5"/>
        <v>14399.638400000002</v>
      </c>
      <c r="J36" s="157">
        <v>32</v>
      </c>
      <c r="K36" s="111">
        <f t="shared" si="8"/>
        <v>16614.460800000001</v>
      </c>
      <c r="L36" s="148">
        <f t="shared" si="6"/>
        <v>17279.566080000001</v>
      </c>
      <c r="N36" s="157">
        <v>32</v>
      </c>
      <c r="O36" s="111">
        <f t="shared" si="9"/>
        <v>15922.1916</v>
      </c>
      <c r="P36" s="148">
        <f t="shared" si="7"/>
        <v>16559.584160000002</v>
      </c>
    </row>
    <row r="37" spans="2:16" hidden="1">
      <c r="B37" s="158">
        <v>33</v>
      </c>
      <c r="C37" s="147">
        <v>12997.25</v>
      </c>
      <c r="D37" s="150">
        <v>13549.81</v>
      </c>
      <c r="F37" s="158">
        <v>33</v>
      </c>
      <c r="G37" s="147">
        <f t="shared" si="5"/>
        <v>14556.920000000002</v>
      </c>
      <c r="H37" s="150">
        <f t="shared" si="5"/>
        <v>15175.787200000001</v>
      </c>
      <c r="J37" s="158">
        <v>33</v>
      </c>
      <c r="K37" s="147">
        <f t="shared" si="8"/>
        <v>17468.304</v>
      </c>
      <c r="L37" s="150">
        <f t="shared" si="6"/>
        <v>18210.944640000002</v>
      </c>
      <c r="N37" s="158">
        <v>33</v>
      </c>
      <c r="O37" s="147">
        <f t="shared" si="9"/>
        <v>16740.458000000002</v>
      </c>
      <c r="P37" s="150">
        <f t="shared" si="7"/>
        <v>17452.155279999999</v>
      </c>
    </row>
    <row r="38" spans="2:16" hidden="1">
      <c r="B38" s="157">
        <v>34</v>
      </c>
      <c r="C38" s="111">
        <v>13665.2</v>
      </c>
      <c r="D38" s="148">
        <v>14280.15</v>
      </c>
      <c r="F38" s="157">
        <v>34</v>
      </c>
      <c r="G38" s="111">
        <f t="shared" si="5"/>
        <v>15305.024000000003</v>
      </c>
      <c r="H38" s="148">
        <f t="shared" si="5"/>
        <v>15993.768000000002</v>
      </c>
      <c r="J38" s="157">
        <v>34</v>
      </c>
      <c r="K38" s="111">
        <f t="shared" si="8"/>
        <v>18366.028800000004</v>
      </c>
      <c r="L38" s="148">
        <f t="shared" si="6"/>
        <v>19192.5216</v>
      </c>
      <c r="N38" s="157">
        <v>34</v>
      </c>
      <c r="O38" s="111">
        <f t="shared" si="9"/>
        <v>17600.777600000001</v>
      </c>
      <c r="P38" s="148">
        <f t="shared" si="7"/>
        <v>18392.833200000001</v>
      </c>
    </row>
    <row r="39" spans="2:16" hidden="1">
      <c r="B39" s="158">
        <v>35</v>
      </c>
      <c r="C39" s="147">
        <v>14367.47</v>
      </c>
      <c r="D39" s="150">
        <v>15049.86</v>
      </c>
      <c r="F39" s="158">
        <v>35</v>
      </c>
      <c r="G39" s="147">
        <f t="shared" si="5"/>
        <v>16091.566400000002</v>
      </c>
      <c r="H39" s="150">
        <f t="shared" si="5"/>
        <v>16855.843200000003</v>
      </c>
      <c r="J39" s="158">
        <v>35</v>
      </c>
      <c r="K39" s="147">
        <f t="shared" si="8"/>
        <v>19309.879680000002</v>
      </c>
      <c r="L39" s="150">
        <f t="shared" si="6"/>
        <v>20227.011840000003</v>
      </c>
      <c r="N39" s="158">
        <v>35</v>
      </c>
      <c r="O39" s="147">
        <f t="shared" si="9"/>
        <v>18505.301360000001</v>
      </c>
      <c r="P39" s="150">
        <f t="shared" si="7"/>
        <v>19384.219680000002</v>
      </c>
    </row>
    <row r="40" spans="2:16" hidden="1">
      <c r="B40" s="157">
        <v>36</v>
      </c>
      <c r="C40" s="111">
        <v>15105.84</v>
      </c>
      <c r="D40" s="148">
        <v>15861.05</v>
      </c>
      <c r="F40" s="157">
        <v>36</v>
      </c>
      <c r="G40" s="111">
        <f t="shared" si="5"/>
        <v>16918.540800000002</v>
      </c>
      <c r="H40" s="148">
        <f t="shared" si="5"/>
        <v>17764.376</v>
      </c>
      <c r="J40" s="157">
        <v>36</v>
      </c>
      <c r="K40" s="111">
        <f t="shared" si="8"/>
        <v>20302.248960000001</v>
      </c>
      <c r="L40" s="148">
        <f t="shared" si="6"/>
        <v>21317.251199999999</v>
      </c>
      <c r="N40" s="157">
        <v>36</v>
      </c>
      <c r="O40" s="111">
        <f t="shared" si="9"/>
        <v>19456.321920000002</v>
      </c>
      <c r="P40" s="148">
        <f t="shared" si="7"/>
        <v>20429.0324</v>
      </c>
    </row>
    <row r="41" spans="2:16" hidden="1">
      <c r="B41" s="158">
        <v>37</v>
      </c>
      <c r="C41" s="147">
        <v>15882.15</v>
      </c>
      <c r="D41" s="150">
        <v>16715.97</v>
      </c>
      <c r="F41" s="158">
        <v>37</v>
      </c>
      <c r="G41" s="147">
        <f t="shared" si="5"/>
        <v>17788.008000000002</v>
      </c>
      <c r="H41" s="150">
        <f t="shared" si="5"/>
        <v>18721.886400000003</v>
      </c>
      <c r="J41" s="158">
        <v>37</v>
      </c>
      <c r="K41" s="147">
        <f t="shared" si="8"/>
        <v>21345.6096</v>
      </c>
      <c r="L41" s="150">
        <f t="shared" si="6"/>
        <v>22466.263680000004</v>
      </c>
      <c r="N41" s="158">
        <v>37</v>
      </c>
      <c r="O41" s="147">
        <f t="shared" si="9"/>
        <v>20456.209200000001</v>
      </c>
      <c r="P41" s="150">
        <f t="shared" si="7"/>
        <v>21530.169360000004</v>
      </c>
    </row>
    <row r="42" spans="2:16" hidden="1">
      <c r="B42" s="157">
        <v>38</v>
      </c>
      <c r="C42" s="111">
        <v>16763.45</v>
      </c>
      <c r="D42" s="148">
        <v>17616.53</v>
      </c>
      <c r="F42" s="157">
        <v>38</v>
      </c>
      <c r="G42" s="111">
        <f t="shared" si="5"/>
        <v>18775.064000000002</v>
      </c>
      <c r="H42" s="148">
        <f t="shared" si="5"/>
        <v>19730.513600000002</v>
      </c>
      <c r="J42" s="157">
        <v>38</v>
      </c>
      <c r="K42" s="111">
        <f t="shared" si="8"/>
        <v>22530.076800000003</v>
      </c>
      <c r="L42" s="148">
        <f t="shared" si="6"/>
        <v>23676.616320000001</v>
      </c>
      <c r="N42" s="157">
        <v>38</v>
      </c>
      <c r="O42" s="111">
        <f t="shared" si="9"/>
        <v>21591.3236</v>
      </c>
      <c r="P42" s="148">
        <f t="shared" si="7"/>
        <v>22690.090640000002</v>
      </c>
    </row>
    <row r="43" spans="2:16" hidden="1">
      <c r="B43" s="158">
        <v>39</v>
      </c>
      <c r="C43" s="147">
        <v>17693.66</v>
      </c>
      <c r="D43" s="150">
        <v>18565.599999999999</v>
      </c>
      <c r="F43" s="158">
        <v>39</v>
      </c>
      <c r="G43" s="147">
        <f t="shared" si="5"/>
        <v>19816.899200000003</v>
      </c>
      <c r="H43" s="150">
        <f t="shared" si="5"/>
        <v>20793.472000000002</v>
      </c>
      <c r="J43" s="158">
        <v>39</v>
      </c>
      <c r="K43" s="147">
        <f t="shared" si="8"/>
        <v>23780.279040000005</v>
      </c>
      <c r="L43" s="150">
        <f t="shared" si="6"/>
        <v>24952.166400000002</v>
      </c>
      <c r="N43" s="158">
        <v>39</v>
      </c>
      <c r="O43" s="147">
        <f t="shared" si="9"/>
        <v>22789.434080000003</v>
      </c>
      <c r="P43" s="150">
        <f t="shared" si="7"/>
        <v>23912.4928</v>
      </c>
    </row>
    <row r="44" spans="2:16" hidden="1">
      <c r="B44" s="157">
        <v>40</v>
      </c>
      <c r="C44" s="111">
        <v>16807.939999999999</v>
      </c>
      <c r="D44" s="148">
        <v>17609.22</v>
      </c>
      <c r="F44" s="157">
        <v>40</v>
      </c>
      <c r="G44" s="111">
        <f t="shared" si="5"/>
        <v>18824.892800000001</v>
      </c>
      <c r="H44" s="148">
        <f t="shared" si="5"/>
        <v>19722.326400000002</v>
      </c>
      <c r="J44" s="157">
        <v>40</v>
      </c>
      <c r="K44" s="111">
        <f t="shared" si="8"/>
        <v>22589.871360000001</v>
      </c>
      <c r="L44" s="148">
        <f t="shared" si="6"/>
        <v>23666.791680000002</v>
      </c>
      <c r="N44" s="157">
        <v>40</v>
      </c>
      <c r="O44" s="111">
        <f t="shared" si="9"/>
        <v>21648.62672</v>
      </c>
      <c r="P44" s="148">
        <f t="shared" si="7"/>
        <v>22680.675360000001</v>
      </c>
    </row>
    <row r="45" spans="2:16" hidden="1">
      <c r="B45" s="158">
        <v>41</v>
      </c>
      <c r="C45" s="147">
        <v>17740.62</v>
      </c>
      <c r="D45" s="150">
        <v>18557.900000000001</v>
      </c>
      <c r="F45" s="158">
        <v>41</v>
      </c>
      <c r="G45" s="147">
        <f t="shared" si="5"/>
        <v>19869.4944</v>
      </c>
      <c r="H45" s="150">
        <f t="shared" si="5"/>
        <v>20784.848000000005</v>
      </c>
      <c r="J45" s="158">
        <v>41</v>
      </c>
      <c r="K45" s="147">
        <f t="shared" si="8"/>
        <v>23843.39328</v>
      </c>
      <c r="L45" s="150">
        <f t="shared" si="6"/>
        <v>24941.817600000006</v>
      </c>
      <c r="N45" s="158">
        <v>41</v>
      </c>
      <c r="O45" s="147">
        <f t="shared" si="9"/>
        <v>22849.918559999998</v>
      </c>
      <c r="P45" s="150">
        <f t="shared" si="7"/>
        <v>23902.575200000003</v>
      </c>
    </row>
    <row r="46" spans="2:16" hidden="1">
      <c r="B46" s="157">
        <v>42</v>
      </c>
      <c r="C46" s="111">
        <v>18725.05</v>
      </c>
      <c r="D46" s="148">
        <v>19557.68</v>
      </c>
      <c r="F46" s="157">
        <v>42</v>
      </c>
      <c r="G46" s="111">
        <f t="shared" si="5"/>
        <v>20972.056</v>
      </c>
      <c r="H46" s="148">
        <f t="shared" si="5"/>
        <v>21904.601600000002</v>
      </c>
      <c r="J46" s="157">
        <v>42</v>
      </c>
      <c r="K46" s="111">
        <f t="shared" si="8"/>
        <v>25166.467199999999</v>
      </c>
      <c r="L46" s="148">
        <f t="shared" si="6"/>
        <v>26285.521920000003</v>
      </c>
      <c r="N46" s="157">
        <v>42</v>
      </c>
      <c r="O46" s="111">
        <f t="shared" si="9"/>
        <v>24117.864399999999</v>
      </c>
      <c r="P46" s="148">
        <f t="shared" si="7"/>
        <v>25190.291840000002</v>
      </c>
    </row>
    <row r="47" spans="2:16" hidden="1">
      <c r="B47" s="158">
        <v>43</v>
      </c>
      <c r="C47" s="147">
        <v>19794.189999999999</v>
      </c>
      <c r="D47" s="150">
        <v>20611.330000000002</v>
      </c>
      <c r="F47" s="158">
        <v>43</v>
      </c>
      <c r="G47" s="147">
        <f t="shared" si="5"/>
        <v>22169.4928</v>
      </c>
      <c r="H47" s="150">
        <f t="shared" si="5"/>
        <v>23084.689600000005</v>
      </c>
      <c r="J47" s="158">
        <v>43</v>
      </c>
      <c r="K47" s="147">
        <f t="shared" si="8"/>
        <v>26603.391359999998</v>
      </c>
      <c r="L47" s="150">
        <f t="shared" si="6"/>
        <v>27701.627520000005</v>
      </c>
      <c r="N47" s="158">
        <v>43</v>
      </c>
      <c r="O47" s="147">
        <f t="shared" si="9"/>
        <v>25494.916719999997</v>
      </c>
      <c r="P47" s="150">
        <f t="shared" si="7"/>
        <v>26547.393040000003</v>
      </c>
    </row>
    <row r="48" spans="2:16" hidden="1">
      <c r="B48" s="157">
        <v>44</v>
      </c>
      <c r="C48" s="111">
        <v>20924.38</v>
      </c>
      <c r="D48" s="148">
        <v>21721.75</v>
      </c>
      <c r="F48" s="157">
        <v>44</v>
      </c>
      <c r="G48" s="111">
        <f t="shared" si="5"/>
        <v>23435.305600000003</v>
      </c>
      <c r="H48" s="148">
        <f t="shared" si="5"/>
        <v>24328.36</v>
      </c>
      <c r="J48" s="157">
        <v>44</v>
      </c>
      <c r="K48" s="111">
        <f t="shared" si="8"/>
        <v>28122.366720000002</v>
      </c>
      <c r="L48" s="148">
        <f t="shared" si="6"/>
        <v>29194.031999999999</v>
      </c>
      <c r="N48" s="157">
        <v>44</v>
      </c>
      <c r="O48" s="111">
        <f t="shared" si="9"/>
        <v>26950.601440000002</v>
      </c>
      <c r="P48" s="148">
        <f t="shared" si="7"/>
        <v>27977.613999999998</v>
      </c>
    </row>
    <row r="49" spans="2:16" hidden="1">
      <c r="B49" s="158">
        <v>45</v>
      </c>
      <c r="C49" s="147">
        <v>22119.09</v>
      </c>
      <c r="D49" s="150">
        <v>22891.98</v>
      </c>
      <c r="F49" s="158">
        <v>45</v>
      </c>
      <c r="G49" s="147">
        <f t="shared" si="5"/>
        <v>24773.380800000003</v>
      </c>
      <c r="H49" s="150">
        <f t="shared" si="5"/>
        <v>25639.017600000003</v>
      </c>
      <c r="J49" s="158">
        <v>45</v>
      </c>
      <c r="K49" s="147">
        <f t="shared" si="8"/>
        <v>29728.056960000002</v>
      </c>
      <c r="L49" s="150">
        <f t="shared" si="6"/>
        <v>30766.821120000001</v>
      </c>
      <c r="N49" s="158">
        <v>45</v>
      </c>
      <c r="O49" s="147">
        <f t="shared" si="9"/>
        <v>28489.387920000001</v>
      </c>
      <c r="P49" s="150">
        <f t="shared" si="7"/>
        <v>29484.87024</v>
      </c>
    </row>
    <row r="50" spans="2:16" hidden="1">
      <c r="B50" s="157">
        <v>46</v>
      </c>
      <c r="C50" s="111">
        <v>23382.03</v>
      </c>
      <c r="D50" s="148">
        <v>24125.27</v>
      </c>
      <c r="F50" s="157">
        <v>46</v>
      </c>
      <c r="G50" s="111">
        <f t="shared" si="5"/>
        <v>26187.873600000003</v>
      </c>
      <c r="H50" s="148">
        <f t="shared" si="5"/>
        <v>27020.302400000004</v>
      </c>
      <c r="J50" s="157">
        <v>46</v>
      </c>
      <c r="K50" s="111">
        <f t="shared" si="8"/>
        <v>31425.448320000003</v>
      </c>
      <c r="L50" s="148">
        <f t="shared" si="6"/>
        <v>32424.362880000004</v>
      </c>
      <c r="N50" s="157">
        <v>46</v>
      </c>
      <c r="O50" s="111">
        <f t="shared" si="9"/>
        <v>30116.054640000002</v>
      </c>
      <c r="P50" s="148">
        <f t="shared" si="7"/>
        <v>31073.347760000001</v>
      </c>
    </row>
    <row r="51" spans="2:16" hidden="1">
      <c r="B51" s="158">
        <v>47</v>
      </c>
      <c r="C51" s="147">
        <v>24717.07</v>
      </c>
      <c r="D51" s="150">
        <v>25424.99</v>
      </c>
      <c r="F51" s="158">
        <v>47</v>
      </c>
      <c r="G51" s="147">
        <f t="shared" si="5"/>
        <v>27683.118400000003</v>
      </c>
      <c r="H51" s="150">
        <f t="shared" si="5"/>
        <v>28475.988800000003</v>
      </c>
      <c r="J51" s="158">
        <v>47</v>
      </c>
      <c r="K51" s="147">
        <f t="shared" si="8"/>
        <v>33219.742080000004</v>
      </c>
      <c r="L51" s="150">
        <f t="shared" si="6"/>
        <v>34171.186560000002</v>
      </c>
      <c r="N51" s="158">
        <v>47</v>
      </c>
      <c r="O51" s="147">
        <f t="shared" si="9"/>
        <v>31835.586160000003</v>
      </c>
      <c r="P51" s="150">
        <f t="shared" si="7"/>
        <v>32747.387119999999</v>
      </c>
    </row>
    <row r="52" spans="2:16" hidden="1">
      <c r="B52" s="157">
        <v>48</v>
      </c>
      <c r="C52" s="111">
        <v>26128.33</v>
      </c>
      <c r="D52" s="148">
        <v>26794.73</v>
      </c>
      <c r="F52" s="157">
        <v>48</v>
      </c>
      <c r="G52" s="111">
        <f t="shared" si="5"/>
        <v>29263.729600000006</v>
      </c>
      <c r="H52" s="148">
        <f t="shared" si="5"/>
        <v>30010.097600000001</v>
      </c>
      <c r="J52" s="157">
        <v>48</v>
      </c>
      <c r="K52" s="111">
        <f t="shared" si="8"/>
        <v>35116.475520000007</v>
      </c>
      <c r="L52" s="148">
        <f t="shared" si="6"/>
        <v>36012.117120000003</v>
      </c>
      <c r="N52" s="157">
        <v>48</v>
      </c>
      <c r="O52" s="111">
        <f t="shared" si="9"/>
        <v>33653.289040000003</v>
      </c>
      <c r="P52" s="148">
        <f t="shared" si="7"/>
        <v>34511.612239999995</v>
      </c>
    </row>
    <row r="53" spans="2:16" hidden="1">
      <c r="B53" s="158">
        <v>49</v>
      </c>
      <c r="C53" s="147">
        <v>27620.18</v>
      </c>
      <c r="D53" s="150">
        <v>28238.27</v>
      </c>
      <c r="F53" s="158">
        <v>49</v>
      </c>
      <c r="G53" s="147">
        <f t="shared" si="5"/>
        <v>30934.601600000002</v>
      </c>
      <c r="H53" s="150">
        <f t="shared" si="5"/>
        <v>31626.862400000002</v>
      </c>
      <c r="J53" s="158">
        <v>49</v>
      </c>
      <c r="K53" s="147">
        <f t="shared" si="8"/>
        <v>37121.521919999999</v>
      </c>
      <c r="L53" s="150">
        <f t="shared" si="6"/>
        <v>37952.234880000004</v>
      </c>
      <c r="N53" s="158">
        <v>49</v>
      </c>
      <c r="O53" s="147">
        <f t="shared" si="9"/>
        <v>35574.791839999998</v>
      </c>
      <c r="P53" s="150">
        <f t="shared" si="7"/>
        <v>36370.891759999999</v>
      </c>
    </row>
    <row r="54" spans="2:16" hidden="1">
      <c r="B54" s="157">
        <v>50</v>
      </c>
      <c r="C54" s="111">
        <v>29197.200000000001</v>
      </c>
      <c r="D54" s="148">
        <v>29759.58</v>
      </c>
      <c r="F54" s="157">
        <v>50</v>
      </c>
      <c r="G54" s="111">
        <f t="shared" si="5"/>
        <v>32700.864000000005</v>
      </c>
      <c r="H54" s="148">
        <f t="shared" si="5"/>
        <v>33330.729600000006</v>
      </c>
      <c r="J54" s="157">
        <v>50</v>
      </c>
      <c r="K54" s="111">
        <f t="shared" si="8"/>
        <v>39241.036800000002</v>
      </c>
      <c r="L54" s="148">
        <f t="shared" si="6"/>
        <v>39996.875520000009</v>
      </c>
      <c r="N54" s="157">
        <v>50</v>
      </c>
      <c r="O54" s="111">
        <f t="shared" si="9"/>
        <v>37605.993600000002</v>
      </c>
      <c r="P54" s="148">
        <f>+H54*1.15</f>
        <v>38330.339040000006</v>
      </c>
    </row>
    <row r="55" spans="2:16" hidden="1">
      <c r="B55" s="158">
        <v>51</v>
      </c>
      <c r="C55" s="147">
        <v>30864.27</v>
      </c>
      <c r="D55" s="150">
        <v>31362.85</v>
      </c>
      <c r="F55" s="158">
        <v>51</v>
      </c>
      <c r="G55" s="147">
        <f t="shared" si="5"/>
        <v>34567.982400000001</v>
      </c>
      <c r="H55" s="150">
        <f t="shared" si="5"/>
        <v>35126.392</v>
      </c>
      <c r="J55" s="158">
        <v>51</v>
      </c>
      <c r="K55" s="147">
        <f t="shared" si="8"/>
        <v>41481.578880000001</v>
      </c>
      <c r="L55" s="150">
        <f t="shared" si="6"/>
        <v>42151.670399999995</v>
      </c>
      <c r="N55" s="158">
        <v>51</v>
      </c>
      <c r="O55" s="147">
        <f t="shared" si="9"/>
        <v>39753.179759999999</v>
      </c>
      <c r="P55" s="150">
        <f t="shared" si="7"/>
        <v>40395.3508</v>
      </c>
    </row>
    <row r="56" spans="2:16" hidden="1">
      <c r="B56" s="157">
        <v>52</v>
      </c>
      <c r="C56" s="111">
        <v>32626.53</v>
      </c>
      <c r="D56" s="148">
        <v>33052.49</v>
      </c>
      <c r="F56" s="157">
        <v>52</v>
      </c>
      <c r="G56" s="111">
        <f t="shared" si="5"/>
        <v>36541.713600000003</v>
      </c>
      <c r="H56" s="148">
        <f t="shared" si="5"/>
        <v>37018.788800000002</v>
      </c>
      <c r="J56" s="157">
        <v>52</v>
      </c>
      <c r="K56" s="111">
        <f t="shared" si="8"/>
        <v>43850.056320000003</v>
      </c>
      <c r="L56" s="148">
        <f t="shared" si="6"/>
        <v>44422.546560000003</v>
      </c>
      <c r="N56" s="157">
        <v>52</v>
      </c>
      <c r="O56" s="111">
        <f t="shared" si="9"/>
        <v>42022.97064</v>
      </c>
      <c r="P56" s="148">
        <f t="shared" si="7"/>
        <v>42571.607120000001</v>
      </c>
    </row>
    <row r="57" spans="2:16" hidden="1">
      <c r="B57" s="158">
        <v>53</v>
      </c>
      <c r="C57" s="147">
        <v>34489.4</v>
      </c>
      <c r="D57" s="150">
        <v>34833.160000000003</v>
      </c>
      <c r="F57" s="158">
        <v>53</v>
      </c>
      <c r="G57" s="147">
        <f t="shared" si="5"/>
        <v>38628.128000000004</v>
      </c>
      <c r="H57" s="150">
        <f t="shared" si="5"/>
        <v>39013.139200000005</v>
      </c>
      <c r="J57" s="158">
        <v>53</v>
      </c>
      <c r="K57" s="147">
        <f t="shared" si="8"/>
        <v>46353.753600000004</v>
      </c>
      <c r="L57" s="150">
        <f t="shared" si="6"/>
        <v>46815.767040000006</v>
      </c>
      <c r="N57" s="158">
        <v>53</v>
      </c>
      <c r="O57" s="147">
        <f t="shared" si="9"/>
        <v>44422.347200000004</v>
      </c>
      <c r="P57" s="150">
        <f t="shared" si="7"/>
        <v>44865.110080000006</v>
      </c>
    </row>
    <row r="58" spans="2:16" hidden="1">
      <c r="B58" s="157">
        <v>54</v>
      </c>
      <c r="C58" s="111">
        <v>36458.639999999999</v>
      </c>
      <c r="D58" s="148">
        <v>36709.75</v>
      </c>
      <c r="F58" s="157">
        <v>54</v>
      </c>
      <c r="G58" s="111">
        <f t="shared" si="5"/>
        <v>40833.676800000001</v>
      </c>
      <c r="H58" s="148">
        <f t="shared" si="5"/>
        <v>41114.920000000006</v>
      </c>
      <c r="J58" s="157">
        <v>54</v>
      </c>
      <c r="K58" s="111">
        <f t="shared" si="8"/>
        <v>49000.41216</v>
      </c>
      <c r="L58" s="148">
        <f t="shared" si="6"/>
        <v>49337.904000000002</v>
      </c>
      <c r="N58" s="157">
        <v>54</v>
      </c>
      <c r="O58" s="111">
        <f t="shared" si="9"/>
        <v>46958.728319999995</v>
      </c>
      <c r="P58" s="148">
        <f t="shared" si="7"/>
        <v>47282.158000000003</v>
      </c>
    </row>
    <row r="59" spans="2:16" hidden="1">
      <c r="B59" s="158">
        <v>55</v>
      </c>
      <c r="C59" s="147">
        <v>38540.31</v>
      </c>
      <c r="D59" s="150">
        <v>38687.449999999997</v>
      </c>
      <c r="F59" s="158">
        <v>55</v>
      </c>
      <c r="G59" s="147">
        <f t="shared" si="5"/>
        <v>43165.147199999999</v>
      </c>
      <c r="H59" s="150">
        <f t="shared" si="5"/>
        <v>43329.944000000003</v>
      </c>
      <c r="J59" s="158">
        <v>55</v>
      </c>
      <c r="K59" s="147">
        <f t="shared" si="8"/>
        <v>51798.176639999998</v>
      </c>
      <c r="L59" s="150">
        <f t="shared" si="6"/>
        <v>51995.932800000002</v>
      </c>
      <c r="N59" s="158">
        <v>55</v>
      </c>
      <c r="O59" s="147">
        <f t="shared" si="9"/>
        <v>49639.919279999995</v>
      </c>
      <c r="P59" s="150">
        <f t="shared" si="7"/>
        <v>49829.435599999997</v>
      </c>
    </row>
    <row r="60" spans="2:16" hidden="1">
      <c r="B60" s="157">
        <v>56</v>
      </c>
      <c r="C60" s="111">
        <v>45267.6</v>
      </c>
      <c r="D60" s="148">
        <v>45301.89</v>
      </c>
      <c r="F60" s="157">
        <v>56</v>
      </c>
      <c r="G60" s="111">
        <f t="shared" si="5"/>
        <v>50699.712000000007</v>
      </c>
      <c r="H60" s="148">
        <f t="shared" si="5"/>
        <v>50738.116800000003</v>
      </c>
      <c r="J60" s="157">
        <v>56</v>
      </c>
      <c r="K60" s="111">
        <f t="shared" si="8"/>
        <v>60839.654400000007</v>
      </c>
      <c r="L60" s="148">
        <f t="shared" si="6"/>
        <v>60885.740160000001</v>
      </c>
      <c r="N60" s="157">
        <v>56</v>
      </c>
      <c r="O60" s="111">
        <f t="shared" si="9"/>
        <v>58304.668800000007</v>
      </c>
      <c r="P60" s="148">
        <f t="shared" si="7"/>
        <v>58348.834320000002</v>
      </c>
    </row>
    <row r="61" spans="2:16" hidden="1">
      <c r="B61" s="158">
        <v>57</v>
      </c>
      <c r="C61" s="147">
        <v>47852.24</v>
      </c>
      <c r="D61" s="150">
        <v>47742.48</v>
      </c>
      <c r="F61" s="158">
        <v>57</v>
      </c>
      <c r="G61" s="147">
        <f t="shared" si="5"/>
        <v>53594.508800000003</v>
      </c>
      <c r="H61" s="150">
        <f t="shared" si="5"/>
        <v>53471.577600000011</v>
      </c>
      <c r="J61" s="158">
        <v>57</v>
      </c>
      <c r="K61" s="147">
        <f t="shared" si="8"/>
        <v>64313.410560000004</v>
      </c>
      <c r="L61" s="150">
        <f t="shared" si="6"/>
        <v>64165.893120000008</v>
      </c>
      <c r="N61" s="158">
        <v>57</v>
      </c>
      <c r="O61" s="147">
        <f t="shared" si="9"/>
        <v>61633.685120000002</v>
      </c>
      <c r="P61" s="150">
        <f t="shared" si="7"/>
        <v>61492.314240000007</v>
      </c>
    </row>
    <row r="62" spans="2:16" hidden="1">
      <c r="B62" s="157">
        <v>58</v>
      </c>
      <c r="C62" s="111">
        <v>50584.45</v>
      </c>
      <c r="D62" s="148">
        <v>50314.559999999998</v>
      </c>
      <c r="F62" s="157">
        <v>58</v>
      </c>
      <c r="G62" s="111">
        <f t="shared" si="5"/>
        <v>56654.584000000003</v>
      </c>
      <c r="H62" s="148">
        <f t="shared" si="5"/>
        <v>56352.307200000003</v>
      </c>
      <c r="J62" s="157">
        <v>58</v>
      </c>
      <c r="K62" s="111">
        <f t="shared" si="8"/>
        <v>67985.500799999994</v>
      </c>
      <c r="L62" s="148">
        <f t="shared" si="6"/>
        <v>67622.768639999995</v>
      </c>
      <c r="N62" s="157">
        <v>58</v>
      </c>
      <c r="O62" s="111">
        <f t="shared" si="9"/>
        <v>65152.7716</v>
      </c>
      <c r="P62" s="148">
        <f t="shared" si="7"/>
        <v>64805.153279999999</v>
      </c>
    </row>
    <row r="63" spans="2:16" hidden="1">
      <c r="B63" s="158">
        <v>59</v>
      </c>
      <c r="C63" s="147">
        <v>53472.67</v>
      </c>
      <c r="D63" s="150">
        <v>53025.2</v>
      </c>
      <c r="F63" s="158">
        <v>59</v>
      </c>
      <c r="G63" s="147">
        <f t="shared" si="5"/>
        <v>59889.390400000004</v>
      </c>
      <c r="H63" s="150">
        <f t="shared" si="5"/>
        <v>59388.224000000002</v>
      </c>
      <c r="J63" s="158">
        <v>59</v>
      </c>
      <c r="K63" s="147">
        <f t="shared" si="8"/>
        <v>71867.268479999999</v>
      </c>
      <c r="L63" s="150">
        <f t="shared" si="6"/>
        <v>71265.868799999997</v>
      </c>
      <c r="N63" s="158">
        <v>59</v>
      </c>
      <c r="O63" s="147">
        <f t="shared" si="9"/>
        <v>68872.79896</v>
      </c>
      <c r="P63" s="150">
        <f t="shared" si="7"/>
        <v>68296.457599999994</v>
      </c>
    </row>
    <row r="64" spans="2:16" hidden="1">
      <c r="B64" s="157">
        <v>60</v>
      </c>
      <c r="C64" s="111">
        <v>56525.79</v>
      </c>
      <c r="D64" s="148">
        <v>55881.88</v>
      </c>
      <c r="F64" s="157">
        <v>60</v>
      </c>
      <c r="G64" s="111">
        <f t="shared" si="5"/>
        <v>63308.884800000007</v>
      </c>
      <c r="H64" s="148">
        <f t="shared" si="5"/>
        <v>62587.705600000001</v>
      </c>
      <c r="J64" s="157">
        <v>60</v>
      </c>
      <c r="K64" s="111">
        <f t="shared" si="8"/>
        <v>75970.661760000003</v>
      </c>
      <c r="L64" s="148">
        <f t="shared" si="6"/>
        <v>75105.246719999996</v>
      </c>
      <c r="N64" s="157">
        <v>60</v>
      </c>
      <c r="O64" s="111">
        <f t="shared" si="9"/>
        <v>72805.217520000006</v>
      </c>
      <c r="P64" s="148">
        <f t="shared" si="7"/>
        <v>71975.861439999993</v>
      </c>
    </row>
    <row r="65" spans="2:16" hidden="1">
      <c r="B65" s="158">
        <v>61</v>
      </c>
      <c r="C65" s="147">
        <v>59753.23</v>
      </c>
      <c r="D65" s="150">
        <v>58892.46</v>
      </c>
      <c r="F65" s="158">
        <v>61</v>
      </c>
      <c r="G65" s="147">
        <f t="shared" si="5"/>
        <v>66923.617600000012</v>
      </c>
      <c r="H65" s="150">
        <f t="shared" si="5"/>
        <v>65959.555200000003</v>
      </c>
      <c r="J65" s="158">
        <v>61</v>
      </c>
      <c r="K65" s="147">
        <f t="shared" si="8"/>
        <v>80308.341120000012</v>
      </c>
      <c r="L65" s="150">
        <f t="shared" si="6"/>
        <v>79151.466239999994</v>
      </c>
      <c r="N65" s="158">
        <v>61</v>
      </c>
      <c r="O65" s="147">
        <f t="shared" si="9"/>
        <v>76962.160240000012</v>
      </c>
      <c r="P65" s="150">
        <f t="shared" si="7"/>
        <v>75853.48848</v>
      </c>
    </row>
    <row r="66" spans="2:16" hidden="1">
      <c r="B66" s="157">
        <v>62</v>
      </c>
      <c r="C66" s="111">
        <v>63164.959999999999</v>
      </c>
      <c r="D66" s="148">
        <v>62065.23</v>
      </c>
      <c r="F66" s="157">
        <v>62</v>
      </c>
      <c r="G66" s="111">
        <f t="shared" si="5"/>
        <v>70744.7552</v>
      </c>
      <c r="H66" s="148">
        <f t="shared" si="5"/>
        <v>69513.057600000015</v>
      </c>
      <c r="J66" s="157">
        <v>62</v>
      </c>
      <c r="K66" s="111">
        <f t="shared" si="8"/>
        <v>84893.70624</v>
      </c>
      <c r="L66" s="148">
        <f t="shared" si="6"/>
        <v>83415.66912000002</v>
      </c>
      <c r="N66" s="157">
        <v>62</v>
      </c>
      <c r="O66" s="111">
        <f t="shared" si="9"/>
        <v>81356.468479999996</v>
      </c>
      <c r="P66" s="148">
        <f t="shared" si="7"/>
        <v>79940.016240000012</v>
      </c>
    </row>
    <row r="67" spans="2:16" hidden="1">
      <c r="B67" s="158">
        <v>63</v>
      </c>
      <c r="C67" s="147">
        <v>66771.48</v>
      </c>
      <c r="D67" s="150">
        <v>65408.92</v>
      </c>
      <c r="F67" s="158">
        <v>63</v>
      </c>
      <c r="G67" s="147">
        <f t="shared" si="5"/>
        <v>74784.0576</v>
      </c>
      <c r="H67" s="150">
        <f t="shared" si="5"/>
        <v>73257.99040000001</v>
      </c>
      <c r="J67" s="158">
        <v>63</v>
      </c>
      <c r="K67" s="147">
        <f t="shared" si="8"/>
        <v>89740.869120000003</v>
      </c>
      <c r="L67" s="150">
        <f t="shared" si="6"/>
        <v>87909.588480000006</v>
      </c>
      <c r="N67" s="158">
        <v>63</v>
      </c>
      <c r="O67" s="147">
        <f t="shared" si="9"/>
        <v>86001.666239999991</v>
      </c>
      <c r="P67" s="150">
        <f t="shared" si="7"/>
        <v>84246.688959999999</v>
      </c>
    </row>
    <row r="68" spans="2:16" hidden="1">
      <c r="B68" s="157">
        <v>64</v>
      </c>
      <c r="C68" s="111">
        <v>70583.92</v>
      </c>
      <c r="D68" s="148">
        <v>68932.759999999995</v>
      </c>
      <c r="F68" s="157">
        <v>64</v>
      </c>
      <c r="G68" s="111">
        <f t="shared" si="5"/>
        <v>79053.99040000001</v>
      </c>
      <c r="H68" s="148">
        <f t="shared" si="5"/>
        <v>77204.691200000001</v>
      </c>
      <c r="J68" s="157">
        <v>64</v>
      </c>
      <c r="K68" s="111">
        <f t="shared" si="8"/>
        <v>94864.788480000003</v>
      </c>
      <c r="L68" s="148">
        <f t="shared" si="6"/>
        <v>92645.629440000004</v>
      </c>
      <c r="N68" s="157">
        <v>64</v>
      </c>
      <c r="O68" s="111">
        <f t="shared" si="9"/>
        <v>90912.088960000008</v>
      </c>
      <c r="P68" s="148">
        <f t="shared" si="7"/>
        <v>88785.394879999993</v>
      </c>
    </row>
    <row r="69" spans="2:16" hidden="1">
      <c r="B69" s="158">
        <v>65</v>
      </c>
      <c r="C69" s="147">
        <v>74614.039999999994</v>
      </c>
      <c r="D69" s="150">
        <v>72646.44</v>
      </c>
      <c r="F69" s="158">
        <v>65</v>
      </c>
      <c r="G69" s="147">
        <f t="shared" si="5"/>
        <v>83567.724799999996</v>
      </c>
      <c r="H69" s="150">
        <f t="shared" si="5"/>
        <v>81364.012800000011</v>
      </c>
      <c r="J69" s="158">
        <v>65</v>
      </c>
      <c r="K69" s="147">
        <f t="shared" si="8"/>
        <v>100281.26976</v>
      </c>
      <c r="L69" s="150">
        <f t="shared" si="6"/>
        <v>97636.815360000008</v>
      </c>
      <c r="N69" s="158">
        <v>65</v>
      </c>
      <c r="O69" s="147">
        <f t="shared" si="9"/>
        <v>96102.883519999988</v>
      </c>
      <c r="P69" s="150">
        <f t="shared" si="7"/>
        <v>93568.614720000012</v>
      </c>
    </row>
    <row r="70" spans="2:16" hidden="1">
      <c r="B70" s="157">
        <v>66</v>
      </c>
      <c r="C70" s="111">
        <v>78874.27</v>
      </c>
      <c r="D70" s="148">
        <v>76560.19</v>
      </c>
      <c r="F70" s="157">
        <v>66</v>
      </c>
      <c r="G70" s="111">
        <f t="shared" si="5"/>
        <v>88339.18240000002</v>
      </c>
      <c r="H70" s="148">
        <f t="shared" si="5"/>
        <v>85747.412800000006</v>
      </c>
      <c r="J70" s="157">
        <v>66</v>
      </c>
      <c r="K70" s="111">
        <f t="shared" si="8"/>
        <v>106007.01888000002</v>
      </c>
      <c r="L70" s="148">
        <f t="shared" si="6"/>
        <v>102896.89536000001</v>
      </c>
      <c r="N70" s="157">
        <v>66</v>
      </c>
      <c r="O70" s="111">
        <f t="shared" si="9"/>
        <v>101590.05976000002</v>
      </c>
      <c r="P70" s="148">
        <f t="shared" si="7"/>
        <v>98609.524720000001</v>
      </c>
    </row>
    <row r="71" spans="2:16" hidden="1">
      <c r="B71" s="158">
        <v>67</v>
      </c>
      <c r="C71" s="147">
        <v>83377.740000000005</v>
      </c>
      <c r="D71" s="150">
        <v>80684.789999999994</v>
      </c>
      <c r="F71" s="158">
        <v>67</v>
      </c>
      <c r="G71" s="147">
        <f t="shared" si="5"/>
        <v>93383.068800000008</v>
      </c>
      <c r="H71" s="150">
        <f t="shared" si="5"/>
        <v>90366.964800000002</v>
      </c>
      <c r="J71" s="158">
        <v>67</v>
      </c>
      <c r="K71" s="147">
        <f t="shared" si="8"/>
        <v>112059.68256</v>
      </c>
      <c r="L71" s="150">
        <f t="shared" si="6"/>
        <v>108440.35776</v>
      </c>
      <c r="N71" s="158">
        <v>67</v>
      </c>
      <c r="O71" s="147">
        <f t="shared" si="9"/>
        <v>107390.52912000001</v>
      </c>
      <c r="P71" s="150">
        <f t="shared" si="7"/>
        <v>103922.00951999999</v>
      </c>
    </row>
    <row r="72" spans="2:16" hidden="1">
      <c r="B72" s="157">
        <v>68</v>
      </c>
      <c r="C72" s="111">
        <v>88138.35</v>
      </c>
      <c r="D72" s="148">
        <v>85031.6</v>
      </c>
      <c r="F72" s="157">
        <v>68</v>
      </c>
      <c r="G72" s="111">
        <f t="shared" si="5"/>
        <v>98714.952000000019</v>
      </c>
      <c r="H72" s="148">
        <f t="shared" si="5"/>
        <v>95235.392000000022</v>
      </c>
      <c r="J72" s="157">
        <v>68</v>
      </c>
      <c r="K72" s="111">
        <f t="shared" si="8"/>
        <v>118457.94240000001</v>
      </c>
      <c r="L72" s="148">
        <f t="shared" si="6"/>
        <v>114282.47040000002</v>
      </c>
      <c r="N72" s="157">
        <v>68</v>
      </c>
      <c r="O72" s="111">
        <f t="shared" si="9"/>
        <v>113522.19480000001</v>
      </c>
      <c r="P72" s="148">
        <f t="shared" si="7"/>
        <v>109520.70080000002</v>
      </c>
    </row>
    <row r="73" spans="2:16" hidden="1">
      <c r="B73" s="158">
        <v>69</v>
      </c>
      <c r="C73" s="147">
        <v>93170.77</v>
      </c>
      <c r="D73" s="150">
        <v>89612.59</v>
      </c>
      <c r="F73" s="158">
        <v>69</v>
      </c>
      <c r="G73" s="147">
        <f t="shared" ref="G73:H104" si="10">+C73*1.12</f>
        <v>104351.26240000002</v>
      </c>
      <c r="H73" s="150">
        <f t="shared" si="10"/>
        <v>100366.1008</v>
      </c>
      <c r="J73" s="158">
        <v>69</v>
      </c>
      <c r="K73" s="147">
        <f t="shared" si="8"/>
        <v>125221.51488000002</v>
      </c>
      <c r="L73" s="150">
        <f t="shared" si="6"/>
        <v>120439.32096</v>
      </c>
      <c r="N73" s="158">
        <v>69</v>
      </c>
      <c r="O73" s="147">
        <f t="shared" si="9"/>
        <v>120003.95176000001</v>
      </c>
      <c r="P73" s="150">
        <f t="shared" si="7"/>
        <v>115421.01591999999</v>
      </c>
    </row>
    <row r="74" spans="2:16" hidden="1">
      <c r="B74" s="157">
        <v>70</v>
      </c>
      <c r="C74" s="111">
        <v>98490.53</v>
      </c>
      <c r="D74" s="148">
        <v>94440.37</v>
      </c>
      <c r="F74" s="157">
        <v>70</v>
      </c>
      <c r="G74" s="111">
        <f t="shared" si="10"/>
        <v>110309.39360000001</v>
      </c>
      <c r="H74" s="148">
        <f t="shared" si="10"/>
        <v>105773.21440000001</v>
      </c>
      <c r="J74" s="157">
        <v>70</v>
      </c>
      <c r="K74" s="111">
        <f t="shared" si="8"/>
        <v>132371.27232000002</v>
      </c>
      <c r="L74" s="148">
        <f t="shared" si="6"/>
        <v>126927.85728000001</v>
      </c>
      <c r="N74" s="157">
        <v>70</v>
      </c>
      <c r="O74" s="111">
        <f t="shared" si="9"/>
        <v>126855.80264000001</v>
      </c>
      <c r="P74" s="148">
        <f t="shared" si="7"/>
        <v>121639.19656000001</v>
      </c>
    </row>
    <row r="75" spans="2:16" hidden="1">
      <c r="B75" s="158">
        <v>71</v>
      </c>
      <c r="C75" s="147">
        <v>104114.03</v>
      </c>
      <c r="D75" s="150">
        <v>99528.25</v>
      </c>
      <c r="F75" s="158">
        <v>71</v>
      </c>
      <c r="G75" s="147">
        <f t="shared" si="10"/>
        <v>116607.7136</v>
      </c>
      <c r="H75" s="150">
        <f t="shared" si="10"/>
        <v>111471.64000000001</v>
      </c>
      <c r="J75" s="158">
        <v>71</v>
      </c>
      <c r="K75" s="147">
        <f t="shared" si="8"/>
        <v>139929.25631999999</v>
      </c>
      <c r="L75" s="150">
        <f t="shared" si="6"/>
        <v>133765.96800000002</v>
      </c>
      <c r="N75" s="158">
        <v>71</v>
      </c>
      <c r="O75" s="147">
        <f t="shared" si="9"/>
        <v>134098.87063999998</v>
      </c>
      <c r="P75" s="150">
        <f t="shared" si="7"/>
        <v>128192.38600000001</v>
      </c>
    </row>
    <row r="76" spans="2:16" hidden="1">
      <c r="B76" s="157">
        <v>72</v>
      </c>
      <c r="C76" s="111">
        <v>110058.62</v>
      </c>
      <c r="D76" s="148">
        <v>104890.23</v>
      </c>
      <c r="F76" s="157">
        <v>72</v>
      </c>
      <c r="G76" s="111">
        <f t="shared" si="10"/>
        <v>123265.6544</v>
      </c>
      <c r="H76" s="148">
        <f t="shared" si="10"/>
        <v>117477.0576</v>
      </c>
      <c r="J76" s="157">
        <v>72</v>
      </c>
      <c r="K76" s="111">
        <f t="shared" si="8"/>
        <v>147918.78527999998</v>
      </c>
      <c r="L76" s="148">
        <f t="shared" si="6"/>
        <v>140972.46911999999</v>
      </c>
      <c r="N76" s="157">
        <v>72</v>
      </c>
      <c r="O76" s="111">
        <f t="shared" si="9"/>
        <v>141755.50255999999</v>
      </c>
      <c r="P76" s="148">
        <f t="shared" si="7"/>
        <v>135098.61624</v>
      </c>
    </row>
    <row r="77" spans="2:16" hidden="1">
      <c r="B77" s="158">
        <v>73</v>
      </c>
      <c r="C77" s="147">
        <v>116342.62</v>
      </c>
      <c r="D77" s="150">
        <v>110541.08</v>
      </c>
      <c r="F77" s="158">
        <v>73</v>
      </c>
      <c r="G77" s="147">
        <f t="shared" si="10"/>
        <v>130303.7344</v>
      </c>
      <c r="H77" s="150">
        <f t="shared" si="10"/>
        <v>123806.00960000002</v>
      </c>
      <c r="J77" s="158">
        <v>73</v>
      </c>
      <c r="K77" s="147">
        <f t="shared" si="8"/>
        <v>156364.48128000001</v>
      </c>
      <c r="L77" s="150">
        <f t="shared" si="6"/>
        <v>148567.21152000001</v>
      </c>
      <c r="N77" s="158">
        <v>73</v>
      </c>
      <c r="O77" s="147">
        <f t="shared" si="9"/>
        <v>149849.29455999998</v>
      </c>
      <c r="P77" s="150">
        <f t="shared" si="7"/>
        <v>142376.91104000001</v>
      </c>
    </row>
    <row r="78" spans="2:16" hidden="1">
      <c r="B78" s="157">
        <v>74</v>
      </c>
      <c r="C78" s="111">
        <v>122985.42</v>
      </c>
      <c r="D78" s="148">
        <v>116496.37</v>
      </c>
      <c r="F78" s="157">
        <v>74</v>
      </c>
      <c r="G78" s="111">
        <f t="shared" si="10"/>
        <v>137743.6704</v>
      </c>
      <c r="H78" s="148">
        <f t="shared" si="10"/>
        <v>130475.93440000001</v>
      </c>
      <c r="J78" s="157">
        <v>74</v>
      </c>
      <c r="K78" s="111">
        <f t="shared" si="8"/>
        <v>165292.40448</v>
      </c>
      <c r="L78" s="148">
        <f t="shared" si="6"/>
        <v>156571.12128000002</v>
      </c>
      <c r="N78" s="157">
        <v>74</v>
      </c>
      <c r="O78" s="111">
        <f t="shared" si="9"/>
        <v>158405.22095999998</v>
      </c>
      <c r="P78" s="148">
        <f t="shared" si="7"/>
        <v>150047.32456000001</v>
      </c>
    </row>
    <row r="79" spans="2:16" hidden="1">
      <c r="B79" s="158">
        <v>75</v>
      </c>
      <c r="C79" s="147">
        <v>130007.5</v>
      </c>
      <c r="D79" s="150">
        <v>122772.49</v>
      </c>
      <c r="F79" s="158">
        <v>75</v>
      </c>
      <c r="G79" s="147">
        <f t="shared" si="10"/>
        <v>145608.40000000002</v>
      </c>
      <c r="H79" s="150">
        <f t="shared" si="10"/>
        <v>137505.18880000003</v>
      </c>
      <c r="J79" s="158">
        <v>75</v>
      </c>
      <c r="K79" s="147">
        <f t="shared" si="8"/>
        <v>174730.08000000002</v>
      </c>
      <c r="L79" s="150">
        <f t="shared" si="6"/>
        <v>165006.22656000004</v>
      </c>
      <c r="N79" s="158">
        <v>75</v>
      </c>
      <c r="O79" s="147">
        <f t="shared" si="9"/>
        <v>167449.66</v>
      </c>
      <c r="P79" s="150">
        <f t="shared" si="7"/>
        <v>158130.96712000002</v>
      </c>
    </row>
    <row r="80" spans="2:16" hidden="1">
      <c r="B80" s="157">
        <v>76</v>
      </c>
      <c r="C80" s="111">
        <v>137430.51999999999</v>
      </c>
      <c r="D80" s="148">
        <v>129386.73</v>
      </c>
      <c r="F80" s="157">
        <v>76</v>
      </c>
      <c r="G80" s="111">
        <f t="shared" si="10"/>
        <v>153922.18239999999</v>
      </c>
      <c r="H80" s="148">
        <f t="shared" si="10"/>
        <v>144913.13760000002</v>
      </c>
      <c r="J80" s="157">
        <v>76</v>
      </c>
      <c r="K80" s="111">
        <f t="shared" si="8"/>
        <v>184706.61887999999</v>
      </c>
      <c r="L80" s="148">
        <f t="shared" si="6"/>
        <v>173895.76512000003</v>
      </c>
      <c r="N80" s="157">
        <v>76</v>
      </c>
      <c r="O80" s="111">
        <f t="shared" si="9"/>
        <v>177010.50975999999</v>
      </c>
      <c r="P80" s="148">
        <f t="shared" si="7"/>
        <v>166650.10824</v>
      </c>
    </row>
    <row r="81" spans="2:16" hidden="1">
      <c r="B81" s="158">
        <v>77</v>
      </c>
      <c r="C81" s="147">
        <v>145277.38</v>
      </c>
      <c r="D81" s="150">
        <v>136357.29999999999</v>
      </c>
      <c r="F81" s="158">
        <v>77</v>
      </c>
      <c r="G81" s="147">
        <f t="shared" si="10"/>
        <v>162710.66560000001</v>
      </c>
      <c r="H81" s="150">
        <f t="shared" si="10"/>
        <v>152720.17600000001</v>
      </c>
      <c r="J81" s="158">
        <v>77</v>
      </c>
      <c r="K81" s="147">
        <f t="shared" si="8"/>
        <v>195252.79871999999</v>
      </c>
      <c r="L81" s="150">
        <f t="shared" si="6"/>
        <v>183264.21119999999</v>
      </c>
      <c r="N81" s="158">
        <v>77</v>
      </c>
      <c r="O81" s="147">
        <f t="shared" si="9"/>
        <v>187117.26543999999</v>
      </c>
      <c r="P81" s="150">
        <f t="shared" si="7"/>
        <v>175628.20239999998</v>
      </c>
    </row>
    <row r="82" spans="2:16" hidden="1">
      <c r="B82" s="157">
        <v>78</v>
      </c>
      <c r="C82" s="111">
        <v>153572.26</v>
      </c>
      <c r="D82" s="148">
        <v>143703.41</v>
      </c>
      <c r="F82" s="157">
        <v>78</v>
      </c>
      <c r="G82" s="111">
        <f t="shared" si="10"/>
        <v>172000.93120000002</v>
      </c>
      <c r="H82" s="148">
        <f t="shared" si="10"/>
        <v>160947.81920000003</v>
      </c>
      <c r="J82" s="157">
        <v>78</v>
      </c>
      <c r="K82" s="111">
        <f t="shared" si="8"/>
        <v>206401.11744000003</v>
      </c>
      <c r="L82" s="148">
        <f t="shared" si="6"/>
        <v>193137.38304000002</v>
      </c>
      <c r="N82" s="157">
        <v>78</v>
      </c>
      <c r="O82" s="111">
        <f t="shared" si="9"/>
        <v>197801.07088000001</v>
      </c>
      <c r="P82" s="148">
        <f t="shared" si="7"/>
        <v>185089.99208000003</v>
      </c>
    </row>
    <row r="83" spans="2:16" hidden="1">
      <c r="B83" s="158">
        <v>79</v>
      </c>
      <c r="C83" s="147">
        <v>162340.75</v>
      </c>
      <c r="D83" s="150">
        <v>151445.28</v>
      </c>
      <c r="F83" s="158">
        <v>79</v>
      </c>
      <c r="G83" s="147">
        <f t="shared" si="10"/>
        <v>181821.64</v>
      </c>
      <c r="H83" s="150">
        <f t="shared" si="10"/>
        <v>169618.71360000002</v>
      </c>
      <c r="J83" s="158">
        <v>79</v>
      </c>
      <c r="K83" s="147">
        <f t="shared" si="8"/>
        <v>218185.96800000002</v>
      </c>
      <c r="L83" s="150">
        <f t="shared" si="6"/>
        <v>203542.45632000003</v>
      </c>
      <c r="N83" s="158">
        <v>79</v>
      </c>
      <c r="O83" s="147">
        <f t="shared" si="9"/>
        <v>209094.886</v>
      </c>
      <c r="P83" s="150">
        <f t="shared" si="7"/>
        <v>195061.52064</v>
      </c>
    </row>
    <row r="84" spans="2:16" hidden="1">
      <c r="B84" s="157">
        <v>80</v>
      </c>
      <c r="C84" s="111">
        <v>171609.9</v>
      </c>
      <c r="D84" s="148">
        <v>159604.23000000001</v>
      </c>
      <c r="F84" s="157">
        <v>80</v>
      </c>
      <c r="G84" s="111">
        <f t="shared" si="10"/>
        <v>192203.08800000002</v>
      </c>
      <c r="H84" s="148">
        <f t="shared" si="10"/>
        <v>178756.73760000002</v>
      </c>
      <c r="J84" s="157">
        <v>80</v>
      </c>
      <c r="K84" s="111">
        <f t="shared" si="8"/>
        <v>230643.70560000002</v>
      </c>
      <c r="L84" s="148">
        <f t="shared" si="6"/>
        <v>214508.08512000003</v>
      </c>
      <c r="N84" s="157">
        <v>80</v>
      </c>
      <c r="O84" s="111">
        <f t="shared" si="9"/>
        <v>221033.55120000002</v>
      </c>
      <c r="P84" s="148">
        <f t="shared" si="7"/>
        <v>205570.24824000002</v>
      </c>
    </row>
    <row r="85" spans="2:16" hidden="1">
      <c r="B85" s="158">
        <v>81</v>
      </c>
      <c r="C85" s="147">
        <v>181408.29</v>
      </c>
      <c r="D85" s="150">
        <v>168202.74</v>
      </c>
      <c r="F85" s="158">
        <v>81</v>
      </c>
      <c r="G85" s="147">
        <f t="shared" si="10"/>
        <v>203177.28480000002</v>
      </c>
      <c r="H85" s="150">
        <f t="shared" si="10"/>
        <v>188387.06880000001</v>
      </c>
      <c r="J85" s="158">
        <v>81</v>
      </c>
      <c r="K85" s="147">
        <f t="shared" si="8"/>
        <v>243812.74176</v>
      </c>
      <c r="L85" s="150">
        <f t="shared" si="6"/>
        <v>226064.48256</v>
      </c>
      <c r="N85" s="158">
        <v>81</v>
      </c>
      <c r="O85" s="147">
        <f t="shared" si="9"/>
        <v>233653.87752000001</v>
      </c>
      <c r="P85" s="150">
        <f t="shared" si="7"/>
        <v>216645.12912</v>
      </c>
    </row>
    <row r="86" spans="2:16" hidden="1">
      <c r="B86" s="157">
        <v>82</v>
      </c>
      <c r="C86" s="111">
        <v>191766.14</v>
      </c>
      <c r="D86" s="148">
        <v>177264.49</v>
      </c>
      <c r="F86" s="157">
        <v>82</v>
      </c>
      <c r="G86" s="111">
        <f t="shared" si="10"/>
        <v>214778.07680000004</v>
      </c>
      <c r="H86" s="148">
        <f t="shared" si="10"/>
        <v>198536.22880000001</v>
      </c>
      <c r="J86" s="157">
        <v>82</v>
      </c>
      <c r="K86" s="111">
        <f t="shared" si="8"/>
        <v>257733.69216000004</v>
      </c>
      <c r="L86" s="148">
        <f t="shared" si="6"/>
        <v>238243.47456</v>
      </c>
      <c r="N86" s="157">
        <v>82</v>
      </c>
      <c r="O86" s="111">
        <f t="shared" si="9"/>
        <v>246994.78832000002</v>
      </c>
      <c r="P86" s="148">
        <f t="shared" si="7"/>
        <v>228316.66311999998</v>
      </c>
    </row>
    <row r="87" spans="2:16" hidden="1">
      <c r="B87" s="158">
        <v>83</v>
      </c>
      <c r="C87" s="147">
        <v>202715.38</v>
      </c>
      <c r="D87" s="150">
        <v>186814.43</v>
      </c>
      <c r="F87" s="158">
        <v>83</v>
      </c>
      <c r="G87" s="147">
        <f t="shared" si="10"/>
        <v>227041.22560000003</v>
      </c>
      <c r="H87" s="150">
        <f t="shared" si="10"/>
        <v>209232.16160000002</v>
      </c>
      <c r="J87" s="158">
        <v>83</v>
      </c>
      <c r="K87" s="147">
        <f t="shared" si="8"/>
        <v>272449.47072000004</v>
      </c>
      <c r="L87" s="150">
        <f t="shared" si="6"/>
        <v>251078.59392000001</v>
      </c>
      <c r="N87" s="158">
        <v>83</v>
      </c>
      <c r="O87" s="147">
        <f t="shared" si="9"/>
        <v>261097.40944000002</v>
      </c>
      <c r="P87" s="150">
        <f t="shared" si="7"/>
        <v>240616.98584000001</v>
      </c>
    </row>
    <row r="88" spans="2:16" hidden="1">
      <c r="B88" s="157">
        <v>84</v>
      </c>
      <c r="C88" s="111">
        <v>214289.8</v>
      </c>
      <c r="D88" s="148">
        <v>196878.86</v>
      </c>
      <c r="F88" s="157">
        <v>84</v>
      </c>
      <c r="G88" s="111">
        <f t="shared" si="10"/>
        <v>240004.576</v>
      </c>
      <c r="H88" s="148">
        <f t="shared" si="10"/>
        <v>220504.32320000001</v>
      </c>
      <c r="J88" s="157">
        <v>84</v>
      </c>
      <c r="K88" s="111">
        <f t="shared" si="8"/>
        <v>288005.49119999999</v>
      </c>
      <c r="L88" s="148">
        <f t="shared" si="8"/>
        <v>264605.18784000003</v>
      </c>
      <c r="N88" s="157">
        <v>84</v>
      </c>
      <c r="O88" s="111">
        <f t="shared" si="9"/>
        <v>276005.26240000001</v>
      </c>
      <c r="P88" s="148">
        <f t="shared" si="9"/>
        <v>253579.97167999999</v>
      </c>
    </row>
    <row r="89" spans="2:16" hidden="1">
      <c r="B89" s="158">
        <v>85</v>
      </c>
      <c r="C89" s="147">
        <v>226525.07</v>
      </c>
      <c r="D89" s="150">
        <v>207485.5</v>
      </c>
      <c r="F89" s="158">
        <v>85</v>
      </c>
      <c r="G89" s="147">
        <f t="shared" si="10"/>
        <v>253708.07840000003</v>
      </c>
      <c r="H89" s="150">
        <f t="shared" si="10"/>
        <v>232383.76</v>
      </c>
      <c r="J89" s="158">
        <v>85</v>
      </c>
      <c r="K89" s="147">
        <f t="shared" ref="K89:L104" si="11">+G89*1.2</f>
        <v>304449.69408000004</v>
      </c>
      <c r="L89" s="150">
        <f t="shared" si="11"/>
        <v>278860.51199999999</v>
      </c>
      <c r="N89" s="158">
        <v>85</v>
      </c>
      <c r="O89" s="147">
        <f t="shared" ref="O89:P104" si="12">+G89*1.15</f>
        <v>291764.29016000003</v>
      </c>
      <c r="P89" s="150">
        <f t="shared" si="12"/>
        <v>267241.32399999996</v>
      </c>
    </row>
    <row r="90" spans="2:16" hidden="1">
      <c r="B90" s="157">
        <v>86</v>
      </c>
      <c r="C90" s="111">
        <v>239458.94</v>
      </c>
      <c r="D90" s="148">
        <v>218663.57</v>
      </c>
      <c r="F90" s="157">
        <v>86</v>
      </c>
      <c r="G90" s="111">
        <f t="shared" si="10"/>
        <v>268194.01280000003</v>
      </c>
      <c r="H90" s="148">
        <f t="shared" si="10"/>
        <v>244903.19840000002</v>
      </c>
      <c r="J90" s="157">
        <v>86</v>
      </c>
      <c r="K90" s="111">
        <f t="shared" si="11"/>
        <v>321832.81536000001</v>
      </c>
      <c r="L90" s="148">
        <f t="shared" si="11"/>
        <v>293883.83808000002</v>
      </c>
      <c r="N90" s="157">
        <v>86</v>
      </c>
      <c r="O90" s="111">
        <f t="shared" si="12"/>
        <v>308423.11472000001</v>
      </c>
      <c r="P90" s="148">
        <f t="shared" si="12"/>
        <v>281638.67816000001</v>
      </c>
    </row>
    <row r="91" spans="2:16" hidden="1">
      <c r="B91" s="158">
        <v>87</v>
      </c>
      <c r="C91" s="147">
        <v>253131.3</v>
      </c>
      <c r="D91" s="150">
        <v>230443.84</v>
      </c>
      <c r="F91" s="158">
        <v>87</v>
      </c>
      <c r="G91" s="147">
        <f t="shared" si="10"/>
        <v>283507.05600000004</v>
      </c>
      <c r="H91" s="150">
        <f t="shared" si="10"/>
        <v>258097.10080000001</v>
      </c>
      <c r="J91" s="158">
        <v>87</v>
      </c>
      <c r="K91" s="147">
        <f t="shared" si="11"/>
        <v>340208.46720000001</v>
      </c>
      <c r="L91" s="150">
        <f t="shared" si="11"/>
        <v>309716.52095999999</v>
      </c>
      <c r="N91" s="158">
        <v>87</v>
      </c>
      <c r="O91" s="147">
        <f t="shared" si="12"/>
        <v>326033.11440000002</v>
      </c>
      <c r="P91" s="150">
        <f t="shared" si="12"/>
        <v>296811.66592</v>
      </c>
    </row>
    <row r="92" spans="2:16" hidden="1">
      <c r="B92" s="157">
        <v>88</v>
      </c>
      <c r="C92" s="111">
        <v>267584.31</v>
      </c>
      <c r="D92" s="148">
        <v>242858.76</v>
      </c>
      <c r="F92" s="157">
        <v>88</v>
      </c>
      <c r="G92" s="111">
        <f t="shared" si="10"/>
        <v>299694.42720000003</v>
      </c>
      <c r="H92" s="148">
        <f t="shared" si="10"/>
        <v>272001.81120000005</v>
      </c>
      <c r="J92" s="157">
        <v>88</v>
      </c>
      <c r="K92" s="111">
        <f t="shared" si="11"/>
        <v>359633.31264000002</v>
      </c>
      <c r="L92" s="148">
        <f t="shared" si="11"/>
        <v>326402.17344000004</v>
      </c>
      <c r="N92" s="157">
        <v>88</v>
      </c>
      <c r="O92" s="111">
        <f t="shared" si="12"/>
        <v>344648.59127999999</v>
      </c>
      <c r="P92" s="148">
        <f t="shared" si="12"/>
        <v>312802.08288000006</v>
      </c>
    </row>
    <row r="93" spans="2:16" hidden="1">
      <c r="B93" s="158">
        <v>89</v>
      </c>
      <c r="C93" s="147">
        <v>282862.53000000003</v>
      </c>
      <c r="D93" s="150">
        <v>255942.52</v>
      </c>
      <c r="F93" s="158">
        <v>89</v>
      </c>
      <c r="G93" s="147">
        <f t="shared" si="10"/>
        <v>316806.03360000008</v>
      </c>
      <c r="H93" s="150">
        <f t="shared" si="10"/>
        <v>286655.62239999999</v>
      </c>
      <c r="J93" s="158">
        <v>89</v>
      </c>
      <c r="K93" s="147">
        <f t="shared" si="11"/>
        <v>380167.2403200001</v>
      </c>
      <c r="L93" s="150">
        <f t="shared" si="11"/>
        <v>343986.74687999999</v>
      </c>
      <c r="N93" s="158">
        <v>89</v>
      </c>
      <c r="O93" s="147">
        <f t="shared" si="12"/>
        <v>364326.93864000007</v>
      </c>
      <c r="P93" s="150">
        <f t="shared" si="12"/>
        <v>329653.96575999999</v>
      </c>
    </row>
    <row r="94" spans="2:16" hidden="1">
      <c r="B94" s="157">
        <v>90</v>
      </c>
      <c r="C94" s="111">
        <v>299013.09999999998</v>
      </c>
      <c r="D94" s="148">
        <v>269731.15000000002</v>
      </c>
      <c r="F94" s="157">
        <v>90</v>
      </c>
      <c r="G94" s="111">
        <f t="shared" si="10"/>
        <v>334894.67200000002</v>
      </c>
      <c r="H94" s="148">
        <f t="shared" si="10"/>
        <v>302098.88800000004</v>
      </c>
      <c r="J94" s="157">
        <v>90</v>
      </c>
      <c r="K94" s="111">
        <f t="shared" si="11"/>
        <v>401873.60639999999</v>
      </c>
      <c r="L94" s="148">
        <f t="shared" si="11"/>
        <v>362518.66560000001</v>
      </c>
      <c r="N94" s="157">
        <v>90</v>
      </c>
      <c r="O94" s="111">
        <f t="shared" si="12"/>
        <v>385128.87280000001</v>
      </c>
      <c r="P94" s="148">
        <f t="shared" si="12"/>
        <v>347413.72120000003</v>
      </c>
    </row>
    <row r="95" spans="2:16" hidden="1">
      <c r="B95" s="158">
        <v>91</v>
      </c>
      <c r="C95" s="147">
        <v>316085.81</v>
      </c>
      <c r="D95" s="150">
        <v>284262.64</v>
      </c>
      <c r="F95" s="158">
        <v>91</v>
      </c>
      <c r="G95" s="147">
        <f t="shared" si="10"/>
        <v>354016.10720000003</v>
      </c>
      <c r="H95" s="150">
        <f t="shared" si="10"/>
        <v>318374.15680000006</v>
      </c>
      <c r="J95" s="158">
        <v>91</v>
      </c>
      <c r="K95" s="147">
        <f t="shared" si="11"/>
        <v>424819.32864000002</v>
      </c>
      <c r="L95" s="150">
        <f t="shared" si="11"/>
        <v>382048.98816000007</v>
      </c>
      <c r="N95" s="158">
        <v>91</v>
      </c>
      <c r="O95" s="147">
        <f t="shared" si="12"/>
        <v>407118.52328000002</v>
      </c>
      <c r="P95" s="150">
        <f t="shared" si="12"/>
        <v>366130.28032000002</v>
      </c>
    </row>
    <row r="96" spans="2:16" hidden="1">
      <c r="B96" s="157">
        <v>92</v>
      </c>
      <c r="C96" s="111">
        <v>334133.32</v>
      </c>
      <c r="D96" s="148">
        <v>299576.99</v>
      </c>
      <c r="F96" s="157">
        <v>92</v>
      </c>
      <c r="G96" s="111">
        <f t="shared" si="10"/>
        <v>374229.31840000005</v>
      </c>
      <c r="H96" s="148">
        <f t="shared" si="10"/>
        <v>335526.22880000004</v>
      </c>
      <c r="J96" s="157">
        <v>92</v>
      </c>
      <c r="K96" s="111">
        <f t="shared" si="11"/>
        <v>449075.18208000006</v>
      </c>
      <c r="L96" s="148">
        <f t="shared" si="11"/>
        <v>402631.47456000006</v>
      </c>
      <c r="N96" s="157">
        <v>92</v>
      </c>
      <c r="O96" s="111">
        <f t="shared" si="12"/>
        <v>430363.71616000001</v>
      </c>
      <c r="P96" s="148">
        <f t="shared" si="12"/>
        <v>385855.16312000004</v>
      </c>
    </row>
    <row r="97" spans="2:16" hidden="1">
      <c r="B97" s="158">
        <v>93</v>
      </c>
      <c r="C97" s="147">
        <v>353211.28</v>
      </c>
      <c r="D97" s="150">
        <v>315716.38</v>
      </c>
      <c r="F97" s="158">
        <v>93</v>
      </c>
      <c r="G97" s="147">
        <f t="shared" si="10"/>
        <v>395596.63360000006</v>
      </c>
      <c r="H97" s="150">
        <f t="shared" si="10"/>
        <v>353602.34560000006</v>
      </c>
      <c r="J97" s="158">
        <v>93</v>
      </c>
      <c r="K97" s="147">
        <f t="shared" si="11"/>
        <v>474715.96032000007</v>
      </c>
      <c r="L97" s="150">
        <f t="shared" si="11"/>
        <v>424322.81472000008</v>
      </c>
      <c r="N97" s="158">
        <v>93</v>
      </c>
      <c r="O97" s="147">
        <f t="shared" si="12"/>
        <v>454936.12864000001</v>
      </c>
      <c r="P97" s="150">
        <f t="shared" si="12"/>
        <v>406642.69744000002</v>
      </c>
    </row>
    <row r="98" spans="2:16" hidden="1">
      <c r="B98" s="157">
        <v>94</v>
      </c>
      <c r="C98" s="111">
        <v>373378.54</v>
      </c>
      <c r="D98" s="148">
        <v>332725.27</v>
      </c>
      <c r="F98" s="157">
        <v>94</v>
      </c>
      <c r="G98" s="111">
        <f t="shared" si="10"/>
        <v>418183.96480000002</v>
      </c>
      <c r="H98" s="148">
        <f t="shared" si="10"/>
        <v>372652.30240000004</v>
      </c>
      <c r="J98" s="157">
        <v>94</v>
      </c>
      <c r="K98" s="111">
        <f t="shared" si="11"/>
        <v>501820.75776000001</v>
      </c>
      <c r="L98" s="148">
        <f t="shared" si="11"/>
        <v>447182.76288000005</v>
      </c>
      <c r="N98" s="157">
        <v>94</v>
      </c>
      <c r="O98" s="111">
        <f t="shared" si="12"/>
        <v>480911.55952000001</v>
      </c>
      <c r="P98" s="148">
        <f t="shared" si="12"/>
        <v>428550.14776000002</v>
      </c>
    </row>
    <row r="99" spans="2:16" hidden="1">
      <c r="B99" s="158">
        <v>95</v>
      </c>
      <c r="C99" s="147">
        <v>394697.29</v>
      </c>
      <c r="D99" s="150">
        <v>350650.5</v>
      </c>
      <c r="F99" s="158">
        <v>95</v>
      </c>
      <c r="G99" s="147">
        <f t="shared" si="10"/>
        <v>442060.96480000002</v>
      </c>
      <c r="H99" s="150">
        <f t="shared" si="10"/>
        <v>392728.56000000006</v>
      </c>
      <c r="J99" s="158">
        <v>95</v>
      </c>
      <c r="K99" s="147">
        <f t="shared" si="11"/>
        <v>530473.15775999997</v>
      </c>
      <c r="L99" s="150">
        <f t="shared" si="11"/>
        <v>471274.27200000006</v>
      </c>
      <c r="N99" s="158">
        <v>95</v>
      </c>
      <c r="O99" s="147">
        <f t="shared" si="12"/>
        <v>508370.10952</v>
      </c>
      <c r="P99" s="150">
        <f t="shared" si="12"/>
        <v>451637.84400000004</v>
      </c>
    </row>
    <row r="100" spans="2:16" hidden="1">
      <c r="B100" s="157">
        <v>96</v>
      </c>
      <c r="C100" s="111">
        <v>417233.27</v>
      </c>
      <c r="D100" s="148">
        <v>369541.43</v>
      </c>
      <c r="F100" s="157">
        <v>96</v>
      </c>
      <c r="G100" s="111">
        <f t="shared" si="10"/>
        <v>467301.26240000007</v>
      </c>
      <c r="H100" s="148">
        <f t="shared" si="10"/>
        <v>413886.40160000004</v>
      </c>
      <c r="J100" s="157">
        <v>96</v>
      </c>
      <c r="K100" s="111">
        <f t="shared" si="11"/>
        <v>560761.51488000003</v>
      </c>
      <c r="L100" s="148">
        <f t="shared" si="11"/>
        <v>496663.68192</v>
      </c>
      <c r="N100" s="157">
        <v>96</v>
      </c>
      <c r="O100" s="111">
        <f t="shared" si="12"/>
        <v>537396.45176000008</v>
      </c>
      <c r="P100" s="148">
        <f t="shared" si="12"/>
        <v>475969.36184000003</v>
      </c>
    </row>
    <row r="101" spans="2:16" hidden="1">
      <c r="B101" s="158">
        <v>97</v>
      </c>
      <c r="C101" s="147">
        <v>441055.98</v>
      </c>
      <c r="D101" s="150">
        <v>389450.09</v>
      </c>
      <c r="F101" s="158">
        <v>97</v>
      </c>
      <c r="G101" s="147">
        <f t="shared" si="10"/>
        <v>493982.69760000001</v>
      </c>
      <c r="H101" s="150">
        <f t="shared" si="10"/>
        <v>436184.10080000007</v>
      </c>
      <c r="J101" s="158">
        <v>97</v>
      </c>
      <c r="K101" s="147">
        <f t="shared" si="11"/>
        <v>592779.23711999995</v>
      </c>
      <c r="L101" s="150">
        <f t="shared" si="11"/>
        <v>523420.92096000008</v>
      </c>
      <c r="N101" s="158">
        <v>97</v>
      </c>
      <c r="O101" s="147">
        <f t="shared" si="12"/>
        <v>568080.10223999992</v>
      </c>
      <c r="P101" s="150">
        <f t="shared" si="12"/>
        <v>501611.71592000005</v>
      </c>
    </row>
    <row r="102" spans="2:16" hidden="1">
      <c r="B102" s="157">
        <v>98</v>
      </c>
      <c r="C102" s="111">
        <v>466238.89</v>
      </c>
      <c r="D102" s="148">
        <v>410431.3</v>
      </c>
      <c r="F102" s="157">
        <v>98</v>
      </c>
      <c r="G102" s="111">
        <f t="shared" si="10"/>
        <v>522187.55680000008</v>
      </c>
      <c r="H102" s="148">
        <f t="shared" si="10"/>
        <v>459683.05600000004</v>
      </c>
      <c r="J102" s="157">
        <v>98</v>
      </c>
      <c r="K102" s="111">
        <f t="shared" si="11"/>
        <v>626625.06816000002</v>
      </c>
      <c r="L102" s="148">
        <f t="shared" si="11"/>
        <v>551619.66720000003</v>
      </c>
      <c r="N102" s="157">
        <v>98</v>
      </c>
      <c r="O102" s="111">
        <f t="shared" si="12"/>
        <v>600515.69032000005</v>
      </c>
      <c r="P102" s="148">
        <f t="shared" si="12"/>
        <v>528635.51439999999</v>
      </c>
    </row>
    <row r="103" spans="2:16" hidden="1">
      <c r="B103" s="158">
        <v>99</v>
      </c>
      <c r="C103" s="147">
        <v>492859.67</v>
      </c>
      <c r="D103" s="150">
        <v>432542.86</v>
      </c>
      <c r="F103" s="158">
        <v>99</v>
      </c>
      <c r="G103" s="147">
        <f t="shared" si="10"/>
        <v>552002.83039999998</v>
      </c>
      <c r="H103" s="150">
        <f t="shared" si="10"/>
        <v>484448.00320000004</v>
      </c>
      <c r="J103" s="158">
        <v>99</v>
      </c>
      <c r="K103" s="147">
        <f t="shared" si="11"/>
        <v>662403.39648</v>
      </c>
      <c r="L103" s="150">
        <f t="shared" si="11"/>
        <v>581337.60384</v>
      </c>
      <c r="N103" s="158">
        <v>99</v>
      </c>
      <c r="O103" s="147">
        <f t="shared" si="12"/>
        <v>634803.25495999993</v>
      </c>
      <c r="P103" s="150">
        <f t="shared" si="12"/>
        <v>557115.20368000004</v>
      </c>
    </row>
    <row r="104" spans="2:16" hidden="1">
      <c r="B104" s="251">
        <v>100</v>
      </c>
      <c r="C104" s="166">
        <v>492859.67</v>
      </c>
      <c r="D104" s="161">
        <v>432542.86</v>
      </c>
      <c r="F104" s="251">
        <v>100</v>
      </c>
      <c r="G104" s="166">
        <f t="shared" si="10"/>
        <v>552002.83039999998</v>
      </c>
      <c r="H104" s="161">
        <f t="shared" si="10"/>
        <v>484448.00320000004</v>
      </c>
      <c r="J104" s="251">
        <v>100</v>
      </c>
      <c r="K104" s="166">
        <f t="shared" si="11"/>
        <v>662403.39648</v>
      </c>
      <c r="L104" s="161">
        <f t="shared" si="11"/>
        <v>581337.60384</v>
      </c>
      <c r="N104" s="251">
        <v>100</v>
      </c>
      <c r="O104" s="166">
        <f t="shared" si="12"/>
        <v>634803.25495999993</v>
      </c>
      <c r="P104" s="161">
        <f t="shared" si="12"/>
        <v>557115.20368000004</v>
      </c>
    </row>
  </sheetData>
  <sheetProtection selectLockedCells="1"/>
  <pageMargins left="0.75" right="0.75" top="1" bottom="1" header="0" footer="0"/>
  <pageSetup scale="90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A1:H54"/>
  <sheetViews>
    <sheetView windowProtection="1" showGridLines="0" topLeftCell="AA1" workbookViewId="0">
      <selection activeCell="B12" sqref="B12:I12"/>
    </sheetView>
  </sheetViews>
  <sheetFormatPr baseColWidth="10" defaultColWidth="11.42578125" defaultRowHeight="12.75" zeroHeight="1"/>
  <cols>
    <col min="1" max="1" width="1.140625" hidden="1" customWidth="1"/>
    <col min="2" max="26" width="0" hidden="1" customWidth="1"/>
  </cols>
  <sheetData>
    <row r="1" spans="1:1">
      <c r="A1" s="105" t="s">
        <v>144</v>
      </c>
    </row>
    <row r="2" spans="1:1" hidden="1"/>
    <row r="3" spans="1:1" hidden="1">
      <c r="A3" s="104" t="s">
        <v>153</v>
      </c>
    </row>
    <row r="4" spans="1:1" hidden="1">
      <c r="A4" s="104" t="s">
        <v>117</v>
      </c>
    </row>
    <row r="5" spans="1:1" hidden="1">
      <c r="A5" s="104" t="s">
        <v>118</v>
      </c>
    </row>
    <row r="6" spans="1:1" hidden="1">
      <c r="A6" s="104" t="s">
        <v>119</v>
      </c>
    </row>
    <row r="7" spans="1:1" hidden="1">
      <c r="A7" s="104" t="s">
        <v>120</v>
      </c>
    </row>
    <row r="8" spans="1:1" hidden="1">
      <c r="A8" s="104" t="s">
        <v>121</v>
      </c>
    </row>
    <row r="9" spans="1:1" hidden="1">
      <c r="A9" s="105" t="s">
        <v>168</v>
      </c>
    </row>
    <row r="10" spans="1:1" hidden="1">
      <c r="A10" s="105" t="s">
        <v>169</v>
      </c>
    </row>
    <row r="11" spans="1:1" hidden="1"/>
    <row r="12" spans="1:1" hidden="1">
      <c r="A12" s="104" t="s">
        <v>154</v>
      </c>
    </row>
    <row r="13" spans="1:1" hidden="1">
      <c r="A13" s="104" t="s">
        <v>160</v>
      </c>
    </row>
    <row r="14" spans="1:1" hidden="1">
      <c r="A14" s="104" t="s">
        <v>122</v>
      </c>
    </row>
    <row r="15" spans="1:1" hidden="1">
      <c r="A15" s="104" t="s">
        <v>123</v>
      </c>
    </row>
    <row r="16" spans="1:1" hidden="1">
      <c r="A16" s="104" t="s">
        <v>124</v>
      </c>
    </row>
    <row r="17" spans="1:8" hidden="1"/>
    <row r="18" spans="1:8" hidden="1">
      <c r="A18" s="104" t="s">
        <v>125</v>
      </c>
    </row>
    <row r="19" spans="1:8" hidden="1">
      <c r="A19" s="104" t="s">
        <v>158</v>
      </c>
    </row>
    <row r="20" spans="1:8" hidden="1">
      <c r="A20" s="104" t="s">
        <v>159</v>
      </c>
    </row>
    <row r="21" spans="1:8" hidden="1">
      <c r="A21" s="105" t="s">
        <v>170</v>
      </c>
    </row>
    <row r="22" spans="1:8" hidden="1"/>
    <row r="23" spans="1:8" hidden="1">
      <c r="A23" s="104" t="s">
        <v>127</v>
      </c>
      <c r="H23" s="104" t="s">
        <v>146</v>
      </c>
    </row>
    <row r="24" spans="1:8" ht="14.25" hidden="1">
      <c r="A24" s="104" t="s">
        <v>166</v>
      </c>
      <c r="H24" s="106" t="s">
        <v>147</v>
      </c>
    </row>
    <row r="25" spans="1:8" ht="14.25" hidden="1">
      <c r="A25" s="104" t="s">
        <v>126</v>
      </c>
      <c r="H25" s="106" t="s">
        <v>148</v>
      </c>
    </row>
    <row r="26" spans="1:8" ht="14.25" hidden="1">
      <c r="A26" s="104" t="s">
        <v>161</v>
      </c>
      <c r="H26" s="106" t="s">
        <v>149</v>
      </c>
    </row>
    <row r="27" spans="1:8" ht="14.25" hidden="1">
      <c r="A27" s="105" t="s">
        <v>171</v>
      </c>
      <c r="H27" s="106" t="s">
        <v>150</v>
      </c>
    </row>
    <row r="28" spans="1:8" ht="14.25" hidden="1">
      <c r="A28" s="104" t="s">
        <v>157</v>
      </c>
      <c r="H28" s="106" t="s">
        <v>151</v>
      </c>
    </row>
    <row r="29" spans="1:8" ht="14.25" hidden="1">
      <c r="H29" s="106" t="s">
        <v>152</v>
      </c>
    </row>
    <row r="30" spans="1:8" hidden="1">
      <c r="A30" s="104" t="s">
        <v>128</v>
      </c>
    </row>
    <row r="31" spans="1:8" hidden="1">
      <c r="A31" s="104" t="s">
        <v>130</v>
      </c>
    </row>
    <row r="32" spans="1:8" hidden="1">
      <c r="A32" s="104" t="s">
        <v>131</v>
      </c>
    </row>
    <row r="33" spans="1:1" hidden="1">
      <c r="A33" s="104" t="s">
        <v>129</v>
      </c>
    </row>
    <row r="34" spans="1:1" hidden="1">
      <c r="A34" s="104" t="s">
        <v>132</v>
      </c>
    </row>
    <row r="35" spans="1:1" hidden="1"/>
    <row r="36" spans="1:1" hidden="1">
      <c r="A36" s="104" t="s">
        <v>133</v>
      </c>
    </row>
    <row r="37" spans="1:1" hidden="1">
      <c r="A37" s="104" t="s">
        <v>134</v>
      </c>
    </row>
    <row r="38" spans="1:1" hidden="1">
      <c r="A38" s="104" t="s">
        <v>135</v>
      </c>
    </row>
    <row r="39" spans="1:1" hidden="1">
      <c r="A39" s="104" t="s">
        <v>136</v>
      </c>
    </row>
    <row r="40" spans="1:1" hidden="1"/>
    <row r="41" spans="1:1" hidden="1">
      <c r="A41" s="104" t="s">
        <v>137</v>
      </c>
    </row>
    <row r="42" spans="1:1" hidden="1">
      <c r="A42" s="104" t="s">
        <v>138</v>
      </c>
    </row>
    <row r="43" spans="1:1" hidden="1">
      <c r="A43" s="104" t="s">
        <v>145</v>
      </c>
    </row>
    <row r="44" spans="1:1" hidden="1">
      <c r="A44" s="104" t="s">
        <v>139</v>
      </c>
    </row>
    <row r="45" spans="1:1" hidden="1">
      <c r="A45" s="104"/>
    </row>
    <row r="46" spans="1:1" hidden="1">
      <c r="A46" s="104" t="s">
        <v>140</v>
      </c>
    </row>
    <row r="47" spans="1:1" hidden="1">
      <c r="A47" s="104" t="s">
        <v>141</v>
      </c>
    </row>
    <row r="48" spans="1:1" hidden="1">
      <c r="A48" s="104" t="s">
        <v>142</v>
      </c>
    </row>
    <row r="49" spans="1:1" hidden="1">
      <c r="A49" s="104" t="s">
        <v>143</v>
      </c>
    </row>
    <row r="50" spans="1:1" hidden="1"/>
    <row r="51" spans="1:1" hidden="1">
      <c r="A51" s="104" t="s">
        <v>162</v>
      </c>
    </row>
    <row r="52" spans="1:1" hidden="1">
      <c r="A52" s="104" t="s">
        <v>163</v>
      </c>
    </row>
    <row r="53" spans="1:1" hidden="1">
      <c r="A53" s="104" t="s">
        <v>164</v>
      </c>
    </row>
    <row r="54" spans="1:1" hidden="1">
      <c r="A54" s="104" t="s">
        <v>165</v>
      </c>
    </row>
  </sheetData>
  <sheetProtection password="D97F" sheet="1" objects="1" scenarios="1" select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22</vt:i4>
      </vt:variant>
    </vt:vector>
  </HeadingPairs>
  <TitlesOfParts>
    <vt:vector size="31" baseType="lpstr">
      <vt:lpstr>Cotizador</vt:lpstr>
      <vt:lpstr>Instrucciones</vt:lpstr>
      <vt:lpstr>COTIZACION</vt:lpstr>
      <vt:lpstr>FACTORES</vt:lpstr>
      <vt:lpstr>TARIFARIO</vt:lpstr>
      <vt:lpstr>IMPRESION</vt:lpstr>
      <vt:lpstr>IMPRESION_2</vt:lpstr>
      <vt:lpstr>HISTORICO DE TARIFAS</vt:lpstr>
      <vt:lpstr>CAMBIOS</vt:lpstr>
      <vt:lpstr>IMPRESION_2!Área_de_impresión</vt:lpstr>
      <vt:lpstr>TARIFARIO!Área_de_impresión</vt:lpstr>
      <vt:lpstr>ASIS</vt:lpstr>
      <vt:lpstr>BÁSICAS</vt:lpstr>
      <vt:lpstr>CDENT</vt:lpstr>
      <vt:lpstr>CEE</vt:lpstr>
      <vt:lpstr>CTE</vt:lpstr>
      <vt:lpstr>DER</vt:lpstr>
      <vt:lpstr>EDXA019</vt:lpstr>
      <vt:lpstr>EDXA20100</vt:lpstr>
      <vt:lpstr>ENFGR</vt:lpstr>
      <vt:lpstr>IVA</vt:lpstr>
      <vt:lpstr>COTIZACION!Print_Area</vt:lpstr>
      <vt:lpstr>Cotizador!Print_Area</vt:lpstr>
      <vt:lpstr>FACTORES!Print_Area</vt:lpstr>
      <vt:lpstr>IMPRESION!Print_Area</vt:lpstr>
      <vt:lpstr>IMPRESION_2!Print_Area</vt:lpstr>
      <vt:lpstr>Instrucciones!Print_Area</vt:lpstr>
      <vt:lpstr>RMES</vt:lpstr>
      <vt:lpstr>RSEM</vt:lpstr>
      <vt:lpstr>RTRIM</vt:lpstr>
      <vt:lpstr>VIS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HUGO DANIEL PEREZ REYES</cp:lastModifiedBy>
  <cp:lastPrinted>2019-01-17T22:38:00Z</cp:lastPrinted>
  <dcterms:created xsi:type="dcterms:W3CDTF">2002-01-09T15:02:34Z</dcterms:created>
  <dcterms:modified xsi:type="dcterms:W3CDTF">2020-01-14T22:57:04Z</dcterms:modified>
</cp:coreProperties>
</file>