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4470D2CD-2249-CD33-4A35-6F278624656F}"/>
  <workbookPr showInkAnnotation="0" codeName="ThisWorkbook" defaultThemeVersion="124226"/>
  <mc:AlternateContent xmlns:mc="http://schemas.openxmlformats.org/markup-compatibility/2006">
    <mc:Choice Requires="x15">
      <x15ac:absPath xmlns:x15ac="http://schemas.microsoft.com/office/spreadsheetml/2010/11/ac" url="C:\Users\Camelia\Documents\"/>
    </mc:Choice>
  </mc:AlternateContent>
  <workbookProtection workbookAlgorithmName="SHA-512" workbookHashValue="4k/BRR5onE/14qZw+mjs7pK5o6O0kPGFLG5qHVPIzBIuse4Whwt9q3yTvxaJksTkbmL1fQF3/VsWjuNRH6vnkg==" workbookSaltValue="++tGGnABuuNXS7MIL9jYJw==" workbookSpinCount="100000" lockStructure="1" lockWindows="1"/>
  <bookViews>
    <workbookView xWindow="0" yWindow="0" windowWidth="19200" windowHeight="7050" firstSheet="3" activeTab="3"/>
  </bookViews>
  <sheets>
    <sheet name="TAR" sheetId="2" state="hidden" r:id="rId1"/>
    <sheet name="Calculo" sheetId="4" state="hidden" r:id="rId2"/>
    <sheet name="Presentación" sheetId="1" state="hidden" r:id="rId3"/>
    <sheet name="DATOS" sheetId="5" r:id="rId4"/>
    <sheet name="OT" sheetId="6" state="hidden" r:id="rId5"/>
    <sheet name="Sin" sheetId="7" state="hidden" r:id="rId6"/>
    <sheet name="Hoja1" sheetId="8" state="hidden" r:id="rId7"/>
  </sheets>
  <externalReferences>
    <externalReference r:id="rId8"/>
    <externalReference r:id="rId9"/>
  </externalReferences>
  <definedNames>
    <definedName name="_xlnm.Print_Area" localSheetId="2">Presentación!$A$1:$L$55</definedName>
    <definedName name="decimales">[1]Parámetros!$D$6</definedName>
    <definedName name="DIAS">[2]Cálculo!$J$9</definedName>
    <definedName name="GSTS1">Calculo!$B$8:$B$10</definedName>
    <definedName name="GSTS2">Calculo!#REF!</definedName>
    <definedName name="margen_Col">[2]Cálculo!$F$20</definedName>
    <definedName name="margen_Ind">[2]Cálculo!$E$20</definedName>
    <definedName name="PNETA">Calculo!$M$20</definedName>
    <definedName name="PNMA">Calculo!$B$2</definedName>
    <definedName name="PNPO">Calculo!$B$3</definedName>
    <definedName name="PNRGM">Calculo!$B$4</definedName>
    <definedName name="Print_Area" localSheetId="2">Presentación!$A$2:$L$55</definedName>
    <definedName name="RED">[2]Cálculo!$B$13</definedName>
    <definedName name="riesgo">[2]Cálculo!$B$9</definedName>
    <definedName name="Tabla_Col">'[2]Primas de Riesgo'!$B$8:$N$18</definedName>
    <definedName name="Tabla_Corto_Plazo">'[2]Primas de Riesgo'!$D$79:$E$442</definedName>
    <definedName name="Tabla_Ind">'[2]Primas de Riesgo'!$B$21:$N$31</definedName>
    <definedName name="Tabla_Salarios">'[2]Primas de Riesgo'!$T$9:$V$11</definedName>
    <definedName name="Tabla1">'[2]Primas de Riesgo'!$P$9:$S$13</definedName>
    <definedName name="Zona">[2]Cálculo!$F$13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 i="1" l="1"/>
  <c r="I28" i="1"/>
  <c r="I29" i="1"/>
  <c r="H29" i="1"/>
  <c r="H28" i="1"/>
  <c r="H27" i="1"/>
  <c r="E35" i="1"/>
  <c r="E34" i="1"/>
  <c r="E9" i="4"/>
  <c r="B36" i="5"/>
  <c r="C9" i="4" l="1"/>
  <c r="I2" i="1" l="1"/>
  <c r="C56" i="1" l="1"/>
  <c r="E18" i="5" l="1"/>
  <c r="H6" i="2" l="1"/>
  <c r="H4" i="2" s="1"/>
  <c r="C20" i="1"/>
  <c r="I4" i="2"/>
  <c r="M30" i="2"/>
  <c r="D16" i="1"/>
  <c r="E11" i="4" l="1"/>
  <c r="D12" i="2" l="1"/>
  <c r="E12" i="2"/>
  <c r="F12" i="2"/>
  <c r="G12" i="2"/>
  <c r="H12" i="2"/>
  <c r="I12" i="2"/>
  <c r="J12" i="2"/>
  <c r="K12" i="2"/>
  <c r="L12" i="2"/>
  <c r="M12" i="2"/>
  <c r="N12" i="2"/>
  <c r="O12" i="2"/>
  <c r="C12" i="2"/>
  <c r="O73" i="2"/>
  <c r="N73" i="2"/>
  <c r="M73" i="2"/>
  <c r="L73" i="2"/>
  <c r="K73" i="2"/>
  <c r="J73" i="2"/>
  <c r="I73" i="2"/>
  <c r="H73" i="2"/>
  <c r="G73" i="2"/>
  <c r="F73" i="2"/>
  <c r="E73" i="2"/>
  <c r="D73" i="2"/>
  <c r="O72" i="2"/>
  <c r="N72" i="2"/>
  <c r="M72" i="2"/>
  <c r="L72" i="2"/>
  <c r="K72" i="2"/>
  <c r="J72" i="2"/>
  <c r="I72" i="2"/>
  <c r="H72" i="2"/>
  <c r="G72" i="2"/>
  <c r="F72" i="2"/>
  <c r="E72" i="2"/>
  <c r="D72" i="2"/>
  <c r="O71" i="2"/>
  <c r="N71" i="2"/>
  <c r="M71" i="2"/>
  <c r="L71" i="2"/>
  <c r="K71" i="2"/>
  <c r="J71" i="2"/>
  <c r="I71" i="2"/>
  <c r="H71" i="2"/>
  <c r="G71" i="2"/>
  <c r="F71" i="2"/>
  <c r="E71" i="2"/>
  <c r="D71" i="2"/>
  <c r="O70" i="2"/>
  <c r="N70" i="2"/>
  <c r="M70" i="2"/>
  <c r="L70" i="2"/>
  <c r="K70" i="2"/>
  <c r="J70" i="2"/>
  <c r="I70" i="2"/>
  <c r="H70" i="2"/>
  <c r="G70" i="2"/>
  <c r="F70" i="2"/>
  <c r="E70" i="2"/>
  <c r="D70" i="2"/>
  <c r="O69" i="2"/>
  <c r="N69" i="2"/>
  <c r="M69" i="2"/>
  <c r="L69" i="2"/>
  <c r="K69" i="2"/>
  <c r="J69" i="2"/>
  <c r="I69" i="2"/>
  <c r="H69" i="2"/>
  <c r="G69" i="2"/>
  <c r="F69" i="2"/>
  <c r="E69" i="2"/>
  <c r="D69" i="2"/>
  <c r="O68" i="2"/>
  <c r="N68" i="2"/>
  <c r="M68" i="2"/>
  <c r="L68" i="2"/>
  <c r="K68" i="2"/>
  <c r="J68" i="2"/>
  <c r="I68" i="2"/>
  <c r="H68" i="2"/>
  <c r="G68" i="2"/>
  <c r="F68" i="2"/>
  <c r="E68" i="2"/>
  <c r="D68" i="2"/>
  <c r="O67" i="2"/>
  <c r="N67" i="2"/>
  <c r="M67" i="2"/>
  <c r="L67" i="2"/>
  <c r="K67" i="2"/>
  <c r="J67" i="2"/>
  <c r="I67" i="2"/>
  <c r="H67" i="2"/>
  <c r="G67" i="2"/>
  <c r="F67" i="2"/>
  <c r="E67" i="2"/>
  <c r="D67" i="2"/>
  <c r="O66" i="2"/>
  <c r="N66" i="2"/>
  <c r="M66" i="2"/>
  <c r="L66" i="2"/>
  <c r="K66" i="2"/>
  <c r="J66" i="2"/>
  <c r="I66" i="2"/>
  <c r="H66" i="2"/>
  <c r="G66" i="2"/>
  <c r="F66" i="2"/>
  <c r="E66" i="2"/>
  <c r="D66" i="2"/>
  <c r="O65" i="2"/>
  <c r="N65" i="2"/>
  <c r="M65" i="2"/>
  <c r="L65" i="2"/>
  <c r="K65" i="2"/>
  <c r="J65" i="2"/>
  <c r="I65" i="2"/>
  <c r="H65" i="2"/>
  <c r="G65" i="2"/>
  <c r="F65" i="2"/>
  <c r="E65" i="2"/>
  <c r="D65" i="2"/>
  <c r="O64" i="2"/>
  <c r="N64" i="2"/>
  <c r="M64" i="2"/>
  <c r="L64" i="2"/>
  <c r="K64" i="2"/>
  <c r="J64" i="2"/>
  <c r="I64" i="2"/>
  <c r="H64" i="2"/>
  <c r="G64" i="2"/>
  <c r="F64" i="2"/>
  <c r="E64" i="2"/>
  <c r="D64" i="2"/>
  <c r="O63" i="2"/>
  <c r="N63" i="2"/>
  <c r="M63" i="2"/>
  <c r="L63" i="2"/>
  <c r="K63" i="2"/>
  <c r="J63" i="2"/>
  <c r="I63" i="2"/>
  <c r="H63" i="2"/>
  <c r="G63" i="2"/>
  <c r="F63" i="2"/>
  <c r="E63" i="2"/>
  <c r="D63" i="2"/>
  <c r="O62" i="2"/>
  <c r="N62" i="2"/>
  <c r="M62" i="2"/>
  <c r="L62" i="2"/>
  <c r="K62" i="2"/>
  <c r="J62" i="2"/>
  <c r="I62" i="2"/>
  <c r="H62" i="2"/>
  <c r="G62" i="2"/>
  <c r="F62" i="2"/>
  <c r="E62" i="2"/>
  <c r="D62" i="2"/>
  <c r="O61" i="2"/>
  <c r="N61" i="2"/>
  <c r="M61" i="2"/>
  <c r="L61" i="2"/>
  <c r="K61" i="2"/>
  <c r="J61" i="2"/>
  <c r="I61" i="2"/>
  <c r="H61" i="2"/>
  <c r="G61" i="2"/>
  <c r="F61" i="2"/>
  <c r="E61" i="2"/>
  <c r="D61" i="2"/>
  <c r="O60" i="2"/>
  <c r="N60" i="2"/>
  <c r="M60" i="2"/>
  <c r="L60" i="2"/>
  <c r="K60" i="2"/>
  <c r="J60" i="2"/>
  <c r="I60" i="2"/>
  <c r="H60" i="2"/>
  <c r="G60" i="2"/>
  <c r="F60" i="2"/>
  <c r="E60" i="2"/>
  <c r="D60" i="2"/>
  <c r="O59" i="2"/>
  <c r="N59" i="2"/>
  <c r="M59" i="2"/>
  <c r="L59" i="2"/>
  <c r="K59" i="2"/>
  <c r="J59" i="2"/>
  <c r="I59" i="2"/>
  <c r="H59" i="2"/>
  <c r="G59" i="2"/>
  <c r="F59" i="2"/>
  <c r="E59" i="2"/>
  <c r="D59" i="2"/>
  <c r="O58" i="2"/>
  <c r="N58" i="2"/>
  <c r="M58" i="2"/>
  <c r="L58" i="2"/>
  <c r="K58" i="2"/>
  <c r="J58" i="2"/>
  <c r="I58" i="2"/>
  <c r="H58" i="2"/>
  <c r="G58" i="2"/>
  <c r="F58" i="2"/>
  <c r="E58" i="2"/>
  <c r="D58" i="2"/>
  <c r="O57" i="2"/>
  <c r="N57" i="2"/>
  <c r="M57" i="2"/>
  <c r="L57" i="2"/>
  <c r="K57" i="2"/>
  <c r="J57" i="2"/>
  <c r="I57" i="2"/>
  <c r="H57" i="2"/>
  <c r="G57" i="2"/>
  <c r="F57" i="2"/>
  <c r="E57" i="2"/>
  <c r="D57" i="2"/>
  <c r="O56" i="2"/>
  <c r="N56" i="2"/>
  <c r="M56" i="2"/>
  <c r="L56" i="2"/>
  <c r="K56" i="2"/>
  <c r="J56" i="2"/>
  <c r="I56" i="2"/>
  <c r="H56" i="2"/>
  <c r="G56" i="2"/>
  <c r="F56" i="2"/>
  <c r="E56" i="2"/>
  <c r="D56" i="2"/>
  <c r="O55" i="2"/>
  <c r="N55" i="2"/>
  <c r="M55" i="2"/>
  <c r="L55" i="2"/>
  <c r="K55" i="2"/>
  <c r="J55" i="2"/>
  <c r="I55" i="2"/>
  <c r="H55" i="2"/>
  <c r="G55" i="2"/>
  <c r="F55" i="2"/>
  <c r="E55" i="2"/>
  <c r="D55" i="2"/>
  <c r="O54" i="2"/>
  <c r="N54" i="2"/>
  <c r="M54" i="2"/>
  <c r="L54" i="2"/>
  <c r="K54" i="2"/>
  <c r="J54" i="2"/>
  <c r="I54" i="2"/>
  <c r="H54" i="2"/>
  <c r="G54" i="2"/>
  <c r="F54" i="2"/>
  <c r="E54" i="2"/>
  <c r="D54" i="2"/>
  <c r="O53" i="2"/>
  <c r="N53" i="2"/>
  <c r="M53" i="2"/>
  <c r="L53" i="2"/>
  <c r="K53" i="2"/>
  <c r="J53" i="2"/>
  <c r="I53" i="2"/>
  <c r="H53" i="2"/>
  <c r="G53" i="2"/>
  <c r="F53" i="2"/>
  <c r="E53" i="2"/>
  <c r="D53" i="2"/>
  <c r="O52" i="2"/>
  <c r="N52" i="2"/>
  <c r="M52" i="2"/>
  <c r="L52" i="2"/>
  <c r="K52" i="2"/>
  <c r="J52" i="2"/>
  <c r="I52" i="2"/>
  <c r="H52" i="2"/>
  <c r="G52" i="2"/>
  <c r="F52" i="2"/>
  <c r="E52" i="2"/>
  <c r="D52" i="2"/>
  <c r="O51" i="2"/>
  <c r="N51" i="2"/>
  <c r="M51" i="2"/>
  <c r="L51" i="2"/>
  <c r="K51" i="2"/>
  <c r="J51" i="2"/>
  <c r="I51" i="2"/>
  <c r="H51" i="2"/>
  <c r="G51" i="2"/>
  <c r="F51" i="2"/>
  <c r="E51" i="2"/>
  <c r="D51" i="2"/>
  <c r="O50" i="2"/>
  <c r="N50" i="2"/>
  <c r="M50" i="2"/>
  <c r="L50" i="2"/>
  <c r="K50" i="2"/>
  <c r="J50" i="2"/>
  <c r="I50" i="2"/>
  <c r="H50" i="2"/>
  <c r="G50" i="2"/>
  <c r="F50" i="2"/>
  <c r="E50" i="2"/>
  <c r="D50" i="2"/>
  <c r="O49" i="2"/>
  <c r="N49" i="2"/>
  <c r="M49" i="2"/>
  <c r="L49" i="2"/>
  <c r="K49" i="2"/>
  <c r="J49" i="2"/>
  <c r="I49" i="2"/>
  <c r="H49" i="2"/>
  <c r="G49" i="2"/>
  <c r="F49" i="2"/>
  <c r="E49" i="2"/>
  <c r="D49" i="2"/>
  <c r="O48" i="2"/>
  <c r="N48" i="2"/>
  <c r="M48" i="2"/>
  <c r="L48" i="2"/>
  <c r="K48" i="2"/>
  <c r="J48" i="2"/>
  <c r="I48" i="2"/>
  <c r="H48" i="2"/>
  <c r="G48" i="2"/>
  <c r="F48" i="2"/>
  <c r="E48" i="2"/>
  <c r="D48" i="2"/>
  <c r="O47" i="2"/>
  <c r="N47" i="2"/>
  <c r="M47" i="2"/>
  <c r="L47" i="2"/>
  <c r="K47" i="2"/>
  <c r="J47" i="2"/>
  <c r="I47" i="2"/>
  <c r="H47" i="2"/>
  <c r="G47" i="2"/>
  <c r="F47" i="2"/>
  <c r="E47" i="2"/>
  <c r="D47" i="2"/>
  <c r="O46" i="2"/>
  <c r="N46" i="2"/>
  <c r="M46" i="2"/>
  <c r="L46" i="2"/>
  <c r="K46" i="2"/>
  <c r="J46" i="2"/>
  <c r="I46" i="2"/>
  <c r="H46" i="2"/>
  <c r="G46" i="2"/>
  <c r="F46" i="2"/>
  <c r="E46" i="2"/>
  <c r="D46" i="2"/>
  <c r="O45" i="2"/>
  <c r="N45" i="2"/>
  <c r="M45" i="2"/>
  <c r="L45" i="2"/>
  <c r="K45" i="2"/>
  <c r="J45" i="2"/>
  <c r="I45" i="2"/>
  <c r="H45" i="2"/>
  <c r="G45" i="2"/>
  <c r="F45" i="2"/>
  <c r="E45" i="2"/>
  <c r="D45" i="2"/>
  <c r="O44" i="2"/>
  <c r="N44" i="2"/>
  <c r="M44" i="2"/>
  <c r="L44" i="2"/>
  <c r="K44" i="2"/>
  <c r="J44" i="2"/>
  <c r="I44" i="2"/>
  <c r="H44" i="2"/>
  <c r="G44" i="2"/>
  <c r="F44" i="2"/>
  <c r="E44" i="2"/>
  <c r="D44" i="2"/>
  <c r="O43" i="2"/>
  <c r="N43" i="2"/>
  <c r="M43" i="2"/>
  <c r="L43" i="2"/>
  <c r="K43" i="2"/>
  <c r="J43" i="2"/>
  <c r="I43" i="2"/>
  <c r="H43" i="2"/>
  <c r="G43" i="2"/>
  <c r="F43" i="2"/>
  <c r="E43" i="2"/>
  <c r="D43" i="2"/>
  <c r="O42" i="2"/>
  <c r="N42" i="2"/>
  <c r="M42" i="2"/>
  <c r="L42" i="2"/>
  <c r="K42" i="2"/>
  <c r="J42" i="2"/>
  <c r="I42" i="2"/>
  <c r="H42" i="2"/>
  <c r="G42" i="2"/>
  <c r="F42" i="2"/>
  <c r="E42" i="2"/>
  <c r="D42" i="2"/>
  <c r="O41" i="2"/>
  <c r="N41" i="2"/>
  <c r="M41" i="2"/>
  <c r="L41" i="2"/>
  <c r="K41" i="2"/>
  <c r="J41" i="2"/>
  <c r="I41" i="2"/>
  <c r="H41" i="2"/>
  <c r="G41" i="2"/>
  <c r="F41" i="2"/>
  <c r="E41" i="2"/>
  <c r="D41" i="2"/>
  <c r="O40" i="2"/>
  <c r="N40" i="2"/>
  <c r="M40" i="2"/>
  <c r="L40" i="2"/>
  <c r="K40" i="2"/>
  <c r="J40" i="2"/>
  <c r="I40" i="2"/>
  <c r="H40" i="2"/>
  <c r="G40" i="2"/>
  <c r="F40" i="2"/>
  <c r="E40" i="2"/>
  <c r="D40" i="2"/>
  <c r="O39" i="2"/>
  <c r="N39" i="2"/>
  <c r="M39" i="2"/>
  <c r="L39" i="2"/>
  <c r="K39" i="2"/>
  <c r="J39" i="2"/>
  <c r="I39" i="2"/>
  <c r="H39" i="2"/>
  <c r="G39" i="2"/>
  <c r="F39" i="2"/>
  <c r="E39" i="2"/>
  <c r="D39" i="2"/>
  <c r="O38" i="2"/>
  <c r="N38" i="2"/>
  <c r="M38" i="2"/>
  <c r="L38" i="2"/>
  <c r="K38" i="2"/>
  <c r="J38" i="2"/>
  <c r="I38" i="2"/>
  <c r="H38" i="2"/>
  <c r="G38" i="2"/>
  <c r="F38" i="2"/>
  <c r="E38" i="2"/>
  <c r="D38" i="2"/>
  <c r="O37" i="2"/>
  <c r="N37" i="2"/>
  <c r="M37" i="2"/>
  <c r="L37" i="2"/>
  <c r="K37" i="2"/>
  <c r="J37" i="2"/>
  <c r="I37" i="2"/>
  <c r="H37" i="2"/>
  <c r="G37" i="2"/>
  <c r="F37" i="2"/>
  <c r="E37" i="2"/>
  <c r="D37" i="2"/>
  <c r="O36" i="2"/>
  <c r="N36" i="2"/>
  <c r="M36" i="2"/>
  <c r="L36" i="2"/>
  <c r="K36" i="2"/>
  <c r="J36" i="2"/>
  <c r="I36" i="2"/>
  <c r="H36" i="2"/>
  <c r="G36" i="2"/>
  <c r="F36" i="2"/>
  <c r="E36" i="2"/>
  <c r="D36" i="2"/>
  <c r="O35" i="2"/>
  <c r="N35" i="2"/>
  <c r="M35" i="2"/>
  <c r="L35" i="2"/>
  <c r="K35" i="2"/>
  <c r="J35" i="2"/>
  <c r="I35" i="2"/>
  <c r="H35" i="2"/>
  <c r="G35" i="2"/>
  <c r="F35" i="2"/>
  <c r="E35" i="2"/>
  <c r="D35" i="2"/>
  <c r="O34" i="2"/>
  <c r="N34" i="2"/>
  <c r="M34" i="2"/>
  <c r="L34" i="2"/>
  <c r="K34" i="2"/>
  <c r="J34" i="2"/>
  <c r="I34" i="2"/>
  <c r="H34" i="2"/>
  <c r="G34" i="2"/>
  <c r="F34" i="2"/>
  <c r="E34" i="2"/>
  <c r="D34" i="2"/>
  <c r="O33" i="2"/>
  <c r="N33" i="2"/>
  <c r="M33" i="2"/>
  <c r="L33" i="2"/>
  <c r="K33" i="2"/>
  <c r="J33" i="2"/>
  <c r="I33" i="2"/>
  <c r="H33" i="2"/>
  <c r="G33" i="2"/>
  <c r="F33" i="2"/>
  <c r="E33" i="2"/>
  <c r="D33" i="2"/>
  <c r="O32" i="2"/>
  <c r="N32" i="2"/>
  <c r="M32" i="2"/>
  <c r="L32" i="2"/>
  <c r="K32" i="2"/>
  <c r="J32" i="2"/>
  <c r="I32" i="2"/>
  <c r="H32" i="2"/>
  <c r="G32" i="2"/>
  <c r="F32" i="2"/>
  <c r="E32" i="2"/>
  <c r="D32" i="2"/>
  <c r="O31" i="2"/>
  <c r="N31" i="2"/>
  <c r="M31" i="2"/>
  <c r="L31" i="2"/>
  <c r="K31" i="2"/>
  <c r="J31" i="2"/>
  <c r="I31" i="2"/>
  <c r="H31" i="2"/>
  <c r="G31" i="2"/>
  <c r="F31" i="2"/>
  <c r="E31" i="2"/>
  <c r="D31" i="2"/>
  <c r="O30" i="2"/>
  <c r="N30" i="2"/>
  <c r="L30" i="2"/>
  <c r="K30" i="2"/>
  <c r="J30" i="2"/>
  <c r="I30" i="2"/>
  <c r="H30" i="2"/>
  <c r="G30" i="2"/>
  <c r="F30" i="2"/>
  <c r="E30" i="2"/>
  <c r="D30" i="2"/>
  <c r="O29" i="2"/>
  <c r="N29" i="2"/>
  <c r="M29" i="2"/>
  <c r="L29" i="2"/>
  <c r="K29" i="2"/>
  <c r="J29" i="2"/>
  <c r="I29" i="2"/>
  <c r="H29" i="2"/>
  <c r="G29" i="2"/>
  <c r="F29" i="2"/>
  <c r="E29" i="2"/>
  <c r="D29" i="2"/>
  <c r="O28" i="2"/>
  <c r="N28" i="2"/>
  <c r="M28" i="2"/>
  <c r="L28" i="2"/>
  <c r="K28" i="2"/>
  <c r="J28" i="2"/>
  <c r="I28" i="2"/>
  <c r="H28" i="2"/>
  <c r="G28" i="2"/>
  <c r="F28" i="2"/>
  <c r="E28" i="2"/>
  <c r="D28" i="2"/>
  <c r="O27" i="2"/>
  <c r="N27" i="2"/>
  <c r="M27" i="2"/>
  <c r="L27" i="2"/>
  <c r="K27" i="2"/>
  <c r="J27" i="2"/>
  <c r="I27" i="2"/>
  <c r="H27" i="2"/>
  <c r="G27" i="2"/>
  <c r="F27" i="2"/>
  <c r="E27" i="2"/>
  <c r="D27" i="2"/>
  <c r="O26" i="2"/>
  <c r="N26" i="2"/>
  <c r="M26" i="2"/>
  <c r="L26" i="2"/>
  <c r="K26" i="2"/>
  <c r="J26" i="2"/>
  <c r="I26" i="2"/>
  <c r="H26" i="2"/>
  <c r="G26" i="2"/>
  <c r="F26" i="2"/>
  <c r="E26" i="2"/>
  <c r="D26" i="2"/>
  <c r="O25" i="2"/>
  <c r="N25" i="2"/>
  <c r="M25" i="2"/>
  <c r="L25" i="2"/>
  <c r="K25" i="2"/>
  <c r="J25" i="2"/>
  <c r="I25" i="2"/>
  <c r="H25" i="2"/>
  <c r="G25" i="2"/>
  <c r="F25" i="2"/>
  <c r="E25" i="2"/>
  <c r="D25" i="2"/>
  <c r="O24" i="2"/>
  <c r="N24" i="2"/>
  <c r="M24" i="2"/>
  <c r="L24" i="2"/>
  <c r="K24" i="2"/>
  <c r="J24" i="2"/>
  <c r="I24" i="2"/>
  <c r="H24" i="2"/>
  <c r="G24" i="2"/>
  <c r="F24" i="2"/>
  <c r="E24" i="2"/>
  <c r="D24" i="2"/>
  <c r="O23" i="2"/>
  <c r="N23" i="2"/>
  <c r="M23" i="2"/>
  <c r="L23" i="2"/>
  <c r="K23" i="2"/>
  <c r="J23" i="2"/>
  <c r="I23" i="2"/>
  <c r="H23" i="2"/>
  <c r="G23" i="2"/>
  <c r="F23" i="2"/>
  <c r="E23" i="2"/>
  <c r="D23" i="2"/>
  <c r="O22" i="2"/>
  <c r="N22" i="2"/>
  <c r="M22" i="2"/>
  <c r="L22" i="2"/>
  <c r="K22" i="2"/>
  <c r="J22" i="2"/>
  <c r="I22" i="2"/>
  <c r="H22" i="2"/>
  <c r="G22" i="2"/>
  <c r="F22" i="2"/>
  <c r="E22" i="2"/>
  <c r="D22" i="2"/>
  <c r="O21" i="2"/>
  <c r="N21" i="2"/>
  <c r="M21" i="2"/>
  <c r="L21" i="2"/>
  <c r="K21" i="2"/>
  <c r="J21" i="2"/>
  <c r="I21" i="2"/>
  <c r="H21" i="2"/>
  <c r="G21" i="2"/>
  <c r="F21" i="2"/>
  <c r="E21" i="2"/>
  <c r="D21" i="2"/>
  <c r="O20" i="2"/>
  <c r="N20" i="2"/>
  <c r="M20" i="2"/>
  <c r="L20" i="2"/>
  <c r="K20" i="2"/>
  <c r="J20" i="2"/>
  <c r="I20" i="2"/>
  <c r="H20" i="2"/>
  <c r="G20" i="2"/>
  <c r="F20" i="2"/>
  <c r="E20" i="2"/>
  <c r="D20" i="2"/>
  <c r="O19" i="2"/>
  <c r="N19" i="2"/>
  <c r="M19" i="2"/>
  <c r="L19" i="2"/>
  <c r="K19" i="2"/>
  <c r="J19" i="2"/>
  <c r="I19" i="2"/>
  <c r="H19" i="2"/>
  <c r="G19" i="2"/>
  <c r="F19" i="2"/>
  <c r="E19" i="2"/>
  <c r="D19" i="2"/>
  <c r="O18" i="2"/>
  <c r="N18" i="2"/>
  <c r="M18" i="2"/>
  <c r="L18" i="2"/>
  <c r="K18" i="2"/>
  <c r="J18" i="2"/>
  <c r="I18" i="2"/>
  <c r="H18" i="2"/>
  <c r="G18" i="2"/>
  <c r="F18" i="2"/>
  <c r="E18" i="2"/>
  <c r="D18" i="2"/>
  <c r="O17" i="2"/>
  <c r="N17" i="2"/>
  <c r="M17" i="2"/>
  <c r="L17" i="2"/>
  <c r="K17" i="2"/>
  <c r="J17" i="2"/>
  <c r="I17" i="2"/>
  <c r="H17" i="2"/>
  <c r="G17" i="2"/>
  <c r="F17" i="2"/>
  <c r="E17" i="2"/>
  <c r="D17" i="2"/>
  <c r="O16" i="2"/>
  <c r="N16" i="2"/>
  <c r="M16" i="2"/>
  <c r="L16" i="2"/>
  <c r="K16" i="2"/>
  <c r="J16" i="2"/>
  <c r="I16" i="2"/>
  <c r="H16" i="2"/>
  <c r="G16" i="2"/>
  <c r="F16" i="2"/>
  <c r="E16" i="2"/>
  <c r="D16" i="2"/>
  <c r="O15" i="2"/>
  <c r="N15" i="2"/>
  <c r="M15" i="2"/>
  <c r="L15" i="2"/>
  <c r="K15" i="2"/>
  <c r="J15" i="2"/>
  <c r="I15" i="2"/>
  <c r="H15" i="2"/>
  <c r="G15" i="2"/>
  <c r="F15" i="2"/>
  <c r="E15" i="2"/>
  <c r="D15" i="2"/>
  <c r="O14" i="2"/>
  <c r="N14" i="2"/>
  <c r="M14" i="2"/>
  <c r="L14" i="2"/>
  <c r="K14" i="2"/>
  <c r="J14" i="2"/>
  <c r="I14" i="2"/>
  <c r="H14" i="2"/>
  <c r="G14" i="2"/>
  <c r="F14" i="2"/>
  <c r="E14" i="2"/>
  <c r="D14" i="2"/>
  <c r="O13" i="2"/>
  <c r="N13" i="2"/>
  <c r="M13" i="2"/>
  <c r="L13" i="2"/>
  <c r="K13" i="2"/>
  <c r="J13" i="2"/>
  <c r="I13" i="2"/>
  <c r="H13" i="2"/>
  <c r="G13" i="2"/>
  <c r="F13" i="2"/>
  <c r="E13" i="2"/>
  <c r="D13"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G4" i="2" l="1"/>
  <c r="F34" i="1" l="1"/>
  <c r="K6" i="4" l="1"/>
  <c r="J5" i="4" l="1"/>
  <c r="J7" i="4" s="1"/>
  <c r="J6" i="4"/>
  <c r="M27" i="4" l="1"/>
  <c r="O5" i="4" l="1"/>
  <c r="K26" i="4" l="1"/>
  <c r="C11" i="4"/>
  <c r="L26" i="4" l="1"/>
  <c r="M26" i="4" s="1"/>
  <c r="I5" i="2" l="1"/>
  <c r="H5" i="2"/>
  <c r="J8" i="4"/>
  <c r="G5" i="2"/>
  <c r="K25" i="4"/>
  <c r="L25" i="4" s="1"/>
  <c r="O4" i="4"/>
  <c r="O3" i="4"/>
  <c r="E12" i="1" l="1"/>
  <c r="D12" i="1"/>
  <c r="D13" i="1"/>
  <c r="B2" i="4" l="1"/>
  <c r="D2" i="4"/>
  <c r="E2" i="4" s="1"/>
  <c r="D16" i="4" s="1"/>
  <c r="C2" i="4" l="1"/>
  <c r="G2" i="4" s="1"/>
  <c r="C16" i="4" s="1"/>
  <c r="G16" i="4" s="1"/>
  <c r="F2" i="4"/>
  <c r="B16" i="4" s="1"/>
  <c r="E16" i="4"/>
  <c r="J19" i="4"/>
  <c r="O12" i="4"/>
  <c r="O11" i="4"/>
  <c r="A20" i="4" l="1"/>
  <c r="B45" i="4"/>
  <c r="C45" i="4" s="1"/>
  <c r="F16" i="4"/>
  <c r="D61" i="4" l="1"/>
  <c r="B61" i="4"/>
  <c r="D28" i="1"/>
  <c r="J18" i="4" l="1"/>
  <c r="J16" i="4"/>
  <c r="B11" i="4"/>
  <c r="B62" i="4" l="1"/>
  <c r="J2" i="4"/>
  <c r="G10" i="4"/>
  <c r="C5" i="4" s="1"/>
  <c r="J17" i="4"/>
  <c r="G5" i="4" l="1"/>
  <c r="D5" i="4"/>
  <c r="E5" i="4" s="1"/>
  <c r="D19" i="4" s="1"/>
  <c r="E19" i="4" s="1"/>
  <c r="C20" i="4"/>
  <c r="B20" i="4"/>
  <c r="B5" i="4"/>
  <c r="O10" i="4"/>
  <c r="O9" i="4"/>
  <c r="O8" i="4"/>
  <c r="O6" i="4"/>
  <c r="O2" i="4"/>
  <c r="C19" i="4" l="1"/>
  <c r="G19" i="4" s="1"/>
  <c r="F5" i="4"/>
  <c r="B19" i="4" s="1"/>
  <c r="B48" i="4" s="1"/>
  <c r="R12" i="2"/>
  <c r="O7" i="4" l="1"/>
  <c r="O13" i="4" s="1"/>
  <c r="B35" i="1"/>
  <c r="B34" i="1"/>
  <c r="F19" i="1"/>
  <c r="B7" i="1"/>
  <c r="C48" i="4" l="1"/>
  <c r="F19" i="4"/>
  <c r="K18" i="4"/>
  <c r="K17" i="4"/>
  <c r="L17" i="4" s="1"/>
  <c r="K16" i="4"/>
  <c r="L16" i="4" s="1"/>
  <c r="M16" i="4" s="1"/>
  <c r="O21" i="4" s="1"/>
  <c r="K19" i="4"/>
  <c r="M19" i="4" s="1"/>
  <c r="F20" i="1"/>
  <c r="F21" i="1"/>
  <c r="K6" i="2" s="1"/>
  <c r="K4" i="2" s="1"/>
  <c r="B4" i="4" s="1"/>
  <c r="K5" i="2" l="1"/>
  <c r="C20" i="5"/>
  <c r="C37" i="5" s="1"/>
  <c r="L18" i="4"/>
  <c r="J4" i="2"/>
  <c r="J5" i="2" s="1"/>
  <c r="G19" i="1"/>
  <c r="I5" i="1"/>
  <c r="B3" i="4" l="1"/>
  <c r="F3" i="4" s="1"/>
  <c r="B17" i="4" s="1"/>
  <c r="D3" i="4"/>
  <c r="E3" i="4" s="1"/>
  <c r="D17" i="4" s="1"/>
  <c r="D4" i="4"/>
  <c r="E4" i="4" s="1"/>
  <c r="D18" i="4" s="1"/>
  <c r="E18" i="4" s="1"/>
  <c r="C4" i="4"/>
  <c r="G4" i="4" s="1"/>
  <c r="C18" i="4" s="1"/>
  <c r="G18" i="4" s="1"/>
  <c r="F4" i="4"/>
  <c r="B18" i="4" s="1"/>
  <c r="E60" i="4"/>
  <c r="F60" i="4" s="1"/>
  <c r="G60" i="4" s="1"/>
  <c r="Q2" i="4"/>
  <c r="E59" i="4"/>
  <c r="F59" i="4" s="1"/>
  <c r="H19" i="1"/>
  <c r="G20" i="1"/>
  <c r="M18" i="4" l="1"/>
  <c r="B47" i="4"/>
  <c r="C47" i="4" s="1"/>
  <c r="A22" i="4"/>
  <c r="F18" i="4"/>
  <c r="C3" i="4"/>
  <c r="G3" i="4" s="1"/>
  <c r="C17" i="4" s="1"/>
  <c r="G17" i="4" s="1"/>
  <c r="N16" i="4"/>
  <c r="O16" i="4" s="1"/>
  <c r="E17" i="4"/>
  <c r="E61" i="4"/>
  <c r="F61" i="4"/>
  <c r="C55" i="4" s="1"/>
  <c r="G59" i="4"/>
  <c r="A45" i="4"/>
  <c r="B50" i="4" s="1"/>
  <c r="H20" i="1"/>
  <c r="G21" i="1"/>
  <c r="L4" i="2" s="1"/>
  <c r="P16" i="4" l="1"/>
  <c r="R16" i="4" s="1"/>
  <c r="C21" i="4"/>
  <c r="F17" i="4"/>
  <c r="A21" i="4"/>
  <c r="B21" i="4"/>
  <c r="M17" i="4"/>
  <c r="H21" i="1"/>
  <c r="A47" i="4" s="1"/>
  <c r="B52" i="4" s="1"/>
  <c r="L5" i="2"/>
  <c r="G61" i="4"/>
  <c r="A46" i="4"/>
  <c r="L6" i="2"/>
  <c r="N17" i="4" l="1"/>
  <c r="O17" i="4" s="1"/>
  <c r="P17" i="4" s="1"/>
  <c r="R17" i="4" s="1"/>
  <c r="O22" i="4"/>
  <c r="Q16" i="4"/>
  <c r="B51" i="4"/>
  <c r="B46" i="4"/>
  <c r="C22" i="4"/>
  <c r="D50" i="4"/>
  <c r="E50" i="4" s="1"/>
  <c r="D45" i="4"/>
  <c r="C46" i="4" l="1"/>
  <c r="B59" i="1" s="1"/>
  <c r="B58" i="1"/>
  <c r="D46" i="4"/>
  <c r="D51" i="4"/>
  <c r="E51" i="4" s="1"/>
  <c r="Q17" i="4"/>
  <c r="N18" i="4"/>
  <c r="O23" i="4"/>
  <c r="B22" i="4"/>
  <c r="D52" i="4"/>
  <c r="E52" i="4" s="1"/>
  <c r="D47" i="4"/>
  <c r="C50" i="4"/>
  <c r="C51" i="4" l="1"/>
  <c r="A51" i="4" s="1"/>
  <c r="B55" i="1"/>
  <c r="D48" i="4"/>
  <c r="O18" i="4"/>
  <c r="P18" i="4" s="1"/>
  <c r="C52" i="4"/>
  <c r="A52" i="4" s="1"/>
  <c r="A50" i="4"/>
  <c r="Q18" i="4" l="1"/>
  <c r="R18" i="4"/>
  <c r="P20" i="4" s="1"/>
  <c r="M20" i="4" s="1"/>
  <c r="C53" i="4"/>
  <c r="C54" i="4" s="1"/>
  <c r="D55" i="4" s="1"/>
  <c r="C24" i="4" l="1"/>
  <c r="C27" i="4" l="1"/>
  <c r="C28" i="4" s="1"/>
  <c r="D30" i="1" s="1"/>
  <c r="H26" i="1" s="1"/>
  <c r="J26" i="1" s="1"/>
  <c r="D26" i="1"/>
  <c r="D27" i="1" s="1"/>
  <c r="D24" i="4"/>
  <c r="D29" i="1" l="1"/>
  <c r="C34" i="4"/>
  <c r="C29" i="4"/>
  <c r="D31" i="1" s="1"/>
  <c r="E24" i="4"/>
  <c r="D34" i="4"/>
  <c r="D25" i="4"/>
  <c r="D27" i="4" s="1"/>
  <c r="D28" i="4" s="1"/>
  <c r="D29" i="4" s="1"/>
  <c r="D36" i="4"/>
  <c r="J28" i="1" l="1"/>
  <c r="J27" i="1"/>
  <c r="J29" i="1"/>
  <c r="E25" i="4"/>
  <c r="E27" i="4" s="1"/>
  <c r="E28" i="4" s="1"/>
  <c r="E29" i="4" s="1"/>
  <c r="F24" i="4"/>
  <c r="E34" i="4"/>
  <c r="E36" i="4"/>
  <c r="F36" i="4" l="1"/>
  <c r="F25" i="4"/>
  <c r="F27" i="4" s="1"/>
  <c r="F28" i="4" s="1"/>
  <c r="F29" i="4" s="1"/>
  <c r="F34" i="4"/>
</calcChain>
</file>

<file path=xl/sharedStrings.xml><?xml version="1.0" encoding="utf-8"?>
<sst xmlns="http://schemas.openxmlformats.org/spreadsheetml/2006/main" count="235" uniqueCount="169">
  <si>
    <t>Periodo Cubierto</t>
  </si>
  <si>
    <t>Ramo</t>
  </si>
  <si>
    <t>Participación de Dividendos</t>
  </si>
  <si>
    <t>Sin Participación</t>
  </si>
  <si>
    <t>Clave de Cobertura</t>
  </si>
  <si>
    <t>Nombre de Cobertura</t>
  </si>
  <si>
    <t>Edad Min.</t>
  </si>
  <si>
    <t>Edad Max.</t>
  </si>
  <si>
    <t>Regla de Suma Asegurada</t>
  </si>
  <si>
    <t>No. de Aseg. por Cobertura</t>
  </si>
  <si>
    <t>Suma Asegurada Total</t>
  </si>
  <si>
    <t>Prima Neta</t>
  </si>
  <si>
    <t>Cuotas</t>
  </si>
  <si>
    <t>MA</t>
  </si>
  <si>
    <t>1 Muerte Accidental</t>
  </si>
  <si>
    <t>POA</t>
  </si>
  <si>
    <t>RGM</t>
  </si>
  <si>
    <t xml:space="preserve">Prima Neta Total </t>
  </si>
  <si>
    <t>CONTADO</t>
  </si>
  <si>
    <t>SEMESTRAL</t>
  </si>
  <si>
    <t>TRIMESTRAL</t>
  </si>
  <si>
    <t>MENSUAL</t>
  </si>
  <si>
    <t>Rec. x Pago Fracc.</t>
  </si>
  <si>
    <t xml:space="preserve">Derecho de Póliza </t>
  </si>
  <si>
    <t xml:space="preserve">Prima Total </t>
  </si>
  <si>
    <t xml:space="preserve">Prima por Aseg. </t>
  </si>
  <si>
    <t>Desglose de Pagos</t>
  </si>
  <si>
    <t>Único Pago de</t>
  </si>
  <si>
    <t>Primer Pago de</t>
  </si>
  <si>
    <t>Segundo Pago de</t>
  </si>
  <si>
    <t>3 Pagos de</t>
  </si>
  <si>
    <t>11 Pagos de</t>
  </si>
  <si>
    <t>Comisión del Agente</t>
  </si>
  <si>
    <t>Participación en el Cuaderno de Bonos y Concursos</t>
  </si>
  <si>
    <t>SI</t>
  </si>
  <si>
    <t>La presente cotización tiene una vigencia de 30 días.</t>
  </si>
  <si>
    <t>Favor de anexar la presente cotización a su solicitud de Emisión.</t>
  </si>
  <si>
    <t>Ave. Hidalgo # 250 Pte. Zona Centro C.P.64000</t>
  </si>
  <si>
    <t>Monterrey, Nuevo León T. 8122-0200</t>
  </si>
  <si>
    <t>Póliza Nueva</t>
  </si>
  <si>
    <t>PRIMAS DE TARIFA REGISTRO 2011  AP ESCOLAR</t>
  </si>
  <si>
    <t>RIESGO</t>
  </si>
  <si>
    <t>TOTAL</t>
  </si>
  <si>
    <t>AP ESCOLAR</t>
  </si>
  <si>
    <t>*Prima de Tarifa</t>
  </si>
  <si>
    <t>*Cuotas al Millar de Suma Asegurada</t>
  </si>
  <si>
    <t>RGMA</t>
  </si>
  <si>
    <t>*Prima en Pesos Mexicanos</t>
  </si>
  <si>
    <t>DEDUCIBLE</t>
  </si>
  <si>
    <t>Suma Asegurada</t>
  </si>
  <si>
    <t>No de Alumnos</t>
  </si>
  <si>
    <t>El presente ha sido elaborado con las bases enviadas para su cálculo, por lo que sólo es una propuesta de cotización, ya que para la emisión de la póliza se considerará, número de participantes, edad real o R.F.C.,  puesto y descripción de actividad, de lo contrario no será responsabilidad de la Compañía la aceptación del mismo.</t>
  </si>
  <si>
    <t>Deducible en  Reembolso de Gastos Médicos</t>
  </si>
  <si>
    <t>La protección que otorga este cobertura es exclusivamente para la actividad escolar.  La actividad escolar comprende desde el momento en que los asegurados inicien el viaje ininterrumpido de su casa a la escuela por cualquier medio de transporte, excepto en motocicleta o motoneta, su estancia en el edificio y/o predio de la escuela y el viaje ininterrumpido de regreso a su domicilio. Así mismo las excursiones, eventos deportivos y otras actividades, siempre que se encuentren organizadas y supervisadas por la autoridad de la escuela.</t>
  </si>
  <si>
    <t>70 Años</t>
  </si>
  <si>
    <t>3 Meses</t>
  </si>
  <si>
    <t>BENEFICIO</t>
  </si>
  <si>
    <t>PO</t>
  </si>
  <si>
    <t>PARÁMETROS</t>
  </si>
  <si>
    <t>ADMON</t>
  </si>
  <si>
    <t>ADQUISICIÓN</t>
  </si>
  <si>
    <t>UTILIDAD</t>
  </si>
  <si>
    <t>La cobertura de Muerte Accidental aplica para participantes de 12 a 70 años de edad.</t>
  </si>
  <si>
    <t>El monto de los recibos puede variar dependiendo de la vigencia que soliciten.</t>
  </si>
  <si>
    <t xml:space="preserve">Asistencias </t>
  </si>
  <si>
    <t>La cobertura de Gastos Funerarios aplica para participantes de 3 meses a 11 años de edad.</t>
  </si>
  <si>
    <t>Maximos</t>
  </si>
  <si>
    <t>PR</t>
  </si>
  <si>
    <t>ciclo</t>
  </si>
  <si>
    <t>anual</t>
  </si>
  <si>
    <t>Asistencias anuales</t>
  </si>
  <si>
    <t>Asistencias ciclo</t>
  </si>
  <si>
    <t>Ciclo</t>
  </si>
  <si>
    <t>Anuales</t>
  </si>
  <si>
    <t>Neto</t>
  </si>
  <si>
    <t>Riesgo</t>
  </si>
  <si>
    <t>Urgencias Dentales Anual</t>
  </si>
  <si>
    <t>M.A.</t>
  </si>
  <si>
    <t xml:space="preserve">P.N. TOTAL DE RGM </t>
  </si>
  <si>
    <t>1.-</t>
  </si>
  <si>
    <t>2.-</t>
  </si>
  <si>
    <t>3.-</t>
  </si>
  <si>
    <t>5.-</t>
  </si>
  <si>
    <t>CUD</t>
  </si>
  <si>
    <t>12 Cobertura de Urgencia Dental</t>
  </si>
  <si>
    <t>CALCULO DE PRESENTACION</t>
  </si>
  <si>
    <t>P.O.</t>
  </si>
  <si>
    <t>LLAVE DE LLENADO DE INFORMACION</t>
  </si>
  <si>
    <t>FOLIO:</t>
  </si>
  <si>
    <t>ESPACIO SB</t>
  </si>
  <si>
    <t>S.A. M.A.</t>
  </si>
  <si>
    <t>S.A. RGM</t>
  </si>
  <si>
    <t>*Especifique el Nombre del Contratante:</t>
  </si>
  <si>
    <t>*Especifique el Numero de Alumnos:</t>
  </si>
  <si>
    <t>*Especifique la Suma Asegurada para Cobertura de Muerte Accidental</t>
  </si>
  <si>
    <t>*Suma Asegurada para Cobertura de Pérdidas Orgánicas</t>
  </si>
  <si>
    <t>*Seleccione el Deducible en Reembolso de Gastos Médicos</t>
  </si>
  <si>
    <t>*Especifique el Numero de Agente</t>
  </si>
  <si>
    <t>*Especifique el Nombre del Agente</t>
  </si>
  <si>
    <r>
      <t>11 Reembolso de Gastos Médicos por Accidente</t>
    </r>
    <r>
      <rPr>
        <sz val="10"/>
        <rFont val="Arial"/>
        <family val="2"/>
      </rPr>
      <t>*</t>
    </r>
  </si>
  <si>
    <t>NOMBRE DEL CLIENTE</t>
  </si>
  <si>
    <t>CONDICIONES</t>
  </si>
  <si>
    <t>COSTO DE COTIZACIÓN</t>
  </si>
  <si>
    <t>Cuotas nuevos gastos</t>
  </si>
  <si>
    <t>Suma asegurada</t>
  </si>
  <si>
    <t>Participntes</t>
  </si>
  <si>
    <t>Suma asegurada Total</t>
  </si>
  <si>
    <t>Datos del Agente</t>
  </si>
  <si>
    <t>* Para la presente cotizaciòn aplica PAGO DIRECTO en Hospitales de convenio con Seguros Banorte para este producto (estancia mayor a 24 hrs).</t>
  </si>
  <si>
    <t>SBAPE0714</t>
  </si>
  <si>
    <t>*Especifique si desea contratar la Cobertura Opcional de Urgencias Dentales.</t>
  </si>
  <si>
    <t>Semestral</t>
  </si>
  <si>
    <t>Anual</t>
  </si>
  <si>
    <t>Ciclo Escolar</t>
  </si>
  <si>
    <t>Prima Neta por Asegurado</t>
  </si>
  <si>
    <t>Prima Total por Asegurado</t>
  </si>
  <si>
    <t>4.-</t>
  </si>
  <si>
    <t xml:space="preserve">6.- </t>
  </si>
  <si>
    <t>8.-</t>
  </si>
  <si>
    <t>9.-</t>
  </si>
  <si>
    <t xml:space="preserve">11.- </t>
  </si>
  <si>
    <t>*Especifique vigencia:</t>
  </si>
  <si>
    <t>*Especifique fecha de inicio de vigencia:</t>
  </si>
  <si>
    <t>Cuotas de Riesgo Semestral</t>
  </si>
  <si>
    <t>Cuotas de Riesgo Anual</t>
  </si>
  <si>
    <t>Cuotas de Riesgo Ciclo Escolar</t>
  </si>
  <si>
    <t>Cuotas Ciclo Escolar</t>
  </si>
  <si>
    <t>Cuotas Anual</t>
  </si>
  <si>
    <t>Cuotas Semestral</t>
  </si>
  <si>
    <t>Vigencia de la póliza</t>
  </si>
  <si>
    <t>Inicio</t>
  </si>
  <si>
    <t>Fin</t>
  </si>
  <si>
    <t>Forma de Pago</t>
  </si>
  <si>
    <t>Primer Recibo</t>
  </si>
  <si>
    <t>Recibos Subsecuentes</t>
  </si>
  <si>
    <t>Total</t>
  </si>
  <si>
    <t>ANUAL</t>
  </si>
  <si>
    <t>I.V.A. (16%)</t>
  </si>
  <si>
    <t>Dias</t>
  </si>
  <si>
    <t>Se ofrece pago fraccionado exclusivamente para aquellas pólizas que rebasen los $1,000 pesos de Prima Total.</t>
  </si>
  <si>
    <t>NO</t>
  </si>
  <si>
    <t>AÑO ESCOLAR</t>
  </si>
  <si>
    <t>SEGUROS BANORTE</t>
  </si>
  <si>
    <t>AGENTE</t>
  </si>
  <si>
    <t>Comisiones y Bonos</t>
  </si>
  <si>
    <t>Comisión de agente</t>
  </si>
  <si>
    <t>Bonos</t>
  </si>
  <si>
    <t>Porcentaje</t>
  </si>
  <si>
    <t>Cesion de utilidad</t>
  </si>
  <si>
    <t xml:space="preserve">12.- </t>
  </si>
  <si>
    <t>ESTA COTIZACIÓN NO ES VÁLIDA PARA PÓLIZAS DE RENOVACIÓN</t>
  </si>
  <si>
    <t>Memoria Calculo</t>
  </si>
  <si>
    <t>Tarifa 2019-2020</t>
  </si>
  <si>
    <t>Parametros MA Y PO</t>
  </si>
  <si>
    <t>POB</t>
  </si>
  <si>
    <t>*Tipo de escala para la cobertura de Perdidas Organicas</t>
  </si>
  <si>
    <t xml:space="preserve">7.- </t>
  </si>
  <si>
    <t>10.-</t>
  </si>
  <si>
    <t>EXCLUIDA</t>
  </si>
  <si>
    <t>|</t>
  </si>
  <si>
    <t>Parametros:</t>
  </si>
  <si>
    <t>A</t>
  </si>
  <si>
    <t>Parametros RGM 20</t>
  </si>
  <si>
    <t>Cotización Accidentes Personales ESCOLAR 2021-2022 (Registro de Información)</t>
  </si>
  <si>
    <t>Tarifa vig. a partir del 1 de julio de 2021</t>
  </si>
  <si>
    <t>Cotización Accidentes Personales ESCOLAR 2021-2022</t>
  </si>
  <si>
    <t>SEMESTRAL    (Recargo 4.35%)</t>
  </si>
  <si>
    <t>TRIMESTRAL  (Recargo 6.55%)</t>
  </si>
  <si>
    <t xml:space="preserve">MENSUAL        (Recargo 8.45%)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</si>
</sst>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6" formatCode="&quot;$&quot;#,##0;[Red]\-&quot;$&quot;#,##0"/>
    <numFmt numFmtId="8" formatCode="&quot;$&quot;#,##0.00;[Red]\-&quot;$&quot;#,##0.00"/>
    <numFmt numFmtId="44" formatCode="_-&quot;$&quot;* #,##0.00_-;\-&quot;$&quot;* #,##0.00_-;_-&quot;$&quot;* &quot;-&quot;??_-;_-@_-"/>
    <numFmt numFmtId="43" formatCode="_-* #,##0.00_-;\-* #,##0.00_-;_-* &quot;-&quot;??_-;_-@_-"/>
    <numFmt numFmtId="164" formatCode="mmmm\ d\,\ yyyy"/>
    <numFmt numFmtId="165" formatCode="&quot;Folio V.I.P. &quot;0"/>
    <numFmt numFmtId="166" formatCode="0&quot; Días&quot;"/>
    <numFmt numFmtId="167" formatCode="dd/mm/yy;@"/>
    <numFmt numFmtId="168" formatCode="&quot;(&quot;0%&quot; P) - S&quot;"/>
    <numFmt numFmtId="169" formatCode="_-&quot;$&quot;* #,##0_-;\-&quot;$&quot;* #,##0_-;_-&quot;$&quot;* &quot;-&quot;??_-;_-@_-"/>
    <numFmt numFmtId="170" formatCode="0.000"/>
    <numFmt numFmtId="171" formatCode="_(* #,##0.00_);_(* \(#,##0.00\);_(* &quot;-&quot;??_);_(@_)"/>
    <numFmt numFmtId="172" formatCode="&quot;I.V.A. (&quot;0%&quot;)&quot;"/>
    <numFmt numFmtId="173" formatCode="_-[$€-2]* #,##0.00_-;\-[$€-2]* #,##0.00_-;_-[$€-2]* &quot;-&quot;??_-"/>
    <numFmt numFmtId="174" formatCode="_-* #,##0_-;\-* #,##0_-;_-* &quot;-&quot;??_-;_-@_-"/>
    <numFmt numFmtId="175" formatCode="_(* #,##0_);_(* \(#,##0\);_(* &quot;-&quot;??_);_(@_)"/>
    <numFmt numFmtId="176" formatCode="0.0000"/>
    <numFmt numFmtId="177" formatCode="&quot;Número de Agente: &quot;\ 0"/>
    <numFmt numFmtId="178" formatCode="&quot;Nombre del Agente: &quot;\ @"/>
    <numFmt numFmtId="179" formatCode="0\ &quot;ALUMNOS&quot;"/>
    <numFmt numFmtId="180" formatCode="&quot;$&quot;0\ &quot;Deducible en Reembolso de Gastos Médicos&quot;"/>
    <numFmt numFmtId="181" formatCode="_-* #,##0.000_-;\-* #,##0.000_-;_-* &quot;-&quot;??_-;_-@_-"/>
    <numFmt numFmtId="182" formatCode="0.0%"/>
    <numFmt numFmtId="183" formatCode="#,##0.000"/>
    <numFmt numFmtId="184" formatCode="0.00000000"/>
    <numFmt numFmtId="185" formatCode="0.000%"/>
    <numFmt numFmtId="186" formatCode="0.000000"/>
    <numFmt numFmtId="187" formatCode="_-* #,##0.0000_-;\-* #,##0.0000_-;_-* &quot;-&quot;??_-;_-@_-"/>
    <numFmt numFmtId="188" formatCode="#,##0.00000"/>
  </numFmts>
  <fonts count="45" x14ac:knownFonts="1">
    <font>
      <sz val="10"/>
      <name val="Arial"/>
      <family val="2"/>
    </font>
    <font>
      <sz val="10"/>
      <name val="Arial"/>
      <family val="2"/>
    </font>
    <font>
      <sz val="9"/>
      <name val="Arial"/>
      <family val="2"/>
    </font>
    <font>
      <b/>
      <sz val="10"/>
      <name val="Arial"/>
      <family val="2"/>
    </font>
    <font>
      <b/>
      <sz val="9"/>
      <name val="Arial"/>
      <family val="2"/>
    </font>
    <font>
      <sz val="8"/>
      <name val="Arial"/>
      <family val="2"/>
    </font>
    <font>
      <sz val="10"/>
      <color indexed="9"/>
      <name val="Arial"/>
      <family val="2"/>
    </font>
    <font>
      <sz val="10"/>
      <color indexed="12"/>
      <name val="Calibri"/>
      <family val="2"/>
    </font>
    <font>
      <b/>
      <sz val="11"/>
      <name val="Calibri"/>
      <family val="2"/>
    </font>
    <font>
      <sz val="10"/>
      <name val="Calibri"/>
      <family val="2"/>
    </font>
    <font>
      <sz val="12"/>
      <color indexed="8"/>
      <name val="Calibri"/>
      <family val="2"/>
    </font>
    <font>
      <sz val="8"/>
      <name val="Calibri"/>
      <family val="2"/>
    </font>
    <font>
      <b/>
      <sz val="12"/>
      <color indexed="8"/>
      <name val="Calibri"/>
      <family val="2"/>
    </font>
    <font>
      <sz val="12"/>
      <color indexed="10"/>
      <name val="Calibri"/>
      <family val="2"/>
    </font>
    <font>
      <i/>
      <sz val="10"/>
      <name val="Arial"/>
      <family val="2"/>
    </font>
    <font>
      <b/>
      <sz val="12"/>
      <color rgb="FFFF0000"/>
      <name val="Calibri"/>
      <family val="2"/>
    </font>
    <font>
      <b/>
      <sz val="10"/>
      <color theme="0"/>
      <name val="Arial"/>
      <family val="2"/>
    </font>
    <font>
      <sz val="12"/>
      <color rgb="FFFF0000"/>
      <name val="Calibri"/>
      <family val="2"/>
    </font>
    <font>
      <sz val="10"/>
      <name val="Calibri"/>
      <family val="2"/>
      <scheme val="minor"/>
    </font>
    <font>
      <b/>
      <sz val="11"/>
      <name val="Arial"/>
      <family val="2"/>
    </font>
    <font>
      <sz val="12"/>
      <name val="Arial"/>
      <family val="2"/>
    </font>
    <font>
      <i/>
      <sz val="12"/>
      <color theme="3" tint="-0.24994659260841701"/>
      <name val="Arial"/>
      <family val="2"/>
    </font>
    <font>
      <b/>
      <sz val="14"/>
      <name val="Arial"/>
      <family val="2"/>
    </font>
    <font>
      <b/>
      <sz val="10"/>
      <color theme="3"/>
      <name val="Arial"/>
      <family val="2"/>
    </font>
    <font>
      <b/>
      <sz val="12"/>
      <color theme="0"/>
      <name val="Calibri"/>
      <family val="2"/>
    </font>
    <font>
      <sz val="12"/>
      <color theme="0"/>
      <name val="Calibri"/>
      <family val="2"/>
    </font>
    <font>
      <b/>
      <u/>
      <sz val="9"/>
      <name val="Arial"/>
      <family val="2"/>
    </font>
    <font>
      <b/>
      <i/>
      <sz val="20"/>
      <name val="Times New Roman"/>
      <family val="1"/>
    </font>
    <font>
      <b/>
      <sz val="12"/>
      <name val="Calibri"/>
      <family val="2"/>
    </font>
    <font>
      <b/>
      <sz val="15"/>
      <name val="Arial"/>
      <family val="2"/>
    </font>
    <font>
      <b/>
      <sz val="10"/>
      <color theme="0"/>
      <name val="Calibri"/>
      <family val="2"/>
    </font>
    <font>
      <b/>
      <sz val="20"/>
      <color theme="0"/>
      <name val="Arial"/>
      <family val="2"/>
    </font>
    <font>
      <b/>
      <sz val="24"/>
      <name val="Arial"/>
      <family val="2"/>
    </font>
    <font>
      <sz val="10"/>
      <color rgb="FF000000"/>
      <name val="Segoe UI"/>
      <family val="2"/>
    </font>
    <font>
      <b/>
      <sz val="10"/>
      <color theme="1"/>
      <name val="Arial"/>
      <family val="2"/>
    </font>
    <font>
      <b/>
      <sz val="8"/>
      <name val="Tahoma"/>
      <family val="2"/>
    </font>
    <font>
      <b/>
      <sz val="8"/>
      <color rgb="FFFF0000"/>
      <name val="Tahoma"/>
      <family val="2"/>
    </font>
    <font>
      <b/>
      <sz val="10"/>
      <color indexed="9"/>
      <name val="Tahoma"/>
      <family val="2"/>
    </font>
    <font>
      <b/>
      <sz val="10"/>
      <name val="Tahoma"/>
      <family val="2"/>
    </font>
    <font>
      <sz val="11"/>
      <name val="Tahoma"/>
      <family val="2"/>
    </font>
    <font>
      <sz val="14"/>
      <name val="Arial"/>
      <family val="2"/>
    </font>
    <font>
      <b/>
      <sz val="14"/>
      <color rgb="FFFF0000"/>
      <name val="Arial"/>
      <family val="2"/>
    </font>
    <font>
      <b/>
      <sz val="9"/>
      <color theme="0"/>
      <name val="Arial"/>
      <family val="2"/>
    </font>
    <font>
      <sz val="10"/>
      <color theme="0"/>
      <name val="Arial"/>
      <family val="2"/>
    </font>
    <font>
      <b/>
      <sz val="11"/>
      <name val="Tahoma"/>
      <family val="2"/>
    </font>
  </fonts>
  <fills count="10">
    <fill>
      <patternFill patternType="none"/>
    </fill>
    <fill>
      <patternFill patternType="gray125"/>
    </fill>
    <fill>
      <patternFill patternType="solid">
        <fgColor indexed="16"/>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9" tint="0.39997558519241921"/>
        <bgColor indexed="64"/>
      </patternFill>
    </fill>
    <fill>
      <patternFill patternType="solid">
        <fgColor rgb="FFFFC000"/>
        <bgColor indexed="64"/>
      </patternFill>
    </fill>
    <fill>
      <patternFill patternType="solid">
        <fgColor theme="0" tint="-0.24994659260841701"/>
        <bgColor indexed="64"/>
      </patternFill>
    </fill>
    <fill>
      <patternFill patternType="solid">
        <fgColor indexed="65"/>
        <bgColor indexed="64"/>
      </patternFill>
    </fill>
  </fills>
  <borders count="75">
    <border>
      <left/>
      <right/>
      <top/>
      <bottom/>
      <diagonal/>
    </border>
    <border>
      <left/>
      <right/>
      <top style="medium">
        <color indexed="64"/>
      </top>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top style="double">
        <color indexed="64"/>
      </top>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hair">
        <color indexed="64"/>
      </bottom>
      <diagonal/>
    </border>
    <border>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bottom style="thin">
        <color indexed="64"/>
      </bottom>
      <diagonal/>
    </border>
    <border>
      <left style="hair">
        <color theme="0" tint="-0.499984740745262"/>
      </left>
      <right style="thin">
        <color theme="0" tint="-0.499984740745262"/>
      </right>
      <top style="hair">
        <color theme="0" tint="-0.499984740745262"/>
      </top>
      <bottom style="thin">
        <color theme="0" tint="-0.499984740745262"/>
      </bottom>
      <diagonal/>
    </border>
    <border>
      <left style="medium">
        <color theme="1"/>
      </left>
      <right style="medium">
        <color theme="1"/>
      </right>
      <top style="medium">
        <color theme="1"/>
      </top>
      <bottom style="medium">
        <color theme="1"/>
      </bottom>
      <diagonal/>
    </border>
    <border>
      <left style="medium">
        <color indexed="64"/>
      </left>
      <right style="medium">
        <color indexed="64"/>
      </right>
      <top/>
      <bottom style="medium">
        <color indexed="64"/>
      </bottom>
      <diagonal/>
    </border>
    <border>
      <left style="medium">
        <color theme="1"/>
      </left>
      <right style="medium">
        <color theme="1"/>
      </right>
      <top style="medium">
        <color theme="1"/>
      </top>
      <bottom style="thin">
        <color indexed="64"/>
      </bottom>
      <diagonal/>
    </border>
    <border>
      <left style="medium">
        <color theme="1"/>
      </left>
      <right style="medium">
        <color theme="1"/>
      </right>
      <top style="thin">
        <color indexed="64"/>
      </top>
      <bottom style="thin">
        <color indexed="64"/>
      </bottom>
      <diagonal/>
    </border>
    <border>
      <left style="medium">
        <color theme="1"/>
      </left>
      <right style="medium">
        <color theme="1"/>
      </right>
      <top style="thin">
        <color indexed="64"/>
      </top>
      <bottom style="medium">
        <color theme="1"/>
      </bottom>
      <diagonal/>
    </border>
    <border>
      <left style="thin">
        <color indexed="64"/>
      </left>
      <right style="medium">
        <color indexed="64"/>
      </right>
      <top/>
      <bottom style="hair">
        <color indexed="64"/>
      </bottom>
      <diagonal/>
    </border>
    <border>
      <left/>
      <right/>
      <top style="thin">
        <color indexed="64"/>
      </top>
      <bottom/>
      <diagonal/>
    </border>
    <border>
      <left/>
      <right/>
      <top/>
      <bottom style="double">
        <color indexed="64"/>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rgb="FFC00000"/>
      </left>
      <right/>
      <top style="medium">
        <color rgb="FFC00000"/>
      </top>
      <bottom style="hair">
        <color indexed="64"/>
      </bottom>
      <diagonal/>
    </border>
    <border>
      <left/>
      <right/>
      <top style="medium">
        <color rgb="FFC00000"/>
      </top>
      <bottom style="hair">
        <color indexed="64"/>
      </bottom>
      <diagonal/>
    </border>
    <border>
      <left/>
      <right style="medium">
        <color rgb="FFC00000"/>
      </right>
      <top style="medium">
        <color rgb="FFC00000"/>
      </top>
      <bottom style="hair">
        <color indexed="64"/>
      </bottom>
      <diagonal/>
    </border>
    <border>
      <left style="medium">
        <color rgb="FFC00000"/>
      </left>
      <right/>
      <top style="hair">
        <color indexed="64"/>
      </top>
      <bottom style="hair">
        <color indexed="64"/>
      </bottom>
      <diagonal/>
    </border>
    <border>
      <left/>
      <right style="medium">
        <color rgb="FFC00000"/>
      </right>
      <top style="hair">
        <color indexed="64"/>
      </top>
      <bottom style="hair">
        <color indexed="64"/>
      </bottom>
      <diagonal/>
    </border>
    <border>
      <left style="medium">
        <color rgb="FFC00000"/>
      </left>
      <right/>
      <top style="hair">
        <color indexed="64"/>
      </top>
      <bottom style="medium">
        <color rgb="FFC00000"/>
      </bottom>
      <diagonal/>
    </border>
    <border>
      <left/>
      <right/>
      <top style="hair">
        <color indexed="64"/>
      </top>
      <bottom style="medium">
        <color rgb="FFC00000"/>
      </bottom>
      <diagonal/>
    </border>
    <border>
      <left/>
      <right style="medium">
        <color rgb="FFC00000"/>
      </right>
      <top style="hair">
        <color indexed="64"/>
      </top>
      <bottom style="medium">
        <color rgb="FFC00000"/>
      </bottom>
      <diagonal/>
    </border>
    <border>
      <left style="thin">
        <color indexed="64"/>
      </left>
      <right style="hair">
        <color indexed="9"/>
      </right>
      <top style="thin">
        <color indexed="64"/>
      </top>
      <bottom/>
      <diagonal/>
    </border>
    <border>
      <left style="hair">
        <color indexed="9"/>
      </left>
      <right style="hair">
        <color indexed="9"/>
      </right>
      <top style="thin">
        <color indexed="64"/>
      </top>
      <bottom/>
      <diagonal/>
    </border>
    <border>
      <left style="hair">
        <color indexed="9"/>
      </left>
      <right style="thin">
        <color theme="1"/>
      </right>
      <top style="thin">
        <color indexed="64"/>
      </top>
      <bottom/>
      <diagonal/>
    </border>
    <border>
      <left/>
      <right style="thin">
        <color indexed="64"/>
      </right>
      <top style="medium">
        <color rgb="FFC00000"/>
      </top>
      <bottom style="hair">
        <color indexed="64"/>
      </bottom>
      <diagonal/>
    </border>
    <border>
      <left style="thin">
        <color indexed="64"/>
      </left>
      <right style="medium">
        <color rgb="FFC00000"/>
      </right>
      <top style="medium">
        <color rgb="FFC00000"/>
      </top>
      <bottom style="hair">
        <color indexed="64"/>
      </bottom>
      <diagonal/>
    </border>
    <border>
      <left style="thin">
        <color indexed="64"/>
      </left>
      <right style="medium">
        <color rgb="FFC00000"/>
      </right>
      <top style="hair">
        <color indexed="64"/>
      </top>
      <bottom style="hair">
        <color indexed="64"/>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style="thin">
        <color indexed="64"/>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style="thin">
        <color rgb="FFC00000"/>
      </right>
      <top/>
      <bottom/>
      <diagonal/>
    </border>
    <border>
      <left/>
      <right style="thin">
        <color indexed="64"/>
      </right>
      <top style="hair">
        <color indexed="64"/>
      </top>
      <bottom style="medium">
        <color rgb="FFC0000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hair">
        <color theme="5" tint="-0.24994659260841701"/>
      </left>
      <right/>
      <top style="hair">
        <color theme="5" tint="-0.24994659260841701"/>
      </top>
      <bottom style="hair">
        <color theme="5" tint="-0.24994659260841701"/>
      </bottom>
      <diagonal/>
    </border>
    <border>
      <left/>
      <right style="hair">
        <color theme="5" tint="-0.24994659260841701"/>
      </right>
      <top style="hair">
        <color theme="5" tint="-0.24994659260841701"/>
      </top>
      <bottom style="hair">
        <color theme="5" tint="-0.24994659260841701"/>
      </bottom>
      <diagonal/>
    </border>
    <border>
      <left style="hair">
        <color theme="5" tint="-0.24994659260841701"/>
      </left>
      <right style="hair">
        <color theme="5" tint="-0.24994659260841701"/>
      </right>
      <top style="hair">
        <color theme="5" tint="-0.24994659260841701"/>
      </top>
      <bottom style="hair">
        <color theme="5" tint="-0.24994659260841701"/>
      </bottom>
      <diagonal/>
    </border>
    <border>
      <left style="medium">
        <color indexed="64"/>
      </left>
      <right/>
      <top style="medium">
        <color indexed="64"/>
      </top>
      <bottom style="medium">
        <color rgb="FFC00000"/>
      </bottom>
      <diagonal/>
    </border>
    <border>
      <left/>
      <right/>
      <top style="medium">
        <color indexed="64"/>
      </top>
      <bottom style="medium">
        <color rgb="FFC00000"/>
      </bottom>
      <diagonal/>
    </border>
    <border>
      <left/>
      <right style="medium">
        <color indexed="64"/>
      </right>
      <top style="medium">
        <color indexed="64"/>
      </top>
      <bottom style="medium">
        <color rgb="FFC00000"/>
      </bottom>
      <diagonal/>
    </border>
    <border>
      <left style="medium">
        <color indexed="64"/>
      </left>
      <right style="medium">
        <color rgb="FFC00000"/>
      </right>
      <top style="medium">
        <color rgb="FFC00000"/>
      </top>
      <bottom style="hair">
        <color indexed="64"/>
      </bottom>
      <diagonal/>
    </border>
    <border>
      <left/>
      <right style="medium">
        <color indexed="64"/>
      </right>
      <top style="medium">
        <color rgb="FFC00000"/>
      </top>
      <bottom style="hair">
        <color indexed="64"/>
      </bottom>
      <diagonal/>
    </border>
    <border>
      <left style="medium">
        <color indexed="64"/>
      </left>
      <right style="medium">
        <color rgb="FFC00000"/>
      </right>
      <top style="hair">
        <color indexed="64"/>
      </top>
      <bottom style="medium">
        <color indexed="64"/>
      </bottom>
      <diagonal/>
    </border>
    <border>
      <left/>
      <right style="medium">
        <color rgb="FFC00000"/>
      </right>
      <top style="hair">
        <color indexed="64"/>
      </top>
      <bottom style="medium">
        <color indexed="64"/>
      </bottom>
      <diagonal/>
    </border>
    <border>
      <left/>
      <right style="medium">
        <color indexed="64"/>
      </right>
      <top style="hair">
        <color indexed="64"/>
      </top>
      <bottom style="medium">
        <color indexed="64"/>
      </bottom>
      <diagonal/>
    </border>
  </borders>
  <cellStyleXfs count="12">
    <xf numFmtId="0" fontId="0" fillId="0" borderId="0"/>
    <xf numFmtId="173" fontId="1" fillId="0" borderId="0" applyFont="0" applyFill="0" applyBorder="0" applyAlignment="0" applyProtection="0"/>
    <xf numFmtId="43" fontId="1" fillId="0" borderId="0" applyFont="0" applyFill="0" applyBorder="0" applyAlignment="0" applyProtection="0"/>
    <xf numFmtId="171"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0" fillId="0" borderId="0"/>
    <xf numFmtId="9" fontId="1" fillId="0" borderId="0" applyFont="0" applyFill="0" applyBorder="0" applyAlignment="0" applyProtection="0"/>
  </cellStyleXfs>
  <cellXfs count="359">
    <xf numFmtId="0" fontId="0" fillId="0" borderId="0" xfId="0"/>
    <xf numFmtId="0" fontId="0" fillId="0" borderId="0" xfId="5" applyFont="1" applyAlignment="1">
      <alignment horizontal="center"/>
    </xf>
    <xf numFmtId="0" fontId="6" fillId="0" borderId="0" xfId="5" applyNumberFormat="1" applyFont="1" applyProtection="1">
      <protection hidden="1"/>
    </xf>
    <xf numFmtId="0" fontId="8" fillId="0" borderId="0" xfId="0" applyFont="1" applyFill="1" applyBorder="1" applyAlignment="1">
      <alignment horizontal="left"/>
    </xf>
    <xf numFmtId="0" fontId="0" fillId="0" borderId="0" xfId="0" applyFont="1" applyFill="1" applyBorder="1" applyAlignment="1">
      <alignment horizontal="center"/>
    </xf>
    <xf numFmtId="0" fontId="0" fillId="0" borderId="0" xfId="0" applyFont="1" applyFill="1" applyBorder="1"/>
    <xf numFmtId="0" fontId="8" fillId="0" borderId="0" xfId="0" applyFont="1" applyFill="1" applyBorder="1" applyAlignment="1">
      <alignment horizontal="center"/>
    </xf>
    <xf numFmtId="0" fontId="9" fillId="0" borderId="0" xfId="0" applyFont="1" applyFill="1" applyBorder="1" applyAlignment="1">
      <alignment horizontal="center"/>
    </xf>
    <xf numFmtId="43" fontId="9" fillId="0" borderId="0" xfId="2" applyFont="1" applyFill="1" applyBorder="1"/>
    <xf numFmtId="0" fontId="9" fillId="0" borderId="0" xfId="0" applyFont="1" applyFill="1" applyBorder="1"/>
    <xf numFmtId="43" fontId="0" fillId="0" borderId="0" xfId="2" applyFont="1" applyFill="1" applyBorder="1"/>
    <xf numFmtId="174" fontId="0" fillId="0" borderId="0" xfId="2" applyNumberFormat="1" applyFont="1" applyFill="1" applyBorder="1"/>
    <xf numFmtId="0" fontId="9" fillId="0" borderId="0" xfId="0" applyFont="1" applyFill="1" applyBorder="1" applyAlignment="1">
      <alignment horizontal="center" vertical="center" wrapText="1"/>
    </xf>
    <xf numFmtId="175" fontId="9" fillId="0" borderId="0" xfId="3" applyNumberFormat="1" applyFont="1" applyFill="1" applyBorder="1"/>
    <xf numFmtId="0" fontId="10" fillId="0" borderId="0" xfId="10"/>
    <xf numFmtId="0" fontId="12" fillId="0" borderId="0" xfId="10" applyFont="1"/>
    <xf numFmtId="4" fontId="0" fillId="0" borderId="0" xfId="0" applyNumberFormat="1" applyFont="1" applyFill="1" applyBorder="1"/>
    <xf numFmtId="0" fontId="15" fillId="3" borderId="0" xfId="10" applyFont="1" applyFill="1" applyAlignment="1">
      <alignment horizontal="center"/>
    </xf>
    <xf numFmtId="43" fontId="15" fillId="3" borderId="0" xfId="2" applyNumberFormat="1" applyFont="1" applyFill="1" applyAlignment="1" applyProtection="1">
      <alignment horizontal="center" vertical="center"/>
    </xf>
    <xf numFmtId="4" fontId="15" fillId="3" borderId="0" xfId="10" applyNumberFormat="1" applyFont="1" applyFill="1" applyAlignment="1">
      <alignment horizontal="center"/>
    </xf>
    <xf numFmtId="4" fontId="10" fillId="0" borderId="0" xfId="10" applyNumberFormat="1"/>
    <xf numFmtId="176" fontId="10" fillId="0" borderId="0" xfId="10" applyNumberFormat="1"/>
    <xf numFmtId="4" fontId="17" fillId="0" borderId="0" xfId="10" applyNumberFormat="1" applyFont="1"/>
    <xf numFmtId="0" fontId="10" fillId="0" borderId="0" xfId="10" applyAlignment="1">
      <alignment horizontal="center" vertical="center" wrapText="1"/>
    </xf>
    <xf numFmtId="4" fontId="10" fillId="0" borderId="0" xfId="10" applyNumberFormat="1" applyAlignment="1">
      <alignment horizontal="center" vertical="center" wrapText="1"/>
    </xf>
    <xf numFmtId="14" fontId="15" fillId="3" borderId="0" xfId="10" applyNumberFormat="1" applyFont="1" applyFill="1" applyAlignment="1">
      <alignment horizontal="center"/>
    </xf>
    <xf numFmtId="0" fontId="12" fillId="0" borderId="8" xfId="10" applyFont="1" applyBorder="1" applyAlignment="1">
      <alignment horizontal="center"/>
    </xf>
    <xf numFmtId="4" fontId="12" fillId="0" borderId="8" xfId="10" applyNumberFormat="1" applyFont="1" applyBorder="1" applyAlignment="1">
      <alignment horizontal="center"/>
    </xf>
    <xf numFmtId="0" fontId="12" fillId="0" borderId="9" xfId="10" applyFont="1" applyBorder="1" applyAlignment="1">
      <alignment horizontal="center"/>
    </xf>
    <xf numFmtId="4" fontId="12" fillId="0" borderId="9" xfId="10" applyNumberFormat="1" applyFont="1" applyBorder="1" applyAlignment="1">
      <alignment horizontal="center"/>
    </xf>
    <xf numFmtId="43" fontId="18" fillId="0" borderId="0" xfId="2" applyFont="1"/>
    <xf numFmtId="9" fontId="0" fillId="0" borderId="0" xfId="0" applyNumberFormat="1" applyFont="1" applyFill="1" applyBorder="1"/>
    <xf numFmtId="0" fontId="10" fillId="0" borderId="11" xfId="10" applyBorder="1" applyAlignment="1">
      <alignment horizontal="center"/>
    </xf>
    <xf numFmtId="4" fontId="10" fillId="0" borderId="10" xfId="10" applyNumberFormat="1" applyBorder="1" applyAlignment="1">
      <alignment horizontal="center"/>
    </xf>
    <xf numFmtId="0" fontId="3" fillId="0" borderId="0" xfId="0" applyFont="1" applyFill="1" applyBorder="1"/>
    <xf numFmtId="43" fontId="3" fillId="0" borderId="0" xfId="2" applyFont="1" applyFill="1" applyBorder="1"/>
    <xf numFmtId="0" fontId="0" fillId="0" borderId="0" xfId="5" applyFont="1" applyAlignment="1" applyProtection="1">
      <alignment horizontal="center"/>
    </xf>
    <xf numFmtId="0" fontId="0" fillId="0" borderId="0" xfId="0" applyProtection="1">
      <protection hidden="1"/>
    </xf>
    <xf numFmtId="0" fontId="0" fillId="0" borderId="0" xfId="5" applyFont="1" applyAlignment="1" applyProtection="1">
      <alignment horizontal="center"/>
      <protection hidden="1"/>
    </xf>
    <xf numFmtId="0" fontId="0" fillId="0" borderId="0" xfId="5" applyFont="1" applyBorder="1" applyProtection="1">
      <protection hidden="1"/>
    </xf>
    <xf numFmtId="44" fontId="0" fillId="0" borderId="5" xfId="4" applyFont="1" applyBorder="1" applyProtection="1">
      <protection hidden="1"/>
    </xf>
    <xf numFmtId="44" fontId="3" fillId="0" borderId="5" xfId="4" applyFont="1" applyBorder="1" applyProtection="1">
      <protection hidden="1"/>
    </xf>
    <xf numFmtId="0" fontId="4" fillId="0" borderId="1" xfId="5" applyNumberFormat="1" applyFont="1" applyFill="1" applyBorder="1" applyAlignment="1" applyProtection="1">
      <alignment horizontal="center"/>
      <protection hidden="1"/>
    </xf>
    <xf numFmtId="0" fontId="0" fillId="0" borderId="0" xfId="5" applyFont="1" applyAlignment="1" applyProtection="1">
      <alignment horizontal="left"/>
      <protection hidden="1"/>
    </xf>
    <xf numFmtId="44" fontId="2" fillId="0" borderId="0" xfId="4" applyFont="1" applyFill="1" applyBorder="1" applyProtection="1">
      <protection hidden="1"/>
    </xf>
    <xf numFmtId="0" fontId="0" fillId="0" borderId="0" xfId="5" applyFont="1" applyAlignment="1" applyProtection="1">
      <alignment horizontal="justify" vertical="top" wrapText="1"/>
      <protection hidden="1"/>
    </xf>
    <xf numFmtId="0" fontId="2" fillId="0" borderId="6" xfId="5" applyFont="1" applyBorder="1" applyAlignment="1" applyProtection="1">
      <alignment vertical="center"/>
      <protection hidden="1"/>
    </xf>
    <xf numFmtId="0" fontId="0" fillId="0" borderId="6" xfId="5" applyFont="1" applyBorder="1" applyProtection="1">
      <protection hidden="1"/>
    </xf>
    <xf numFmtId="0" fontId="0" fillId="0" borderId="6" xfId="5" applyFont="1" applyBorder="1" applyAlignment="1" applyProtection="1">
      <alignment horizontal="center"/>
      <protection hidden="1"/>
    </xf>
    <xf numFmtId="0" fontId="14" fillId="0" borderId="0" xfId="0" applyFont="1" applyProtection="1">
      <protection hidden="1"/>
    </xf>
    <xf numFmtId="0" fontId="2" fillId="0" borderId="0" xfId="5" applyFont="1" applyAlignment="1" applyProtection="1">
      <alignment horizontal="right"/>
      <protection hidden="1"/>
    </xf>
    <xf numFmtId="175" fontId="7" fillId="0" borderId="0" xfId="3" applyNumberFormat="1" applyFont="1" applyProtection="1">
      <protection hidden="1"/>
    </xf>
    <xf numFmtId="175" fontId="7" fillId="0" borderId="0" xfId="3" applyNumberFormat="1" applyFont="1" applyBorder="1" applyProtection="1">
      <protection hidden="1"/>
    </xf>
    <xf numFmtId="0" fontId="3" fillId="0" borderId="0" xfId="0" applyFont="1" applyAlignment="1" applyProtection="1">
      <alignment horizontal="right" vertical="center"/>
      <protection hidden="1"/>
    </xf>
    <xf numFmtId="0" fontId="3" fillId="0" borderId="0" xfId="0" applyFont="1" applyAlignment="1" applyProtection="1">
      <alignment vertical="center"/>
      <protection hidden="1"/>
    </xf>
    <xf numFmtId="0" fontId="19" fillId="0" borderId="0" xfId="0" applyFont="1" applyAlignment="1" applyProtection="1">
      <alignment horizontal="left" vertical="center"/>
      <protection hidden="1"/>
    </xf>
    <xf numFmtId="0" fontId="20" fillId="0" borderId="0" xfId="5" applyFont="1" applyAlignment="1" applyProtection="1">
      <alignment horizontal="left" vertical="center"/>
      <protection hidden="1"/>
    </xf>
    <xf numFmtId="179" fontId="20" fillId="0" borderId="0" xfId="5" applyNumberFormat="1" applyFont="1" applyAlignment="1" applyProtection="1">
      <alignment horizontal="left" vertical="center"/>
      <protection hidden="1"/>
    </xf>
    <xf numFmtId="0" fontId="19" fillId="0" borderId="0" xfId="0" applyFont="1" applyAlignment="1" applyProtection="1">
      <alignment horizontal="left" vertical="center" wrapText="1"/>
      <protection hidden="1"/>
    </xf>
    <xf numFmtId="6" fontId="20" fillId="0" borderId="0" xfId="5" applyNumberFormat="1" applyFont="1" applyAlignment="1" applyProtection="1">
      <alignment horizontal="left" vertical="center"/>
      <protection hidden="1"/>
    </xf>
    <xf numFmtId="180" fontId="20" fillId="0" borderId="0" xfId="5" applyNumberFormat="1" applyFont="1" applyAlignment="1" applyProtection="1">
      <alignment horizontal="left" vertical="center"/>
      <protection hidden="1"/>
    </xf>
    <xf numFmtId="0" fontId="0" fillId="0" borderId="22" xfId="0" applyBorder="1" applyProtection="1">
      <protection hidden="1"/>
    </xf>
    <xf numFmtId="0" fontId="0" fillId="0" borderId="22" xfId="5" applyFont="1" applyBorder="1" applyAlignment="1" applyProtection="1">
      <alignment horizontal="center"/>
      <protection hidden="1"/>
    </xf>
    <xf numFmtId="0" fontId="23" fillId="4" borderId="23" xfId="0" applyFont="1" applyFill="1" applyBorder="1" applyAlignment="1" applyProtection="1">
      <alignment horizontal="center" vertical="center"/>
      <protection locked="0" hidden="1"/>
    </xf>
    <xf numFmtId="0" fontId="4" fillId="0" borderId="0" xfId="5" applyFont="1" applyAlignment="1" applyProtection="1">
      <alignment horizontal="right"/>
      <protection hidden="1"/>
    </xf>
    <xf numFmtId="44" fontId="2" fillId="0" borderId="25" xfId="4" applyFont="1" applyBorder="1" applyProtection="1">
      <protection hidden="1"/>
    </xf>
    <xf numFmtId="44" fontId="0" fillId="0" borderId="29" xfId="4" applyFont="1" applyBorder="1" applyProtection="1">
      <protection hidden="1"/>
    </xf>
    <xf numFmtId="0" fontId="12" fillId="3" borderId="12" xfId="10" applyFont="1" applyFill="1" applyBorder="1" applyAlignment="1">
      <alignment horizontal="center"/>
    </xf>
    <xf numFmtId="0" fontId="12" fillId="3" borderId="13" xfId="10" applyFont="1" applyFill="1" applyBorder="1" applyAlignment="1">
      <alignment horizontal="center"/>
    </xf>
    <xf numFmtId="0" fontId="0" fillId="0" borderId="0" xfId="5" applyFont="1" applyAlignment="1" applyProtection="1">
      <alignment horizontal="left" vertical="top" wrapText="1"/>
      <protection hidden="1"/>
    </xf>
    <xf numFmtId="0" fontId="3" fillId="0" borderId="0" xfId="0" applyFont="1"/>
    <xf numFmtId="0" fontId="24" fillId="5" borderId="8" xfId="10" applyFont="1" applyFill="1" applyBorder="1" applyAlignment="1">
      <alignment horizontal="center" vertical="center" wrapText="1"/>
    </xf>
    <xf numFmtId="0" fontId="10" fillId="0" borderId="8" xfId="10" applyBorder="1"/>
    <xf numFmtId="170" fontId="10" fillId="0" borderId="8" xfId="10" applyNumberFormat="1" applyBorder="1" applyProtection="1">
      <protection locked="0"/>
    </xf>
    <xf numFmtId="43" fontId="10" fillId="0" borderId="8" xfId="2" applyNumberFormat="1" applyFont="1" applyBorder="1" applyProtection="1"/>
    <xf numFmtId="170" fontId="13" fillId="0" borderId="8" xfId="10" applyNumberFormat="1" applyFont="1" applyBorder="1" applyProtection="1">
      <protection locked="0"/>
    </xf>
    <xf numFmtId="0" fontId="0" fillId="0" borderId="0" xfId="5" applyFont="1" applyAlignment="1">
      <alignment vertical="top" wrapText="1"/>
    </xf>
    <xf numFmtId="0" fontId="24" fillId="5" borderId="8" xfId="10" applyFont="1" applyFill="1" applyBorder="1"/>
    <xf numFmtId="0" fontId="24" fillId="5" borderId="8" xfId="10" applyFont="1" applyFill="1" applyBorder="1" applyProtection="1"/>
    <xf numFmtId="9" fontId="10" fillId="0" borderId="8" xfId="10" applyNumberFormat="1" applyBorder="1" applyProtection="1"/>
    <xf numFmtId="9" fontId="10" fillId="0" borderId="8" xfId="10" applyNumberFormat="1" applyBorder="1"/>
    <xf numFmtId="0" fontId="0" fillId="0" borderId="0" xfId="0" applyFont="1" applyProtection="1">
      <protection hidden="1"/>
    </xf>
    <xf numFmtId="0" fontId="0" fillId="0" borderId="0" xfId="0" applyFont="1"/>
    <xf numFmtId="0" fontId="0" fillId="0" borderId="0" xfId="0" applyFont="1" applyProtection="1"/>
    <xf numFmtId="165" fontId="3" fillId="0" borderId="0" xfId="5" applyNumberFormat="1" applyFont="1" applyAlignment="1" applyProtection="1">
      <alignment horizontal="right" vertical="center"/>
      <protection hidden="1"/>
    </xf>
    <xf numFmtId="0" fontId="26" fillId="0" borderId="0" xfId="5" applyFont="1" applyProtection="1">
      <protection hidden="1"/>
    </xf>
    <xf numFmtId="0" fontId="3" fillId="0" borderId="0" xfId="0" applyFont="1" applyProtection="1">
      <protection hidden="1"/>
    </xf>
    <xf numFmtId="170" fontId="3" fillId="0" borderId="0" xfId="5" applyNumberFormat="1" applyFont="1" applyProtection="1">
      <protection hidden="1"/>
    </xf>
    <xf numFmtId="43" fontId="3" fillId="0" borderId="0" xfId="5" applyNumberFormat="1" applyFont="1" applyProtection="1">
      <protection hidden="1"/>
    </xf>
    <xf numFmtId="169" fontId="3" fillId="0" borderId="0" xfId="0" applyNumberFormat="1" applyFont="1" applyProtection="1">
      <protection hidden="1"/>
    </xf>
    <xf numFmtId="44" fontId="3" fillId="0" borderId="0" xfId="4" applyFont="1" applyBorder="1" applyAlignment="1" applyProtection="1">
      <alignment horizontal="center"/>
      <protection hidden="1"/>
    </xf>
    <xf numFmtId="0" fontId="3" fillId="4" borderId="0" xfId="5" applyFont="1" applyFill="1" applyBorder="1" applyAlignment="1" applyProtection="1">
      <alignment horizontal="center"/>
      <protection hidden="1"/>
    </xf>
    <xf numFmtId="44" fontId="0" fillId="4" borderId="0" xfId="4" applyFont="1" applyFill="1" applyBorder="1" applyProtection="1">
      <protection hidden="1"/>
    </xf>
    <xf numFmtId="44" fontId="3" fillId="4" borderId="0" xfId="4" applyFont="1" applyFill="1" applyBorder="1" applyProtection="1">
      <protection hidden="1"/>
    </xf>
    <xf numFmtId="44" fontId="0" fillId="0" borderId="0" xfId="4" applyFont="1" applyFill="1" applyBorder="1" applyProtection="1">
      <protection hidden="1"/>
    </xf>
    <xf numFmtId="0" fontId="3" fillId="4" borderId="0" xfId="5" applyFont="1" applyFill="1" applyBorder="1" applyAlignment="1" applyProtection="1">
      <alignment vertical="center" wrapText="1"/>
      <protection hidden="1"/>
    </xf>
    <xf numFmtId="0" fontId="4" fillId="4" borderId="0" xfId="5" applyNumberFormat="1" applyFont="1" applyFill="1" applyBorder="1" applyAlignment="1" applyProtection="1">
      <alignment horizontal="center"/>
      <protection hidden="1"/>
    </xf>
    <xf numFmtId="44" fontId="2" fillId="4" borderId="0" xfId="4" applyFont="1" applyFill="1" applyBorder="1" applyProtection="1">
      <protection hidden="1"/>
    </xf>
    <xf numFmtId="44" fontId="0" fillId="0" borderId="0" xfId="0" applyNumberFormat="1" applyFont="1" applyProtection="1">
      <protection hidden="1"/>
    </xf>
    <xf numFmtId="0" fontId="0" fillId="0" borderId="0" xfId="5" applyFont="1" applyFill="1" applyAlignment="1" applyProtection="1">
      <alignment horizontal="center"/>
      <protection hidden="1"/>
    </xf>
    <xf numFmtId="0" fontId="3" fillId="0" borderId="0" xfId="5" applyFont="1" applyFill="1" applyBorder="1" applyProtection="1">
      <protection hidden="1"/>
    </xf>
    <xf numFmtId="0" fontId="0" fillId="0" borderId="0" xfId="5" applyFont="1" applyFill="1" applyBorder="1" applyProtection="1">
      <protection hidden="1"/>
    </xf>
    <xf numFmtId="0" fontId="0" fillId="0" borderId="0" xfId="5" applyFont="1" applyFill="1" applyProtection="1">
      <protection hidden="1"/>
    </xf>
    <xf numFmtId="9" fontId="3" fillId="0" borderId="0" xfId="11" applyFont="1" applyFill="1" applyBorder="1" applyAlignment="1" applyProtection="1">
      <alignment horizontal="center"/>
      <protection hidden="1"/>
    </xf>
    <xf numFmtId="0" fontId="3" fillId="0" borderId="0" xfId="5" applyFont="1" applyFill="1" applyBorder="1" applyAlignment="1" applyProtection="1">
      <alignment horizontal="center"/>
      <protection hidden="1"/>
    </xf>
    <xf numFmtId="0" fontId="0" fillId="6" borderId="4" xfId="5" applyFont="1" applyFill="1" applyBorder="1" applyProtection="1">
      <protection hidden="1"/>
    </xf>
    <xf numFmtId="0" fontId="2" fillId="6" borderId="4" xfId="5" applyFont="1" applyFill="1" applyBorder="1" applyAlignment="1" applyProtection="1">
      <alignment horizontal="center"/>
      <protection hidden="1"/>
    </xf>
    <xf numFmtId="44" fontId="3" fillId="6" borderId="4" xfId="4" applyFont="1" applyFill="1" applyBorder="1" applyAlignment="1" applyProtection="1">
      <alignment horizontal="center"/>
      <protection hidden="1"/>
    </xf>
    <xf numFmtId="3" fontId="0" fillId="6" borderId="4" xfId="5" applyNumberFormat="1" applyFont="1" applyFill="1" applyBorder="1" applyAlignment="1" applyProtection="1">
      <alignment horizontal="center"/>
      <protection hidden="1"/>
    </xf>
    <xf numFmtId="44" fontId="0" fillId="6" borderId="5" xfId="4" applyFont="1" applyFill="1" applyBorder="1" applyProtection="1">
      <protection hidden="1"/>
    </xf>
    <xf numFmtId="2" fontId="3" fillId="6" borderId="7" xfId="4" applyNumberFormat="1" applyFont="1" applyFill="1" applyBorder="1" applyProtection="1">
      <protection hidden="1"/>
    </xf>
    <xf numFmtId="0" fontId="16" fillId="5" borderId="24" xfId="5" applyNumberFormat="1" applyFont="1" applyFill="1" applyBorder="1" applyAlignment="1" applyProtection="1">
      <alignment horizontal="center" vertical="center" wrapText="1"/>
      <protection hidden="1"/>
    </xf>
    <xf numFmtId="0" fontId="16" fillId="2" borderId="26" xfId="5" applyNumberFormat="1" applyFont="1" applyFill="1" applyBorder="1" applyAlignment="1" applyProtection="1">
      <alignment horizontal="center" vertical="center" wrapText="1"/>
      <protection hidden="1"/>
    </xf>
    <xf numFmtId="0" fontId="16" fillId="2" borderId="27" xfId="5" applyNumberFormat="1" applyFont="1" applyFill="1" applyBorder="1" applyAlignment="1" applyProtection="1">
      <alignment horizontal="center" vertical="center" wrapText="1"/>
      <protection hidden="1"/>
    </xf>
    <xf numFmtId="0" fontId="16" fillId="2" borderId="28" xfId="5" applyNumberFormat="1" applyFont="1" applyFill="1" applyBorder="1" applyAlignment="1" applyProtection="1">
      <alignment horizontal="center" vertical="center" wrapText="1"/>
      <protection hidden="1"/>
    </xf>
    <xf numFmtId="0" fontId="16" fillId="5" borderId="8" xfId="5" applyNumberFormat="1" applyFont="1" applyFill="1" applyBorder="1" applyAlignment="1">
      <alignment horizontal="center" vertical="center" wrapText="1"/>
    </xf>
    <xf numFmtId="43" fontId="3" fillId="4" borderId="8" xfId="2" applyFont="1" applyFill="1" applyBorder="1" applyAlignment="1"/>
    <xf numFmtId="2" fontId="4" fillId="4" borderId="8" xfId="5" applyNumberFormat="1" applyFont="1" applyFill="1" applyBorder="1" applyAlignment="1">
      <alignment horizontal="center"/>
    </xf>
    <xf numFmtId="0" fontId="10" fillId="6" borderId="8" xfId="10" applyFill="1" applyBorder="1"/>
    <xf numFmtId="43" fontId="3" fillId="6" borderId="8" xfId="2" applyFont="1" applyFill="1" applyBorder="1" applyAlignment="1"/>
    <xf numFmtId="2" fontId="4" fillId="6" borderId="8" xfId="5" applyNumberFormat="1" applyFont="1" applyFill="1" applyBorder="1" applyAlignment="1">
      <alignment horizontal="center"/>
    </xf>
    <xf numFmtId="43" fontId="19" fillId="4" borderId="8" xfId="5" applyNumberFormat="1" applyFont="1" applyFill="1" applyBorder="1"/>
    <xf numFmtId="0" fontId="1" fillId="4" borderId="8" xfId="5" applyFont="1" applyFill="1" applyBorder="1"/>
    <xf numFmtId="0" fontId="24" fillId="5" borderId="0" xfId="10" applyFont="1" applyFill="1" applyAlignment="1">
      <alignment wrapText="1"/>
    </xf>
    <xf numFmtId="0" fontId="0" fillId="0" borderId="8" xfId="0" applyBorder="1"/>
    <xf numFmtId="0" fontId="0" fillId="6" borderId="8" xfId="0" applyFill="1" applyBorder="1"/>
    <xf numFmtId="170" fontId="13" fillId="6" borderId="8" xfId="10" applyNumberFormat="1" applyFont="1" applyFill="1" applyBorder="1" applyProtection="1">
      <protection locked="0"/>
    </xf>
    <xf numFmtId="43" fontId="10" fillId="6" borderId="8" xfId="2" applyNumberFormat="1" applyFont="1" applyFill="1" applyBorder="1" applyProtection="1"/>
    <xf numFmtId="9" fontId="10" fillId="6" borderId="8" xfId="10" applyNumberFormat="1" applyFill="1" applyBorder="1" applyProtection="1"/>
    <xf numFmtId="9" fontId="10" fillId="6" borderId="8" xfId="10" applyNumberFormat="1" applyFill="1" applyBorder="1"/>
    <xf numFmtId="9" fontId="12" fillId="0" borderId="8" xfId="10" applyNumberFormat="1" applyFont="1" applyBorder="1" applyProtection="1"/>
    <xf numFmtId="0" fontId="25" fillId="5" borderId="10" xfId="10" applyFont="1" applyFill="1" applyBorder="1" applyAlignment="1">
      <alignment horizontal="center"/>
    </xf>
    <xf numFmtId="0" fontId="25" fillId="5" borderId="11" xfId="10" applyFont="1" applyFill="1" applyBorder="1" applyAlignment="1">
      <alignment horizontal="center"/>
    </xf>
    <xf numFmtId="181" fontId="10" fillId="0" borderId="8" xfId="2" applyNumberFormat="1" applyFont="1" applyBorder="1" applyProtection="1"/>
    <xf numFmtId="181" fontId="10" fillId="6" borderId="8" xfId="2" applyNumberFormat="1" applyFont="1" applyFill="1" applyBorder="1" applyProtection="1"/>
    <xf numFmtId="0" fontId="0" fillId="0" borderId="0" xfId="5" applyFont="1" applyBorder="1" applyAlignment="1">
      <alignment vertical="center" wrapText="1"/>
    </xf>
    <xf numFmtId="176" fontId="10" fillId="0" borderId="8" xfId="10" applyNumberFormat="1" applyBorder="1" applyProtection="1">
      <protection locked="0"/>
    </xf>
    <xf numFmtId="176" fontId="13" fillId="6" borderId="8" xfId="10" applyNumberFormat="1" applyFont="1" applyFill="1" applyBorder="1" applyProtection="1">
      <protection locked="0"/>
    </xf>
    <xf numFmtId="176" fontId="13" fillId="0" borderId="8" xfId="10" applyNumberFormat="1" applyFont="1" applyBorder="1" applyProtection="1">
      <protection locked="0"/>
    </xf>
    <xf numFmtId="0" fontId="28" fillId="4" borderId="14" xfId="10" applyFont="1" applyFill="1" applyBorder="1" applyAlignment="1">
      <alignment horizontal="left"/>
    </xf>
    <xf numFmtId="0" fontId="28" fillId="4" borderId="15" xfId="10" applyFont="1" applyFill="1" applyBorder="1" applyAlignment="1">
      <alignment horizontal="left"/>
    </xf>
    <xf numFmtId="0" fontId="10" fillId="0" borderId="0" xfId="10" applyAlignment="1">
      <alignment horizontal="left"/>
    </xf>
    <xf numFmtId="6" fontId="3" fillId="4" borderId="8" xfId="2" applyNumberFormat="1" applyFont="1" applyFill="1" applyBorder="1" applyAlignment="1"/>
    <xf numFmtId="6" fontId="3" fillId="6" borderId="8" xfId="2" applyNumberFormat="1" applyFont="1" applyFill="1" applyBorder="1" applyAlignment="1"/>
    <xf numFmtId="0" fontId="0" fillId="0" borderId="31" xfId="5" applyFont="1" applyBorder="1" applyAlignment="1" applyProtection="1">
      <alignment horizontal="left" vertical="top" wrapText="1"/>
      <protection hidden="1"/>
    </xf>
    <xf numFmtId="0" fontId="30" fillId="5" borderId="0" xfId="0" applyFont="1" applyFill="1" applyBorder="1"/>
    <xf numFmtId="0" fontId="30" fillId="5" borderId="0" xfId="0" applyFont="1" applyFill="1" applyBorder="1" applyAlignment="1">
      <alignment horizontal="center" vertical="center" wrapText="1"/>
    </xf>
    <xf numFmtId="0" fontId="0" fillId="0" borderId="0" xfId="0" applyBorder="1" applyProtection="1">
      <protection hidden="1"/>
    </xf>
    <xf numFmtId="0" fontId="32" fillId="0" borderId="0" xfId="0" applyFont="1" applyFill="1" applyAlignment="1" applyProtection="1">
      <alignment horizontal="center" vertical="center" wrapText="1"/>
      <protection hidden="1"/>
    </xf>
    <xf numFmtId="14" fontId="22" fillId="0" borderId="0" xfId="5" applyNumberFormat="1" applyFont="1" applyBorder="1" applyAlignment="1" applyProtection="1">
      <alignment vertical="center" wrapText="1"/>
      <protection hidden="1"/>
    </xf>
    <xf numFmtId="0" fontId="22" fillId="0" borderId="0" xfId="5" applyFont="1" applyBorder="1" applyAlignment="1" applyProtection="1">
      <alignment vertical="center" wrapText="1"/>
      <protection hidden="1"/>
    </xf>
    <xf numFmtId="0" fontId="0" fillId="0" borderId="0" xfId="5" applyFont="1" applyBorder="1" applyAlignment="1" applyProtection="1">
      <alignment horizontal="center"/>
      <protection hidden="1"/>
    </xf>
    <xf numFmtId="0" fontId="16" fillId="5" borderId="43" xfId="5" applyNumberFormat="1" applyFont="1" applyFill="1" applyBorder="1" applyAlignment="1" applyProtection="1">
      <alignment horizontal="center" vertical="center" wrapText="1"/>
      <protection hidden="1"/>
    </xf>
    <xf numFmtId="0" fontId="16" fillId="5" borderId="44" xfId="5" applyNumberFormat="1" applyFont="1" applyFill="1" applyBorder="1" applyAlignment="1" applyProtection="1">
      <alignment horizontal="center" vertical="center" wrapText="1"/>
      <protection hidden="1"/>
    </xf>
    <xf numFmtId="0" fontId="16" fillId="5" borderId="45" xfId="5" applyNumberFormat="1" applyFont="1" applyFill="1" applyBorder="1" applyAlignment="1" applyProtection="1">
      <alignment horizontal="center" vertical="center" wrapText="1"/>
      <protection hidden="1"/>
    </xf>
    <xf numFmtId="0" fontId="2" fillId="0" borderId="0" xfId="5" applyFont="1" applyBorder="1" applyAlignment="1" applyProtection="1">
      <alignment horizontal="center"/>
      <protection hidden="1"/>
    </xf>
    <xf numFmtId="3" fontId="0" fillId="0" borderId="0" xfId="5" applyNumberFormat="1" applyFont="1" applyBorder="1" applyAlignment="1" applyProtection="1">
      <alignment horizontal="center"/>
      <protection hidden="1"/>
    </xf>
    <xf numFmtId="169" fontId="0" fillId="0" borderId="0" xfId="4" applyNumberFormat="1" applyFont="1" applyBorder="1" applyAlignment="1" applyProtection="1">
      <alignment horizontal="center"/>
      <protection hidden="1"/>
    </xf>
    <xf numFmtId="0" fontId="0" fillId="0" borderId="35" xfId="5" applyFont="1" applyBorder="1" applyProtection="1">
      <protection hidden="1"/>
    </xf>
    <xf numFmtId="0" fontId="0" fillId="0" borderId="36" xfId="5" applyFont="1" applyBorder="1" applyProtection="1">
      <protection hidden="1"/>
    </xf>
    <xf numFmtId="0" fontId="2" fillId="0" borderId="36" xfId="5" applyFont="1" applyBorder="1" applyAlignment="1" applyProtection="1">
      <alignment horizontal="center"/>
      <protection hidden="1"/>
    </xf>
    <xf numFmtId="44" fontId="3" fillId="0" borderId="36" xfId="4" applyFont="1" applyBorder="1" applyAlignment="1" applyProtection="1">
      <alignment horizontal="center"/>
      <protection hidden="1"/>
    </xf>
    <xf numFmtId="3" fontId="0" fillId="0" borderId="36" xfId="5" applyNumberFormat="1" applyFont="1" applyBorder="1" applyAlignment="1" applyProtection="1">
      <alignment horizontal="center"/>
      <protection hidden="1"/>
    </xf>
    <xf numFmtId="169" fontId="0" fillId="0" borderId="37" xfId="4" applyNumberFormat="1" applyFont="1" applyBorder="1" applyAlignment="1" applyProtection="1">
      <protection hidden="1"/>
    </xf>
    <xf numFmtId="0" fontId="0" fillId="6" borderId="38" xfId="5" applyFont="1" applyFill="1" applyBorder="1" applyProtection="1">
      <protection hidden="1"/>
    </xf>
    <xf numFmtId="169" fontId="0" fillId="6" borderId="39" xfId="4" applyNumberFormat="1" applyFont="1" applyFill="1" applyBorder="1" applyAlignment="1" applyProtection="1">
      <protection hidden="1"/>
    </xf>
    <xf numFmtId="0" fontId="0" fillId="0" borderId="40" xfId="5" applyFont="1" applyBorder="1" applyProtection="1">
      <protection hidden="1"/>
    </xf>
    <xf numFmtId="0" fontId="0" fillId="0" borderId="41" xfId="5" applyFont="1" applyBorder="1" applyProtection="1">
      <protection hidden="1"/>
    </xf>
    <xf numFmtId="0" fontId="2" fillId="0" borderId="41" xfId="5" applyFont="1" applyBorder="1" applyAlignment="1" applyProtection="1">
      <alignment horizontal="center"/>
      <protection hidden="1"/>
    </xf>
    <xf numFmtId="44" fontId="3" fillId="0" borderId="41" xfId="4" applyFont="1" applyBorder="1" applyAlignment="1" applyProtection="1">
      <alignment horizontal="center"/>
      <protection hidden="1"/>
    </xf>
    <xf numFmtId="3" fontId="0" fillId="0" borderId="41" xfId="5" applyNumberFormat="1" applyFont="1" applyBorder="1" applyAlignment="1" applyProtection="1">
      <alignment horizontal="center"/>
      <protection hidden="1"/>
    </xf>
    <xf numFmtId="169" fontId="0" fillId="0" borderId="42" xfId="4" applyNumberFormat="1" applyFont="1" applyBorder="1" applyAlignment="1" applyProtection="1">
      <alignment horizontal="center"/>
      <protection hidden="1"/>
    </xf>
    <xf numFmtId="44" fontId="0" fillId="0" borderId="47" xfId="4" applyFont="1" applyBorder="1" applyProtection="1">
      <protection hidden="1"/>
    </xf>
    <xf numFmtId="44" fontId="0" fillId="6" borderId="48" xfId="4" applyFont="1" applyFill="1" applyBorder="1" applyProtection="1">
      <protection hidden="1"/>
    </xf>
    <xf numFmtId="0" fontId="0" fillId="0" borderId="55" xfId="5" applyFont="1" applyBorder="1" applyProtection="1">
      <protection hidden="1"/>
    </xf>
    <xf numFmtId="0" fontId="0" fillId="0" borderId="56" xfId="5" applyFont="1" applyBorder="1" applyProtection="1">
      <protection hidden="1"/>
    </xf>
    <xf numFmtId="0" fontId="33" fillId="0" borderId="0" xfId="0" applyFont="1"/>
    <xf numFmtId="43" fontId="10" fillId="0" borderId="0" xfId="10" applyNumberFormat="1"/>
    <xf numFmtId="0" fontId="0" fillId="0" borderId="0" xfId="5" applyFont="1" applyAlignment="1" applyProtection="1">
      <alignment horizontal="left" vertical="top" wrapText="1"/>
      <protection hidden="1"/>
    </xf>
    <xf numFmtId="0" fontId="16" fillId="5" borderId="0" xfId="5" applyFont="1" applyFill="1" applyBorder="1" applyAlignment="1" applyProtection="1">
      <alignment horizontal="left"/>
      <protection hidden="1"/>
    </xf>
    <xf numFmtId="0" fontId="27" fillId="0" borderId="0" xfId="5" applyFont="1" applyAlignment="1">
      <alignment horizontal="right" vertical="center" wrapText="1"/>
    </xf>
    <xf numFmtId="164" fontId="3" fillId="0" borderId="0" xfId="5" applyNumberFormat="1" applyFont="1" applyAlignment="1" applyProtection="1">
      <alignment horizontal="right"/>
      <protection hidden="1"/>
    </xf>
    <xf numFmtId="8" fontId="0" fillId="0" borderId="0" xfId="0" applyNumberFormat="1" applyFont="1" applyFill="1" applyBorder="1"/>
    <xf numFmtId="14" fontId="34" fillId="4" borderId="8" xfId="2" applyNumberFormat="1" applyFont="1" applyFill="1" applyBorder="1" applyAlignment="1"/>
    <xf numFmtId="14" fontId="34" fillId="6" borderId="8" xfId="2" applyNumberFormat="1" applyFont="1" applyFill="1" applyBorder="1" applyAlignment="1"/>
    <xf numFmtId="14" fontId="10" fillId="0" borderId="0" xfId="10" applyNumberFormat="1"/>
    <xf numFmtId="2" fontId="10" fillId="0" borderId="0" xfId="10" applyNumberFormat="1"/>
    <xf numFmtId="167" fontId="3" fillId="6" borderId="39" xfId="5" applyNumberFormat="1" applyFont="1" applyFill="1" applyBorder="1" applyAlignment="1" applyProtection="1">
      <alignment vertical="center" wrapText="1"/>
      <protection hidden="1"/>
    </xf>
    <xf numFmtId="167" fontId="3" fillId="6" borderId="4" xfId="5" applyNumberFormat="1" applyFont="1" applyFill="1" applyBorder="1" applyAlignment="1" applyProtection="1">
      <alignment horizontal="center" vertical="center" wrapText="1"/>
      <protection hidden="1"/>
    </xf>
    <xf numFmtId="0" fontId="35" fillId="9" borderId="65" xfId="0" applyFont="1" applyFill="1" applyBorder="1" applyAlignment="1" applyProtection="1">
      <alignment horizontal="left"/>
    </xf>
    <xf numFmtId="0" fontId="36" fillId="9" borderId="65" xfId="0" applyFont="1" applyFill="1" applyBorder="1" applyAlignment="1" applyProtection="1">
      <alignment horizontal="left"/>
    </xf>
    <xf numFmtId="0" fontId="29" fillId="0" borderId="0" xfId="5" applyFont="1" applyBorder="1" applyAlignment="1" applyProtection="1">
      <alignment horizontal="left" vertical="center" wrapText="1"/>
      <protection hidden="1"/>
    </xf>
    <xf numFmtId="0" fontId="0" fillId="0" borderId="0" xfId="5" applyFont="1" applyBorder="1" applyAlignment="1" applyProtection="1">
      <alignment horizontal="left" vertical="top" wrapText="1"/>
      <protection hidden="1"/>
    </xf>
    <xf numFmtId="0" fontId="37" fillId="5" borderId="63" xfId="0" applyFont="1" applyFill="1" applyBorder="1" applyAlignment="1" applyProtection="1">
      <alignment horizontal="center" vertical="center" wrapText="1"/>
    </xf>
    <xf numFmtId="0" fontId="38" fillId="9" borderId="64" xfId="0" applyFont="1" applyFill="1" applyBorder="1" applyAlignment="1" applyProtection="1">
      <alignment horizontal="left"/>
    </xf>
    <xf numFmtId="0" fontId="16" fillId="5" borderId="0" xfId="5" applyFont="1" applyFill="1" applyBorder="1" applyAlignment="1" applyProtection="1">
      <protection hidden="1"/>
    </xf>
    <xf numFmtId="44" fontId="39" fillId="9" borderId="66" xfId="4" applyNumberFormat="1" applyFont="1" applyFill="1" applyBorder="1" applyAlignment="1" applyProtection="1">
      <alignment horizontal="right" vertical="center"/>
    </xf>
    <xf numFmtId="44" fontId="39" fillId="9" borderId="66" xfId="4" applyNumberFormat="1" applyFont="1" applyFill="1" applyBorder="1" applyAlignment="1" applyProtection="1">
      <alignment vertical="center"/>
    </xf>
    <xf numFmtId="44" fontId="0" fillId="0" borderId="48" xfId="4" applyFont="1" applyFill="1" applyBorder="1" applyProtection="1">
      <protection hidden="1"/>
    </xf>
    <xf numFmtId="8" fontId="0" fillId="0" borderId="0" xfId="0" applyNumberFormat="1" applyFont="1" applyProtection="1">
      <protection hidden="1"/>
    </xf>
    <xf numFmtId="44" fontId="0" fillId="6" borderId="42" xfId="4" applyNumberFormat="1" applyFont="1" applyFill="1" applyBorder="1" applyAlignment="1" applyProtection="1">
      <alignment horizontal="center"/>
      <protection hidden="1"/>
    </xf>
    <xf numFmtId="43" fontId="10" fillId="0" borderId="0" xfId="2" applyFont="1"/>
    <xf numFmtId="182" fontId="10" fillId="0" borderId="8" xfId="10" applyNumberFormat="1" applyBorder="1" applyProtection="1"/>
    <xf numFmtId="182" fontId="12" fillId="0" borderId="8" xfId="10" applyNumberFormat="1" applyFont="1" applyBorder="1" applyProtection="1"/>
    <xf numFmtId="183" fontId="10" fillId="0" borderId="0" xfId="10" applyNumberFormat="1"/>
    <xf numFmtId="3" fontId="0" fillId="0" borderId="0" xfId="0" applyNumberFormat="1" applyFont="1" applyProtection="1">
      <protection hidden="1"/>
    </xf>
    <xf numFmtId="8" fontId="0" fillId="0" borderId="0" xfId="5" applyNumberFormat="1" applyFont="1" applyAlignment="1" applyProtection="1">
      <alignment horizontal="center"/>
      <protection hidden="1"/>
    </xf>
    <xf numFmtId="0" fontId="40" fillId="0" borderId="0" xfId="0" applyFont="1" applyProtection="1">
      <protection hidden="1"/>
    </xf>
    <xf numFmtId="0" fontId="40" fillId="0" borderId="0" xfId="5" applyFont="1" applyAlignment="1" applyProtection="1">
      <alignment horizontal="center"/>
      <protection hidden="1"/>
    </xf>
    <xf numFmtId="0" fontId="40" fillId="0" borderId="0" xfId="0" applyFont="1"/>
    <xf numFmtId="171" fontId="7" fillId="0" borderId="0" xfId="3" applyNumberFormat="1" applyFont="1" applyProtection="1">
      <protection hidden="1"/>
    </xf>
    <xf numFmtId="8" fontId="10" fillId="0" borderId="0" xfId="10" applyNumberFormat="1"/>
    <xf numFmtId="0" fontId="0" fillId="0" borderId="0" xfId="5" applyFont="1" applyAlignment="1" applyProtection="1">
      <alignment horizontal="left" vertical="top" wrapText="1"/>
      <protection hidden="1"/>
    </xf>
    <xf numFmtId="0" fontId="10" fillId="0" borderId="8" xfId="10" applyNumberFormat="1" applyBorder="1"/>
    <xf numFmtId="0" fontId="0" fillId="0" borderId="0" xfId="5" applyFont="1" applyAlignment="1" applyProtection="1">
      <alignment horizontal="left" vertical="top"/>
      <protection hidden="1"/>
    </xf>
    <xf numFmtId="0" fontId="0" fillId="0" borderId="0" xfId="5" applyFont="1" applyAlignment="1" applyProtection="1">
      <alignment horizontal="left" vertical="top" wrapText="1"/>
      <protection hidden="1"/>
    </xf>
    <xf numFmtId="0" fontId="41" fillId="0" borderId="0" xfId="5" applyFont="1" applyAlignment="1" applyProtection="1">
      <alignment horizontal="left" vertical="top"/>
      <protection hidden="1"/>
    </xf>
    <xf numFmtId="0" fontId="0" fillId="0" borderId="0" xfId="5" applyFont="1" applyAlignment="1" applyProtection="1">
      <alignment horizontal="left" vertical="top"/>
      <protection hidden="1"/>
    </xf>
    <xf numFmtId="44" fontId="10" fillId="0" borderId="0" xfId="10" applyNumberFormat="1"/>
    <xf numFmtId="182" fontId="10" fillId="0" borderId="0" xfId="10" applyNumberFormat="1"/>
    <xf numFmtId="176" fontId="10" fillId="0" borderId="8" xfId="10" applyNumberFormat="1" applyBorder="1"/>
    <xf numFmtId="176" fontId="10" fillId="6" borderId="8" xfId="10" applyNumberFormat="1" applyFill="1" applyBorder="1"/>
    <xf numFmtId="176" fontId="4" fillId="4" borderId="8" xfId="5" applyNumberFormat="1" applyFont="1" applyFill="1" applyBorder="1" applyAlignment="1">
      <alignment horizontal="center"/>
    </xf>
    <xf numFmtId="175" fontId="10" fillId="0" borderId="0" xfId="10" applyNumberFormat="1"/>
    <xf numFmtId="184" fontId="10" fillId="0" borderId="8" xfId="10" applyNumberFormat="1" applyBorder="1" applyProtection="1">
      <protection locked="0"/>
    </xf>
    <xf numFmtId="184" fontId="13" fillId="6" borderId="8" xfId="10" applyNumberFormat="1" applyFont="1" applyFill="1" applyBorder="1" applyProtection="1">
      <protection locked="0"/>
    </xf>
    <xf numFmtId="184" fontId="13" fillId="0" borderId="8" xfId="10" applyNumberFormat="1" applyFont="1" applyBorder="1" applyProtection="1">
      <protection locked="0"/>
    </xf>
    <xf numFmtId="0" fontId="10" fillId="0" borderId="0" xfId="10" applyNumberFormat="1"/>
    <xf numFmtId="0" fontId="10" fillId="6" borderId="8" xfId="10" applyNumberFormat="1" applyFill="1" applyBorder="1"/>
    <xf numFmtId="185" fontId="10" fillId="6" borderId="8" xfId="10" applyNumberFormat="1" applyFill="1" applyBorder="1" applyProtection="1"/>
    <xf numFmtId="0" fontId="19" fillId="0" borderId="0" xfId="0" applyFont="1" applyAlignment="1" applyProtection="1">
      <alignment horizontal="left" vertical="center" wrapText="1"/>
      <protection hidden="1"/>
    </xf>
    <xf numFmtId="9" fontId="10" fillId="0" borderId="0" xfId="11" applyFont="1"/>
    <xf numFmtId="0" fontId="19" fillId="0" borderId="0" xfId="0" applyFont="1" applyBorder="1" applyAlignment="1" applyProtection="1">
      <alignment horizontal="left" vertical="center" wrapText="1"/>
      <protection hidden="1"/>
    </xf>
    <xf numFmtId="0" fontId="21" fillId="0" borderId="0" xfId="5" applyFont="1" applyBorder="1" applyAlignment="1" applyProtection="1">
      <alignment horizontal="left" vertical="center"/>
      <protection locked="0" hidden="1"/>
    </xf>
    <xf numFmtId="0" fontId="16" fillId="5" borderId="67" xfId="5" applyFont="1" applyFill="1" applyBorder="1" applyAlignment="1" applyProtection="1">
      <alignment horizontal="center"/>
      <protection hidden="1"/>
    </xf>
    <xf numFmtId="0" fontId="16" fillId="5" borderId="68" xfId="5" applyFont="1" applyFill="1" applyBorder="1" applyAlignment="1" applyProtection="1">
      <alignment horizontal="center"/>
      <protection hidden="1"/>
    </xf>
    <xf numFmtId="0" fontId="16" fillId="5" borderId="69" xfId="5" applyFont="1" applyFill="1" applyBorder="1" applyAlignment="1" applyProtection="1">
      <alignment horizontal="center"/>
      <protection hidden="1"/>
    </xf>
    <xf numFmtId="9" fontId="4" fillId="0" borderId="71" xfId="5" applyNumberFormat="1" applyFont="1" applyFill="1" applyBorder="1" applyAlignment="1" applyProtection="1">
      <alignment horizontal="center" vertical="center"/>
      <protection locked="0"/>
    </xf>
    <xf numFmtId="9" fontId="4" fillId="0" borderId="74" xfId="5" applyNumberFormat="1" applyFont="1" applyFill="1" applyBorder="1" applyAlignment="1" applyProtection="1">
      <alignment horizontal="center" vertical="center"/>
      <protection hidden="1"/>
    </xf>
    <xf numFmtId="0" fontId="16" fillId="0" borderId="0" xfId="5" applyFont="1" applyFill="1" applyBorder="1" applyAlignment="1" applyProtection="1">
      <alignment horizontal="center"/>
      <protection hidden="1"/>
    </xf>
    <xf numFmtId="9" fontId="4" fillId="0" borderId="70" xfId="5" applyNumberFormat="1" applyFont="1" applyFill="1" applyBorder="1" applyAlignment="1" applyProtection="1">
      <alignment horizontal="center" vertical="center"/>
      <protection hidden="1"/>
    </xf>
    <xf numFmtId="9" fontId="4" fillId="0" borderId="72" xfId="5" applyNumberFormat="1" applyFont="1" applyFill="1" applyBorder="1" applyAlignment="1" applyProtection="1">
      <alignment horizontal="center" vertical="center"/>
      <protection hidden="1"/>
    </xf>
    <xf numFmtId="9" fontId="42" fillId="0" borderId="0" xfId="5" applyNumberFormat="1" applyFont="1" applyFill="1" applyBorder="1" applyAlignment="1" applyProtection="1">
      <alignment horizontal="center" vertical="center"/>
      <protection hidden="1"/>
    </xf>
    <xf numFmtId="0" fontId="21" fillId="0" borderId="0" xfId="5" applyFont="1" applyBorder="1" applyAlignment="1" applyProtection="1">
      <alignment horizontal="left" vertical="center"/>
      <protection hidden="1"/>
    </xf>
    <xf numFmtId="9" fontId="4" fillId="0" borderId="37" xfId="11" applyFont="1" applyFill="1" applyBorder="1" applyAlignment="1" applyProtection="1">
      <alignment horizontal="center" vertical="center"/>
      <protection locked="0"/>
    </xf>
    <xf numFmtId="9" fontId="0" fillId="0" borderId="0" xfId="0" applyNumberFormat="1"/>
    <xf numFmtId="9" fontId="4" fillId="0" borderId="73" xfId="11" applyFont="1" applyFill="1" applyBorder="1" applyAlignment="1" applyProtection="1">
      <alignment horizontal="center" vertical="center"/>
      <protection locked="0"/>
    </xf>
    <xf numFmtId="170" fontId="30" fillId="5" borderId="0" xfId="0" applyNumberFormat="1" applyFont="1" applyFill="1" applyBorder="1" applyAlignment="1">
      <alignment horizontal="center" vertical="center" wrapText="1"/>
    </xf>
    <xf numFmtId="186" fontId="13" fillId="0" borderId="8" xfId="10" applyNumberFormat="1" applyFont="1" applyBorder="1" applyProtection="1">
      <protection locked="0"/>
    </xf>
    <xf numFmtId="187" fontId="10" fillId="0" borderId="8" xfId="2" applyNumberFormat="1" applyFont="1" applyBorder="1" applyProtection="1"/>
    <xf numFmtId="187" fontId="10" fillId="6" borderId="8" xfId="2" applyNumberFormat="1" applyFont="1" applyFill="1" applyBorder="1" applyProtection="1"/>
    <xf numFmtId="182" fontId="10" fillId="0" borderId="0" xfId="10" applyNumberFormat="1" applyBorder="1"/>
    <xf numFmtId="9" fontId="10" fillId="0" borderId="0" xfId="10" applyNumberFormat="1"/>
    <xf numFmtId="0" fontId="19" fillId="0" borderId="0" xfId="0" applyFont="1" applyAlignment="1" applyProtection="1">
      <alignment horizontal="left" vertical="center" wrapText="1"/>
      <protection hidden="1"/>
    </xf>
    <xf numFmtId="4" fontId="41" fillId="0" borderId="0" xfId="0" applyNumberFormat="1" applyFont="1" applyProtection="1">
      <protection hidden="1"/>
    </xf>
    <xf numFmtId="188" fontId="10" fillId="0" borderId="0" xfId="10" applyNumberFormat="1"/>
    <xf numFmtId="10" fontId="10" fillId="0" borderId="0" xfId="10" applyNumberFormat="1" applyBorder="1"/>
    <xf numFmtId="9" fontId="4" fillId="0" borderId="0" xfId="5" applyNumberFormat="1" applyFont="1" applyFill="1" applyBorder="1" applyAlignment="1" applyProtection="1">
      <alignment horizontal="center" vertical="center"/>
      <protection hidden="1"/>
    </xf>
    <xf numFmtId="9" fontId="4" fillId="0" borderId="70" xfId="5" applyNumberFormat="1" applyFont="1" applyBorder="1" applyAlignment="1" applyProtection="1">
      <alignment horizontal="center" vertical="center"/>
      <protection hidden="1"/>
    </xf>
    <xf numFmtId="9" fontId="4" fillId="0" borderId="71" xfId="11" applyFont="1" applyFill="1" applyBorder="1" applyAlignment="1" applyProtection="1">
      <alignment horizontal="center" vertical="center"/>
      <protection locked="0"/>
    </xf>
    <xf numFmtId="9" fontId="4" fillId="0" borderId="72" xfId="5" applyNumberFormat="1" applyFont="1" applyBorder="1" applyAlignment="1" applyProtection="1">
      <alignment horizontal="center" vertical="center"/>
      <protection hidden="1"/>
    </xf>
    <xf numFmtId="9" fontId="4" fillId="0" borderId="74" xfId="11" applyFont="1" applyFill="1" applyBorder="1" applyAlignment="1" applyProtection="1">
      <alignment horizontal="center" vertical="center"/>
      <protection locked="0"/>
    </xf>
    <xf numFmtId="182" fontId="10" fillId="6" borderId="8" xfId="10" applyNumberFormat="1" applyFill="1" applyBorder="1"/>
    <xf numFmtId="0" fontId="43" fillId="0" borderId="0" xfId="0" applyFont="1" applyProtection="1">
      <protection hidden="1"/>
    </xf>
    <xf numFmtId="0" fontId="37" fillId="5" borderId="62" xfId="0" applyFont="1" applyFill="1" applyBorder="1" applyAlignment="1">
      <alignment horizontal="left" vertical="center" wrapText="1"/>
    </xf>
    <xf numFmtId="0" fontId="37" fillId="5" borderId="61" xfId="0" applyFont="1" applyFill="1" applyBorder="1" applyAlignment="1">
      <alignment horizontal="center" vertical="center" wrapText="1"/>
    </xf>
    <xf numFmtId="44" fontId="44" fillId="9" borderId="65" xfId="4" applyFont="1" applyFill="1" applyBorder="1" applyAlignment="1" applyProtection="1">
      <alignment horizontal="left" vertical="center"/>
    </xf>
    <xf numFmtId="9" fontId="44" fillId="9" borderId="64" xfId="4" applyNumberFormat="1" applyFont="1" applyFill="1" applyBorder="1" applyAlignment="1" applyProtection="1">
      <alignment horizontal="center" vertical="center"/>
    </xf>
    <xf numFmtId="0" fontId="0" fillId="0" borderId="0" xfId="0" applyFont="1" applyFill="1" applyBorder="1" applyAlignment="1">
      <alignment horizontal="center"/>
    </xf>
    <xf numFmtId="0" fontId="12" fillId="0" borderId="22" xfId="10" applyFont="1" applyBorder="1" applyAlignment="1">
      <alignment horizontal="left"/>
    </xf>
    <xf numFmtId="0" fontId="22" fillId="7" borderId="0" xfId="5" applyFont="1" applyFill="1" applyBorder="1" applyAlignment="1" applyProtection="1">
      <alignment horizontal="center" vertical="center" wrapText="1"/>
      <protection hidden="1"/>
    </xf>
    <xf numFmtId="0" fontId="4" fillId="6" borderId="16" xfId="5" applyNumberFormat="1" applyFont="1" applyFill="1" applyBorder="1" applyAlignment="1" applyProtection="1">
      <alignment horizontal="left"/>
      <protection hidden="1"/>
    </xf>
    <xf numFmtId="0" fontId="4" fillId="6" borderId="17" xfId="5" applyNumberFormat="1" applyFont="1" applyFill="1" applyBorder="1" applyAlignment="1" applyProtection="1">
      <alignment horizontal="left"/>
      <protection hidden="1"/>
    </xf>
    <xf numFmtId="0" fontId="4" fillId="6" borderId="3" xfId="5" applyNumberFormat="1" applyFont="1" applyFill="1" applyBorder="1" applyAlignment="1" applyProtection="1">
      <alignment horizontal="left"/>
      <protection hidden="1"/>
    </xf>
    <xf numFmtId="0" fontId="4" fillId="6" borderId="18" xfId="5" applyNumberFormat="1" applyFont="1" applyFill="1" applyBorder="1" applyAlignment="1" applyProtection="1">
      <alignment horizontal="left"/>
      <protection hidden="1"/>
    </xf>
    <xf numFmtId="0" fontId="0" fillId="0" borderId="30" xfId="5" applyFont="1" applyBorder="1" applyAlignment="1">
      <alignment horizontal="left" vertical="center" wrapText="1"/>
    </xf>
    <xf numFmtId="0" fontId="4" fillId="0" borderId="3" xfId="5" applyNumberFormat="1" applyFont="1" applyBorder="1" applyAlignment="1" applyProtection="1">
      <alignment horizontal="left"/>
      <protection hidden="1"/>
    </xf>
    <xf numFmtId="0" fontId="4" fillId="0" borderId="18" xfId="5" applyNumberFormat="1" applyFont="1" applyBorder="1" applyAlignment="1" applyProtection="1">
      <alignment horizontal="left"/>
      <protection hidden="1"/>
    </xf>
    <xf numFmtId="172" fontId="4" fillId="6" borderId="3" xfId="5" applyNumberFormat="1" applyFont="1" applyFill="1" applyBorder="1" applyAlignment="1" applyProtection="1">
      <alignment horizontal="left"/>
      <protection hidden="1"/>
    </xf>
    <xf numFmtId="172" fontId="4" fillId="6" borderId="18" xfId="5" applyNumberFormat="1" applyFont="1" applyFill="1" applyBorder="1" applyAlignment="1" applyProtection="1">
      <alignment horizontal="left"/>
      <protection hidden="1"/>
    </xf>
    <xf numFmtId="0" fontId="4" fillId="0" borderId="20" xfId="5" applyNumberFormat="1" applyFont="1" applyBorder="1" applyAlignment="1" applyProtection="1">
      <alignment horizontal="left"/>
      <protection hidden="1"/>
    </xf>
    <xf numFmtId="0" fontId="4" fillId="0" borderId="21" xfId="5" applyNumberFormat="1" applyFont="1" applyBorder="1" applyAlignment="1" applyProtection="1">
      <alignment horizontal="left"/>
      <protection hidden="1"/>
    </xf>
    <xf numFmtId="0" fontId="4" fillId="0" borderId="2" xfId="5" applyNumberFormat="1" applyFont="1" applyBorder="1" applyAlignment="1" applyProtection="1">
      <alignment horizontal="left"/>
      <protection hidden="1"/>
    </xf>
    <xf numFmtId="0" fontId="4" fillId="0" borderId="19" xfId="5" applyNumberFormat="1" applyFont="1" applyBorder="1" applyAlignment="1" applyProtection="1">
      <alignment horizontal="left"/>
      <protection hidden="1"/>
    </xf>
    <xf numFmtId="0" fontId="4" fillId="0" borderId="0" xfId="5" applyFont="1" applyAlignment="1" applyProtection="1">
      <alignment horizontal="right"/>
      <protection hidden="1"/>
    </xf>
    <xf numFmtId="168" fontId="3" fillId="0" borderId="4" xfId="5" applyNumberFormat="1" applyFont="1" applyBorder="1" applyAlignment="1" applyProtection="1">
      <alignment horizontal="left" vertical="center"/>
      <protection hidden="1"/>
    </xf>
    <xf numFmtId="168" fontId="3" fillId="0" borderId="39" xfId="5" applyNumberFormat="1" applyFont="1" applyBorder="1" applyAlignment="1" applyProtection="1">
      <alignment horizontal="left" vertical="center"/>
      <protection hidden="1"/>
    </xf>
    <xf numFmtId="0" fontId="3" fillId="6" borderId="40" xfId="5" applyFont="1" applyFill="1" applyBorder="1" applyAlignment="1" applyProtection="1">
      <alignment horizontal="left" vertical="center"/>
      <protection hidden="1"/>
    </xf>
    <xf numFmtId="0" fontId="3" fillId="6" borderId="41" xfId="5" applyFont="1" applyFill="1" applyBorder="1" applyAlignment="1" applyProtection="1">
      <alignment horizontal="left" vertical="center"/>
      <protection hidden="1"/>
    </xf>
    <xf numFmtId="0" fontId="4" fillId="6" borderId="40" xfId="5" applyFont="1" applyFill="1" applyBorder="1" applyAlignment="1" applyProtection="1">
      <alignment horizontal="left"/>
      <protection hidden="1"/>
    </xf>
    <xf numFmtId="0" fontId="4" fillId="6" borderId="60" xfId="5" applyFont="1" applyFill="1" applyBorder="1" applyAlignment="1" applyProtection="1">
      <alignment horizontal="left"/>
      <protection hidden="1"/>
    </xf>
    <xf numFmtId="0" fontId="4" fillId="6" borderId="38" xfId="5" applyNumberFormat="1" applyFont="1" applyFill="1" applyBorder="1" applyAlignment="1" applyProtection="1">
      <alignment horizontal="left"/>
      <protection hidden="1"/>
    </xf>
    <xf numFmtId="6" fontId="0" fillId="6" borderId="41" xfId="5" applyNumberFormat="1" applyFont="1" applyFill="1" applyBorder="1" applyAlignment="1" applyProtection="1">
      <alignment horizontal="left" vertical="center"/>
      <protection hidden="1"/>
    </xf>
    <xf numFmtId="6" fontId="0" fillId="6" borderId="42" xfId="5" applyNumberFormat="1" applyFont="1" applyFill="1" applyBorder="1" applyAlignment="1" applyProtection="1">
      <alignment horizontal="left" vertical="center"/>
      <protection hidden="1"/>
    </xf>
    <xf numFmtId="169" fontId="16" fillId="5" borderId="57" xfId="4" applyNumberFormat="1" applyFont="1" applyFill="1" applyBorder="1" applyAlignment="1" applyProtection="1">
      <alignment horizontal="center"/>
      <protection hidden="1"/>
    </xf>
    <xf numFmtId="169" fontId="16" fillId="5" borderId="58" xfId="4" applyNumberFormat="1" applyFont="1" applyFill="1" applyBorder="1" applyAlignment="1" applyProtection="1">
      <alignment horizontal="center"/>
      <protection hidden="1"/>
    </xf>
    <xf numFmtId="0" fontId="16" fillId="5" borderId="0" xfId="5" applyFont="1" applyFill="1" applyBorder="1" applyAlignment="1" applyProtection="1">
      <alignment horizontal="left"/>
      <protection hidden="1"/>
    </xf>
    <xf numFmtId="0" fontId="4" fillId="0" borderId="38" xfId="5" applyNumberFormat="1" applyFont="1" applyFill="1" applyBorder="1" applyAlignment="1" applyProtection="1">
      <alignment horizontal="left"/>
      <protection hidden="1"/>
    </xf>
    <xf numFmtId="0" fontId="4" fillId="0" borderId="18" xfId="5" applyNumberFormat="1" applyFont="1" applyFill="1" applyBorder="1" applyAlignment="1" applyProtection="1">
      <alignment horizontal="left"/>
      <protection hidden="1"/>
    </xf>
    <xf numFmtId="0" fontId="37" fillId="5" borderId="61" xfId="0" applyFont="1" applyFill="1" applyBorder="1" applyAlignment="1" applyProtection="1">
      <alignment horizontal="center" vertical="center" wrapText="1"/>
    </xf>
    <xf numFmtId="0" fontId="37" fillId="5" borderId="62" xfId="0" applyFont="1" applyFill="1" applyBorder="1" applyAlignment="1" applyProtection="1">
      <alignment horizontal="center" vertical="center" wrapText="1"/>
    </xf>
    <xf numFmtId="178" fontId="4" fillId="0" borderId="40" xfId="5" applyNumberFormat="1" applyFont="1" applyFill="1" applyBorder="1" applyAlignment="1" applyProtection="1">
      <alignment horizontal="left" vertical="center"/>
      <protection hidden="1"/>
    </xf>
    <xf numFmtId="178" fontId="4" fillId="0" borderId="42" xfId="5" applyNumberFormat="1" applyFont="1" applyFill="1" applyBorder="1" applyAlignment="1" applyProtection="1">
      <alignment horizontal="left" vertical="center"/>
      <protection hidden="1"/>
    </xf>
    <xf numFmtId="0" fontId="0" fillId="0" borderId="0" xfId="5" applyFont="1" applyAlignment="1" applyProtection="1">
      <alignment horizontal="left" vertical="top" wrapText="1"/>
      <protection hidden="1"/>
    </xf>
    <xf numFmtId="177" fontId="4" fillId="0" borderId="35" xfId="5" applyNumberFormat="1" applyFont="1" applyFill="1" applyBorder="1" applyAlignment="1" applyProtection="1">
      <alignment horizontal="left" vertical="center"/>
      <protection hidden="1"/>
    </xf>
    <xf numFmtId="177" fontId="4" fillId="0" borderId="37" xfId="5" applyNumberFormat="1" applyFont="1" applyFill="1" applyBorder="1" applyAlignment="1" applyProtection="1">
      <alignment horizontal="left" vertical="center"/>
      <protection hidden="1"/>
    </xf>
    <xf numFmtId="0" fontId="0" fillId="0" borderId="0" xfId="5" applyFont="1" applyAlignment="1" applyProtection="1">
      <alignment horizontal="left" vertical="top"/>
      <protection hidden="1"/>
    </xf>
    <xf numFmtId="0" fontId="16" fillId="5" borderId="49" xfId="5" applyFont="1" applyFill="1" applyBorder="1" applyAlignment="1" applyProtection="1">
      <alignment horizontal="left"/>
      <protection hidden="1"/>
    </xf>
    <xf numFmtId="0" fontId="16" fillId="5" borderId="51" xfId="5" applyFont="1" applyFill="1" applyBorder="1" applyAlignment="1" applyProtection="1">
      <alignment horizontal="left"/>
      <protection hidden="1"/>
    </xf>
    <xf numFmtId="0" fontId="4" fillId="0" borderId="35" xfId="5" applyNumberFormat="1" applyFont="1" applyBorder="1" applyAlignment="1" applyProtection="1">
      <alignment horizontal="left"/>
      <protection hidden="1"/>
    </xf>
    <xf numFmtId="0" fontId="4" fillId="0" borderId="46" xfId="5" applyNumberFormat="1" applyFont="1" applyBorder="1" applyAlignment="1" applyProtection="1">
      <alignment horizontal="left"/>
      <protection hidden="1"/>
    </xf>
    <xf numFmtId="0" fontId="3" fillId="6" borderId="38" xfId="5" applyFont="1" applyFill="1" applyBorder="1" applyAlignment="1" applyProtection="1">
      <alignment horizontal="left" vertical="center"/>
      <protection hidden="1"/>
    </xf>
    <xf numFmtId="0" fontId="3" fillId="6" borderId="4" xfId="5" applyFont="1" applyFill="1" applyBorder="1" applyAlignment="1" applyProtection="1">
      <alignment horizontal="left" vertical="center"/>
      <protection hidden="1"/>
    </xf>
    <xf numFmtId="0" fontId="27" fillId="0" borderId="0" xfId="5" applyFont="1" applyAlignment="1">
      <alignment horizontal="right" vertical="center" wrapText="1"/>
    </xf>
    <xf numFmtId="164" fontId="3" fillId="0" borderId="0" xfId="5" applyNumberFormat="1" applyFont="1" applyAlignment="1" applyProtection="1">
      <alignment horizontal="right"/>
      <protection hidden="1"/>
    </xf>
    <xf numFmtId="0" fontId="3" fillId="0" borderId="35" xfId="5" applyFont="1" applyBorder="1" applyAlignment="1" applyProtection="1">
      <alignment horizontal="left" vertical="center"/>
      <protection hidden="1"/>
    </xf>
    <xf numFmtId="0" fontId="3" fillId="0" borderId="36" xfId="5" applyFont="1" applyBorder="1" applyAlignment="1" applyProtection="1">
      <alignment horizontal="left" vertical="center"/>
      <protection hidden="1"/>
    </xf>
    <xf numFmtId="166" fontId="0" fillId="0" borderId="36" xfId="5" applyNumberFormat="1" applyFont="1" applyBorder="1" applyAlignment="1" applyProtection="1">
      <alignment horizontal="left" vertical="center"/>
      <protection hidden="1"/>
    </xf>
    <xf numFmtId="166" fontId="0" fillId="0" borderId="37" xfId="5" applyNumberFormat="1" applyFont="1" applyBorder="1" applyAlignment="1" applyProtection="1">
      <alignment horizontal="left" vertical="center"/>
      <protection hidden="1"/>
    </xf>
    <xf numFmtId="0" fontId="3" fillId="0" borderId="38" xfId="5" applyFont="1" applyBorder="1" applyAlignment="1" applyProtection="1">
      <alignment horizontal="left" vertical="center"/>
      <protection hidden="1"/>
    </xf>
    <xf numFmtId="0" fontId="3" fillId="0" borderId="4" xfId="5" applyFont="1" applyBorder="1" applyAlignment="1" applyProtection="1">
      <alignment horizontal="left" vertical="center"/>
      <protection hidden="1"/>
    </xf>
    <xf numFmtId="0" fontId="29" fillId="0" borderId="49" xfId="5" applyFont="1" applyBorder="1" applyAlignment="1" applyProtection="1">
      <alignment horizontal="left" vertical="center" wrapText="1"/>
      <protection hidden="1"/>
    </xf>
    <xf numFmtId="0" fontId="29" fillId="0" borderId="50" xfId="5" applyFont="1" applyBorder="1" applyAlignment="1" applyProtection="1">
      <alignment horizontal="left" vertical="center" wrapText="1"/>
      <protection hidden="1"/>
    </xf>
    <xf numFmtId="0" fontId="29" fillId="0" borderId="51" xfId="5" applyFont="1" applyBorder="1" applyAlignment="1" applyProtection="1">
      <alignment horizontal="left" vertical="center" wrapText="1"/>
      <protection hidden="1"/>
    </xf>
    <xf numFmtId="0" fontId="29" fillId="0" borderId="52" xfId="5" applyFont="1" applyBorder="1" applyAlignment="1" applyProtection="1">
      <alignment horizontal="left" vertical="center" wrapText="1"/>
      <protection hidden="1"/>
    </xf>
    <xf numFmtId="0" fontId="29" fillId="0" borderId="53" xfId="5" applyFont="1" applyBorder="1" applyAlignment="1" applyProtection="1">
      <alignment horizontal="left" vertical="center" wrapText="1"/>
      <protection hidden="1"/>
    </xf>
    <xf numFmtId="0" fontId="29" fillId="0" borderId="54" xfId="5" applyFont="1" applyBorder="1" applyAlignment="1" applyProtection="1">
      <alignment horizontal="left" vertical="center" wrapText="1"/>
      <protection hidden="1"/>
    </xf>
    <xf numFmtId="3" fontId="3" fillId="0" borderId="4" xfId="5" applyNumberFormat="1" applyFont="1" applyBorder="1" applyAlignment="1" applyProtection="1">
      <alignment horizontal="left" vertical="center"/>
      <protection hidden="1"/>
    </xf>
    <xf numFmtId="3" fontId="3" fillId="0" borderId="39" xfId="5" applyNumberFormat="1" applyFont="1" applyBorder="1" applyAlignment="1" applyProtection="1">
      <alignment horizontal="left" vertical="center"/>
      <protection hidden="1"/>
    </xf>
    <xf numFmtId="0" fontId="3" fillId="6" borderId="39" xfId="5" applyFont="1" applyFill="1" applyBorder="1" applyAlignment="1" applyProtection="1">
      <alignment horizontal="left" vertical="center"/>
      <protection hidden="1"/>
    </xf>
    <xf numFmtId="0" fontId="19" fillId="0" borderId="0" xfId="0" applyFont="1" applyAlignment="1" applyProtection="1">
      <alignment horizontal="left" vertical="center" wrapText="1"/>
      <protection hidden="1"/>
    </xf>
    <xf numFmtId="6" fontId="21" fillId="0" borderId="32" xfId="5" applyNumberFormat="1" applyFont="1" applyFill="1" applyBorder="1" applyAlignment="1" applyProtection="1">
      <alignment horizontal="left" vertical="center"/>
      <protection locked="0"/>
    </xf>
    <xf numFmtId="0" fontId="21" fillId="0" borderId="33" xfId="5" applyFont="1" applyFill="1" applyBorder="1" applyAlignment="1" applyProtection="1">
      <alignment horizontal="left" vertical="center"/>
      <protection locked="0"/>
    </xf>
    <xf numFmtId="0" fontId="21" fillId="0" borderId="34" xfId="5" applyFont="1" applyFill="1" applyBorder="1" applyAlignment="1" applyProtection="1">
      <alignment horizontal="left" vertical="center"/>
      <protection locked="0"/>
    </xf>
    <xf numFmtId="0" fontId="19" fillId="0" borderId="0" xfId="0" applyFont="1" applyAlignment="1" applyProtection="1">
      <alignment horizontal="left" vertical="center"/>
      <protection hidden="1"/>
    </xf>
    <xf numFmtId="0" fontId="19" fillId="0" borderId="59" xfId="0" applyFont="1" applyBorder="1" applyAlignment="1" applyProtection="1">
      <alignment horizontal="left" vertical="center"/>
      <protection hidden="1"/>
    </xf>
    <xf numFmtId="0" fontId="31" fillId="5" borderId="0" xfId="0" applyFont="1" applyFill="1" applyAlignment="1" applyProtection="1">
      <alignment horizontal="center" vertical="center"/>
      <protection hidden="1"/>
    </xf>
    <xf numFmtId="179" fontId="21" fillId="0" borderId="32" xfId="5" applyNumberFormat="1" applyFont="1" applyBorder="1" applyAlignment="1" applyProtection="1">
      <alignment horizontal="left" vertical="center"/>
      <protection locked="0" hidden="1"/>
    </xf>
    <xf numFmtId="179" fontId="21" fillId="0" borderId="33" xfId="5" applyNumberFormat="1" applyFont="1" applyBorder="1" applyAlignment="1" applyProtection="1">
      <alignment horizontal="left" vertical="center"/>
      <protection locked="0" hidden="1"/>
    </xf>
    <xf numFmtId="179" fontId="21" fillId="0" borderId="34" xfId="5" applyNumberFormat="1" applyFont="1" applyBorder="1" applyAlignment="1" applyProtection="1">
      <alignment horizontal="left" vertical="center"/>
      <protection locked="0" hidden="1"/>
    </xf>
    <xf numFmtId="0" fontId="32" fillId="7" borderId="55" xfId="0" applyFont="1" applyFill="1" applyBorder="1" applyAlignment="1" applyProtection="1">
      <alignment horizontal="center" vertical="center" wrapText="1"/>
      <protection hidden="1"/>
    </xf>
    <xf numFmtId="0" fontId="32" fillId="7" borderId="56" xfId="0" applyFont="1" applyFill="1" applyBorder="1" applyAlignment="1" applyProtection="1">
      <alignment horizontal="center" vertical="center" wrapText="1"/>
      <protection hidden="1"/>
    </xf>
    <xf numFmtId="0" fontId="32" fillId="7" borderId="58" xfId="0" applyFont="1" applyFill="1" applyBorder="1" applyAlignment="1" applyProtection="1">
      <alignment horizontal="center" vertical="center" wrapText="1"/>
      <protection hidden="1"/>
    </xf>
    <xf numFmtId="0" fontId="21" fillId="0" borderId="32" xfId="5" applyFont="1" applyBorder="1" applyAlignment="1" applyProtection="1">
      <alignment horizontal="left" vertical="center"/>
      <protection locked="0" hidden="1"/>
    </xf>
    <xf numFmtId="0" fontId="21" fillId="0" borderId="33" xfId="5" applyFont="1" applyBorder="1" applyAlignment="1" applyProtection="1">
      <alignment horizontal="left" vertical="center"/>
      <protection locked="0" hidden="1"/>
    </xf>
    <xf numFmtId="0" fontId="21" fillId="0" borderId="34" xfId="5" applyFont="1" applyBorder="1" applyAlignment="1" applyProtection="1">
      <alignment horizontal="left" vertical="center"/>
      <protection locked="0" hidden="1"/>
    </xf>
    <xf numFmtId="14" fontId="21" fillId="0" borderId="32" xfId="5" applyNumberFormat="1" applyFont="1" applyBorder="1" applyAlignment="1" applyProtection="1">
      <alignment horizontal="left" vertical="center"/>
      <protection locked="0" hidden="1"/>
    </xf>
    <xf numFmtId="14" fontId="21" fillId="0" borderId="33" xfId="5" applyNumberFormat="1" applyFont="1" applyBorder="1" applyAlignment="1" applyProtection="1">
      <alignment horizontal="left" vertical="center"/>
      <protection locked="0" hidden="1"/>
    </xf>
    <xf numFmtId="14" fontId="21" fillId="0" borderId="34" xfId="5" applyNumberFormat="1" applyFont="1" applyBorder="1" applyAlignment="1" applyProtection="1">
      <alignment horizontal="left" vertical="center"/>
      <protection locked="0" hidden="1"/>
    </xf>
    <xf numFmtId="6" fontId="21" fillId="0" borderId="32" xfId="5" applyNumberFormat="1" applyFont="1" applyBorder="1" applyAlignment="1" applyProtection="1">
      <alignment horizontal="left" vertical="center"/>
      <protection locked="0" hidden="1"/>
    </xf>
    <xf numFmtId="6" fontId="21" fillId="0" borderId="33" xfId="5" applyNumberFormat="1" applyFont="1" applyBorder="1" applyAlignment="1" applyProtection="1">
      <alignment horizontal="left" vertical="center"/>
      <protection locked="0" hidden="1"/>
    </xf>
    <xf numFmtId="6" fontId="21" fillId="0" borderId="34" xfId="5" applyNumberFormat="1" applyFont="1" applyBorder="1" applyAlignment="1" applyProtection="1">
      <alignment horizontal="left" vertical="center"/>
      <protection locked="0" hidden="1"/>
    </xf>
    <xf numFmtId="6" fontId="21" fillId="8" borderId="32" xfId="5" applyNumberFormat="1" applyFont="1" applyFill="1" applyBorder="1" applyAlignment="1" applyProtection="1">
      <alignment horizontal="left" vertical="center"/>
      <protection hidden="1"/>
    </xf>
    <xf numFmtId="0" fontId="21" fillId="8" borderId="33" xfId="5" applyFont="1" applyFill="1" applyBorder="1" applyAlignment="1" applyProtection="1">
      <alignment horizontal="left" vertical="center"/>
      <protection hidden="1"/>
    </xf>
    <xf numFmtId="0" fontId="21" fillId="8" borderId="34" xfId="5" applyFont="1" applyFill="1" applyBorder="1" applyAlignment="1" applyProtection="1">
      <alignment horizontal="left" vertical="center"/>
      <protection hidden="1"/>
    </xf>
    <xf numFmtId="180" fontId="21" fillId="0" borderId="32" xfId="5" applyNumberFormat="1" applyFont="1" applyBorder="1" applyAlignment="1" applyProtection="1">
      <alignment horizontal="left" vertical="center"/>
      <protection locked="0" hidden="1"/>
    </xf>
    <xf numFmtId="180" fontId="21" fillId="0" borderId="33" xfId="5" applyNumberFormat="1" applyFont="1" applyBorder="1" applyAlignment="1" applyProtection="1">
      <alignment horizontal="left" vertical="center"/>
      <protection locked="0" hidden="1"/>
    </xf>
    <xf numFmtId="180" fontId="21" fillId="0" borderId="34" xfId="5" applyNumberFormat="1" applyFont="1" applyBorder="1" applyAlignment="1" applyProtection="1">
      <alignment horizontal="left" vertical="center"/>
      <protection locked="0" hidden="1"/>
    </xf>
    <xf numFmtId="0" fontId="19" fillId="0" borderId="59" xfId="0" applyFont="1" applyBorder="1" applyAlignment="1" applyProtection="1">
      <alignment horizontal="left" vertical="center" wrapText="1"/>
      <protection hidden="1"/>
    </xf>
  </cellXfs>
  <cellStyles count="12">
    <cellStyle name="Euro" xfId="1"/>
    <cellStyle name="Millares" xfId="2" builtinId="3"/>
    <cellStyle name="Millares_regresion_ap_esc_2003" xfId="3"/>
    <cellStyle name="Moneda" xfId="4" builtinId="4"/>
    <cellStyle name="Norm੎੎" xfId="5"/>
    <cellStyle name="Normal" xfId="0" builtinId="0"/>
    <cellStyle name="Normal 2" xfId="6"/>
    <cellStyle name="Normal 2 2" xfId="7"/>
    <cellStyle name="Normal 3" xfId="8"/>
    <cellStyle name="Normal 5" xfId="9"/>
    <cellStyle name="Normal_Comision" xfId="10"/>
    <cellStyle name="Porcentaje" xfId="11" builtinId="5"/>
  </cellStyles>
  <dxfs count="45">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font>
      <fill>
        <patternFill>
          <bgColor theme="0"/>
        </patternFill>
      </fill>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b/>
        <i val="0"/>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ill>
        <patternFill>
          <bgColor theme="0" tint="-0.499984740745262"/>
        </patternFill>
      </fill>
      <border>
        <left style="hair">
          <color auto="1"/>
        </left>
        <right style="thin">
          <color auto="1"/>
        </right>
        <top style="hair">
          <color auto="1"/>
        </top>
        <bottom style="thin">
          <color auto="1"/>
        </bottom>
        <vertical/>
        <horizontal/>
      </border>
    </dxf>
    <dxf>
      <font>
        <b val="0"/>
        <i/>
        <color theme="0"/>
      </font>
      <fill>
        <patternFill>
          <bgColor rgb="FFC00000"/>
        </patternFill>
      </fill>
      <border>
        <left style="hair">
          <color theme="0" tint="-0.499984740745262"/>
        </left>
        <right style="thin">
          <color theme="0" tint="-0.499984740745262"/>
        </right>
        <top style="hair">
          <color theme="0" tint="-0.499984740745262"/>
        </top>
        <bottom style="thin">
          <color theme="0" tint="-0.499984740745262"/>
        </bottom>
        <vertical/>
        <horizontal/>
      </border>
    </dxf>
    <dxf>
      <font>
        <color rgb="FFC00000"/>
      </font>
      <fill>
        <patternFill>
          <bgColor rgb="FFFFFF00"/>
        </patternFill>
      </fill>
      <border>
        <left style="hair">
          <color rgb="FFFF0000"/>
        </left>
        <right style="thin">
          <color rgb="FFFF0000"/>
        </right>
        <top style="hair">
          <color rgb="FFFF0000"/>
        </top>
        <bottom style="thin">
          <color rgb="FFFF0000"/>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font>
      <fill>
        <patternFill>
          <bgColor theme="0"/>
        </patternFill>
      </fill>
      <border>
        <left/>
        <right/>
        <top/>
        <bottom/>
      </border>
    </dxf>
    <dxf>
      <font>
        <color theme="0" tint="-0.14996795556505021"/>
      </font>
      <fill>
        <patternFill>
          <bgColor theme="1" tint="0.499984740745262"/>
        </patternFill>
      </fill>
      <border>
        <left style="hair">
          <color auto="1"/>
        </left>
        <right style="thin">
          <color auto="1"/>
        </right>
        <top style="hair">
          <color auto="1"/>
        </top>
        <bottom style="thin">
          <color auto="1"/>
        </bottom>
        <vertical/>
        <horizontal/>
      </border>
    </dxf>
    <dxf>
      <font>
        <color theme="9" tint="0.39994506668294322"/>
      </font>
    </dxf>
    <dxf>
      <font>
        <color theme="0"/>
      </font>
      <fill>
        <patternFill>
          <bgColor theme="0"/>
        </patternFill>
      </fill>
    </dxf>
    <dxf>
      <font>
        <b/>
        <i val="0"/>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rgb="FF9C0006"/>
      </font>
      <fill>
        <patternFill>
          <bgColor rgb="FFFFC7CE"/>
        </patternFill>
      </fill>
    </dxf>
    <dxf>
      <font>
        <b/>
        <i/>
      </font>
      <numFmt numFmtId="30" formatCode="@"/>
      <fill>
        <patternFill>
          <bgColor theme="9" tint="0.79998168889431442"/>
        </patternFill>
      </fill>
      <border>
        <left style="thin">
          <color theme="9"/>
        </left>
        <right style="thin">
          <color theme="9"/>
        </right>
        <top style="thin">
          <color theme="9"/>
        </top>
        <bottom style="thin">
          <color theme="9"/>
        </bottom>
      </border>
    </dxf>
    <dxf>
      <font>
        <condense val="0"/>
        <extend val="0"/>
        <color indexed="9"/>
      </font>
    </dxf>
    <dxf>
      <font>
        <color rgb="FF9C0006"/>
      </font>
      <fill>
        <patternFill>
          <bgColor rgb="FFFFC7CE"/>
        </patternFill>
      </fill>
    </dxf>
    <dxf>
      <font>
        <b/>
        <i/>
      </font>
      <numFmt numFmtId="30" formatCode="@"/>
      <fill>
        <patternFill>
          <bgColor theme="9" tint="0.79998168889431442"/>
        </patternFill>
      </fill>
      <border>
        <left style="thin">
          <color theme="9"/>
        </left>
        <right style="thin">
          <color theme="9"/>
        </right>
        <top style="thin">
          <color theme="9"/>
        </top>
        <bottom style="thin">
          <color theme="9"/>
        </bottom>
      </border>
    </dxf>
    <dxf>
      <font>
        <b/>
        <i val="0"/>
        <color rgb="FFFF0000"/>
      </font>
      <fill>
        <patternFill patternType="none">
          <bgColor auto="1"/>
        </patternFill>
      </fill>
    </dxf>
    <dxf>
      <font>
        <color theme="0"/>
      </font>
      <fill>
        <patternFill>
          <bgColor theme="1" tint="0.499984740745262"/>
        </patternFill>
      </fill>
      <border>
        <left style="hair">
          <color auto="1"/>
        </left>
        <right style="thin">
          <color auto="1"/>
        </right>
        <top style="hair">
          <color auto="1"/>
        </top>
        <bottom style="thin">
          <color auto="1"/>
        </bottom>
      </border>
    </dxf>
    <dxf>
      <font>
        <color rgb="FF9C0006"/>
      </font>
      <fill>
        <patternFill>
          <bgColor rgb="FFFFC7CE"/>
        </patternFill>
      </fill>
    </dxf>
    <dxf>
      <font>
        <b/>
        <i/>
      </font>
      <numFmt numFmtId="30" formatCode="@"/>
      <fill>
        <patternFill>
          <bgColor theme="9" tint="0.79998168889431442"/>
        </patternFill>
      </fill>
      <border>
        <left style="thin">
          <color theme="9"/>
        </left>
        <right style="thin">
          <color theme="9"/>
        </right>
        <top style="thin">
          <color theme="9"/>
        </top>
        <bottom style="thin">
          <color theme="9"/>
        </bottom>
      </border>
    </dxf>
    <dxf>
      <font>
        <b/>
        <i val="0"/>
        <color theme="1"/>
        <name val="Cambria"/>
        <scheme val="none"/>
      </font>
    </dxf>
    <dxf>
      <font>
        <condense val="0"/>
        <extend val="0"/>
        <color indexed="9"/>
      </font>
    </dxf>
    <dxf>
      <font>
        <b/>
        <i val="0"/>
        <condense val="0"/>
        <extend val="0"/>
        <color auto="1"/>
      </font>
    </dxf>
    <dxf>
      <font>
        <condense val="0"/>
        <extend val="0"/>
        <color indexed="9"/>
      </font>
    </dxf>
    <dxf>
      <font>
        <b/>
        <i val="0"/>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b/>
        <i/>
        <color theme="0"/>
      </font>
      <fill>
        <patternFill patternType="none">
          <bgColor auto="1"/>
        </patternFill>
      </fill>
      <border>
        <left/>
        <right/>
        <top/>
        <bottom/>
        <vertical/>
        <horizontal/>
      </border>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152401</xdr:colOff>
      <xdr:row>1</xdr:row>
      <xdr:rowOff>137886</xdr:rowOff>
    </xdr:from>
    <xdr:to>
      <xdr:col>3</xdr:col>
      <xdr:colOff>1752601</xdr:colOff>
      <xdr:row>3</xdr:row>
      <xdr:rowOff>10886</xdr:rowOff>
    </xdr:to>
    <xdr:pic>
      <xdr:nvPicPr>
        <xdr:cNvPr id="6" name="5 Imagen">
          <a:extLst>
            <a:ext uri="{FF2B5EF4-FFF2-40B4-BE49-F238E27FC236}">
              <a16:creationId xmlns:a16="http://schemas.microsoft.com/office/drawing/2014/main" id="{00000000-0008-0000-0200-00000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3453" r="6170" b="33632"/>
        <a:stretch/>
      </xdr:blipFill>
      <xdr:spPr bwMode="auto">
        <a:xfrm>
          <a:off x="329294" y="478065"/>
          <a:ext cx="5369378" cy="7438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327845</xdr:colOff>
      <xdr:row>0</xdr:row>
      <xdr:rowOff>122464</xdr:rowOff>
    </xdr:from>
    <xdr:to>
      <xdr:col>10</xdr:col>
      <xdr:colOff>108856</xdr:colOff>
      <xdr:row>1</xdr:row>
      <xdr:rowOff>408214</xdr:rowOff>
    </xdr:to>
    <xdr:sp macro="[0]!IrhojaDatos" textlink="">
      <xdr:nvSpPr>
        <xdr:cNvPr id="2" name="1 Flecha a la derecha con muesca">
          <a:extLst>
            <a:ext uri="{FF2B5EF4-FFF2-40B4-BE49-F238E27FC236}">
              <a16:creationId xmlns:a16="http://schemas.microsoft.com/office/drawing/2014/main" id="{00000000-0008-0000-0200-000002000000}"/>
            </a:ext>
          </a:extLst>
        </xdr:cNvPr>
        <xdr:cNvSpPr/>
      </xdr:nvSpPr>
      <xdr:spPr>
        <a:xfrm>
          <a:off x="13349881" y="122464"/>
          <a:ext cx="1100904" cy="625929"/>
        </a:xfrm>
        <a:custGeom>
          <a:avLst/>
          <a:gdLst>
            <a:gd name="connsiteX0" fmla="*/ 0 w 1166812"/>
            <a:gd name="connsiteY0" fmla="*/ 229195 h 916781"/>
            <a:gd name="connsiteX1" fmla="*/ 708422 w 1166812"/>
            <a:gd name="connsiteY1" fmla="*/ 229195 h 916781"/>
            <a:gd name="connsiteX2" fmla="*/ 708422 w 1166812"/>
            <a:gd name="connsiteY2" fmla="*/ 0 h 916781"/>
            <a:gd name="connsiteX3" fmla="*/ 1166812 w 1166812"/>
            <a:gd name="connsiteY3" fmla="*/ 458391 h 916781"/>
            <a:gd name="connsiteX4" fmla="*/ 708422 w 1166812"/>
            <a:gd name="connsiteY4" fmla="*/ 916781 h 916781"/>
            <a:gd name="connsiteX5" fmla="*/ 708422 w 1166812"/>
            <a:gd name="connsiteY5" fmla="*/ 687586 h 916781"/>
            <a:gd name="connsiteX6" fmla="*/ 0 w 1166812"/>
            <a:gd name="connsiteY6" fmla="*/ 687586 h 916781"/>
            <a:gd name="connsiteX7" fmla="*/ 229195 w 1166812"/>
            <a:gd name="connsiteY7" fmla="*/ 458391 h 916781"/>
            <a:gd name="connsiteX8" fmla="*/ 0 w 1166812"/>
            <a:gd name="connsiteY8" fmla="*/ 229195 h 916781"/>
            <a:gd name="connsiteX0" fmla="*/ 8930 w 1175742"/>
            <a:gd name="connsiteY0" fmla="*/ 229195 h 916781"/>
            <a:gd name="connsiteX1" fmla="*/ 717352 w 1175742"/>
            <a:gd name="connsiteY1" fmla="*/ 229195 h 916781"/>
            <a:gd name="connsiteX2" fmla="*/ 717352 w 1175742"/>
            <a:gd name="connsiteY2" fmla="*/ 0 h 916781"/>
            <a:gd name="connsiteX3" fmla="*/ 1175742 w 1175742"/>
            <a:gd name="connsiteY3" fmla="*/ 458391 h 916781"/>
            <a:gd name="connsiteX4" fmla="*/ 717352 w 1175742"/>
            <a:gd name="connsiteY4" fmla="*/ 916781 h 916781"/>
            <a:gd name="connsiteX5" fmla="*/ 717352 w 1175742"/>
            <a:gd name="connsiteY5" fmla="*/ 687586 h 916781"/>
            <a:gd name="connsiteX6" fmla="*/ 8930 w 1175742"/>
            <a:gd name="connsiteY6" fmla="*/ 687586 h 916781"/>
            <a:gd name="connsiteX7" fmla="*/ 0 w 1175742"/>
            <a:gd name="connsiteY7" fmla="*/ 458391 h 916781"/>
            <a:gd name="connsiteX8" fmla="*/ 8930 w 1175742"/>
            <a:gd name="connsiteY8" fmla="*/ 229195 h 9167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75742" h="916781">
              <a:moveTo>
                <a:pt x="8930" y="229195"/>
              </a:moveTo>
              <a:lnTo>
                <a:pt x="717352" y="229195"/>
              </a:lnTo>
              <a:lnTo>
                <a:pt x="717352" y="0"/>
              </a:lnTo>
              <a:lnTo>
                <a:pt x="1175742" y="458391"/>
              </a:lnTo>
              <a:lnTo>
                <a:pt x="717352" y="916781"/>
              </a:lnTo>
              <a:lnTo>
                <a:pt x="717352" y="687586"/>
              </a:lnTo>
              <a:lnTo>
                <a:pt x="8930" y="687586"/>
              </a:lnTo>
              <a:lnTo>
                <a:pt x="0" y="458391"/>
              </a:lnTo>
              <a:lnTo>
                <a:pt x="8930" y="229195"/>
              </a:lnTo>
              <a:close/>
            </a:path>
          </a:pathLst>
        </a:cu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i="1">
              <a:ln>
                <a:solidFill>
                  <a:schemeClr val="bg1"/>
                </a:solidFill>
              </a:ln>
              <a:solidFill>
                <a:schemeClr val="bg1"/>
              </a:solidFill>
            </a:rPr>
            <a:t>Ir</a:t>
          </a:r>
          <a:r>
            <a:rPr lang="es-MX" sz="1100" i="1" baseline="0">
              <a:ln>
                <a:solidFill>
                  <a:schemeClr val="bg1"/>
                </a:solidFill>
              </a:ln>
              <a:solidFill>
                <a:schemeClr val="bg1"/>
              </a:solidFill>
            </a:rPr>
            <a:t>  a Datos</a:t>
          </a:r>
          <a:endParaRPr lang="es-MX" sz="1100" i="1">
            <a:ln>
              <a:solidFill>
                <a:schemeClr val="bg1"/>
              </a:solidFill>
            </a:ln>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326252</xdr:colOff>
      <xdr:row>0</xdr:row>
      <xdr:rowOff>154784</xdr:rowOff>
    </xdr:from>
    <xdr:to>
      <xdr:col>4</xdr:col>
      <xdr:colOff>15546</xdr:colOff>
      <xdr:row>2</xdr:row>
      <xdr:rowOff>148548</xdr:rowOff>
    </xdr:to>
    <xdr:pic>
      <xdr:nvPicPr>
        <xdr:cNvPr id="6" name="5 Imagen">
          <a:extLst>
            <a:ext uri="{FF2B5EF4-FFF2-40B4-BE49-F238E27FC236}">
              <a16:creationId xmlns:a16="http://schemas.microsoft.com/office/drawing/2014/main" id="{00000000-0008-0000-0300-00000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3453" r="6170" b="33632"/>
        <a:stretch/>
      </xdr:blipFill>
      <xdr:spPr bwMode="auto">
        <a:xfrm>
          <a:off x="504846" y="154784"/>
          <a:ext cx="4424013" cy="6128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1326884</xdr:colOff>
      <xdr:row>38</xdr:row>
      <xdr:rowOff>101070</xdr:rowOff>
    </xdr:from>
    <xdr:to>
      <xdr:col>8</xdr:col>
      <xdr:colOff>1195914</xdr:colOff>
      <xdr:row>39</xdr:row>
      <xdr:rowOff>34394</xdr:rowOff>
    </xdr:to>
    <xdr:sp macro="[0]!IrPresentacion" textlink="">
      <xdr:nvSpPr>
        <xdr:cNvPr id="8" name="7 Flecha izquierda">
          <a:extLst>
            <a:ext uri="{FF2B5EF4-FFF2-40B4-BE49-F238E27FC236}">
              <a16:creationId xmlns:a16="http://schemas.microsoft.com/office/drawing/2014/main" id="{00000000-0008-0000-0300-000008000000}"/>
            </a:ext>
          </a:extLst>
        </xdr:cNvPr>
        <xdr:cNvSpPr/>
      </xdr:nvSpPr>
      <xdr:spPr>
        <a:xfrm flipH="1">
          <a:off x="10439134" y="8969903"/>
          <a:ext cx="1361280" cy="271991"/>
        </a:xfrm>
        <a:prstGeom prst="lef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i="1"/>
            <a:t>Ir a Cotización</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ervicios.segurosbanorte.com/Documents%20and%20Settings/A2100678/Configuraci&#243;n%20local/Archivos%20temporales%20de%20Internet/Content.Outlook/X7XYPXT9/Cotizador%20Vida%20Grupo%20ACTUAL%202.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ervicios.segurosbanorte.com/Luis%20Flores/COTIZACIONES/AP/2011/Panamericanos/COT%20AP%20aficionado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entes"/>
      <sheetName val="CNSF"/>
      <sheetName val="Px"/>
      <sheetName val="Parámetros"/>
      <sheetName val="Grupos"/>
      <sheetName val="Censo"/>
      <sheetName val="Datos"/>
      <sheetName val="Presentación"/>
    </sheetNames>
    <sheetDataSet>
      <sheetData sheetId="0"/>
      <sheetData sheetId="1"/>
      <sheetData sheetId="2"/>
      <sheetData sheetId="3">
        <row r="6">
          <cell r="D6">
            <v>3</v>
          </cell>
        </row>
      </sheetData>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ESGOS"/>
      <sheetName val="Hoja1"/>
      <sheetName val="Primas de Riesgo"/>
      <sheetName val="Cálculo"/>
      <sheetName val="Presentación"/>
    </sheetNames>
    <sheetDataSet>
      <sheetData sheetId="0"/>
      <sheetData sheetId="1"/>
      <sheetData sheetId="2">
        <row r="8">
          <cell r="B8" t="str">
            <v>CV</v>
          </cell>
          <cell r="C8" t="str">
            <v>N</v>
          </cell>
          <cell r="D8" t="str">
            <v>MA</v>
          </cell>
          <cell r="E8" t="str">
            <v>POA</v>
          </cell>
          <cell r="F8" t="str">
            <v>POB</v>
          </cell>
          <cell r="G8" t="str">
            <v>MAPOA</v>
          </cell>
          <cell r="H8" t="str">
            <v>MAPOB</v>
          </cell>
          <cell r="I8" t="str">
            <v>AT</v>
          </cell>
          <cell r="J8" t="str">
            <v>AC</v>
          </cell>
          <cell r="K8" t="str">
            <v>DIPACA</v>
          </cell>
          <cell r="L8" t="str">
            <v>DIPACB</v>
          </cell>
          <cell r="M8" t="str">
            <v>IDH</v>
          </cell>
          <cell r="N8" t="str">
            <v>RGM</v>
          </cell>
        </row>
        <row r="9">
          <cell r="B9" t="str">
            <v>A</v>
          </cell>
          <cell r="C9">
            <v>1</v>
          </cell>
          <cell r="D9">
            <v>0.68</v>
          </cell>
          <cell r="E9">
            <v>0.27</v>
          </cell>
          <cell r="F9">
            <v>0.41</v>
          </cell>
          <cell r="G9">
            <v>0.85</v>
          </cell>
          <cell r="H9">
            <v>1.17</v>
          </cell>
          <cell r="I9">
            <v>0.27200000000000002</v>
          </cell>
          <cell r="J9">
            <v>0.08</v>
          </cell>
          <cell r="K9">
            <v>0.95</v>
          </cell>
          <cell r="L9">
            <v>1.38</v>
          </cell>
          <cell r="M9">
            <v>0.11</v>
          </cell>
          <cell r="N9">
            <v>4.9733000000000001</v>
          </cell>
          <cell r="P9" t="str">
            <v>INDIVIDUAL</v>
          </cell>
          <cell r="Q9">
            <v>2</v>
          </cell>
          <cell r="R9">
            <v>0</v>
          </cell>
          <cell r="S9">
            <v>30031</v>
          </cell>
          <cell r="T9" t="str">
            <v>A</v>
          </cell>
          <cell r="U9">
            <v>50.57</v>
          </cell>
          <cell r="V9">
            <v>1537.33</v>
          </cell>
        </row>
        <row r="10">
          <cell r="B10" t="str">
            <v>B</v>
          </cell>
          <cell r="C10">
            <v>2</v>
          </cell>
          <cell r="D10">
            <v>0.68</v>
          </cell>
          <cell r="E10">
            <v>0.27</v>
          </cell>
          <cell r="F10">
            <v>0.41</v>
          </cell>
          <cell r="G10">
            <v>0.85</v>
          </cell>
          <cell r="H10">
            <v>1.17</v>
          </cell>
          <cell r="I10">
            <v>0.32490000000000002</v>
          </cell>
          <cell r="J10">
            <v>0.08</v>
          </cell>
          <cell r="K10">
            <v>0.95</v>
          </cell>
          <cell r="L10">
            <v>1.38</v>
          </cell>
          <cell r="M10">
            <v>0.11</v>
          </cell>
          <cell r="N10">
            <v>6.1764000000000001</v>
          </cell>
          <cell r="P10" t="str">
            <v>INDIVIDUAL CORTO PLAZO</v>
          </cell>
          <cell r="Q10">
            <v>2</v>
          </cell>
          <cell r="R10">
            <v>1</v>
          </cell>
          <cell r="S10">
            <v>30030</v>
          </cell>
          <cell r="T10" t="str">
            <v>B</v>
          </cell>
          <cell r="U10">
            <v>49</v>
          </cell>
          <cell r="V10">
            <v>1489.6</v>
          </cell>
        </row>
        <row r="11">
          <cell r="B11" t="str">
            <v>C</v>
          </cell>
          <cell r="C11">
            <v>3</v>
          </cell>
          <cell r="D11">
            <v>1.1399999999999999</v>
          </cell>
          <cell r="E11">
            <v>0.46</v>
          </cell>
          <cell r="F11">
            <v>0.69</v>
          </cell>
          <cell r="G11">
            <v>1.43</v>
          </cell>
          <cell r="H11">
            <v>1.96</v>
          </cell>
          <cell r="I11">
            <v>0.3881</v>
          </cell>
          <cell r="J11">
            <v>0.14000000000000001</v>
          </cell>
          <cell r="K11">
            <v>1.6</v>
          </cell>
          <cell r="L11">
            <v>2.31</v>
          </cell>
          <cell r="M11">
            <v>0.11</v>
          </cell>
          <cell r="N11">
            <v>7.6695000000000002</v>
          </cell>
          <cell r="P11" t="str">
            <v>COLECTIVO</v>
          </cell>
          <cell r="Q11">
            <v>1</v>
          </cell>
          <cell r="R11">
            <v>0</v>
          </cell>
          <cell r="S11">
            <v>30049</v>
          </cell>
          <cell r="T11" t="str">
            <v>C</v>
          </cell>
          <cell r="U11">
            <v>47.6</v>
          </cell>
          <cell r="V11">
            <v>1447.04</v>
          </cell>
        </row>
        <row r="12">
          <cell r="B12" t="str">
            <v>D</v>
          </cell>
          <cell r="C12">
            <v>4</v>
          </cell>
          <cell r="D12">
            <v>1.61</v>
          </cell>
          <cell r="E12">
            <v>0.64</v>
          </cell>
          <cell r="F12">
            <v>0.96</v>
          </cell>
          <cell r="G12">
            <v>2.0099999999999998</v>
          </cell>
          <cell r="H12">
            <v>2.77</v>
          </cell>
          <cell r="I12">
            <v>0.46360000000000001</v>
          </cell>
          <cell r="J12">
            <v>0.19</v>
          </cell>
          <cell r="K12">
            <v>2.25</v>
          </cell>
          <cell r="L12">
            <v>3.27</v>
          </cell>
          <cell r="M12">
            <v>0.11</v>
          </cell>
          <cell r="N12">
            <v>9.5246999999999993</v>
          </cell>
          <cell r="P12" t="str">
            <v>COLECTIVO CORTO PLAZO</v>
          </cell>
          <cell r="Q12">
            <v>1</v>
          </cell>
          <cell r="R12">
            <v>1</v>
          </cell>
          <cell r="S12">
            <v>30048</v>
          </cell>
        </row>
        <row r="13">
          <cell r="B13" t="str">
            <v>E</v>
          </cell>
          <cell r="C13">
            <v>5</v>
          </cell>
          <cell r="D13">
            <v>2.08</v>
          </cell>
          <cell r="E13">
            <v>0.83</v>
          </cell>
          <cell r="F13">
            <v>1.25</v>
          </cell>
          <cell r="G13">
            <v>2.6</v>
          </cell>
          <cell r="H13">
            <v>3.58</v>
          </cell>
          <cell r="I13">
            <v>0.55379999999999996</v>
          </cell>
          <cell r="J13">
            <v>0.25</v>
          </cell>
          <cell r="K13">
            <v>2.91</v>
          </cell>
          <cell r="L13">
            <v>4.22</v>
          </cell>
          <cell r="M13">
            <v>0.11</v>
          </cell>
          <cell r="N13">
            <v>11.827500000000001</v>
          </cell>
          <cell r="P13" t="str">
            <v>ESCOLAR</v>
          </cell>
          <cell r="Q13">
            <v>1</v>
          </cell>
          <cell r="R13">
            <v>0</v>
          </cell>
          <cell r="S13">
            <v>30051</v>
          </cell>
        </row>
        <row r="14">
          <cell r="B14" t="str">
            <v>F</v>
          </cell>
          <cell r="C14">
            <v>6</v>
          </cell>
          <cell r="D14">
            <v>2.5499999999999998</v>
          </cell>
          <cell r="E14">
            <v>1.02</v>
          </cell>
          <cell r="F14">
            <v>1.53</v>
          </cell>
          <cell r="G14">
            <v>3.19</v>
          </cell>
          <cell r="H14">
            <v>4.38</v>
          </cell>
          <cell r="I14">
            <v>0.66149999999999998</v>
          </cell>
          <cell r="J14">
            <v>0.31</v>
          </cell>
          <cell r="K14">
            <v>3.57</v>
          </cell>
          <cell r="L14">
            <v>5.17</v>
          </cell>
          <cell r="M14">
            <v>0.11</v>
          </cell>
          <cell r="N14">
            <v>14.688000000000001</v>
          </cell>
        </row>
        <row r="15">
          <cell r="B15" t="str">
            <v>G</v>
          </cell>
          <cell r="C15">
            <v>7</v>
          </cell>
          <cell r="D15">
            <v>3.02</v>
          </cell>
          <cell r="E15">
            <v>1.21</v>
          </cell>
          <cell r="F15">
            <v>1.82</v>
          </cell>
          <cell r="G15">
            <v>3.78</v>
          </cell>
          <cell r="H15">
            <v>5.19</v>
          </cell>
          <cell r="I15">
            <v>0.7903</v>
          </cell>
          <cell r="J15">
            <v>0.36</v>
          </cell>
          <cell r="K15">
            <v>4.2300000000000004</v>
          </cell>
          <cell r="L15">
            <v>6.12</v>
          </cell>
          <cell r="M15">
            <v>0.11</v>
          </cell>
          <cell r="N15">
            <v>18.239699999999999</v>
          </cell>
        </row>
        <row r="16">
          <cell r="B16" t="str">
            <v>H</v>
          </cell>
          <cell r="C16">
            <v>8</v>
          </cell>
          <cell r="D16">
            <v>3.49</v>
          </cell>
          <cell r="E16">
            <v>1.4</v>
          </cell>
          <cell r="F16">
            <v>2.1</v>
          </cell>
          <cell r="G16">
            <v>4.3600000000000003</v>
          </cell>
          <cell r="H16">
            <v>6</v>
          </cell>
          <cell r="I16">
            <v>0.94399999999999995</v>
          </cell>
          <cell r="J16">
            <v>0.42</v>
          </cell>
          <cell r="K16">
            <v>4.8899999999999997</v>
          </cell>
          <cell r="L16">
            <v>7.08</v>
          </cell>
          <cell r="M16">
            <v>0.11</v>
          </cell>
          <cell r="N16">
            <v>22.650300000000001</v>
          </cell>
        </row>
        <row r="17">
          <cell r="B17" t="str">
            <v>I</v>
          </cell>
          <cell r="C17">
            <v>9</v>
          </cell>
          <cell r="D17">
            <v>3.96</v>
          </cell>
          <cell r="E17">
            <v>1.58</v>
          </cell>
          <cell r="F17">
            <v>2.37</v>
          </cell>
          <cell r="G17">
            <v>4.95</v>
          </cell>
          <cell r="H17">
            <v>6.81</v>
          </cell>
          <cell r="I17">
            <v>1.1276999999999999</v>
          </cell>
          <cell r="J17">
            <v>0.48</v>
          </cell>
          <cell r="K17">
            <v>5.54</v>
          </cell>
          <cell r="L17">
            <v>8.0299999999999994</v>
          </cell>
          <cell r="M17">
            <v>0.11</v>
          </cell>
          <cell r="N17">
            <v>26.1282</v>
          </cell>
        </row>
        <row r="18">
          <cell r="B18" t="str">
            <v>J</v>
          </cell>
          <cell r="C18">
            <v>10</v>
          </cell>
          <cell r="D18">
            <v>4.43</v>
          </cell>
          <cell r="E18">
            <v>1.77</v>
          </cell>
          <cell r="F18">
            <v>2.66</v>
          </cell>
          <cell r="G18">
            <v>5.54</v>
          </cell>
          <cell r="H18">
            <v>7.61</v>
          </cell>
          <cell r="I18">
            <v>1.3471</v>
          </cell>
          <cell r="J18">
            <v>0.53</v>
          </cell>
          <cell r="K18">
            <v>6.2</v>
          </cell>
          <cell r="L18">
            <v>8.98</v>
          </cell>
          <cell r="M18">
            <v>0.11</v>
          </cell>
          <cell r="N18">
            <v>34.878999999999998</v>
          </cell>
        </row>
        <row r="21">
          <cell r="B21" t="str">
            <v>CV</v>
          </cell>
          <cell r="C21" t="str">
            <v>N</v>
          </cell>
          <cell r="D21" t="str">
            <v>MA</v>
          </cell>
          <cell r="E21" t="str">
            <v>POA</v>
          </cell>
          <cell r="F21" t="str">
            <v>POB</v>
          </cell>
          <cell r="G21" t="str">
            <v>MAPOA</v>
          </cell>
          <cell r="H21" t="str">
            <v>MAPOB</v>
          </cell>
          <cell r="I21" t="str">
            <v>AT</v>
          </cell>
          <cell r="J21" t="str">
            <v>AC</v>
          </cell>
          <cell r="K21" t="str">
            <v>DIPACA</v>
          </cell>
          <cell r="L21" t="str">
            <v>DIPACB</v>
          </cell>
          <cell r="M21" t="str">
            <v>IDH</v>
          </cell>
          <cell r="N21" t="str">
            <v>RGM</v>
          </cell>
        </row>
        <row r="22">
          <cell r="B22" t="str">
            <v>A</v>
          </cell>
          <cell r="C22">
            <v>1</v>
          </cell>
          <cell r="D22">
            <v>0.7167</v>
          </cell>
          <cell r="E22">
            <v>0.28670000000000001</v>
          </cell>
          <cell r="F22">
            <v>0.43</v>
          </cell>
          <cell r="G22">
            <v>0.89590000000000003</v>
          </cell>
          <cell r="H22">
            <v>0.98550000000000004</v>
          </cell>
          <cell r="I22">
            <v>0.30220000000000002</v>
          </cell>
          <cell r="J22">
            <v>8.5999999999999993E-2</v>
          </cell>
          <cell r="K22">
            <v>1.0034000000000001</v>
          </cell>
          <cell r="L22">
            <v>1.1629</v>
          </cell>
          <cell r="M22">
            <v>0.57999999999999996</v>
          </cell>
          <cell r="N22">
            <v>5.5259</v>
          </cell>
        </row>
        <row r="23">
          <cell r="B23" t="str">
            <v>B</v>
          </cell>
          <cell r="C23">
            <v>2</v>
          </cell>
          <cell r="D23">
            <v>0.89</v>
          </cell>
          <cell r="E23">
            <v>0.35599999999999998</v>
          </cell>
          <cell r="F23">
            <v>0.53400000000000003</v>
          </cell>
          <cell r="G23">
            <v>1.1125</v>
          </cell>
          <cell r="H23">
            <v>1.2238</v>
          </cell>
          <cell r="I23">
            <v>0.36099999999999999</v>
          </cell>
          <cell r="J23">
            <v>0.10680000000000001</v>
          </cell>
          <cell r="K23">
            <v>1.246</v>
          </cell>
          <cell r="L23">
            <v>1.4440999999999999</v>
          </cell>
          <cell r="M23">
            <v>0.57999999999999996</v>
          </cell>
          <cell r="N23">
            <v>6.8627000000000002</v>
          </cell>
        </row>
        <row r="24">
          <cell r="B24" t="str">
            <v>C</v>
          </cell>
          <cell r="C24">
            <v>3</v>
          </cell>
          <cell r="D24">
            <v>1.1052999999999999</v>
          </cell>
          <cell r="E24">
            <v>0.44209999999999999</v>
          </cell>
          <cell r="F24">
            <v>0.66320000000000001</v>
          </cell>
          <cell r="G24">
            <v>1.3817999999999999</v>
          </cell>
          <cell r="H24">
            <v>1.5197000000000001</v>
          </cell>
          <cell r="I24">
            <v>0.43120000000000003</v>
          </cell>
          <cell r="J24">
            <v>0.1326</v>
          </cell>
          <cell r="K24">
            <v>1.5474000000000001</v>
          </cell>
          <cell r="L24">
            <v>1.7932999999999999</v>
          </cell>
          <cell r="M24">
            <v>0.57999999999999996</v>
          </cell>
          <cell r="N24">
            <v>8.5216999999999992</v>
          </cell>
        </row>
        <row r="25">
          <cell r="B25" t="str">
            <v>D</v>
          </cell>
          <cell r="C25">
            <v>4</v>
          </cell>
          <cell r="D25">
            <v>1.3725000000000001</v>
          </cell>
          <cell r="E25">
            <v>0.54900000000000004</v>
          </cell>
          <cell r="F25">
            <v>0.82350000000000001</v>
          </cell>
          <cell r="G25">
            <v>1.7157</v>
          </cell>
          <cell r="H25">
            <v>1.8872</v>
          </cell>
          <cell r="I25">
            <v>0.5151</v>
          </cell>
          <cell r="J25">
            <v>0.16470000000000001</v>
          </cell>
          <cell r="K25">
            <v>1.9216</v>
          </cell>
          <cell r="L25">
            <v>2.2269999999999999</v>
          </cell>
          <cell r="M25">
            <v>0.57999999999999996</v>
          </cell>
          <cell r="N25">
            <v>10.583</v>
          </cell>
        </row>
        <row r="26">
          <cell r="B26" t="str">
            <v>E</v>
          </cell>
          <cell r="C26">
            <v>5</v>
          </cell>
          <cell r="D26">
            <v>1.7044999999999999</v>
          </cell>
          <cell r="E26">
            <v>0.68179999999999996</v>
          </cell>
          <cell r="F26">
            <v>1.0226999999999999</v>
          </cell>
          <cell r="G26">
            <v>2.1305999999999998</v>
          </cell>
          <cell r="H26">
            <v>2.3435999999999999</v>
          </cell>
          <cell r="I26">
            <v>0.61529999999999996</v>
          </cell>
          <cell r="J26">
            <v>0.20449999999999999</v>
          </cell>
          <cell r="K26">
            <v>2.3862000000000001</v>
          </cell>
          <cell r="L26">
            <v>2.7654999999999998</v>
          </cell>
          <cell r="M26">
            <v>0.57999999999999996</v>
          </cell>
          <cell r="N26">
            <v>13.1417</v>
          </cell>
        </row>
        <row r="27">
          <cell r="B27" t="str">
            <v>F</v>
          </cell>
          <cell r="C27">
            <v>6</v>
          </cell>
          <cell r="D27">
            <v>2.1166</v>
          </cell>
          <cell r="E27">
            <v>0.84670000000000001</v>
          </cell>
          <cell r="F27">
            <v>1.27</v>
          </cell>
          <cell r="G27">
            <v>2.6457999999999999</v>
          </cell>
          <cell r="H27">
            <v>2.9104000000000001</v>
          </cell>
          <cell r="I27">
            <v>0.73499999999999999</v>
          </cell>
          <cell r="J27">
            <v>0.254</v>
          </cell>
          <cell r="K27">
            <v>2.9632999999999998</v>
          </cell>
          <cell r="L27">
            <v>3.4342000000000001</v>
          </cell>
          <cell r="M27">
            <v>0.57999999999999996</v>
          </cell>
          <cell r="N27">
            <v>16.32</v>
          </cell>
        </row>
        <row r="28">
          <cell r="B28" t="str">
            <v>G</v>
          </cell>
          <cell r="C28">
            <v>7</v>
          </cell>
          <cell r="D28">
            <v>2.6284999999999998</v>
          </cell>
          <cell r="E28">
            <v>1.0513999999999999</v>
          </cell>
          <cell r="F28">
            <v>1.5770999999999999</v>
          </cell>
          <cell r="G28">
            <v>3.2856000000000001</v>
          </cell>
          <cell r="H28">
            <v>3.6141999999999999</v>
          </cell>
          <cell r="I28">
            <v>0.87809999999999999</v>
          </cell>
          <cell r="J28">
            <v>0.315</v>
          </cell>
          <cell r="K28">
            <v>3.6798999999999999</v>
          </cell>
          <cell r="L28">
            <v>4.2647000000000004</v>
          </cell>
          <cell r="M28">
            <v>0.57999999999999996</v>
          </cell>
          <cell r="N28">
            <v>20.266400000000001</v>
          </cell>
        </row>
        <row r="29">
          <cell r="B29" t="str">
            <v>H</v>
          </cell>
          <cell r="C29">
            <v>8</v>
          </cell>
          <cell r="D29">
            <v>3.2641</v>
          </cell>
          <cell r="E29">
            <v>1.3058000000000001</v>
          </cell>
          <cell r="F29">
            <v>1.9584999999999999</v>
          </cell>
          <cell r="G29">
            <v>4.0800999999999998</v>
          </cell>
          <cell r="H29">
            <v>4.4882</v>
          </cell>
          <cell r="I29">
            <v>1.0488999999999999</v>
          </cell>
          <cell r="J29">
            <v>0.39169999999999999</v>
          </cell>
          <cell r="K29">
            <v>4.5697999999999999</v>
          </cell>
          <cell r="L29">
            <v>5.2960000000000003</v>
          </cell>
          <cell r="M29">
            <v>0.57999999999999996</v>
          </cell>
          <cell r="N29">
            <v>25.167000000000002</v>
          </cell>
        </row>
        <row r="30">
          <cell r="B30" t="str">
            <v>I</v>
          </cell>
          <cell r="C30">
            <v>9</v>
          </cell>
          <cell r="D30">
            <v>4.0533400000000004</v>
          </cell>
          <cell r="E30">
            <v>1.6214</v>
          </cell>
          <cell r="F30">
            <v>2.4321000000000002</v>
          </cell>
          <cell r="G30">
            <v>5.0667999999999997</v>
          </cell>
          <cell r="H30">
            <v>5.5735000000000001</v>
          </cell>
          <cell r="I30">
            <v>1.2529999999999999</v>
          </cell>
          <cell r="J30">
            <v>0.4864</v>
          </cell>
          <cell r="K30">
            <v>5.6748000000000003</v>
          </cell>
          <cell r="L30">
            <v>6.5766999999999998</v>
          </cell>
          <cell r="M30">
            <v>0.57999999999999996</v>
          </cell>
          <cell r="N30">
            <v>31.253599999999999</v>
          </cell>
        </row>
        <row r="31">
          <cell r="B31" t="str">
            <v>J</v>
          </cell>
          <cell r="C31">
            <v>10</v>
          </cell>
          <cell r="D31">
            <v>5.0336999999999996</v>
          </cell>
          <cell r="E31">
            <v>2.0135000000000001</v>
          </cell>
          <cell r="F31">
            <v>3.0202</v>
          </cell>
          <cell r="G31">
            <v>6.2920999999999996</v>
          </cell>
          <cell r="H31">
            <v>6.9212999999999996</v>
          </cell>
          <cell r="I31">
            <v>1.4967999999999999</v>
          </cell>
          <cell r="J31">
            <v>0.60399999999999998</v>
          </cell>
          <cell r="K31">
            <v>7.0471000000000004</v>
          </cell>
          <cell r="L31">
            <v>8.1670999999999996</v>
          </cell>
          <cell r="M31">
            <v>0.57999999999999996</v>
          </cell>
          <cell r="N31">
            <v>38.754399999999997</v>
          </cell>
        </row>
        <row r="79">
          <cell r="D79">
            <v>3</v>
          </cell>
          <cell r="E79">
            <v>0.05</v>
          </cell>
        </row>
        <row r="80">
          <cell r="D80">
            <v>4</v>
          </cell>
          <cell r="E80">
            <v>0.06</v>
          </cell>
        </row>
        <row r="81">
          <cell r="D81">
            <v>5</v>
          </cell>
          <cell r="E81">
            <v>7.0000000000000007E-2</v>
          </cell>
        </row>
        <row r="82">
          <cell r="D82">
            <v>6</v>
          </cell>
          <cell r="E82">
            <v>0.08</v>
          </cell>
        </row>
        <row r="83">
          <cell r="D83">
            <v>7</v>
          </cell>
          <cell r="E83">
            <v>0.09</v>
          </cell>
        </row>
        <row r="84">
          <cell r="D84">
            <v>8</v>
          </cell>
          <cell r="E84">
            <v>0.1</v>
          </cell>
        </row>
        <row r="85">
          <cell r="D85">
            <v>9</v>
          </cell>
          <cell r="E85">
            <v>0.11</v>
          </cell>
        </row>
        <row r="86">
          <cell r="D86">
            <v>10</v>
          </cell>
          <cell r="E86">
            <v>0.12</v>
          </cell>
        </row>
        <row r="87">
          <cell r="D87">
            <v>11</v>
          </cell>
          <cell r="E87">
            <v>0.13</v>
          </cell>
        </row>
        <row r="88">
          <cell r="D88">
            <v>12</v>
          </cell>
          <cell r="E88">
            <v>0.13</v>
          </cell>
        </row>
        <row r="89">
          <cell r="D89">
            <v>13</v>
          </cell>
          <cell r="E89">
            <v>0.14000000000000001</v>
          </cell>
        </row>
        <row r="90">
          <cell r="D90">
            <v>14</v>
          </cell>
          <cell r="E90">
            <v>0.14000000000000001</v>
          </cell>
        </row>
        <row r="91">
          <cell r="D91">
            <v>15</v>
          </cell>
          <cell r="E91">
            <v>0.15</v>
          </cell>
        </row>
        <row r="92">
          <cell r="D92">
            <v>16</v>
          </cell>
          <cell r="E92">
            <v>0.15</v>
          </cell>
        </row>
        <row r="93">
          <cell r="D93">
            <v>17</v>
          </cell>
          <cell r="E93">
            <v>0.16</v>
          </cell>
        </row>
        <row r="94">
          <cell r="D94">
            <v>18</v>
          </cell>
          <cell r="E94">
            <v>0.16</v>
          </cell>
        </row>
        <row r="95">
          <cell r="D95">
            <v>19</v>
          </cell>
          <cell r="E95">
            <v>0.17</v>
          </cell>
        </row>
        <row r="96">
          <cell r="D96">
            <v>20</v>
          </cell>
          <cell r="E96">
            <v>0.17</v>
          </cell>
        </row>
        <row r="97">
          <cell r="D97">
            <v>21</v>
          </cell>
          <cell r="E97">
            <v>0.18</v>
          </cell>
        </row>
        <row r="98">
          <cell r="D98">
            <v>22</v>
          </cell>
          <cell r="E98">
            <v>0.18</v>
          </cell>
        </row>
        <row r="99">
          <cell r="D99">
            <v>23</v>
          </cell>
          <cell r="E99">
            <v>0.18</v>
          </cell>
        </row>
        <row r="100">
          <cell r="D100">
            <v>24</v>
          </cell>
          <cell r="E100">
            <v>0.18</v>
          </cell>
        </row>
        <row r="101">
          <cell r="D101">
            <v>25</v>
          </cell>
          <cell r="E101">
            <v>0.19</v>
          </cell>
        </row>
        <row r="102">
          <cell r="D102">
            <v>26</v>
          </cell>
          <cell r="E102">
            <v>0.19</v>
          </cell>
        </row>
        <row r="103">
          <cell r="D103">
            <v>27</v>
          </cell>
          <cell r="E103">
            <v>0.19</v>
          </cell>
        </row>
        <row r="104">
          <cell r="D104">
            <v>28</v>
          </cell>
          <cell r="E104">
            <v>0.19</v>
          </cell>
        </row>
        <row r="105">
          <cell r="D105">
            <v>29</v>
          </cell>
          <cell r="E105">
            <v>0.2</v>
          </cell>
        </row>
        <row r="106">
          <cell r="D106">
            <v>30</v>
          </cell>
          <cell r="E106">
            <v>0.2</v>
          </cell>
        </row>
        <row r="107">
          <cell r="D107">
            <v>31</v>
          </cell>
          <cell r="E107">
            <v>0.24</v>
          </cell>
        </row>
        <row r="108">
          <cell r="D108">
            <v>32</v>
          </cell>
          <cell r="E108">
            <v>0.24</v>
          </cell>
        </row>
        <row r="109">
          <cell r="D109">
            <v>33</v>
          </cell>
          <cell r="E109">
            <v>0.24</v>
          </cell>
        </row>
        <row r="110">
          <cell r="D110">
            <v>34</v>
          </cell>
          <cell r="E110">
            <v>0.24</v>
          </cell>
        </row>
        <row r="111">
          <cell r="D111">
            <v>35</v>
          </cell>
          <cell r="E111">
            <v>0.24</v>
          </cell>
        </row>
        <row r="112">
          <cell r="D112">
            <v>36</v>
          </cell>
          <cell r="E112">
            <v>0.24</v>
          </cell>
        </row>
        <row r="113">
          <cell r="D113">
            <v>37</v>
          </cell>
          <cell r="E113">
            <v>0.24</v>
          </cell>
        </row>
        <row r="114">
          <cell r="D114">
            <v>38</v>
          </cell>
          <cell r="E114">
            <v>0.24</v>
          </cell>
        </row>
        <row r="115">
          <cell r="D115">
            <v>39</v>
          </cell>
          <cell r="E115">
            <v>0.24</v>
          </cell>
        </row>
        <row r="116">
          <cell r="D116">
            <v>40</v>
          </cell>
          <cell r="E116">
            <v>0.24</v>
          </cell>
        </row>
        <row r="117">
          <cell r="D117">
            <v>41</v>
          </cell>
          <cell r="E117">
            <v>0.27</v>
          </cell>
        </row>
        <row r="118">
          <cell r="D118">
            <v>42</v>
          </cell>
          <cell r="E118">
            <v>0.27</v>
          </cell>
        </row>
        <row r="119">
          <cell r="D119">
            <v>43</v>
          </cell>
          <cell r="E119">
            <v>0.27</v>
          </cell>
        </row>
        <row r="120">
          <cell r="D120">
            <v>44</v>
          </cell>
          <cell r="E120">
            <v>0.27</v>
          </cell>
        </row>
        <row r="121">
          <cell r="D121">
            <v>45</v>
          </cell>
          <cell r="E121">
            <v>0.27</v>
          </cell>
        </row>
        <row r="122">
          <cell r="D122">
            <v>46</v>
          </cell>
          <cell r="E122">
            <v>0.27</v>
          </cell>
        </row>
        <row r="123">
          <cell r="D123">
            <v>47</v>
          </cell>
          <cell r="E123">
            <v>0.27</v>
          </cell>
        </row>
        <row r="124">
          <cell r="D124">
            <v>48</v>
          </cell>
          <cell r="E124">
            <v>0.27</v>
          </cell>
        </row>
        <row r="125">
          <cell r="D125">
            <v>49</v>
          </cell>
          <cell r="E125">
            <v>0.27</v>
          </cell>
        </row>
        <row r="126">
          <cell r="D126">
            <v>50</v>
          </cell>
          <cell r="E126">
            <v>0.27</v>
          </cell>
        </row>
        <row r="127">
          <cell r="D127">
            <v>51</v>
          </cell>
          <cell r="E127">
            <v>0.3</v>
          </cell>
        </row>
        <row r="128">
          <cell r="D128">
            <v>52</v>
          </cell>
          <cell r="E128">
            <v>0.3</v>
          </cell>
        </row>
        <row r="129">
          <cell r="D129">
            <v>53</v>
          </cell>
          <cell r="E129">
            <v>0.3</v>
          </cell>
        </row>
        <row r="130">
          <cell r="D130">
            <v>54</v>
          </cell>
          <cell r="E130">
            <v>0.3</v>
          </cell>
        </row>
        <row r="131">
          <cell r="D131">
            <v>55</v>
          </cell>
          <cell r="E131">
            <v>0.3</v>
          </cell>
        </row>
        <row r="132">
          <cell r="D132">
            <v>56</v>
          </cell>
          <cell r="E132">
            <v>0.3</v>
          </cell>
        </row>
        <row r="133">
          <cell r="D133">
            <v>57</v>
          </cell>
          <cell r="E133">
            <v>0.3</v>
          </cell>
        </row>
        <row r="134">
          <cell r="D134">
            <v>58</v>
          </cell>
          <cell r="E134">
            <v>0.3</v>
          </cell>
        </row>
        <row r="135">
          <cell r="D135">
            <v>59</v>
          </cell>
          <cell r="E135">
            <v>0.3</v>
          </cell>
        </row>
        <row r="136">
          <cell r="D136">
            <v>60</v>
          </cell>
          <cell r="E136">
            <v>0.3</v>
          </cell>
        </row>
        <row r="137">
          <cell r="D137">
            <v>61</v>
          </cell>
          <cell r="E137">
            <v>0.34</v>
          </cell>
        </row>
        <row r="138">
          <cell r="D138">
            <v>62</v>
          </cell>
          <cell r="E138">
            <v>0.34</v>
          </cell>
        </row>
        <row r="139">
          <cell r="D139">
            <v>63</v>
          </cell>
          <cell r="E139">
            <v>0.34</v>
          </cell>
        </row>
        <row r="140">
          <cell r="D140">
            <v>64</v>
          </cell>
          <cell r="E140">
            <v>0.34</v>
          </cell>
        </row>
        <row r="141">
          <cell r="D141">
            <v>65</v>
          </cell>
          <cell r="E141">
            <v>0.34</v>
          </cell>
        </row>
        <row r="142">
          <cell r="D142">
            <v>66</v>
          </cell>
          <cell r="E142">
            <v>0.34</v>
          </cell>
        </row>
        <row r="143">
          <cell r="D143">
            <v>67</v>
          </cell>
          <cell r="E143">
            <v>0.34</v>
          </cell>
        </row>
        <row r="144">
          <cell r="D144">
            <v>68</v>
          </cell>
          <cell r="E144">
            <v>0.34</v>
          </cell>
        </row>
        <row r="145">
          <cell r="D145">
            <v>69</v>
          </cell>
          <cell r="E145">
            <v>0.34</v>
          </cell>
        </row>
        <row r="146">
          <cell r="D146">
            <v>70</v>
          </cell>
          <cell r="E146">
            <v>0.34</v>
          </cell>
        </row>
        <row r="147">
          <cell r="D147">
            <v>71</v>
          </cell>
          <cell r="E147">
            <v>0.37</v>
          </cell>
        </row>
        <row r="148">
          <cell r="D148">
            <v>72</v>
          </cell>
          <cell r="E148">
            <v>0.37</v>
          </cell>
        </row>
        <row r="149">
          <cell r="D149">
            <v>73</v>
          </cell>
          <cell r="E149">
            <v>0.37</v>
          </cell>
        </row>
        <row r="150">
          <cell r="D150">
            <v>74</v>
          </cell>
          <cell r="E150">
            <v>0.37</v>
          </cell>
        </row>
        <row r="151">
          <cell r="D151">
            <v>75</v>
          </cell>
          <cell r="E151">
            <v>0.37</v>
          </cell>
        </row>
        <row r="152">
          <cell r="D152">
            <v>76</v>
          </cell>
          <cell r="E152">
            <v>0.37</v>
          </cell>
        </row>
        <row r="153">
          <cell r="D153">
            <v>77</v>
          </cell>
          <cell r="E153">
            <v>0.37</v>
          </cell>
        </row>
        <row r="154">
          <cell r="D154">
            <v>78</v>
          </cell>
          <cell r="E154">
            <v>0.37</v>
          </cell>
        </row>
        <row r="155">
          <cell r="D155">
            <v>79</v>
          </cell>
          <cell r="E155">
            <v>0.37</v>
          </cell>
        </row>
        <row r="156">
          <cell r="D156">
            <v>80</v>
          </cell>
          <cell r="E156">
            <v>0.37</v>
          </cell>
        </row>
        <row r="157">
          <cell r="D157">
            <v>81</v>
          </cell>
          <cell r="E157">
            <v>0.4</v>
          </cell>
        </row>
        <row r="158">
          <cell r="D158">
            <v>82</v>
          </cell>
          <cell r="E158">
            <v>0.4</v>
          </cell>
        </row>
        <row r="159">
          <cell r="D159">
            <v>83</v>
          </cell>
          <cell r="E159">
            <v>0.4</v>
          </cell>
        </row>
        <row r="160">
          <cell r="D160">
            <v>84</v>
          </cell>
          <cell r="E160">
            <v>0.4</v>
          </cell>
        </row>
        <row r="161">
          <cell r="D161">
            <v>85</v>
          </cell>
          <cell r="E161">
            <v>0.4</v>
          </cell>
        </row>
        <row r="162">
          <cell r="D162">
            <v>86</v>
          </cell>
          <cell r="E162">
            <v>0.4</v>
          </cell>
        </row>
        <row r="163">
          <cell r="D163">
            <v>87</v>
          </cell>
          <cell r="E163">
            <v>0.4</v>
          </cell>
        </row>
        <row r="164">
          <cell r="D164">
            <v>88</v>
          </cell>
          <cell r="E164">
            <v>0.4</v>
          </cell>
        </row>
        <row r="165">
          <cell r="D165">
            <v>89</v>
          </cell>
          <cell r="E165">
            <v>0.4</v>
          </cell>
        </row>
        <row r="166">
          <cell r="D166">
            <v>90</v>
          </cell>
          <cell r="E166">
            <v>0.4</v>
          </cell>
        </row>
        <row r="167">
          <cell r="D167">
            <v>91</v>
          </cell>
          <cell r="E167">
            <v>0.44</v>
          </cell>
        </row>
        <row r="168">
          <cell r="D168">
            <v>92</v>
          </cell>
          <cell r="E168">
            <v>0.44</v>
          </cell>
        </row>
        <row r="169">
          <cell r="D169">
            <v>93</v>
          </cell>
          <cell r="E169">
            <v>0.44</v>
          </cell>
        </row>
        <row r="170">
          <cell r="D170">
            <v>94</v>
          </cell>
          <cell r="E170">
            <v>0.44</v>
          </cell>
        </row>
        <row r="171">
          <cell r="D171">
            <v>95</v>
          </cell>
          <cell r="E171">
            <v>0.44</v>
          </cell>
        </row>
        <row r="172">
          <cell r="D172">
            <v>96</v>
          </cell>
          <cell r="E172">
            <v>0.44</v>
          </cell>
        </row>
        <row r="173">
          <cell r="D173">
            <v>97</v>
          </cell>
          <cell r="E173">
            <v>0.44</v>
          </cell>
        </row>
        <row r="174">
          <cell r="D174">
            <v>98</v>
          </cell>
          <cell r="E174">
            <v>0.44</v>
          </cell>
        </row>
        <row r="175">
          <cell r="D175">
            <v>99</v>
          </cell>
          <cell r="E175">
            <v>0.44</v>
          </cell>
        </row>
        <row r="176">
          <cell r="D176">
            <v>100</v>
          </cell>
          <cell r="E176">
            <v>0.44</v>
          </cell>
        </row>
        <row r="177">
          <cell r="D177">
            <v>101</v>
          </cell>
          <cell r="E177">
            <v>0.47</v>
          </cell>
        </row>
        <row r="178">
          <cell r="D178">
            <v>102</v>
          </cell>
          <cell r="E178">
            <v>0.47</v>
          </cell>
        </row>
        <row r="179">
          <cell r="D179">
            <v>103</v>
          </cell>
          <cell r="E179">
            <v>0.47</v>
          </cell>
        </row>
        <row r="180">
          <cell r="D180">
            <v>104</v>
          </cell>
          <cell r="E180">
            <v>0.47</v>
          </cell>
        </row>
        <row r="181">
          <cell r="D181">
            <v>105</v>
          </cell>
          <cell r="E181">
            <v>0.47</v>
          </cell>
        </row>
        <row r="182">
          <cell r="D182">
            <v>106</v>
          </cell>
          <cell r="E182">
            <v>0.47</v>
          </cell>
        </row>
        <row r="183">
          <cell r="D183">
            <v>107</v>
          </cell>
          <cell r="E183">
            <v>0.47</v>
          </cell>
        </row>
        <row r="184">
          <cell r="D184">
            <v>108</v>
          </cell>
          <cell r="E184">
            <v>0.47</v>
          </cell>
        </row>
        <row r="185">
          <cell r="D185">
            <v>109</v>
          </cell>
          <cell r="E185">
            <v>0.47</v>
          </cell>
        </row>
        <row r="186">
          <cell r="D186">
            <v>110</v>
          </cell>
          <cell r="E186">
            <v>0.47</v>
          </cell>
        </row>
        <row r="187">
          <cell r="D187">
            <v>111</v>
          </cell>
          <cell r="E187">
            <v>0.5</v>
          </cell>
        </row>
        <row r="188">
          <cell r="D188">
            <v>112</v>
          </cell>
          <cell r="E188">
            <v>0.5</v>
          </cell>
        </row>
        <row r="189">
          <cell r="D189">
            <v>113</v>
          </cell>
          <cell r="E189">
            <v>0.5</v>
          </cell>
        </row>
        <row r="190">
          <cell r="D190">
            <v>114</v>
          </cell>
          <cell r="E190">
            <v>0.5</v>
          </cell>
        </row>
        <row r="191">
          <cell r="D191">
            <v>115</v>
          </cell>
          <cell r="E191">
            <v>0.5</v>
          </cell>
        </row>
        <row r="192">
          <cell r="D192">
            <v>116</v>
          </cell>
          <cell r="E192">
            <v>0.5</v>
          </cell>
        </row>
        <row r="193">
          <cell r="D193">
            <v>117</v>
          </cell>
          <cell r="E193">
            <v>0.5</v>
          </cell>
        </row>
        <row r="194">
          <cell r="D194">
            <v>118</v>
          </cell>
          <cell r="E194">
            <v>0.5</v>
          </cell>
        </row>
        <row r="195">
          <cell r="D195">
            <v>119</v>
          </cell>
          <cell r="E195">
            <v>0.5</v>
          </cell>
        </row>
        <row r="196">
          <cell r="D196">
            <v>120</v>
          </cell>
          <cell r="E196">
            <v>0.5</v>
          </cell>
        </row>
        <row r="197">
          <cell r="D197">
            <v>121</v>
          </cell>
          <cell r="E197">
            <v>0.54</v>
          </cell>
        </row>
        <row r="198">
          <cell r="D198">
            <v>122</v>
          </cell>
          <cell r="E198">
            <v>0.54</v>
          </cell>
        </row>
        <row r="199">
          <cell r="D199">
            <v>123</v>
          </cell>
          <cell r="E199">
            <v>0.54</v>
          </cell>
        </row>
        <row r="200">
          <cell r="D200">
            <v>124</v>
          </cell>
          <cell r="E200">
            <v>0.54</v>
          </cell>
        </row>
        <row r="201">
          <cell r="D201">
            <v>125</v>
          </cell>
          <cell r="E201">
            <v>0.54</v>
          </cell>
        </row>
        <row r="202">
          <cell r="D202">
            <v>126</v>
          </cell>
          <cell r="E202">
            <v>0.54</v>
          </cell>
        </row>
        <row r="203">
          <cell r="D203">
            <v>127</v>
          </cell>
          <cell r="E203">
            <v>0.54</v>
          </cell>
        </row>
        <row r="204">
          <cell r="D204">
            <v>128</v>
          </cell>
          <cell r="E204">
            <v>0.54</v>
          </cell>
        </row>
        <row r="205">
          <cell r="D205">
            <v>129</v>
          </cell>
          <cell r="E205">
            <v>0.54</v>
          </cell>
        </row>
        <row r="206">
          <cell r="D206">
            <v>130</v>
          </cell>
          <cell r="E206">
            <v>0.54</v>
          </cell>
        </row>
        <row r="207">
          <cell r="D207">
            <v>131</v>
          </cell>
          <cell r="E207">
            <v>0.56999999999999995</v>
          </cell>
        </row>
        <row r="208">
          <cell r="D208">
            <v>132</v>
          </cell>
          <cell r="E208">
            <v>0.56999999999999995</v>
          </cell>
        </row>
        <row r="209">
          <cell r="D209">
            <v>133</v>
          </cell>
          <cell r="E209">
            <v>0.56999999999999995</v>
          </cell>
        </row>
        <row r="210">
          <cell r="D210">
            <v>134</v>
          </cell>
          <cell r="E210">
            <v>0.56999999999999995</v>
          </cell>
        </row>
        <row r="211">
          <cell r="D211">
            <v>135</v>
          </cell>
          <cell r="E211">
            <v>0.56999999999999995</v>
          </cell>
        </row>
        <row r="212">
          <cell r="D212">
            <v>136</v>
          </cell>
          <cell r="E212">
            <v>0.56999999999999995</v>
          </cell>
        </row>
        <row r="213">
          <cell r="D213">
            <v>137</v>
          </cell>
          <cell r="E213">
            <v>0.56999999999999995</v>
          </cell>
        </row>
        <row r="214">
          <cell r="D214">
            <v>138</v>
          </cell>
          <cell r="E214">
            <v>0.56999999999999995</v>
          </cell>
        </row>
        <row r="215">
          <cell r="D215">
            <v>139</v>
          </cell>
          <cell r="E215">
            <v>0.56999999999999995</v>
          </cell>
        </row>
        <row r="216">
          <cell r="D216">
            <v>140</v>
          </cell>
          <cell r="E216">
            <v>0.56999999999999995</v>
          </cell>
        </row>
        <row r="217">
          <cell r="D217">
            <v>141</v>
          </cell>
          <cell r="E217">
            <v>0.6</v>
          </cell>
        </row>
        <row r="218">
          <cell r="D218">
            <v>142</v>
          </cell>
          <cell r="E218">
            <v>0.6</v>
          </cell>
        </row>
        <row r="219">
          <cell r="D219">
            <v>143</v>
          </cell>
          <cell r="E219">
            <v>0.6</v>
          </cell>
        </row>
        <row r="220">
          <cell r="D220">
            <v>144</v>
          </cell>
          <cell r="E220">
            <v>0.6</v>
          </cell>
        </row>
        <row r="221">
          <cell r="D221">
            <v>145</v>
          </cell>
          <cell r="E221">
            <v>0.6</v>
          </cell>
        </row>
        <row r="222">
          <cell r="D222">
            <v>146</v>
          </cell>
          <cell r="E222">
            <v>0.6</v>
          </cell>
        </row>
        <row r="223">
          <cell r="D223">
            <v>147</v>
          </cell>
          <cell r="E223">
            <v>0.6</v>
          </cell>
        </row>
        <row r="224">
          <cell r="D224">
            <v>148</v>
          </cell>
          <cell r="E224">
            <v>0.6</v>
          </cell>
        </row>
        <row r="225">
          <cell r="D225">
            <v>149</v>
          </cell>
          <cell r="E225">
            <v>0.6</v>
          </cell>
        </row>
        <row r="226">
          <cell r="D226">
            <v>150</v>
          </cell>
          <cell r="E226">
            <v>0.6</v>
          </cell>
        </row>
        <row r="227">
          <cell r="D227">
            <v>151</v>
          </cell>
          <cell r="E227">
            <v>0.64</v>
          </cell>
        </row>
        <row r="228">
          <cell r="D228">
            <v>152</v>
          </cell>
          <cell r="E228">
            <v>0.64</v>
          </cell>
        </row>
        <row r="229">
          <cell r="D229">
            <v>153</v>
          </cell>
          <cell r="E229">
            <v>0.64</v>
          </cell>
        </row>
        <row r="230">
          <cell r="D230">
            <v>154</v>
          </cell>
          <cell r="E230">
            <v>0.64</v>
          </cell>
        </row>
        <row r="231">
          <cell r="D231">
            <v>155</v>
          </cell>
          <cell r="E231">
            <v>0.64</v>
          </cell>
        </row>
        <row r="232">
          <cell r="D232">
            <v>156</v>
          </cell>
          <cell r="E232">
            <v>0.64</v>
          </cell>
        </row>
        <row r="233">
          <cell r="D233">
            <v>157</v>
          </cell>
          <cell r="E233">
            <v>0.64</v>
          </cell>
        </row>
        <row r="234">
          <cell r="D234">
            <v>158</v>
          </cell>
          <cell r="E234">
            <v>0.64</v>
          </cell>
        </row>
        <row r="235">
          <cell r="D235">
            <v>159</v>
          </cell>
          <cell r="E235">
            <v>0.64</v>
          </cell>
        </row>
        <row r="236">
          <cell r="D236">
            <v>160</v>
          </cell>
          <cell r="E236">
            <v>0.64</v>
          </cell>
        </row>
        <row r="237">
          <cell r="D237">
            <v>161</v>
          </cell>
          <cell r="E237">
            <v>0.67</v>
          </cell>
        </row>
        <row r="238">
          <cell r="D238">
            <v>162</v>
          </cell>
          <cell r="E238">
            <v>0.67</v>
          </cell>
        </row>
        <row r="239">
          <cell r="D239">
            <v>163</v>
          </cell>
          <cell r="E239">
            <v>0.67</v>
          </cell>
        </row>
        <row r="240">
          <cell r="D240">
            <v>164</v>
          </cell>
          <cell r="E240">
            <v>0.67</v>
          </cell>
        </row>
        <row r="241">
          <cell r="D241">
            <v>165</v>
          </cell>
          <cell r="E241">
            <v>0.67</v>
          </cell>
        </row>
        <row r="242">
          <cell r="D242">
            <v>166</v>
          </cell>
          <cell r="E242">
            <v>0.67</v>
          </cell>
        </row>
        <row r="243">
          <cell r="D243">
            <v>167</v>
          </cell>
          <cell r="E243">
            <v>0.67</v>
          </cell>
        </row>
        <row r="244">
          <cell r="D244">
            <v>168</v>
          </cell>
          <cell r="E244">
            <v>0.67</v>
          </cell>
        </row>
        <row r="245">
          <cell r="D245">
            <v>169</v>
          </cell>
          <cell r="E245">
            <v>0.67</v>
          </cell>
        </row>
        <row r="246">
          <cell r="D246">
            <v>170</v>
          </cell>
          <cell r="E246">
            <v>0.67</v>
          </cell>
        </row>
        <row r="247">
          <cell r="D247">
            <v>171</v>
          </cell>
          <cell r="E247">
            <v>0.7</v>
          </cell>
        </row>
        <row r="248">
          <cell r="D248">
            <v>172</v>
          </cell>
          <cell r="E248">
            <v>0.7</v>
          </cell>
        </row>
        <row r="249">
          <cell r="D249">
            <v>173</v>
          </cell>
          <cell r="E249">
            <v>0.7</v>
          </cell>
        </row>
        <row r="250">
          <cell r="D250">
            <v>174</v>
          </cell>
          <cell r="E250">
            <v>0.7</v>
          </cell>
        </row>
        <row r="251">
          <cell r="D251">
            <v>175</v>
          </cell>
          <cell r="E251">
            <v>0.7</v>
          </cell>
        </row>
        <row r="252">
          <cell r="D252">
            <v>176</v>
          </cell>
          <cell r="E252">
            <v>0.7</v>
          </cell>
        </row>
        <row r="253">
          <cell r="D253">
            <v>177</v>
          </cell>
          <cell r="E253">
            <v>0.7</v>
          </cell>
        </row>
        <row r="254">
          <cell r="D254">
            <v>178</v>
          </cell>
          <cell r="E254">
            <v>0.7</v>
          </cell>
        </row>
        <row r="255">
          <cell r="D255">
            <v>179</v>
          </cell>
          <cell r="E255">
            <v>0.7</v>
          </cell>
        </row>
        <row r="256">
          <cell r="D256">
            <v>180</v>
          </cell>
          <cell r="E256">
            <v>0.7</v>
          </cell>
        </row>
        <row r="257">
          <cell r="D257">
            <v>181</v>
          </cell>
          <cell r="E257">
            <v>0.75</v>
          </cell>
        </row>
        <row r="258">
          <cell r="D258">
            <v>182</v>
          </cell>
          <cell r="E258">
            <v>0.75</v>
          </cell>
        </row>
        <row r="259">
          <cell r="D259">
            <v>183</v>
          </cell>
          <cell r="E259">
            <v>0.75</v>
          </cell>
        </row>
        <row r="260">
          <cell r="D260">
            <v>184</v>
          </cell>
          <cell r="E260">
            <v>0.75</v>
          </cell>
        </row>
        <row r="261">
          <cell r="D261">
            <v>185</v>
          </cell>
          <cell r="E261">
            <v>0.75</v>
          </cell>
        </row>
        <row r="262">
          <cell r="D262">
            <v>186</v>
          </cell>
          <cell r="E262">
            <v>0.75</v>
          </cell>
        </row>
        <row r="263">
          <cell r="D263">
            <v>187</v>
          </cell>
          <cell r="E263">
            <v>0.75</v>
          </cell>
        </row>
        <row r="264">
          <cell r="D264">
            <v>188</v>
          </cell>
          <cell r="E264">
            <v>0.75</v>
          </cell>
        </row>
        <row r="265">
          <cell r="D265">
            <v>189</v>
          </cell>
          <cell r="E265">
            <v>0.75</v>
          </cell>
        </row>
        <row r="266">
          <cell r="D266">
            <v>190</v>
          </cell>
          <cell r="E266">
            <v>0.75</v>
          </cell>
        </row>
        <row r="267">
          <cell r="D267">
            <v>191</v>
          </cell>
          <cell r="E267">
            <v>0.75</v>
          </cell>
        </row>
        <row r="268">
          <cell r="D268">
            <v>192</v>
          </cell>
          <cell r="E268">
            <v>0.75</v>
          </cell>
        </row>
        <row r="269">
          <cell r="D269">
            <v>193</v>
          </cell>
          <cell r="E269">
            <v>0.75</v>
          </cell>
        </row>
        <row r="270">
          <cell r="D270">
            <v>194</v>
          </cell>
          <cell r="E270">
            <v>0.75</v>
          </cell>
        </row>
        <row r="271">
          <cell r="D271">
            <v>195</v>
          </cell>
          <cell r="E271">
            <v>0.75</v>
          </cell>
        </row>
        <row r="272">
          <cell r="D272">
            <v>196</v>
          </cell>
          <cell r="E272">
            <v>0.75</v>
          </cell>
        </row>
        <row r="273">
          <cell r="D273">
            <v>197</v>
          </cell>
          <cell r="E273">
            <v>0.75</v>
          </cell>
        </row>
        <row r="274">
          <cell r="D274">
            <v>198</v>
          </cell>
          <cell r="E274">
            <v>0.75</v>
          </cell>
        </row>
        <row r="275">
          <cell r="D275">
            <v>199</v>
          </cell>
          <cell r="E275">
            <v>0.75</v>
          </cell>
        </row>
        <row r="276">
          <cell r="D276">
            <v>200</v>
          </cell>
          <cell r="E276">
            <v>0.75</v>
          </cell>
        </row>
        <row r="277">
          <cell r="D277">
            <v>201</v>
          </cell>
          <cell r="E277">
            <v>0.75</v>
          </cell>
        </row>
        <row r="278">
          <cell r="D278">
            <v>202</v>
          </cell>
          <cell r="E278">
            <v>0.75</v>
          </cell>
        </row>
        <row r="279">
          <cell r="D279">
            <v>203</v>
          </cell>
          <cell r="E279">
            <v>0.75</v>
          </cell>
        </row>
        <row r="280">
          <cell r="D280">
            <v>204</v>
          </cell>
          <cell r="E280">
            <v>0.75</v>
          </cell>
        </row>
        <row r="281">
          <cell r="D281">
            <v>205</v>
          </cell>
          <cell r="E281">
            <v>0.75</v>
          </cell>
        </row>
        <row r="282">
          <cell r="D282">
            <v>206</v>
          </cell>
          <cell r="E282">
            <v>0.75</v>
          </cell>
        </row>
        <row r="283">
          <cell r="D283">
            <v>207</v>
          </cell>
          <cell r="E283">
            <v>0.75</v>
          </cell>
        </row>
        <row r="284">
          <cell r="D284">
            <v>208</v>
          </cell>
          <cell r="E284">
            <v>0.75</v>
          </cell>
        </row>
        <row r="285">
          <cell r="D285">
            <v>209</v>
          </cell>
          <cell r="E285">
            <v>0.75</v>
          </cell>
        </row>
        <row r="286">
          <cell r="D286">
            <v>210</v>
          </cell>
          <cell r="E286">
            <v>0.75</v>
          </cell>
        </row>
        <row r="287">
          <cell r="D287">
            <v>211</v>
          </cell>
          <cell r="E287">
            <v>0.8</v>
          </cell>
        </row>
        <row r="288">
          <cell r="D288">
            <v>212</v>
          </cell>
          <cell r="E288">
            <v>0.8</v>
          </cell>
        </row>
        <row r="289">
          <cell r="D289">
            <v>213</v>
          </cell>
          <cell r="E289">
            <v>0.8</v>
          </cell>
        </row>
        <row r="290">
          <cell r="D290">
            <v>214</v>
          </cell>
          <cell r="E290">
            <v>0.8</v>
          </cell>
        </row>
        <row r="291">
          <cell r="D291">
            <v>215</v>
          </cell>
          <cell r="E291">
            <v>0.8</v>
          </cell>
        </row>
        <row r="292">
          <cell r="D292">
            <v>216</v>
          </cell>
          <cell r="E292">
            <v>0.8</v>
          </cell>
        </row>
        <row r="293">
          <cell r="D293">
            <v>217</v>
          </cell>
          <cell r="E293">
            <v>0.8</v>
          </cell>
        </row>
        <row r="294">
          <cell r="D294">
            <v>218</v>
          </cell>
          <cell r="E294">
            <v>0.8</v>
          </cell>
        </row>
        <row r="295">
          <cell r="D295">
            <v>219</v>
          </cell>
          <cell r="E295">
            <v>0.8</v>
          </cell>
        </row>
        <row r="296">
          <cell r="D296">
            <v>220</v>
          </cell>
          <cell r="E296">
            <v>0.8</v>
          </cell>
        </row>
        <row r="297">
          <cell r="D297">
            <v>221</v>
          </cell>
          <cell r="E297">
            <v>0.8</v>
          </cell>
        </row>
        <row r="298">
          <cell r="D298">
            <v>222</v>
          </cell>
          <cell r="E298">
            <v>0.8</v>
          </cell>
        </row>
        <row r="299">
          <cell r="D299">
            <v>223</v>
          </cell>
          <cell r="E299">
            <v>0.8</v>
          </cell>
        </row>
        <row r="300">
          <cell r="D300">
            <v>224</v>
          </cell>
          <cell r="E300">
            <v>0.8</v>
          </cell>
        </row>
        <row r="301">
          <cell r="D301">
            <v>225</v>
          </cell>
          <cell r="E301">
            <v>0.8</v>
          </cell>
        </row>
        <row r="302">
          <cell r="D302">
            <v>226</v>
          </cell>
          <cell r="E302">
            <v>0.8</v>
          </cell>
        </row>
        <row r="303">
          <cell r="D303">
            <v>227</v>
          </cell>
          <cell r="E303">
            <v>0.8</v>
          </cell>
        </row>
        <row r="304">
          <cell r="D304">
            <v>228</v>
          </cell>
          <cell r="E304">
            <v>0.8</v>
          </cell>
        </row>
        <row r="305">
          <cell r="D305">
            <v>229</v>
          </cell>
          <cell r="E305">
            <v>0.8</v>
          </cell>
        </row>
        <row r="306">
          <cell r="D306">
            <v>230</v>
          </cell>
          <cell r="E306">
            <v>0.8</v>
          </cell>
        </row>
        <row r="307">
          <cell r="D307">
            <v>231</v>
          </cell>
          <cell r="E307">
            <v>0.8</v>
          </cell>
        </row>
        <row r="308">
          <cell r="D308">
            <v>232</v>
          </cell>
          <cell r="E308">
            <v>0.8</v>
          </cell>
        </row>
        <row r="309">
          <cell r="D309">
            <v>233</v>
          </cell>
          <cell r="E309">
            <v>0.8</v>
          </cell>
        </row>
        <row r="310">
          <cell r="D310">
            <v>234</v>
          </cell>
          <cell r="E310">
            <v>0.8</v>
          </cell>
        </row>
        <row r="311">
          <cell r="D311">
            <v>235</v>
          </cell>
          <cell r="E311">
            <v>0.8</v>
          </cell>
        </row>
        <row r="312">
          <cell r="D312">
            <v>236</v>
          </cell>
          <cell r="E312">
            <v>0.8</v>
          </cell>
        </row>
        <row r="313">
          <cell r="D313">
            <v>237</v>
          </cell>
          <cell r="E313">
            <v>0.8</v>
          </cell>
        </row>
        <row r="314">
          <cell r="D314">
            <v>238</v>
          </cell>
          <cell r="E314">
            <v>0.8</v>
          </cell>
        </row>
        <row r="315">
          <cell r="D315">
            <v>239</v>
          </cell>
          <cell r="E315">
            <v>0.8</v>
          </cell>
        </row>
        <row r="316">
          <cell r="D316">
            <v>240</v>
          </cell>
          <cell r="E316">
            <v>0.8</v>
          </cell>
        </row>
        <row r="317">
          <cell r="D317">
            <v>241</v>
          </cell>
          <cell r="E317">
            <v>0.85</v>
          </cell>
        </row>
        <row r="318">
          <cell r="D318">
            <v>242</v>
          </cell>
          <cell r="E318">
            <v>0.85</v>
          </cell>
        </row>
        <row r="319">
          <cell r="D319">
            <v>243</v>
          </cell>
          <cell r="E319">
            <v>0.85</v>
          </cell>
        </row>
        <row r="320">
          <cell r="D320">
            <v>244</v>
          </cell>
          <cell r="E320">
            <v>0.85</v>
          </cell>
        </row>
        <row r="321">
          <cell r="D321">
            <v>245</v>
          </cell>
          <cell r="E321">
            <v>0.85</v>
          </cell>
        </row>
        <row r="322">
          <cell r="D322">
            <v>246</v>
          </cell>
          <cell r="E322">
            <v>0.85</v>
          </cell>
        </row>
        <row r="323">
          <cell r="D323">
            <v>247</v>
          </cell>
          <cell r="E323">
            <v>0.85</v>
          </cell>
        </row>
        <row r="324">
          <cell r="D324">
            <v>248</v>
          </cell>
          <cell r="E324">
            <v>0.85</v>
          </cell>
        </row>
        <row r="325">
          <cell r="D325">
            <v>249</v>
          </cell>
          <cell r="E325">
            <v>0.85</v>
          </cell>
        </row>
        <row r="326">
          <cell r="D326">
            <v>250</v>
          </cell>
          <cell r="E326">
            <v>0.85</v>
          </cell>
        </row>
        <row r="327">
          <cell r="D327">
            <v>251</v>
          </cell>
          <cell r="E327">
            <v>0.85</v>
          </cell>
        </row>
        <row r="328">
          <cell r="D328">
            <v>252</v>
          </cell>
          <cell r="E328">
            <v>0.85</v>
          </cell>
        </row>
        <row r="329">
          <cell r="D329">
            <v>253</v>
          </cell>
          <cell r="E329">
            <v>0.85</v>
          </cell>
        </row>
        <row r="330">
          <cell r="D330">
            <v>254</v>
          </cell>
          <cell r="E330">
            <v>0.85</v>
          </cell>
        </row>
        <row r="331">
          <cell r="D331">
            <v>255</v>
          </cell>
          <cell r="E331">
            <v>0.85</v>
          </cell>
        </row>
        <row r="332">
          <cell r="D332">
            <v>256</v>
          </cell>
          <cell r="E332">
            <v>0.85</v>
          </cell>
        </row>
        <row r="333">
          <cell r="D333">
            <v>257</v>
          </cell>
          <cell r="E333">
            <v>0.85</v>
          </cell>
        </row>
        <row r="334">
          <cell r="D334">
            <v>258</v>
          </cell>
          <cell r="E334">
            <v>0.85</v>
          </cell>
        </row>
        <row r="335">
          <cell r="D335">
            <v>259</v>
          </cell>
          <cell r="E335">
            <v>0.85</v>
          </cell>
        </row>
        <row r="336">
          <cell r="D336">
            <v>260</v>
          </cell>
          <cell r="E336">
            <v>0.85</v>
          </cell>
        </row>
        <row r="337">
          <cell r="D337">
            <v>261</v>
          </cell>
          <cell r="E337">
            <v>0.85</v>
          </cell>
        </row>
        <row r="338">
          <cell r="D338">
            <v>262</v>
          </cell>
          <cell r="E338">
            <v>0.85</v>
          </cell>
        </row>
        <row r="339">
          <cell r="D339">
            <v>263</v>
          </cell>
          <cell r="E339">
            <v>0.85</v>
          </cell>
        </row>
        <row r="340">
          <cell r="D340">
            <v>264</v>
          </cell>
          <cell r="E340">
            <v>0.85</v>
          </cell>
        </row>
        <row r="341">
          <cell r="D341">
            <v>265</v>
          </cell>
          <cell r="E341">
            <v>0.85</v>
          </cell>
        </row>
        <row r="342">
          <cell r="D342">
            <v>266</v>
          </cell>
          <cell r="E342">
            <v>0.85</v>
          </cell>
        </row>
        <row r="343">
          <cell r="D343">
            <v>267</v>
          </cell>
          <cell r="E343">
            <v>0.85</v>
          </cell>
        </row>
        <row r="344">
          <cell r="D344">
            <v>268</v>
          </cell>
          <cell r="E344">
            <v>0.85</v>
          </cell>
        </row>
        <row r="345">
          <cell r="D345">
            <v>269</v>
          </cell>
          <cell r="E345">
            <v>0.85</v>
          </cell>
        </row>
        <row r="346">
          <cell r="D346">
            <v>270</v>
          </cell>
          <cell r="E346">
            <v>0.85</v>
          </cell>
        </row>
        <row r="347">
          <cell r="D347">
            <v>271</v>
          </cell>
          <cell r="E347">
            <v>0.9</v>
          </cell>
        </row>
        <row r="348">
          <cell r="D348">
            <v>272</v>
          </cell>
          <cell r="E348">
            <v>0.9</v>
          </cell>
        </row>
        <row r="349">
          <cell r="D349">
            <v>273</v>
          </cell>
          <cell r="E349">
            <v>0.9</v>
          </cell>
        </row>
        <row r="350">
          <cell r="D350">
            <v>274</v>
          </cell>
          <cell r="E350">
            <v>0.9</v>
          </cell>
        </row>
        <row r="351">
          <cell r="D351">
            <v>275</v>
          </cell>
          <cell r="E351">
            <v>0.9</v>
          </cell>
        </row>
        <row r="352">
          <cell r="D352">
            <v>276</v>
          </cell>
          <cell r="E352">
            <v>0.9</v>
          </cell>
        </row>
        <row r="353">
          <cell r="D353">
            <v>277</v>
          </cell>
          <cell r="E353">
            <v>0.9</v>
          </cell>
        </row>
        <row r="354">
          <cell r="D354">
            <v>278</v>
          </cell>
          <cell r="E354">
            <v>0.9</v>
          </cell>
        </row>
        <row r="355">
          <cell r="D355">
            <v>279</v>
          </cell>
          <cell r="E355">
            <v>0.9</v>
          </cell>
        </row>
        <row r="356">
          <cell r="D356">
            <v>280</v>
          </cell>
          <cell r="E356">
            <v>0.9</v>
          </cell>
        </row>
        <row r="357">
          <cell r="D357">
            <v>281</v>
          </cell>
          <cell r="E357">
            <v>0.9</v>
          </cell>
        </row>
        <row r="358">
          <cell r="D358">
            <v>282</v>
          </cell>
          <cell r="E358">
            <v>0.9</v>
          </cell>
        </row>
        <row r="359">
          <cell r="D359">
            <v>283</v>
          </cell>
          <cell r="E359">
            <v>0.9</v>
          </cell>
        </row>
        <row r="360">
          <cell r="D360">
            <v>284</v>
          </cell>
          <cell r="E360">
            <v>0.9</v>
          </cell>
        </row>
        <row r="361">
          <cell r="D361">
            <v>285</v>
          </cell>
          <cell r="E361">
            <v>0.9</v>
          </cell>
        </row>
        <row r="362">
          <cell r="D362">
            <v>286</v>
          </cell>
          <cell r="E362">
            <v>0.9</v>
          </cell>
        </row>
        <row r="363">
          <cell r="D363">
            <v>287</v>
          </cell>
          <cell r="E363">
            <v>0.9</v>
          </cell>
        </row>
        <row r="364">
          <cell r="D364">
            <v>288</v>
          </cell>
          <cell r="E364">
            <v>0.9</v>
          </cell>
        </row>
        <row r="365">
          <cell r="D365">
            <v>289</v>
          </cell>
          <cell r="E365">
            <v>0.9</v>
          </cell>
        </row>
        <row r="366">
          <cell r="D366">
            <v>290</v>
          </cell>
          <cell r="E366">
            <v>0.9</v>
          </cell>
        </row>
        <row r="367">
          <cell r="D367">
            <v>291</v>
          </cell>
          <cell r="E367">
            <v>0.9</v>
          </cell>
        </row>
        <row r="368">
          <cell r="D368">
            <v>292</v>
          </cell>
          <cell r="E368">
            <v>0.9</v>
          </cell>
        </row>
        <row r="369">
          <cell r="D369">
            <v>293</v>
          </cell>
          <cell r="E369">
            <v>0.9</v>
          </cell>
        </row>
        <row r="370">
          <cell r="D370">
            <v>294</v>
          </cell>
          <cell r="E370">
            <v>0.9</v>
          </cell>
        </row>
        <row r="371">
          <cell r="D371">
            <v>295</v>
          </cell>
          <cell r="E371">
            <v>0.9</v>
          </cell>
        </row>
        <row r="372">
          <cell r="D372">
            <v>296</v>
          </cell>
          <cell r="E372">
            <v>0.9</v>
          </cell>
        </row>
        <row r="373">
          <cell r="D373">
            <v>297</v>
          </cell>
          <cell r="E373">
            <v>0.9</v>
          </cell>
        </row>
        <row r="374">
          <cell r="D374">
            <v>298</v>
          </cell>
          <cell r="E374">
            <v>0.9</v>
          </cell>
        </row>
        <row r="375">
          <cell r="D375">
            <v>299</v>
          </cell>
          <cell r="E375">
            <v>0.9</v>
          </cell>
        </row>
        <row r="376">
          <cell r="D376">
            <v>300</v>
          </cell>
          <cell r="E376">
            <v>0.9</v>
          </cell>
        </row>
        <row r="377">
          <cell r="D377">
            <v>301</v>
          </cell>
          <cell r="E377">
            <v>0.95</v>
          </cell>
        </row>
        <row r="378">
          <cell r="D378">
            <v>302</v>
          </cell>
          <cell r="E378">
            <v>0.95</v>
          </cell>
        </row>
        <row r="379">
          <cell r="D379">
            <v>303</v>
          </cell>
          <cell r="E379">
            <v>0.95</v>
          </cell>
        </row>
        <row r="380">
          <cell r="D380">
            <v>304</v>
          </cell>
          <cell r="E380">
            <v>0.95</v>
          </cell>
        </row>
        <row r="381">
          <cell r="D381">
            <v>305</v>
          </cell>
          <cell r="E381">
            <v>0.95</v>
          </cell>
        </row>
        <row r="382">
          <cell r="D382">
            <v>306</v>
          </cell>
          <cell r="E382">
            <v>0.95</v>
          </cell>
        </row>
        <row r="383">
          <cell r="D383">
            <v>307</v>
          </cell>
          <cell r="E383">
            <v>0.95</v>
          </cell>
        </row>
        <row r="384">
          <cell r="D384">
            <v>308</v>
          </cell>
          <cell r="E384">
            <v>0.95</v>
          </cell>
        </row>
        <row r="385">
          <cell r="D385">
            <v>309</v>
          </cell>
          <cell r="E385">
            <v>0.95</v>
          </cell>
        </row>
        <row r="386">
          <cell r="D386">
            <v>310</v>
          </cell>
          <cell r="E386">
            <v>0.95</v>
          </cell>
        </row>
        <row r="387">
          <cell r="D387">
            <v>311</v>
          </cell>
          <cell r="E387">
            <v>0.95</v>
          </cell>
        </row>
        <row r="388">
          <cell r="D388">
            <v>312</v>
          </cell>
          <cell r="E388">
            <v>0.95</v>
          </cell>
        </row>
        <row r="389">
          <cell r="D389">
            <v>313</v>
          </cell>
          <cell r="E389">
            <v>0.95</v>
          </cell>
        </row>
        <row r="390">
          <cell r="D390">
            <v>314</v>
          </cell>
          <cell r="E390">
            <v>0.95</v>
          </cell>
        </row>
        <row r="391">
          <cell r="D391">
            <v>315</v>
          </cell>
          <cell r="E391">
            <v>0.95</v>
          </cell>
        </row>
        <row r="392">
          <cell r="D392">
            <v>316</v>
          </cell>
          <cell r="E392">
            <v>0.95</v>
          </cell>
        </row>
        <row r="393">
          <cell r="D393">
            <v>317</v>
          </cell>
          <cell r="E393">
            <v>0.95</v>
          </cell>
        </row>
        <row r="394">
          <cell r="D394">
            <v>318</v>
          </cell>
          <cell r="E394">
            <v>0.95</v>
          </cell>
        </row>
        <row r="395">
          <cell r="D395">
            <v>319</v>
          </cell>
          <cell r="E395">
            <v>0.95</v>
          </cell>
        </row>
        <row r="396">
          <cell r="D396">
            <v>320</v>
          </cell>
          <cell r="E396">
            <v>0.95</v>
          </cell>
        </row>
        <row r="397">
          <cell r="D397">
            <v>321</v>
          </cell>
          <cell r="E397">
            <v>0.95</v>
          </cell>
        </row>
        <row r="398">
          <cell r="D398">
            <v>322</v>
          </cell>
          <cell r="E398">
            <v>0.95</v>
          </cell>
        </row>
        <row r="399">
          <cell r="D399">
            <v>323</v>
          </cell>
          <cell r="E399">
            <v>0.95</v>
          </cell>
        </row>
        <row r="400">
          <cell r="D400">
            <v>324</v>
          </cell>
          <cell r="E400">
            <v>0.95</v>
          </cell>
        </row>
        <row r="401">
          <cell r="D401">
            <v>325</v>
          </cell>
          <cell r="E401">
            <v>0.95</v>
          </cell>
        </row>
        <row r="402">
          <cell r="D402">
            <v>326</v>
          </cell>
          <cell r="E402">
            <v>0.95</v>
          </cell>
        </row>
        <row r="403">
          <cell r="D403">
            <v>327</v>
          </cell>
          <cell r="E403">
            <v>0.95</v>
          </cell>
        </row>
        <row r="404">
          <cell r="D404">
            <v>328</v>
          </cell>
          <cell r="E404">
            <v>0.95</v>
          </cell>
        </row>
        <row r="405">
          <cell r="D405">
            <v>329</v>
          </cell>
          <cell r="E405">
            <v>0.95</v>
          </cell>
        </row>
        <row r="406">
          <cell r="D406">
            <v>330</v>
          </cell>
          <cell r="E406">
            <v>0.95</v>
          </cell>
        </row>
        <row r="407">
          <cell r="D407">
            <v>331</v>
          </cell>
          <cell r="E407">
            <v>1</v>
          </cell>
        </row>
        <row r="408">
          <cell r="D408">
            <v>332</v>
          </cell>
          <cell r="E408">
            <v>1</v>
          </cell>
        </row>
        <row r="409">
          <cell r="D409">
            <v>333</v>
          </cell>
          <cell r="E409">
            <v>1</v>
          </cell>
        </row>
        <row r="410">
          <cell r="D410">
            <v>334</v>
          </cell>
          <cell r="E410">
            <v>1</v>
          </cell>
        </row>
        <row r="411">
          <cell r="D411">
            <v>335</v>
          </cell>
          <cell r="E411">
            <v>1</v>
          </cell>
        </row>
        <row r="412">
          <cell r="D412">
            <v>336</v>
          </cell>
          <cell r="E412">
            <v>1</v>
          </cell>
        </row>
        <row r="413">
          <cell r="D413">
            <v>337</v>
          </cell>
          <cell r="E413">
            <v>1</v>
          </cell>
        </row>
        <row r="414">
          <cell r="D414">
            <v>338</v>
          </cell>
          <cell r="E414">
            <v>1</v>
          </cell>
        </row>
        <row r="415">
          <cell r="D415">
            <v>339</v>
          </cell>
          <cell r="E415">
            <v>1</v>
          </cell>
        </row>
        <row r="416">
          <cell r="D416">
            <v>340</v>
          </cell>
          <cell r="E416">
            <v>1</v>
          </cell>
        </row>
        <row r="417">
          <cell r="D417">
            <v>341</v>
          </cell>
          <cell r="E417">
            <v>1</v>
          </cell>
        </row>
        <row r="418">
          <cell r="D418">
            <v>342</v>
          </cell>
          <cell r="E418">
            <v>1</v>
          </cell>
        </row>
        <row r="419">
          <cell r="D419">
            <v>343</v>
          </cell>
          <cell r="E419">
            <v>1</v>
          </cell>
        </row>
        <row r="420">
          <cell r="D420">
            <v>344</v>
          </cell>
          <cell r="E420">
            <v>1</v>
          </cell>
        </row>
        <row r="421">
          <cell r="D421">
            <v>345</v>
          </cell>
          <cell r="E421">
            <v>1</v>
          </cell>
        </row>
        <row r="422">
          <cell r="D422">
            <v>346</v>
          </cell>
          <cell r="E422">
            <v>1</v>
          </cell>
        </row>
        <row r="423">
          <cell r="D423">
            <v>347</v>
          </cell>
          <cell r="E423">
            <v>1</v>
          </cell>
        </row>
        <row r="424">
          <cell r="D424">
            <v>348</v>
          </cell>
          <cell r="E424">
            <v>1</v>
          </cell>
        </row>
        <row r="425">
          <cell r="D425">
            <v>349</v>
          </cell>
          <cell r="E425">
            <v>1</v>
          </cell>
        </row>
        <row r="426">
          <cell r="D426">
            <v>350</v>
          </cell>
          <cell r="E426">
            <v>1</v>
          </cell>
        </row>
        <row r="427">
          <cell r="D427">
            <v>351</v>
          </cell>
          <cell r="E427">
            <v>1</v>
          </cell>
        </row>
        <row r="428">
          <cell r="D428">
            <v>352</v>
          </cell>
          <cell r="E428">
            <v>1</v>
          </cell>
        </row>
        <row r="429">
          <cell r="D429">
            <v>353</v>
          </cell>
          <cell r="E429">
            <v>1</v>
          </cell>
        </row>
        <row r="430">
          <cell r="D430">
            <v>354</v>
          </cell>
          <cell r="E430">
            <v>1</v>
          </cell>
        </row>
        <row r="431">
          <cell r="D431">
            <v>355</v>
          </cell>
          <cell r="E431">
            <v>1</v>
          </cell>
        </row>
        <row r="432">
          <cell r="D432">
            <v>356</v>
          </cell>
          <cell r="E432">
            <v>1</v>
          </cell>
        </row>
        <row r="433">
          <cell r="D433">
            <v>357</v>
          </cell>
          <cell r="E433">
            <v>1</v>
          </cell>
        </row>
        <row r="434">
          <cell r="D434">
            <v>358</v>
          </cell>
          <cell r="E434">
            <v>1</v>
          </cell>
        </row>
        <row r="435">
          <cell r="D435">
            <v>359</v>
          </cell>
          <cell r="E435">
            <v>1</v>
          </cell>
        </row>
        <row r="436">
          <cell r="D436">
            <v>360</v>
          </cell>
          <cell r="E436">
            <v>1</v>
          </cell>
        </row>
        <row r="437">
          <cell r="D437">
            <v>361</v>
          </cell>
          <cell r="E437">
            <v>1</v>
          </cell>
        </row>
        <row r="438">
          <cell r="D438">
            <v>362</v>
          </cell>
          <cell r="E438">
            <v>1</v>
          </cell>
        </row>
        <row r="439">
          <cell r="D439">
            <v>363</v>
          </cell>
          <cell r="E439">
            <v>1</v>
          </cell>
        </row>
        <row r="440">
          <cell r="D440">
            <v>364</v>
          </cell>
          <cell r="E440">
            <v>1</v>
          </cell>
        </row>
        <row r="441">
          <cell r="D441">
            <v>365</v>
          </cell>
          <cell r="E441">
            <v>1</v>
          </cell>
        </row>
        <row r="442">
          <cell r="D442">
            <v>366</v>
          </cell>
          <cell r="E442">
            <v>1</v>
          </cell>
        </row>
      </sheetData>
      <sheetData sheetId="3">
        <row r="9">
          <cell r="B9" t="str">
            <v>A</v>
          </cell>
          <cell r="J9">
            <v>15</v>
          </cell>
        </row>
        <row r="13">
          <cell r="B13">
            <v>2</v>
          </cell>
          <cell r="F13" t="str">
            <v>A</v>
          </cell>
        </row>
        <row r="20">
          <cell r="E20">
            <v>0.44999999999999996</v>
          </cell>
          <cell r="F20">
            <v>0.4</v>
          </cell>
        </row>
      </sheetData>
      <sheetData sheetId="4"/>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R566"/>
  <sheetViews>
    <sheetView windowProtection="1" zoomScale="85" zoomScaleNormal="85" workbookViewId="0">
      <pane ySplit="11" topLeftCell="A12" activePane="bottomLeft" state="frozen"/>
      <selection activeCell="E6" sqref="E6:I6"/>
      <selection pane="bottomLeft" activeCell="H4" sqref="H4"/>
    </sheetView>
  </sheetViews>
  <sheetFormatPr baseColWidth="10" defaultColWidth="4.26953125" defaultRowHeight="12.5" x14ac:dyDescent="0.25"/>
  <cols>
    <col min="1" max="4" width="13.54296875" style="5" customWidth="1"/>
    <col min="5" max="5" width="18.54296875" style="5" customWidth="1"/>
    <col min="6" max="20" width="13.54296875" style="5" customWidth="1"/>
    <col min="21" max="16383" width="4.26953125" style="5" customWidth="1"/>
    <col min="16384" max="16384" width="4.26953125" style="5"/>
  </cols>
  <sheetData>
    <row r="1" spans="1:18" ht="14.5" x14ac:dyDescent="0.35">
      <c r="A1" s="3" t="s">
        <v>40</v>
      </c>
      <c r="B1" s="4"/>
    </row>
    <row r="2" spans="1:18" ht="14.5" x14ac:dyDescent="0.35">
      <c r="A2" s="3"/>
    </row>
    <row r="3" spans="1:18" ht="14.5" x14ac:dyDescent="0.35">
      <c r="A3" s="6" t="s">
        <v>41</v>
      </c>
      <c r="B3" s="6" t="s">
        <v>13</v>
      </c>
      <c r="C3" s="6" t="s">
        <v>15</v>
      </c>
      <c r="D3" s="6" t="s">
        <v>42</v>
      </c>
      <c r="F3" s="10"/>
      <c r="G3" s="34" t="s">
        <v>77</v>
      </c>
      <c r="H3" s="34" t="s">
        <v>15</v>
      </c>
      <c r="I3" s="34" t="s">
        <v>154</v>
      </c>
      <c r="J3" s="34"/>
      <c r="K3" s="34" t="s">
        <v>16</v>
      </c>
      <c r="L3" s="34" t="s">
        <v>78</v>
      </c>
    </row>
    <row r="4" spans="1:18" ht="13" x14ac:dyDescent="0.3">
      <c r="A4" s="7" t="s">
        <v>43</v>
      </c>
      <c r="B4" s="8">
        <v>0.68</v>
      </c>
      <c r="C4" s="8">
        <v>0.05</v>
      </c>
      <c r="D4" s="8">
        <v>0.56000000000000005</v>
      </c>
      <c r="F4" s="35" t="s">
        <v>112</v>
      </c>
      <c r="G4" s="16">
        <f>+G6*1.2</f>
        <v>0.68399999999999994</v>
      </c>
      <c r="H4" s="16">
        <f>+H6*1.2</f>
        <v>4.8000000000000001E-2</v>
      </c>
      <c r="I4" s="16">
        <f>+I6*1.2</f>
        <v>7.1999999999999995E-2</v>
      </c>
      <c r="J4" s="16">
        <f>+J6*1.2</f>
        <v>1.4039999999999999</v>
      </c>
      <c r="K4" s="5">
        <f>+K6*1.2</f>
        <v>155.4801263692309</v>
      </c>
      <c r="L4" s="182">
        <f>+K4*Presentación!$G$21</f>
        <v>77740.063184615457</v>
      </c>
    </row>
    <row r="5" spans="1:18" ht="13" x14ac:dyDescent="0.3">
      <c r="A5" s="9" t="s">
        <v>45</v>
      </c>
      <c r="B5" s="10"/>
      <c r="C5" s="10"/>
      <c r="D5" s="10"/>
      <c r="F5" s="35" t="s">
        <v>111</v>
      </c>
      <c r="G5" s="5" t="e">
        <f>+G4*Calculo!$M$26/365</f>
        <v>#VALUE!</v>
      </c>
      <c r="H5" s="5" t="e">
        <f>+H4*Calculo!$M$26/365</f>
        <v>#VALUE!</v>
      </c>
      <c r="I5" s="5" t="e">
        <f>+I4*Calculo!$M$26/365</f>
        <v>#VALUE!</v>
      </c>
      <c r="J5" s="5" t="e">
        <f>+J4*Calculo!$M$26/365</f>
        <v>#VALUE!</v>
      </c>
      <c r="K5" s="5" t="e">
        <f>+K4*Calculo!$M$26/365</f>
        <v>#VALUE!</v>
      </c>
      <c r="L5" s="182" t="e">
        <f>+K5*Presentación!$G$21</f>
        <v>#VALUE!</v>
      </c>
    </row>
    <row r="6" spans="1:18" ht="14.5" x14ac:dyDescent="0.35">
      <c r="A6" s="3"/>
      <c r="F6" s="35" t="s">
        <v>113</v>
      </c>
      <c r="G6" s="5">
        <v>0.56999999999999995</v>
      </c>
      <c r="H6" s="5">
        <f>IF(DATOS!E16="A",TAR!H7,TAR!I7)</f>
        <v>0.04</v>
      </c>
      <c r="I6" s="5">
        <v>0.06</v>
      </c>
      <c r="J6" s="5">
        <v>1.17</v>
      </c>
      <c r="K6" s="5">
        <f>VLOOKUP(Presentación!$F$21,$A$12:$O$73,$R$12,FALSE)</f>
        <v>129.56677197435909</v>
      </c>
      <c r="L6" s="182">
        <f>+K6*Presentación!$G$21</f>
        <v>64783.385987179543</v>
      </c>
    </row>
    <row r="7" spans="1:18" ht="14.5" x14ac:dyDescent="0.35">
      <c r="A7" s="3" t="s">
        <v>46</v>
      </c>
      <c r="C7" s="31">
        <v>1.2</v>
      </c>
      <c r="D7" s="16"/>
      <c r="E7" s="16"/>
      <c r="H7" s="5">
        <v>0.04</v>
      </c>
      <c r="I7" s="5">
        <v>0.06</v>
      </c>
    </row>
    <row r="8" spans="1:18" ht="14.5" x14ac:dyDescent="0.35">
      <c r="A8" s="3" t="s">
        <v>47</v>
      </c>
    </row>
    <row r="9" spans="1:18" ht="13" x14ac:dyDescent="0.3">
      <c r="A9" s="145" t="s">
        <v>48</v>
      </c>
      <c r="B9" s="146">
        <v>0</v>
      </c>
      <c r="C9" s="146">
        <v>100</v>
      </c>
      <c r="D9" s="146">
        <v>200</v>
      </c>
      <c r="E9" s="146">
        <v>300</v>
      </c>
      <c r="F9" s="146">
        <v>400</v>
      </c>
      <c r="G9" s="146">
        <v>500</v>
      </c>
      <c r="H9" s="146">
        <v>600</v>
      </c>
      <c r="I9" s="146">
        <v>700</v>
      </c>
      <c r="J9" s="146">
        <v>750</v>
      </c>
      <c r="K9" s="146">
        <v>800</v>
      </c>
      <c r="L9" s="146">
        <v>900</v>
      </c>
      <c r="M9" s="146">
        <v>1000</v>
      </c>
      <c r="N9" s="146">
        <v>1500</v>
      </c>
      <c r="O9" s="146">
        <v>2000</v>
      </c>
    </row>
    <row r="10" spans="1:18" ht="13" x14ac:dyDescent="0.3">
      <c r="A10" s="145"/>
      <c r="B10" s="146">
        <v>1</v>
      </c>
      <c r="C10" s="247">
        <v>0.9441577787244706</v>
      </c>
      <c r="D10" s="247">
        <v>0.91121894023401817</v>
      </c>
      <c r="E10" s="247">
        <v>0.87942923921354033</v>
      </c>
      <c r="F10" s="247">
        <v>0.84874858569674128</v>
      </c>
      <c r="G10" s="247">
        <v>0.81913828833623692</v>
      </c>
      <c r="H10" s="247">
        <v>0.79056100560992815</v>
      </c>
      <c r="I10" s="247">
        <v>0.76298069872963703</v>
      </c>
      <c r="J10" s="247">
        <v>0.74955349410939831</v>
      </c>
      <c r="K10" s="247">
        <v>0.73636258619261996</v>
      </c>
      <c r="L10" s="247">
        <v>0.71067309991864336</v>
      </c>
      <c r="M10" s="247">
        <v>0.68587984291730431</v>
      </c>
      <c r="N10" s="247">
        <v>0.57430004874484042</v>
      </c>
      <c r="O10" s="247">
        <v>0.48087219561005834</v>
      </c>
    </row>
    <row r="11" spans="1:18" ht="31.5" customHeight="1" x14ac:dyDescent="0.25">
      <c r="A11" s="146" t="s">
        <v>49</v>
      </c>
      <c r="B11" s="146" t="s">
        <v>44</v>
      </c>
      <c r="C11" s="146" t="s">
        <v>44</v>
      </c>
      <c r="D11" s="146" t="s">
        <v>44</v>
      </c>
      <c r="E11" s="146" t="s">
        <v>44</v>
      </c>
      <c r="F11" s="146" t="s">
        <v>44</v>
      </c>
      <c r="G11" s="146" t="s">
        <v>44</v>
      </c>
      <c r="H11" s="146" t="s">
        <v>44</v>
      </c>
      <c r="I11" s="146" t="s">
        <v>44</v>
      </c>
      <c r="J11" s="146" t="s">
        <v>44</v>
      </c>
      <c r="K11" s="146" t="s">
        <v>44</v>
      </c>
      <c r="L11" s="146" t="s">
        <v>44</v>
      </c>
      <c r="M11" s="146" t="s">
        <v>44</v>
      </c>
      <c r="N11" s="146" t="s">
        <v>44</v>
      </c>
      <c r="O11" s="146" t="s">
        <v>44</v>
      </c>
    </row>
    <row r="12" spans="1:18" ht="13" x14ac:dyDescent="0.3">
      <c r="A12" s="13">
        <v>1000</v>
      </c>
      <c r="B12" s="30">
        <v>55.27</v>
      </c>
      <c r="C12" s="30">
        <f>$B12*C$10</f>
        <v>52.183600430101492</v>
      </c>
      <c r="D12" s="30">
        <f t="shared" ref="D12:O12" si="0">$B12*D$10</f>
        <v>50.363070826734187</v>
      </c>
      <c r="E12" s="30">
        <f t="shared" si="0"/>
        <v>48.606054051332379</v>
      </c>
      <c r="F12" s="30">
        <f t="shared" si="0"/>
        <v>46.910334331458891</v>
      </c>
      <c r="G12" s="30">
        <f t="shared" si="0"/>
        <v>45.273773196343818</v>
      </c>
      <c r="H12" s="30">
        <f t="shared" si="0"/>
        <v>43.694306780060728</v>
      </c>
      <c r="I12" s="30">
        <f t="shared" si="0"/>
        <v>42.16994321878704</v>
      </c>
      <c r="J12" s="30">
        <f t="shared" si="0"/>
        <v>41.427821619426446</v>
      </c>
      <c r="K12" s="30">
        <f t="shared" si="0"/>
        <v>40.698760138866106</v>
      </c>
      <c r="L12" s="30">
        <f t="shared" si="0"/>
        <v>39.27890223250342</v>
      </c>
      <c r="M12" s="30">
        <f t="shared" si="0"/>
        <v>37.90857891803941</v>
      </c>
      <c r="N12" s="30">
        <f t="shared" si="0"/>
        <v>31.741563694127333</v>
      </c>
      <c r="O12" s="30">
        <f t="shared" si="0"/>
        <v>26.577806251367925</v>
      </c>
      <c r="R12" s="4">
        <f>VLOOKUP(Presentación!D16,$Q$13:$R$26,2,FALSE)</f>
        <v>3</v>
      </c>
    </row>
    <row r="13" spans="1:18" ht="13" x14ac:dyDescent="0.3">
      <c r="A13" s="13">
        <v>2000</v>
      </c>
      <c r="B13" s="30">
        <v>72.92</v>
      </c>
      <c r="C13" s="30">
        <f>$B13*C$10</f>
        <v>68.847985224588399</v>
      </c>
      <c r="D13" s="30">
        <f t="shared" ref="D13:O13" si="1">$B13*D$10</f>
        <v>66.446085121864613</v>
      </c>
      <c r="E13" s="30">
        <f t="shared" si="1"/>
        <v>64.127980123451366</v>
      </c>
      <c r="F13" s="30">
        <f t="shared" si="1"/>
        <v>61.890746869006378</v>
      </c>
      <c r="G13" s="30">
        <f t="shared" si="1"/>
        <v>59.731563985478395</v>
      </c>
      <c r="H13" s="30">
        <f t="shared" si="1"/>
        <v>57.647708529075963</v>
      </c>
      <c r="I13" s="30">
        <f t="shared" si="1"/>
        <v>55.636552551365135</v>
      </c>
      <c r="J13" s="30">
        <f t="shared" si="1"/>
        <v>54.657440790457329</v>
      </c>
      <c r="K13" s="30">
        <f t="shared" si="1"/>
        <v>53.695559785165848</v>
      </c>
      <c r="L13" s="30">
        <f t="shared" si="1"/>
        <v>51.822282446067476</v>
      </c>
      <c r="M13" s="30">
        <f t="shared" si="1"/>
        <v>50.014358145529833</v>
      </c>
      <c r="N13" s="30">
        <f t="shared" si="1"/>
        <v>41.877959554473762</v>
      </c>
      <c r="O13" s="30">
        <f t="shared" si="1"/>
        <v>35.065200503885457</v>
      </c>
      <c r="Q13" s="11">
        <v>0</v>
      </c>
      <c r="R13" s="4">
        <v>2</v>
      </c>
    </row>
    <row r="14" spans="1:18" ht="13" x14ac:dyDescent="0.3">
      <c r="A14" s="13">
        <v>3000</v>
      </c>
      <c r="B14" s="30">
        <v>83.24</v>
      </c>
      <c r="C14" s="30">
        <f t="shared" ref="C14:O73" si="2">$B14*C$10</f>
        <v>78.591693501024935</v>
      </c>
      <c r="D14" s="30">
        <f t="shared" si="2"/>
        <v>75.849864585079672</v>
      </c>
      <c r="E14" s="30">
        <f t="shared" si="2"/>
        <v>73.203689872135087</v>
      </c>
      <c r="F14" s="30">
        <f t="shared" si="2"/>
        <v>70.64983227339674</v>
      </c>
      <c r="G14" s="30">
        <f t="shared" si="2"/>
        <v>68.185071121108351</v>
      </c>
      <c r="H14" s="30">
        <f t="shared" si="2"/>
        <v>65.806298106970416</v>
      </c>
      <c r="I14" s="30">
        <f t="shared" si="2"/>
        <v>63.510513362254983</v>
      </c>
      <c r="J14" s="30">
        <f t="shared" si="2"/>
        <v>62.392832849666313</v>
      </c>
      <c r="K14" s="30">
        <f t="shared" si="2"/>
        <v>61.294821674673685</v>
      </c>
      <c r="L14" s="30">
        <f t="shared" si="2"/>
        <v>59.156428837227871</v>
      </c>
      <c r="M14" s="30">
        <f t="shared" si="2"/>
        <v>57.092638124436405</v>
      </c>
      <c r="N14" s="30">
        <f t="shared" si="2"/>
        <v>47.804736057520515</v>
      </c>
      <c r="O14" s="30">
        <f t="shared" si="2"/>
        <v>40.027801562581253</v>
      </c>
      <c r="Q14" s="11">
        <v>100</v>
      </c>
      <c r="R14" s="4">
        <v>3</v>
      </c>
    </row>
    <row r="15" spans="1:18" ht="13" x14ac:dyDescent="0.3">
      <c r="A15" s="13">
        <v>4000</v>
      </c>
      <c r="B15" s="30">
        <v>90.57</v>
      </c>
      <c r="C15" s="30">
        <f t="shared" si="2"/>
        <v>85.512370019075291</v>
      </c>
      <c r="D15" s="30">
        <f t="shared" si="2"/>
        <v>82.529099416995024</v>
      </c>
      <c r="E15" s="30">
        <f t="shared" si="2"/>
        <v>79.649906195570338</v>
      </c>
      <c r="F15" s="30">
        <f t="shared" si="2"/>
        <v>76.871159406553858</v>
      </c>
      <c r="G15" s="30">
        <f t="shared" si="2"/>
        <v>74.189354774612966</v>
      </c>
      <c r="H15" s="30">
        <f t="shared" si="2"/>
        <v>71.601110278091184</v>
      </c>
      <c r="I15" s="30">
        <f t="shared" si="2"/>
        <v>69.103161883943216</v>
      </c>
      <c r="J15" s="30">
        <f t="shared" si="2"/>
        <v>67.887059961488205</v>
      </c>
      <c r="K15" s="30">
        <f t="shared" si="2"/>
        <v>66.69235943146559</v>
      </c>
      <c r="L15" s="30">
        <f t="shared" si="2"/>
        <v>64.365662659631525</v>
      </c>
      <c r="M15" s="30">
        <f t="shared" si="2"/>
        <v>62.120137373020249</v>
      </c>
      <c r="N15" s="30">
        <f t="shared" si="2"/>
        <v>52.014355414820194</v>
      </c>
      <c r="O15" s="30">
        <f t="shared" si="2"/>
        <v>43.552594756402982</v>
      </c>
      <c r="Q15" s="11">
        <v>200</v>
      </c>
      <c r="R15" s="4">
        <v>4</v>
      </c>
    </row>
    <row r="16" spans="1:18" ht="13" x14ac:dyDescent="0.3">
      <c r="A16" s="13">
        <v>5000</v>
      </c>
      <c r="B16" s="30">
        <v>96.25</v>
      </c>
      <c r="C16" s="30">
        <f t="shared" si="2"/>
        <v>90.875186202230296</v>
      </c>
      <c r="D16" s="30">
        <f t="shared" si="2"/>
        <v>87.704822997524246</v>
      </c>
      <c r="E16" s="30">
        <f t="shared" si="2"/>
        <v>84.645064274303252</v>
      </c>
      <c r="F16" s="30">
        <f t="shared" si="2"/>
        <v>81.692051373311344</v>
      </c>
      <c r="G16" s="30">
        <f t="shared" si="2"/>
        <v>78.842060252362799</v>
      </c>
      <c r="H16" s="30">
        <f t="shared" si="2"/>
        <v>76.091496789955585</v>
      </c>
      <c r="I16" s="30">
        <f t="shared" si="2"/>
        <v>73.43689225272756</v>
      </c>
      <c r="J16" s="30">
        <f t="shared" si="2"/>
        <v>72.144523808029589</v>
      </c>
      <c r="K16" s="30">
        <f t="shared" si="2"/>
        <v>70.874898921039673</v>
      </c>
      <c r="L16" s="30">
        <f t="shared" si="2"/>
        <v>68.402285867169425</v>
      </c>
      <c r="M16" s="30">
        <f t="shared" si="2"/>
        <v>66.015934880790539</v>
      </c>
      <c r="N16" s="30">
        <f t="shared" si="2"/>
        <v>55.276379691690892</v>
      </c>
      <c r="O16" s="30">
        <f t="shared" si="2"/>
        <v>46.283948827468116</v>
      </c>
      <c r="Q16" s="11">
        <v>300</v>
      </c>
      <c r="R16" s="4">
        <v>5</v>
      </c>
    </row>
    <row r="17" spans="1:18" ht="13" x14ac:dyDescent="0.3">
      <c r="A17" s="13">
        <v>6000</v>
      </c>
      <c r="B17" s="30">
        <v>100.89</v>
      </c>
      <c r="C17" s="30">
        <f t="shared" si="2"/>
        <v>95.256078295511841</v>
      </c>
      <c r="D17" s="30">
        <f t="shared" si="2"/>
        <v>91.932878880210097</v>
      </c>
      <c r="E17" s="30">
        <f t="shared" si="2"/>
        <v>88.725615944254088</v>
      </c>
      <c r="F17" s="30">
        <f t="shared" si="2"/>
        <v>85.630244810944234</v>
      </c>
      <c r="G17" s="30">
        <f t="shared" si="2"/>
        <v>82.642861910242942</v>
      </c>
      <c r="H17" s="30">
        <f t="shared" si="2"/>
        <v>79.759699855985644</v>
      </c>
      <c r="I17" s="30">
        <f t="shared" si="2"/>
        <v>76.977122694833085</v>
      </c>
      <c r="J17" s="30">
        <f t="shared" si="2"/>
        <v>75.622452020697196</v>
      </c>
      <c r="K17" s="30">
        <f t="shared" si="2"/>
        <v>74.291621320973434</v>
      </c>
      <c r="L17" s="30">
        <f t="shared" si="2"/>
        <v>71.699809050791927</v>
      </c>
      <c r="M17" s="30">
        <f t="shared" si="2"/>
        <v>69.198417351926835</v>
      </c>
      <c r="N17" s="30">
        <f t="shared" si="2"/>
        <v>57.941131917866947</v>
      </c>
      <c r="O17" s="30">
        <f t="shared" si="2"/>
        <v>48.515195815098785</v>
      </c>
      <c r="Q17" s="11">
        <v>400</v>
      </c>
      <c r="R17" s="4">
        <v>6</v>
      </c>
    </row>
    <row r="18" spans="1:18" ht="13" x14ac:dyDescent="0.3">
      <c r="A18" s="13">
        <v>7000</v>
      </c>
      <c r="B18" s="30">
        <v>104.82</v>
      </c>
      <c r="C18" s="30">
        <f t="shared" si="2"/>
        <v>98.966618365898995</v>
      </c>
      <c r="D18" s="30">
        <f t="shared" si="2"/>
        <v>95.513969315329774</v>
      </c>
      <c r="E18" s="30">
        <f t="shared" si="2"/>
        <v>92.181772854363288</v>
      </c>
      <c r="F18" s="30">
        <f t="shared" si="2"/>
        <v>88.965826752732411</v>
      </c>
      <c r="G18" s="30">
        <f t="shared" si="2"/>
        <v>85.862075383404346</v>
      </c>
      <c r="H18" s="30">
        <f t="shared" si="2"/>
        <v>82.866604608032659</v>
      </c>
      <c r="I18" s="30">
        <f t="shared" si="2"/>
        <v>79.975636840840551</v>
      </c>
      <c r="J18" s="30">
        <f t="shared" si="2"/>
        <v>78.568197252547122</v>
      </c>
      <c r="K18" s="30">
        <f t="shared" si="2"/>
        <v>77.18552628471042</v>
      </c>
      <c r="L18" s="30">
        <f t="shared" si="2"/>
        <v>74.492754333472192</v>
      </c>
      <c r="M18" s="30">
        <f t="shared" si="2"/>
        <v>71.893925134591839</v>
      </c>
      <c r="N18" s="30">
        <f t="shared" si="2"/>
        <v>60.198131109434172</v>
      </c>
      <c r="O18" s="30">
        <f t="shared" si="2"/>
        <v>50.405023543846312</v>
      </c>
      <c r="Q18" s="11">
        <v>500</v>
      </c>
      <c r="R18" s="12">
        <v>7</v>
      </c>
    </row>
    <row r="19" spans="1:18" ht="13" x14ac:dyDescent="0.3">
      <c r="A19" s="13">
        <v>8000</v>
      </c>
      <c r="B19" s="30">
        <v>108.22</v>
      </c>
      <c r="C19" s="30">
        <f t="shared" si="2"/>
        <v>102.17675481356221</v>
      </c>
      <c r="D19" s="30">
        <f t="shared" si="2"/>
        <v>98.612113712125449</v>
      </c>
      <c r="E19" s="30">
        <f t="shared" si="2"/>
        <v>95.171832267689339</v>
      </c>
      <c r="F19" s="30">
        <f t="shared" si="2"/>
        <v>91.851571944101337</v>
      </c>
      <c r="G19" s="30">
        <f t="shared" si="2"/>
        <v>88.647145563747557</v>
      </c>
      <c r="H19" s="30">
        <f t="shared" si="2"/>
        <v>85.554512027106426</v>
      </c>
      <c r="I19" s="30">
        <f t="shared" si="2"/>
        <v>82.569771216521318</v>
      </c>
      <c r="J19" s="30">
        <f t="shared" si="2"/>
        <v>81.116679132519081</v>
      </c>
      <c r="K19" s="30">
        <f t="shared" si="2"/>
        <v>79.689159077765325</v>
      </c>
      <c r="L19" s="30">
        <f t="shared" si="2"/>
        <v>76.909042873195588</v>
      </c>
      <c r="M19" s="30">
        <f t="shared" si="2"/>
        <v>74.225916600510672</v>
      </c>
      <c r="N19" s="30">
        <f t="shared" si="2"/>
        <v>62.150751275166627</v>
      </c>
      <c r="O19" s="30">
        <f t="shared" si="2"/>
        <v>52.039989008920514</v>
      </c>
      <c r="Q19" s="11">
        <v>600</v>
      </c>
      <c r="R19" s="4">
        <v>8</v>
      </c>
    </row>
    <row r="20" spans="1:18" ht="13" x14ac:dyDescent="0.3">
      <c r="A20" s="13">
        <v>9000</v>
      </c>
      <c r="B20" s="30">
        <v>111.22</v>
      </c>
      <c r="C20" s="30">
        <f t="shared" si="2"/>
        <v>105.00922814973562</v>
      </c>
      <c r="D20" s="30">
        <f t="shared" si="2"/>
        <v>101.3457705328275</v>
      </c>
      <c r="E20" s="30">
        <f t="shared" si="2"/>
        <v>97.810119985329948</v>
      </c>
      <c r="F20" s="30">
        <f t="shared" si="2"/>
        <v>94.39781770119157</v>
      </c>
      <c r="G20" s="30">
        <f t="shared" si="2"/>
        <v>91.104560428756272</v>
      </c>
      <c r="H20" s="30">
        <f t="shared" si="2"/>
        <v>87.926195043936204</v>
      </c>
      <c r="I20" s="30">
        <f t="shared" si="2"/>
        <v>84.858713312710236</v>
      </c>
      <c r="J20" s="30">
        <f t="shared" si="2"/>
        <v>83.365339614847272</v>
      </c>
      <c r="K20" s="30">
        <f t="shared" si="2"/>
        <v>81.898246836343191</v>
      </c>
      <c r="L20" s="30">
        <f t="shared" si="2"/>
        <v>79.041062172951513</v>
      </c>
      <c r="M20" s="30">
        <f t="shared" si="2"/>
        <v>76.283556129262578</v>
      </c>
      <c r="N20" s="30">
        <f t="shared" si="2"/>
        <v>63.873651421401149</v>
      </c>
      <c r="O20" s="30">
        <f t="shared" si="2"/>
        <v>53.482605595750691</v>
      </c>
      <c r="Q20" s="11">
        <v>700</v>
      </c>
      <c r="R20" s="4">
        <v>9</v>
      </c>
    </row>
    <row r="21" spans="1:18" ht="13" x14ac:dyDescent="0.3">
      <c r="A21" s="13">
        <v>10000</v>
      </c>
      <c r="B21" s="30">
        <v>113.9</v>
      </c>
      <c r="C21" s="30">
        <f t="shared" si="2"/>
        <v>107.5395709967172</v>
      </c>
      <c r="D21" s="30">
        <f t="shared" si="2"/>
        <v>103.78783729265467</v>
      </c>
      <c r="E21" s="30">
        <f t="shared" si="2"/>
        <v>100.16699034642225</v>
      </c>
      <c r="F21" s="30">
        <f t="shared" si="2"/>
        <v>96.672463910858838</v>
      </c>
      <c r="G21" s="30">
        <f t="shared" si="2"/>
        <v>93.299851041497391</v>
      </c>
      <c r="H21" s="30">
        <f t="shared" si="2"/>
        <v>90.044898538970827</v>
      </c>
      <c r="I21" s="30">
        <f t="shared" si="2"/>
        <v>86.903501585305662</v>
      </c>
      <c r="J21" s="30">
        <f t="shared" si="2"/>
        <v>85.374142979060466</v>
      </c>
      <c r="K21" s="30">
        <f t="shared" si="2"/>
        <v>83.871698567339422</v>
      </c>
      <c r="L21" s="30">
        <f t="shared" si="2"/>
        <v>80.945666080733488</v>
      </c>
      <c r="M21" s="30">
        <f t="shared" si="2"/>
        <v>78.121714108280969</v>
      </c>
      <c r="N21" s="30">
        <f t="shared" si="2"/>
        <v>65.412775552037331</v>
      </c>
      <c r="O21" s="30">
        <f t="shared" si="2"/>
        <v>54.771343079985648</v>
      </c>
      <c r="Q21" s="11">
        <v>750</v>
      </c>
      <c r="R21" s="4">
        <v>10</v>
      </c>
    </row>
    <row r="22" spans="1:18" ht="13" x14ac:dyDescent="0.3">
      <c r="A22" s="13">
        <v>11000</v>
      </c>
      <c r="B22" s="30">
        <v>116.32</v>
      </c>
      <c r="C22" s="30">
        <f t="shared" si="2"/>
        <v>109.82443282123042</v>
      </c>
      <c r="D22" s="30">
        <f t="shared" si="2"/>
        <v>105.99298712802099</v>
      </c>
      <c r="E22" s="30">
        <f t="shared" si="2"/>
        <v>102.295209105319</v>
      </c>
      <c r="F22" s="30">
        <f t="shared" si="2"/>
        <v>98.726435488244945</v>
      </c>
      <c r="G22" s="30">
        <f t="shared" si="2"/>
        <v>95.282165699271076</v>
      </c>
      <c r="H22" s="30">
        <f t="shared" si="2"/>
        <v>91.958056172546833</v>
      </c>
      <c r="I22" s="30">
        <f t="shared" si="2"/>
        <v>88.749914876231372</v>
      </c>
      <c r="J22" s="30">
        <f t="shared" si="2"/>
        <v>87.188062434805204</v>
      </c>
      <c r="K22" s="30">
        <f t="shared" si="2"/>
        <v>85.653696025925555</v>
      </c>
      <c r="L22" s="30">
        <f t="shared" si="2"/>
        <v>82.665494982536586</v>
      </c>
      <c r="M22" s="30">
        <f t="shared" si="2"/>
        <v>79.781543328140827</v>
      </c>
      <c r="N22" s="30">
        <f t="shared" si="2"/>
        <v>66.802581669999839</v>
      </c>
      <c r="O22" s="30">
        <f t="shared" si="2"/>
        <v>55.93505379336198</v>
      </c>
      <c r="Q22" s="11">
        <v>800</v>
      </c>
      <c r="R22" s="4">
        <v>11</v>
      </c>
    </row>
    <row r="23" spans="1:18" ht="13" x14ac:dyDescent="0.3">
      <c r="A23" s="13">
        <v>12000</v>
      </c>
      <c r="B23" s="30">
        <v>118.54</v>
      </c>
      <c r="C23" s="30">
        <f t="shared" si="2"/>
        <v>111.92046308999875</v>
      </c>
      <c r="D23" s="30">
        <f t="shared" si="2"/>
        <v>108.01589317534052</v>
      </c>
      <c r="E23" s="30">
        <f t="shared" si="2"/>
        <v>104.24754201637307</v>
      </c>
      <c r="F23" s="30">
        <f t="shared" si="2"/>
        <v>100.61065734849171</v>
      </c>
      <c r="G23" s="30">
        <f t="shared" si="2"/>
        <v>97.100652699377534</v>
      </c>
      <c r="H23" s="30">
        <f t="shared" si="2"/>
        <v>93.713101605000887</v>
      </c>
      <c r="I23" s="30">
        <f t="shared" si="2"/>
        <v>90.443732027411173</v>
      </c>
      <c r="J23" s="30">
        <f t="shared" si="2"/>
        <v>88.852071191728086</v>
      </c>
      <c r="K23" s="30">
        <f t="shared" si="2"/>
        <v>87.288420967273169</v>
      </c>
      <c r="L23" s="30">
        <f t="shared" si="2"/>
        <v>84.243189264355991</v>
      </c>
      <c r="M23" s="30">
        <f t="shared" si="2"/>
        <v>81.304196579417251</v>
      </c>
      <c r="N23" s="30">
        <f t="shared" si="2"/>
        <v>68.07752777821338</v>
      </c>
      <c r="O23" s="30">
        <f t="shared" si="2"/>
        <v>57.002590067616318</v>
      </c>
      <c r="Q23" s="11">
        <v>900</v>
      </c>
      <c r="R23" s="4">
        <v>12</v>
      </c>
    </row>
    <row r="24" spans="1:18" ht="13" x14ac:dyDescent="0.3">
      <c r="A24" s="13">
        <v>13000</v>
      </c>
      <c r="B24" s="30">
        <v>120.58</v>
      </c>
      <c r="C24" s="30">
        <f t="shared" si="2"/>
        <v>113.84654495859667</v>
      </c>
      <c r="D24" s="30">
        <f t="shared" si="2"/>
        <v>109.87477981341792</v>
      </c>
      <c r="E24" s="30">
        <f t="shared" si="2"/>
        <v>106.04157766436869</v>
      </c>
      <c r="F24" s="30">
        <f t="shared" si="2"/>
        <v>102.34210446331306</v>
      </c>
      <c r="G24" s="30">
        <f t="shared" si="2"/>
        <v>98.771694807583444</v>
      </c>
      <c r="H24" s="30">
        <f t="shared" si="2"/>
        <v>95.32584605644513</v>
      </c>
      <c r="I24" s="30">
        <f t="shared" si="2"/>
        <v>92.000212652819627</v>
      </c>
      <c r="J24" s="30">
        <f t="shared" si="2"/>
        <v>90.381160319711242</v>
      </c>
      <c r="K24" s="30">
        <f t="shared" si="2"/>
        <v>88.790600643106117</v>
      </c>
      <c r="L24" s="30">
        <f t="shared" si="2"/>
        <v>85.692962388190011</v>
      </c>
      <c r="M24" s="30">
        <f t="shared" si="2"/>
        <v>82.703391458968554</v>
      </c>
      <c r="N24" s="30">
        <f t="shared" si="2"/>
        <v>69.249099877652853</v>
      </c>
      <c r="O24" s="30">
        <f t="shared" si="2"/>
        <v>57.983569346660836</v>
      </c>
      <c r="Q24" s="11">
        <v>1000</v>
      </c>
      <c r="R24" s="4">
        <v>13</v>
      </c>
    </row>
    <row r="25" spans="1:18" ht="13" x14ac:dyDescent="0.3">
      <c r="A25" s="13">
        <v>14000</v>
      </c>
      <c r="B25" s="30">
        <v>122.47</v>
      </c>
      <c r="C25" s="30">
        <f t="shared" si="2"/>
        <v>115.63100316038592</v>
      </c>
      <c r="D25" s="30">
        <f t="shared" si="2"/>
        <v>111.5969836104602</v>
      </c>
      <c r="E25" s="30">
        <f t="shared" si="2"/>
        <v>107.70369892648229</v>
      </c>
      <c r="F25" s="30">
        <f t="shared" si="2"/>
        <v>103.94623929027991</v>
      </c>
      <c r="G25" s="30">
        <f t="shared" si="2"/>
        <v>100.31986617253894</v>
      </c>
      <c r="H25" s="30">
        <f t="shared" si="2"/>
        <v>96.820006357047902</v>
      </c>
      <c r="I25" s="30">
        <f t="shared" si="2"/>
        <v>93.442246173418653</v>
      </c>
      <c r="J25" s="30">
        <f t="shared" si="2"/>
        <v>91.797816423578013</v>
      </c>
      <c r="K25" s="30">
        <f t="shared" si="2"/>
        <v>90.182325931010169</v>
      </c>
      <c r="L25" s="30">
        <f t="shared" si="2"/>
        <v>87.036134547036255</v>
      </c>
      <c r="M25" s="30">
        <f t="shared" si="2"/>
        <v>83.999704362082255</v>
      </c>
      <c r="N25" s="30">
        <f t="shared" si="2"/>
        <v>70.334526969780612</v>
      </c>
      <c r="O25" s="30">
        <f t="shared" si="2"/>
        <v>58.892417796363844</v>
      </c>
      <c r="Q25" s="11">
        <v>1500</v>
      </c>
      <c r="R25" s="4">
        <v>14</v>
      </c>
    </row>
    <row r="26" spans="1:18" ht="13" x14ac:dyDescent="0.3">
      <c r="A26" s="13">
        <v>15000</v>
      </c>
      <c r="B26" s="30">
        <v>124.22</v>
      </c>
      <c r="C26" s="30">
        <f t="shared" si="2"/>
        <v>117.28327927315374</v>
      </c>
      <c r="D26" s="30">
        <f t="shared" si="2"/>
        <v>113.19161675586973</v>
      </c>
      <c r="E26" s="30">
        <f t="shared" si="2"/>
        <v>109.24270009510597</v>
      </c>
      <c r="F26" s="30">
        <f t="shared" si="2"/>
        <v>105.4315493152492</v>
      </c>
      <c r="G26" s="30">
        <f t="shared" si="2"/>
        <v>101.75335817712735</v>
      </c>
      <c r="H26" s="30">
        <f t="shared" si="2"/>
        <v>98.203488116865273</v>
      </c>
      <c r="I26" s="30">
        <f t="shared" si="2"/>
        <v>94.777462396195517</v>
      </c>
      <c r="J26" s="30">
        <f t="shared" si="2"/>
        <v>93.109535038269456</v>
      </c>
      <c r="K26" s="30">
        <f t="shared" si="2"/>
        <v>91.470960456847251</v>
      </c>
      <c r="L26" s="30">
        <f t="shared" si="2"/>
        <v>88.279812471893877</v>
      </c>
      <c r="M26" s="30">
        <f t="shared" si="2"/>
        <v>85.199994087187534</v>
      </c>
      <c r="N26" s="30">
        <f t="shared" si="2"/>
        <v>71.33955205508407</v>
      </c>
      <c r="O26" s="30">
        <f t="shared" si="2"/>
        <v>59.733944138681444</v>
      </c>
      <c r="Q26" s="11">
        <v>2000</v>
      </c>
      <c r="R26" s="4">
        <v>15</v>
      </c>
    </row>
    <row r="27" spans="1:18" ht="13" x14ac:dyDescent="0.3">
      <c r="A27" s="13">
        <v>16000</v>
      </c>
      <c r="B27" s="30">
        <v>125.86</v>
      </c>
      <c r="C27" s="30">
        <f t="shared" si="2"/>
        <v>118.83169803026188</v>
      </c>
      <c r="D27" s="30">
        <f t="shared" si="2"/>
        <v>114.68601581785353</v>
      </c>
      <c r="E27" s="30">
        <f t="shared" si="2"/>
        <v>110.68496404741619</v>
      </c>
      <c r="F27" s="30">
        <f t="shared" si="2"/>
        <v>106.82349699579186</v>
      </c>
      <c r="G27" s="30">
        <f t="shared" si="2"/>
        <v>103.09674496999878</v>
      </c>
      <c r="H27" s="30">
        <f t="shared" si="2"/>
        <v>99.500008166065555</v>
      </c>
      <c r="I27" s="30">
        <f t="shared" si="2"/>
        <v>96.028750742112109</v>
      </c>
      <c r="J27" s="30">
        <f t="shared" si="2"/>
        <v>94.338802768608872</v>
      </c>
      <c r="K27" s="30">
        <f t="shared" si="2"/>
        <v>92.678595098203147</v>
      </c>
      <c r="L27" s="30">
        <f t="shared" si="2"/>
        <v>89.445316355760454</v>
      </c>
      <c r="M27" s="30">
        <f t="shared" si="2"/>
        <v>86.324837029571924</v>
      </c>
      <c r="N27" s="30">
        <f t="shared" si="2"/>
        <v>72.28140413502561</v>
      </c>
      <c r="O27" s="30">
        <f t="shared" si="2"/>
        <v>60.522574539481944</v>
      </c>
    </row>
    <row r="28" spans="1:18" ht="13" x14ac:dyDescent="0.3">
      <c r="A28" s="13">
        <v>17000</v>
      </c>
      <c r="B28" s="30">
        <v>127.41</v>
      </c>
      <c r="C28" s="30">
        <f t="shared" si="2"/>
        <v>120.2951425872848</v>
      </c>
      <c r="D28" s="30">
        <f t="shared" si="2"/>
        <v>116.09840517521626</v>
      </c>
      <c r="E28" s="30">
        <f t="shared" si="2"/>
        <v>112.04807936819716</v>
      </c>
      <c r="F28" s="30">
        <f t="shared" si="2"/>
        <v>108.1390573036218</v>
      </c>
      <c r="G28" s="30">
        <f t="shared" si="2"/>
        <v>104.36640931691994</v>
      </c>
      <c r="H28" s="30">
        <f t="shared" si="2"/>
        <v>100.72537772476095</v>
      </c>
      <c r="I28" s="30">
        <f t="shared" si="2"/>
        <v>97.21137082514305</v>
      </c>
      <c r="J28" s="30">
        <f t="shared" si="2"/>
        <v>95.500610684478431</v>
      </c>
      <c r="K28" s="30">
        <f t="shared" si="2"/>
        <v>93.819957106801709</v>
      </c>
      <c r="L28" s="30">
        <f t="shared" si="2"/>
        <v>90.546859660634354</v>
      </c>
      <c r="M28" s="30">
        <f t="shared" si="2"/>
        <v>87.387950786093739</v>
      </c>
      <c r="N28" s="30">
        <f t="shared" si="2"/>
        <v>73.171569210580117</v>
      </c>
      <c r="O28" s="30">
        <f t="shared" si="2"/>
        <v>61.267926442677535</v>
      </c>
    </row>
    <row r="29" spans="1:18" ht="13" x14ac:dyDescent="0.3">
      <c r="A29" s="13">
        <v>18000</v>
      </c>
      <c r="B29" s="30">
        <v>128.86000000000001</v>
      </c>
      <c r="C29" s="30">
        <f t="shared" si="2"/>
        <v>121.6641713664353</v>
      </c>
      <c r="D29" s="30">
        <f t="shared" si="2"/>
        <v>117.4196726385556</v>
      </c>
      <c r="E29" s="30">
        <f t="shared" si="2"/>
        <v>113.32325176505682</v>
      </c>
      <c r="F29" s="30">
        <f t="shared" si="2"/>
        <v>109.36974275288209</v>
      </c>
      <c r="G29" s="30">
        <f t="shared" si="2"/>
        <v>105.5541598350075</v>
      </c>
      <c r="H29" s="30">
        <f t="shared" si="2"/>
        <v>101.87169118289535</v>
      </c>
      <c r="I29" s="30">
        <f t="shared" si="2"/>
        <v>98.317692838301042</v>
      </c>
      <c r="J29" s="30">
        <f t="shared" si="2"/>
        <v>96.587463250937077</v>
      </c>
      <c r="K29" s="30">
        <f t="shared" si="2"/>
        <v>94.887682856781012</v>
      </c>
      <c r="L29" s="30">
        <f t="shared" si="2"/>
        <v>91.577335655516393</v>
      </c>
      <c r="M29" s="30">
        <f t="shared" si="2"/>
        <v>88.382476558323845</v>
      </c>
      <c r="N29" s="30">
        <f t="shared" si="2"/>
        <v>74.004304281260147</v>
      </c>
      <c r="O29" s="30">
        <f t="shared" si="2"/>
        <v>61.965191126312121</v>
      </c>
    </row>
    <row r="30" spans="1:18" ht="13" x14ac:dyDescent="0.3">
      <c r="A30" s="13">
        <v>19000</v>
      </c>
      <c r="B30" s="30">
        <v>130.24</v>
      </c>
      <c r="C30" s="30">
        <f t="shared" si="2"/>
        <v>122.96710910107505</v>
      </c>
      <c r="D30" s="30">
        <f t="shared" si="2"/>
        <v>118.67715477607854</v>
      </c>
      <c r="E30" s="30">
        <f t="shared" si="2"/>
        <v>114.5368641151715</v>
      </c>
      <c r="F30" s="30">
        <f t="shared" si="2"/>
        <v>110.54101580114359</v>
      </c>
      <c r="G30" s="30">
        <f t="shared" ref="D30:O45" si="3">$B30*G$10</f>
        <v>106.68457067291151</v>
      </c>
      <c r="H30" s="30">
        <f t="shared" si="3"/>
        <v>102.96266537063705</v>
      </c>
      <c r="I30" s="30">
        <f t="shared" si="3"/>
        <v>99.370606202547933</v>
      </c>
      <c r="J30" s="30">
        <f t="shared" si="3"/>
        <v>97.621847072808038</v>
      </c>
      <c r="K30" s="30">
        <f t="shared" si="3"/>
        <v>95.903863225726838</v>
      </c>
      <c r="L30" s="30">
        <f t="shared" si="3"/>
        <v>92.558064533404121</v>
      </c>
      <c r="M30" s="30">
        <f>$B30*M$10</f>
        <v>89.328990741549717</v>
      </c>
      <c r="N30" s="30">
        <f t="shared" si="3"/>
        <v>74.796838348528027</v>
      </c>
      <c r="O30" s="30">
        <f t="shared" si="3"/>
        <v>62.628794756254003</v>
      </c>
    </row>
    <row r="31" spans="1:18" ht="13" x14ac:dyDescent="0.3">
      <c r="A31" s="13">
        <v>20000</v>
      </c>
      <c r="B31" s="30">
        <v>131.55000000000001</v>
      </c>
      <c r="C31" s="30">
        <f t="shared" si="2"/>
        <v>124.20395579120412</v>
      </c>
      <c r="D31" s="30">
        <f t="shared" si="3"/>
        <v>119.8708515877851</v>
      </c>
      <c r="E31" s="30">
        <f t="shared" si="3"/>
        <v>115.68891641854124</v>
      </c>
      <c r="F31" s="30">
        <f t="shared" si="3"/>
        <v>111.65287644840632</v>
      </c>
      <c r="G31" s="30">
        <f t="shared" si="3"/>
        <v>107.75764183063198</v>
      </c>
      <c r="H31" s="30">
        <f t="shared" si="3"/>
        <v>103.99830028798605</v>
      </c>
      <c r="I31" s="30">
        <f t="shared" si="3"/>
        <v>100.37011091788376</v>
      </c>
      <c r="J31" s="30">
        <f t="shared" si="3"/>
        <v>98.603762150091356</v>
      </c>
      <c r="K31" s="30">
        <f t="shared" si="3"/>
        <v>96.868498213639171</v>
      </c>
      <c r="L31" s="30">
        <f t="shared" si="3"/>
        <v>93.489046294297538</v>
      </c>
      <c r="M31" s="30">
        <f t="shared" si="3"/>
        <v>90.227493335771385</v>
      </c>
      <c r="N31" s="30">
        <f t="shared" si="3"/>
        <v>75.549171412383757</v>
      </c>
      <c r="O31" s="30">
        <f t="shared" si="3"/>
        <v>63.258737332503181</v>
      </c>
    </row>
    <row r="32" spans="1:18" ht="13" x14ac:dyDescent="0.3">
      <c r="A32" s="13">
        <v>21000</v>
      </c>
      <c r="B32" s="30">
        <v>132.79</v>
      </c>
      <c r="C32" s="30">
        <f t="shared" si="2"/>
        <v>125.37471143682244</v>
      </c>
      <c r="D32" s="30">
        <f t="shared" si="3"/>
        <v>121.00076307367526</v>
      </c>
      <c r="E32" s="30">
        <f t="shared" si="3"/>
        <v>116.77940867516601</v>
      </c>
      <c r="F32" s="30">
        <f t="shared" si="3"/>
        <v>112.70532469467027</v>
      </c>
      <c r="G32" s="30">
        <f t="shared" si="3"/>
        <v>108.7733733081689</v>
      </c>
      <c r="H32" s="30">
        <f t="shared" si="3"/>
        <v>104.97859593494235</v>
      </c>
      <c r="I32" s="30">
        <f t="shared" si="3"/>
        <v>101.31620698430849</v>
      </c>
      <c r="J32" s="30">
        <f t="shared" si="3"/>
        <v>99.533208482786989</v>
      </c>
      <c r="K32" s="30">
        <f t="shared" si="3"/>
        <v>97.781587820517998</v>
      </c>
      <c r="L32" s="30">
        <f t="shared" si="3"/>
        <v>94.370280938196643</v>
      </c>
      <c r="M32" s="30">
        <f t="shared" si="3"/>
        <v>91.077984340988834</v>
      </c>
      <c r="N32" s="30">
        <f t="shared" si="3"/>
        <v>76.26130347282735</v>
      </c>
      <c r="O32" s="30">
        <f t="shared" si="3"/>
        <v>63.85501885505964</v>
      </c>
    </row>
    <row r="33" spans="1:15" ht="13" x14ac:dyDescent="0.3">
      <c r="A33" s="13">
        <v>22000</v>
      </c>
      <c r="B33" s="30">
        <v>133.97</v>
      </c>
      <c r="C33" s="30">
        <f t="shared" si="2"/>
        <v>126.48881761571732</v>
      </c>
      <c r="D33" s="30">
        <f t="shared" si="3"/>
        <v>122.07600142315141</v>
      </c>
      <c r="E33" s="30">
        <f t="shared" si="3"/>
        <v>117.81713517743799</v>
      </c>
      <c r="F33" s="30">
        <f t="shared" si="3"/>
        <v>113.70684802579243</v>
      </c>
      <c r="G33" s="30">
        <f t="shared" si="3"/>
        <v>109.73995648840565</v>
      </c>
      <c r="H33" s="30">
        <f t="shared" si="3"/>
        <v>105.91145792156208</v>
      </c>
      <c r="I33" s="30">
        <f t="shared" si="3"/>
        <v>102.21652420880947</v>
      </c>
      <c r="J33" s="30">
        <f t="shared" si="3"/>
        <v>100.41768160583609</v>
      </c>
      <c r="K33" s="30">
        <f t="shared" si="3"/>
        <v>98.65049567222529</v>
      </c>
      <c r="L33" s="30">
        <f t="shared" si="3"/>
        <v>95.208875196100649</v>
      </c>
      <c r="M33" s="30">
        <f t="shared" si="3"/>
        <v>91.887322555631258</v>
      </c>
      <c r="N33" s="30">
        <f t="shared" si="3"/>
        <v>76.938977530346264</v>
      </c>
      <c r="O33" s="30">
        <f t="shared" si="3"/>
        <v>64.42244804587952</v>
      </c>
    </row>
    <row r="34" spans="1:15" ht="13" x14ac:dyDescent="0.3">
      <c r="A34" s="13">
        <v>23000</v>
      </c>
      <c r="B34" s="30">
        <v>135.1</v>
      </c>
      <c r="C34" s="30">
        <f t="shared" si="2"/>
        <v>127.55571590567597</v>
      </c>
      <c r="D34" s="30">
        <f t="shared" si="3"/>
        <v>123.10567882561585</v>
      </c>
      <c r="E34" s="30">
        <f t="shared" si="3"/>
        <v>118.81089021774929</v>
      </c>
      <c r="F34" s="30">
        <f t="shared" si="3"/>
        <v>114.66593392762974</v>
      </c>
      <c r="G34" s="30">
        <f t="shared" si="3"/>
        <v>110.6655827542256</v>
      </c>
      <c r="H34" s="30">
        <f t="shared" si="3"/>
        <v>106.80479185790129</v>
      </c>
      <c r="I34" s="30">
        <f t="shared" si="3"/>
        <v>103.07869239837396</v>
      </c>
      <c r="J34" s="30">
        <f t="shared" si="3"/>
        <v>101.26467705417971</v>
      </c>
      <c r="K34" s="30">
        <f t="shared" si="3"/>
        <v>99.482585394622959</v>
      </c>
      <c r="L34" s="30">
        <f t="shared" si="3"/>
        <v>96.011935799008711</v>
      </c>
      <c r="M34" s="30">
        <f t="shared" si="3"/>
        <v>92.662366778127804</v>
      </c>
      <c r="N34" s="30">
        <f t="shared" si="3"/>
        <v>77.58793658542794</v>
      </c>
      <c r="O34" s="30">
        <f t="shared" si="3"/>
        <v>64.965833626918879</v>
      </c>
    </row>
    <row r="35" spans="1:15" ht="13" x14ac:dyDescent="0.3">
      <c r="A35" s="13">
        <v>24000</v>
      </c>
      <c r="B35" s="30">
        <v>136.19</v>
      </c>
      <c r="C35" s="30">
        <f t="shared" si="2"/>
        <v>128.58484788448564</v>
      </c>
      <c r="D35" s="30">
        <f t="shared" si="3"/>
        <v>124.09890747047093</v>
      </c>
      <c r="E35" s="30">
        <f t="shared" si="3"/>
        <v>119.76946808849206</v>
      </c>
      <c r="F35" s="30">
        <f t="shared" si="3"/>
        <v>115.59106988603919</v>
      </c>
      <c r="G35" s="30">
        <f t="shared" si="3"/>
        <v>111.55844348851211</v>
      </c>
      <c r="H35" s="30">
        <f t="shared" si="3"/>
        <v>107.66650335401611</v>
      </c>
      <c r="I35" s="30">
        <f t="shared" si="3"/>
        <v>103.91034135998926</v>
      </c>
      <c r="J35" s="30">
        <f t="shared" si="3"/>
        <v>102.08169036275895</v>
      </c>
      <c r="K35" s="30">
        <f t="shared" si="3"/>
        <v>100.28522061357292</v>
      </c>
      <c r="L35" s="30">
        <f t="shared" si="3"/>
        <v>96.78656947792004</v>
      </c>
      <c r="M35" s="30">
        <f t="shared" si="3"/>
        <v>93.409975806907667</v>
      </c>
      <c r="N35" s="30">
        <f t="shared" si="3"/>
        <v>78.21392363855982</v>
      </c>
      <c r="O35" s="30">
        <f t="shared" si="3"/>
        <v>65.489984320133843</v>
      </c>
    </row>
    <row r="36" spans="1:15" ht="13" x14ac:dyDescent="0.3">
      <c r="A36" s="13">
        <v>25000</v>
      </c>
      <c r="B36" s="30">
        <v>137.22999999999999</v>
      </c>
      <c r="C36" s="30">
        <f t="shared" si="2"/>
        <v>129.56677197435909</v>
      </c>
      <c r="D36" s="30">
        <f t="shared" si="3"/>
        <v>125.04657516831431</v>
      </c>
      <c r="E36" s="30">
        <f t="shared" si="3"/>
        <v>120.68407449727412</v>
      </c>
      <c r="F36" s="30">
        <f t="shared" si="3"/>
        <v>116.4737684151638</v>
      </c>
      <c r="G36" s="30">
        <f t="shared" si="3"/>
        <v>112.41034730838179</v>
      </c>
      <c r="H36" s="30">
        <f t="shared" si="3"/>
        <v>108.48868679985043</v>
      </c>
      <c r="I36" s="30">
        <f t="shared" si="3"/>
        <v>104.70384128666808</v>
      </c>
      <c r="J36" s="30">
        <f t="shared" si="3"/>
        <v>102.86122599663273</v>
      </c>
      <c r="K36" s="30">
        <f t="shared" si="3"/>
        <v>101.05103770321323</v>
      </c>
      <c r="L36" s="30">
        <f t="shared" si="3"/>
        <v>97.525669501835424</v>
      </c>
      <c r="M36" s="30">
        <f t="shared" si="3"/>
        <v>94.123290843541668</v>
      </c>
      <c r="N36" s="30">
        <f t="shared" si="3"/>
        <v>78.811195689254447</v>
      </c>
      <c r="O36" s="30">
        <f t="shared" si="3"/>
        <v>65.9900914035683</v>
      </c>
    </row>
    <row r="37" spans="1:15" ht="13" x14ac:dyDescent="0.3">
      <c r="A37" s="13">
        <v>26000</v>
      </c>
      <c r="B37" s="30">
        <v>138.22999999999999</v>
      </c>
      <c r="C37" s="30">
        <f t="shared" si="2"/>
        <v>130.51092975308356</v>
      </c>
      <c r="D37" s="30">
        <f t="shared" si="3"/>
        <v>125.95779410854833</v>
      </c>
      <c r="E37" s="30">
        <f t="shared" si="3"/>
        <v>121.56350373648768</v>
      </c>
      <c r="F37" s="30">
        <f t="shared" si="3"/>
        <v>117.32251700086054</v>
      </c>
      <c r="G37" s="30">
        <f t="shared" si="3"/>
        <v>113.22948559671802</v>
      </c>
      <c r="H37" s="30">
        <f t="shared" si="3"/>
        <v>109.27924780546036</v>
      </c>
      <c r="I37" s="30">
        <f t="shared" si="3"/>
        <v>105.46682198539771</v>
      </c>
      <c r="J37" s="30">
        <f t="shared" si="3"/>
        <v>103.61077949074212</v>
      </c>
      <c r="K37" s="30">
        <f t="shared" si="3"/>
        <v>101.78740028940585</v>
      </c>
      <c r="L37" s="30">
        <f t="shared" si="3"/>
        <v>98.23634260175406</v>
      </c>
      <c r="M37" s="30">
        <f t="shared" si="3"/>
        <v>94.80917068645897</v>
      </c>
      <c r="N37" s="30">
        <f t="shared" si="3"/>
        <v>79.385495737999278</v>
      </c>
      <c r="O37" s="30">
        <f t="shared" si="3"/>
        <v>66.470963599178361</v>
      </c>
    </row>
    <row r="38" spans="1:15" ht="13" x14ac:dyDescent="0.3">
      <c r="A38" s="13">
        <v>27000</v>
      </c>
      <c r="B38" s="30">
        <v>139.19</v>
      </c>
      <c r="C38" s="30">
        <f t="shared" si="2"/>
        <v>131.41732122065906</v>
      </c>
      <c r="D38" s="30">
        <f t="shared" si="3"/>
        <v>126.83256429117299</v>
      </c>
      <c r="E38" s="30">
        <f t="shared" si="3"/>
        <v>122.40775580613267</v>
      </c>
      <c r="F38" s="30">
        <f t="shared" si="3"/>
        <v>118.13731564312941</v>
      </c>
      <c r="G38" s="30">
        <f t="shared" si="3"/>
        <v>114.01585835352081</v>
      </c>
      <c r="H38" s="30">
        <f t="shared" si="3"/>
        <v>110.03818637084589</v>
      </c>
      <c r="I38" s="30">
        <f t="shared" si="3"/>
        <v>106.19928345617818</v>
      </c>
      <c r="J38" s="30">
        <f t="shared" si="3"/>
        <v>104.33035084508715</v>
      </c>
      <c r="K38" s="30">
        <f t="shared" si="3"/>
        <v>102.49430837215077</v>
      </c>
      <c r="L38" s="30">
        <f t="shared" si="3"/>
        <v>98.918588777675964</v>
      </c>
      <c r="M38" s="30">
        <f t="shared" si="3"/>
        <v>95.467615335659588</v>
      </c>
      <c r="N38" s="30">
        <f t="shared" si="3"/>
        <v>79.936823784794342</v>
      </c>
      <c r="O38" s="30">
        <f t="shared" si="3"/>
        <v>66.932600906964012</v>
      </c>
    </row>
    <row r="39" spans="1:15" ht="13" x14ac:dyDescent="0.3">
      <c r="A39" s="13">
        <v>28000</v>
      </c>
      <c r="B39" s="30">
        <v>140.11000000000001</v>
      </c>
      <c r="C39" s="30">
        <f t="shared" si="2"/>
        <v>132.28594637708559</v>
      </c>
      <c r="D39" s="30">
        <f t="shared" si="3"/>
        <v>127.67088571618829</v>
      </c>
      <c r="E39" s="30">
        <f t="shared" si="3"/>
        <v>123.21683070620915</v>
      </c>
      <c r="F39" s="30">
        <f t="shared" si="3"/>
        <v>118.91816434197044</v>
      </c>
      <c r="G39" s="30">
        <f t="shared" si="3"/>
        <v>114.76946557879016</v>
      </c>
      <c r="H39" s="30">
        <f t="shared" si="3"/>
        <v>110.76550249600704</v>
      </c>
      <c r="I39" s="30">
        <f t="shared" si="3"/>
        <v>106.90122569900946</v>
      </c>
      <c r="J39" s="30">
        <f t="shared" si="3"/>
        <v>105.0199400596678</v>
      </c>
      <c r="K39" s="30">
        <f t="shared" si="3"/>
        <v>103.17176195144799</v>
      </c>
      <c r="L39" s="30">
        <f t="shared" si="3"/>
        <v>99.572408029601135</v>
      </c>
      <c r="M39" s="30">
        <f t="shared" si="3"/>
        <v>96.098624791143521</v>
      </c>
      <c r="N39" s="30">
        <f t="shared" si="3"/>
        <v>80.465179829639595</v>
      </c>
      <c r="O39" s="30">
        <f t="shared" si="3"/>
        <v>67.375003326925281</v>
      </c>
    </row>
    <row r="40" spans="1:15" ht="13" x14ac:dyDescent="0.3">
      <c r="A40" s="13">
        <v>29000</v>
      </c>
      <c r="B40" s="30">
        <v>141.01</v>
      </c>
      <c r="C40" s="30">
        <f t="shared" si="2"/>
        <v>133.13568837793758</v>
      </c>
      <c r="D40" s="30">
        <f t="shared" si="3"/>
        <v>128.49098276239889</v>
      </c>
      <c r="E40" s="30">
        <f t="shared" si="3"/>
        <v>124.00831702150131</v>
      </c>
      <c r="F40" s="30">
        <f t="shared" si="3"/>
        <v>119.68203806909747</v>
      </c>
      <c r="G40" s="30">
        <f t="shared" si="3"/>
        <v>115.50669003829276</v>
      </c>
      <c r="H40" s="30">
        <f t="shared" si="3"/>
        <v>111.47700740105596</v>
      </c>
      <c r="I40" s="30">
        <f t="shared" si="3"/>
        <v>107.58790832786612</v>
      </c>
      <c r="J40" s="30">
        <f t="shared" si="3"/>
        <v>105.69453820436625</v>
      </c>
      <c r="K40" s="30">
        <f t="shared" si="3"/>
        <v>103.83448827902133</v>
      </c>
      <c r="L40" s="30">
        <f t="shared" si="3"/>
        <v>100.2120138195279</v>
      </c>
      <c r="M40" s="30">
        <f t="shared" si="3"/>
        <v>96.715916649769071</v>
      </c>
      <c r="N40" s="30">
        <f t="shared" si="3"/>
        <v>80.982049873509936</v>
      </c>
      <c r="O40" s="30">
        <f t="shared" si="3"/>
        <v>67.807788302974316</v>
      </c>
    </row>
    <row r="41" spans="1:15" ht="13" x14ac:dyDescent="0.3">
      <c r="A41" s="13">
        <v>30000</v>
      </c>
      <c r="B41" s="30">
        <v>141.87</v>
      </c>
      <c r="C41" s="30">
        <f t="shared" si="2"/>
        <v>133.94766406764066</v>
      </c>
      <c r="D41" s="30">
        <f t="shared" si="3"/>
        <v>129.27463105100017</v>
      </c>
      <c r="E41" s="30">
        <f t="shared" si="3"/>
        <v>124.76462616722498</v>
      </c>
      <c r="F41" s="30">
        <f t="shared" si="3"/>
        <v>120.41196185279669</v>
      </c>
      <c r="G41" s="30">
        <f t="shared" si="3"/>
        <v>116.21114896626193</v>
      </c>
      <c r="H41" s="30">
        <f t="shared" si="3"/>
        <v>112.15688986588052</v>
      </c>
      <c r="I41" s="30">
        <f t="shared" si="3"/>
        <v>108.2440717287736</v>
      </c>
      <c r="J41" s="30">
        <f t="shared" si="3"/>
        <v>106.33915420930035</v>
      </c>
      <c r="K41" s="30">
        <f t="shared" si="3"/>
        <v>104.467760103147</v>
      </c>
      <c r="L41" s="30">
        <f t="shared" si="3"/>
        <v>100.82319268545794</v>
      </c>
      <c r="M41" s="30">
        <f t="shared" si="3"/>
        <v>97.305773314677964</v>
      </c>
      <c r="N41" s="30">
        <f t="shared" si="3"/>
        <v>81.47594791543051</v>
      </c>
      <c r="O41" s="30">
        <f t="shared" si="3"/>
        <v>68.221338391198984</v>
      </c>
    </row>
    <row r="42" spans="1:15" ht="13" x14ac:dyDescent="0.3">
      <c r="A42" s="13">
        <v>31000</v>
      </c>
      <c r="B42" s="30">
        <v>142.69999999999999</v>
      </c>
      <c r="C42" s="30">
        <f t="shared" si="2"/>
        <v>134.73131502398195</v>
      </c>
      <c r="D42" s="30">
        <f t="shared" si="3"/>
        <v>130.03094277139439</v>
      </c>
      <c r="E42" s="30">
        <f t="shared" si="3"/>
        <v>125.49455243577219</v>
      </c>
      <c r="F42" s="30">
        <f t="shared" si="3"/>
        <v>121.11642317892498</v>
      </c>
      <c r="G42" s="30">
        <f t="shared" si="3"/>
        <v>116.891033745581</v>
      </c>
      <c r="H42" s="30">
        <f t="shared" si="3"/>
        <v>112.81305550053673</v>
      </c>
      <c r="I42" s="30">
        <f t="shared" si="3"/>
        <v>108.87734570871919</v>
      </c>
      <c r="J42" s="30">
        <f t="shared" si="3"/>
        <v>106.96128360941113</v>
      </c>
      <c r="K42" s="30">
        <f t="shared" si="3"/>
        <v>105.07894104968686</v>
      </c>
      <c r="L42" s="30">
        <f t="shared" si="3"/>
        <v>101.4130513583904</v>
      </c>
      <c r="M42" s="30">
        <f t="shared" si="3"/>
        <v>97.875053584299323</v>
      </c>
      <c r="N42" s="30">
        <f t="shared" si="3"/>
        <v>81.952616955888715</v>
      </c>
      <c r="O42" s="30">
        <f t="shared" si="3"/>
        <v>68.620462313555322</v>
      </c>
    </row>
    <row r="43" spans="1:15" ht="13" x14ac:dyDescent="0.3">
      <c r="A43" s="13">
        <v>32000</v>
      </c>
      <c r="B43" s="30">
        <v>143.51</v>
      </c>
      <c r="C43" s="30">
        <f t="shared" si="2"/>
        <v>135.49608282474875</v>
      </c>
      <c r="D43" s="30">
        <f t="shared" si="3"/>
        <v>130.76903011298393</v>
      </c>
      <c r="E43" s="30">
        <f t="shared" si="3"/>
        <v>126.20689011953516</v>
      </c>
      <c r="F43" s="30">
        <f t="shared" si="3"/>
        <v>121.80390953333934</v>
      </c>
      <c r="G43" s="30">
        <f t="shared" si="3"/>
        <v>117.55453575913336</v>
      </c>
      <c r="H43" s="30">
        <f t="shared" si="3"/>
        <v>113.45340991508078</v>
      </c>
      <c r="I43" s="30">
        <f t="shared" si="3"/>
        <v>109.4953600746902</v>
      </c>
      <c r="J43" s="30">
        <f t="shared" si="3"/>
        <v>107.56842193963975</v>
      </c>
      <c r="K43" s="30">
        <f t="shared" si="3"/>
        <v>105.67539474450288</v>
      </c>
      <c r="L43" s="30">
        <f t="shared" si="3"/>
        <v>101.9886965693245</v>
      </c>
      <c r="M43" s="30">
        <f t="shared" si="3"/>
        <v>98.43061625706234</v>
      </c>
      <c r="N43" s="30">
        <f t="shared" si="3"/>
        <v>82.41779999537205</v>
      </c>
      <c r="O43" s="30">
        <f t="shared" si="3"/>
        <v>69.009968791999469</v>
      </c>
    </row>
    <row r="44" spans="1:15" ht="13" x14ac:dyDescent="0.3">
      <c r="A44" s="13">
        <v>33000</v>
      </c>
      <c r="B44" s="30">
        <v>144.30000000000001</v>
      </c>
      <c r="C44" s="30">
        <f t="shared" si="2"/>
        <v>136.24196746994113</v>
      </c>
      <c r="D44" s="30">
        <f t="shared" si="3"/>
        <v>131.48889307576883</v>
      </c>
      <c r="E44" s="30">
        <f t="shared" si="3"/>
        <v>126.90163921851388</v>
      </c>
      <c r="F44" s="30">
        <f t="shared" si="3"/>
        <v>122.47442091603978</v>
      </c>
      <c r="G44" s="30">
        <f t="shared" si="3"/>
        <v>118.201655006919</v>
      </c>
      <c r="H44" s="30">
        <f t="shared" si="3"/>
        <v>114.07795310951263</v>
      </c>
      <c r="I44" s="30">
        <f t="shared" si="3"/>
        <v>110.09811482668663</v>
      </c>
      <c r="J44" s="30">
        <f t="shared" si="3"/>
        <v>108.16056919998618</v>
      </c>
      <c r="K44" s="30">
        <f t="shared" si="3"/>
        <v>106.25712118759508</v>
      </c>
      <c r="L44" s="30">
        <f t="shared" si="3"/>
        <v>102.55012831826025</v>
      </c>
      <c r="M44" s="30">
        <f t="shared" si="3"/>
        <v>98.972461332967015</v>
      </c>
      <c r="N44" s="30">
        <f t="shared" si="3"/>
        <v>82.871497033880473</v>
      </c>
      <c r="O44" s="30">
        <f t="shared" si="3"/>
        <v>69.389857826531426</v>
      </c>
    </row>
    <row r="45" spans="1:15" ht="13" x14ac:dyDescent="0.3">
      <c r="A45" s="13">
        <v>34000</v>
      </c>
      <c r="B45" s="30">
        <v>145.06</v>
      </c>
      <c r="C45" s="30">
        <f t="shared" si="2"/>
        <v>136.95952738177169</v>
      </c>
      <c r="D45" s="30">
        <f t="shared" si="3"/>
        <v>132.18141947034667</v>
      </c>
      <c r="E45" s="30">
        <f t="shared" si="3"/>
        <v>127.57000544031617</v>
      </c>
      <c r="F45" s="30">
        <f t="shared" si="3"/>
        <v>123.11946984116929</v>
      </c>
      <c r="G45" s="30">
        <f t="shared" si="3"/>
        <v>118.82420010605453</v>
      </c>
      <c r="H45" s="30">
        <f t="shared" si="3"/>
        <v>114.67877947377617</v>
      </c>
      <c r="I45" s="30">
        <f t="shared" si="3"/>
        <v>110.67798015772115</v>
      </c>
      <c r="J45" s="30">
        <f t="shared" si="3"/>
        <v>108.73022985550932</v>
      </c>
      <c r="K45" s="30">
        <f t="shared" si="3"/>
        <v>106.81675675310146</v>
      </c>
      <c r="L45" s="30">
        <f t="shared" si="3"/>
        <v>103.0902398741984</v>
      </c>
      <c r="M45" s="30">
        <f t="shared" si="3"/>
        <v>99.49373001358417</v>
      </c>
      <c r="N45" s="30">
        <f t="shared" si="3"/>
        <v>83.307965070926556</v>
      </c>
      <c r="O45" s="30">
        <f t="shared" si="3"/>
        <v>69.755320695195067</v>
      </c>
    </row>
    <row r="46" spans="1:15" ht="13" x14ac:dyDescent="0.3">
      <c r="A46" s="13">
        <v>35000</v>
      </c>
      <c r="B46" s="30">
        <v>145.79</v>
      </c>
      <c r="C46" s="30">
        <f t="shared" si="2"/>
        <v>137.64876256024056</v>
      </c>
      <c r="D46" s="30">
        <f t="shared" ref="D46:O61" si="4">$B46*D$10</f>
        <v>132.8466092967175</v>
      </c>
      <c r="E46" s="30">
        <f t="shared" si="4"/>
        <v>128.21198878494204</v>
      </c>
      <c r="F46" s="30">
        <f t="shared" si="4"/>
        <v>123.73905630872791</v>
      </c>
      <c r="G46" s="30">
        <f t="shared" si="4"/>
        <v>119.42217105653998</v>
      </c>
      <c r="H46" s="30">
        <f t="shared" si="4"/>
        <v>115.25588900787142</v>
      </c>
      <c r="I46" s="30">
        <f t="shared" si="4"/>
        <v>111.23495606779377</v>
      </c>
      <c r="J46" s="30">
        <f t="shared" si="4"/>
        <v>109.27740390620917</v>
      </c>
      <c r="K46" s="30">
        <f t="shared" si="4"/>
        <v>107.35430144102206</v>
      </c>
      <c r="L46" s="30">
        <f t="shared" si="4"/>
        <v>103.60903123713901</v>
      </c>
      <c r="M46" s="30">
        <f t="shared" si="4"/>
        <v>99.99442229891379</v>
      </c>
      <c r="N46" s="30">
        <f t="shared" si="4"/>
        <v>83.727204106510285</v>
      </c>
      <c r="O46" s="30">
        <f t="shared" si="4"/>
        <v>70.106357397990408</v>
      </c>
    </row>
    <row r="47" spans="1:15" ht="13" x14ac:dyDescent="0.3">
      <c r="A47" s="13">
        <v>36000</v>
      </c>
      <c r="B47" s="30">
        <v>146.51</v>
      </c>
      <c r="C47" s="30">
        <f t="shared" si="2"/>
        <v>138.32855616092218</v>
      </c>
      <c r="D47" s="30">
        <f t="shared" si="4"/>
        <v>133.50268693368599</v>
      </c>
      <c r="E47" s="30">
        <f t="shared" si="4"/>
        <v>128.84517783717578</v>
      </c>
      <c r="F47" s="30">
        <f t="shared" si="4"/>
        <v>124.35015529042956</v>
      </c>
      <c r="G47" s="30">
        <f t="shared" si="4"/>
        <v>120.01195062414206</v>
      </c>
      <c r="H47" s="30">
        <f t="shared" si="4"/>
        <v>115.82509293191056</v>
      </c>
      <c r="I47" s="30">
        <f t="shared" si="4"/>
        <v>111.78430217087912</v>
      </c>
      <c r="J47" s="30">
        <f t="shared" si="4"/>
        <v>109.81708242196794</v>
      </c>
      <c r="K47" s="30">
        <f t="shared" si="4"/>
        <v>107.88448250308075</v>
      </c>
      <c r="L47" s="30">
        <f t="shared" si="4"/>
        <v>104.12071586908043</v>
      </c>
      <c r="M47" s="30">
        <f t="shared" si="4"/>
        <v>100.48825578581425</v>
      </c>
      <c r="N47" s="30">
        <f t="shared" si="4"/>
        <v>84.140700141606558</v>
      </c>
      <c r="O47" s="30">
        <f t="shared" si="4"/>
        <v>70.452585378829639</v>
      </c>
    </row>
    <row r="48" spans="1:15" ht="13" x14ac:dyDescent="0.3">
      <c r="A48" s="13">
        <v>37000</v>
      </c>
      <c r="B48" s="30">
        <v>147.21</v>
      </c>
      <c r="C48" s="30">
        <f t="shared" si="2"/>
        <v>138.98946660602931</v>
      </c>
      <c r="D48" s="30">
        <f t="shared" si="4"/>
        <v>134.14054019184982</v>
      </c>
      <c r="E48" s="30">
        <f t="shared" si="4"/>
        <v>129.46077830462528</v>
      </c>
      <c r="F48" s="30">
        <f t="shared" si="4"/>
        <v>124.94427930041729</v>
      </c>
      <c r="G48" s="30">
        <f t="shared" si="4"/>
        <v>120.58534742597745</v>
      </c>
      <c r="H48" s="30">
        <f t="shared" si="4"/>
        <v>116.37848563583754</v>
      </c>
      <c r="I48" s="30">
        <f t="shared" si="4"/>
        <v>112.31838865998988</v>
      </c>
      <c r="J48" s="30">
        <f t="shared" si="4"/>
        <v>110.34176986784453</v>
      </c>
      <c r="K48" s="30">
        <f t="shared" si="4"/>
        <v>108.39993631341559</v>
      </c>
      <c r="L48" s="30">
        <f t="shared" si="4"/>
        <v>104.6181870390235</v>
      </c>
      <c r="M48" s="30">
        <f t="shared" si="4"/>
        <v>100.96837167585637</v>
      </c>
      <c r="N48" s="30">
        <f t="shared" si="4"/>
        <v>84.542710175727962</v>
      </c>
      <c r="O48" s="30">
        <f t="shared" si="4"/>
        <v>70.789195915756693</v>
      </c>
    </row>
    <row r="49" spans="1:15" ht="13" x14ac:dyDescent="0.3">
      <c r="A49" s="13">
        <v>38000</v>
      </c>
      <c r="B49" s="30">
        <v>147.88999999999999</v>
      </c>
      <c r="C49" s="30">
        <f t="shared" si="2"/>
        <v>139.63149389556193</v>
      </c>
      <c r="D49" s="30">
        <f t="shared" si="4"/>
        <v>134.76016907120894</v>
      </c>
      <c r="E49" s="30">
        <f t="shared" si="4"/>
        <v>130.05879018729047</v>
      </c>
      <c r="F49" s="30">
        <f t="shared" si="4"/>
        <v>125.52142833869105</v>
      </c>
      <c r="G49" s="30">
        <f t="shared" si="4"/>
        <v>121.14236146204607</v>
      </c>
      <c r="H49" s="30">
        <f t="shared" si="4"/>
        <v>116.91606711965227</v>
      </c>
      <c r="I49" s="30">
        <f t="shared" si="4"/>
        <v>112.83721553512601</v>
      </c>
      <c r="J49" s="30">
        <f t="shared" si="4"/>
        <v>110.8514662438389</v>
      </c>
      <c r="K49" s="30">
        <f t="shared" si="4"/>
        <v>108.90066287202656</v>
      </c>
      <c r="L49" s="30">
        <f t="shared" si="4"/>
        <v>105.10144474696816</v>
      </c>
      <c r="M49" s="30">
        <f t="shared" si="4"/>
        <v>101.43476996904012</v>
      </c>
      <c r="N49" s="30">
        <f t="shared" si="4"/>
        <v>84.933234208874438</v>
      </c>
      <c r="O49" s="30">
        <f t="shared" si="4"/>
        <v>71.116189008771528</v>
      </c>
    </row>
    <row r="50" spans="1:15" ht="13" x14ac:dyDescent="0.3">
      <c r="A50" s="13">
        <v>39000</v>
      </c>
      <c r="B50" s="30">
        <v>148.55000000000001</v>
      </c>
      <c r="C50" s="30">
        <f t="shared" si="2"/>
        <v>140.25463802952012</v>
      </c>
      <c r="D50" s="30">
        <f t="shared" si="4"/>
        <v>135.36157357176342</v>
      </c>
      <c r="E50" s="30">
        <f t="shared" si="4"/>
        <v>130.63921348517144</v>
      </c>
      <c r="F50" s="30">
        <f t="shared" si="4"/>
        <v>126.08160240525092</v>
      </c>
      <c r="G50" s="30">
        <f t="shared" si="4"/>
        <v>121.682992732348</v>
      </c>
      <c r="H50" s="30">
        <f t="shared" si="4"/>
        <v>117.43783738335483</v>
      </c>
      <c r="I50" s="30">
        <f t="shared" si="4"/>
        <v>113.34078279628758</v>
      </c>
      <c r="J50" s="30">
        <f t="shared" si="4"/>
        <v>111.34617154995112</v>
      </c>
      <c r="K50" s="30">
        <f t="shared" si="4"/>
        <v>109.38666217891371</v>
      </c>
      <c r="L50" s="30">
        <f t="shared" si="4"/>
        <v>105.57048899291448</v>
      </c>
      <c r="M50" s="30">
        <f t="shared" si="4"/>
        <v>101.88745066536556</v>
      </c>
      <c r="N50" s="30">
        <f t="shared" si="4"/>
        <v>85.312272241046045</v>
      </c>
      <c r="O50" s="30">
        <f t="shared" si="4"/>
        <v>71.433564657874172</v>
      </c>
    </row>
    <row r="51" spans="1:15" ht="13" x14ac:dyDescent="0.3">
      <c r="A51" s="13">
        <v>40000</v>
      </c>
      <c r="B51" s="30">
        <v>149.19</v>
      </c>
      <c r="C51" s="30">
        <f t="shared" si="2"/>
        <v>140.85889900790377</v>
      </c>
      <c r="D51" s="30">
        <f t="shared" si="4"/>
        <v>135.94475369351318</v>
      </c>
      <c r="E51" s="30">
        <f t="shared" si="4"/>
        <v>131.20204819826807</v>
      </c>
      <c r="F51" s="30">
        <f t="shared" si="4"/>
        <v>126.62480150009682</v>
      </c>
      <c r="G51" s="30">
        <f t="shared" si="4"/>
        <v>122.20724123688318</v>
      </c>
      <c r="H51" s="30">
        <f t="shared" si="4"/>
        <v>117.94379642694518</v>
      </c>
      <c r="I51" s="30">
        <f t="shared" si="4"/>
        <v>113.82909044347454</v>
      </c>
      <c r="J51" s="30">
        <f t="shared" si="4"/>
        <v>111.82588578618113</v>
      </c>
      <c r="K51" s="30">
        <f t="shared" si="4"/>
        <v>109.85793423407696</v>
      </c>
      <c r="L51" s="30">
        <f t="shared" si="4"/>
        <v>106.0253197768624</v>
      </c>
      <c r="M51" s="30">
        <f t="shared" si="4"/>
        <v>102.32641376483262</v>
      </c>
      <c r="N51" s="30">
        <f t="shared" si="4"/>
        <v>85.67982427224274</v>
      </c>
      <c r="O51" s="30">
        <f t="shared" si="4"/>
        <v>71.741322863064596</v>
      </c>
    </row>
    <row r="52" spans="1:15" ht="13" x14ac:dyDescent="0.3">
      <c r="A52" s="13">
        <v>41000</v>
      </c>
      <c r="B52" s="30">
        <v>149.82</v>
      </c>
      <c r="C52" s="30">
        <f t="shared" si="2"/>
        <v>141.45371840850018</v>
      </c>
      <c r="D52" s="30">
        <f t="shared" si="4"/>
        <v>136.5188216258606</v>
      </c>
      <c r="E52" s="30">
        <f t="shared" si="4"/>
        <v>131.7560886189726</v>
      </c>
      <c r="F52" s="30">
        <f t="shared" si="4"/>
        <v>127.15951310908578</v>
      </c>
      <c r="G52" s="30">
        <f t="shared" si="4"/>
        <v>122.723298358535</v>
      </c>
      <c r="H52" s="30">
        <f t="shared" si="4"/>
        <v>118.44184986047944</v>
      </c>
      <c r="I52" s="30">
        <f t="shared" si="4"/>
        <v>114.30976828367422</v>
      </c>
      <c r="J52" s="30">
        <f t="shared" si="4"/>
        <v>112.29810448747006</v>
      </c>
      <c r="K52" s="30">
        <f t="shared" si="4"/>
        <v>110.32184266337832</v>
      </c>
      <c r="L52" s="30">
        <f t="shared" si="4"/>
        <v>106.47304382981115</v>
      </c>
      <c r="M52" s="30">
        <f t="shared" si="4"/>
        <v>102.75851806587053</v>
      </c>
      <c r="N52" s="30">
        <f t="shared" si="4"/>
        <v>86.041633302951993</v>
      </c>
      <c r="O52" s="30">
        <f t="shared" si="4"/>
        <v>72.044272346298939</v>
      </c>
    </row>
    <row r="53" spans="1:15" ht="13" x14ac:dyDescent="0.3">
      <c r="A53" s="13">
        <v>42000</v>
      </c>
      <c r="B53" s="30">
        <v>150.44</v>
      </c>
      <c r="C53" s="30">
        <f t="shared" si="2"/>
        <v>142.03909623130934</v>
      </c>
      <c r="D53" s="30">
        <f t="shared" si="4"/>
        <v>137.0837773688057</v>
      </c>
      <c r="E53" s="30">
        <f t="shared" si="4"/>
        <v>132.30133474728501</v>
      </c>
      <c r="F53" s="30">
        <f t="shared" si="4"/>
        <v>127.68573723221776</v>
      </c>
      <c r="G53" s="30">
        <f t="shared" si="4"/>
        <v>123.23116409730348</v>
      </c>
      <c r="H53" s="30">
        <f t="shared" si="4"/>
        <v>118.93199768395759</v>
      </c>
      <c r="I53" s="30">
        <f t="shared" si="4"/>
        <v>114.7828163168866</v>
      </c>
      <c r="J53" s="30">
        <f t="shared" si="4"/>
        <v>112.76282765381788</v>
      </c>
      <c r="K53" s="30">
        <f t="shared" si="4"/>
        <v>110.77838746681775</v>
      </c>
      <c r="L53" s="30">
        <f t="shared" si="4"/>
        <v>106.91366115176071</v>
      </c>
      <c r="M53" s="30">
        <f t="shared" si="4"/>
        <v>103.18376356847926</v>
      </c>
      <c r="N53" s="30">
        <f t="shared" si="4"/>
        <v>86.39769933317379</v>
      </c>
      <c r="O53" s="30">
        <f t="shared" si="4"/>
        <v>72.342413107577173</v>
      </c>
    </row>
    <row r="54" spans="1:15" ht="13" x14ac:dyDescent="0.3">
      <c r="A54" s="13">
        <v>43000</v>
      </c>
      <c r="B54" s="30">
        <v>151.04</v>
      </c>
      <c r="C54" s="30">
        <f t="shared" si="2"/>
        <v>142.60559089854402</v>
      </c>
      <c r="D54" s="30">
        <f t="shared" si="4"/>
        <v>137.63050873294608</v>
      </c>
      <c r="E54" s="30">
        <f t="shared" si="4"/>
        <v>132.82899229081312</v>
      </c>
      <c r="F54" s="30">
        <f t="shared" si="4"/>
        <v>128.19498638363581</v>
      </c>
      <c r="G54" s="30">
        <f t="shared" si="4"/>
        <v>123.72264707030521</v>
      </c>
      <c r="H54" s="30">
        <f t="shared" si="4"/>
        <v>119.40633428732355</v>
      </c>
      <c r="I54" s="30">
        <f t="shared" si="4"/>
        <v>115.24060473612437</v>
      </c>
      <c r="J54" s="30">
        <f t="shared" si="4"/>
        <v>113.21255975028352</v>
      </c>
      <c r="K54" s="30">
        <f t="shared" si="4"/>
        <v>111.22020501853331</v>
      </c>
      <c r="L54" s="30">
        <f t="shared" si="4"/>
        <v>107.34006501171189</v>
      </c>
      <c r="M54" s="30">
        <f t="shared" si="4"/>
        <v>103.59529147422964</v>
      </c>
      <c r="N54" s="30">
        <f t="shared" si="4"/>
        <v>86.742279362420689</v>
      </c>
      <c r="O54" s="30">
        <f t="shared" si="4"/>
        <v>72.630936424943201</v>
      </c>
    </row>
    <row r="55" spans="1:15" ht="13" x14ac:dyDescent="0.3">
      <c r="A55" s="13">
        <v>44000</v>
      </c>
      <c r="B55" s="30">
        <v>151.62</v>
      </c>
      <c r="C55" s="30">
        <f t="shared" si="2"/>
        <v>143.15320241020424</v>
      </c>
      <c r="D55" s="30">
        <f t="shared" si="4"/>
        <v>138.15901571828184</v>
      </c>
      <c r="E55" s="30">
        <f t="shared" si="4"/>
        <v>133.33906124955698</v>
      </c>
      <c r="F55" s="30">
        <f t="shared" si="4"/>
        <v>128.68726056333992</v>
      </c>
      <c r="G55" s="30">
        <f t="shared" si="4"/>
        <v>124.19774727754024</v>
      </c>
      <c r="H55" s="30">
        <f t="shared" si="4"/>
        <v>119.8648596705773</v>
      </c>
      <c r="I55" s="30">
        <f t="shared" si="4"/>
        <v>115.68313354138758</v>
      </c>
      <c r="J55" s="30">
        <f t="shared" si="4"/>
        <v>113.64730077686697</v>
      </c>
      <c r="K55" s="30">
        <f t="shared" si="4"/>
        <v>111.64729531852504</v>
      </c>
      <c r="L55" s="30">
        <f t="shared" si="4"/>
        <v>107.75225540966471</v>
      </c>
      <c r="M55" s="30">
        <f t="shared" si="4"/>
        <v>103.99310178312169</v>
      </c>
      <c r="N55" s="30">
        <f t="shared" si="4"/>
        <v>87.075373390692704</v>
      </c>
      <c r="O55" s="30">
        <f t="shared" si="4"/>
        <v>72.909842298397052</v>
      </c>
    </row>
    <row r="56" spans="1:15" ht="13" x14ac:dyDescent="0.3">
      <c r="A56" s="13">
        <v>45000</v>
      </c>
      <c r="B56" s="30">
        <v>152.19</v>
      </c>
      <c r="C56" s="30">
        <f t="shared" si="2"/>
        <v>143.69137234407717</v>
      </c>
      <c r="D56" s="30">
        <f t="shared" si="4"/>
        <v>138.67841051421522</v>
      </c>
      <c r="E56" s="30">
        <f t="shared" si="4"/>
        <v>133.8403359159087</v>
      </c>
      <c r="F56" s="30">
        <f t="shared" si="4"/>
        <v>129.17104725718704</v>
      </c>
      <c r="G56" s="30">
        <f t="shared" si="4"/>
        <v>124.66465610189189</v>
      </c>
      <c r="H56" s="30">
        <f t="shared" si="4"/>
        <v>120.31547944377496</v>
      </c>
      <c r="I56" s="30">
        <f t="shared" si="4"/>
        <v>116.11803253966346</v>
      </c>
      <c r="J56" s="30">
        <f t="shared" si="4"/>
        <v>114.07454626850932</v>
      </c>
      <c r="K56" s="30">
        <f t="shared" si="4"/>
        <v>112.06702199265483</v>
      </c>
      <c r="L56" s="30">
        <f t="shared" si="4"/>
        <v>108.15733907661833</v>
      </c>
      <c r="M56" s="30">
        <f t="shared" si="4"/>
        <v>104.38405329358454</v>
      </c>
      <c r="N56" s="30">
        <f t="shared" si="4"/>
        <v>87.402724418477263</v>
      </c>
      <c r="O56" s="30">
        <f t="shared" si="4"/>
        <v>73.18393944989478</v>
      </c>
    </row>
    <row r="57" spans="1:15" ht="13" x14ac:dyDescent="0.3">
      <c r="A57" s="13">
        <v>46000</v>
      </c>
      <c r="B57" s="30">
        <v>152.75</v>
      </c>
      <c r="C57" s="30">
        <f t="shared" si="2"/>
        <v>144.22010070016287</v>
      </c>
      <c r="D57" s="30">
        <f t="shared" si="4"/>
        <v>139.18869312074628</v>
      </c>
      <c r="E57" s="30">
        <f t="shared" si="4"/>
        <v>134.33281628986828</v>
      </c>
      <c r="F57" s="30">
        <f t="shared" si="4"/>
        <v>129.64634646517723</v>
      </c>
      <c r="G57" s="30">
        <f t="shared" si="4"/>
        <v>125.12337354336019</v>
      </c>
      <c r="H57" s="30">
        <f t="shared" si="4"/>
        <v>120.75819360691652</v>
      </c>
      <c r="I57" s="30">
        <f t="shared" si="4"/>
        <v>116.54530173095206</v>
      </c>
      <c r="J57" s="30">
        <f t="shared" si="4"/>
        <v>114.49429622521059</v>
      </c>
      <c r="K57" s="30">
        <f t="shared" si="4"/>
        <v>112.47938504092269</v>
      </c>
      <c r="L57" s="30">
        <f t="shared" si="4"/>
        <v>108.55531601257277</v>
      </c>
      <c r="M57" s="30">
        <f t="shared" si="4"/>
        <v>104.76814600561823</v>
      </c>
      <c r="N57" s="30">
        <f t="shared" si="4"/>
        <v>87.72433244577438</v>
      </c>
      <c r="O57" s="30">
        <f t="shared" si="4"/>
        <v>73.453227879436412</v>
      </c>
    </row>
    <row r="58" spans="1:15" ht="13" x14ac:dyDescent="0.3">
      <c r="A58" s="13">
        <v>47000</v>
      </c>
      <c r="B58" s="30">
        <v>153.30000000000001</v>
      </c>
      <c r="C58" s="30">
        <f t="shared" si="2"/>
        <v>144.73938747846137</v>
      </c>
      <c r="D58" s="30">
        <f t="shared" si="4"/>
        <v>139.689863537875</v>
      </c>
      <c r="E58" s="30">
        <f t="shared" si="4"/>
        <v>134.81650237143575</v>
      </c>
      <c r="F58" s="30">
        <f t="shared" si="4"/>
        <v>130.11315818731046</v>
      </c>
      <c r="G58" s="30">
        <f t="shared" si="4"/>
        <v>125.57389960194513</v>
      </c>
      <c r="H58" s="30">
        <f t="shared" si="4"/>
        <v>121.193002160002</v>
      </c>
      <c r="I58" s="30">
        <f t="shared" si="4"/>
        <v>116.96494111525337</v>
      </c>
      <c r="J58" s="30">
        <f t="shared" si="4"/>
        <v>114.90655064697077</v>
      </c>
      <c r="K58" s="30">
        <f t="shared" si="4"/>
        <v>112.88438446332864</v>
      </c>
      <c r="L58" s="30">
        <f t="shared" si="4"/>
        <v>108.94618621752804</v>
      </c>
      <c r="M58" s="30">
        <f t="shared" si="4"/>
        <v>105.14537991922276</v>
      </c>
      <c r="N58" s="30">
        <f t="shared" si="4"/>
        <v>88.04019747258404</v>
      </c>
      <c r="O58" s="30">
        <f t="shared" si="4"/>
        <v>73.717707587021948</v>
      </c>
    </row>
    <row r="59" spans="1:15" ht="13" x14ac:dyDescent="0.3">
      <c r="A59" s="13">
        <v>48000</v>
      </c>
      <c r="B59" s="30">
        <v>153.84</v>
      </c>
      <c r="C59" s="30">
        <f t="shared" si="2"/>
        <v>145.24923267897256</v>
      </c>
      <c r="D59" s="30">
        <f t="shared" si="4"/>
        <v>140.18192176560134</v>
      </c>
      <c r="E59" s="30">
        <f t="shared" si="4"/>
        <v>135.29139416061105</v>
      </c>
      <c r="F59" s="30">
        <f t="shared" si="4"/>
        <v>130.57148242358667</v>
      </c>
      <c r="G59" s="30">
        <f t="shared" si="4"/>
        <v>126.01623427764669</v>
      </c>
      <c r="H59" s="30">
        <f t="shared" si="4"/>
        <v>121.61990510303134</v>
      </c>
      <c r="I59" s="30">
        <f t="shared" si="4"/>
        <v>117.37695069256736</v>
      </c>
      <c r="J59" s="30">
        <f t="shared" si="4"/>
        <v>115.31130953378984</v>
      </c>
      <c r="K59" s="30">
        <f t="shared" si="4"/>
        <v>113.28202025987265</v>
      </c>
      <c r="L59" s="30">
        <f t="shared" si="4"/>
        <v>109.3299496914841</v>
      </c>
      <c r="M59" s="30">
        <f t="shared" si="4"/>
        <v>105.5157550343981</v>
      </c>
      <c r="N59" s="30">
        <f t="shared" si="4"/>
        <v>88.350319498906245</v>
      </c>
      <c r="O59" s="30">
        <f t="shared" si="4"/>
        <v>73.977378572651375</v>
      </c>
    </row>
    <row r="60" spans="1:15" ht="13" x14ac:dyDescent="0.3">
      <c r="A60" s="13">
        <v>49000</v>
      </c>
      <c r="B60" s="30">
        <v>154.36000000000001</v>
      </c>
      <c r="C60" s="30">
        <f t="shared" si="2"/>
        <v>145.7401947239093</v>
      </c>
      <c r="D60" s="30">
        <f t="shared" si="4"/>
        <v>140.65575561452306</v>
      </c>
      <c r="E60" s="30">
        <f t="shared" si="4"/>
        <v>135.7486973650021</v>
      </c>
      <c r="F60" s="30">
        <f t="shared" si="4"/>
        <v>131.01283168814899</v>
      </c>
      <c r="G60" s="30">
        <f t="shared" si="4"/>
        <v>126.44218618758154</v>
      </c>
      <c r="H60" s="30">
        <f t="shared" si="4"/>
        <v>122.03099682594852</v>
      </c>
      <c r="I60" s="30">
        <f t="shared" si="4"/>
        <v>117.77370065590678</v>
      </c>
      <c r="J60" s="30">
        <f t="shared" si="4"/>
        <v>115.70107735072673</v>
      </c>
      <c r="K60" s="30">
        <f t="shared" si="4"/>
        <v>113.66492880469282</v>
      </c>
      <c r="L60" s="30">
        <f t="shared" si="4"/>
        <v>109.6994997034418</v>
      </c>
      <c r="M60" s="30">
        <f t="shared" si="4"/>
        <v>105.8724125527151</v>
      </c>
      <c r="N60" s="30">
        <f t="shared" si="4"/>
        <v>88.64895552425358</v>
      </c>
      <c r="O60" s="30">
        <f t="shared" si="4"/>
        <v>74.227432114368611</v>
      </c>
    </row>
    <row r="61" spans="1:15" ht="13" x14ac:dyDescent="0.3">
      <c r="A61" s="13">
        <v>50000</v>
      </c>
      <c r="B61" s="30">
        <v>154.88</v>
      </c>
      <c r="C61" s="30">
        <f t="shared" si="2"/>
        <v>146.23115676884601</v>
      </c>
      <c r="D61" s="30">
        <f t="shared" si="4"/>
        <v>141.12958946344472</v>
      </c>
      <c r="E61" s="30">
        <f t="shared" si="4"/>
        <v>136.20600056939313</v>
      </c>
      <c r="F61" s="30">
        <f t="shared" si="4"/>
        <v>131.45418095271128</v>
      </c>
      <c r="G61" s="30">
        <f t="shared" si="4"/>
        <v>126.86813809751636</v>
      </c>
      <c r="H61" s="30">
        <f t="shared" si="4"/>
        <v>122.44208854886567</v>
      </c>
      <c r="I61" s="30">
        <f t="shared" si="4"/>
        <v>118.17045061924618</v>
      </c>
      <c r="J61" s="30">
        <f t="shared" si="4"/>
        <v>116.0908451676636</v>
      </c>
      <c r="K61" s="30">
        <f t="shared" si="4"/>
        <v>114.04783734951297</v>
      </c>
      <c r="L61" s="30">
        <f t="shared" si="4"/>
        <v>110.06904971539949</v>
      </c>
      <c r="M61" s="30">
        <f t="shared" si="4"/>
        <v>106.22907007103208</v>
      </c>
      <c r="N61" s="30">
        <f t="shared" si="4"/>
        <v>88.947591549600887</v>
      </c>
      <c r="O61" s="30">
        <f t="shared" si="4"/>
        <v>74.477485656085832</v>
      </c>
    </row>
    <row r="62" spans="1:15" ht="13" x14ac:dyDescent="0.3">
      <c r="A62" s="13">
        <v>51000</v>
      </c>
      <c r="B62" s="30">
        <v>155.38</v>
      </c>
      <c r="C62" s="30">
        <f t="shared" si="2"/>
        <v>146.70323565820823</v>
      </c>
      <c r="D62" s="30">
        <f t="shared" ref="D62:O73" si="5">$B62*D$10</f>
        <v>141.58519893356174</v>
      </c>
      <c r="E62" s="30">
        <f t="shared" si="5"/>
        <v>136.6457151889999</v>
      </c>
      <c r="F62" s="30">
        <f t="shared" si="5"/>
        <v>131.87855524555965</v>
      </c>
      <c r="G62" s="30">
        <f t="shared" si="5"/>
        <v>127.2777072416845</v>
      </c>
      <c r="H62" s="30">
        <f t="shared" si="5"/>
        <v>122.83736905167063</v>
      </c>
      <c r="I62" s="30">
        <f t="shared" si="5"/>
        <v>118.55194096861099</v>
      </c>
      <c r="J62" s="30">
        <f t="shared" si="5"/>
        <v>116.46562191471831</v>
      </c>
      <c r="K62" s="30">
        <f t="shared" si="5"/>
        <v>114.41601864260929</v>
      </c>
      <c r="L62" s="30">
        <f t="shared" si="5"/>
        <v>110.42438626535881</v>
      </c>
      <c r="M62" s="30">
        <f t="shared" si="5"/>
        <v>106.57200999249073</v>
      </c>
      <c r="N62" s="30">
        <f t="shared" si="5"/>
        <v>89.234741573973295</v>
      </c>
      <c r="O62" s="30">
        <f t="shared" si="5"/>
        <v>74.717921753890863</v>
      </c>
    </row>
    <row r="63" spans="1:15" ht="13" x14ac:dyDescent="0.3">
      <c r="A63" s="13">
        <v>52000</v>
      </c>
      <c r="B63" s="30">
        <v>155.87</v>
      </c>
      <c r="C63" s="30">
        <f t="shared" si="2"/>
        <v>147.16587296978324</v>
      </c>
      <c r="D63" s="30">
        <f t="shared" si="5"/>
        <v>142.03169621427642</v>
      </c>
      <c r="E63" s="30">
        <f t="shared" si="5"/>
        <v>137.07663551621454</v>
      </c>
      <c r="F63" s="30">
        <f t="shared" si="5"/>
        <v>132.29444205255106</v>
      </c>
      <c r="G63" s="30">
        <f t="shared" si="5"/>
        <v>127.67908500296926</v>
      </c>
      <c r="H63" s="30">
        <f t="shared" si="5"/>
        <v>123.2247439444195</v>
      </c>
      <c r="I63" s="30">
        <f t="shared" si="5"/>
        <v>118.92580151098852</v>
      </c>
      <c r="J63" s="30">
        <f t="shared" si="5"/>
        <v>116.83290312683192</v>
      </c>
      <c r="K63" s="30">
        <f t="shared" si="5"/>
        <v>114.77683630984367</v>
      </c>
      <c r="L63" s="30">
        <f t="shared" si="5"/>
        <v>110.77261608431894</v>
      </c>
      <c r="M63" s="30">
        <f t="shared" si="5"/>
        <v>106.90809111552022</v>
      </c>
      <c r="N63" s="30">
        <f t="shared" si="5"/>
        <v>89.516148597858276</v>
      </c>
      <c r="O63" s="30">
        <f t="shared" si="5"/>
        <v>74.953549129739798</v>
      </c>
    </row>
    <row r="64" spans="1:15" ht="13" x14ac:dyDescent="0.3">
      <c r="A64" s="13">
        <v>53000</v>
      </c>
      <c r="B64" s="30">
        <v>156.36000000000001</v>
      </c>
      <c r="C64" s="30">
        <f t="shared" si="2"/>
        <v>147.62851028135825</v>
      </c>
      <c r="D64" s="30">
        <f t="shared" si="5"/>
        <v>142.4781934949911</v>
      </c>
      <c r="E64" s="30">
        <f t="shared" si="5"/>
        <v>137.50755584342917</v>
      </c>
      <c r="F64" s="30">
        <f t="shared" si="5"/>
        <v>132.71032885954247</v>
      </c>
      <c r="G64" s="30">
        <f t="shared" si="5"/>
        <v>128.08046276425401</v>
      </c>
      <c r="H64" s="30">
        <f t="shared" si="5"/>
        <v>123.61211883716838</v>
      </c>
      <c r="I64" s="30">
        <f t="shared" si="5"/>
        <v>119.29966205336606</v>
      </c>
      <c r="J64" s="30">
        <f t="shared" si="5"/>
        <v>117.20018433894553</v>
      </c>
      <c r="K64" s="30">
        <f t="shared" si="5"/>
        <v>115.13765397707807</v>
      </c>
      <c r="L64" s="30">
        <f t="shared" si="5"/>
        <v>111.12084590327909</v>
      </c>
      <c r="M64" s="30">
        <f t="shared" si="5"/>
        <v>107.24417223854971</v>
      </c>
      <c r="N64" s="30">
        <f t="shared" si="5"/>
        <v>89.797555621743257</v>
      </c>
      <c r="O64" s="30">
        <f t="shared" si="5"/>
        <v>75.189176505588733</v>
      </c>
    </row>
    <row r="65" spans="1:15" ht="13" x14ac:dyDescent="0.3">
      <c r="A65" s="13">
        <v>54000</v>
      </c>
      <c r="B65" s="30">
        <v>156.84</v>
      </c>
      <c r="C65" s="30">
        <f t="shared" si="2"/>
        <v>148.08170601514598</v>
      </c>
      <c r="D65" s="30">
        <f t="shared" si="5"/>
        <v>142.91557858630341</v>
      </c>
      <c r="E65" s="30">
        <f t="shared" si="5"/>
        <v>137.92968187825167</v>
      </c>
      <c r="F65" s="30">
        <f t="shared" si="5"/>
        <v>133.11772818067689</v>
      </c>
      <c r="G65" s="30">
        <f t="shared" si="5"/>
        <v>128.4736491426554</v>
      </c>
      <c r="H65" s="30">
        <f t="shared" si="5"/>
        <v>123.99158811986113</v>
      </c>
      <c r="I65" s="30">
        <f t="shared" si="5"/>
        <v>119.66589278875628</v>
      </c>
      <c r="J65" s="30">
        <f t="shared" si="5"/>
        <v>117.55997001611803</v>
      </c>
      <c r="K65" s="30">
        <f t="shared" si="5"/>
        <v>115.49110801845052</v>
      </c>
      <c r="L65" s="30">
        <f t="shared" si="5"/>
        <v>111.46196899124003</v>
      </c>
      <c r="M65" s="30">
        <f t="shared" si="5"/>
        <v>107.57339456315</v>
      </c>
      <c r="N65" s="30">
        <f t="shared" si="5"/>
        <v>90.073219645140767</v>
      </c>
      <c r="O65" s="30">
        <f t="shared" si="5"/>
        <v>75.419995159481545</v>
      </c>
    </row>
    <row r="66" spans="1:15" ht="13" x14ac:dyDescent="0.3">
      <c r="A66" s="13">
        <v>55000</v>
      </c>
      <c r="B66" s="30">
        <v>157.30000000000001</v>
      </c>
      <c r="C66" s="30">
        <f t="shared" si="2"/>
        <v>148.51601859335923</v>
      </c>
      <c r="D66" s="30">
        <f t="shared" si="5"/>
        <v>143.33473929881106</v>
      </c>
      <c r="E66" s="30">
        <f t="shared" si="5"/>
        <v>138.33421932828989</v>
      </c>
      <c r="F66" s="30">
        <f t="shared" si="5"/>
        <v>133.50815253009742</v>
      </c>
      <c r="G66" s="30">
        <f t="shared" si="5"/>
        <v>128.85045275529006</v>
      </c>
      <c r="H66" s="30">
        <f t="shared" si="5"/>
        <v>124.3552461824417</v>
      </c>
      <c r="I66" s="30">
        <f t="shared" si="5"/>
        <v>120.01686391017191</v>
      </c>
      <c r="J66" s="30">
        <f t="shared" si="5"/>
        <v>117.90476462340837</v>
      </c>
      <c r="K66" s="30">
        <f t="shared" si="5"/>
        <v>115.82983480809912</v>
      </c>
      <c r="L66" s="30">
        <f t="shared" si="5"/>
        <v>111.78887861720261</v>
      </c>
      <c r="M66" s="30">
        <f t="shared" si="5"/>
        <v>107.88889929089197</v>
      </c>
      <c r="N66" s="30">
        <f t="shared" si="5"/>
        <v>90.337397667563408</v>
      </c>
      <c r="O66" s="30">
        <f t="shared" si="5"/>
        <v>75.641196369462179</v>
      </c>
    </row>
    <row r="67" spans="1:15" ht="13" x14ac:dyDescent="0.3">
      <c r="A67" s="13">
        <v>56000</v>
      </c>
      <c r="B67" s="30">
        <v>157.76</v>
      </c>
      <c r="C67" s="30">
        <f t="shared" si="2"/>
        <v>148.95033117157249</v>
      </c>
      <c r="D67" s="30">
        <f t="shared" si="5"/>
        <v>143.75390001131871</v>
      </c>
      <c r="E67" s="30">
        <f t="shared" si="5"/>
        <v>138.73875677832811</v>
      </c>
      <c r="F67" s="30">
        <f t="shared" si="5"/>
        <v>133.89857687951789</v>
      </c>
      <c r="G67" s="30">
        <f t="shared" si="5"/>
        <v>129.22725636792472</v>
      </c>
      <c r="H67" s="30">
        <f t="shared" si="5"/>
        <v>124.71890424502226</v>
      </c>
      <c r="I67" s="30">
        <f t="shared" si="5"/>
        <v>120.36783503158753</v>
      </c>
      <c r="J67" s="30">
        <f t="shared" si="5"/>
        <v>118.24955923069867</v>
      </c>
      <c r="K67" s="30">
        <f t="shared" si="5"/>
        <v>116.16856159774771</v>
      </c>
      <c r="L67" s="30">
        <f t="shared" si="5"/>
        <v>112.11578824316517</v>
      </c>
      <c r="M67" s="30">
        <f t="shared" si="5"/>
        <v>108.20440401863392</v>
      </c>
      <c r="N67" s="30">
        <f t="shared" si="5"/>
        <v>90.601575689986021</v>
      </c>
      <c r="O67" s="30">
        <f t="shared" si="5"/>
        <v>75.862397579442799</v>
      </c>
    </row>
    <row r="68" spans="1:15" ht="13" x14ac:dyDescent="0.3">
      <c r="A68" s="13">
        <v>57000</v>
      </c>
      <c r="B68" s="30">
        <v>158.21</v>
      </c>
      <c r="C68" s="30">
        <f t="shared" si="2"/>
        <v>149.3752021719985</v>
      </c>
      <c r="D68" s="30">
        <f t="shared" si="5"/>
        <v>144.16394853442401</v>
      </c>
      <c r="E68" s="30">
        <f t="shared" si="5"/>
        <v>139.13449993597422</v>
      </c>
      <c r="F68" s="30">
        <f t="shared" si="5"/>
        <v>134.28051374308146</v>
      </c>
      <c r="G68" s="30">
        <f t="shared" si="5"/>
        <v>129.59586859767606</v>
      </c>
      <c r="H68" s="30">
        <f t="shared" si="5"/>
        <v>125.07465669754674</v>
      </c>
      <c r="I68" s="30">
        <f t="shared" si="5"/>
        <v>120.71117634601588</v>
      </c>
      <c r="J68" s="30">
        <f t="shared" si="5"/>
        <v>118.58685830304792</v>
      </c>
      <c r="K68" s="30">
        <f t="shared" si="5"/>
        <v>116.49992476153442</v>
      </c>
      <c r="L68" s="30">
        <f t="shared" si="5"/>
        <v>112.43559113812857</v>
      </c>
      <c r="M68" s="30">
        <f t="shared" si="5"/>
        <v>108.51304994794673</v>
      </c>
      <c r="N68" s="30">
        <f t="shared" si="5"/>
        <v>90.860010711921205</v>
      </c>
      <c r="O68" s="30">
        <f t="shared" si="5"/>
        <v>76.078790067467338</v>
      </c>
    </row>
    <row r="69" spans="1:15" ht="13" x14ac:dyDescent="0.3">
      <c r="A69" s="13">
        <v>58000</v>
      </c>
      <c r="B69" s="30">
        <v>158.65</v>
      </c>
      <c r="C69" s="30">
        <f t="shared" si="2"/>
        <v>149.79063159463726</v>
      </c>
      <c r="D69" s="30">
        <f t="shared" si="5"/>
        <v>144.564884868127</v>
      </c>
      <c r="E69" s="30">
        <f t="shared" si="5"/>
        <v>139.52144880122819</v>
      </c>
      <c r="F69" s="30">
        <f t="shared" si="5"/>
        <v>134.65396312078801</v>
      </c>
      <c r="G69" s="30">
        <f t="shared" si="5"/>
        <v>129.95628944454398</v>
      </c>
      <c r="H69" s="30">
        <f t="shared" si="5"/>
        <v>125.4225035400151</v>
      </c>
      <c r="I69" s="30">
        <f t="shared" si="5"/>
        <v>121.04688785345692</v>
      </c>
      <c r="J69" s="30">
        <f t="shared" si="5"/>
        <v>118.91666184045604</v>
      </c>
      <c r="K69" s="30">
        <f t="shared" si="5"/>
        <v>116.82392429945916</v>
      </c>
      <c r="L69" s="30">
        <f t="shared" si="5"/>
        <v>112.74828730209278</v>
      </c>
      <c r="M69" s="30">
        <f t="shared" si="5"/>
        <v>108.81483707883034</v>
      </c>
      <c r="N69" s="30">
        <f t="shared" si="5"/>
        <v>91.112702733368934</v>
      </c>
      <c r="O69" s="30">
        <f t="shared" si="5"/>
        <v>76.290373833535753</v>
      </c>
    </row>
    <row r="70" spans="1:15" ht="13" x14ac:dyDescent="0.3">
      <c r="A70" s="13">
        <v>59000</v>
      </c>
      <c r="B70" s="30">
        <v>159.09</v>
      </c>
      <c r="C70" s="30">
        <f t="shared" si="2"/>
        <v>150.20606101727603</v>
      </c>
      <c r="D70" s="30">
        <f t="shared" si="5"/>
        <v>144.96582120182995</v>
      </c>
      <c r="E70" s="30">
        <f t="shared" si="5"/>
        <v>139.90839766648213</v>
      </c>
      <c r="F70" s="30">
        <f t="shared" si="5"/>
        <v>135.02741249849458</v>
      </c>
      <c r="G70" s="30">
        <f t="shared" si="5"/>
        <v>130.31671029141194</v>
      </c>
      <c r="H70" s="30">
        <f t="shared" si="5"/>
        <v>125.77035038248347</v>
      </c>
      <c r="I70" s="30">
        <f t="shared" si="5"/>
        <v>121.38259936089796</v>
      </c>
      <c r="J70" s="30">
        <f t="shared" si="5"/>
        <v>119.24646537786418</v>
      </c>
      <c r="K70" s="30">
        <f t="shared" si="5"/>
        <v>117.14792383738391</v>
      </c>
      <c r="L70" s="30">
        <f t="shared" si="5"/>
        <v>113.06098346605697</v>
      </c>
      <c r="M70" s="30">
        <f t="shared" si="5"/>
        <v>109.11662420971395</v>
      </c>
      <c r="N70" s="30">
        <f t="shared" si="5"/>
        <v>91.365394754816663</v>
      </c>
      <c r="O70" s="30">
        <f t="shared" si="5"/>
        <v>76.501957599604182</v>
      </c>
    </row>
    <row r="71" spans="1:15" ht="13" x14ac:dyDescent="0.3">
      <c r="A71" s="13">
        <v>60000</v>
      </c>
      <c r="B71" s="30">
        <v>159.52000000000001</v>
      </c>
      <c r="C71" s="30">
        <f t="shared" si="2"/>
        <v>150.61204886212755</v>
      </c>
      <c r="D71" s="30">
        <f t="shared" si="5"/>
        <v>145.3576453461306</v>
      </c>
      <c r="E71" s="30">
        <f t="shared" si="5"/>
        <v>140.28655223934396</v>
      </c>
      <c r="F71" s="30">
        <f t="shared" si="5"/>
        <v>135.39237439034417</v>
      </c>
      <c r="G71" s="30">
        <f t="shared" si="5"/>
        <v>130.66893975539651</v>
      </c>
      <c r="H71" s="30">
        <f t="shared" si="5"/>
        <v>126.11029161489574</v>
      </c>
      <c r="I71" s="30">
        <f t="shared" si="5"/>
        <v>121.71068106135171</v>
      </c>
      <c r="J71" s="30">
        <f t="shared" si="5"/>
        <v>119.56877338033122</v>
      </c>
      <c r="K71" s="30">
        <f t="shared" si="5"/>
        <v>117.46455974944675</v>
      </c>
      <c r="L71" s="30">
        <f t="shared" si="5"/>
        <v>113.36657289902199</v>
      </c>
      <c r="M71" s="30">
        <f t="shared" si="5"/>
        <v>109.41155254216839</v>
      </c>
      <c r="N71" s="30">
        <f t="shared" si="5"/>
        <v>91.612343775776949</v>
      </c>
      <c r="O71" s="30">
        <f t="shared" si="5"/>
        <v>76.708732643716516</v>
      </c>
    </row>
    <row r="72" spans="1:15" ht="13" x14ac:dyDescent="0.3">
      <c r="A72" s="13">
        <v>100000</v>
      </c>
      <c r="B72" s="30">
        <v>172.52</v>
      </c>
      <c r="C72" s="30">
        <f t="shared" si="2"/>
        <v>162.88609998554568</v>
      </c>
      <c r="D72" s="30">
        <f t="shared" si="5"/>
        <v>157.20349156917283</v>
      </c>
      <c r="E72" s="30">
        <f t="shared" si="5"/>
        <v>151.71913234911997</v>
      </c>
      <c r="F72" s="30">
        <f t="shared" si="5"/>
        <v>146.42610600440182</v>
      </c>
      <c r="G72" s="30">
        <f t="shared" si="5"/>
        <v>141.3177375037676</v>
      </c>
      <c r="H72" s="30">
        <f t="shared" si="5"/>
        <v>136.38758468782481</v>
      </c>
      <c r="I72" s="30">
        <f t="shared" si="5"/>
        <v>131.62943014483699</v>
      </c>
      <c r="J72" s="30">
        <f t="shared" si="5"/>
        <v>129.31296880375339</v>
      </c>
      <c r="K72" s="30">
        <f t="shared" si="5"/>
        <v>127.03727336995081</v>
      </c>
      <c r="L72" s="30">
        <f t="shared" si="5"/>
        <v>122.60532319796435</v>
      </c>
      <c r="M72" s="30">
        <f t="shared" si="5"/>
        <v>118.32799050009335</v>
      </c>
      <c r="N72" s="30">
        <f t="shared" si="5"/>
        <v>99.07824440945987</v>
      </c>
      <c r="O72" s="30">
        <f t="shared" si="5"/>
        <v>82.960071186647269</v>
      </c>
    </row>
    <row r="73" spans="1:15" ht="13" x14ac:dyDescent="0.3">
      <c r="A73" s="13">
        <v>150000</v>
      </c>
      <c r="B73" s="30">
        <v>182.85</v>
      </c>
      <c r="C73" s="30">
        <f t="shared" si="2"/>
        <v>172.63924983976943</v>
      </c>
      <c r="D73" s="30">
        <f t="shared" si="5"/>
        <v>166.61638322179022</v>
      </c>
      <c r="E73" s="30">
        <f t="shared" si="5"/>
        <v>160.80363639019583</v>
      </c>
      <c r="F73" s="30">
        <f t="shared" si="5"/>
        <v>155.19367889464914</v>
      </c>
      <c r="G73" s="30">
        <f t="shared" si="5"/>
        <v>149.77943602228092</v>
      </c>
      <c r="H73" s="30">
        <f t="shared" si="5"/>
        <v>144.55407987577536</v>
      </c>
      <c r="I73" s="30">
        <f t="shared" si="5"/>
        <v>139.51102076271414</v>
      </c>
      <c r="J73" s="30">
        <f t="shared" si="5"/>
        <v>137.05585639790348</v>
      </c>
      <c r="K73" s="30">
        <f t="shared" si="5"/>
        <v>134.64389888532057</v>
      </c>
      <c r="L73" s="30">
        <f t="shared" si="5"/>
        <v>129.94657632012394</v>
      </c>
      <c r="M73" s="30">
        <f t="shared" si="5"/>
        <v>125.41312927742909</v>
      </c>
      <c r="N73" s="30">
        <f t="shared" si="5"/>
        <v>105.01076391299407</v>
      </c>
      <c r="O73" s="30">
        <f t="shared" si="5"/>
        <v>87.927480967299161</v>
      </c>
    </row>
    <row r="85" spans="1:4" x14ac:dyDescent="0.25">
      <c r="A85" s="268" t="s">
        <v>152</v>
      </c>
      <c r="B85" s="268"/>
      <c r="D85" s="5">
        <v>2016</v>
      </c>
    </row>
    <row r="86" spans="1:4" x14ac:dyDescent="0.25">
      <c r="A86" s="5">
        <v>1000</v>
      </c>
      <c r="B86" s="5">
        <v>55.27</v>
      </c>
      <c r="C86" s="5">
        <v>55.27</v>
      </c>
      <c r="D86" s="5">
        <v>32.159999999999997</v>
      </c>
    </row>
    <row r="87" spans="1:4" x14ac:dyDescent="0.25">
      <c r="A87" s="5">
        <v>2000</v>
      </c>
      <c r="B87" s="5">
        <v>72.92</v>
      </c>
      <c r="C87" s="5">
        <v>72.92</v>
      </c>
      <c r="D87" s="5">
        <v>42.43</v>
      </c>
    </row>
    <row r="88" spans="1:4" x14ac:dyDescent="0.25">
      <c r="A88" s="5">
        <v>3000</v>
      </c>
      <c r="B88" s="5">
        <v>83.24</v>
      </c>
      <c r="C88" s="5">
        <v>83.24</v>
      </c>
      <c r="D88" s="5">
        <v>48.44</v>
      </c>
    </row>
    <row r="89" spans="1:4" x14ac:dyDescent="0.25">
      <c r="A89" s="5">
        <v>4000</v>
      </c>
      <c r="B89" s="5">
        <v>90.57</v>
      </c>
      <c r="C89" s="5">
        <v>90.57</v>
      </c>
      <c r="D89" s="5">
        <v>52.7</v>
      </c>
    </row>
    <row r="90" spans="1:4" x14ac:dyDescent="0.25">
      <c r="A90" s="5">
        <v>5000</v>
      </c>
      <c r="B90" s="5">
        <v>96.25</v>
      </c>
      <c r="C90" s="5">
        <v>96.25</v>
      </c>
      <c r="D90" s="5">
        <v>56.01</v>
      </c>
    </row>
    <row r="91" spans="1:4" x14ac:dyDescent="0.25">
      <c r="A91" s="5">
        <v>6000</v>
      </c>
      <c r="B91" s="5">
        <v>100.89</v>
      </c>
      <c r="C91" s="5">
        <v>100.89</v>
      </c>
      <c r="D91" s="5">
        <v>58.71</v>
      </c>
    </row>
    <row r="92" spans="1:4" x14ac:dyDescent="0.25">
      <c r="A92" s="5">
        <v>7000</v>
      </c>
      <c r="B92" s="5">
        <v>104.82</v>
      </c>
      <c r="C92" s="5">
        <v>104.82</v>
      </c>
      <c r="D92" s="5">
        <v>60.99</v>
      </c>
    </row>
    <row r="93" spans="1:4" x14ac:dyDescent="0.25">
      <c r="A93" s="5">
        <v>8000</v>
      </c>
      <c r="B93" s="5">
        <v>108.22</v>
      </c>
      <c r="C93" s="5">
        <v>108.22</v>
      </c>
      <c r="D93" s="5">
        <v>62.97</v>
      </c>
    </row>
    <row r="94" spans="1:4" x14ac:dyDescent="0.25">
      <c r="A94" s="5">
        <v>9000</v>
      </c>
      <c r="B94" s="5">
        <v>111.22</v>
      </c>
      <c r="C94" s="5">
        <v>111.22</v>
      </c>
      <c r="D94" s="5">
        <v>64.709999999999994</v>
      </c>
    </row>
    <row r="95" spans="1:4" x14ac:dyDescent="0.25">
      <c r="A95" s="5">
        <v>10000</v>
      </c>
      <c r="B95" s="5">
        <v>113.9</v>
      </c>
      <c r="C95" s="5">
        <v>113.9</v>
      </c>
      <c r="D95" s="5">
        <v>66.28</v>
      </c>
    </row>
    <row r="96" spans="1:4" x14ac:dyDescent="0.25">
      <c r="A96" s="5">
        <v>11000</v>
      </c>
      <c r="B96" s="5">
        <v>116.32</v>
      </c>
      <c r="C96" s="5">
        <v>116.32</v>
      </c>
      <c r="D96" s="5">
        <v>67.69</v>
      </c>
    </row>
    <row r="97" spans="1:4" x14ac:dyDescent="0.25">
      <c r="A97" s="5">
        <v>12000</v>
      </c>
      <c r="B97" s="5">
        <v>118.54</v>
      </c>
      <c r="C97" s="5">
        <v>118.54</v>
      </c>
      <c r="D97" s="5">
        <v>68.98</v>
      </c>
    </row>
    <row r="98" spans="1:4" x14ac:dyDescent="0.25">
      <c r="A98" s="5">
        <v>13000</v>
      </c>
      <c r="B98" s="5">
        <v>120.58</v>
      </c>
      <c r="C98" s="5">
        <v>120.58</v>
      </c>
      <c r="D98" s="5">
        <v>70.16</v>
      </c>
    </row>
    <row r="99" spans="1:4" x14ac:dyDescent="0.25">
      <c r="A99" s="5">
        <v>14000</v>
      </c>
      <c r="B99" s="5">
        <v>122.47</v>
      </c>
      <c r="C99" s="5">
        <v>122.47</v>
      </c>
      <c r="D99" s="5">
        <v>71.260000000000005</v>
      </c>
    </row>
    <row r="100" spans="1:4" x14ac:dyDescent="0.25">
      <c r="A100" s="5">
        <v>15000</v>
      </c>
      <c r="B100" s="5">
        <v>124.22</v>
      </c>
      <c r="C100" s="5">
        <v>124.22</v>
      </c>
      <c r="D100" s="5">
        <v>72.28</v>
      </c>
    </row>
    <row r="101" spans="1:4" x14ac:dyDescent="0.25">
      <c r="A101" s="5">
        <v>16000</v>
      </c>
      <c r="B101" s="5">
        <v>125.86</v>
      </c>
      <c r="C101" s="5">
        <v>125.86</v>
      </c>
      <c r="D101" s="5">
        <v>73.239999999999995</v>
      </c>
    </row>
    <row r="102" spans="1:4" x14ac:dyDescent="0.25">
      <c r="A102" s="5">
        <v>17000</v>
      </c>
      <c r="B102" s="5">
        <v>127.41</v>
      </c>
      <c r="C102" s="5">
        <v>127.41</v>
      </c>
      <c r="D102" s="5">
        <v>74.14</v>
      </c>
    </row>
    <row r="103" spans="1:4" x14ac:dyDescent="0.25">
      <c r="A103" s="5">
        <v>18000</v>
      </c>
      <c r="B103" s="5">
        <v>128.86000000000001</v>
      </c>
      <c r="C103" s="5">
        <v>128.86000000000001</v>
      </c>
      <c r="D103" s="5">
        <v>74.98</v>
      </c>
    </row>
    <row r="104" spans="1:4" x14ac:dyDescent="0.25">
      <c r="A104" s="5">
        <v>19000</v>
      </c>
      <c r="B104" s="5">
        <v>130.24</v>
      </c>
      <c r="C104" s="5">
        <v>130.24</v>
      </c>
      <c r="D104" s="5">
        <v>75.78</v>
      </c>
    </row>
    <row r="105" spans="1:4" x14ac:dyDescent="0.25">
      <c r="A105" s="5">
        <v>20000</v>
      </c>
      <c r="B105" s="5">
        <v>131.55000000000001</v>
      </c>
      <c r="C105" s="5">
        <v>131.55000000000001</v>
      </c>
      <c r="D105" s="5">
        <v>76.540000000000006</v>
      </c>
    </row>
    <row r="106" spans="1:4" x14ac:dyDescent="0.25">
      <c r="A106" s="5">
        <v>21000</v>
      </c>
      <c r="B106" s="5">
        <v>132.79</v>
      </c>
      <c r="C106" s="5">
        <v>132.79</v>
      </c>
      <c r="D106" s="5">
        <v>77.27</v>
      </c>
    </row>
    <row r="107" spans="1:4" x14ac:dyDescent="0.25">
      <c r="A107" s="5">
        <v>22000</v>
      </c>
      <c r="B107" s="5">
        <v>133.97</v>
      </c>
      <c r="C107" s="5">
        <v>133.97</v>
      </c>
      <c r="D107" s="5">
        <v>77.959999999999994</v>
      </c>
    </row>
    <row r="108" spans="1:4" x14ac:dyDescent="0.25">
      <c r="A108" s="5">
        <v>23000</v>
      </c>
      <c r="B108" s="5">
        <v>135.1</v>
      </c>
      <c r="C108" s="5">
        <v>135.1</v>
      </c>
      <c r="D108" s="5">
        <v>78.62</v>
      </c>
    </row>
    <row r="109" spans="1:4" x14ac:dyDescent="0.25">
      <c r="A109" s="5">
        <v>24000</v>
      </c>
      <c r="B109" s="5">
        <v>136.19</v>
      </c>
      <c r="C109" s="5">
        <v>136.19</v>
      </c>
      <c r="D109" s="5">
        <v>79.25</v>
      </c>
    </row>
    <row r="110" spans="1:4" x14ac:dyDescent="0.25">
      <c r="A110" s="5">
        <v>25000</v>
      </c>
      <c r="B110" s="5">
        <v>137.22999999999999</v>
      </c>
      <c r="C110" s="5">
        <v>137.22999999999999</v>
      </c>
      <c r="D110" s="5">
        <v>79.849999999999994</v>
      </c>
    </row>
    <row r="111" spans="1:4" x14ac:dyDescent="0.25">
      <c r="A111" s="5">
        <v>26000</v>
      </c>
      <c r="B111" s="5">
        <v>138.22999999999999</v>
      </c>
      <c r="C111" s="5">
        <v>138.22999999999999</v>
      </c>
      <c r="D111" s="5">
        <v>80.430000000000007</v>
      </c>
    </row>
    <row r="112" spans="1:4" x14ac:dyDescent="0.25">
      <c r="A112" s="5">
        <v>27000</v>
      </c>
      <c r="B112" s="5">
        <v>139.19</v>
      </c>
      <c r="C112" s="5">
        <v>139.19</v>
      </c>
      <c r="D112" s="5">
        <v>80.989999999999995</v>
      </c>
    </row>
    <row r="113" spans="1:4" x14ac:dyDescent="0.25">
      <c r="A113" s="5">
        <v>28000</v>
      </c>
      <c r="B113" s="5">
        <v>140.11000000000001</v>
      </c>
      <c r="C113" s="5">
        <v>140.11000000000001</v>
      </c>
      <c r="D113" s="5">
        <v>81.53</v>
      </c>
    </row>
    <row r="114" spans="1:4" x14ac:dyDescent="0.25">
      <c r="A114" s="5">
        <v>29000</v>
      </c>
      <c r="B114" s="5">
        <v>141.01</v>
      </c>
      <c r="C114" s="5">
        <v>141.01</v>
      </c>
      <c r="D114" s="5">
        <v>82.05</v>
      </c>
    </row>
    <row r="115" spans="1:4" x14ac:dyDescent="0.25">
      <c r="A115" s="5">
        <v>30000</v>
      </c>
      <c r="B115" s="5">
        <v>141.87</v>
      </c>
      <c r="C115" s="5">
        <v>141.87</v>
      </c>
      <c r="D115" s="5">
        <v>82.55</v>
      </c>
    </row>
    <row r="116" spans="1:4" x14ac:dyDescent="0.25">
      <c r="A116" s="5">
        <v>31000</v>
      </c>
      <c r="B116" s="5">
        <v>142.69999999999999</v>
      </c>
      <c r="C116" s="5">
        <v>142.69999999999999</v>
      </c>
      <c r="D116" s="5">
        <v>83.04</v>
      </c>
    </row>
    <row r="117" spans="1:4" x14ac:dyDescent="0.25">
      <c r="A117" s="5">
        <v>32000</v>
      </c>
      <c r="B117" s="5">
        <v>143.51</v>
      </c>
      <c r="C117" s="5">
        <v>143.51</v>
      </c>
      <c r="D117" s="5">
        <v>83.51</v>
      </c>
    </row>
    <row r="118" spans="1:4" x14ac:dyDescent="0.25">
      <c r="A118" s="5">
        <v>33000</v>
      </c>
      <c r="B118" s="5">
        <v>144.30000000000001</v>
      </c>
      <c r="C118" s="5">
        <v>144.30000000000001</v>
      </c>
      <c r="D118" s="5">
        <v>83.96</v>
      </c>
    </row>
    <row r="119" spans="1:4" x14ac:dyDescent="0.25">
      <c r="A119" s="5">
        <v>34000</v>
      </c>
      <c r="B119" s="5">
        <v>145.06</v>
      </c>
      <c r="C119" s="5">
        <v>145.06</v>
      </c>
      <c r="D119" s="5">
        <v>84.41</v>
      </c>
    </row>
    <row r="120" spans="1:4" x14ac:dyDescent="0.25">
      <c r="A120" s="5">
        <v>35000</v>
      </c>
      <c r="B120" s="5">
        <v>145.79</v>
      </c>
      <c r="C120" s="5">
        <v>145.79</v>
      </c>
      <c r="D120" s="5">
        <v>84.84</v>
      </c>
    </row>
    <row r="121" spans="1:4" x14ac:dyDescent="0.25">
      <c r="A121" s="5">
        <v>36000</v>
      </c>
      <c r="B121" s="5">
        <v>146.51</v>
      </c>
      <c r="C121" s="5">
        <v>146.51</v>
      </c>
      <c r="D121" s="5">
        <v>85.25</v>
      </c>
    </row>
    <row r="122" spans="1:4" x14ac:dyDescent="0.25">
      <c r="A122" s="5">
        <v>37000</v>
      </c>
      <c r="B122" s="5">
        <v>147.21</v>
      </c>
      <c r="C122" s="5">
        <v>147.21</v>
      </c>
      <c r="D122" s="5">
        <v>85.66</v>
      </c>
    </row>
    <row r="123" spans="1:4" x14ac:dyDescent="0.25">
      <c r="A123" s="5">
        <v>38000</v>
      </c>
      <c r="B123" s="5">
        <v>147.88999999999999</v>
      </c>
      <c r="C123" s="5">
        <v>147.88999999999999</v>
      </c>
      <c r="D123" s="5">
        <v>86.05</v>
      </c>
    </row>
    <row r="124" spans="1:4" x14ac:dyDescent="0.25">
      <c r="A124" s="5">
        <v>39000</v>
      </c>
      <c r="B124" s="5">
        <v>148.55000000000001</v>
      </c>
      <c r="C124" s="5">
        <v>148.55000000000001</v>
      </c>
      <c r="D124" s="5">
        <v>86.44</v>
      </c>
    </row>
    <row r="125" spans="1:4" x14ac:dyDescent="0.25">
      <c r="A125" s="5">
        <v>40000</v>
      </c>
      <c r="B125" s="5">
        <v>149.19</v>
      </c>
      <c r="C125" s="5">
        <v>149.19</v>
      </c>
      <c r="D125" s="5">
        <v>86.81</v>
      </c>
    </row>
    <row r="126" spans="1:4" x14ac:dyDescent="0.25">
      <c r="A126" s="5">
        <v>41000</v>
      </c>
      <c r="B126" s="5">
        <v>149.82</v>
      </c>
      <c r="C126" s="5">
        <v>149.82</v>
      </c>
      <c r="D126" s="5">
        <v>87.18</v>
      </c>
    </row>
    <row r="127" spans="1:4" x14ac:dyDescent="0.25">
      <c r="A127" s="5">
        <v>42000</v>
      </c>
      <c r="B127" s="5">
        <v>150.44</v>
      </c>
      <c r="C127" s="5">
        <v>150.44</v>
      </c>
      <c r="D127" s="5">
        <v>87.54</v>
      </c>
    </row>
    <row r="128" spans="1:4" x14ac:dyDescent="0.25">
      <c r="A128" s="5">
        <v>43000</v>
      </c>
      <c r="B128" s="5">
        <v>151.04</v>
      </c>
      <c r="C128" s="5">
        <v>151.04</v>
      </c>
      <c r="D128" s="5">
        <v>87.89</v>
      </c>
    </row>
    <row r="129" spans="1:4" x14ac:dyDescent="0.25">
      <c r="A129" s="5">
        <v>44000</v>
      </c>
      <c r="B129" s="5">
        <v>151.62</v>
      </c>
      <c r="C129" s="5">
        <v>151.62</v>
      </c>
      <c r="D129" s="5">
        <v>88.23</v>
      </c>
    </row>
    <row r="130" spans="1:4" x14ac:dyDescent="0.25">
      <c r="A130" s="5">
        <v>45000</v>
      </c>
      <c r="B130" s="5">
        <v>152.19</v>
      </c>
      <c r="C130" s="5">
        <v>152.19</v>
      </c>
      <c r="D130" s="5">
        <v>88.56</v>
      </c>
    </row>
    <row r="131" spans="1:4" x14ac:dyDescent="0.25">
      <c r="A131" s="5">
        <v>46000</v>
      </c>
      <c r="B131" s="5">
        <v>152.75</v>
      </c>
      <c r="C131" s="5">
        <v>152.75</v>
      </c>
      <c r="D131" s="5">
        <v>88.88</v>
      </c>
    </row>
    <row r="132" spans="1:4" x14ac:dyDescent="0.25">
      <c r="A132" s="5">
        <v>47000</v>
      </c>
      <c r="B132" s="5">
        <v>153.30000000000001</v>
      </c>
      <c r="C132" s="5">
        <v>153.30000000000001</v>
      </c>
      <c r="D132" s="5">
        <v>89.2</v>
      </c>
    </row>
    <row r="133" spans="1:4" x14ac:dyDescent="0.25">
      <c r="A133" s="5">
        <v>48000</v>
      </c>
      <c r="B133" s="5">
        <v>153.84</v>
      </c>
      <c r="C133" s="5">
        <v>153.84</v>
      </c>
      <c r="D133" s="5">
        <v>89.51</v>
      </c>
    </row>
    <row r="134" spans="1:4" x14ac:dyDescent="0.25">
      <c r="A134" s="5">
        <v>49000</v>
      </c>
      <c r="B134" s="5">
        <v>154.36000000000001</v>
      </c>
      <c r="C134" s="5">
        <v>154.36000000000001</v>
      </c>
      <c r="D134" s="5">
        <v>89.82</v>
      </c>
    </row>
    <row r="135" spans="1:4" x14ac:dyDescent="0.25">
      <c r="A135" s="5">
        <v>50000</v>
      </c>
      <c r="B135" s="5">
        <v>154.88</v>
      </c>
      <c r="C135" s="5">
        <v>154.88</v>
      </c>
      <c r="D135" s="5">
        <v>90.12</v>
      </c>
    </row>
    <row r="136" spans="1:4" x14ac:dyDescent="0.25">
      <c r="A136" s="5">
        <v>51000</v>
      </c>
      <c r="B136" s="5">
        <v>155.38</v>
      </c>
      <c r="C136" s="5">
        <v>155.38</v>
      </c>
      <c r="D136" s="5">
        <v>90.41</v>
      </c>
    </row>
    <row r="137" spans="1:4" x14ac:dyDescent="0.25">
      <c r="A137" s="5">
        <v>52000</v>
      </c>
      <c r="B137" s="5">
        <v>155.87</v>
      </c>
      <c r="C137" s="5">
        <v>155.87</v>
      </c>
      <c r="D137" s="5">
        <v>90.7</v>
      </c>
    </row>
    <row r="138" spans="1:4" x14ac:dyDescent="0.25">
      <c r="A138" s="5">
        <v>53000</v>
      </c>
      <c r="B138" s="5">
        <v>156.36000000000001</v>
      </c>
      <c r="C138" s="5">
        <v>156.36000000000001</v>
      </c>
      <c r="D138" s="5">
        <v>90.98</v>
      </c>
    </row>
    <row r="139" spans="1:4" x14ac:dyDescent="0.25">
      <c r="A139" s="5">
        <v>54000</v>
      </c>
      <c r="B139" s="5">
        <v>156.84</v>
      </c>
      <c r="C139" s="5">
        <v>156.84</v>
      </c>
      <c r="D139" s="5">
        <v>91.26</v>
      </c>
    </row>
    <row r="140" spans="1:4" x14ac:dyDescent="0.25">
      <c r="A140" s="5">
        <v>55000</v>
      </c>
      <c r="B140" s="5">
        <v>157.30000000000001</v>
      </c>
      <c r="C140" s="5">
        <v>157.30000000000001</v>
      </c>
      <c r="D140" s="5">
        <v>91.53</v>
      </c>
    </row>
    <row r="141" spans="1:4" x14ac:dyDescent="0.25">
      <c r="A141" s="5">
        <v>56000</v>
      </c>
      <c r="B141" s="5">
        <v>157.76</v>
      </c>
      <c r="C141" s="5">
        <v>157.76</v>
      </c>
      <c r="D141" s="5">
        <v>91.8</v>
      </c>
    </row>
    <row r="142" spans="1:4" x14ac:dyDescent="0.25">
      <c r="A142" s="5">
        <v>57000</v>
      </c>
      <c r="B142" s="5">
        <v>158.21</v>
      </c>
      <c r="C142" s="5">
        <v>158.21</v>
      </c>
      <c r="D142" s="5">
        <v>92.06</v>
      </c>
    </row>
    <row r="143" spans="1:4" x14ac:dyDescent="0.25">
      <c r="A143" s="5">
        <v>58000</v>
      </c>
      <c r="B143" s="5">
        <v>158.65</v>
      </c>
      <c r="C143" s="5">
        <v>158.65</v>
      </c>
      <c r="D143" s="5">
        <v>92.32</v>
      </c>
    </row>
    <row r="144" spans="1:4" x14ac:dyDescent="0.25">
      <c r="A144" s="5">
        <v>59000</v>
      </c>
      <c r="B144" s="5">
        <v>159.09</v>
      </c>
      <c r="C144" s="5">
        <v>159.09</v>
      </c>
      <c r="D144" s="5">
        <v>92.57</v>
      </c>
    </row>
    <row r="145" spans="1:4" x14ac:dyDescent="0.25">
      <c r="A145" s="5">
        <v>60000</v>
      </c>
      <c r="B145" s="5">
        <v>159.52000000000001</v>
      </c>
      <c r="C145" s="5">
        <v>159.52000000000001</v>
      </c>
      <c r="D145" s="5">
        <v>92.82</v>
      </c>
    </row>
    <row r="146" spans="1:4" x14ac:dyDescent="0.25">
      <c r="A146" s="5">
        <v>100000</v>
      </c>
      <c r="B146" s="5">
        <v>172.52</v>
      </c>
      <c r="C146" s="5">
        <v>172.52</v>
      </c>
      <c r="D146" s="5">
        <v>100.39</v>
      </c>
    </row>
    <row r="147" spans="1:4" x14ac:dyDescent="0.25">
      <c r="A147" s="5">
        <v>150000</v>
      </c>
      <c r="B147" s="5">
        <v>182.85</v>
      </c>
      <c r="C147" s="5">
        <v>182.85</v>
      </c>
      <c r="D147" s="5">
        <v>106.4</v>
      </c>
    </row>
    <row r="148" spans="1:4" x14ac:dyDescent="0.25">
      <c r="A148" s="5">
        <v>200000</v>
      </c>
      <c r="B148" s="5">
        <v>190.17</v>
      </c>
    </row>
    <row r="566" ht="12" customHeight="1" x14ac:dyDescent="0.25"/>
  </sheetData>
  <sheetProtection selectLockedCells="1" selectUnlockedCells="1"/>
  <mergeCells count="1">
    <mergeCell ref="A85:B85"/>
  </mergeCells>
  <phoneticPr fontId="5"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N508"/>
  <sheetViews>
    <sheetView windowProtection="1" topLeftCell="A3" zoomScale="70" zoomScaleNormal="70" workbookViewId="0">
      <selection activeCell="B30" sqref="B30"/>
    </sheetView>
  </sheetViews>
  <sheetFormatPr baseColWidth="10" defaultColWidth="12.54296875" defaultRowHeight="15.5" x14ac:dyDescent="0.35"/>
  <cols>
    <col min="1" max="1" width="22.1796875" style="14" customWidth="1"/>
    <col min="2" max="2" width="18.54296875" style="14" customWidth="1"/>
    <col min="3" max="3" width="37.453125" style="14" customWidth="1"/>
    <col min="4" max="5" width="23.54296875" style="14" customWidth="1"/>
    <col min="6" max="6" width="23.453125" style="14" customWidth="1"/>
    <col min="7" max="7" width="20.1796875" style="14" customWidth="1"/>
    <col min="8" max="8" width="16.54296875" style="14" customWidth="1"/>
    <col min="9" max="9" width="14.81640625" style="14" customWidth="1"/>
    <col min="10" max="10" width="24.54296875" style="14" customWidth="1"/>
    <col min="11" max="11" width="14.453125" style="14" customWidth="1"/>
    <col min="12" max="12" width="25.26953125" style="14" customWidth="1"/>
    <col min="13" max="13" width="17.453125" style="14" bestFit="1" customWidth="1"/>
    <col min="14" max="14" width="11" style="14" customWidth="1"/>
    <col min="15" max="15" width="20.54296875" style="14" customWidth="1"/>
    <col min="16" max="16" width="10.1796875" style="14" bestFit="1" customWidth="1"/>
    <col min="17" max="17" width="14.453125" style="14" bestFit="1" customWidth="1"/>
    <col min="18" max="21" width="12.54296875" style="14" customWidth="1"/>
    <col min="22" max="23" width="12.1796875" style="14" customWidth="1"/>
    <col min="24" max="16383" width="12.54296875" style="14" customWidth="1"/>
    <col min="16384" max="16384" width="12.54296875" style="14"/>
  </cols>
  <sheetData>
    <row r="1" spans="1:40" ht="31" x14ac:dyDescent="0.35">
      <c r="A1" s="71" t="s">
        <v>56</v>
      </c>
      <c r="B1" s="71" t="s">
        <v>127</v>
      </c>
      <c r="C1" s="71" t="s">
        <v>126</v>
      </c>
      <c r="D1" s="71" t="s">
        <v>128</v>
      </c>
      <c r="E1" s="71" t="s">
        <v>123</v>
      </c>
      <c r="F1" s="71" t="s">
        <v>124</v>
      </c>
      <c r="G1" s="71" t="s">
        <v>125</v>
      </c>
      <c r="I1" s="17" t="s">
        <v>67</v>
      </c>
      <c r="J1" s="18">
        <v>37.06</v>
      </c>
      <c r="O1" s="123" t="s">
        <v>87</v>
      </c>
      <c r="AD1" s="2"/>
      <c r="AE1" s="2"/>
      <c r="AF1" s="2"/>
      <c r="AG1" s="2"/>
      <c r="AH1" s="2"/>
      <c r="AI1" s="2"/>
      <c r="AJ1" s="2"/>
      <c r="AK1" s="2"/>
      <c r="AL1" s="2"/>
      <c r="AM1" s="2"/>
      <c r="AN1" s="2"/>
    </row>
    <row r="2" spans="1:40" ht="15.75" customHeight="1" x14ac:dyDescent="0.35">
      <c r="A2" s="72" t="s">
        <v>13</v>
      </c>
      <c r="B2" s="73">
        <f>TAR!G4</f>
        <v>0.68399999999999994</v>
      </c>
      <c r="C2" s="73">
        <f>PNMA*J7</f>
        <v>0.62215890410958896</v>
      </c>
      <c r="D2" s="224" t="e">
        <f>+TAR!G5</f>
        <v>#VALUE!</v>
      </c>
      <c r="E2" s="73" t="e">
        <f>ROUND(D2*(1-SUM($B$8:$B$10)),5)</f>
        <v>#VALUE!</v>
      </c>
      <c r="F2" s="133">
        <f>ROUND(B2*(1-SUM($B$8:$B$10)),5)</f>
        <v>0.33516000000000001</v>
      </c>
      <c r="G2" s="133">
        <f>ROUND(C2*(1-SUM($B$8:$B$10)),3)</f>
        <v>0.30499999999999999</v>
      </c>
      <c r="I2" s="17" t="s">
        <v>64</v>
      </c>
      <c r="J2" s="19">
        <f>+J1/(1-C11)</f>
        <v>112.30303030303033</v>
      </c>
      <c r="O2" s="124">
        <f>IF(DATOS!E6="",1,IF(DATOS!E6="NOMBRE DEL CONTRATANTE",1,0))</f>
        <v>0</v>
      </c>
      <c r="Q2" s="270" t="str">
        <f>IF(Calculo!O13=1,"INFORMACION INCOMPLETA, SE DEBERA LLENAR LA INFORMACION REQUERIDA EN LA HOJA DE DATOS DE ESTE COTIZADOR.","")</f>
        <v/>
      </c>
      <c r="R2" s="270"/>
      <c r="S2" s="270"/>
      <c r="AD2" s="37"/>
      <c r="AE2" s="37"/>
      <c r="AF2" s="37"/>
      <c r="AG2" s="38"/>
      <c r="AH2" s="38"/>
      <c r="AI2" s="37"/>
      <c r="AJ2" s="37"/>
      <c r="AK2" s="37"/>
      <c r="AL2" s="37"/>
      <c r="AM2" s="37"/>
      <c r="AN2" s="37"/>
    </row>
    <row r="3" spans="1:40" ht="15.75" customHeight="1" x14ac:dyDescent="0.35">
      <c r="A3" s="118" t="s">
        <v>57</v>
      </c>
      <c r="B3" s="126">
        <f>TAR!H4</f>
        <v>4.8000000000000001E-2</v>
      </c>
      <c r="C3" s="126">
        <f>PNPO*J7</f>
        <v>4.3660273972602741E-2</v>
      </c>
      <c r="D3" s="225" t="e">
        <f>TAR!H5</f>
        <v>#VALUE!</v>
      </c>
      <c r="E3" s="126" t="e">
        <f t="shared" ref="E3:E5" si="0">ROUND(D3*(1-SUM($B$8:$B$10)),5)</f>
        <v>#VALUE!</v>
      </c>
      <c r="F3" s="134">
        <f>ROUND(B3*(1-SUM($B$8:$B$10)),5)</f>
        <v>2.3519999999999999E-2</v>
      </c>
      <c r="G3" s="134">
        <f>ROUND(C3*(1-SUM($B$8:$B$10)),3)</f>
        <v>2.1000000000000001E-2</v>
      </c>
      <c r="O3" s="125">
        <f>IF(DATOS!E8="",1,IF(DATOS!E8="NUMERO DE ALUMNOS",1,0))</f>
        <v>0</v>
      </c>
      <c r="Q3" s="270"/>
      <c r="R3" s="270"/>
      <c r="S3" s="270"/>
      <c r="AD3" s="37"/>
      <c r="AE3" s="37"/>
      <c r="AF3" s="37"/>
      <c r="AG3" s="38"/>
      <c r="AH3" s="38"/>
      <c r="AI3" s="37"/>
      <c r="AJ3" s="37"/>
      <c r="AK3" s="37"/>
      <c r="AL3"/>
      <c r="AM3"/>
      <c r="AN3"/>
    </row>
    <row r="4" spans="1:40" ht="15.75" customHeight="1" x14ac:dyDescent="0.35">
      <c r="A4" s="72" t="s">
        <v>16</v>
      </c>
      <c r="B4" s="248">
        <f>IF(DATOS!E20=0,0,TAR!K4/DATOS!E20*1000)</f>
        <v>6.2192050547692359</v>
      </c>
      <c r="C4" s="75">
        <f>PNRGM*J7</f>
        <v>5.6569207621462638</v>
      </c>
      <c r="D4" s="226" t="e">
        <f>IF(DATOS!E20=0,0,TAR!K5/DATOS!E20*1000)</f>
        <v>#VALUE!</v>
      </c>
      <c r="E4" s="75" t="e">
        <f>ROUND(D4*(1-SUM($B$8:$B$10)),5)</f>
        <v>#VALUE!</v>
      </c>
      <c r="F4" s="133">
        <f>ROUND(B4*(1-SUM($B$8:$B$10)),5)</f>
        <v>3.0474100000000002</v>
      </c>
      <c r="G4" s="133">
        <f>ROUND(C4*(1-SUM($B$8:$B$10)),3)</f>
        <v>2.7719999999999998</v>
      </c>
      <c r="I4" s="25">
        <v>44438</v>
      </c>
      <c r="J4" s="25">
        <v>44770</v>
      </c>
      <c r="K4" s="185">
        <v>43283</v>
      </c>
      <c r="L4" s="185">
        <v>43467</v>
      </c>
      <c r="O4" s="124">
        <f>IF(DATOS!E10="",1,0)</f>
        <v>0</v>
      </c>
      <c r="Q4" s="270"/>
      <c r="R4" s="270"/>
      <c r="S4" s="270"/>
      <c r="AD4" s="37"/>
      <c r="AE4" s="37"/>
      <c r="AF4" s="37"/>
      <c r="AG4" s="38"/>
      <c r="AH4" s="38"/>
      <c r="AI4" s="37"/>
      <c r="AJ4" s="37"/>
      <c r="AK4" s="37"/>
      <c r="AL4"/>
      <c r="AM4"/>
      <c r="AN4"/>
    </row>
    <row r="5" spans="1:40" ht="15.75" customHeight="1" x14ac:dyDescent="0.35">
      <c r="A5" s="118" t="s">
        <v>83</v>
      </c>
      <c r="B5" s="126">
        <f>G10</f>
        <v>100.00000000000001</v>
      </c>
      <c r="C5" s="126">
        <f>G10*M27/365</f>
        <v>90.958904109589056</v>
      </c>
      <c r="D5" s="225" t="e">
        <f>G10*M26/365</f>
        <v>#VALUE!</v>
      </c>
      <c r="E5" s="126" t="e">
        <f t="shared" si="0"/>
        <v>#VALUE!</v>
      </c>
      <c r="F5" s="134">
        <f>ROUND(B5*(1-SUM($B$8:$B$10)),5)</f>
        <v>49</v>
      </c>
      <c r="G5" s="134">
        <f>ROUND(C5*(1-SUM($B$8:$B$10)),3)</f>
        <v>44.57</v>
      </c>
      <c r="I5" s="17" t="s">
        <v>72</v>
      </c>
      <c r="J5" s="19">
        <f>+J4-I4</f>
        <v>332</v>
      </c>
      <c r="O5" s="125">
        <f>IF(DATOS!E10="Ciclo Escolar",0,IF(DATOS!E12="",1,0))</f>
        <v>0</v>
      </c>
      <c r="Q5" s="270"/>
      <c r="R5" s="270"/>
      <c r="S5" s="270"/>
      <c r="AD5" s="37"/>
      <c r="AE5" s="37"/>
      <c r="AF5" s="37"/>
      <c r="AG5" s="38"/>
      <c r="AH5" s="38"/>
      <c r="AI5" s="37"/>
      <c r="AJ5" s="37"/>
      <c r="AK5" s="37"/>
      <c r="AL5"/>
      <c r="AM5"/>
      <c r="AN5"/>
    </row>
    <row r="6" spans="1:40" ht="15.75" customHeight="1" x14ac:dyDescent="0.45">
      <c r="A6" s="176" t="s">
        <v>109</v>
      </c>
      <c r="I6" s="14">
        <v>365</v>
      </c>
      <c r="J6" s="14">
        <f>I6/2</f>
        <v>182.5</v>
      </c>
      <c r="K6" s="14">
        <f>L4-K4+0.5</f>
        <v>184.5</v>
      </c>
      <c r="O6" s="124">
        <f>IF(DATOS!E14="",1,IF(DATOS!E14="SUMA ASEGURADA MUERTE ACCIDENTAL",1,0))</f>
        <v>0</v>
      </c>
      <c r="Q6" s="270"/>
      <c r="R6" s="270"/>
      <c r="S6" s="270"/>
      <c r="AB6" s="37"/>
      <c r="AC6" s="37"/>
      <c r="AD6" s="37"/>
      <c r="AE6" s="38"/>
      <c r="AF6" s="38"/>
      <c r="AG6" s="37"/>
      <c r="AH6" s="37"/>
      <c r="AI6" s="37"/>
      <c r="AJ6"/>
      <c r="AK6"/>
      <c r="AL6"/>
    </row>
    <row r="7" spans="1:40" ht="16.5" customHeight="1" thickBot="1" x14ac:dyDescent="0.4">
      <c r="A7" s="77" t="s">
        <v>58</v>
      </c>
      <c r="B7" s="77" t="s">
        <v>151</v>
      </c>
      <c r="C7" s="78" t="s">
        <v>153</v>
      </c>
      <c r="D7" s="77" t="s">
        <v>66</v>
      </c>
      <c r="E7" s="78" t="s">
        <v>162</v>
      </c>
      <c r="F7" s="14">
        <v>19</v>
      </c>
      <c r="J7" s="14">
        <f>J5/K7</f>
        <v>0.90958904109589045</v>
      </c>
      <c r="K7" s="14">
        <v>365</v>
      </c>
      <c r="O7" s="125">
        <f>IF(DATOS!E18="",1,IF(DATOS!E18="SUMA ASEGURADA PARA PÉRDIDAS ORGÁNICAS",1,0))</f>
        <v>0</v>
      </c>
      <c r="Q7" s="270"/>
      <c r="R7" s="270"/>
      <c r="S7" s="270"/>
      <c r="AB7" s="37"/>
      <c r="AC7" s="37"/>
      <c r="AD7" s="37"/>
      <c r="AE7" s="38"/>
      <c r="AF7" s="38"/>
      <c r="AG7" s="37"/>
      <c r="AH7" s="37"/>
      <c r="AI7" s="37"/>
      <c r="AJ7"/>
      <c r="AK7"/>
      <c r="AL7"/>
    </row>
    <row r="8" spans="1:40" ht="15.75" customHeight="1" x14ac:dyDescent="0.35">
      <c r="A8" s="72" t="s">
        <v>59</v>
      </c>
      <c r="B8" s="79">
        <v>0.15</v>
      </c>
      <c r="C8" s="202">
        <v>0.15</v>
      </c>
      <c r="D8" s="80">
        <v>0.15</v>
      </c>
      <c r="E8" s="202">
        <v>0.09</v>
      </c>
      <c r="F8" s="14">
        <v>0.09</v>
      </c>
      <c r="G8" s="139" t="s">
        <v>76</v>
      </c>
      <c r="H8" s="140"/>
      <c r="J8" s="227" t="e">
        <f>M26/K7</f>
        <v>#VALUE!</v>
      </c>
      <c r="O8" s="124">
        <f>IF(DATOS!E20="",1,IF(DATOS!E20="SUMA ASEGURADA REEMBOLSO DE GASTOS MÉDICOS POR ACCIDENTE",1,0))</f>
        <v>0</v>
      </c>
      <c r="Q8" s="270"/>
      <c r="R8" s="270"/>
      <c r="S8" s="270"/>
      <c r="AB8" s="37"/>
      <c r="AC8" s="37"/>
      <c r="AD8" s="37"/>
      <c r="AE8" s="38"/>
      <c r="AF8" s="38"/>
      <c r="AG8" s="37"/>
      <c r="AH8" s="37"/>
      <c r="AI8" s="37"/>
      <c r="AJ8"/>
      <c r="AK8"/>
      <c r="AL8"/>
    </row>
    <row r="9" spans="1:40" x14ac:dyDescent="0.35">
      <c r="A9" s="118" t="s">
        <v>60</v>
      </c>
      <c r="B9" s="128">
        <v>0.3</v>
      </c>
      <c r="C9" s="262">
        <f>DATOS!D34+DATOS!B36+7%</f>
        <v>0.37000000000000005</v>
      </c>
      <c r="D9" s="129">
        <v>0.3</v>
      </c>
      <c r="E9" s="229">
        <f>DATOS!D34+DATOS!B36</f>
        <v>0.30000000000000004</v>
      </c>
      <c r="F9" s="14">
        <v>0.3</v>
      </c>
      <c r="G9" s="131" t="s">
        <v>74</v>
      </c>
      <c r="H9" s="132" t="s">
        <v>75</v>
      </c>
      <c r="O9" s="125">
        <f>IF(DATOS!E22="",1,IF(DATOS!E22="DEDUCIBLE EN REEMBOLSO DE GASTOS MÉDICOS",1,0))</f>
        <v>0</v>
      </c>
      <c r="AB9" s="37"/>
      <c r="AC9" s="37"/>
      <c r="AD9" s="37"/>
      <c r="AE9" s="38"/>
      <c r="AF9" s="38"/>
      <c r="AG9" s="37"/>
      <c r="AH9" s="37"/>
      <c r="AI9" s="37"/>
      <c r="AJ9"/>
      <c r="AK9"/>
      <c r="AL9"/>
    </row>
    <row r="10" spans="1:40" x14ac:dyDescent="0.35">
      <c r="A10" s="72" t="s">
        <v>61</v>
      </c>
      <c r="B10" s="79">
        <v>0.06</v>
      </c>
      <c r="C10" s="202">
        <v>0.15</v>
      </c>
      <c r="D10" s="80">
        <v>0.15</v>
      </c>
      <c r="E10" s="202">
        <v>7.4999999999999997E-2</v>
      </c>
      <c r="F10" s="14">
        <v>0.04</v>
      </c>
      <c r="G10" s="33">
        <f>+H10/(1-C11)</f>
        <v>100.00000000000001</v>
      </c>
      <c r="H10" s="32">
        <v>33</v>
      </c>
      <c r="O10" s="124">
        <f>IF(DATOS!E24="",1,IF(DATOS!E24="NUMERO DE AGENTE",1,0))</f>
        <v>0</v>
      </c>
      <c r="AC10" s="37"/>
      <c r="AD10" s="37"/>
      <c r="AE10" s="38"/>
      <c r="AF10" s="38"/>
      <c r="AG10" s="37"/>
      <c r="AH10" s="37"/>
      <c r="AI10" s="37"/>
      <c r="AJ10"/>
      <c r="AK10"/>
      <c r="AL10"/>
    </row>
    <row r="11" spans="1:40" x14ac:dyDescent="0.35">
      <c r="A11" s="72"/>
      <c r="B11" s="130">
        <f>SUM(GSTS1)</f>
        <v>0.51</v>
      </c>
      <c r="C11" s="203">
        <f>SUM(C8:C10)</f>
        <v>0.67</v>
      </c>
      <c r="D11" s="72"/>
      <c r="E11" s="251">
        <f>SUM(E8:E10)</f>
        <v>0.46500000000000002</v>
      </c>
      <c r="F11" s="256"/>
      <c r="G11" s="76"/>
      <c r="O11" s="125">
        <f>IF(DATOS!E26="",1,IF(DATOS!E26="NOMBRE DEL AGENTE",1,0))</f>
        <v>0</v>
      </c>
      <c r="AC11" s="37"/>
      <c r="AD11" s="37"/>
      <c r="AE11" s="38"/>
      <c r="AF11" s="38"/>
      <c r="AG11" s="37"/>
      <c r="AH11" s="37"/>
      <c r="AI11" s="37"/>
      <c r="AJ11"/>
      <c r="AK11"/>
      <c r="AL11"/>
    </row>
    <row r="12" spans="1:40" ht="15.75" customHeight="1" x14ac:dyDescent="0.35">
      <c r="A12" s="275" t="s">
        <v>63</v>
      </c>
      <c r="B12" s="275"/>
      <c r="C12" s="275"/>
      <c r="D12" s="275"/>
      <c r="E12" s="135"/>
      <c r="F12" s="135"/>
      <c r="G12" s="76"/>
      <c r="O12" s="124">
        <f>IF(DATOS!E28="",1,0)</f>
        <v>0</v>
      </c>
      <c r="AC12" s="37"/>
      <c r="AD12" s="37"/>
      <c r="AE12" s="38"/>
      <c r="AF12" s="38"/>
      <c r="AG12" s="37"/>
      <c r="AH12" s="37"/>
      <c r="AI12" s="37"/>
      <c r="AJ12"/>
      <c r="AK12"/>
      <c r="AL12"/>
    </row>
    <row r="13" spans="1:40" ht="15.75" customHeight="1" x14ac:dyDescent="0.35">
      <c r="H13" s="76"/>
      <c r="O13" s="70">
        <f>MAX(O2:O12)</f>
        <v>0</v>
      </c>
      <c r="AC13" s="37"/>
      <c r="AD13" s="37"/>
      <c r="AE13" s="38"/>
      <c r="AF13" s="38"/>
      <c r="AG13" s="37"/>
      <c r="AH13" s="37"/>
      <c r="AI13" s="37"/>
      <c r="AJ13"/>
      <c r="AK13"/>
      <c r="AL13"/>
    </row>
    <row r="14" spans="1:40" ht="15.75" customHeight="1" x14ac:dyDescent="0.35">
      <c r="A14" s="15" t="s">
        <v>103</v>
      </c>
      <c r="I14" s="269" t="s">
        <v>85</v>
      </c>
      <c r="J14" s="269"/>
      <c r="K14" s="269"/>
      <c r="L14" s="141"/>
      <c r="AD14" s="37"/>
      <c r="AE14" s="37"/>
      <c r="AF14" s="38"/>
      <c r="AG14" s="38"/>
      <c r="AH14" s="37"/>
      <c r="AI14" s="37"/>
      <c r="AJ14" s="37"/>
      <c r="AK14"/>
      <c r="AL14"/>
      <c r="AM14"/>
    </row>
    <row r="15" spans="1:40" ht="31" x14ac:dyDescent="0.35">
      <c r="A15" s="71" t="s">
        <v>56</v>
      </c>
      <c r="B15" s="71" t="s">
        <v>127</v>
      </c>
      <c r="C15" s="71" t="s">
        <v>126</v>
      </c>
      <c r="D15" s="71" t="s">
        <v>128</v>
      </c>
      <c r="E15" s="71" t="s">
        <v>123</v>
      </c>
      <c r="F15" s="71" t="s">
        <v>124</v>
      </c>
      <c r="G15" s="71" t="s">
        <v>125</v>
      </c>
      <c r="I15" s="72"/>
      <c r="J15" s="115" t="s">
        <v>104</v>
      </c>
      <c r="K15" s="115" t="s">
        <v>105</v>
      </c>
      <c r="L15" s="115" t="s">
        <v>106</v>
      </c>
      <c r="M15" s="115" t="s">
        <v>11</v>
      </c>
      <c r="N15" s="115" t="s">
        <v>12</v>
      </c>
      <c r="P15" s="51" t="s">
        <v>136</v>
      </c>
      <c r="Q15" s="14" t="s">
        <v>141</v>
      </c>
      <c r="R15" s="14" t="s">
        <v>19</v>
      </c>
      <c r="AE15" s="37"/>
      <c r="AF15" s="37"/>
      <c r="AG15" s="38"/>
      <c r="AH15" s="38"/>
      <c r="AI15" s="37"/>
      <c r="AJ15" s="37"/>
      <c r="AK15" s="37"/>
      <c r="AL15"/>
      <c r="AM15"/>
      <c r="AN15"/>
    </row>
    <row r="16" spans="1:40" x14ac:dyDescent="0.35">
      <c r="A16" s="72" t="s">
        <v>13</v>
      </c>
      <c r="B16" s="220">
        <f>F2/(1-$C$11)</f>
        <v>1.0156363636363639</v>
      </c>
      <c r="C16" s="136">
        <f>G2/(1-$C$11)</f>
        <v>0.92424242424242431</v>
      </c>
      <c r="D16" s="136" t="e">
        <f>E2/(1-$C$11)</f>
        <v>#VALUE!</v>
      </c>
      <c r="E16" s="136" t="e">
        <f>ROUND(D16*(1-SUM($C$8:$C$10)),2)</f>
        <v>#VALUE!</v>
      </c>
      <c r="F16" s="249">
        <f>ROUND(B16*(1-SUM($C$8:$C$10)),2)</f>
        <v>0.34</v>
      </c>
      <c r="G16" s="74">
        <f>ROUND(C16*(1-SUM($C$8:$C$10)),2)</f>
        <v>0.31</v>
      </c>
      <c r="I16" s="72" t="s">
        <v>77</v>
      </c>
      <c r="J16" s="142">
        <f>DATOS!$E$14</f>
        <v>200000</v>
      </c>
      <c r="K16" s="116">
        <f>Presentación!D13</f>
        <v>500</v>
      </c>
      <c r="L16" s="116">
        <f>J16*K16</f>
        <v>100000000</v>
      </c>
      <c r="M16" s="116">
        <f>B16*L16/1000</f>
        <v>101563.63636363638</v>
      </c>
      <c r="N16" s="222">
        <f>ROUND(M16/Presentación!H19*1000,4)</f>
        <v>1.0156000000000001</v>
      </c>
      <c r="O16" s="177">
        <f>ROUND(N16*J16/1000,2)</f>
        <v>203.12</v>
      </c>
      <c r="P16" s="51">
        <f>O16*K16</f>
        <v>101560</v>
      </c>
      <c r="Q16" s="177">
        <f>P16*$J$7</f>
        <v>92377.863013698632</v>
      </c>
      <c r="R16" s="223" t="e">
        <f>P16*$J$8</f>
        <v>#VALUE!</v>
      </c>
      <c r="AE16" s="37"/>
      <c r="AF16" s="37"/>
      <c r="AG16" s="38"/>
      <c r="AH16" s="38"/>
      <c r="AI16" s="37"/>
      <c r="AJ16" s="37"/>
      <c r="AK16" s="37"/>
      <c r="AL16"/>
      <c r="AM16"/>
      <c r="AN16"/>
    </row>
    <row r="17" spans="1:40" x14ac:dyDescent="0.35">
      <c r="A17" s="118" t="s">
        <v>57</v>
      </c>
      <c r="B17" s="221">
        <f>F3/(1-$C$11)</f>
        <v>7.1272727272727279E-2</v>
      </c>
      <c r="C17" s="137">
        <f>G3/(1-$C$11)</f>
        <v>6.3636363636363644E-2</v>
      </c>
      <c r="D17" s="137" t="e">
        <f t="shared" ref="D17:D19" si="1">E3/(1-$C$11)</f>
        <v>#VALUE!</v>
      </c>
      <c r="E17" s="137" t="e">
        <f>ROUND(D17*(1-SUM($C$8:$C$10)),2)</f>
        <v>#VALUE!</v>
      </c>
      <c r="F17" s="250">
        <f t="shared" ref="F17:G19" si="2">ROUND(B17*(1-SUM($C$8:$C$10)),2)</f>
        <v>0.02</v>
      </c>
      <c r="G17" s="127">
        <f t="shared" si="2"/>
        <v>0.02</v>
      </c>
      <c r="I17" s="118" t="s">
        <v>86</v>
      </c>
      <c r="J17" s="143">
        <f>DATOS!$E$18</f>
        <v>200000</v>
      </c>
      <c r="K17" s="119">
        <f>Presentación!D13</f>
        <v>500</v>
      </c>
      <c r="L17" s="119">
        <f>J17*K17</f>
        <v>100000000</v>
      </c>
      <c r="M17" s="119">
        <f t="shared" ref="M17" si="3">B17*L17/1000</f>
        <v>7127.2727272727279</v>
      </c>
      <c r="N17" s="120">
        <f>IFERROR(ROUND(M17/Presentación!H20*1000,4),0)</f>
        <v>7.1300000000000002E-2</v>
      </c>
      <c r="O17" s="177">
        <f>ROUND(N17*J17/1000,2)</f>
        <v>14.26</v>
      </c>
      <c r="P17" s="51">
        <f t="shared" ref="P17:P18" si="4">O17*K17</f>
        <v>7130</v>
      </c>
      <c r="Q17" s="177">
        <f t="shared" ref="Q17:Q18" si="5">P17*$J$7</f>
        <v>6485.3698630136987</v>
      </c>
      <c r="R17" s="227" t="e">
        <f t="shared" ref="R17:R18" si="6">P17*$J$8</f>
        <v>#VALUE!</v>
      </c>
      <c r="AE17" s="37"/>
      <c r="AF17" s="37"/>
      <c r="AG17" s="38"/>
      <c r="AH17" s="38"/>
      <c r="AI17" s="37"/>
      <c r="AJ17" s="37"/>
      <c r="AK17" s="37"/>
      <c r="AL17"/>
      <c r="AM17"/>
      <c r="AN17"/>
    </row>
    <row r="18" spans="1:40" x14ac:dyDescent="0.35">
      <c r="A18" s="72" t="s">
        <v>16</v>
      </c>
      <c r="B18" s="220">
        <f>F4/(1-$E$11)</f>
        <v>5.6960934579439266</v>
      </c>
      <c r="C18" s="138">
        <f>G4/(1-$E$11)</f>
        <v>5.1813084112149532</v>
      </c>
      <c r="D18" s="138" t="e">
        <f>E4/(1-$E$11)</f>
        <v>#VALUE!</v>
      </c>
      <c r="E18" s="138" t="e">
        <f>ROUND(D18*(1-SUM($E$8:$E$10)),2)</f>
        <v>#VALUE!</v>
      </c>
      <c r="F18" s="249">
        <f>ROUND(B18*(1-SUM($E$8:$E$10)),2)</f>
        <v>3.05</v>
      </c>
      <c r="G18" s="74">
        <f>ROUND(C18*(1-SUM($E$8:$E$10)),2)</f>
        <v>2.77</v>
      </c>
      <c r="I18" s="72" t="s">
        <v>16</v>
      </c>
      <c r="J18" s="142">
        <f>DATOS!$E$20</f>
        <v>25000</v>
      </c>
      <c r="K18" s="116">
        <f>Presentación!D13</f>
        <v>500</v>
      </c>
      <c r="L18" s="116">
        <f>J18*K18</f>
        <v>12500000</v>
      </c>
      <c r="M18" s="116">
        <f>B18*L18/1000</f>
        <v>71201.168224299094</v>
      </c>
      <c r="N18" s="117">
        <f>ROUND(M18/Presentación!H21*1000,4)</f>
        <v>5.6961000000000004</v>
      </c>
      <c r="O18" s="177">
        <f>IFERROR(ROUND(N18*J18/1000,2),0)</f>
        <v>142.4</v>
      </c>
      <c r="P18" s="51">
        <f t="shared" si="4"/>
        <v>71200</v>
      </c>
      <c r="Q18" s="177">
        <f t="shared" si="5"/>
        <v>64762.739726027401</v>
      </c>
      <c r="R18" s="227" t="e">
        <f t="shared" si="6"/>
        <v>#VALUE!</v>
      </c>
      <c r="AE18" s="37"/>
      <c r="AF18" s="37"/>
      <c r="AG18" s="38"/>
      <c r="AH18" s="38"/>
      <c r="AI18" s="37"/>
      <c r="AJ18" s="37"/>
      <c r="AK18" s="37"/>
      <c r="AL18"/>
      <c r="AM18"/>
      <c r="AN18"/>
    </row>
    <row r="19" spans="1:40" x14ac:dyDescent="0.35">
      <c r="A19" s="118" t="s">
        <v>83</v>
      </c>
      <c r="B19" s="221">
        <f>F5/(1-$C$11)</f>
        <v>148.4848484848485</v>
      </c>
      <c r="C19" s="126">
        <f t="shared" ref="C19" si="7">G5/(1-$C$11)</f>
        <v>135.06060606060609</v>
      </c>
      <c r="D19" s="126" t="e">
        <f t="shared" si="1"/>
        <v>#VALUE!</v>
      </c>
      <c r="E19" s="126" t="e">
        <f>ROUND(D19*(1-SUM($C$8:$C$10)),2)</f>
        <v>#VALUE!</v>
      </c>
      <c r="F19" s="134">
        <f t="shared" si="2"/>
        <v>49</v>
      </c>
      <c r="G19" s="134">
        <f t="shared" si="2"/>
        <v>44.57</v>
      </c>
      <c r="I19" s="118" t="s">
        <v>83</v>
      </c>
      <c r="J19" s="143" t="str">
        <f>DATOS!$E$28</f>
        <v>NO</v>
      </c>
      <c r="K19" s="119">
        <f>Presentación!D13</f>
        <v>500</v>
      </c>
      <c r="L19" s="119"/>
      <c r="M19" s="119" t="b">
        <f>IF(J19="SI",IF(DATOS!E10="Anual",K19*B19,IF(DATOS!E10="Semestral",K19*D19,K19*C19)))</f>
        <v>0</v>
      </c>
      <c r="N19" s="120"/>
      <c r="O19" s="186"/>
      <c r="P19" s="210"/>
      <c r="AE19" s="37"/>
      <c r="AF19" s="37"/>
      <c r="AG19" s="38"/>
      <c r="AH19" s="38"/>
      <c r="AI19" s="37"/>
      <c r="AJ19" s="37"/>
      <c r="AK19" s="37"/>
      <c r="AL19"/>
      <c r="AM19"/>
      <c r="AN19"/>
    </row>
    <row r="20" spans="1:40" x14ac:dyDescent="0.35">
      <c r="A20" s="252">
        <f>B16/A33-1</f>
        <v>4.5454545454545636E-2</v>
      </c>
      <c r="B20" s="14">
        <f t="shared" ref="B20:C22" si="8">1-C16/B2</f>
        <v>-0.35123161438950934</v>
      </c>
      <c r="C20" s="14" t="e">
        <f t="shared" si="8"/>
        <v>#VALUE!</v>
      </c>
      <c r="I20" s="72"/>
      <c r="J20" s="121"/>
      <c r="K20" s="121"/>
      <c r="L20" s="121"/>
      <c r="M20" s="121">
        <f>ROUND(IF(M18="#NA","#NA",P20),2)</f>
        <v>179890</v>
      </c>
      <c r="N20" s="122"/>
      <c r="O20" s="177"/>
      <c r="P20" s="223">
        <f>IF(DATOS!$E$10="ANUAL",SUM(P16:P18),IF(DATOS!E10="CICLO ESCOLAR",SUM(Calculo!Q16:Q18),SUM(Calculo!R16:R18)))</f>
        <v>179890</v>
      </c>
      <c r="Q20" s="211"/>
      <c r="AD20" s="37"/>
      <c r="AE20" s="37"/>
      <c r="AF20" s="38"/>
      <c r="AG20" s="38"/>
      <c r="AH20" s="37"/>
      <c r="AI20" s="37"/>
      <c r="AJ20" s="37"/>
      <c r="AK20"/>
      <c r="AL20"/>
      <c r="AM20"/>
    </row>
    <row r="21" spans="1:40" x14ac:dyDescent="0.35">
      <c r="A21" s="252">
        <f>B17/A34-1</f>
        <v>4.5454545454545414E-2</v>
      </c>
      <c r="B21" s="14">
        <f t="shared" si="8"/>
        <v>-0.32575757575757591</v>
      </c>
      <c r="C21" s="14" t="e">
        <f t="shared" si="8"/>
        <v>#VALUE!</v>
      </c>
      <c r="N21" s="51"/>
      <c r="O21" s="177">
        <f>M16/500</f>
        <v>203.12727272727275</v>
      </c>
      <c r="AC21" s="37"/>
      <c r="AD21" s="37"/>
      <c r="AE21" s="38"/>
      <c r="AF21" s="38"/>
      <c r="AG21" s="37"/>
      <c r="AH21" s="37"/>
      <c r="AI21" s="37"/>
      <c r="AJ21"/>
      <c r="AK21"/>
      <c r="AL21"/>
    </row>
    <row r="22" spans="1:40" ht="16" thickBot="1" x14ac:dyDescent="0.4">
      <c r="A22" s="252">
        <f>B18/A35-1</f>
        <v>-0.11948443736920789</v>
      </c>
      <c r="B22" s="14">
        <f t="shared" si="8"/>
        <v>0.16688574092895769</v>
      </c>
      <c r="C22" s="14" t="e">
        <f t="shared" si="8"/>
        <v>#VALUE!</v>
      </c>
      <c r="M22" s="51"/>
      <c r="N22" s="51"/>
      <c r="O22" s="177">
        <f>M17/500</f>
        <v>14.254545454545456</v>
      </c>
      <c r="P22" s="185"/>
      <c r="Q22" s="185"/>
      <c r="AB22" s="37"/>
      <c r="AC22" s="37"/>
      <c r="AD22" s="38"/>
      <c r="AE22" s="38"/>
      <c r="AF22" s="37"/>
      <c r="AG22" s="37"/>
      <c r="AH22" s="37"/>
      <c r="AI22"/>
      <c r="AJ22"/>
      <c r="AK22"/>
    </row>
    <row r="23" spans="1:40" ht="16" thickBot="1" x14ac:dyDescent="0.4">
      <c r="A23" s="38"/>
      <c r="B23" s="38"/>
      <c r="C23" s="111" t="s">
        <v>18</v>
      </c>
      <c r="D23" s="91" t="s">
        <v>19</v>
      </c>
      <c r="E23" s="91" t="s">
        <v>20</v>
      </c>
      <c r="F23" s="91" t="s">
        <v>21</v>
      </c>
      <c r="M23" s="51"/>
      <c r="O23" s="177">
        <f t="shared" ref="O23" si="9">M18/500</f>
        <v>142.40233644859819</v>
      </c>
      <c r="Q23" s="186"/>
      <c r="AB23" s="37"/>
      <c r="AC23" s="37"/>
      <c r="AD23" s="38"/>
      <c r="AE23" s="38"/>
      <c r="AF23" s="37"/>
      <c r="AG23" s="37"/>
      <c r="AH23" s="37"/>
      <c r="AI23"/>
      <c r="AJ23"/>
      <c r="AK23"/>
    </row>
    <row r="24" spans="1:40" x14ac:dyDescent="0.35">
      <c r="A24" s="282" t="s">
        <v>17</v>
      </c>
      <c r="B24" s="283"/>
      <c r="C24" s="66">
        <f>IF(Calculo!O13=1,"INFO. INCOMPLETA",PNETA)</f>
        <v>179890</v>
      </c>
      <c r="D24" s="92">
        <f>+C24</f>
        <v>179890</v>
      </c>
      <c r="E24" s="92">
        <f>+D24</f>
        <v>179890</v>
      </c>
      <c r="F24" s="92">
        <f>+E24</f>
        <v>179890</v>
      </c>
      <c r="G24" s="218"/>
      <c r="J24" s="115" t="s">
        <v>129</v>
      </c>
      <c r="K24" s="115" t="s">
        <v>130</v>
      </c>
      <c r="L24" s="115" t="s">
        <v>131</v>
      </c>
      <c r="M24" s="115" t="s">
        <v>138</v>
      </c>
      <c r="AB24" s="37"/>
      <c r="AC24" s="37"/>
      <c r="AD24" s="38"/>
      <c r="AE24" s="38"/>
      <c r="AF24" s="37"/>
      <c r="AG24" s="37"/>
      <c r="AH24" s="37"/>
      <c r="AI24"/>
      <c r="AJ24"/>
      <c r="AK24"/>
    </row>
    <row r="25" spans="1:40" x14ac:dyDescent="0.35">
      <c r="A25" s="273" t="s">
        <v>22</v>
      </c>
      <c r="B25" s="274"/>
      <c r="C25" s="109">
        <v>0</v>
      </c>
      <c r="D25" s="92">
        <f>D24*4.73%</f>
        <v>8508.7970000000005</v>
      </c>
      <c r="E25" s="92">
        <f>E24*7%</f>
        <v>12592.300000000001</v>
      </c>
      <c r="F25" s="92">
        <f>F24*10%</f>
        <v>17989</v>
      </c>
      <c r="G25" s="219"/>
      <c r="H25" s="218"/>
      <c r="J25" s="72" t="s">
        <v>112</v>
      </c>
      <c r="K25" s="183">
        <f>IF(DATOS!E10="Anual",DATOS!$E$12,"")</f>
        <v>44378</v>
      </c>
      <c r="L25" s="183">
        <f>IFERROR(K25+365,"")</f>
        <v>44743</v>
      </c>
      <c r="M25" s="72"/>
      <c r="AB25" s="37"/>
      <c r="AC25" s="37"/>
      <c r="AD25" s="38"/>
      <c r="AE25" s="38"/>
      <c r="AF25" s="37"/>
      <c r="AG25" s="37"/>
      <c r="AH25" s="37"/>
      <c r="AI25"/>
      <c r="AJ25"/>
      <c r="AK25"/>
    </row>
    <row r="26" spans="1:40" x14ac:dyDescent="0.35">
      <c r="A26" s="276" t="s">
        <v>23</v>
      </c>
      <c r="B26" s="277"/>
      <c r="C26" s="40">
        <v>200</v>
      </c>
      <c r="D26" s="92">
        <v>300</v>
      </c>
      <c r="E26" s="92">
        <v>300</v>
      </c>
      <c r="F26" s="92">
        <v>300</v>
      </c>
      <c r="J26" s="118" t="s">
        <v>111</v>
      </c>
      <c r="K26" s="184" t="str">
        <f>+IF(DATOS!E10="Semestral",DATOS!E12,"")</f>
        <v/>
      </c>
      <c r="L26" s="184" t="str">
        <f>IFERROR(EDATE(K26,6),"")</f>
        <v/>
      </c>
      <c r="M26" s="228" t="e">
        <f>+L26-K26</f>
        <v>#VALUE!</v>
      </c>
      <c r="O26" s="185"/>
      <c r="AB26" s="37"/>
      <c r="AC26" s="37"/>
      <c r="AD26" s="38"/>
      <c r="AE26" s="38"/>
      <c r="AF26" s="37"/>
      <c r="AG26" s="37"/>
      <c r="AH26" s="37"/>
      <c r="AI26"/>
      <c r="AJ26"/>
      <c r="AK26"/>
    </row>
    <row r="27" spans="1:40" x14ac:dyDescent="0.35">
      <c r="A27" s="278">
        <v>0.16</v>
      </c>
      <c r="B27" s="279"/>
      <c r="C27" s="109">
        <f>(C24+C25+C26)*$A$27</f>
        <v>28814.400000000001</v>
      </c>
      <c r="D27" s="92">
        <f>(D24+D25+D26)*$A$27</f>
        <v>30191.807519999998</v>
      </c>
      <c r="E27" s="92">
        <f>(E24+E25+E26)*$A$27</f>
        <v>30845.167999999998</v>
      </c>
      <c r="F27" s="92">
        <f>(F24+F25+F26)*$A$27</f>
        <v>31708.639999999999</v>
      </c>
      <c r="H27" s="231">
        <v>0</v>
      </c>
      <c r="J27" s="72" t="s">
        <v>113</v>
      </c>
      <c r="K27" s="183">
        <v>44438</v>
      </c>
      <c r="L27" s="183">
        <v>44770</v>
      </c>
      <c r="M27" s="213">
        <f>+L27-K27</f>
        <v>332</v>
      </c>
      <c r="AB27" s="37"/>
      <c r="AC27" s="37"/>
      <c r="AD27" s="38"/>
      <c r="AE27" s="38"/>
      <c r="AF27" s="37"/>
      <c r="AG27" s="37"/>
      <c r="AH27" s="37"/>
      <c r="AI27"/>
      <c r="AJ27"/>
      <c r="AK27"/>
    </row>
    <row r="28" spans="1:40" x14ac:dyDescent="0.35">
      <c r="A28" s="280" t="s">
        <v>24</v>
      </c>
      <c r="B28" s="281"/>
      <c r="C28" s="41">
        <f>SUM(C24:C27)</f>
        <v>208904.4</v>
      </c>
      <c r="D28" s="93">
        <f>SUM(D24:D27)</f>
        <v>218890.60451999999</v>
      </c>
      <c r="E28" s="93">
        <f>SUM(E24:E27)</f>
        <v>223627.46799999999</v>
      </c>
      <c r="F28" s="93">
        <f>SUM(F24:F27)</f>
        <v>229887.64</v>
      </c>
      <c r="H28" s="231">
        <v>-0.01</v>
      </c>
      <c r="N28" s="52"/>
      <c r="AC28" s="37"/>
      <c r="AD28" s="37"/>
      <c r="AE28" s="38"/>
      <c r="AF28" s="38"/>
      <c r="AG28" s="37"/>
      <c r="AH28" s="37"/>
      <c r="AI28" s="37"/>
      <c r="AJ28"/>
      <c r="AK28"/>
      <c r="AL28"/>
    </row>
    <row r="29" spans="1:40" ht="16" thickBot="1" x14ac:dyDescent="0.4">
      <c r="A29" s="271" t="s">
        <v>25</v>
      </c>
      <c r="B29" s="272"/>
      <c r="C29" s="110">
        <f>C28/Presentación!$D$13</f>
        <v>417.80879999999996</v>
      </c>
      <c r="D29" s="92">
        <f>D28/Presentación!$D$13</f>
        <v>437.78120903999996</v>
      </c>
      <c r="E29" s="92">
        <f>E28/Presentación!$D$13</f>
        <v>447.25493599999999</v>
      </c>
      <c r="F29" s="92">
        <f>F28/Presentación!$D$13</f>
        <v>459.77528000000001</v>
      </c>
      <c r="H29" s="231">
        <v>-0.02</v>
      </c>
      <c r="K29" s="185"/>
      <c r="N29" s="52"/>
      <c r="AC29" s="37"/>
      <c r="AD29" s="37"/>
      <c r="AE29" s="38"/>
      <c r="AF29" s="38"/>
      <c r="AG29" s="37"/>
      <c r="AH29" s="37"/>
      <c r="AI29" s="37"/>
      <c r="AJ29"/>
      <c r="AK29"/>
      <c r="AL29"/>
    </row>
    <row r="30" spans="1:40" ht="16" thickBot="1" x14ac:dyDescent="0.4">
      <c r="A30" s="81"/>
      <c r="B30" s="81"/>
      <c r="C30" s="81"/>
      <c r="D30" s="81"/>
      <c r="E30" s="81"/>
      <c r="F30" s="81"/>
      <c r="H30" s="231">
        <v>-0.03</v>
      </c>
      <c r="N30" s="52"/>
      <c r="AC30" s="37"/>
      <c r="AD30" s="37"/>
      <c r="AE30" s="38"/>
      <c r="AF30" s="38"/>
      <c r="AG30" s="37"/>
      <c r="AH30" s="37"/>
      <c r="AI30" s="37"/>
      <c r="AJ30"/>
      <c r="AK30"/>
      <c r="AL30"/>
    </row>
    <row r="31" spans="1:40" x14ac:dyDescent="0.35">
      <c r="A31" s="81"/>
      <c r="B31" s="81"/>
      <c r="C31" s="112" t="s">
        <v>26</v>
      </c>
      <c r="D31" s="95"/>
      <c r="E31" s="95"/>
      <c r="F31" s="95"/>
      <c r="H31" s="231">
        <v>-0.04</v>
      </c>
      <c r="J31" s="186"/>
      <c r="M31" s="185"/>
      <c r="N31" s="52"/>
      <c r="AC31" s="37"/>
      <c r="AD31" s="37"/>
      <c r="AE31" s="38"/>
      <c r="AF31" s="38"/>
      <c r="AG31" s="37"/>
      <c r="AH31" s="37"/>
      <c r="AI31" s="37"/>
      <c r="AJ31"/>
      <c r="AK31"/>
      <c r="AL31"/>
    </row>
    <row r="32" spans="1:40" x14ac:dyDescent="0.35">
      <c r="A32" s="81"/>
      <c r="B32" s="81"/>
      <c r="C32" s="113" t="s">
        <v>18</v>
      </c>
      <c r="D32" s="91" t="s">
        <v>19</v>
      </c>
      <c r="E32" s="91" t="s">
        <v>20</v>
      </c>
      <c r="F32" s="91" t="s">
        <v>21</v>
      </c>
      <c r="H32" s="231">
        <v>-0.05</v>
      </c>
      <c r="K32" s="201"/>
      <c r="L32" s="177"/>
      <c r="N32" s="51"/>
      <c r="AC32" s="37"/>
      <c r="AD32" s="37"/>
      <c r="AE32" s="38"/>
      <c r="AF32" s="38"/>
      <c r="AG32" s="37"/>
      <c r="AH32" s="37"/>
      <c r="AI32" s="37"/>
      <c r="AJ32"/>
      <c r="AK32"/>
      <c r="AL32"/>
    </row>
    <row r="33" spans="1:38" ht="16" thickBot="1" x14ac:dyDescent="0.4">
      <c r="A33" s="81">
        <v>0.97147826086956535</v>
      </c>
      <c r="B33" s="81"/>
      <c r="C33" s="114" t="s">
        <v>27</v>
      </c>
      <c r="D33" s="96" t="s">
        <v>28</v>
      </c>
      <c r="E33" s="96" t="s">
        <v>28</v>
      </c>
      <c r="F33" s="96" t="s">
        <v>28</v>
      </c>
      <c r="H33" s="231">
        <v>-0.06</v>
      </c>
      <c r="K33" s="177"/>
      <c r="L33" s="177"/>
      <c r="N33" s="51"/>
      <c r="AC33" s="37"/>
      <c r="AD33" s="37"/>
      <c r="AE33" s="38"/>
      <c r="AF33" s="38"/>
      <c r="AG33" s="37"/>
      <c r="AH33" s="37"/>
      <c r="AI33" s="37"/>
      <c r="AJ33"/>
      <c r="AK33"/>
      <c r="AL33"/>
    </row>
    <row r="34" spans="1:38" ht="16" thickBot="1" x14ac:dyDescent="0.4">
      <c r="A34" s="81">
        <v>6.8173913043478265E-2</v>
      </c>
      <c r="B34" s="81"/>
      <c r="C34" s="65">
        <f>C28</f>
        <v>208904.4</v>
      </c>
      <c r="D34" s="97">
        <f>((((D24/2)*1.0473)+300)*(1+$A$27))</f>
        <v>109619.30225999998</v>
      </c>
      <c r="E34" s="97">
        <f>((((E24/4)*1.07)+300)*(1+$A$27))</f>
        <v>56167.866999999998</v>
      </c>
      <c r="F34" s="97">
        <f>((((F24/12)*1.1)+300)*(1+$A$27))</f>
        <v>19476.303333333333</v>
      </c>
      <c r="H34" s="231">
        <v>-7.0000000000000007E-2</v>
      </c>
      <c r="L34" s="177"/>
      <c r="N34" s="51"/>
      <c r="AC34" s="37"/>
      <c r="AD34" s="37"/>
      <c r="AE34" s="38"/>
      <c r="AF34" s="38"/>
      <c r="AG34" s="37"/>
      <c r="AH34" s="37"/>
      <c r="AI34" s="37"/>
      <c r="AJ34"/>
      <c r="AK34"/>
      <c r="AL34"/>
    </row>
    <row r="35" spans="1:38" x14ac:dyDescent="0.35">
      <c r="A35" s="81">
        <v>6.4690434782608701</v>
      </c>
      <c r="B35" s="81"/>
      <c r="C35" s="42"/>
      <c r="D35" s="96" t="s">
        <v>29</v>
      </c>
      <c r="E35" s="96" t="s">
        <v>30</v>
      </c>
      <c r="F35" s="96" t="s">
        <v>31</v>
      </c>
      <c r="H35" s="231">
        <v>-0.08</v>
      </c>
      <c r="L35" s="177"/>
      <c r="N35" s="51"/>
      <c r="AC35" s="37"/>
      <c r="AD35" s="37"/>
      <c r="AE35" s="38"/>
      <c r="AF35" s="38"/>
      <c r="AG35" s="37"/>
      <c r="AH35" s="37"/>
      <c r="AI35" s="37"/>
      <c r="AJ35"/>
      <c r="AK35"/>
      <c r="AL35"/>
    </row>
    <row r="36" spans="1:38" x14ac:dyDescent="0.35">
      <c r="A36" s="43"/>
      <c r="B36" s="81"/>
      <c r="C36" s="44"/>
      <c r="D36" s="97">
        <f>((((D24/2)*1.0473))*(1+$A$27))</f>
        <v>109271.30225999998</v>
      </c>
      <c r="E36" s="97">
        <f>((((E24/4))*1.07)*(1+$A$27))</f>
        <v>55819.866999999998</v>
      </c>
      <c r="F36" s="97">
        <f>((((F24/12))*1.1)*(1+$A$27))</f>
        <v>19128.303333333333</v>
      </c>
      <c r="H36" s="231">
        <v>-0.09</v>
      </c>
      <c r="N36" s="51"/>
      <c r="AC36" s="37"/>
      <c r="AD36" s="37"/>
      <c r="AE36" s="38"/>
      <c r="AF36" s="38"/>
      <c r="AG36" s="37"/>
      <c r="AH36" s="37"/>
      <c r="AI36" s="37"/>
      <c r="AJ36"/>
      <c r="AK36"/>
      <c r="AL36"/>
    </row>
    <row r="37" spans="1:38" x14ac:dyDescent="0.35">
      <c r="A37" s="43"/>
      <c r="B37" s="38"/>
      <c r="C37" s="81"/>
      <c r="D37" s="98"/>
      <c r="E37" s="98"/>
      <c r="F37" s="98"/>
      <c r="H37" s="231">
        <v>-0.1</v>
      </c>
      <c r="N37" s="52"/>
      <c r="AC37" s="37"/>
      <c r="AD37" s="37"/>
      <c r="AE37" s="38"/>
      <c r="AF37" s="38"/>
      <c r="AG37" s="37"/>
      <c r="AH37" s="37"/>
      <c r="AI37" s="37"/>
      <c r="AJ37"/>
      <c r="AK37"/>
      <c r="AL37"/>
    </row>
    <row r="38" spans="1:38" x14ac:dyDescent="0.35">
      <c r="A38" s="43"/>
      <c r="B38" s="99"/>
      <c r="C38" s="100" t="s">
        <v>32</v>
      </c>
      <c r="D38" s="101"/>
      <c r="E38" s="102"/>
      <c r="F38" s="81"/>
      <c r="N38" s="51"/>
      <c r="AC38" s="37"/>
      <c r="AD38" s="37"/>
      <c r="AE38" s="38"/>
      <c r="AF38" s="38"/>
      <c r="AG38" s="37"/>
      <c r="AH38" s="37"/>
      <c r="AI38" s="37"/>
      <c r="AJ38"/>
      <c r="AK38"/>
      <c r="AL38"/>
    </row>
    <row r="39" spans="1:38" x14ac:dyDescent="0.35">
      <c r="A39" s="81"/>
      <c r="B39" s="102"/>
      <c r="C39" s="103">
        <v>0.2</v>
      </c>
      <c r="D39" s="101"/>
      <c r="E39" s="102"/>
      <c r="F39" s="81"/>
      <c r="N39" s="51"/>
      <c r="AC39" s="37"/>
      <c r="AD39" s="37"/>
      <c r="AE39" s="38"/>
      <c r="AF39" s="38"/>
      <c r="AG39" s="37"/>
      <c r="AH39" s="37"/>
      <c r="AI39" s="37"/>
      <c r="AJ39"/>
      <c r="AK39"/>
      <c r="AL39"/>
    </row>
    <row r="40" spans="1:38" x14ac:dyDescent="0.35">
      <c r="A40" s="81"/>
      <c r="B40" s="102"/>
      <c r="C40" s="100" t="s">
        <v>33</v>
      </c>
      <c r="D40" s="101"/>
      <c r="E40" s="102"/>
      <c r="F40" s="81"/>
      <c r="H40" s="23"/>
      <c r="I40" s="24"/>
      <c r="N40" s="51"/>
      <c r="AC40" s="37"/>
      <c r="AD40" s="37"/>
      <c r="AE40" s="38"/>
      <c r="AF40" s="38"/>
      <c r="AG40" s="37"/>
      <c r="AH40" s="37"/>
      <c r="AI40" s="37"/>
      <c r="AJ40"/>
      <c r="AK40"/>
      <c r="AL40"/>
    </row>
    <row r="41" spans="1:38" x14ac:dyDescent="0.35">
      <c r="A41" s="81"/>
      <c r="B41" s="102"/>
      <c r="C41" s="104" t="s">
        <v>34</v>
      </c>
      <c r="D41" s="101"/>
      <c r="E41" s="102"/>
      <c r="F41" s="81"/>
      <c r="H41" s="20"/>
      <c r="I41" s="20"/>
      <c r="N41" s="51"/>
      <c r="AC41" s="37"/>
      <c r="AD41" s="37"/>
      <c r="AE41" s="38"/>
      <c r="AF41" s="38"/>
      <c r="AG41" s="37"/>
      <c r="AH41" s="37"/>
      <c r="AI41" s="37"/>
      <c r="AJ41"/>
      <c r="AK41"/>
      <c r="AL41"/>
    </row>
    <row r="42" spans="1:38" x14ac:dyDescent="0.35">
      <c r="H42" s="20"/>
      <c r="I42" s="20"/>
      <c r="N42" s="51"/>
      <c r="AC42" s="37"/>
      <c r="AD42" s="37"/>
      <c r="AE42" s="38"/>
      <c r="AF42" s="38"/>
      <c r="AG42" s="37"/>
      <c r="AH42" s="37"/>
      <c r="AI42" s="37"/>
      <c r="AJ42"/>
      <c r="AK42"/>
      <c r="AL42"/>
    </row>
    <row r="43" spans="1:38" x14ac:dyDescent="0.35">
      <c r="H43" s="20"/>
      <c r="I43" s="22"/>
      <c r="N43" s="51"/>
      <c r="AC43" s="37"/>
      <c r="AD43" s="37"/>
      <c r="AE43" s="38"/>
      <c r="AF43" s="38"/>
      <c r="AG43" s="37"/>
      <c r="AH43" s="37"/>
      <c r="AI43" s="37"/>
      <c r="AJ43"/>
      <c r="AK43"/>
      <c r="AL43"/>
    </row>
    <row r="44" spans="1:38" x14ac:dyDescent="0.35">
      <c r="H44" s="22"/>
      <c r="N44" s="51"/>
      <c r="AC44" s="37"/>
      <c r="AD44" s="37"/>
      <c r="AE44" s="38"/>
      <c r="AF44" s="38"/>
      <c r="AG44" s="37"/>
      <c r="AH44" s="37"/>
      <c r="AI44" s="37"/>
      <c r="AJ44"/>
      <c r="AK44"/>
      <c r="AL44"/>
    </row>
    <row r="45" spans="1:38" x14ac:dyDescent="0.35">
      <c r="A45" s="20">
        <f>+Presentación!H19</f>
        <v>100000000</v>
      </c>
      <c r="B45" s="21">
        <f>B16</f>
        <v>1.0156363636363639</v>
      </c>
      <c r="C45" s="255">
        <f>+B45*(1-$C$11)</f>
        <v>0.33516000000000007</v>
      </c>
      <c r="D45" s="20">
        <f>+A45*B45/1000</f>
        <v>101563.63636363638</v>
      </c>
      <c r="N45" s="51"/>
      <c r="AC45" s="37"/>
      <c r="AD45" s="37"/>
      <c r="AE45" s="38"/>
      <c r="AF45" s="38"/>
      <c r="AG45" s="37"/>
      <c r="AH45" s="37"/>
      <c r="AI45" s="37"/>
      <c r="AJ45"/>
      <c r="AK45"/>
      <c r="AL45"/>
    </row>
    <row r="46" spans="1:38" x14ac:dyDescent="0.35">
      <c r="A46" s="20">
        <f>+Presentación!H20</f>
        <v>100000000</v>
      </c>
      <c r="B46" s="21">
        <f>IF(A46=0,0,B17)</f>
        <v>7.1272727272727279E-2</v>
      </c>
      <c r="C46" s="255">
        <f>+B46*(1-$C$11)</f>
        <v>2.3519999999999999E-2</v>
      </c>
      <c r="D46" s="20">
        <f>+A46*B46/1000</f>
        <v>7127.2727272727279</v>
      </c>
      <c r="N46" s="51"/>
      <c r="AC46" s="37"/>
      <c r="AD46" s="37"/>
      <c r="AE46" s="38"/>
      <c r="AF46" s="38"/>
      <c r="AG46" s="37"/>
      <c r="AH46" s="37"/>
      <c r="AI46" s="37"/>
      <c r="AJ46"/>
      <c r="AK46"/>
      <c r="AL46"/>
    </row>
    <row r="47" spans="1:38" x14ac:dyDescent="0.35">
      <c r="A47" s="20">
        <f>+Presentación!H21</f>
        <v>12500000</v>
      </c>
      <c r="B47" s="21">
        <f>B18</f>
        <v>5.6960934579439266</v>
      </c>
      <c r="C47" s="204">
        <f>+B47*(1-$E$11)</f>
        <v>3.0474100000000002</v>
      </c>
      <c r="D47" s="20">
        <f>+A47*B47/1000</f>
        <v>71201.168224299094</v>
      </c>
      <c r="N47" s="51"/>
      <c r="AC47" s="37"/>
      <c r="AD47" s="37"/>
      <c r="AE47" s="38"/>
      <c r="AF47" s="38"/>
      <c r="AG47" s="37"/>
      <c r="AH47" s="37"/>
      <c r="AI47" s="37"/>
      <c r="AJ47"/>
      <c r="AK47"/>
      <c r="AL47"/>
    </row>
    <row r="48" spans="1:38" x14ac:dyDescent="0.35">
      <c r="B48" s="21">
        <f t="shared" ref="B48" si="10">B19</f>
        <v>148.4848484848485</v>
      </c>
      <c r="C48" s="204">
        <f>+B48*(1-$C$11)</f>
        <v>49</v>
      </c>
      <c r="D48" s="22">
        <f>SUM(D45:D47)</f>
        <v>179892.07731520821</v>
      </c>
      <c r="N48" s="51"/>
      <c r="AC48" s="37"/>
      <c r="AD48" s="37"/>
      <c r="AE48" s="38"/>
      <c r="AF48" s="38"/>
      <c r="AG48" s="37"/>
      <c r="AH48" s="37"/>
      <c r="AI48" s="37"/>
      <c r="AJ48"/>
      <c r="AK48"/>
      <c r="AL48"/>
    </row>
    <row r="49" spans="1:38" x14ac:dyDescent="0.35">
      <c r="N49" s="51"/>
      <c r="AC49" s="37"/>
      <c r="AD49" s="37"/>
      <c r="AE49" s="38"/>
      <c r="AF49" s="38"/>
      <c r="AG49" s="37"/>
      <c r="AH49" s="37"/>
      <c r="AI49" s="37"/>
      <c r="AJ49"/>
      <c r="AK49"/>
      <c r="AL49"/>
    </row>
    <row r="50" spans="1:38" x14ac:dyDescent="0.35">
      <c r="A50" s="20">
        <f>+C50/Presentación!D13</f>
        <v>223.31763417305589</v>
      </c>
      <c r="B50" s="20">
        <f>+A45</f>
        <v>100000000</v>
      </c>
      <c r="C50" s="20">
        <f>+B50*D50/1000</f>
        <v>111658.81708652795</v>
      </c>
      <c r="D50" s="21">
        <f>+B45/J5*365</f>
        <v>1.1165881708652796</v>
      </c>
      <c r="E50" s="21">
        <f>+D50*(1-$C$11)</f>
        <v>0.36847409638554224</v>
      </c>
      <c r="N50" s="51"/>
      <c r="AC50" s="37"/>
      <c r="AD50" s="37"/>
      <c r="AE50" s="38"/>
      <c r="AF50" s="38"/>
      <c r="AG50" s="37"/>
      <c r="AH50" s="37"/>
      <c r="AI50" s="37"/>
      <c r="AJ50"/>
      <c r="AK50"/>
      <c r="AL50"/>
    </row>
    <row r="51" spans="1:38" x14ac:dyDescent="0.35">
      <c r="A51" s="20">
        <f>+C51/Presentación!D13</f>
        <v>15.671412924424974</v>
      </c>
      <c r="B51" s="20">
        <f>+A46</f>
        <v>100000000</v>
      </c>
      <c r="C51" s="20">
        <f>+B51*D51/1000</f>
        <v>7835.7064622124872</v>
      </c>
      <c r="D51" s="21">
        <f>+B46/J5*365</f>
        <v>7.835706462212487E-2</v>
      </c>
      <c r="E51" s="21">
        <f>+D51*(1-$C$11)</f>
        <v>2.5857831325301204E-2</v>
      </c>
      <c r="N51" s="51"/>
      <c r="AC51" s="37"/>
      <c r="AD51" s="37"/>
      <c r="AE51" s="38"/>
      <c r="AF51" s="38"/>
      <c r="AG51" s="37"/>
      <c r="AH51" s="37"/>
      <c r="AI51" s="37"/>
      <c r="AJ51"/>
      <c r="AK51"/>
      <c r="AL51"/>
    </row>
    <row r="52" spans="1:38" x14ac:dyDescent="0.35">
      <c r="A52" s="20">
        <f>+C52/Presentación!D13</f>
        <v>156.55678555342871</v>
      </c>
      <c r="B52" s="20">
        <f>+A47</f>
        <v>12500000</v>
      </c>
      <c r="C52" s="20">
        <f>+B52*D52/1000</f>
        <v>78278.392776714361</v>
      </c>
      <c r="D52" s="21">
        <f>+B47/J5*365</f>
        <v>6.2622714221371485</v>
      </c>
      <c r="E52" s="21">
        <f>+D52*(1-$C$11)</f>
        <v>2.0665495693052587</v>
      </c>
      <c r="N52" s="51"/>
      <c r="AC52" s="37"/>
      <c r="AD52" s="37"/>
      <c r="AE52" s="38"/>
      <c r="AF52" s="38"/>
      <c r="AG52" s="37"/>
      <c r="AH52" s="37"/>
      <c r="AI52" s="37"/>
      <c r="AJ52"/>
      <c r="AK52"/>
      <c r="AL52"/>
    </row>
    <row r="53" spans="1:38" x14ac:dyDescent="0.35">
      <c r="C53" s="20">
        <f>SUM(C50:C52)</f>
        <v>197772.9163254548</v>
      </c>
      <c r="N53" s="51"/>
      <c r="AC53" s="37"/>
      <c r="AD53" s="37"/>
      <c r="AE53" s="38"/>
      <c r="AF53" s="38"/>
      <c r="AG53" s="37"/>
      <c r="AH53" s="37"/>
      <c r="AI53" s="37"/>
      <c r="AJ53"/>
      <c r="AK53"/>
      <c r="AL53"/>
    </row>
    <row r="54" spans="1:38" x14ac:dyDescent="0.35">
      <c r="C54" s="22">
        <f>+C53/365*J5</f>
        <v>179892.07731520821</v>
      </c>
      <c r="N54" s="51"/>
      <c r="AC54" s="37"/>
      <c r="AD54" s="37"/>
      <c r="AE54" s="38"/>
      <c r="AF54" s="38"/>
      <c r="AG54" s="37"/>
      <c r="AH54" s="37"/>
      <c r="AI54" s="37"/>
      <c r="AJ54"/>
      <c r="AK54"/>
      <c r="AL54"/>
    </row>
    <row r="55" spans="1:38" x14ac:dyDescent="0.35">
      <c r="C55" s="20">
        <f>+F62*Presentación!D13</f>
        <v>0</v>
      </c>
      <c r="D55" s="22">
        <f>+C55+C54</f>
        <v>179892.07731520821</v>
      </c>
      <c r="N55" s="51"/>
      <c r="AC55" s="37"/>
      <c r="AD55" s="37"/>
      <c r="AE55" s="38"/>
      <c r="AF55" s="38"/>
      <c r="AG55" s="37"/>
      <c r="AH55" s="37"/>
      <c r="AI55" s="37"/>
      <c r="AJ55"/>
      <c r="AK55"/>
      <c r="AL55"/>
    </row>
    <row r="56" spans="1:38" x14ac:dyDescent="0.35">
      <c r="N56" s="51"/>
      <c r="AC56" s="37"/>
      <c r="AD56" s="37"/>
      <c r="AE56" s="38"/>
      <c r="AF56" s="38"/>
      <c r="AG56" s="37"/>
      <c r="AH56" s="37"/>
      <c r="AI56" s="37"/>
      <c r="AJ56"/>
      <c r="AK56"/>
      <c r="AL56"/>
    </row>
    <row r="57" spans="1:38" ht="16" thickBot="1" x14ac:dyDescent="0.4">
      <c r="N57" s="51"/>
      <c r="AC57" s="37"/>
      <c r="AD57" s="37"/>
      <c r="AE57" s="38"/>
      <c r="AF57" s="38"/>
      <c r="AG57" s="37"/>
      <c r="AH57" s="37"/>
      <c r="AI57" s="37"/>
      <c r="AJ57"/>
      <c r="AK57"/>
      <c r="AL57"/>
    </row>
    <row r="58" spans="1:38" ht="16" thickBot="1" x14ac:dyDescent="0.4">
      <c r="A58" s="67" t="s">
        <v>73</v>
      </c>
      <c r="B58" s="68"/>
      <c r="D58" s="23" t="s">
        <v>68</v>
      </c>
      <c r="E58" s="23" t="s">
        <v>69</v>
      </c>
      <c r="F58" s="23" t="s">
        <v>70</v>
      </c>
      <c r="G58" s="23" t="s">
        <v>71</v>
      </c>
      <c r="N58" s="51"/>
      <c r="AC58" s="37"/>
      <c r="AD58" s="37"/>
      <c r="AE58" s="38"/>
      <c r="AF58" s="38"/>
      <c r="AG58" s="37"/>
      <c r="AH58" s="37"/>
      <c r="AI58" s="37"/>
      <c r="AJ58"/>
      <c r="AK58"/>
      <c r="AL58"/>
    </row>
    <row r="59" spans="1:38" x14ac:dyDescent="0.35">
      <c r="A59" s="28">
        <v>6</v>
      </c>
      <c r="B59" s="29">
        <v>23</v>
      </c>
      <c r="C59" s="14">
        <v>6</v>
      </c>
      <c r="D59" s="14">
        <v>19</v>
      </c>
      <c r="E59" s="20">
        <f>+D59/J5*365</f>
        <v>20.888554216867469</v>
      </c>
      <c r="F59" s="20">
        <f>+E59/(1-$C$11)</f>
        <v>63.29864914202264</v>
      </c>
      <c r="G59" s="20">
        <f>+F59/365*J5</f>
        <v>57.575757575757578</v>
      </c>
      <c r="N59" s="51"/>
      <c r="AC59" s="37"/>
      <c r="AD59" s="37"/>
      <c r="AE59" s="38"/>
      <c r="AF59" s="38"/>
      <c r="AG59" s="37"/>
      <c r="AH59" s="37"/>
      <c r="AI59" s="37"/>
      <c r="AJ59"/>
      <c r="AK59"/>
      <c r="AL59"/>
    </row>
    <row r="60" spans="1:38" x14ac:dyDescent="0.35">
      <c r="A60" s="26">
        <v>7</v>
      </c>
      <c r="B60" s="27">
        <v>21</v>
      </c>
      <c r="C60" s="14">
        <v>7</v>
      </c>
      <c r="D60" s="14">
        <v>18.059999999999999</v>
      </c>
      <c r="E60" s="20">
        <f>+D60/J5*365</f>
        <v>19.85512048192771</v>
      </c>
      <c r="F60" s="20">
        <f>+E60/(1-$C$11)</f>
        <v>60.167031763417306</v>
      </c>
      <c r="G60" s="20">
        <f>+F60/365*J5</f>
        <v>54.727272727272727</v>
      </c>
      <c r="N60" s="51"/>
      <c r="AC60" s="37"/>
      <c r="AD60" s="37"/>
      <c r="AE60" s="38"/>
      <c r="AF60" s="38"/>
      <c r="AG60" s="37"/>
      <c r="AH60" s="37"/>
      <c r="AI60" s="37"/>
      <c r="AJ60"/>
      <c r="AK60"/>
      <c r="AL60"/>
    </row>
    <row r="61" spans="1:38" x14ac:dyDescent="0.35">
      <c r="A61" s="26"/>
      <c r="B61" s="27">
        <f>+B60+B59</f>
        <v>44</v>
      </c>
      <c r="D61" s="20">
        <f>+D60+D59</f>
        <v>37.06</v>
      </c>
      <c r="E61" s="20">
        <f>+E60+E59</f>
        <v>40.743674698795175</v>
      </c>
      <c r="F61" s="20">
        <f>+F60+F59</f>
        <v>123.46568090543994</v>
      </c>
      <c r="G61" s="22">
        <f>+G60+G59</f>
        <v>112.30303030303031</v>
      </c>
      <c r="N61" s="51"/>
      <c r="AC61" s="37"/>
      <c r="AD61" s="37"/>
      <c r="AE61" s="38"/>
      <c r="AF61" s="38"/>
      <c r="AG61" s="37"/>
      <c r="AH61" s="37"/>
      <c r="AI61" s="37"/>
      <c r="AJ61"/>
      <c r="AK61"/>
      <c r="AL61"/>
    </row>
    <row r="62" spans="1:38" x14ac:dyDescent="0.35">
      <c r="B62" s="27">
        <f>+B61/(1-C11)</f>
        <v>133.33333333333334</v>
      </c>
      <c r="F62" s="22"/>
      <c r="N62" s="51"/>
      <c r="AC62" s="37"/>
      <c r="AD62" s="37"/>
      <c r="AE62" s="38"/>
      <c r="AF62" s="38"/>
      <c r="AG62" s="37"/>
      <c r="AH62" s="37"/>
      <c r="AI62" s="37"/>
      <c r="AJ62"/>
      <c r="AK62"/>
      <c r="AL62"/>
    </row>
    <row r="63" spans="1:38" x14ac:dyDescent="0.35">
      <c r="F63" s="22"/>
      <c r="N63" s="51"/>
      <c r="AC63" s="37"/>
      <c r="AD63" s="37"/>
      <c r="AE63" s="38"/>
      <c r="AF63" s="38"/>
      <c r="AG63" s="37"/>
      <c r="AH63" s="37"/>
      <c r="AI63" s="37"/>
      <c r="AJ63"/>
      <c r="AK63"/>
      <c r="AL63"/>
    </row>
    <row r="64" spans="1:38" x14ac:dyDescent="0.35">
      <c r="F64" s="22"/>
      <c r="N64" s="52"/>
      <c r="AC64" s="37"/>
      <c r="AD64" s="37"/>
      <c r="AE64" s="38"/>
      <c r="AF64" s="38"/>
      <c r="AG64" s="37"/>
      <c r="AH64" s="37"/>
      <c r="AI64" s="37"/>
      <c r="AJ64"/>
      <c r="AK64"/>
      <c r="AL64"/>
    </row>
    <row r="65" spans="6:38" x14ac:dyDescent="0.35">
      <c r="F65" s="22"/>
      <c r="N65" s="51"/>
      <c r="AC65" s="37"/>
      <c r="AD65" s="37"/>
      <c r="AE65" s="38"/>
      <c r="AF65" s="38"/>
      <c r="AG65" s="37"/>
      <c r="AH65" s="37"/>
      <c r="AI65" s="37"/>
      <c r="AJ65"/>
      <c r="AK65"/>
      <c r="AL65"/>
    </row>
    <row r="66" spans="6:38" x14ac:dyDescent="0.35">
      <c r="F66" s="22"/>
      <c r="N66" s="51"/>
      <c r="AC66" s="37"/>
      <c r="AD66" s="37"/>
      <c r="AE66" s="38"/>
      <c r="AF66" s="38"/>
      <c r="AG66" s="37"/>
      <c r="AH66" s="37"/>
      <c r="AI66" s="37"/>
      <c r="AJ66"/>
      <c r="AK66"/>
      <c r="AL66"/>
    </row>
    <row r="67" spans="6:38" x14ac:dyDescent="0.35">
      <c r="F67" s="22"/>
      <c r="N67" s="51"/>
      <c r="AC67" s="37"/>
      <c r="AD67" s="37"/>
      <c r="AE67" s="38"/>
      <c r="AF67" s="38"/>
      <c r="AG67" s="37"/>
      <c r="AH67" s="37"/>
      <c r="AI67" s="37"/>
      <c r="AJ67"/>
      <c r="AK67"/>
      <c r="AL67"/>
    </row>
    <row r="68" spans="6:38" x14ac:dyDescent="0.35">
      <c r="N68" s="51"/>
      <c r="AC68" s="37"/>
      <c r="AD68" s="37"/>
      <c r="AE68" s="38"/>
      <c r="AF68" s="38"/>
      <c r="AG68" s="37"/>
      <c r="AH68" s="37"/>
      <c r="AI68" s="37"/>
      <c r="AJ68"/>
      <c r="AK68"/>
      <c r="AL68"/>
    </row>
    <row r="69" spans="6:38" x14ac:dyDescent="0.35">
      <c r="N69" s="51"/>
      <c r="AC69" s="37"/>
      <c r="AD69" s="37"/>
      <c r="AE69" s="38"/>
      <c r="AF69" s="38"/>
      <c r="AG69" s="37"/>
      <c r="AH69" s="37"/>
      <c r="AI69" s="37"/>
      <c r="AJ69"/>
      <c r="AK69"/>
      <c r="AL69"/>
    </row>
    <row r="70" spans="6:38" x14ac:dyDescent="0.35">
      <c r="N70" s="51"/>
      <c r="AC70" s="37"/>
      <c r="AD70" s="37"/>
      <c r="AE70" s="38"/>
      <c r="AF70" s="38"/>
      <c r="AG70" s="37"/>
      <c r="AH70" s="37"/>
      <c r="AI70" s="37"/>
      <c r="AJ70"/>
      <c r="AK70"/>
      <c r="AL70"/>
    </row>
    <row r="71" spans="6:38" x14ac:dyDescent="0.35">
      <c r="N71" s="51"/>
      <c r="AC71" s="37"/>
      <c r="AD71" s="37"/>
      <c r="AE71" s="38"/>
      <c r="AF71" s="38"/>
      <c r="AG71" s="37"/>
      <c r="AH71" s="37"/>
      <c r="AI71" s="37"/>
      <c r="AJ71"/>
      <c r="AK71"/>
      <c r="AL71"/>
    </row>
    <row r="72" spans="6:38" x14ac:dyDescent="0.35">
      <c r="N72" s="51"/>
      <c r="AB72" s="37"/>
      <c r="AC72" s="37"/>
      <c r="AD72" s="37"/>
      <c r="AE72" s="38"/>
      <c r="AF72" s="38"/>
      <c r="AG72" s="37"/>
      <c r="AH72" s="37"/>
      <c r="AI72" s="37"/>
      <c r="AJ72"/>
      <c r="AK72"/>
      <c r="AL72"/>
    </row>
    <row r="73" spans="6:38" x14ac:dyDescent="0.35">
      <c r="N73" s="51"/>
      <c r="AB73" s="37"/>
      <c r="AC73" s="37"/>
      <c r="AD73" s="37"/>
      <c r="AE73" s="38"/>
      <c r="AF73" s="38"/>
      <c r="AG73" s="37"/>
      <c r="AH73" s="37"/>
      <c r="AI73" s="37"/>
      <c r="AJ73"/>
      <c r="AK73"/>
      <c r="AL73"/>
    </row>
    <row r="74" spans="6:38" x14ac:dyDescent="0.35">
      <c r="N74" s="51"/>
      <c r="AB74" s="37"/>
      <c r="AC74" s="37"/>
      <c r="AD74" s="37"/>
      <c r="AE74" s="38"/>
      <c r="AF74" s="38"/>
      <c r="AG74" s="37"/>
      <c r="AH74" s="37"/>
      <c r="AI74" s="37"/>
      <c r="AJ74"/>
      <c r="AK74"/>
      <c r="AL74"/>
    </row>
    <row r="75" spans="6:38" x14ac:dyDescent="0.35">
      <c r="N75" s="51"/>
      <c r="AB75" s="37"/>
      <c r="AC75" s="37"/>
      <c r="AD75" s="37"/>
      <c r="AE75" s="38"/>
      <c r="AF75" s="38"/>
      <c r="AG75" s="37"/>
      <c r="AH75" s="37"/>
      <c r="AI75" s="37"/>
      <c r="AJ75"/>
      <c r="AK75"/>
      <c r="AL75"/>
    </row>
    <row r="76" spans="6:38" x14ac:dyDescent="0.35">
      <c r="N76" s="51"/>
      <c r="AB76" s="37"/>
      <c r="AC76" s="37"/>
      <c r="AD76" s="37"/>
      <c r="AE76" s="38"/>
      <c r="AF76" s="38"/>
      <c r="AG76" s="37"/>
      <c r="AH76" s="37"/>
      <c r="AI76" s="37"/>
      <c r="AJ76"/>
      <c r="AK76"/>
      <c r="AL76"/>
    </row>
    <row r="77" spans="6:38" x14ac:dyDescent="0.35">
      <c r="AB77" s="37"/>
      <c r="AC77" s="37"/>
      <c r="AD77" s="37"/>
      <c r="AE77" s="38"/>
      <c r="AF77" s="38"/>
      <c r="AG77" s="37"/>
      <c r="AH77" s="37"/>
      <c r="AI77" s="37"/>
      <c r="AJ77"/>
      <c r="AK77"/>
      <c r="AL77"/>
    </row>
    <row r="78" spans="6:38" x14ac:dyDescent="0.35">
      <c r="AB78" s="37"/>
      <c r="AC78" s="37"/>
      <c r="AD78" s="37"/>
      <c r="AE78" s="38"/>
      <c r="AF78" s="38"/>
      <c r="AG78" s="37"/>
      <c r="AH78" s="37"/>
      <c r="AI78" s="37"/>
      <c r="AJ78"/>
      <c r="AK78"/>
      <c r="AL78"/>
    </row>
    <row r="79" spans="6:38" x14ac:dyDescent="0.35">
      <c r="N79" s="51"/>
      <c r="AB79" s="37"/>
      <c r="AC79" s="37"/>
      <c r="AD79" s="37"/>
      <c r="AE79" s="38"/>
      <c r="AF79" s="38"/>
      <c r="AG79" s="37"/>
      <c r="AH79" s="37"/>
      <c r="AI79" s="37"/>
      <c r="AJ79"/>
      <c r="AK79"/>
      <c r="AL79"/>
    </row>
    <row r="80" spans="6:38" x14ac:dyDescent="0.35">
      <c r="N80" s="51"/>
      <c r="AB80" s="37"/>
      <c r="AC80" s="37"/>
      <c r="AD80" s="37"/>
      <c r="AE80" s="38"/>
      <c r="AF80" s="38"/>
      <c r="AG80" s="37"/>
      <c r="AH80" s="37"/>
      <c r="AI80" s="37"/>
      <c r="AJ80"/>
      <c r="AK80"/>
      <c r="AL80"/>
    </row>
    <row r="81" spans="14:38" x14ac:dyDescent="0.35">
      <c r="N81" s="51"/>
      <c r="AB81" s="37"/>
      <c r="AC81" s="37"/>
      <c r="AD81" s="37"/>
      <c r="AE81" s="38"/>
      <c r="AF81" s="38"/>
      <c r="AG81" s="37"/>
      <c r="AH81" s="37"/>
      <c r="AI81" s="37"/>
      <c r="AJ81"/>
      <c r="AK81"/>
      <c r="AL81"/>
    </row>
    <row r="82" spans="14:38" x14ac:dyDescent="0.35">
      <c r="N82" s="51"/>
      <c r="AB82" s="37"/>
      <c r="AC82" s="37"/>
      <c r="AD82" s="37"/>
      <c r="AE82" s="38"/>
      <c r="AF82" s="38"/>
      <c r="AG82" s="37"/>
      <c r="AH82" s="37"/>
      <c r="AI82" s="37"/>
      <c r="AJ82"/>
      <c r="AK82"/>
      <c r="AL82"/>
    </row>
    <row r="83" spans="14:38" x14ac:dyDescent="0.35">
      <c r="N83" s="51"/>
      <c r="AB83" s="37"/>
      <c r="AC83" s="37"/>
      <c r="AD83" s="37"/>
      <c r="AE83" s="38"/>
      <c r="AF83" s="38"/>
      <c r="AG83" s="37"/>
      <c r="AH83" s="37"/>
      <c r="AI83" s="37"/>
      <c r="AJ83"/>
      <c r="AK83"/>
      <c r="AL83"/>
    </row>
    <row r="84" spans="14:38" x14ac:dyDescent="0.35">
      <c r="N84" s="51"/>
      <c r="AB84" s="37"/>
      <c r="AC84" s="37"/>
      <c r="AD84" s="37"/>
      <c r="AE84" s="38"/>
      <c r="AF84" s="38"/>
      <c r="AG84" s="37"/>
      <c r="AH84" s="37"/>
      <c r="AI84" s="37"/>
      <c r="AJ84"/>
      <c r="AK84"/>
      <c r="AL84"/>
    </row>
    <row r="85" spans="14:38" x14ac:dyDescent="0.35">
      <c r="N85" s="51"/>
      <c r="AB85" s="37"/>
      <c r="AC85" s="37"/>
      <c r="AD85" s="37"/>
      <c r="AE85" s="38"/>
      <c r="AF85" s="38"/>
      <c r="AG85" s="37"/>
      <c r="AH85" s="37"/>
      <c r="AI85" s="37"/>
      <c r="AJ85"/>
      <c r="AK85"/>
      <c r="AL85"/>
    </row>
    <row r="86" spans="14:38" x14ac:dyDescent="0.35">
      <c r="N86" s="51"/>
      <c r="AB86" s="37"/>
      <c r="AC86" s="37"/>
      <c r="AD86" s="37"/>
      <c r="AE86" s="38"/>
      <c r="AF86" s="38"/>
      <c r="AG86" s="37"/>
      <c r="AH86" s="37"/>
      <c r="AI86" s="37"/>
      <c r="AJ86"/>
      <c r="AK86"/>
      <c r="AL86"/>
    </row>
    <row r="87" spans="14:38" x14ac:dyDescent="0.35">
      <c r="N87" s="51"/>
      <c r="AB87" s="37"/>
      <c r="AC87" s="37"/>
      <c r="AD87" s="37"/>
      <c r="AE87" s="38"/>
      <c r="AF87" s="38"/>
      <c r="AG87" s="37"/>
      <c r="AH87" s="37"/>
      <c r="AI87" s="37"/>
      <c r="AJ87"/>
      <c r="AK87"/>
      <c r="AL87"/>
    </row>
    <row r="88" spans="14:38" x14ac:dyDescent="0.35">
      <c r="N88" s="52"/>
      <c r="AB88" s="37"/>
      <c r="AC88" s="37"/>
      <c r="AD88" s="37"/>
      <c r="AE88" s="38"/>
      <c r="AF88" s="38"/>
      <c r="AG88" s="37"/>
      <c r="AH88" s="37"/>
      <c r="AI88" s="37"/>
      <c r="AJ88"/>
      <c r="AK88"/>
      <c r="AL88"/>
    </row>
    <row r="89" spans="14:38" x14ac:dyDescent="0.35">
      <c r="N89" s="51"/>
      <c r="AB89" s="37"/>
      <c r="AC89" s="37"/>
      <c r="AD89" s="37"/>
      <c r="AE89" s="38"/>
      <c r="AF89" s="38"/>
      <c r="AG89" s="37"/>
      <c r="AH89" s="37"/>
      <c r="AI89" s="37"/>
      <c r="AJ89"/>
      <c r="AK89"/>
      <c r="AL89"/>
    </row>
    <row r="90" spans="14:38" x14ac:dyDescent="0.35">
      <c r="N90" s="51"/>
      <c r="AB90" s="37"/>
      <c r="AC90" s="37"/>
      <c r="AD90" s="37"/>
      <c r="AE90" s="38"/>
      <c r="AF90" s="38"/>
      <c r="AG90" s="37"/>
      <c r="AH90" s="37"/>
      <c r="AI90" s="37"/>
      <c r="AJ90"/>
      <c r="AK90"/>
      <c r="AL90"/>
    </row>
    <row r="91" spans="14:38" x14ac:dyDescent="0.35">
      <c r="N91" s="52"/>
      <c r="AB91" s="37"/>
      <c r="AC91" s="37"/>
      <c r="AD91" s="37"/>
      <c r="AE91" s="38"/>
      <c r="AF91" s="38"/>
      <c r="AG91" s="37"/>
      <c r="AH91" s="37"/>
      <c r="AI91" s="37"/>
      <c r="AJ91"/>
      <c r="AK91"/>
      <c r="AL91"/>
    </row>
    <row r="92" spans="14:38" x14ac:dyDescent="0.35">
      <c r="N92" s="52"/>
      <c r="AB92" s="37"/>
      <c r="AC92" s="37"/>
      <c r="AD92" s="37"/>
      <c r="AE92" s="38"/>
      <c r="AF92" s="38"/>
      <c r="AG92" s="37"/>
      <c r="AH92" s="37"/>
      <c r="AI92" s="37"/>
      <c r="AJ92"/>
      <c r="AK92"/>
      <c r="AL92"/>
    </row>
    <row r="93" spans="14:38" x14ac:dyDescent="0.35">
      <c r="N93" s="52"/>
      <c r="AB93" s="37"/>
      <c r="AC93" s="37"/>
      <c r="AD93" s="37"/>
      <c r="AE93" s="38"/>
      <c r="AF93" s="38"/>
      <c r="AG93" s="37"/>
      <c r="AH93" s="37"/>
      <c r="AI93" s="37"/>
      <c r="AJ93"/>
      <c r="AK93"/>
      <c r="AL93"/>
    </row>
    <row r="94" spans="14:38" x14ac:dyDescent="0.35">
      <c r="N94" s="52"/>
      <c r="AB94" s="37"/>
      <c r="AC94" s="37"/>
      <c r="AD94" s="37"/>
      <c r="AE94" s="38"/>
      <c r="AF94" s="38"/>
      <c r="AG94" s="37"/>
      <c r="AH94" s="37"/>
      <c r="AI94" s="37"/>
      <c r="AJ94"/>
      <c r="AK94"/>
      <c r="AL94"/>
    </row>
    <row r="95" spans="14:38" x14ac:dyDescent="0.35">
      <c r="N95" s="52"/>
      <c r="AB95" s="37"/>
      <c r="AC95" s="37"/>
      <c r="AD95" s="37"/>
      <c r="AE95" s="38"/>
      <c r="AF95" s="38"/>
      <c r="AG95" s="37"/>
      <c r="AH95" s="37"/>
      <c r="AI95" s="37"/>
      <c r="AJ95"/>
      <c r="AK95"/>
      <c r="AL95"/>
    </row>
    <row r="96" spans="14:38" x14ac:dyDescent="0.35">
      <c r="N96" s="51"/>
      <c r="AB96" s="37"/>
      <c r="AC96" s="37"/>
      <c r="AD96" s="37"/>
      <c r="AE96" s="38"/>
      <c r="AF96" s="38"/>
      <c r="AG96" s="37"/>
      <c r="AH96" s="37"/>
      <c r="AI96" s="37"/>
      <c r="AJ96"/>
      <c r="AK96"/>
      <c r="AL96"/>
    </row>
    <row r="97" spans="14:38" x14ac:dyDescent="0.35">
      <c r="N97" s="51"/>
      <c r="AB97" s="37"/>
      <c r="AC97" s="37"/>
      <c r="AD97" s="37"/>
      <c r="AE97" s="38"/>
      <c r="AF97" s="38"/>
      <c r="AG97" s="37"/>
      <c r="AH97" s="37"/>
      <c r="AI97" s="37"/>
      <c r="AJ97"/>
      <c r="AK97"/>
      <c r="AL97"/>
    </row>
    <row r="98" spans="14:38" x14ac:dyDescent="0.35">
      <c r="N98" s="51"/>
      <c r="AB98" s="37"/>
      <c r="AC98" s="37"/>
      <c r="AD98" s="37"/>
      <c r="AE98" s="38"/>
      <c r="AF98" s="38"/>
      <c r="AG98" s="37"/>
      <c r="AH98" s="37"/>
      <c r="AI98" s="37"/>
      <c r="AJ98"/>
      <c r="AK98"/>
      <c r="AL98"/>
    </row>
    <row r="99" spans="14:38" x14ac:dyDescent="0.35">
      <c r="N99" s="51"/>
      <c r="AB99" s="37"/>
      <c r="AC99" s="37"/>
      <c r="AD99" s="37"/>
      <c r="AE99" s="38"/>
      <c r="AF99" s="38"/>
      <c r="AG99" s="37"/>
      <c r="AH99" s="37"/>
      <c r="AI99" s="37"/>
      <c r="AJ99"/>
      <c r="AK99"/>
      <c r="AL99"/>
    </row>
    <row r="100" spans="14:38" x14ac:dyDescent="0.35">
      <c r="N100" s="51"/>
      <c r="AB100" s="37"/>
      <c r="AC100" s="37"/>
      <c r="AD100" s="37"/>
      <c r="AE100" s="38"/>
      <c r="AF100" s="38"/>
      <c r="AG100" s="37"/>
      <c r="AH100" s="37"/>
      <c r="AI100" s="37"/>
      <c r="AJ100"/>
      <c r="AK100"/>
      <c r="AL100"/>
    </row>
    <row r="101" spans="14:38" x14ac:dyDescent="0.35">
      <c r="N101" s="52"/>
      <c r="AB101" s="37"/>
      <c r="AC101" s="37"/>
      <c r="AD101" s="37"/>
      <c r="AE101" s="38"/>
      <c r="AF101" s="38"/>
      <c r="AG101" s="37"/>
      <c r="AH101" s="37"/>
      <c r="AI101" s="37"/>
      <c r="AJ101"/>
      <c r="AK101"/>
      <c r="AL101"/>
    </row>
    <row r="102" spans="14:38" x14ac:dyDescent="0.35">
      <c r="N102" s="51"/>
      <c r="AB102" s="37"/>
      <c r="AC102" s="37"/>
      <c r="AD102" s="37"/>
      <c r="AE102" s="38"/>
      <c r="AF102" s="38"/>
      <c r="AG102" s="37"/>
      <c r="AH102" s="37"/>
      <c r="AI102" s="37"/>
      <c r="AJ102"/>
      <c r="AK102"/>
      <c r="AL102"/>
    </row>
    <row r="103" spans="14:38" x14ac:dyDescent="0.35">
      <c r="N103" s="51"/>
      <c r="AB103" s="37"/>
      <c r="AC103" s="37"/>
      <c r="AD103" s="37"/>
      <c r="AE103" s="38"/>
      <c r="AF103" s="38"/>
      <c r="AG103" s="37"/>
      <c r="AH103" s="37"/>
      <c r="AI103" s="37"/>
      <c r="AJ103"/>
      <c r="AK103"/>
      <c r="AL103"/>
    </row>
    <row r="104" spans="14:38" x14ac:dyDescent="0.35">
      <c r="N104" s="51"/>
      <c r="AB104" s="37"/>
      <c r="AC104" s="37"/>
      <c r="AD104" s="37"/>
      <c r="AE104" s="38"/>
      <c r="AF104" s="38"/>
      <c r="AG104" s="37"/>
      <c r="AH104" s="37"/>
      <c r="AI104" s="37"/>
      <c r="AJ104"/>
      <c r="AK104"/>
      <c r="AL104"/>
    </row>
    <row r="105" spans="14:38" x14ac:dyDescent="0.35">
      <c r="N105" s="51"/>
      <c r="AB105" s="37"/>
      <c r="AC105" s="37"/>
      <c r="AD105" s="37"/>
      <c r="AE105" s="38"/>
      <c r="AF105" s="38"/>
      <c r="AG105" s="37"/>
      <c r="AH105" s="37"/>
      <c r="AI105" s="37"/>
      <c r="AJ105"/>
      <c r="AK105"/>
      <c r="AL105"/>
    </row>
    <row r="106" spans="14:38" x14ac:dyDescent="0.35">
      <c r="N106" s="51"/>
      <c r="AB106" s="37"/>
      <c r="AC106" s="37"/>
      <c r="AD106" s="37"/>
      <c r="AE106" s="38"/>
      <c r="AF106" s="38"/>
      <c r="AG106" s="37"/>
      <c r="AH106" s="37"/>
      <c r="AI106" s="37"/>
      <c r="AJ106"/>
      <c r="AK106"/>
      <c r="AL106"/>
    </row>
    <row r="107" spans="14:38" x14ac:dyDescent="0.35">
      <c r="N107" s="51"/>
      <c r="AB107" s="37"/>
      <c r="AC107" s="37"/>
      <c r="AD107" s="37"/>
      <c r="AE107" s="38"/>
      <c r="AF107" s="38"/>
      <c r="AG107" s="37"/>
      <c r="AH107" s="37"/>
      <c r="AI107" s="37"/>
      <c r="AJ107"/>
      <c r="AK107"/>
      <c r="AL107"/>
    </row>
    <row r="108" spans="14:38" x14ac:dyDescent="0.35">
      <c r="N108" s="51"/>
      <c r="AB108" s="37"/>
      <c r="AC108" s="37"/>
      <c r="AD108" s="37"/>
      <c r="AE108" s="38"/>
      <c r="AF108" s="38"/>
      <c r="AG108" s="37"/>
      <c r="AH108" s="37"/>
      <c r="AI108" s="37"/>
      <c r="AJ108"/>
      <c r="AK108"/>
      <c r="AL108"/>
    </row>
    <row r="109" spans="14:38" x14ac:dyDescent="0.35">
      <c r="N109" s="51"/>
      <c r="AB109" s="37"/>
      <c r="AC109" s="37"/>
      <c r="AD109" s="37"/>
      <c r="AE109" s="38"/>
      <c r="AF109" s="38"/>
      <c r="AG109" s="37"/>
      <c r="AH109" s="37"/>
      <c r="AI109" s="37"/>
      <c r="AJ109"/>
      <c r="AK109"/>
      <c r="AL109"/>
    </row>
    <row r="110" spans="14:38" x14ac:dyDescent="0.35">
      <c r="N110" s="51"/>
      <c r="AB110" s="37"/>
      <c r="AC110" s="37"/>
      <c r="AD110" s="37"/>
      <c r="AE110" s="38"/>
      <c r="AF110" s="38"/>
      <c r="AG110" s="37"/>
      <c r="AH110" s="37"/>
      <c r="AI110" s="37"/>
      <c r="AJ110"/>
      <c r="AK110"/>
      <c r="AL110"/>
    </row>
    <row r="111" spans="14:38" x14ac:dyDescent="0.35">
      <c r="N111" s="51"/>
      <c r="AB111" s="37"/>
      <c r="AC111" s="37"/>
      <c r="AD111" s="37"/>
      <c r="AE111" s="38"/>
      <c r="AF111" s="38"/>
      <c r="AG111" s="37"/>
      <c r="AH111" s="37"/>
      <c r="AI111" s="37"/>
      <c r="AJ111"/>
      <c r="AK111"/>
      <c r="AL111"/>
    </row>
    <row r="112" spans="14:38" x14ac:dyDescent="0.35">
      <c r="N112" s="51"/>
      <c r="AB112" s="37"/>
      <c r="AC112" s="37"/>
      <c r="AD112" s="37"/>
      <c r="AE112" s="38"/>
      <c r="AF112" s="38"/>
      <c r="AG112" s="37"/>
      <c r="AH112" s="37"/>
      <c r="AI112" s="37"/>
      <c r="AJ112"/>
      <c r="AK112"/>
      <c r="AL112"/>
    </row>
    <row r="113" spans="14:38" x14ac:dyDescent="0.35">
      <c r="N113" s="51"/>
      <c r="AB113" s="37"/>
      <c r="AC113" s="37"/>
      <c r="AD113" s="37"/>
      <c r="AE113" s="38"/>
      <c r="AF113" s="38"/>
      <c r="AG113" s="37"/>
      <c r="AH113" s="37"/>
      <c r="AI113" s="37"/>
      <c r="AJ113"/>
      <c r="AK113"/>
      <c r="AL113"/>
    </row>
    <row r="114" spans="14:38" x14ac:dyDescent="0.35">
      <c r="N114" s="51"/>
      <c r="AB114" s="37"/>
      <c r="AC114" s="37"/>
      <c r="AD114" s="37"/>
      <c r="AE114" s="38"/>
      <c r="AF114" s="38"/>
      <c r="AG114" s="37"/>
      <c r="AH114" s="37"/>
      <c r="AI114" s="37"/>
      <c r="AJ114"/>
      <c r="AK114"/>
      <c r="AL114"/>
    </row>
    <row r="115" spans="14:38" x14ac:dyDescent="0.35">
      <c r="N115" s="51"/>
      <c r="AB115" s="37"/>
      <c r="AC115" s="37"/>
      <c r="AD115" s="37"/>
      <c r="AE115" s="38"/>
      <c r="AF115" s="38"/>
      <c r="AG115" s="37"/>
      <c r="AH115" s="37"/>
      <c r="AI115" s="37"/>
      <c r="AJ115"/>
      <c r="AK115"/>
      <c r="AL115"/>
    </row>
    <row r="116" spans="14:38" x14ac:dyDescent="0.35">
      <c r="N116" s="51"/>
      <c r="AB116" s="37"/>
      <c r="AC116" s="37"/>
      <c r="AD116" s="37"/>
      <c r="AE116" s="38"/>
      <c r="AF116" s="38"/>
      <c r="AG116" s="37"/>
      <c r="AH116" s="37"/>
      <c r="AI116" s="37"/>
      <c r="AJ116"/>
      <c r="AK116"/>
      <c r="AL116"/>
    </row>
    <row r="117" spans="14:38" x14ac:dyDescent="0.35">
      <c r="N117" s="51"/>
      <c r="AB117" s="37"/>
      <c r="AC117" s="37"/>
      <c r="AD117" s="37"/>
      <c r="AE117" s="38"/>
      <c r="AF117" s="38"/>
      <c r="AG117" s="37"/>
      <c r="AH117" s="37"/>
      <c r="AI117" s="37"/>
      <c r="AJ117"/>
      <c r="AK117"/>
      <c r="AL117"/>
    </row>
    <row r="118" spans="14:38" x14ac:dyDescent="0.35">
      <c r="N118" s="51"/>
      <c r="AB118" s="37"/>
      <c r="AC118" s="37"/>
      <c r="AD118" s="37"/>
      <c r="AE118" s="38"/>
      <c r="AF118" s="38"/>
      <c r="AG118" s="37"/>
      <c r="AH118" s="37"/>
      <c r="AI118" s="37"/>
      <c r="AJ118"/>
      <c r="AK118"/>
      <c r="AL118"/>
    </row>
    <row r="119" spans="14:38" x14ac:dyDescent="0.35">
      <c r="N119" s="51"/>
      <c r="AB119" s="37"/>
      <c r="AC119" s="37"/>
      <c r="AD119" s="37"/>
      <c r="AE119" s="38"/>
      <c r="AF119" s="38"/>
      <c r="AG119" s="37"/>
      <c r="AH119" s="37"/>
      <c r="AI119" s="37"/>
      <c r="AJ119"/>
      <c r="AK119"/>
      <c r="AL119"/>
    </row>
    <row r="120" spans="14:38" x14ac:dyDescent="0.35">
      <c r="N120" s="51"/>
      <c r="AB120" s="37"/>
      <c r="AC120" s="37"/>
      <c r="AD120" s="37"/>
      <c r="AE120" s="38"/>
      <c r="AF120" s="38"/>
      <c r="AG120" s="37"/>
      <c r="AH120" s="37"/>
      <c r="AI120" s="37"/>
      <c r="AJ120"/>
      <c r="AK120"/>
      <c r="AL120"/>
    </row>
    <row r="121" spans="14:38" x14ac:dyDescent="0.35">
      <c r="N121" s="51"/>
      <c r="AB121" s="37"/>
      <c r="AC121" s="37"/>
      <c r="AD121" s="37"/>
      <c r="AE121" s="38"/>
      <c r="AF121" s="38"/>
      <c r="AG121" s="37"/>
      <c r="AH121" s="37"/>
      <c r="AI121" s="37"/>
      <c r="AJ121"/>
      <c r="AK121"/>
      <c r="AL121"/>
    </row>
    <row r="122" spans="14:38" x14ac:dyDescent="0.35">
      <c r="N122" s="51"/>
      <c r="AB122" s="37"/>
      <c r="AC122" s="37"/>
      <c r="AD122" s="37"/>
      <c r="AE122" s="38"/>
      <c r="AF122" s="38"/>
      <c r="AG122" s="37"/>
      <c r="AH122" s="37"/>
      <c r="AI122" s="37"/>
      <c r="AJ122"/>
      <c r="AK122"/>
      <c r="AL122"/>
    </row>
    <row r="123" spans="14:38" x14ac:dyDescent="0.35">
      <c r="N123" s="51"/>
      <c r="AB123" s="37"/>
      <c r="AC123" s="37"/>
      <c r="AD123" s="37"/>
      <c r="AE123" s="38"/>
      <c r="AF123" s="38"/>
      <c r="AG123" s="37"/>
      <c r="AH123" s="37"/>
      <c r="AI123" s="37"/>
      <c r="AJ123"/>
      <c r="AK123"/>
      <c r="AL123"/>
    </row>
    <row r="124" spans="14:38" x14ac:dyDescent="0.35">
      <c r="N124" s="51"/>
      <c r="AB124" s="37"/>
      <c r="AC124" s="37"/>
      <c r="AD124" s="37"/>
      <c r="AE124" s="38"/>
      <c r="AF124" s="38"/>
      <c r="AG124" s="37"/>
      <c r="AH124" s="37"/>
      <c r="AI124" s="37"/>
      <c r="AJ124"/>
      <c r="AK124"/>
      <c r="AL124"/>
    </row>
    <row r="125" spans="14:38" x14ac:dyDescent="0.35">
      <c r="N125" s="51"/>
      <c r="AB125" s="37"/>
      <c r="AC125" s="37"/>
      <c r="AD125" s="37"/>
      <c r="AE125" s="38"/>
      <c r="AF125" s="38"/>
      <c r="AG125" s="37"/>
      <c r="AH125" s="37"/>
      <c r="AI125" s="37"/>
      <c r="AJ125"/>
      <c r="AK125"/>
      <c r="AL125"/>
    </row>
    <row r="126" spans="14:38" x14ac:dyDescent="0.35">
      <c r="N126" s="51"/>
      <c r="AB126" s="37"/>
      <c r="AC126" s="37"/>
      <c r="AD126" s="37"/>
      <c r="AE126" s="38"/>
      <c r="AF126" s="38"/>
      <c r="AG126" s="37"/>
      <c r="AH126" s="37"/>
      <c r="AI126" s="37"/>
      <c r="AJ126"/>
      <c r="AK126"/>
      <c r="AL126"/>
    </row>
    <row r="127" spans="14:38" x14ac:dyDescent="0.35">
      <c r="N127" s="51"/>
      <c r="AB127" s="37"/>
      <c r="AC127" s="37"/>
      <c r="AD127" s="37"/>
      <c r="AE127" s="38"/>
      <c r="AF127" s="38"/>
      <c r="AG127" s="37"/>
      <c r="AH127" s="37"/>
      <c r="AI127" s="37"/>
      <c r="AJ127"/>
      <c r="AK127"/>
      <c r="AL127"/>
    </row>
    <row r="128" spans="14:38" x14ac:dyDescent="0.35">
      <c r="N128" s="52"/>
      <c r="AB128" s="37"/>
      <c r="AC128" s="37"/>
      <c r="AD128" s="37"/>
      <c r="AE128" s="38"/>
      <c r="AF128" s="38"/>
      <c r="AG128" s="37"/>
      <c r="AH128" s="37"/>
      <c r="AI128" s="37"/>
      <c r="AJ128"/>
      <c r="AK128"/>
      <c r="AL128"/>
    </row>
    <row r="129" spans="14:38" x14ac:dyDescent="0.35">
      <c r="N129" s="51"/>
      <c r="AB129" s="37"/>
      <c r="AC129" s="37"/>
      <c r="AD129" s="37"/>
      <c r="AE129" s="38"/>
      <c r="AF129" s="38"/>
      <c r="AG129" s="37"/>
      <c r="AH129" s="37"/>
      <c r="AI129" s="37"/>
      <c r="AJ129"/>
      <c r="AK129"/>
      <c r="AL129"/>
    </row>
    <row r="130" spans="14:38" x14ac:dyDescent="0.35">
      <c r="N130" s="51"/>
      <c r="AB130" s="37"/>
      <c r="AC130" s="37"/>
      <c r="AD130" s="37"/>
      <c r="AE130" s="38"/>
      <c r="AF130" s="38"/>
      <c r="AG130" s="37"/>
      <c r="AH130" s="37"/>
      <c r="AI130" s="37"/>
      <c r="AJ130"/>
      <c r="AK130"/>
      <c r="AL130"/>
    </row>
    <row r="131" spans="14:38" x14ac:dyDescent="0.35">
      <c r="N131" s="51"/>
      <c r="AB131" s="37"/>
      <c r="AC131" s="37"/>
      <c r="AD131" s="37"/>
      <c r="AE131" s="38"/>
      <c r="AF131" s="38"/>
      <c r="AG131" s="37"/>
      <c r="AH131" s="37"/>
      <c r="AI131" s="37"/>
      <c r="AJ131"/>
      <c r="AK131"/>
      <c r="AL131"/>
    </row>
    <row r="132" spans="14:38" x14ac:dyDescent="0.35">
      <c r="N132" s="51"/>
      <c r="AB132" s="37"/>
      <c r="AC132" s="37"/>
      <c r="AD132" s="37"/>
      <c r="AE132" s="38"/>
      <c r="AF132" s="38"/>
      <c r="AG132" s="37"/>
      <c r="AH132" s="37"/>
      <c r="AI132" s="37"/>
      <c r="AJ132"/>
      <c r="AK132"/>
      <c r="AL132"/>
    </row>
    <row r="133" spans="14:38" x14ac:dyDescent="0.35">
      <c r="N133" s="51"/>
      <c r="AB133" s="37"/>
      <c r="AC133" s="37"/>
      <c r="AD133" s="37"/>
      <c r="AE133" s="38"/>
      <c r="AF133" s="38"/>
      <c r="AG133" s="37"/>
      <c r="AH133" s="37"/>
      <c r="AI133" s="37"/>
      <c r="AJ133"/>
      <c r="AK133"/>
      <c r="AL133"/>
    </row>
    <row r="134" spans="14:38" x14ac:dyDescent="0.35">
      <c r="N134" s="51"/>
      <c r="AB134" s="37"/>
      <c r="AC134" s="37"/>
      <c r="AD134" s="37"/>
      <c r="AE134" s="38"/>
      <c r="AF134" s="38"/>
      <c r="AG134" s="37"/>
      <c r="AH134" s="37"/>
      <c r="AI134" s="37"/>
      <c r="AJ134"/>
      <c r="AK134"/>
      <c r="AL134"/>
    </row>
    <row r="135" spans="14:38" x14ac:dyDescent="0.35">
      <c r="N135" s="51"/>
      <c r="AB135" s="37"/>
      <c r="AC135" s="37"/>
      <c r="AD135" s="37"/>
      <c r="AE135" s="38"/>
      <c r="AF135" s="38"/>
      <c r="AG135" s="37"/>
      <c r="AH135" s="37"/>
      <c r="AI135" s="37"/>
      <c r="AJ135"/>
      <c r="AK135"/>
      <c r="AL135"/>
    </row>
    <row r="136" spans="14:38" x14ac:dyDescent="0.35">
      <c r="N136" s="51"/>
      <c r="AB136" s="37"/>
      <c r="AC136" s="37"/>
      <c r="AD136" s="37"/>
      <c r="AE136" s="38"/>
      <c r="AF136" s="38"/>
      <c r="AG136" s="37"/>
      <c r="AH136" s="37"/>
      <c r="AI136" s="37"/>
      <c r="AJ136"/>
      <c r="AK136"/>
      <c r="AL136"/>
    </row>
    <row r="137" spans="14:38" x14ac:dyDescent="0.35">
      <c r="N137" s="51"/>
      <c r="AB137" s="37"/>
      <c r="AC137" s="37"/>
      <c r="AD137" s="37"/>
      <c r="AE137" s="38"/>
      <c r="AF137" s="38"/>
      <c r="AG137" s="37"/>
      <c r="AH137" s="37"/>
      <c r="AI137" s="37"/>
      <c r="AJ137"/>
      <c r="AK137"/>
      <c r="AL137"/>
    </row>
    <row r="138" spans="14:38" x14ac:dyDescent="0.35">
      <c r="N138" s="51"/>
      <c r="AB138" s="37"/>
      <c r="AC138" s="37"/>
      <c r="AD138" s="37"/>
      <c r="AE138" s="38"/>
      <c r="AF138" s="38"/>
      <c r="AG138" s="37"/>
      <c r="AH138" s="37"/>
      <c r="AI138" s="37"/>
      <c r="AJ138"/>
      <c r="AK138"/>
      <c r="AL138"/>
    </row>
    <row r="139" spans="14:38" x14ac:dyDescent="0.35">
      <c r="N139" s="51"/>
      <c r="AB139" s="37"/>
      <c r="AC139" s="37"/>
      <c r="AD139" s="37"/>
      <c r="AE139" s="38"/>
      <c r="AF139" s="38"/>
      <c r="AG139" s="37"/>
      <c r="AH139" s="37"/>
      <c r="AI139" s="37"/>
      <c r="AJ139"/>
      <c r="AK139"/>
      <c r="AL139"/>
    </row>
    <row r="140" spans="14:38" x14ac:dyDescent="0.35">
      <c r="N140" s="51"/>
      <c r="AB140" s="37"/>
      <c r="AC140" s="37"/>
      <c r="AD140" s="37"/>
      <c r="AE140" s="38"/>
      <c r="AF140" s="38"/>
      <c r="AG140" s="37"/>
      <c r="AH140" s="37"/>
      <c r="AI140" s="37"/>
      <c r="AJ140"/>
      <c r="AK140"/>
      <c r="AL140"/>
    </row>
    <row r="141" spans="14:38" x14ac:dyDescent="0.35">
      <c r="AB141" s="37"/>
      <c r="AC141" s="37"/>
      <c r="AD141" s="37"/>
      <c r="AE141" s="38"/>
      <c r="AF141" s="38"/>
      <c r="AG141" s="37"/>
      <c r="AH141" s="37"/>
      <c r="AI141" s="37"/>
      <c r="AJ141"/>
      <c r="AK141"/>
      <c r="AL141"/>
    </row>
    <row r="142" spans="14:38" x14ac:dyDescent="0.35">
      <c r="AB142" s="37"/>
      <c r="AC142" s="37"/>
      <c r="AD142" s="37"/>
      <c r="AE142" s="38"/>
      <c r="AF142" s="38"/>
      <c r="AG142" s="37"/>
      <c r="AH142" s="37"/>
      <c r="AI142" s="37"/>
      <c r="AJ142"/>
      <c r="AK142"/>
      <c r="AL142"/>
    </row>
    <row r="143" spans="14:38" x14ac:dyDescent="0.35">
      <c r="AB143" s="37"/>
      <c r="AC143" s="37"/>
      <c r="AD143" s="37"/>
      <c r="AE143" s="38"/>
      <c r="AF143" s="38"/>
      <c r="AG143" s="37"/>
      <c r="AH143" s="37"/>
      <c r="AI143" s="37"/>
      <c r="AJ143"/>
      <c r="AK143"/>
      <c r="AL143"/>
    </row>
    <row r="144" spans="14:38" x14ac:dyDescent="0.35">
      <c r="AB144" s="37"/>
      <c r="AC144" s="37"/>
      <c r="AD144" s="37"/>
      <c r="AE144" s="38"/>
      <c r="AF144" s="38"/>
      <c r="AG144" s="37"/>
      <c r="AH144" s="37"/>
      <c r="AI144" s="37"/>
      <c r="AJ144"/>
      <c r="AK144"/>
      <c r="AL144"/>
    </row>
    <row r="145" spans="28:38" x14ac:dyDescent="0.35">
      <c r="AB145" s="37"/>
      <c r="AC145" s="37"/>
      <c r="AD145" s="37"/>
      <c r="AE145" s="38"/>
      <c r="AF145" s="38"/>
      <c r="AG145" s="37"/>
      <c r="AH145" s="37"/>
      <c r="AI145" s="37"/>
      <c r="AJ145"/>
      <c r="AK145"/>
      <c r="AL145"/>
    </row>
    <row r="146" spans="28:38" x14ac:dyDescent="0.35">
      <c r="AB146" s="37"/>
      <c r="AC146" s="37"/>
      <c r="AD146" s="37"/>
      <c r="AE146" s="38"/>
      <c r="AF146" s="38"/>
      <c r="AG146" s="37"/>
      <c r="AH146" s="37"/>
      <c r="AI146" s="37"/>
      <c r="AJ146"/>
      <c r="AK146"/>
      <c r="AL146"/>
    </row>
    <row r="147" spans="28:38" x14ac:dyDescent="0.35">
      <c r="AB147" s="37"/>
      <c r="AC147" s="37"/>
      <c r="AD147" s="37"/>
      <c r="AE147" s="38"/>
      <c r="AF147" s="38"/>
      <c r="AG147" s="37"/>
      <c r="AH147" s="37"/>
      <c r="AI147" s="37"/>
      <c r="AJ147"/>
      <c r="AK147"/>
      <c r="AL147"/>
    </row>
    <row r="148" spans="28:38" x14ac:dyDescent="0.35">
      <c r="AB148" s="37"/>
      <c r="AC148" s="37"/>
      <c r="AD148" s="37"/>
      <c r="AE148" s="38"/>
      <c r="AF148" s="38"/>
      <c r="AG148" s="37"/>
      <c r="AH148" s="37"/>
      <c r="AI148" s="37"/>
      <c r="AJ148"/>
      <c r="AK148"/>
      <c r="AL148"/>
    </row>
    <row r="149" spans="28:38" x14ac:dyDescent="0.35">
      <c r="AB149" s="37"/>
      <c r="AC149" s="37"/>
      <c r="AD149" s="37"/>
      <c r="AE149" s="38"/>
      <c r="AF149" s="38"/>
      <c r="AG149" s="37"/>
      <c r="AH149" s="37"/>
      <c r="AI149" s="37"/>
      <c r="AJ149"/>
      <c r="AK149"/>
      <c r="AL149"/>
    </row>
    <row r="150" spans="28:38" x14ac:dyDescent="0.35">
      <c r="AB150" s="37"/>
      <c r="AC150" s="37"/>
      <c r="AD150" s="37"/>
      <c r="AE150" s="38"/>
      <c r="AF150" s="38"/>
      <c r="AG150" s="37"/>
      <c r="AH150" s="37"/>
      <c r="AI150" s="37"/>
      <c r="AJ150"/>
      <c r="AK150"/>
      <c r="AL150"/>
    </row>
    <row r="151" spans="28:38" x14ac:dyDescent="0.35">
      <c r="AB151" s="37"/>
      <c r="AC151" s="37"/>
      <c r="AD151" s="37"/>
      <c r="AE151" s="38"/>
      <c r="AF151" s="38"/>
      <c r="AG151" s="37"/>
      <c r="AH151" s="37"/>
      <c r="AI151" s="37"/>
      <c r="AJ151"/>
      <c r="AK151"/>
      <c r="AL151"/>
    </row>
    <row r="152" spans="28:38" x14ac:dyDescent="0.35">
      <c r="AB152" s="37"/>
      <c r="AC152" s="37"/>
      <c r="AD152" s="37"/>
      <c r="AE152" s="38"/>
      <c r="AF152" s="38"/>
      <c r="AG152" s="37"/>
      <c r="AH152" s="37"/>
      <c r="AI152" s="37"/>
      <c r="AJ152"/>
      <c r="AK152"/>
      <c r="AL152"/>
    </row>
    <row r="153" spans="28:38" x14ac:dyDescent="0.35">
      <c r="AB153" s="37"/>
      <c r="AC153" s="37"/>
      <c r="AD153" s="37"/>
      <c r="AE153" s="38"/>
      <c r="AF153" s="38"/>
      <c r="AG153" s="37"/>
      <c r="AH153" s="37"/>
      <c r="AI153" s="37"/>
      <c r="AJ153"/>
      <c r="AK153"/>
      <c r="AL153"/>
    </row>
    <row r="154" spans="28:38" x14ac:dyDescent="0.35">
      <c r="AB154" s="37"/>
      <c r="AC154" s="37"/>
      <c r="AD154" s="37"/>
      <c r="AE154" s="38"/>
      <c r="AF154" s="38"/>
      <c r="AG154" s="37"/>
      <c r="AH154" s="37"/>
      <c r="AI154" s="37"/>
      <c r="AJ154"/>
      <c r="AK154"/>
      <c r="AL154"/>
    </row>
    <row r="155" spans="28:38" x14ac:dyDescent="0.35">
      <c r="AB155" s="37"/>
      <c r="AC155" s="37"/>
      <c r="AD155" s="37"/>
      <c r="AE155" s="38"/>
      <c r="AF155" s="38"/>
      <c r="AG155" s="37"/>
      <c r="AH155" s="37"/>
      <c r="AI155" s="37"/>
      <c r="AJ155"/>
      <c r="AK155"/>
      <c r="AL155"/>
    </row>
    <row r="156" spans="28:38" x14ac:dyDescent="0.35">
      <c r="AB156" s="37"/>
      <c r="AC156" s="37"/>
      <c r="AD156" s="37"/>
      <c r="AE156" s="38"/>
      <c r="AF156" s="38"/>
      <c r="AG156" s="37"/>
      <c r="AH156" s="37"/>
      <c r="AI156" s="37"/>
      <c r="AJ156"/>
      <c r="AK156"/>
      <c r="AL156"/>
    </row>
    <row r="157" spans="28:38" x14ac:dyDescent="0.35">
      <c r="AB157" s="37"/>
      <c r="AC157" s="37"/>
      <c r="AD157" s="37"/>
      <c r="AE157" s="38"/>
      <c r="AF157" s="38"/>
      <c r="AG157" s="37"/>
      <c r="AH157" s="37"/>
      <c r="AI157" s="37"/>
      <c r="AJ157"/>
      <c r="AK157"/>
      <c r="AL157"/>
    </row>
    <row r="158" spans="28:38" x14ac:dyDescent="0.35">
      <c r="AB158" s="37"/>
      <c r="AC158" s="37"/>
      <c r="AD158" s="37"/>
      <c r="AE158" s="38"/>
      <c r="AF158" s="38"/>
      <c r="AG158" s="37"/>
      <c r="AH158" s="37"/>
      <c r="AI158" s="37"/>
      <c r="AJ158"/>
      <c r="AK158"/>
      <c r="AL158"/>
    </row>
    <row r="159" spans="28:38" x14ac:dyDescent="0.35">
      <c r="AB159" s="37"/>
      <c r="AC159" s="37"/>
      <c r="AD159" s="37"/>
      <c r="AE159" s="38"/>
      <c r="AF159" s="38"/>
      <c r="AG159" s="37"/>
      <c r="AH159" s="37"/>
      <c r="AI159" s="37"/>
      <c r="AJ159"/>
      <c r="AK159"/>
      <c r="AL159"/>
    </row>
    <row r="160" spans="28:38" x14ac:dyDescent="0.35">
      <c r="AB160" s="37"/>
      <c r="AC160" s="37"/>
      <c r="AD160" s="37"/>
      <c r="AE160" s="38"/>
      <c r="AF160" s="38"/>
      <c r="AG160" s="37"/>
      <c r="AH160" s="37"/>
      <c r="AI160" s="37"/>
      <c r="AJ160"/>
      <c r="AK160"/>
      <c r="AL160"/>
    </row>
    <row r="161" spans="28:38" x14ac:dyDescent="0.35">
      <c r="AB161" s="37"/>
      <c r="AC161" s="37"/>
      <c r="AD161" s="37"/>
      <c r="AE161" s="38"/>
      <c r="AF161" s="38"/>
      <c r="AG161" s="37"/>
      <c r="AH161" s="37"/>
      <c r="AI161" s="37"/>
      <c r="AJ161"/>
      <c r="AK161"/>
      <c r="AL161"/>
    </row>
    <row r="162" spans="28:38" x14ac:dyDescent="0.35">
      <c r="AB162" s="37"/>
      <c r="AC162" s="37"/>
      <c r="AD162" s="37"/>
      <c r="AE162" s="38"/>
      <c r="AF162" s="38"/>
      <c r="AG162" s="37"/>
      <c r="AH162" s="37"/>
      <c r="AI162" s="37"/>
      <c r="AJ162"/>
      <c r="AK162"/>
      <c r="AL162"/>
    </row>
    <row r="163" spans="28:38" x14ac:dyDescent="0.35">
      <c r="AB163" s="37"/>
      <c r="AC163" s="37"/>
      <c r="AD163" s="37"/>
      <c r="AE163" s="38"/>
      <c r="AF163" s="38"/>
      <c r="AG163" s="37"/>
      <c r="AH163" s="37"/>
      <c r="AI163" s="37"/>
      <c r="AJ163"/>
      <c r="AK163"/>
      <c r="AL163"/>
    </row>
    <row r="164" spans="28:38" x14ac:dyDescent="0.35">
      <c r="AB164" s="37"/>
      <c r="AC164" s="37"/>
      <c r="AD164" s="37"/>
      <c r="AE164" s="38"/>
      <c r="AF164" s="38"/>
      <c r="AG164" s="37"/>
      <c r="AH164" s="37"/>
      <c r="AI164" s="37"/>
      <c r="AJ164"/>
      <c r="AK164"/>
      <c r="AL164"/>
    </row>
    <row r="165" spans="28:38" x14ac:dyDescent="0.35">
      <c r="AB165" s="37"/>
      <c r="AC165" s="37"/>
      <c r="AD165" s="37"/>
      <c r="AE165" s="38"/>
      <c r="AF165" s="38"/>
      <c r="AG165" s="37"/>
      <c r="AH165" s="37"/>
      <c r="AI165" s="37"/>
      <c r="AJ165"/>
      <c r="AK165"/>
      <c r="AL165"/>
    </row>
    <row r="166" spans="28:38" x14ac:dyDescent="0.35">
      <c r="AB166" s="37"/>
      <c r="AC166" s="37"/>
      <c r="AD166" s="37"/>
      <c r="AE166" s="38"/>
      <c r="AF166" s="38"/>
      <c r="AG166" s="37"/>
      <c r="AH166" s="37"/>
      <c r="AI166" s="37"/>
      <c r="AJ166"/>
      <c r="AK166"/>
      <c r="AL166"/>
    </row>
    <row r="167" spans="28:38" x14ac:dyDescent="0.35">
      <c r="AB167" s="37"/>
      <c r="AC167" s="37"/>
      <c r="AD167" s="37"/>
      <c r="AE167" s="38"/>
      <c r="AF167" s="38"/>
      <c r="AG167" s="37"/>
      <c r="AH167" s="37"/>
      <c r="AI167" s="37"/>
      <c r="AJ167"/>
      <c r="AK167"/>
      <c r="AL167"/>
    </row>
    <row r="168" spans="28:38" x14ac:dyDescent="0.35">
      <c r="AB168" s="37"/>
      <c r="AC168" s="37"/>
      <c r="AD168" s="37"/>
      <c r="AE168" s="38"/>
      <c r="AF168" s="38"/>
      <c r="AG168" s="37"/>
      <c r="AH168" s="37"/>
      <c r="AI168" s="37"/>
      <c r="AJ168"/>
      <c r="AK168"/>
      <c r="AL168"/>
    </row>
    <row r="169" spans="28:38" x14ac:dyDescent="0.35">
      <c r="AB169" s="37"/>
      <c r="AC169" s="37"/>
      <c r="AD169" s="37"/>
      <c r="AE169" s="38"/>
      <c r="AF169" s="38"/>
      <c r="AG169" s="37"/>
      <c r="AH169" s="37"/>
      <c r="AI169" s="37"/>
      <c r="AJ169"/>
      <c r="AK169"/>
      <c r="AL169"/>
    </row>
    <row r="170" spans="28:38" x14ac:dyDescent="0.35">
      <c r="AB170" s="37"/>
      <c r="AC170" s="37"/>
      <c r="AD170" s="37"/>
      <c r="AE170" s="38"/>
      <c r="AF170" s="38"/>
      <c r="AG170" s="37"/>
      <c r="AH170" s="37"/>
      <c r="AI170" s="37"/>
      <c r="AJ170"/>
      <c r="AK170"/>
      <c r="AL170"/>
    </row>
    <row r="171" spans="28:38" x14ac:dyDescent="0.35">
      <c r="AB171" s="37"/>
      <c r="AC171" s="37"/>
      <c r="AD171" s="37"/>
      <c r="AE171" s="38"/>
      <c r="AF171" s="38"/>
      <c r="AG171" s="37"/>
      <c r="AH171" s="37"/>
      <c r="AI171" s="37"/>
      <c r="AJ171"/>
      <c r="AK171"/>
      <c r="AL171"/>
    </row>
    <row r="172" spans="28:38" x14ac:dyDescent="0.35">
      <c r="AB172" s="37"/>
      <c r="AC172" s="37"/>
      <c r="AD172" s="37"/>
      <c r="AE172" s="38"/>
      <c r="AF172" s="38"/>
      <c r="AG172" s="37"/>
      <c r="AH172" s="37"/>
      <c r="AI172" s="37"/>
      <c r="AJ172"/>
      <c r="AK172"/>
      <c r="AL172"/>
    </row>
    <row r="173" spans="28:38" x14ac:dyDescent="0.35">
      <c r="AB173" s="37"/>
      <c r="AC173" s="37"/>
      <c r="AD173" s="37"/>
      <c r="AE173" s="38"/>
      <c r="AF173" s="38"/>
      <c r="AG173" s="37"/>
      <c r="AH173" s="37"/>
      <c r="AI173" s="37"/>
      <c r="AJ173"/>
      <c r="AK173"/>
      <c r="AL173"/>
    </row>
    <row r="174" spans="28:38" x14ac:dyDescent="0.35">
      <c r="AB174" s="37"/>
      <c r="AC174" s="37"/>
      <c r="AD174" s="37"/>
      <c r="AE174" s="38"/>
      <c r="AF174" s="38"/>
      <c r="AG174" s="37"/>
      <c r="AH174" s="37"/>
      <c r="AI174" s="37"/>
      <c r="AJ174"/>
      <c r="AK174"/>
      <c r="AL174"/>
    </row>
    <row r="175" spans="28:38" x14ac:dyDescent="0.35">
      <c r="AB175" s="37"/>
      <c r="AC175" s="37"/>
      <c r="AD175" s="37"/>
      <c r="AE175" s="38"/>
      <c r="AF175" s="38"/>
      <c r="AG175" s="37"/>
      <c r="AH175" s="37"/>
      <c r="AI175" s="37"/>
      <c r="AJ175"/>
      <c r="AK175"/>
      <c r="AL175"/>
    </row>
    <row r="176" spans="28:38" x14ac:dyDescent="0.35">
      <c r="AB176" s="37"/>
      <c r="AC176" s="37"/>
      <c r="AD176" s="37"/>
      <c r="AE176" s="38"/>
      <c r="AF176" s="38"/>
      <c r="AG176" s="37"/>
      <c r="AH176" s="37"/>
      <c r="AI176" s="37"/>
      <c r="AJ176"/>
      <c r="AK176"/>
      <c r="AL176"/>
    </row>
    <row r="177" spans="28:38" x14ac:dyDescent="0.35">
      <c r="AB177" s="37"/>
      <c r="AC177" s="37"/>
      <c r="AD177" s="37"/>
      <c r="AE177" s="38"/>
      <c r="AF177" s="38"/>
      <c r="AG177" s="37"/>
      <c r="AH177" s="37"/>
      <c r="AI177" s="37"/>
      <c r="AJ177"/>
      <c r="AK177"/>
      <c r="AL177"/>
    </row>
    <row r="178" spans="28:38" x14ac:dyDescent="0.35">
      <c r="AB178" s="37"/>
      <c r="AC178" s="37"/>
      <c r="AD178" s="37"/>
      <c r="AE178" s="38"/>
      <c r="AF178" s="38"/>
      <c r="AG178" s="37"/>
      <c r="AH178" s="37"/>
      <c r="AI178" s="37"/>
      <c r="AJ178"/>
      <c r="AK178"/>
      <c r="AL178"/>
    </row>
    <row r="179" spans="28:38" x14ac:dyDescent="0.35">
      <c r="AB179" s="37"/>
      <c r="AC179" s="37"/>
      <c r="AD179" s="37"/>
      <c r="AE179" s="38"/>
      <c r="AF179" s="38"/>
      <c r="AG179" s="37"/>
      <c r="AH179" s="37"/>
      <c r="AI179" s="37"/>
      <c r="AJ179"/>
      <c r="AK179"/>
      <c r="AL179"/>
    </row>
    <row r="180" spans="28:38" x14ac:dyDescent="0.35">
      <c r="AB180" s="37"/>
      <c r="AC180" s="37"/>
      <c r="AD180" s="37"/>
      <c r="AE180" s="38"/>
      <c r="AF180" s="38"/>
      <c r="AG180" s="37"/>
      <c r="AH180" s="37"/>
      <c r="AI180" s="37"/>
      <c r="AJ180"/>
      <c r="AK180"/>
      <c r="AL180"/>
    </row>
    <row r="181" spans="28:38" x14ac:dyDescent="0.35">
      <c r="AB181" s="37"/>
      <c r="AC181" s="37"/>
      <c r="AD181" s="37"/>
      <c r="AE181" s="38"/>
      <c r="AF181" s="38"/>
      <c r="AG181" s="37"/>
      <c r="AH181" s="37"/>
      <c r="AI181" s="37"/>
      <c r="AJ181"/>
      <c r="AK181"/>
      <c r="AL181"/>
    </row>
    <row r="182" spans="28:38" x14ac:dyDescent="0.35">
      <c r="AB182" s="37"/>
      <c r="AC182" s="37"/>
      <c r="AD182" s="37"/>
      <c r="AE182" s="38"/>
      <c r="AF182" s="38"/>
      <c r="AG182" s="37"/>
      <c r="AH182" s="37"/>
      <c r="AI182" s="37"/>
      <c r="AJ182"/>
      <c r="AK182"/>
      <c r="AL182"/>
    </row>
    <row r="183" spans="28:38" x14ac:dyDescent="0.35">
      <c r="AB183" s="37"/>
      <c r="AC183" s="37"/>
      <c r="AD183" s="37"/>
      <c r="AE183" s="38"/>
      <c r="AF183" s="38"/>
      <c r="AG183" s="37"/>
      <c r="AH183" s="37"/>
      <c r="AI183" s="37"/>
      <c r="AJ183"/>
      <c r="AK183"/>
      <c r="AL183"/>
    </row>
    <row r="184" spans="28:38" x14ac:dyDescent="0.35">
      <c r="AB184" s="37"/>
      <c r="AC184" s="37"/>
      <c r="AD184" s="37"/>
      <c r="AE184" s="38"/>
      <c r="AF184" s="38"/>
      <c r="AG184" s="37"/>
      <c r="AH184" s="37"/>
      <c r="AI184" s="37"/>
      <c r="AJ184"/>
      <c r="AK184"/>
      <c r="AL184"/>
    </row>
    <row r="185" spans="28:38" x14ac:dyDescent="0.35">
      <c r="AB185" s="37"/>
      <c r="AC185" s="37"/>
      <c r="AD185" s="37"/>
      <c r="AE185" s="38"/>
      <c r="AF185" s="38"/>
      <c r="AG185" s="37"/>
      <c r="AH185" s="37"/>
      <c r="AI185" s="37"/>
      <c r="AJ185"/>
      <c r="AK185"/>
      <c r="AL185"/>
    </row>
    <row r="186" spans="28:38" x14ac:dyDescent="0.35">
      <c r="AB186" s="37"/>
      <c r="AC186" s="37"/>
      <c r="AD186" s="37"/>
      <c r="AE186" s="38"/>
      <c r="AF186" s="38"/>
      <c r="AG186" s="37"/>
      <c r="AH186" s="37"/>
      <c r="AI186" s="37"/>
      <c r="AJ186"/>
      <c r="AK186"/>
      <c r="AL186"/>
    </row>
    <row r="187" spans="28:38" x14ac:dyDescent="0.35">
      <c r="AB187" s="37"/>
      <c r="AC187" s="37"/>
      <c r="AD187" s="37"/>
      <c r="AE187" s="38"/>
      <c r="AF187" s="38"/>
      <c r="AG187" s="37"/>
      <c r="AH187" s="37"/>
      <c r="AI187" s="37"/>
      <c r="AJ187"/>
      <c r="AK187"/>
      <c r="AL187"/>
    </row>
    <row r="188" spans="28:38" x14ac:dyDescent="0.35">
      <c r="AB188" s="37"/>
      <c r="AC188" s="37"/>
      <c r="AD188" s="37"/>
      <c r="AE188" s="38"/>
      <c r="AF188" s="38"/>
      <c r="AG188" s="37"/>
      <c r="AH188" s="37"/>
      <c r="AI188" s="37"/>
      <c r="AJ188"/>
      <c r="AK188"/>
      <c r="AL188"/>
    </row>
    <row r="189" spans="28:38" x14ac:dyDescent="0.35">
      <c r="AB189" s="37"/>
      <c r="AC189" s="37"/>
      <c r="AD189" s="37"/>
      <c r="AE189" s="38"/>
      <c r="AF189" s="38"/>
      <c r="AG189" s="37"/>
      <c r="AH189" s="37"/>
      <c r="AI189" s="37"/>
      <c r="AJ189"/>
      <c r="AK189"/>
      <c r="AL189"/>
    </row>
    <row r="190" spans="28:38" x14ac:dyDescent="0.35">
      <c r="AB190" s="37"/>
      <c r="AC190" s="37"/>
      <c r="AD190" s="37"/>
      <c r="AE190" s="38"/>
      <c r="AF190" s="38"/>
      <c r="AG190" s="37"/>
      <c r="AH190" s="37"/>
      <c r="AI190" s="37"/>
      <c r="AJ190"/>
      <c r="AK190"/>
      <c r="AL190"/>
    </row>
    <row r="191" spans="28:38" x14ac:dyDescent="0.35">
      <c r="AB191" s="37"/>
      <c r="AC191" s="37"/>
      <c r="AD191" s="37"/>
      <c r="AE191" s="38"/>
      <c r="AF191" s="38"/>
      <c r="AG191" s="37"/>
      <c r="AH191" s="37"/>
      <c r="AI191" s="37"/>
      <c r="AJ191"/>
      <c r="AK191"/>
      <c r="AL191"/>
    </row>
    <row r="192" spans="28:38" x14ac:dyDescent="0.35">
      <c r="AB192" s="37"/>
      <c r="AC192" s="37"/>
      <c r="AD192" s="37"/>
      <c r="AE192" s="38"/>
      <c r="AF192" s="38"/>
      <c r="AG192" s="37"/>
      <c r="AH192" s="37"/>
      <c r="AI192" s="37"/>
      <c r="AJ192"/>
      <c r="AK192"/>
      <c r="AL192"/>
    </row>
    <row r="193" spans="28:38" x14ac:dyDescent="0.35">
      <c r="AB193" s="37"/>
      <c r="AC193" s="37"/>
      <c r="AD193" s="37"/>
      <c r="AE193" s="38"/>
      <c r="AF193" s="38"/>
      <c r="AG193" s="37"/>
      <c r="AH193" s="37"/>
      <c r="AI193" s="37"/>
      <c r="AJ193"/>
      <c r="AK193"/>
      <c r="AL193"/>
    </row>
    <row r="194" spans="28:38" x14ac:dyDescent="0.35">
      <c r="AB194" s="37"/>
      <c r="AC194" s="37"/>
      <c r="AD194" s="37"/>
      <c r="AE194" s="38"/>
      <c r="AF194" s="38"/>
      <c r="AG194" s="37"/>
      <c r="AH194" s="37"/>
      <c r="AI194" s="37"/>
      <c r="AJ194"/>
      <c r="AK194"/>
      <c r="AL194"/>
    </row>
    <row r="195" spans="28:38" x14ac:dyDescent="0.35">
      <c r="AB195" s="37"/>
      <c r="AC195" s="37"/>
      <c r="AD195" s="37"/>
      <c r="AE195" s="38"/>
      <c r="AF195" s="38"/>
      <c r="AG195" s="37"/>
      <c r="AH195" s="37"/>
      <c r="AI195" s="37"/>
      <c r="AJ195"/>
      <c r="AK195"/>
      <c r="AL195"/>
    </row>
    <row r="196" spans="28:38" x14ac:dyDescent="0.35">
      <c r="AB196" s="37"/>
      <c r="AC196" s="37"/>
      <c r="AD196" s="37"/>
      <c r="AE196" s="38"/>
      <c r="AF196" s="38"/>
      <c r="AG196" s="37"/>
      <c r="AH196" s="37"/>
      <c r="AI196" s="37"/>
      <c r="AJ196"/>
      <c r="AK196"/>
      <c r="AL196"/>
    </row>
    <row r="197" spans="28:38" x14ac:dyDescent="0.35">
      <c r="AB197" s="37"/>
      <c r="AC197" s="37"/>
      <c r="AD197" s="37"/>
      <c r="AE197" s="38"/>
      <c r="AF197" s="38"/>
      <c r="AG197" s="37"/>
      <c r="AH197" s="37"/>
      <c r="AI197" s="37"/>
      <c r="AJ197"/>
      <c r="AK197"/>
      <c r="AL197"/>
    </row>
    <row r="198" spans="28:38" x14ac:dyDescent="0.35">
      <c r="AB198" s="37"/>
      <c r="AC198" s="37"/>
      <c r="AD198" s="37"/>
      <c r="AE198" s="38"/>
      <c r="AF198" s="38"/>
      <c r="AG198" s="37"/>
      <c r="AH198" s="37"/>
      <c r="AI198" s="37"/>
      <c r="AJ198"/>
      <c r="AK198"/>
      <c r="AL198"/>
    </row>
    <row r="199" spans="28:38" x14ac:dyDescent="0.35">
      <c r="AB199" s="37"/>
      <c r="AC199" s="37"/>
      <c r="AD199" s="37"/>
      <c r="AE199" s="38"/>
      <c r="AF199" s="38"/>
      <c r="AG199" s="37"/>
      <c r="AH199" s="37"/>
      <c r="AI199" s="37"/>
      <c r="AJ199"/>
      <c r="AK199"/>
      <c r="AL199"/>
    </row>
    <row r="200" spans="28:38" x14ac:dyDescent="0.35">
      <c r="AB200" s="37"/>
      <c r="AC200" s="37"/>
      <c r="AD200" s="37"/>
      <c r="AE200" s="38"/>
      <c r="AF200" s="38"/>
      <c r="AG200" s="37"/>
      <c r="AH200" s="37"/>
      <c r="AI200" s="37"/>
      <c r="AJ200"/>
      <c r="AK200"/>
      <c r="AL200"/>
    </row>
    <row r="201" spans="28:38" x14ac:dyDescent="0.35">
      <c r="AB201" s="37"/>
      <c r="AC201" s="37"/>
      <c r="AD201" s="37"/>
      <c r="AE201" s="38"/>
      <c r="AF201" s="38"/>
      <c r="AG201" s="37"/>
      <c r="AH201" s="37"/>
      <c r="AI201" s="37"/>
      <c r="AJ201"/>
      <c r="AK201"/>
      <c r="AL201"/>
    </row>
    <row r="202" spans="28:38" x14ac:dyDescent="0.35">
      <c r="AB202" s="37"/>
      <c r="AC202" s="37"/>
      <c r="AD202" s="37"/>
      <c r="AE202" s="38"/>
      <c r="AF202" s="38"/>
      <c r="AG202" s="37"/>
      <c r="AH202" s="37"/>
      <c r="AI202" s="37"/>
      <c r="AJ202"/>
      <c r="AK202"/>
      <c r="AL202"/>
    </row>
    <row r="203" spans="28:38" x14ac:dyDescent="0.35">
      <c r="AB203" s="37"/>
      <c r="AC203" s="37"/>
      <c r="AD203" s="37"/>
      <c r="AE203" s="38"/>
      <c r="AF203" s="38"/>
      <c r="AG203" s="37"/>
      <c r="AH203" s="37"/>
      <c r="AI203" s="37"/>
      <c r="AJ203"/>
      <c r="AK203"/>
      <c r="AL203"/>
    </row>
    <row r="204" spans="28:38" x14ac:dyDescent="0.35">
      <c r="AB204" s="37"/>
      <c r="AC204" s="37"/>
      <c r="AD204" s="37"/>
      <c r="AE204" s="38"/>
      <c r="AF204" s="38"/>
      <c r="AG204" s="37"/>
      <c r="AH204" s="37"/>
      <c r="AI204" s="37"/>
      <c r="AJ204"/>
      <c r="AK204"/>
      <c r="AL204"/>
    </row>
    <row r="205" spans="28:38" x14ac:dyDescent="0.35">
      <c r="AB205" s="37"/>
      <c r="AC205" s="37"/>
      <c r="AD205" s="37"/>
      <c r="AE205" s="38"/>
      <c r="AF205" s="38"/>
      <c r="AG205" s="37"/>
      <c r="AH205" s="37"/>
      <c r="AI205" s="37"/>
      <c r="AJ205"/>
      <c r="AK205"/>
      <c r="AL205"/>
    </row>
    <row r="206" spans="28:38" x14ac:dyDescent="0.35">
      <c r="AB206" s="37"/>
      <c r="AC206" s="37"/>
      <c r="AD206" s="37"/>
      <c r="AE206" s="38"/>
      <c r="AF206" s="38"/>
      <c r="AG206" s="37"/>
      <c r="AH206" s="37"/>
      <c r="AI206" s="37"/>
      <c r="AJ206"/>
      <c r="AK206"/>
      <c r="AL206"/>
    </row>
    <row r="207" spans="28:38" x14ac:dyDescent="0.35">
      <c r="AB207" s="37"/>
      <c r="AC207" s="37"/>
      <c r="AD207" s="37"/>
      <c r="AE207" s="38"/>
      <c r="AF207" s="38"/>
      <c r="AG207" s="37"/>
      <c r="AH207" s="37"/>
      <c r="AI207" s="37"/>
      <c r="AJ207"/>
      <c r="AK207"/>
      <c r="AL207"/>
    </row>
    <row r="208" spans="28:38" x14ac:dyDescent="0.35">
      <c r="AB208" s="37"/>
      <c r="AC208" s="37"/>
      <c r="AD208" s="37"/>
      <c r="AE208" s="38"/>
      <c r="AF208" s="38"/>
      <c r="AG208" s="37"/>
      <c r="AH208" s="37"/>
      <c r="AI208" s="37"/>
      <c r="AJ208"/>
      <c r="AK208"/>
      <c r="AL208"/>
    </row>
    <row r="209" spans="28:38" x14ac:dyDescent="0.35">
      <c r="AB209" s="37"/>
      <c r="AC209" s="37"/>
      <c r="AD209" s="37"/>
      <c r="AE209" s="38"/>
      <c r="AF209" s="38"/>
      <c r="AG209" s="37"/>
      <c r="AH209" s="37"/>
      <c r="AI209" s="37"/>
      <c r="AJ209"/>
      <c r="AK209"/>
      <c r="AL209"/>
    </row>
    <row r="210" spans="28:38" x14ac:dyDescent="0.35">
      <c r="AB210" s="37"/>
      <c r="AC210" s="37"/>
      <c r="AD210" s="37"/>
      <c r="AE210" s="38"/>
      <c r="AF210" s="38"/>
      <c r="AG210" s="37"/>
      <c r="AH210" s="37"/>
      <c r="AI210" s="37"/>
      <c r="AJ210"/>
      <c r="AK210"/>
      <c r="AL210"/>
    </row>
    <row r="211" spans="28:38" x14ac:dyDescent="0.35">
      <c r="AB211" s="37"/>
      <c r="AC211" s="37"/>
      <c r="AD211" s="37"/>
      <c r="AE211" s="38"/>
      <c r="AF211" s="38"/>
      <c r="AG211" s="37"/>
      <c r="AH211" s="37"/>
      <c r="AI211" s="37"/>
      <c r="AJ211"/>
      <c r="AK211"/>
      <c r="AL211"/>
    </row>
    <row r="212" spans="28:38" x14ac:dyDescent="0.35">
      <c r="AB212" s="37"/>
      <c r="AC212" s="37"/>
      <c r="AD212" s="37"/>
      <c r="AE212" s="38"/>
      <c r="AF212" s="38"/>
      <c r="AG212" s="37"/>
      <c r="AH212" s="37"/>
      <c r="AI212" s="37"/>
      <c r="AJ212"/>
      <c r="AK212"/>
      <c r="AL212"/>
    </row>
    <row r="213" spans="28:38" x14ac:dyDescent="0.35">
      <c r="AB213" s="37"/>
      <c r="AC213" s="37"/>
      <c r="AD213" s="37"/>
      <c r="AE213" s="38"/>
      <c r="AF213" s="38"/>
      <c r="AG213" s="37"/>
      <c r="AH213" s="37"/>
      <c r="AI213" s="37"/>
      <c r="AJ213"/>
      <c r="AK213"/>
      <c r="AL213"/>
    </row>
    <row r="214" spans="28:38" x14ac:dyDescent="0.35">
      <c r="AB214" s="37"/>
      <c r="AC214" s="37"/>
      <c r="AD214" s="37"/>
      <c r="AE214" s="38"/>
      <c r="AF214" s="38"/>
      <c r="AG214" s="37"/>
      <c r="AH214" s="37"/>
      <c r="AI214" s="37"/>
      <c r="AJ214"/>
      <c r="AK214"/>
      <c r="AL214"/>
    </row>
    <row r="215" spans="28:38" x14ac:dyDescent="0.35">
      <c r="AB215" s="37"/>
      <c r="AC215" s="37"/>
      <c r="AD215" s="37"/>
      <c r="AE215" s="38"/>
      <c r="AF215" s="38"/>
      <c r="AG215" s="37"/>
      <c r="AH215" s="37"/>
      <c r="AI215" s="37"/>
      <c r="AJ215"/>
      <c r="AK215"/>
      <c r="AL215"/>
    </row>
    <row r="216" spans="28:38" x14ac:dyDescent="0.35">
      <c r="AB216" s="37"/>
      <c r="AC216" s="37"/>
      <c r="AD216" s="37"/>
      <c r="AE216" s="38"/>
      <c r="AF216" s="38"/>
      <c r="AG216" s="37"/>
      <c r="AH216" s="37"/>
      <c r="AI216" s="37"/>
      <c r="AJ216"/>
      <c r="AK216"/>
      <c r="AL216"/>
    </row>
    <row r="217" spans="28:38" x14ac:dyDescent="0.35">
      <c r="AB217" s="37"/>
      <c r="AC217" s="37"/>
      <c r="AD217" s="37"/>
      <c r="AE217" s="38"/>
      <c r="AF217" s="38"/>
      <c r="AG217" s="37"/>
      <c r="AH217" s="37"/>
      <c r="AI217" s="37"/>
      <c r="AJ217"/>
      <c r="AK217"/>
      <c r="AL217"/>
    </row>
    <row r="218" spans="28:38" x14ac:dyDescent="0.35">
      <c r="AB218" s="37"/>
      <c r="AC218" s="37"/>
      <c r="AD218" s="37"/>
      <c r="AE218" s="38"/>
      <c r="AF218" s="38"/>
      <c r="AG218" s="37"/>
      <c r="AH218" s="37"/>
      <c r="AI218" s="37"/>
      <c r="AJ218"/>
      <c r="AK218"/>
      <c r="AL218"/>
    </row>
    <row r="219" spans="28:38" x14ac:dyDescent="0.35">
      <c r="AB219" s="37"/>
      <c r="AC219" s="37"/>
      <c r="AD219" s="37"/>
      <c r="AE219" s="38"/>
      <c r="AF219" s="38"/>
      <c r="AG219" s="37"/>
      <c r="AH219" s="37"/>
      <c r="AI219" s="37"/>
      <c r="AJ219"/>
      <c r="AK219"/>
      <c r="AL219"/>
    </row>
    <row r="220" spans="28:38" x14ac:dyDescent="0.35">
      <c r="AB220" s="37"/>
      <c r="AC220" s="37"/>
      <c r="AD220" s="37"/>
      <c r="AE220" s="38"/>
      <c r="AF220" s="38"/>
      <c r="AG220" s="37"/>
      <c r="AH220" s="37"/>
      <c r="AI220" s="37"/>
      <c r="AJ220"/>
      <c r="AK220"/>
      <c r="AL220"/>
    </row>
    <row r="221" spans="28:38" x14ac:dyDescent="0.35">
      <c r="AB221" s="37"/>
      <c r="AC221" s="37"/>
      <c r="AD221" s="37"/>
      <c r="AE221" s="38"/>
      <c r="AF221" s="38"/>
      <c r="AG221" s="37"/>
      <c r="AH221" s="37"/>
      <c r="AI221" s="37"/>
      <c r="AJ221"/>
      <c r="AK221"/>
      <c r="AL221"/>
    </row>
    <row r="222" spans="28:38" x14ac:dyDescent="0.35">
      <c r="AB222" s="37"/>
      <c r="AC222" s="37"/>
      <c r="AD222" s="37"/>
      <c r="AE222" s="38"/>
      <c r="AF222" s="38"/>
      <c r="AG222" s="37"/>
      <c r="AH222" s="37"/>
      <c r="AI222" s="37"/>
      <c r="AJ222"/>
      <c r="AK222"/>
      <c r="AL222"/>
    </row>
    <row r="223" spans="28:38" x14ac:dyDescent="0.35">
      <c r="AB223" s="37"/>
      <c r="AC223" s="37"/>
      <c r="AD223" s="37"/>
      <c r="AE223" s="38"/>
      <c r="AF223" s="38"/>
      <c r="AG223" s="37"/>
      <c r="AH223" s="37"/>
      <c r="AI223" s="37"/>
      <c r="AJ223"/>
      <c r="AK223"/>
      <c r="AL223"/>
    </row>
    <row r="224" spans="28:38" x14ac:dyDescent="0.35">
      <c r="AB224" s="37"/>
      <c r="AC224" s="37"/>
      <c r="AD224" s="37"/>
      <c r="AE224" s="38"/>
      <c r="AF224" s="38"/>
      <c r="AG224" s="37"/>
      <c r="AH224" s="37"/>
      <c r="AI224" s="37"/>
      <c r="AJ224"/>
      <c r="AK224"/>
      <c r="AL224"/>
    </row>
    <row r="225" spans="28:38" x14ac:dyDescent="0.35">
      <c r="AB225" s="37"/>
      <c r="AC225" s="37"/>
      <c r="AD225" s="37"/>
      <c r="AE225" s="38"/>
      <c r="AF225" s="38"/>
      <c r="AG225" s="37"/>
      <c r="AH225" s="37"/>
      <c r="AI225" s="37"/>
      <c r="AJ225"/>
      <c r="AK225"/>
      <c r="AL225"/>
    </row>
    <row r="226" spans="28:38" x14ac:dyDescent="0.35">
      <c r="AB226" s="37"/>
      <c r="AC226" s="37"/>
      <c r="AD226" s="37"/>
      <c r="AE226" s="38"/>
      <c r="AF226" s="38"/>
      <c r="AG226" s="37"/>
      <c r="AH226" s="37"/>
      <c r="AI226" s="37"/>
      <c r="AJ226"/>
      <c r="AK226"/>
      <c r="AL226"/>
    </row>
    <row r="227" spans="28:38" x14ac:dyDescent="0.35">
      <c r="AB227" s="37"/>
      <c r="AC227" s="37"/>
      <c r="AD227" s="37"/>
      <c r="AE227" s="38"/>
      <c r="AF227" s="38"/>
      <c r="AG227" s="37"/>
      <c r="AH227" s="37"/>
      <c r="AI227" s="37"/>
      <c r="AJ227"/>
      <c r="AK227"/>
      <c r="AL227"/>
    </row>
    <row r="228" spans="28:38" x14ac:dyDescent="0.35">
      <c r="AB228" s="37"/>
      <c r="AC228" s="37"/>
      <c r="AD228" s="37"/>
      <c r="AE228" s="38"/>
      <c r="AF228" s="38"/>
      <c r="AG228" s="37"/>
      <c r="AH228" s="37"/>
      <c r="AI228" s="37"/>
      <c r="AJ228"/>
      <c r="AK228"/>
      <c r="AL228"/>
    </row>
    <row r="229" spans="28:38" x14ac:dyDescent="0.35">
      <c r="AB229" s="37"/>
      <c r="AC229" s="37"/>
      <c r="AD229" s="37"/>
      <c r="AE229" s="38"/>
      <c r="AF229" s="38"/>
      <c r="AG229" s="37"/>
      <c r="AH229" s="37"/>
      <c r="AI229" s="37"/>
      <c r="AJ229"/>
      <c r="AK229"/>
      <c r="AL229"/>
    </row>
    <row r="230" spans="28:38" x14ac:dyDescent="0.35">
      <c r="AB230" s="37"/>
      <c r="AC230" s="37"/>
      <c r="AD230" s="37"/>
      <c r="AE230" s="38"/>
      <c r="AF230" s="38"/>
      <c r="AG230" s="37"/>
      <c r="AH230" s="37"/>
      <c r="AI230" s="37"/>
      <c r="AJ230"/>
      <c r="AK230"/>
      <c r="AL230"/>
    </row>
    <row r="231" spans="28:38" x14ac:dyDescent="0.35">
      <c r="AB231" s="37"/>
      <c r="AC231" s="37"/>
      <c r="AD231" s="37"/>
      <c r="AE231" s="38"/>
      <c r="AF231" s="38"/>
      <c r="AG231" s="37"/>
      <c r="AH231" s="37"/>
      <c r="AI231" s="37"/>
      <c r="AJ231"/>
      <c r="AK231"/>
      <c r="AL231"/>
    </row>
    <row r="232" spans="28:38" x14ac:dyDescent="0.35">
      <c r="AB232" s="37"/>
      <c r="AC232" s="37"/>
      <c r="AD232" s="37"/>
      <c r="AE232" s="38"/>
      <c r="AF232" s="38"/>
      <c r="AG232" s="37"/>
      <c r="AH232" s="37"/>
      <c r="AI232" s="37"/>
      <c r="AJ232"/>
      <c r="AK232"/>
      <c r="AL232"/>
    </row>
    <row r="233" spans="28:38" x14ac:dyDescent="0.35">
      <c r="AB233" s="37"/>
      <c r="AC233" s="37"/>
      <c r="AD233" s="37"/>
      <c r="AE233" s="38"/>
      <c r="AF233" s="38"/>
      <c r="AG233" s="37"/>
      <c r="AH233" s="37"/>
      <c r="AI233" s="37"/>
      <c r="AJ233"/>
      <c r="AK233"/>
      <c r="AL233"/>
    </row>
    <row r="234" spans="28:38" x14ac:dyDescent="0.35">
      <c r="AB234" s="37"/>
      <c r="AC234" s="37"/>
      <c r="AD234" s="37"/>
      <c r="AE234" s="38"/>
      <c r="AF234" s="38"/>
      <c r="AG234" s="37"/>
      <c r="AH234" s="37"/>
      <c r="AI234" s="37"/>
      <c r="AJ234"/>
      <c r="AK234"/>
      <c r="AL234"/>
    </row>
    <row r="235" spans="28:38" x14ac:dyDescent="0.35">
      <c r="AB235" s="37"/>
      <c r="AC235" s="37"/>
      <c r="AD235" s="37"/>
      <c r="AE235" s="38"/>
      <c r="AF235" s="38"/>
      <c r="AG235" s="37"/>
      <c r="AH235" s="37"/>
      <c r="AI235" s="37"/>
      <c r="AJ235"/>
      <c r="AK235"/>
      <c r="AL235"/>
    </row>
    <row r="236" spans="28:38" x14ac:dyDescent="0.35">
      <c r="AB236" s="37"/>
      <c r="AC236" s="37"/>
      <c r="AD236" s="37"/>
      <c r="AE236" s="38"/>
      <c r="AF236" s="38"/>
      <c r="AG236" s="37"/>
      <c r="AH236" s="37"/>
      <c r="AI236" s="37"/>
      <c r="AJ236"/>
      <c r="AK236"/>
      <c r="AL236"/>
    </row>
    <row r="237" spans="28:38" x14ac:dyDescent="0.35">
      <c r="AB237" s="37"/>
      <c r="AC237" s="37"/>
      <c r="AD237" s="37"/>
      <c r="AE237" s="38"/>
      <c r="AF237" s="38"/>
      <c r="AG237" s="37"/>
      <c r="AH237" s="37"/>
      <c r="AI237" s="37"/>
      <c r="AJ237"/>
      <c r="AK237"/>
      <c r="AL237"/>
    </row>
    <row r="238" spans="28:38" x14ac:dyDescent="0.35">
      <c r="AB238" s="37"/>
      <c r="AC238" s="37"/>
      <c r="AD238" s="37"/>
      <c r="AE238" s="38"/>
      <c r="AF238" s="38"/>
      <c r="AG238" s="37"/>
      <c r="AH238" s="37"/>
      <c r="AI238" s="37"/>
      <c r="AJ238"/>
      <c r="AK238"/>
      <c r="AL238"/>
    </row>
    <row r="239" spans="28:38" x14ac:dyDescent="0.35">
      <c r="AB239" s="37"/>
      <c r="AC239" s="37"/>
      <c r="AD239" s="37"/>
      <c r="AE239" s="38"/>
      <c r="AF239" s="38"/>
      <c r="AG239" s="37"/>
      <c r="AH239" s="37"/>
      <c r="AI239" s="37"/>
      <c r="AJ239"/>
      <c r="AK239"/>
      <c r="AL239"/>
    </row>
    <row r="240" spans="28:38" x14ac:dyDescent="0.35">
      <c r="AB240" s="37"/>
      <c r="AC240" s="37"/>
      <c r="AD240" s="37"/>
      <c r="AE240" s="38"/>
      <c r="AF240" s="38"/>
      <c r="AG240" s="37"/>
      <c r="AH240" s="37"/>
      <c r="AI240" s="37"/>
      <c r="AJ240"/>
      <c r="AK240"/>
      <c r="AL240"/>
    </row>
    <row r="241" spans="28:38" x14ac:dyDescent="0.35">
      <c r="AB241" s="37"/>
      <c r="AC241" s="37"/>
      <c r="AD241" s="37"/>
      <c r="AE241" s="38"/>
      <c r="AF241" s="38"/>
      <c r="AG241" s="37"/>
      <c r="AH241" s="37"/>
      <c r="AI241" s="37"/>
      <c r="AJ241"/>
      <c r="AK241"/>
      <c r="AL241"/>
    </row>
    <row r="242" spans="28:38" x14ac:dyDescent="0.35">
      <c r="AB242" s="37"/>
      <c r="AC242" s="37"/>
      <c r="AD242" s="37"/>
      <c r="AE242" s="38"/>
      <c r="AF242" s="38"/>
      <c r="AG242" s="37"/>
      <c r="AH242" s="37"/>
      <c r="AI242" s="37"/>
      <c r="AJ242"/>
      <c r="AK242"/>
      <c r="AL242"/>
    </row>
    <row r="243" spans="28:38" x14ac:dyDescent="0.35">
      <c r="AB243" s="37"/>
      <c r="AC243" s="37"/>
      <c r="AD243" s="37"/>
      <c r="AE243" s="38"/>
      <c r="AF243" s="38"/>
      <c r="AG243" s="37"/>
      <c r="AH243" s="37"/>
      <c r="AI243" s="37"/>
      <c r="AJ243"/>
      <c r="AK243"/>
      <c r="AL243"/>
    </row>
    <row r="244" spans="28:38" x14ac:dyDescent="0.35">
      <c r="AB244" s="37"/>
      <c r="AC244" s="37"/>
      <c r="AD244" s="37"/>
      <c r="AE244" s="38"/>
      <c r="AF244" s="38"/>
      <c r="AG244" s="37"/>
      <c r="AH244" s="37"/>
      <c r="AI244" s="37"/>
      <c r="AJ244"/>
      <c r="AK244"/>
      <c r="AL244"/>
    </row>
    <row r="245" spans="28:38" x14ac:dyDescent="0.35">
      <c r="AB245" s="37"/>
      <c r="AC245" s="37"/>
      <c r="AD245" s="37"/>
      <c r="AE245" s="38"/>
      <c r="AF245" s="38"/>
      <c r="AG245" s="37"/>
      <c r="AH245" s="37"/>
      <c r="AI245" s="37"/>
      <c r="AJ245"/>
      <c r="AK245"/>
      <c r="AL245"/>
    </row>
    <row r="246" spans="28:38" x14ac:dyDescent="0.35">
      <c r="AB246" s="37"/>
      <c r="AC246" s="37"/>
      <c r="AD246" s="37"/>
      <c r="AE246" s="38"/>
      <c r="AF246" s="38"/>
      <c r="AG246" s="37"/>
      <c r="AH246" s="37"/>
      <c r="AI246" s="37"/>
      <c r="AJ246"/>
      <c r="AK246"/>
      <c r="AL246"/>
    </row>
    <row r="247" spans="28:38" x14ac:dyDescent="0.35">
      <c r="AB247" s="37"/>
      <c r="AC247" s="37"/>
      <c r="AD247" s="37"/>
      <c r="AE247" s="38"/>
      <c r="AF247" s="38"/>
      <c r="AG247" s="37"/>
      <c r="AH247" s="37"/>
      <c r="AI247" s="37"/>
      <c r="AJ247"/>
      <c r="AK247"/>
      <c r="AL247"/>
    </row>
    <row r="248" spans="28:38" x14ac:dyDescent="0.35">
      <c r="AB248" s="37"/>
      <c r="AC248" s="37"/>
      <c r="AD248" s="37"/>
      <c r="AE248" s="38"/>
      <c r="AF248" s="38"/>
      <c r="AG248" s="37"/>
      <c r="AH248" s="37"/>
      <c r="AI248" s="37"/>
      <c r="AJ248"/>
      <c r="AK248"/>
      <c r="AL248"/>
    </row>
    <row r="249" spans="28:38" x14ac:dyDescent="0.35">
      <c r="AB249" s="37"/>
      <c r="AC249" s="37"/>
      <c r="AD249" s="37"/>
      <c r="AE249" s="38"/>
      <c r="AF249" s="38"/>
      <c r="AG249" s="37"/>
      <c r="AH249" s="37"/>
      <c r="AI249" s="37"/>
      <c r="AJ249"/>
      <c r="AK249"/>
      <c r="AL249"/>
    </row>
    <row r="250" spans="28:38" x14ac:dyDescent="0.35">
      <c r="AB250" s="37"/>
      <c r="AC250" s="37"/>
      <c r="AD250" s="37"/>
      <c r="AE250" s="38"/>
      <c r="AF250" s="38"/>
      <c r="AG250" s="37"/>
      <c r="AH250" s="37"/>
      <c r="AI250" s="37"/>
      <c r="AJ250"/>
      <c r="AK250"/>
      <c r="AL250"/>
    </row>
    <row r="251" spans="28:38" x14ac:dyDescent="0.35">
      <c r="AB251" s="37"/>
      <c r="AC251" s="37"/>
      <c r="AD251" s="37"/>
      <c r="AE251" s="38"/>
      <c r="AF251" s="38"/>
      <c r="AG251" s="37"/>
      <c r="AH251" s="37"/>
      <c r="AI251" s="37"/>
      <c r="AJ251"/>
      <c r="AK251"/>
      <c r="AL251"/>
    </row>
    <row r="252" spans="28:38" x14ac:dyDescent="0.35">
      <c r="AB252" s="37"/>
      <c r="AC252" s="37"/>
      <c r="AD252" s="37"/>
      <c r="AE252" s="38"/>
      <c r="AF252" s="38"/>
      <c r="AG252" s="37"/>
      <c r="AH252" s="37"/>
      <c r="AI252" s="37"/>
      <c r="AJ252"/>
      <c r="AK252"/>
      <c r="AL252"/>
    </row>
    <row r="253" spans="28:38" x14ac:dyDescent="0.35">
      <c r="AB253" s="37"/>
      <c r="AC253" s="37"/>
      <c r="AD253" s="37"/>
      <c r="AE253" s="38"/>
      <c r="AF253" s="38"/>
      <c r="AG253" s="37"/>
      <c r="AH253" s="37"/>
      <c r="AI253" s="37"/>
      <c r="AJ253"/>
      <c r="AK253"/>
      <c r="AL253"/>
    </row>
    <row r="254" spans="28:38" x14ac:dyDescent="0.35">
      <c r="AB254" s="37"/>
      <c r="AC254" s="37"/>
      <c r="AD254" s="37"/>
      <c r="AE254" s="38"/>
      <c r="AF254" s="38"/>
      <c r="AG254" s="37"/>
      <c r="AH254" s="37"/>
      <c r="AI254" s="37"/>
      <c r="AJ254"/>
      <c r="AK254"/>
      <c r="AL254"/>
    </row>
    <row r="255" spans="28:38" x14ac:dyDescent="0.35">
      <c r="AB255" s="37"/>
      <c r="AC255" s="37"/>
      <c r="AD255" s="37"/>
      <c r="AE255" s="38"/>
      <c r="AF255" s="38"/>
      <c r="AG255" s="37"/>
      <c r="AH255" s="37"/>
      <c r="AI255" s="37"/>
      <c r="AJ255"/>
      <c r="AK255"/>
      <c r="AL255"/>
    </row>
    <row r="256" spans="28:38" x14ac:dyDescent="0.35">
      <c r="AB256" s="37"/>
      <c r="AC256" s="37"/>
      <c r="AD256" s="37"/>
      <c r="AE256" s="38"/>
      <c r="AF256" s="38"/>
      <c r="AG256" s="37"/>
      <c r="AH256" s="37"/>
      <c r="AI256" s="37"/>
      <c r="AJ256"/>
      <c r="AK256"/>
      <c r="AL256"/>
    </row>
    <row r="257" spans="28:38" x14ac:dyDescent="0.35">
      <c r="AB257" s="37"/>
      <c r="AC257" s="37"/>
      <c r="AD257" s="37"/>
      <c r="AE257" s="38"/>
      <c r="AF257" s="38"/>
      <c r="AG257" s="37"/>
      <c r="AH257" s="37"/>
      <c r="AI257" s="37"/>
      <c r="AJ257"/>
      <c r="AK257"/>
      <c r="AL257"/>
    </row>
    <row r="258" spans="28:38" x14ac:dyDescent="0.35">
      <c r="AB258" s="37"/>
      <c r="AC258" s="37"/>
      <c r="AD258" s="37"/>
      <c r="AE258" s="38"/>
      <c r="AF258" s="38"/>
      <c r="AG258" s="37"/>
      <c r="AH258" s="37"/>
      <c r="AI258" s="37"/>
      <c r="AJ258"/>
      <c r="AK258"/>
      <c r="AL258"/>
    </row>
    <row r="259" spans="28:38" x14ac:dyDescent="0.35">
      <c r="AB259" s="37"/>
      <c r="AC259" s="37"/>
      <c r="AD259" s="37"/>
      <c r="AE259" s="38"/>
      <c r="AF259" s="38"/>
      <c r="AG259" s="37"/>
      <c r="AH259" s="37"/>
      <c r="AI259" s="37"/>
      <c r="AJ259"/>
      <c r="AK259"/>
      <c r="AL259"/>
    </row>
    <row r="260" spans="28:38" x14ac:dyDescent="0.35">
      <c r="AB260" s="37"/>
      <c r="AC260" s="37"/>
      <c r="AD260" s="37"/>
      <c r="AE260" s="38"/>
      <c r="AF260" s="38"/>
      <c r="AG260" s="37"/>
      <c r="AH260" s="37"/>
      <c r="AI260" s="37"/>
      <c r="AJ260"/>
      <c r="AK260"/>
      <c r="AL260"/>
    </row>
    <row r="261" spans="28:38" x14ac:dyDescent="0.35">
      <c r="AB261" s="37"/>
      <c r="AC261" s="37"/>
      <c r="AD261" s="37"/>
      <c r="AE261" s="38"/>
      <c r="AF261" s="38"/>
      <c r="AG261" s="37"/>
      <c r="AH261" s="37"/>
      <c r="AI261" s="37"/>
      <c r="AJ261"/>
      <c r="AK261"/>
      <c r="AL261"/>
    </row>
    <row r="262" spans="28:38" x14ac:dyDescent="0.35">
      <c r="AB262" s="37"/>
      <c r="AC262" s="37"/>
      <c r="AD262" s="37"/>
      <c r="AE262" s="38"/>
      <c r="AF262" s="38"/>
      <c r="AG262" s="37"/>
      <c r="AH262" s="37"/>
      <c r="AI262" s="37"/>
      <c r="AJ262"/>
      <c r="AK262"/>
      <c r="AL262"/>
    </row>
    <row r="263" spans="28:38" x14ac:dyDescent="0.35">
      <c r="AB263" s="37"/>
      <c r="AC263" s="37"/>
      <c r="AD263" s="37"/>
      <c r="AE263" s="38"/>
      <c r="AF263" s="38"/>
      <c r="AG263" s="37"/>
      <c r="AH263" s="37"/>
      <c r="AI263" s="37"/>
      <c r="AJ263"/>
      <c r="AK263"/>
      <c r="AL263"/>
    </row>
    <row r="264" spans="28:38" x14ac:dyDescent="0.35">
      <c r="AB264" s="37"/>
      <c r="AC264" s="37"/>
      <c r="AD264" s="37"/>
      <c r="AE264" s="38"/>
      <c r="AF264" s="38"/>
      <c r="AG264" s="37"/>
      <c r="AH264" s="37"/>
      <c r="AI264" s="37"/>
      <c r="AJ264"/>
      <c r="AK264"/>
      <c r="AL264"/>
    </row>
    <row r="265" spans="28:38" x14ac:dyDescent="0.35">
      <c r="AB265" s="37"/>
      <c r="AC265" s="37"/>
      <c r="AD265" s="37"/>
      <c r="AE265" s="38"/>
      <c r="AF265" s="38"/>
      <c r="AG265" s="37"/>
      <c r="AH265" s="37"/>
      <c r="AI265" s="37"/>
      <c r="AJ265"/>
      <c r="AK265"/>
      <c r="AL265"/>
    </row>
    <row r="266" spans="28:38" x14ac:dyDescent="0.35">
      <c r="AB266" s="37"/>
      <c r="AC266" s="37"/>
      <c r="AD266" s="37"/>
      <c r="AE266" s="38"/>
      <c r="AF266" s="38"/>
      <c r="AG266" s="37"/>
      <c r="AH266" s="37"/>
      <c r="AI266" s="37"/>
      <c r="AJ266"/>
      <c r="AK266"/>
      <c r="AL266"/>
    </row>
    <row r="267" spans="28:38" x14ac:dyDescent="0.35">
      <c r="AB267" s="37"/>
      <c r="AC267" s="37"/>
      <c r="AD267" s="37"/>
      <c r="AE267" s="38"/>
      <c r="AF267" s="38"/>
      <c r="AG267" s="37"/>
      <c r="AH267" s="37"/>
      <c r="AI267" s="37"/>
      <c r="AJ267"/>
      <c r="AK267"/>
      <c r="AL267"/>
    </row>
    <row r="268" spans="28:38" x14ac:dyDescent="0.35">
      <c r="AB268" s="37"/>
      <c r="AC268" s="37"/>
      <c r="AD268" s="37"/>
      <c r="AE268" s="38"/>
      <c r="AF268" s="38"/>
      <c r="AG268" s="37"/>
      <c r="AH268" s="37"/>
      <c r="AI268" s="37"/>
      <c r="AJ268"/>
      <c r="AK268"/>
      <c r="AL268"/>
    </row>
    <row r="269" spans="28:38" x14ac:dyDescent="0.35">
      <c r="AB269" s="37"/>
      <c r="AC269" s="37"/>
      <c r="AD269" s="37"/>
      <c r="AE269" s="38"/>
      <c r="AF269" s="38"/>
      <c r="AG269" s="37"/>
      <c r="AH269" s="37"/>
      <c r="AI269" s="37"/>
      <c r="AJ269"/>
      <c r="AK269"/>
      <c r="AL269"/>
    </row>
    <row r="270" spans="28:38" x14ac:dyDescent="0.35">
      <c r="AB270" s="37"/>
      <c r="AC270" s="37"/>
      <c r="AD270" s="37"/>
      <c r="AE270" s="38"/>
      <c r="AF270" s="38"/>
      <c r="AG270" s="37"/>
      <c r="AH270" s="37"/>
      <c r="AI270" s="37"/>
      <c r="AJ270"/>
      <c r="AK270"/>
      <c r="AL270"/>
    </row>
    <row r="271" spans="28:38" x14ac:dyDescent="0.35">
      <c r="AB271" s="37"/>
      <c r="AC271" s="37"/>
      <c r="AD271" s="37"/>
      <c r="AE271" s="38"/>
      <c r="AF271" s="38"/>
      <c r="AG271" s="37"/>
      <c r="AH271" s="37"/>
      <c r="AI271" s="37"/>
      <c r="AJ271"/>
      <c r="AK271"/>
      <c r="AL271"/>
    </row>
    <row r="272" spans="28:38" x14ac:dyDescent="0.35">
      <c r="AB272" s="37"/>
      <c r="AC272" s="37"/>
      <c r="AD272" s="37"/>
      <c r="AE272" s="38"/>
      <c r="AF272" s="38"/>
      <c r="AG272" s="37"/>
      <c r="AH272" s="37"/>
      <c r="AI272" s="37"/>
      <c r="AJ272"/>
      <c r="AK272"/>
      <c r="AL272"/>
    </row>
    <row r="273" spans="28:38" x14ac:dyDescent="0.35">
      <c r="AB273" s="37"/>
      <c r="AC273" s="37"/>
      <c r="AD273" s="37"/>
      <c r="AE273" s="38"/>
      <c r="AF273" s="38"/>
      <c r="AG273" s="37"/>
      <c r="AH273" s="37"/>
      <c r="AI273" s="37"/>
      <c r="AJ273"/>
      <c r="AK273"/>
      <c r="AL273"/>
    </row>
    <row r="274" spans="28:38" x14ac:dyDescent="0.35">
      <c r="AB274" s="37"/>
      <c r="AC274" s="37"/>
      <c r="AD274" s="37"/>
      <c r="AE274" s="38"/>
      <c r="AF274" s="38"/>
      <c r="AG274" s="37"/>
      <c r="AH274" s="37"/>
      <c r="AI274" s="37"/>
      <c r="AJ274"/>
      <c r="AK274"/>
      <c r="AL274"/>
    </row>
    <row r="275" spans="28:38" x14ac:dyDescent="0.35">
      <c r="AB275" s="37"/>
      <c r="AC275" s="37"/>
      <c r="AD275" s="37"/>
      <c r="AE275" s="38"/>
      <c r="AF275" s="38"/>
      <c r="AG275" s="37"/>
      <c r="AH275" s="37"/>
      <c r="AI275" s="37"/>
      <c r="AJ275"/>
      <c r="AK275"/>
      <c r="AL275"/>
    </row>
    <row r="276" spans="28:38" x14ac:dyDescent="0.35">
      <c r="AB276" s="37"/>
      <c r="AC276" s="37"/>
      <c r="AD276" s="37"/>
      <c r="AE276" s="38"/>
      <c r="AF276" s="38"/>
      <c r="AG276" s="37"/>
      <c r="AH276" s="37"/>
      <c r="AI276" s="37"/>
      <c r="AJ276"/>
      <c r="AK276"/>
      <c r="AL276"/>
    </row>
    <row r="277" spans="28:38" x14ac:dyDescent="0.35">
      <c r="AB277" s="37"/>
      <c r="AC277" s="37"/>
      <c r="AD277" s="37"/>
      <c r="AE277" s="38"/>
      <c r="AF277" s="38"/>
      <c r="AG277" s="37"/>
      <c r="AH277" s="37"/>
      <c r="AI277" s="37"/>
      <c r="AJ277"/>
      <c r="AK277"/>
      <c r="AL277"/>
    </row>
    <row r="278" spans="28:38" x14ac:dyDescent="0.35">
      <c r="AB278" s="37"/>
      <c r="AC278" s="37"/>
      <c r="AD278" s="37"/>
      <c r="AE278" s="38"/>
      <c r="AF278" s="38"/>
      <c r="AG278" s="37"/>
      <c r="AH278" s="37"/>
      <c r="AI278" s="37"/>
      <c r="AJ278"/>
      <c r="AK278"/>
      <c r="AL278"/>
    </row>
    <row r="279" spans="28:38" x14ac:dyDescent="0.35">
      <c r="AB279" s="37"/>
      <c r="AC279" s="37"/>
      <c r="AD279" s="37"/>
      <c r="AE279" s="38"/>
      <c r="AF279" s="38"/>
      <c r="AG279" s="37"/>
      <c r="AH279" s="37"/>
      <c r="AI279" s="37"/>
      <c r="AJ279"/>
      <c r="AK279"/>
      <c r="AL279"/>
    </row>
    <row r="280" spans="28:38" x14ac:dyDescent="0.35">
      <c r="AB280" s="37"/>
      <c r="AC280" s="37"/>
      <c r="AD280" s="37"/>
      <c r="AE280" s="38"/>
      <c r="AF280" s="38"/>
      <c r="AG280" s="37"/>
      <c r="AH280" s="37"/>
      <c r="AI280" s="37"/>
      <c r="AJ280"/>
      <c r="AK280"/>
      <c r="AL280"/>
    </row>
    <row r="281" spans="28:38" x14ac:dyDescent="0.35">
      <c r="AB281" s="37"/>
      <c r="AC281" s="37"/>
      <c r="AD281" s="37"/>
      <c r="AE281" s="38"/>
      <c r="AF281" s="38"/>
      <c r="AG281" s="37"/>
      <c r="AH281" s="37"/>
      <c r="AI281" s="37"/>
      <c r="AJ281"/>
      <c r="AK281"/>
      <c r="AL281"/>
    </row>
    <row r="282" spans="28:38" x14ac:dyDescent="0.35">
      <c r="AB282" s="37"/>
      <c r="AC282" s="37"/>
      <c r="AD282" s="37"/>
      <c r="AE282" s="38"/>
      <c r="AF282" s="38"/>
      <c r="AG282" s="37"/>
      <c r="AH282" s="37"/>
      <c r="AI282" s="37"/>
      <c r="AJ282"/>
      <c r="AK282"/>
      <c r="AL282"/>
    </row>
    <row r="283" spans="28:38" x14ac:dyDescent="0.35">
      <c r="AB283" s="37"/>
      <c r="AC283" s="37"/>
      <c r="AD283" s="37"/>
      <c r="AE283" s="38"/>
      <c r="AF283" s="38"/>
      <c r="AG283" s="37"/>
      <c r="AH283" s="37"/>
      <c r="AI283" s="37"/>
      <c r="AJ283"/>
      <c r="AK283"/>
      <c r="AL283"/>
    </row>
    <row r="284" spans="28:38" x14ac:dyDescent="0.35">
      <c r="AB284" s="37"/>
      <c r="AC284" s="37"/>
      <c r="AD284" s="37"/>
      <c r="AE284" s="38"/>
      <c r="AF284" s="38"/>
      <c r="AG284" s="37"/>
      <c r="AH284" s="37"/>
      <c r="AI284" s="37"/>
      <c r="AJ284"/>
      <c r="AK284"/>
      <c r="AL284"/>
    </row>
    <row r="285" spans="28:38" x14ac:dyDescent="0.35">
      <c r="AB285" s="37"/>
      <c r="AC285" s="37"/>
      <c r="AD285" s="37"/>
      <c r="AE285" s="38"/>
      <c r="AF285" s="38"/>
      <c r="AG285" s="37"/>
      <c r="AH285" s="37"/>
      <c r="AI285" s="37"/>
      <c r="AJ285"/>
      <c r="AK285"/>
      <c r="AL285"/>
    </row>
    <row r="286" spans="28:38" x14ac:dyDescent="0.35">
      <c r="AB286" s="37"/>
      <c r="AC286" s="37"/>
      <c r="AD286" s="37"/>
      <c r="AE286" s="38"/>
      <c r="AF286" s="38"/>
      <c r="AG286" s="37"/>
      <c r="AH286" s="37"/>
      <c r="AI286" s="37"/>
      <c r="AJ286"/>
      <c r="AK286"/>
      <c r="AL286"/>
    </row>
    <row r="287" spans="28:38" x14ac:dyDescent="0.35">
      <c r="AB287" s="37"/>
      <c r="AC287" s="37"/>
      <c r="AD287" s="37"/>
      <c r="AE287" s="38"/>
      <c r="AF287" s="38"/>
      <c r="AG287" s="37"/>
      <c r="AH287" s="37"/>
      <c r="AI287" s="37"/>
      <c r="AJ287"/>
      <c r="AK287"/>
      <c r="AL287"/>
    </row>
    <row r="288" spans="28:38" x14ac:dyDescent="0.35">
      <c r="AB288" s="37"/>
      <c r="AC288" s="37"/>
      <c r="AD288" s="37"/>
      <c r="AE288" s="38"/>
      <c r="AF288" s="38"/>
      <c r="AG288" s="37"/>
      <c r="AH288" s="37"/>
      <c r="AI288" s="37"/>
      <c r="AJ288"/>
      <c r="AK288"/>
      <c r="AL288"/>
    </row>
    <row r="289" spans="28:38" x14ac:dyDescent="0.35">
      <c r="AB289" s="37"/>
      <c r="AC289" s="37"/>
      <c r="AD289" s="37"/>
      <c r="AE289" s="38"/>
      <c r="AF289" s="38"/>
      <c r="AG289" s="37"/>
      <c r="AH289" s="37"/>
      <c r="AI289" s="37"/>
      <c r="AJ289"/>
      <c r="AK289"/>
      <c r="AL289"/>
    </row>
    <row r="290" spans="28:38" x14ac:dyDescent="0.35">
      <c r="AB290" s="37"/>
      <c r="AC290" s="37"/>
      <c r="AD290" s="37"/>
      <c r="AE290" s="38"/>
      <c r="AF290" s="38"/>
      <c r="AG290" s="37"/>
      <c r="AH290" s="37"/>
      <c r="AI290" s="37"/>
      <c r="AJ290"/>
      <c r="AK290"/>
      <c r="AL290"/>
    </row>
    <row r="291" spans="28:38" x14ac:dyDescent="0.35">
      <c r="AB291" s="37"/>
      <c r="AC291" s="37"/>
      <c r="AD291" s="37"/>
      <c r="AE291" s="38"/>
      <c r="AF291" s="38"/>
      <c r="AG291" s="37"/>
      <c r="AH291" s="37"/>
      <c r="AI291" s="37"/>
      <c r="AJ291"/>
      <c r="AK291"/>
      <c r="AL291"/>
    </row>
    <row r="292" spans="28:38" x14ac:dyDescent="0.35">
      <c r="AB292" s="37"/>
      <c r="AC292" s="37"/>
      <c r="AD292" s="37"/>
      <c r="AE292" s="38"/>
      <c r="AF292" s="38"/>
      <c r="AG292" s="37"/>
      <c r="AH292" s="37"/>
      <c r="AI292" s="37"/>
      <c r="AJ292"/>
      <c r="AK292"/>
      <c r="AL292"/>
    </row>
    <row r="293" spans="28:38" x14ac:dyDescent="0.35">
      <c r="AB293" s="37"/>
      <c r="AC293" s="37"/>
      <c r="AD293" s="37"/>
      <c r="AE293" s="38"/>
      <c r="AF293" s="38"/>
      <c r="AG293" s="37"/>
      <c r="AH293" s="37"/>
      <c r="AI293" s="37"/>
      <c r="AJ293"/>
      <c r="AK293"/>
      <c r="AL293"/>
    </row>
    <row r="294" spans="28:38" x14ac:dyDescent="0.35">
      <c r="AB294" s="37"/>
      <c r="AC294" s="37"/>
      <c r="AD294" s="37"/>
      <c r="AE294" s="38"/>
      <c r="AF294" s="38"/>
      <c r="AG294" s="37"/>
      <c r="AH294" s="37"/>
      <c r="AI294" s="37"/>
      <c r="AJ294"/>
      <c r="AK294"/>
      <c r="AL294"/>
    </row>
    <row r="295" spans="28:38" x14ac:dyDescent="0.35">
      <c r="AB295" s="37"/>
      <c r="AC295" s="37"/>
      <c r="AD295" s="37"/>
      <c r="AE295" s="38"/>
      <c r="AF295" s="38"/>
      <c r="AG295" s="37"/>
      <c r="AH295" s="37"/>
      <c r="AI295" s="37"/>
      <c r="AJ295"/>
      <c r="AK295"/>
      <c r="AL295"/>
    </row>
    <row r="296" spans="28:38" x14ac:dyDescent="0.35">
      <c r="AB296" s="37"/>
      <c r="AC296" s="37"/>
      <c r="AD296" s="37"/>
      <c r="AE296" s="38"/>
      <c r="AF296" s="38"/>
      <c r="AG296" s="37"/>
      <c r="AH296" s="37"/>
      <c r="AI296" s="37"/>
      <c r="AJ296"/>
      <c r="AK296"/>
      <c r="AL296"/>
    </row>
    <row r="297" spans="28:38" x14ac:dyDescent="0.35">
      <c r="AB297" s="37"/>
      <c r="AC297" s="37"/>
      <c r="AD297" s="37"/>
      <c r="AE297" s="38"/>
      <c r="AF297" s="38"/>
      <c r="AG297" s="37"/>
      <c r="AH297" s="37"/>
      <c r="AI297" s="37"/>
      <c r="AJ297"/>
      <c r="AK297"/>
      <c r="AL297"/>
    </row>
    <row r="298" spans="28:38" x14ac:dyDescent="0.35">
      <c r="AB298" s="37"/>
      <c r="AC298" s="37"/>
      <c r="AD298" s="37"/>
      <c r="AE298" s="38"/>
      <c r="AF298" s="38"/>
      <c r="AG298" s="37"/>
      <c r="AH298" s="37"/>
      <c r="AI298" s="37"/>
      <c r="AJ298"/>
      <c r="AK298"/>
      <c r="AL298"/>
    </row>
    <row r="299" spans="28:38" x14ac:dyDescent="0.35">
      <c r="AB299" s="37"/>
      <c r="AC299" s="37"/>
      <c r="AD299" s="37"/>
      <c r="AE299" s="38"/>
      <c r="AF299" s="38"/>
      <c r="AG299" s="37"/>
      <c r="AH299" s="37"/>
      <c r="AI299" s="37"/>
      <c r="AJ299"/>
      <c r="AK299"/>
      <c r="AL299"/>
    </row>
    <row r="300" spans="28:38" x14ac:dyDescent="0.35">
      <c r="AB300" s="37"/>
      <c r="AC300" s="37"/>
      <c r="AD300" s="37"/>
      <c r="AE300" s="38"/>
      <c r="AF300" s="38"/>
      <c r="AG300" s="37"/>
      <c r="AH300" s="37"/>
      <c r="AI300" s="37"/>
      <c r="AJ300"/>
      <c r="AK300"/>
      <c r="AL300"/>
    </row>
    <row r="301" spans="28:38" x14ac:dyDescent="0.35">
      <c r="AB301" s="37"/>
      <c r="AC301" s="37"/>
      <c r="AD301" s="37"/>
      <c r="AE301" s="38"/>
      <c r="AF301" s="38"/>
      <c r="AG301" s="37"/>
      <c r="AH301" s="37"/>
      <c r="AI301" s="37"/>
      <c r="AJ301"/>
      <c r="AK301"/>
      <c r="AL301"/>
    </row>
    <row r="302" spans="28:38" x14ac:dyDescent="0.35">
      <c r="AB302" s="37"/>
      <c r="AC302" s="37"/>
      <c r="AD302" s="37"/>
      <c r="AE302" s="38"/>
      <c r="AF302" s="38"/>
      <c r="AG302" s="37"/>
      <c r="AH302" s="37"/>
      <c r="AI302" s="37"/>
      <c r="AJ302"/>
      <c r="AK302"/>
      <c r="AL302"/>
    </row>
    <row r="303" spans="28:38" x14ac:dyDescent="0.35">
      <c r="AB303" s="37"/>
      <c r="AC303" s="37"/>
      <c r="AD303" s="37"/>
      <c r="AE303" s="38"/>
      <c r="AF303" s="38"/>
      <c r="AG303" s="37"/>
      <c r="AH303" s="37"/>
      <c r="AI303" s="37"/>
      <c r="AJ303"/>
      <c r="AK303"/>
      <c r="AL303"/>
    </row>
    <row r="304" spans="28:38" x14ac:dyDescent="0.35">
      <c r="AB304" s="37"/>
      <c r="AC304" s="37"/>
      <c r="AD304" s="37"/>
      <c r="AE304" s="38"/>
      <c r="AF304" s="38"/>
      <c r="AG304" s="37"/>
      <c r="AH304" s="37"/>
      <c r="AI304" s="37"/>
      <c r="AJ304"/>
      <c r="AK304"/>
      <c r="AL304"/>
    </row>
    <row r="305" spans="28:38" x14ac:dyDescent="0.35">
      <c r="AB305" s="37"/>
      <c r="AC305" s="37"/>
      <c r="AD305" s="37"/>
      <c r="AE305" s="38"/>
      <c r="AF305" s="38"/>
      <c r="AG305" s="37"/>
      <c r="AH305" s="37"/>
      <c r="AI305" s="37"/>
      <c r="AJ305"/>
      <c r="AK305"/>
      <c r="AL305"/>
    </row>
    <row r="306" spans="28:38" x14ac:dyDescent="0.35">
      <c r="AB306" s="37"/>
      <c r="AC306" s="37"/>
      <c r="AD306" s="37"/>
      <c r="AE306" s="38"/>
      <c r="AF306" s="38"/>
      <c r="AG306" s="37"/>
      <c r="AH306" s="37"/>
      <c r="AI306" s="37"/>
      <c r="AJ306"/>
      <c r="AK306"/>
      <c r="AL306"/>
    </row>
    <row r="307" spans="28:38" x14ac:dyDescent="0.35">
      <c r="AB307" s="37"/>
      <c r="AC307" s="37"/>
      <c r="AD307" s="37"/>
      <c r="AE307" s="38"/>
      <c r="AF307" s="38"/>
      <c r="AG307" s="37"/>
      <c r="AH307" s="37"/>
      <c r="AI307" s="37"/>
      <c r="AJ307"/>
      <c r="AK307"/>
      <c r="AL307"/>
    </row>
    <row r="308" spans="28:38" x14ac:dyDescent="0.35">
      <c r="AB308" s="37"/>
      <c r="AC308" s="37"/>
      <c r="AD308" s="37"/>
      <c r="AE308" s="38"/>
      <c r="AF308" s="38"/>
      <c r="AG308" s="37"/>
      <c r="AH308" s="37"/>
      <c r="AI308" s="37"/>
      <c r="AJ308"/>
      <c r="AK308"/>
      <c r="AL308"/>
    </row>
    <row r="309" spans="28:38" x14ac:dyDescent="0.35">
      <c r="AB309" s="37"/>
      <c r="AC309" s="37"/>
      <c r="AD309" s="37"/>
      <c r="AE309" s="38"/>
      <c r="AF309" s="38"/>
      <c r="AG309" s="37"/>
      <c r="AH309" s="37"/>
      <c r="AI309" s="37"/>
      <c r="AJ309"/>
      <c r="AK309"/>
      <c r="AL309"/>
    </row>
    <row r="310" spans="28:38" x14ac:dyDescent="0.35">
      <c r="AB310" s="37"/>
      <c r="AC310" s="37"/>
      <c r="AD310" s="37"/>
      <c r="AE310" s="38"/>
      <c r="AF310" s="38"/>
      <c r="AG310" s="37"/>
      <c r="AH310" s="37"/>
      <c r="AI310" s="37"/>
      <c r="AJ310"/>
      <c r="AK310"/>
      <c r="AL310"/>
    </row>
    <row r="311" spans="28:38" x14ac:dyDescent="0.35">
      <c r="AB311" s="37"/>
      <c r="AC311" s="37"/>
      <c r="AD311" s="37"/>
      <c r="AE311" s="38"/>
      <c r="AF311" s="38"/>
      <c r="AG311" s="37"/>
      <c r="AH311" s="37"/>
      <c r="AI311" s="37"/>
      <c r="AJ311"/>
      <c r="AK311"/>
      <c r="AL311"/>
    </row>
    <row r="312" spans="28:38" x14ac:dyDescent="0.35">
      <c r="AB312" s="37"/>
      <c r="AC312" s="37"/>
      <c r="AD312" s="37"/>
      <c r="AE312" s="38"/>
      <c r="AF312" s="38"/>
      <c r="AG312" s="37"/>
      <c r="AH312" s="37"/>
      <c r="AI312" s="37"/>
      <c r="AJ312"/>
      <c r="AK312"/>
      <c r="AL312"/>
    </row>
    <row r="313" spans="28:38" x14ac:dyDescent="0.35">
      <c r="AB313" s="37"/>
      <c r="AC313" s="37"/>
      <c r="AD313" s="37"/>
      <c r="AE313" s="38"/>
      <c r="AF313" s="38"/>
      <c r="AG313" s="37"/>
      <c r="AH313" s="37"/>
      <c r="AI313" s="37"/>
      <c r="AJ313"/>
      <c r="AK313"/>
      <c r="AL313"/>
    </row>
    <row r="314" spans="28:38" x14ac:dyDescent="0.35">
      <c r="AB314" s="37"/>
      <c r="AC314" s="37"/>
      <c r="AD314" s="37"/>
      <c r="AE314" s="38"/>
      <c r="AF314" s="38"/>
      <c r="AG314" s="37"/>
      <c r="AH314" s="37"/>
      <c r="AI314" s="37"/>
      <c r="AJ314"/>
      <c r="AK314"/>
      <c r="AL314"/>
    </row>
    <row r="315" spans="28:38" x14ac:dyDescent="0.35">
      <c r="AB315" s="37"/>
      <c r="AC315" s="37"/>
      <c r="AD315" s="37"/>
      <c r="AE315" s="38"/>
      <c r="AF315" s="38"/>
      <c r="AG315" s="37"/>
      <c r="AH315" s="37"/>
      <c r="AI315" s="37"/>
      <c r="AJ315"/>
      <c r="AK315"/>
      <c r="AL315"/>
    </row>
    <row r="316" spans="28:38" x14ac:dyDescent="0.35">
      <c r="AB316" s="37"/>
      <c r="AC316" s="37"/>
      <c r="AD316" s="37"/>
      <c r="AE316" s="38"/>
      <c r="AF316" s="38"/>
      <c r="AG316" s="37"/>
      <c r="AH316" s="37"/>
      <c r="AI316" s="37"/>
      <c r="AJ316"/>
      <c r="AK316"/>
      <c r="AL316"/>
    </row>
    <row r="317" spans="28:38" x14ac:dyDescent="0.35">
      <c r="AB317" s="37"/>
      <c r="AC317" s="37"/>
      <c r="AD317" s="37"/>
      <c r="AE317" s="38"/>
      <c r="AF317" s="38"/>
      <c r="AG317" s="37"/>
      <c r="AH317" s="37"/>
      <c r="AI317" s="37"/>
      <c r="AJ317"/>
      <c r="AK317"/>
      <c r="AL317"/>
    </row>
    <row r="318" spans="28:38" x14ac:dyDescent="0.35">
      <c r="AB318" s="37"/>
      <c r="AC318" s="37"/>
      <c r="AD318" s="37"/>
      <c r="AE318" s="38"/>
      <c r="AF318" s="38"/>
      <c r="AG318" s="37"/>
      <c r="AH318" s="37"/>
      <c r="AI318" s="37"/>
      <c r="AJ318"/>
      <c r="AK318"/>
      <c r="AL318"/>
    </row>
    <row r="319" spans="28:38" x14ac:dyDescent="0.35">
      <c r="AB319" s="37"/>
      <c r="AC319" s="37"/>
      <c r="AD319" s="37"/>
      <c r="AE319" s="38"/>
      <c r="AF319" s="38"/>
      <c r="AG319" s="37"/>
      <c r="AH319" s="37"/>
      <c r="AI319" s="37"/>
      <c r="AJ319"/>
      <c r="AK319"/>
      <c r="AL319"/>
    </row>
    <row r="320" spans="28:38" x14ac:dyDescent="0.35">
      <c r="AB320" s="37"/>
      <c r="AC320" s="37"/>
      <c r="AD320" s="37"/>
      <c r="AE320" s="38"/>
      <c r="AF320" s="38"/>
      <c r="AG320" s="37"/>
      <c r="AH320" s="37"/>
      <c r="AI320" s="37"/>
      <c r="AJ320"/>
      <c r="AK320"/>
      <c r="AL320"/>
    </row>
    <row r="321" spans="28:38" x14ac:dyDescent="0.35">
      <c r="AB321" s="37"/>
      <c r="AC321" s="37"/>
      <c r="AD321" s="37"/>
      <c r="AE321" s="38"/>
      <c r="AF321" s="38"/>
      <c r="AG321" s="37"/>
      <c r="AH321" s="37"/>
      <c r="AI321" s="37"/>
      <c r="AJ321"/>
      <c r="AK321"/>
      <c r="AL321"/>
    </row>
    <row r="322" spans="28:38" x14ac:dyDescent="0.35">
      <c r="AB322" s="37"/>
      <c r="AC322" s="37"/>
      <c r="AD322" s="37"/>
      <c r="AE322" s="38"/>
      <c r="AF322" s="38"/>
      <c r="AG322" s="37"/>
      <c r="AH322" s="37"/>
      <c r="AI322" s="37"/>
      <c r="AJ322"/>
      <c r="AK322"/>
      <c r="AL322"/>
    </row>
    <row r="323" spans="28:38" x14ac:dyDescent="0.35">
      <c r="AB323" s="37"/>
      <c r="AC323" s="37"/>
      <c r="AD323" s="37"/>
      <c r="AE323" s="38"/>
      <c r="AF323" s="38"/>
      <c r="AG323" s="37"/>
      <c r="AH323" s="37"/>
      <c r="AI323" s="37"/>
      <c r="AJ323"/>
      <c r="AK323"/>
      <c r="AL323"/>
    </row>
    <row r="324" spans="28:38" x14ac:dyDescent="0.35">
      <c r="AB324" s="37"/>
      <c r="AC324" s="37"/>
      <c r="AD324" s="37"/>
      <c r="AE324" s="38"/>
      <c r="AF324" s="38"/>
      <c r="AG324" s="37"/>
      <c r="AH324" s="37"/>
      <c r="AI324" s="37"/>
      <c r="AJ324"/>
      <c r="AK324"/>
      <c r="AL324"/>
    </row>
    <row r="325" spans="28:38" x14ac:dyDescent="0.35">
      <c r="AB325" s="37"/>
      <c r="AC325" s="37"/>
      <c r="AD325" s="37"/>
      <c r="AE325" s="38"/>
      <c r="AF325" s="38"/>
      <c r="AG325" s="37"/>
      <c r="AH325" s="37"/>
      <c r="AI325" s="37"/>
      <c r="AJ325"/>
      <c r="AK325"/>
      <c r="AL325"/>
    </row>
    <row r="326" spans="28:38" x14ac:dyDescent="0.35">
      <c r="AB326" s="37"/>
      <c r="AC326" s="37"/>
      <c r="AD326" s="37"/>
      <c r="AE326" s="38"/>
      <c r="AF326" s="38"/>
      <c r="AG326" s="37"/>
      <c r="AH326" s="37"/>
      <c r="AI326" s="37"/>
      <c r="AJ326"/>
      <c r="AK326"/>
      <c r="AL326"/>
    </row>
    <row r="327" spans="28:38" x14ac:dyDescent="0.35">
      <c r="AB327" s="37"/>
      <c r="AC327" s="37"/>
      <c r="AD327" s="37"/>
      <c r="AE327" s="38"/>
      <c r="AF327" s="38"/>
      <c r="AG327" s="37"/>
      <c r="AH327" s="37"/>
      <c r="AI327" s="37"/>
      <c r="AJ327"/>
      <c r="AK327"/>
      <c r="AL327"/>
    </row>
    <row r="328" spans="28:38" x14ac:dyDescent="0.35">
      <c r="AB328" s="37"/>
      <c r="AC328" s="37"/>
      <c r="AD328" s="37"/>
      <c r="AE328" s="38"/>
      <c r="AF328" s="38"/>
      <c r="AG328" s="37"/>
      <c r="AH328" s="37"/>
      <c r="AI328" s="37"/>
      <c r="AJ328"/>
      <c r="AK328"/>
      <c r="AL328"/>
    </row>
    <row r="329" spans="28:38" x14ac:dyDescent="0.35">
      <c r="AB329" s="37"/>
      <c r="AC329" s="37"/>
      <c r="AD329" s="37"/>
      <c r="AE329" s="38"/>
      <c r="AF329" s="38"/>
      <c r="AG329" s="37"/>
      <c r="AH329" s="37"/>
      <c r="AI329" s="37"/>
      <c r="AJ329"/>
      <c r="AK329"/>
      <c r="AL329"/>
    </row>
    <row r="330" spans="28:38" x14ac:dyDescent="0.35">
      <c r="AB330" s="37"/>
      <c r="AC330" s="37"/>
      <c r="AD330" s="37"/>
      <c r="AE330" s="38"/>
      <c r="AF330" s="38"/>
      <c r="AG330" s="37"/>
      <c r="AH330" s="37"/>
      <c r="AI330" s="37"/>
      <c r="AJ330"/>
      <c r="AK330"/>
      <c r="AL330"/>
    </row>
    <row r="331" spans="28:38" x14ac:dyDescent="0.35">
      <c r="AB331" s="37"/>
      <c r="AC331" s="37"/>
      <c r="AD331" s="37"/>
      <c r="AE331" s="38"/>
      <c r="AF331" s="38"/>
      <c r="AG331" s="37"/>
      <c r="AH331" s="37"/>
      <c r="AI331" s="37"/>
      <c r="AJ331"/>
      <c r="AK331"/>
      <c r="AL331"/>
    </row>
    <row r="332" spans="28:38" x14ac:dyDescent="0.35">
      <c r="AB332" s="37"/>
      <c r="AC332" s="37"/>
      <c r="AD332" s="37"/>
      <c r="AE332" s="38"/>
      <c r="AF332" s="38"/>
      <c r="AG332" s="37"/>
      <c r="AH332" s="37"/>
      <c r="AI332" s="37"/>
      <c r="AJ332"/>
      <c r="AK332"/>
      <c r="AL332"/>
    </row>
    <row r="333" spans="28:38" x14ac:dyDescent="0.35">
      <c r="AB333" s="37"/>
      <c r="AC333" s="37"/>
      <c r="AD333" s="37"/>
      <c r="AE333" s="38"/>
      <c r="AF333" s="38"/>
      <c r="AG333" s="37"/>
      <c r="AH333" s="37"/>
      <c r="AI333" s="37"/>
      <c r="AJ333"/>
      <c r="AK333"/>
      <c r="AL333"/>
    </row>
    <row r="334" spans="28:38" x14ac:dyDescent="0.35">
      <c r="AB334" s="37"/>
      <c r="AC334" s="37"/>
      <c r="AD334" s="37"/>
      <c r="AE334" s="38"/>
      <c r="AF334" s="38"/>
      <c r="AG334" s="37"/>
      <c r="AH334" s="37"/>
      <c r="AI334" s="37"/>
      <c r="AJ334"/>
      <c r="AK334"/>
      <c r="AL334"/>
    </row>
    <row r="335" spans="28:38" x14ac:dyDescent="0.35">
      <c r="AB335" s="37"/>
      <c r="AC335" s="37"/>
      <c r="AD335" s="37"/>
      <c r="AE335" s="38"/>
      <c r="AF335" s="38"/>
      <c r="AG335" s="37"/>
      <c r="AH335" s="37"/>
      <c r="AI335" s="37"/>
      <c r="AJ335"/>
      <c r="AK335"/>
      <c r="AL335"/>
    </row>
    <row r="336" spans="28:38" x14ac:dyDescent="0.35">
      <c r="AB336" s="37"/>
      <c r="AC336" s="37"/>
      <c r="AD336" s="37"/>
      <c r="AE336" s="38"/>
      <c r="AF336" s="38"/>
      <c r="AG336" s="37"/>
      <c r="AH336" s="37"/>
      <c r="AI336" s="37"/>
      <c r="AJ336"/>
      <c r="AK336"/>
      <c r="AL336"/>
    </row>
    <row r="337" spans="28:38" x14ac:dyDescent="0.35">
      <c r="AB337" s="37"/>
      <c r="AC337" s="37"/>
      <c r="AD337" s="37"/>
      <c r="AE337" s="38"/>
      <c r="AF337" s="38"/>
      <c r="AG337" s="37"/>
      <c r="AH337" s="37"/>
      <c r="AI337" s="37"/>
      <c r="AJ337"/>
      <c r="AK337"/>
      <c r="AL337"/>
    </row>
    <row r="338" spans="28:38" x14ac:dyDescent="0.35">
      <c r="AB338" s="37"/>
      <c r="AC338" s="37"/>
      <c r="AD338" s="37"/>
      <c r="AE338" s="38"/>
      <c r="AF338" s="38"/>
      <c r="AG338" s="37"/>
      <c r="AH338" s="37"/>
      <c r="AI338" s="37"/>
      <c r="AJ338"/>
      <c r="AK338"/>
      <c r="AL338"/>
    </row>
    <row r="339" spans="28:38" x14ac:dyDescent="0.35">
      <c r="AB339" s="37"/>
      <c r="AC339" s="37"/>
      <c r="AD339" s="37"/>
      <c r="AE339" s="38"/>
      <c r="AF339" s="38"/>
      <c r="AG339" s="37"/>
      <c r="AH339" s="37"/>
      <c r="AI339" s="37"/>
      <c r="AJ339"/>
      <c r="AK339"/>
      <c r="AL339"/>
    </row>
    <row r="340" spans="28:38" x14ac:dyDescent="0.35">
      <c r="AB340" s="37"/>
      <c r="AC340" s="37"/>
      <c r="AD340" s="37"/>
      <c r="AE340" s="38"/>
      <c r="AF340" s="38"/>
      <c r="AG340" s="37"/>
      <c r="AH340" s="37"/>
      <c r="AI340" s="37"/>
      <c r="AJ340"/>
      <c r="AK340"/>
      <c r="AL340"/>
    </row>
    <row r="341" spans="28:38" x14ac:dyDescent="0.35">
      <c r="AB341" s="37"/>
      <c r="AC341" s="37"/>
      <c r="AD341" s="37"/>
      <c r="AE341" s="38"/>
      <c r="AF341" s="38"/>
      <c r="AG341" s="37"/>
      <c r="AH341" s="37"/>
      <c r="AI341" s="37"/>
      <c r="AJ341"/>
      <c r="AK341"/>
      <c r="AL341"/>
    </row>
    <row r="342" spans="28:38" x14ac:dyDescent="0.35">
      <c r="AB342" s="37"/>
      <c r="AC342" s="37"/>
      <c r="AD342" s="37"/>
      <c r="AE342" s="38"/>
      <c r="AF342" s="38"/>
      <c r="AG342" s="37"/>
      <c r="AH342" s="37"/>
      <c r="AI342" s="37"/>
      <c r="AJ342"/>
      <c r="AK342"/>
      <c r="AL342"/>
    </row>
    <row r="343" spans="28:38" x14ac:dyDescent="0.35">
      <c r="AB343" s="37"/>
      <c r="AC343" s="37"/>
      <c r="AD343" s="37"/>
      <c r="AE343" s="38"/>
      <c r="AF343" s="38"/>
      <c r="AG343" s="37"/>
      <c r="AH343" s="37"/>
      <c r="AI343" s="37"/>
      <c r="AJ343"/>
      <c r="AK343"/>
      <c r="AL343"/>
    </row>
    <row r="344" spans="28:38" x14ac:dyDescent="0.35">
      <c r="AB344" s="37"/>
      <c r="AC344" s="37"/>
      <c r="AD344" s="37"/>
      <c r="AE344" s="38"/>
      <c r="AF344" s="38"/>
      <c r="AG344" s="37"/>
      <c r="AH344" s="37"/>
      <c r="AI344" s="37"/>
      <c r="AJ344"/>
      <c r="AK344"/>
      <c r="AL344"/>
    </row>
    <row r="345" spans="28:38" x14ac:dyDescent="0.35">
      <c r="AB345" s="37"/>
      <c r="AC345" s="37"/>
      <c r="AD345" s="37"/>
      <c r="AE345" s="38"/>
      <c r="AF345" s="38"/>
      <c r="AG345" s="37"/>
      <c r="AH345" s="37"/>
      <c r="AI345" s="37"/>
      <c r="AJ345"/>
      <c r="AK345"/>
      <c r="AL345"/>
    </row>
    <row r="346" spans="28:38" x14ac:dyDescent="0.35">
      <c r="AB346" s="37"/>
      <c r="AC346" s="37"/>
      <c r="AD346" s="37"/>
      <c r="AE346" s="38"/>
      <c r="AF346" s="38"/>
      <c r="AG346" s="37"/>
      <c r="AH346" s="37"/>
      <c r="AI346" s="37"/>
      <c r="AJ346"/>
      <c r="AK346"/>
      <c r="AL346"/>
    </row>
    <row r="347" spans="28:38" x14ac:dyDescent="0.35">
      <c r="AB347" s="37"/>
      <c r="AC347" s="37"/>
      <c r="AD347" s="37"/>
      <c r="AE347" s="38"/>
      <c r="AF347" s="38"/>
      <c r="AG347" s="37"/>
      <c r="AH347" s="37"/>
      <c r="AI347" s="37"/>
      <c r="AJ347"/>
      <c r="AK347"/>
      <c r="AL347"/>
    </row>
    <row r="348" spans="28:38" x14ac:dyDescent="0.35">
      <c r="AB348" s="37"/>
      <c r="AC348" s="37"/>
      <c r="AD348" s="37"/>
      <c r="AE348" s="38"/>
      <c r="AF348" s="38"/>
      <c r="AG348" s="37"/>
      <c r="AH348" s="37"/>
      <c r="AI348" s="37"/>
      <c r="AJ348"/>
      <c r="AK348"/>
      <c r="AL348"/>
    </row>
    <row r="349" spans="28:38" x14ac:dyDescent="0.35">
      <c r="AB349" s="37"/>
      <c r="AC349" s="37"/>
      <c r="AD349" s="37"/>
      <c r="AE349" s="38"/>
      <c r="AF349" s="38"/>
      <c r="AG349" s="37"/>
      <c r="AH349" s="37"/>
      <c r="AI349" s="37"/>
      <c r="AJ349"/>
      <c r="AK349"/>
      <c r="AL349"/>
    </row>
    <row r="350" spans="28:38" x14ac:dyDescent="0.35">
      <c r="AB350" s="37"/>
      <c r="AC350" s="37"/>
      <c r="AD350" s="37"/>
      <c r="AE350" s="38"/>
      <c r="AF350" s="38"/>
      <c r="AG350" s="37"/>
      <c r="AH350" s="37"/>
      <c r="AI350" s="37"/>
      <c r="AJ350"/>
      <c r="AK350"/>
      <c r="AL350"/>
    </row>
    <row r="351" spans="28:38" x14ac:dyDescent="0.35">
      <c r="AB351" s="37"/>
      <c r="AC351" s="37"/>
      <c r="AD351" s="37"/>
      <c r="AE351" s="38"/>
      <c r="AF351" s="38"/>
      <c r="AG351" s="37"/>
      <c r="AH351" s="37"/>
      <c r="AI351" s="37"/>
      <c r="AJ351"/>
      <c r="AK351"/>
      <c r="AL351"/>
    </row>
    <row r="352" spans="28:38" x14ac:dyDescent="0.35">
      <c r="AB352" s="37"/>
      <c r="AC352" s="37"/>
      <c r="AD352" s="37"/>
      <c r="AE352" s="38"/>
      <c r="AF352" s="38"/>
      <c r="AG352" s="37"/>
      <c r="AH352" s="37"/>
      <c r="AI352" s="37"/>
      <c r="AJ352"/>
      <c r="AK352"/>
      <c r="AL352"/>
    </row>
    <row r="353" spans="28:38" x14ac:dyDescent="0.35">
      <c r="AB353" s="37"/>
      <c r="AC353" s="37"/>
      <c r="AD353" s="37"/>
      <c r="AE353" s="38"/>
      <c r="AF353" s="38"/>
      <c r="AG353" s="37"/>
      <c r="AH353" s="37"/>
      <c r="AI353" s="37"/>
      <c r="AJ353"/>
      <c r="AK353"/>
      <c r="AL353"/>
    </row>
    <row r="354" spans="28:38" x14ac:dyDescent="0.35">
      <c r="AB354" s="37"/>
      <c r="AC354" s="37"/>
      <c r="AD354" s="37"/>
      <c r="AE354" s="38"/>
      <c r="AF354" s="38"/>
      <c r="AG354" s="37"/>
      <c r="AH354" s="37"/>
      <c r="AI354" s="37"/>
      <c r="AJ354"/>
      <c r="AK354"/>
      <c r="AL354"/>
    </row>
    <row r="355" spans="28:38" x14ac:dyDescent="0.35">
      <c r="AB355" s="37"/>
      <c r="AC355" s="37"/>
      <c r="AD355" s="37"/>
      <c r="AE355" s="38"/>
      <c r="AF355" s="38"/>
      <c r="AG355" s="37"/>
      <c r="AH355" s="37"/>
      <c r="AI355" s="37"/>
      <c r="AJ355"/>
      <c r="AK355"/>
      <c r="AL355"/>
    </row>
    <row r="356" spans="28:38" x14ac:dyDescent="0.35">
      <c r="AB356" s="37"/>
      <c r="AC356" s="37"/>
      <c r="AD356" s="37"/>
      <c r="AE356" s="38"/>
      <c r="AF356" s="38"/>
      <c r="AG356" s="37"/>
      <c r="AH356" s="37"/>
      <c r="AI356" s="37"/>
      <c r="AJ356"/>
      <c r="AK356"/>
      <c r="AL356"/>
    </row>
    <row r="357" spans="28:38" x14ac:dyDescent="0.35">
      <c r="AB357" s="37"/>
      <c r="AC357" s="37"/>
      <c r="AD357" s="37"/>
      <c r="AE357" s="38"/>
      <c r="AF357" s="38"/>
      <c r="AG357" s="37"/>
      <c r="AH357" s="37"/>
      <c r="AI357" s="37"/>
      <c r="AJ357"/>
      <c r="AK357"/>
      <c r="AL357"/>
    </row>
    <row r="358" spans="28:38" x14ac:dyDescent="0.35">
      <c r="AB358" s="37"/>
      <c r="AC358" s="37"/>
      <c r="AD358" s="37"/>
      <c r="AE358" s="38"/>
      <c r="AF358" s="38"/>
      <c r="AG358" s="37"/>
      <c r="AH358" s="37"/>
      <c r="AI358" s="37"/>
      <c r="AJ358"/>
      <c r="AK358"/>
      <c r="AL358"/>
    </row>
    <row r="359" spans="28:38" x14ac:dyDescent="0.35">
      <c r="AB359" s="37"/>
      <c r="AC359" s="37"/>
      <c r="AD359" s="37"/>
      <c r="AE359" s="38"/>
      <c r="AF359" s="38"/>
      <c r="AG359" s="37"/>
      <c r="AH359" s="37"/>
      <c r="AI359" s="37"/>
      <c r="AJ359"/>
      <c r="AK359"/>
      <c r="AL359"/>
    </row>
    <row r="360" spans="28:38" x14ac:dyDescent="0.35">
      <c r="AB360" s="37"/>
      <c r="AC360" s="37"/>
      <c r="AD360" s="37"/>
      <c r="AE360" s="38"/>
      <c r="AF360" s="38"/>
      <c r="AG360" s="37"/>
      <c r="AH360" s="37"/>
      <c r="AI360" s="37"/>
      <c r="AJ360"/>
      <c r="AK360"/>
      <c r="AL360"/>
    </row>
    <row r="361" spans="28:38" x14ac:dyDescent="0.35">
      <c r="AB361" s="37"/>
      <c r="AC361" s="37"/>
      <c r="AD361" s="37"/>
      <c r="AE361" s="38"/>
      <c r="AF361" s="38"/>
      <c r="AG361" s="37"/>
      <c r="AH361" s="37"/>
      <c r="AI361" s="37"/>
      <c r="AJ361"/>
      <c r="AK361"/>
      <c r="AL361"/>
    </row>
    <row r="362" spans="28:38" x14ac:dyDescent="0.35">
      <c r="AB362" s="37"/>
      <c r="AC362" s="37"/>
      <c r="AD362" s="37"/>
      <c r="AE362" s="38"/>
      <c r="AF362" s="38"/>
      <c r="AG362" s="37"/>
      <c r="AH362" s="37"/>
      <c r="AI362" s="37"/>
      <c r="AJ362"/>
      <c r="AK362"/>
      <c r="AL362"/>
    </row>
    <row r="363" spans="28:38" x14ac:dyDescent="0.35">
      <c r="AB363" s="37"/>
      <c r="AC363" s="37"/>
      <c r="AD363" s="37"/>
      <c r="AE363" s="38"/>
      <c r="AF363" s="38"/>
      <c r="AG363" s="37"/>
      <c r="AH363" s="37"/>
      <c r="AI363" s="37"/>
      <c r="AJ363"/>
      <c r="AK363"/>
      <c r="AL363"/>
    </row>
    <row r="364" spans="28:38" x14ac:dyDescent="0.35">
      <c r="AB364" s="37"/>
      <c r="AC364" s="37"/>
      <c r="AD364" s="37"/>
      <c r="AE364" s="38"/>
      <c r="AF364" s="38"/>
      <c r="AG364" s="37"/>
      <c r="AH364" s="37"/>
      <c r="AI364" s="37"/>
      <c r="AJ364"/>
      <c r="AK364"/>
      <c r="AL364"/>
    </row>
    <row r="365" spans="28:38" x14ac:dyDescent="0.35">
      <c r="AB365" s="37"/>
      <c r="AC365" s="37"/>
      <c r="AD365" s="37"/>
      <c r="AE365" s="38"/>
      <c r="AF365" s="38"/>
      <c r="AG365" s="37"/>
      <c r="AH365" s="37"/>
      <c r="AI365" s="37"/>
      <c r="AJ365"/>
      <c r="AK365"/>
      <c r="AL365"/>
    </row>
    <row r="366" spans="28:38" x14ac:dyDescent="0.35">
      <c r="AB366" s="37"/>
      <c r="AC366" s="37"/>
      <c r="AD366" s="37"/>
      <c r="AE366" s="38"/>
      <c r="AF366" s="38"/>
      <c r="AG366" s="37"/>
      <c r="AH366" s="37"/>
      <c r="AI366" s="37"/>
      <c r="AJ366"/>
      <c r="AK366"/>
      <c r="AL366"/>
    </row>
    <row r="367" spans="28:38" x14ac:dyDescent="0.35">
      <c r="AB367" s="37"/>
      <c r="AC367" s="37"/>
      <c r="AD367" s="37"/>
      <c r="AE367" s="38"/>
      <c r="AF367" s="38"/>
      <c r="AG367" s="37"/>
      <c r="AH367" s="37"/>
      <c r="AI367" s="37"/>
      <c r="AJ367"/>
      <c r="AK367"/>
      <c r="AL367"/>
    </row>
    <row r="368" spans="28:38" x14ac:dyDescent="0.35">
      <c r="AB368" s="37"/>
      <c r="AC368" s="37"/>
      <c r="AD368" s="37"/>
      <c r="AE368" s="38"/>
      <c r="AF368" s="38"/>
      <c r="AG368" s="37"/>
      <c r="AH368" s="37"/>
      <c r="AI368" s="37"/>
      <c r="AJ368"/>
      <c r="AK368"/>
      <c r="AL368"/>
    </row>
    <row r="369" spans="28:38" x14ac:dyDescent="0.35">
      <c r="AB369" s="37"/>
      <c r="AC369" s="37"/>
      <c r="AD369" s="37"/>
      <c r="AE369" s="38"/>
      <c r="AF369" s="38"/>
      <c r="AG369" s="37"/>
      <c r="AH369" s="37"/>
      <c r="AI369" s="37"/>
      <c r="AJ369"/>
      <c r="AK369"/>
      <c r="AL369"/>
    </row>
    <row r="370" spans="28:38" x14ac:dyDescent="0.35">
      <c r="AB370" s="37"/>
      <c r="AC370" s="37"/>
      <c r="AD370" s="37"/>
      <c r="AE370" s="38"/>
      <c r="AF370" s="38"/>
      <c r="AG370" s="37"/>
      <c r="AH370" s="37"/>
      <c r="AI370" s="37"/>
      <c r="AJ370"/>
      <c r="AK370"/>
      <c r="AL370"/>
    </row>
    <row r="371" spans="28:38" x14ac:dyDescent="0.35">
      <c r="AB371" s="37"/>
      <c r="AC371" s="37"/>
      <c r="AD371" s="37"/>
      <c r="AE371" s="38"/>
      <c r="AF371" s="38"/>
      <c r="AG371" s="37"/>
      <c r="AH371" s="37"/>
      <c r="AI371" s="37"/>
      <c r="AJ371"/>
      <c r="AK371"/>
      <c r="AL371"/>
    </row>
    <row r="372" spans="28:38" x14ac:dyDescent="0.35">
      <c r="AB372" s="37"/>
      <c r="AC372" s="37"/>
      <c r="AD372" s="37"/>
      <c r="AE372" s="38"/>
      <c r="AF372" s="38"/>
      <c r="AG372" s="37"/>
      <c r="AH372" s="37"/>
      <c r="AI372" s="37"/>
      <c r="AJ372"/>
      <c r="AK372"/>
      <c r="AL372"/>
    </row>
    <row r="373" spans="28:38" x14ac:dyDescent="0.35">
      <c r="AB373" s="37"/>
      <c r="AC373" s="37"/>
      <c r="AD373" s="37"/>
      <c r="AE373" s="38"/>
      <c r="AF373" s="38"/>
      <c r="AG373" s="37"/>
      <c r="AH373" s="37"/>
      <c r="AI373" s="37"/>
      <c r="AJ373"/>
      <c r="AK373"/>
      <c r="AL373"/>
    </row>
    <row r="374" spans="28:38" x14ac:dyDescent="0.35">
      <c r="AB374" s="37"/>
      <c r="AC374" s="37"/>
      <c r="AD374" s="37"/>
      <c r="AE374" s="38"/>
      <c r="AF374" s="38"/>
      <c r="AG374" s="37"/>
      <c r="AH374" s="37"/>
      <c r="AI374" s="37"/>
      <c r="AJ374"/>
      <c r="AK374"/>
      <c r="AL374"/>
    </row>
    <row r="375" spans="28:38" x14ac:dyDescent="0.35">
      <c r="AB375" s="37"/>
      <c r="AC375" s="37"/>
      <c r="AD375" s="37"/>
      <c r="AE375" s="38"/>
      <c r="AF375" s="38"/>
      <c r="AG375" s="37"/>
      <c r="AH375" s="37"/>
      <c r="AI375" s="37"/>
      <c r="AJ375"/>
      <c r="AK375"/>
      <c r="AL375"/>
    </row>
    <row r="376" spans="28:38" x14ac:dyDescent="0.35">
      <c r="AB376" s="37"/>
      <c r="AC376" s="37"/>
      <c r="AD376" s="37"/>
      <c r="AE376" s="38"/>
      <c r="AF376" s="38"/>
      <c r="AG376" s="37"/>
      <c r="AH376" s="37"/>
      <c r="AI376" s="37"/>
      <c r="AJ376"/>
      <c r="AK376"/>
      <c r="AL376"/>
    </row>
    <row r="377" spans="28:38" x14ac:dyDescent="0.35">
      <c r="AB377" s="37"/>
      <c r="AC377" s="37"/>
      <c r="AD377" s="37"/>
      <c r="AE377" s="38"/>
      <c r="AF377" s="38"/>
      <c r="AG377" s="37"/>
      <c r="AH377" s="37"/>
      <c r="AI377" s="37"/>
      <c r="AJ377"/>
      <c r="AK377"/>
      <c r="AL377"/>
    </row>
    <row r="378" spans="28:38" x14ac:dyDescent="0.35">
      <c r="AB378" s="37"/>
      <c r="AC378" s="37"/>
      <c r="AD378" s="37"/>
      <c r="AE378" s="38"/>
      <c r="AF378" s="38"/>
      <c r="AG378" s="37"/>
      <c r="AH378" s="37"/>
      <c r="AI378" s="37"/>
      <c r="AJ378"/>
      <c r="AK378"/>
      <c r="AL378"/>
    </row>
    <row r="379" spans="28:38" x14ac:dyDescent="0.35">
      <c r="AB379" s="37"/>
      <c r="AC379" s="37"/>
      <c r="AD379" s="37"/>
      <c r="AE379" s="38"/>
      <c r="AF379" s="38"/>
      <c r="AG379" s="37"/>
      <c r="AH379" s="37"/>
      <c r="AI379" s="37"/>
      <c r="AJ379"/>
      <c r="AK379"/>
      <c r="AL379"/>
    </row>
    <row r="380" spans="28:38" x14ac:dyDescent="0.35">
      <c r="AB380" s="37"/>
      <c r="AC380" s="37"/>
      <c r="AD380" s="37"/>
      <c r="AE380" s="38"/>
      <c r="AF380" s="38"/>
      <c r="AG380" s="37"/>
      <c r="AH380" s="37"/>
      <c r="AI380" s="37"/>
      <c r="AJ380"/>
      <c r="AK380"/>
      <c r="AL380"/>
    </row>
    <row r="381" spans="28:38" x14ac:dyDescent="0.35">
      <c r="AB381" s="37"/>
      <c r="AC381" s="37"/>
      <c r="AD381" s="37"/>
      <c r="AE381" s="38"/>
      <c r="AF381" s="38"/>
      <c r="AG381" s="37"/>
      <c r="AH381" s="37"/>
      <c r="AI381" s="37"/>
      <c r="AJ381"/>
      <c r="AK381"/>
      <c r="AL381"/>
    </row>
    <row r="382" spans="28:38" x14ac:dyDescent="0.35">
      <c r="AB382" s="37"/>
      <c r="AC382" s="37"/>
      <c r="AD382" s="37"/>
      <c r="AE382" s="38"/>
      <c r="AF382" s="38"/>
      <c r="AG382" s="37"/>
      <c r="AH382" s="37"/>
      <c r="AI382" s="37"/>
      <c r="AJ382"/>
      <c r="AK382"/>
      <c r="AL382"/>
    </row>
    <row r="383" spans="28:38" x14ac:dyDescent="0.35">
      <c r="AB383" s="37"/>
      <c r="AC383" s="37"/>
      <c r="AD383" s="37"/>
      <c r="AE383" s="38"/>
      <c r="AF383" s="38"/>
      <c r="AG383" s="37"/>
      <c r="AH383" s="37"/>
      <c r="AI383" s="37"/>
      <c r="AJ383"/>
      <c r="AK383"/>
      <c r="AL383"/>
    </row>
    <row r="384" spans="28:38" x14ac:dyDescent="0.35">
      <c r="AB384" s="37"/>
      <c r="AC384" s="37"/>
      <c r="AD384" s="37"/>
      <c r="AE384" s="38"/>
      <c r="AF384" s="38"/>
      <c r="AG384" s="37"/>
      <c r="AH384" s="37"/>
      <c r="AI384" s="37"/>
      <c r="AJ384"/>
      <c r="AK384"/>
      <c r="AL384"/>
    </row>
    <row r="385" spans="28:38" x14ac:dyDescent="0.35">
      <c r="AB385" s="37"/>
      <c r="AC385" s="37"/>
      <c r="AD385" s="37"/>
      <c r="AE385" s="38"/>
      <c r="AF385" s="38"/>
      <c r="AG385" s="37"/>
      <c r="AH385" s="37"/>
      <c r="AI385" s="37"/>
      <c r="AJ385"/>
      <c r="AK385"/>
      <c r="AL385"/>
    </row>
    <row r="386" spans="28:38" x14ac:dyDescent="0.35">
      <c r="AB386" s="37"/>
      <c r="AC386" s="37"/>
      <c r="AD386" s="37"/>
      <c r="AE386" s="38"/>
      <c r="AF386" s="38"/>
      <c r="AG386" s="37"/>
      <c r="AH386" s="37"/>
      <c r="AI386" s="37"/>
      <c r="AJ386"/>
      <c r="AK386"/>
      <c r="AL386"/>
    </row>
    <row r="387" spans="28:38" x14ac:dyDescent="0.35">
      <c r="AB387" s="37"/>
      <c r="AC387" s="37"/>
      <c r="AD387" s="37"/>
      <c r="AE387" s="38"/>
      <c r="AF387" s="38"/>
      <c r="AG387" s="37"/>
      <c r="AH387" s="37"/>
      <c r="AI387" s="37"/>
      <c r="AJ387"/>
      <c r="AK387"/>
      <c r="AL387"/>
    </row>
    <row r="388" spans="28:38" x14ac:dyDescent="0.35">
      <c r="AB388" s="37"/>
      <c r="AC388" s="37"/>
      <c r="AD388" s="37"/>
      <c r="AE388" s="38"/>
      <c r="AF388" s="38"/>
      <c r="AG388" s="37"/>
      <c r="AH388" s="37"/>
      <c r="AI388" s="37"/>
      <c r="AJ388"/>
      <c r="AK388"/>
      <c r="AL388"/>
    </row>
    <row r="389" spans="28:38" x14ac:dyDescent="0.35">
      <c r="AB389" s="37"/>
      <c r="AC389" s="37"/>
      <c r="AD389" s="37"/>
      <c r="AE389" s="38"/>
      <c r="AF389" s="38"/>
      <c r="AG389" s="37"/>
      <c r="AH389" s="37"/>
      <c r="AI389" s="37"/>
      <c r="AJ389"/>
      <c r="AK389"/>
      <c r="AL389"/>
    </row>
    <row r="390" spans="28:38" x14ac:dyDescent="0.35">
      <c r="AB390" s="37"/>
      <c r="AC390" s="37"/>
      <c r="AD390" s="37"/>
      <c r="AE390" s="38"/>
      <c r="AF390" s="38"/>
      <c r="AG390" s="37"/>
      <c r="AH390" s="37"/>
      <c r="AI390" s="37"/>
      <c r="AJ390"/>
      <c r="AK390"/>
      <c r="AL390"/>
    </row>
    <row r="391" spans="28:38" x14ac:dyDescent="0.35">
      <c r="AB391" s="37"/>
      <c r="AC391" s="37"/>
      <c r="AD391" s="37"/>
      <c r="AE391" s="38"/>
      <c r="AF391" s="38"/>
      <c r="AG391" s="37"/>
      <c r="AH391" s="37"/>
      <c r="AI391" s="37"/>
      <c r="AJ391"/>
      <c r="AK391"/>
      <c r="AL391"/>
    </row>
    <row r="392" spans="28:38" x14ac:dyDescent="0.35">
      <c r="AB392" s="37"/>
      <c r="AC392" s="37"/>
      <c r="AD392" s="37"/>
      <c r="AE392" s="38"/>
      <c r="AF392" s="38"/>
      <c r="AG392" s="37"/>
      <c r="AH392" s="37"/>
      <c r="AI392" s="37"/>
      <c r="AJ392"/>
      <c r="AK392"/>
      <c r="AL392"/>
    </row>
    <row r="393" spans="28:38" x14ac:dyDescent="0.35">
      <c r="AB393" s="37"/>
      <c r="AC393" s="37"/>
      <c r="AD393" s="37"/>
      <c r="AE393" s="38"/>
      <c r="AF393" s="38"/>
      <c r="AG393" s="37"/>
      <c r="AH393" s="37"/>
      <c r="AI393" s="37"/>
      <c r="AJ393"/>
      <c r="AK393"/>
      <c r="AL393"/>
    </row>
    <row r="394" spans="28:38" x14ac:dyDescent="0.35">
      <c r="AB394" s="37"/>
      <c r="AC394" s="37"/>
      <c r="AD394" s="37"/>
      <c r="AE394" s="38"/>
      <c r="AF394" s="38"/>
      <c r="AG394" s="37"/>
      <c r="AH394" s="37"/>
      <c r="AI394" s="37"/>
      <c r="AJ394"/>
      <c r="AK394"/>
      <c r="AL394"/>
    </row>
    <row r="395" spans="28:38" x14ac:dyDescent="0.35">
      <c r="AB395" s="37"/>
      <c r="AC395" s="37"/>
      <c r="AD395" s="37"/>
      <c r="AE395" s="38"/>
      <c r="AF395" s="38"/>
      <c r="AG395" s="37"/>
      <c r="AH395" s="37"/>
      <c r="AI395" s="37"/>
      <c r="AJ395"/>
      <c r="AK395"/>
      <c r="AL395"/>
    </row>
    <row r="396" spans="28:38" x14ac:dyDescent="0.35">
      <c r="AB396" s="37"/>
      <c r="AC396" s="37"/>
      <c r="AD396" s="37"/>
      <c r="AE396" s="38"/>
      <c r="AF396" s="38"/>
      <c r="AG396" s="37"/>
      <c r="AH396" s="37"/>
      <c r="AI396" s="37"/>
      <c r="AJ396"/>
      <c r="AK396"/>
      <c r="AL396"/>
    </row>
    <row r="397" spans="28:38" x14ac:dyDescent="0.35">
      <c r="AB397" s="37"/>
      <c r="AC397" s="37"/>
      <c r="AD397" s="37"/>
      <c r="AE397" s="38"/>
      <c r="AF397" s="38"/>
      <c r="AG397" s="37"/>
      <c r="AH397" s="37"/>
      <c r="AI397" s="37"/>
      <c r="AJ397"/>
      <c r="AK397"/>
      <c r="AL397"/>
    </row>
    <row r="398" spans="28:38" x14ac:dyDescent="0.35">
      <c r="AB398" s="37"/>
      <c r="AC398" s="37"/>
      <c r="AD398" s="37"/>
      <c r="AE398" s="38"/>
      <c r="AF398" s="38"/>
      <c r="AG398" s="37"/>
      <c r="AH398" s="37"/>
      <c r="AI398" s="37"/>
      <c r="AJ398"/>
      <c r="AK398"/>
      <c r="AL398"/>
    </row>
    <row r="399" spans="28:38" x14ac:dyDescent="0.35">
      <c r="AB399" s="37"/>
      <c r="AC399" s="37"/>
      <c r="AD399" s="37"/>
      <c r="AE399" s="38"/>
      <c r="AF399" s="38"/>
      <c r="AG399" s="37"/>
      <c r="AH399" s="37"/>
      <c r="AI399" s="37"/>
      <c r="AJ399"/>
      <c r="AK399"/>
      <c r="AL399"/>
    </row>
    <row r="400" spans="28:38" x14ac:dyDescent="0.35">
      <c r="AB400" s="37"/>
      <c r="AC400" s="37"/>
      <c r="AD400" s="37"/>
      <c r="AE400" s="38"/>
      <c r="AF400" s="38"/>
      <c r="AG400" s="37"/>
      <c r="AH400" s="37"/>
      <c r="AI400" s="37"/>
      <c r="AJ400"/>
      <c r="AK400"/>
      <c r="AL400"/>
    </row>
    <row r="401" spans="28:38" x14ac:dyDescent="0.35">
      <c r="AB401" s="37"/>
      <c r="AC401" s="37"/>
      <c r="AD401" s="37"/>
      <c r="AE401" s="38"/>
      <c r="AF401" s="38"/>
      <c r="AG401" s="37"/>
      <c r="AH401" s="37"/>
      <c r="AI401" s="37"/>
      <c r="AJ401"/>
      <c r="AK401"/>
      <c r="AL401"/>
    </row>
    <row r="402" spans="28:38" x14ac:dyDescent="0.35">
      <c r="AB402" s="37"/>
      <c r="AC402" s="37"/>
      <c r="AD402" s="37"/>
      <c r="AE402" s="38"/>
      <c r="AF402" s="38"/>
      <c r="AG402" s="37"/>
      <c r="AH402" s="37"/>
      <c r="AI402" s="37"/>
      <c r="AJ402"/>
      <c r="AK402"/>
      <c r="AL402"/>
    </row>
    <row r="403" spans="28:38" x14ac:dyDescent="0.35">
      <c r="AB403" s="37"/>
      <c r="AC403" s="37"/>
      <c r="AD403" s="37"/>
      <c r="AE403" s="38"/>
      <c r="AF403" s="38"/>
      <c r="AG403" s="37"/>
      <c r="AH403" s="37"/>
      <c r="AI403" s="37"/>
      <c r="AJ403"/>
      <c r="AK403"/>
      <c r="AL403"/>
    </row>
    <row r="404" spans="28:38" x14ac:dyDescent="0.35">
      <c r="AB404" s="37"/>
      <c r="AC404" s="37"/>
      <c r="AD404" s="37"/>
      <c r="AE404" s="38"/>
      <c r="AF404" s="38"/>
      <c r="AG404" s="37"/>
      <c r="AH404" s="37"/>
      <c r="AI404" s="37"/>
      <c r="AJ404"/>
      <c r="AK404"/>
      <c r="AL404"/>
    </row>
    <row r="405" spans="28:38" x14ac:dyDescent="0.35">
      <c r="AB405" s="37"/>
      <c r="AC405" s="37"/>
      <c r="AD405" s="37"/>
      <c r="AE405" s="38"/>
      <c r="AF405" s="38"/>
      <c r="AG405" s="37"/>
      <c r="AH405" s="37"/>
      <c r="AI405" s="37"/>
      <c r="AJ405"/>
      <c r="AK405"/>
      <c r="AL405"/>
    </row>
    <row r="406" spans="28:38" x14ac:dyDescent="0.35">
      <c r="AB406" s="37"/>
      <c r="AC406" s="37"/>
      <c r="AD406" s="37"/>
      <c r="AE406" s="38"/>
      <c r="AF406" s="38"/>
      <c r="AG406" s="37"/>
      <c r="AH406" s="37"/>
      <c r="AI406" s="37"/>
      <c r="AJ406"/>
      <c r="AK406"/>
      <c r="AL406"/>
    </row>
    <row r="407" spans="28:38" x14ac:dyDescent="0.35">
      <c r="AB407" s="37"/>
      <c r="AC407" s="37"/>
      <c r="AD407" s="37"/>
      <c r="AE407" s="38"/>
      <c r="AF407" s="38"/>
      <c r="AG407" s="37"/>
      <c r="AH407" s="37"/>
      <c r="AI407" s="37"/>
      <c r="AJ407"/>
      <c r="AK407"/>
      <c r="AL407"/>
    </row>
    <row r="408" spans="28:38" x14ac:dyDescent="0.35">
      <c r="AB408" s="37"/>
      <c r="AC408" s="37"/>
      <c r="AD408" s="37"/>
      <c r="AE408" s="38"/>
      <c r="AF408" s="38"/>
      <c r="AG408" s="37"/>
      <c r="AH408" s="37"/>
      <c r="AI408" s="37"/>
      <c r="AJ408"/>
      <c r="AK408"/>
      <c r="AL408"/>
    </row>
    <row r="409" spans="28:38" x14ac:dyDescent="0.35">
      <c r="AB409" s="37"/>
      <c r="AC409" s="37"/>
      <c r="AD409" s="37"/>
      <c r="AE409" s="38"/>
      <c r="AF409" s="38"/>
      <c r="AG409" s="37"/>
      <c r="AH409" s="37"/>
      <c r="AI409" s="37"/>
      <c r="AJ409"/>
      <c r="AK409"/>
      <c r="AL409"/>
    </row>
    <row r="410" spans="28:38" x14ac:dyDescent="0.35">
      <c r="AB410" s="37"/>
      <c r="AC410" s="37"/>
      <c r="AD410" s="37"/>
      <c r="AE410" s="38"/>
      <c r="AF410" s="38"/>
      <c r="AG410" s="37"/>
      <c r="AH410" s="37"/>
      <c r="AI410" s="37"/>
      <c r="AJ410"/>
      <c r="AK410"/>
      <c r="AL410"/>
    </row>
    <row r="411" spans="28:38" x14ac:dyDescent="0.35">
      <c r="AB411" s="37"/>
      <c r="AC411" s="37"/>
      <c r="AD411" s="37"/>
      <c r="AE411" s="38"/>
      <c r="AF411" s="38"/>
      <c r="AG411" s="37"/>
      <c r="AH411" s="37"/>
      <c r="AI411" s="37"/>
      <c r="AJ411"/>
      <c r="AK411"/>
      <c r="AL411"/>
    </row>
    <row r="412" spans="28:38" x14ac:dyDescent="0.35">
      <c r="AB412" s="37"/>
      <c r="AC412" s="37"/>
      <c r="AD412" s="37"/>
      <c r="AE412" s="38"/>
      <c r="AF412" s="38"/>
      <c r="AG412" s="37"/>
      <c r="AH412" s="37"/>
      <c r="AI412" s="37"/>
      <c r="AJ412"/>
      <c r="AK412"/>
      <c r="AL412"/>
    </row>
    <row r="413" spans="28:38" x14ac:dyDescent="0.35">
      <c r="AB413" s="37"/>
      <c r="AC413" s="37"/>
      <c r="AD413" s="37"/>
      <c r="AE413" s="38"/>
      <c r="AF413" s="38"/>
      <c r="AG413" s="37"/>
      <c r="AH413" s="37"/>
      <c r="AI413" s="37"/>
      <c r="AJ413"/>
      <c r="AK413"/>
      <c r="AL413"/>
    </row>
    <row r="414" spans="28:38" x14ac:dyDescent="0.35">
      <c r="AB414" s="37"/>
      <c r="AC414" s="37"/>
      <c r="AD414" s="37"/>
      <c r="AE414" s="38"/>
      <c r="AF414" s="38"/>
      <c r="AG414" s="37"/>
      <c r="AH414" s="37"/>
      <c r="AI414" s="37"/>
      <c r="AJ414"/>
      <c r="AK414"/>
      <c r="AL414"/>
    </row>
    <row r="415" spans="28:38" x14ac:dyDescent="0.35">
      <c r="AB415" s="37"/>
      <c r="AC415" s="37"/>
      <c r="AD415" s="37"/>
      <c r="AE415" s="38"/>
      <c r="AF415" s="38"/>
      <c r="AG415" s="37"/>
      <c r="AH415" s="37"/>
      <c r="AI415" s="37"/>
      <c r="AJ415"/>
      <c r="AK415"/>
      <c r="AL415"/>
    </row>
    <row r="416" spans="28:38" x14ac:dyDescent="0.35">
      <c r="AB416" s="37"/>
      <c r="AC416" s="37"/>
      <c r="AD416" s="37"/>
      <c r="AE416" s="38"/>
      <c r="AF416" s="38"/>
      <c r="AG416" s="37"/>
      <c r="AH416" s="37"/>
      <c r="AI416" s="37"/>
      <c r="AJ416"/>
      <c r="AK416"/>
      <c r="AL416"/>
    </row>
    <row r="417" spans="28:38" x14ac:dyDescent="0.35">
      <c r="AB417" s="37"/>
      <c r="AC417" s="37"/>
      <c r="AD417" s="37"/>
      <c r="AE417" s="38"/>
      <c r="AF417" s="38"/>
      <c r="AG417" s="37"/>
      <c r="AH417" s="37"/>
      <c r="AI417" s="37"/>
      <c r="AJ417"/>
      <c r="AK417"/>
      <c r="AL417"/>
    </row>
    <row r="418" spans="28:38" x14ac:dyDescent="0.35">
      <c r="AB418" s="37"/>
      <c r="AC418" s="37"/>
      <c r="AD418" s="37"/>
      <c r="AE418" s="38"/>
      <c r="AF418" s="38"/>
      <c r="AG418" s="37"/>
      <c r="AH418" s="37"/>
      <c r="AI418" s="37"/>
      <c r="AJ418"/>
      <c r="AK418"/>
      <c r="AL418"/>
    </row>
    <row r="419" spans="28:38" x14ac:dyDescent="0.35">
      <c r="AB419" s="37"/>
      <c r="AC419" s="37"/>
      <c r="AD419" s="37"/>
      <c r="AE419" s="38"/>
      <c r="AF419" s="38"/>
      <c r="AG419" s="37"/>
      <c r="AH419" s="37"/>
      <c r="AI419" s="37"/>
      <c r="AJ419"/>
      <c r="AK419"/>
      <c r="AL419"/>
    </row>
    <row r="420" spans="28:38" x14ac:dyDescent="0.35">
      <c r="AB420" s="37"/>
      <c r="AC420" s="37"/>
      <c r="AD420" s="37"/>
      <c r="AE420" s="38"/>
      <c r="AF420" s="38"/>
      <c r="AG420" s="37"/>
      <c r="AH420" s="37"/>
      <c r="AI420" s="37"/>
      <c r="AJ420"/>
      <c r="AK420"/>
      <c r="AL420"/>
    </row>
    <row r="421" spans="28:38" x14ac:dyDescent="0.35">
      <c r="AB421" s="37"/>
      <c r="AC421" s="37"/>
      <c r="AD421" s="37"/>
      <c r="AE421" s="38"/>
      <c r="AF421" s="38"/>
      <c r="AG421" s="37"/>
      <c r="AH421" s="37"/>
      <c r="AI421" s="37"/>
      <c r="AJ421"/>
      <c r="AK421"/>
      <c r="AL421"/>
    </row>
    <row r="422" spans="28:38" x14ac:dyDescent="0.35">
      <c r="AB422" s="37"/>
      <c r="AC422" s="37"/>
      <c r="AD422" s="37"/>
      <c r="AE422" s="38"/>
      <c r="AF422" s="38"/>
      <c r="AG422" s="37"/>
      <c r="AH422" s="37"/>
      <c r="AI422" s="37"/>
      <c r="AJ422"/>
      <c r="AK422"/>
      <c r="AL422"/>
    </row>
    <row r="423" spans="28:38" x14ac:dyDescent="0.35">
      <c r="AB423" s="37"/>
      <c r="AC423" s="37"/>
      <c r="AD423" s="37"/>
      <c r="AE423" s="38"/>
      <c r="AF423" s="38"/>
      <c r="AG423" s="37"/>
      <c r="AH423" s="37"/>
      <c r="AI423" s="37"/>
      <c r="AJ423"/>
      <c r="AK423"/>
      <c r="AL423"/>
    </row>
    <row r="424" spans="28:38" x14ac:dyDescent="0.35">
      <c r="AB424" s="37"/>
      <c r="AC424" s="37"/>
      <c r="AD424" s="37"/>
      <c r="AE424" s="38"/>
      <c r="AF424" s="38"/>
      <c r="AG424" s="37"/>
      <c r="AH424" s="37"/>
      <c r="AI424" s="37"/>
      <c r="AJ424"/>
      <c r="AK424"/>
      <c r="AL424"/>
    </row>
    <row r="425" spans="28:38" x14ac:dyDescent="0.35">
      <c r="AB425" s="37"/>
      <c r="AC425" s="37"/>
      <c r="AD425" s="37"/>
      <c r="AE425" s="38"/>
      <c r="AF425" s="38"/>
      <c r="AG425" s="37"/>
      <c r="AH425" s="37"/>
      <c r="AI425" s="37"/>
      <c r="AJ425"/>
      <c r="AK425"/>
      <c r="AL425"/>
    </row>
    <row r="426" spans="28:38" x14ac:dyDescent="0.35">
      <c r="AB426" s="37"/>
      <c r="AC426" s="37"/>
      <c r="AD426" s="37"/>
      <c r="AE426" s="38"/>
      <c r="AF426" s="38"/>
      <c r="AG426" s="37"/>
      <c r="AH426" s="37"/>
      <c r="AI426" s="37"/>
      <c r="AJ426"/>
      <c r="AK426"/>
      <c r="AL426"/>
    </row>
    <row r="427" spans="28:38" x14ac:dyDescent="0.35">
      <c r="AB427" s="37"/>
      <c r="AC427" s="37"/>
      <c r="AD427" s="37"/>
      <c r="AE427" s="38"/>
      <c r="AF427" s="38"/>
      <c r="AG427" s="37"/>
      <c r="AH427" s="37"/>
      <c r="AI427" s="37"/>
      <c r="AJ427"/>
      <c r="AK427"/>
      <c r="AL427"/>
    </row>
    <row r="428" spans="28:38" x14ac:dyDescent="0.35">
      <c r="AB428" s="37"/>
      <c r="AC428" s="37"/>
      <c r="AD428" s="37"/>
      <c r="AE428" s="38"/>
      <c r="AF428" s="38"/>
      <c r="AG428" s="37"/>
      <c r="AH428" s="37"/>
      <c r="AI428" s="37"/>
      <c r="AJ428"/>
      <c r="AK428"/>
      <c r="AL428"/>
    </row>
    <row r="429" spans="28:38" x14ac:dyDescent="0.35">
      <c r="AB429" s="37"/>
      <c r="AC429" s="37"/>
      <c r="AD429" s="37"/>
      <c r="AE429" s="38"/>
      <c r="AF429" s="38"/>
      <c r="AG429" s="37"/>
      <c r="AH429" s="37"/>
      <c r="AI429" s="37"/>
      <c r="AJ429"/>
      <c r="AK429"/>
      <c r="AL429"/>
    </row>
    <row r="430" spans="28:38" x14ac:dyDescent="0.35">
      <c r="AB430" s="37"/>
      <c r="AC430" s="37"/>
      <c r="AD430" s="37"/>
      <c r="AE430" s="38"/>
      <c r="AF430" s="38"/>
      <c r="AG430" s="37"/>
      <c r="AH430" s="37"/>
      <c r="AI430" s="37"/>
      <c r="AJ430"/>
      <c r="AK430"/>
      <c r="AL430"/>
    </row>
    <row r="431" spans="28:38" x14ac:dyDescent="0.35">
      <c r="AB431" s="37"/>
      <c r="AC431" s="37"/>
      <c r="AD431" s="37"/>
      <c r="AE431" s="38"/>
      <c r="AF431" s="38"/>
      <c r="AG431" s="37"/>
      <c r="AH431" s="37"/>
      <c r="AI431" s="37"/>
      <c r="AJ431"/>
      <c r="AK431"/>
      <c r="AL431"/>
    </row>
    <row r="432" spans="28:38" x14ac:dyDescent="0.35">
      <c r="AB432" s="37"/>
      <c r="AC432" s="37"/>
      <c r="AD432" s="37"/>
      <c r="AE432" s="38"/>
      <c r="AF432" s="38"/>
      <c r="AG432" s="37"/>
      <c r="AH432" s="37"/>
      <c r="AI432" s="37"/>
      <c r="AJ432"/>
      <c r="AK432"/>
      <c r="AL432"/>
    </row>
    <row r="433" spans="28:38" x14ac:dyDescent="0.35">
      <c r="AB433" s="37"/>
      <c r="AC433" s="37"/>
      <c r="AD433" s="37"/>
      <c r="AE433" s="38"/>
      <c r="AF433" s="38"/>
      <c r="AG433" s="37"/>
      <c r="AH433" s="37"/>
      <c r="AI433" s="37"/>
      <c r="AJ433"/>
      <c r="AK433"/>
      <c r="AL433"/>
    </row>
    <row r="434" spans="28:38" x14ac:dyDescent="0.35">
      <c r="AB434" s="37"/>
      <c r="AC434" s="37"/>
      <c r="AD434" s="37"/>
      <c r="AE434" s="38"/>
      <c r="AF434" s="38"/>
      <c r="AG434" s="37"/>
      <c r="AH434" s="37"/>
      <c r="AI434" s="37"/>
      <c r="AJ434"/>
      <c r="AK434"/>
      <c r="AL434"/>
    </row>
    <row r="435" spans="28:38" x14ac:dyDescent="0.35">
      <c r="AB435" s="37"/>
      <c r="AC435" s="37"/>
      <c r="AD435" s="37"/>
      <c r="AE435" s="38"/>
      <c r="AF435" s="38"/>
      <c r="AG435" s="37"/>
      <c r="AH435" s="37"/>
      <c r="AI435" s="37"/>
      <c r="AJ435"/>
      <c r="AK435"/>
      <c r="AL435"/>
    </row>
    <row r="436" spans="28:38" x14ac:dyDescent="0.35">
      <c r="AB436" s="37"/>
      <c r="AC436" s="37"/>
      <c r="AD436" s="37"/>
      <c r="AE436" s="38"/>
      <c r="AF436" s="38"/>
      <c r="AG436" s="37"/>
      <c r="AH436" s="37"/>
      <c r="AI436" s="37"/>
      <c r="AJ436"/>
      <c r="AK436"/>
      <c r="AL436"/>
    </row>
    <row r="437" spans="28:38" x14ac:dyDescent="0.35">
      <c r="AB437" s="37"/>
      <c r="AC437" s="37"/>
      <c r="AD437" s="37"/>
      <c r="AE437" s="38"/>
      <c r="AF437" s="38"/>
      <c r="AG437" s="37"/>
      <c r="AH437" s="37"/>
      <c r="AI437" s="37"/>
      <c r="AJ437"/>
      <c r="AK437"/>
      <c r="AL437"/>
    </row>
    <row r="438" spans="28:38" x14ac:dyDescent="0.35">
      <c r="AB438" s="37"/>
      <c r="AC438" s="37"/>
      <c r="AD438" s="37"/>
      <c r="AE438" s="38"/>
      <c r="AF438" s="38"/>
      <c r="AG438" s="37"/>
      <c r="AH438" s="37"/>
      <c r="AI438" s="37"/>
      <c r="AJ438"/>
      <c r="AK438"/>
      <c r="AL438"/>
    </row>
    <row r="439" spans="28:38" x14ac:dyDescent="0.35">
      <c r="AB439" s="37"/>
      <c r="AC439" s="37"/>
      <c r="AD439" s="37"/>
      <c r="AE439" s="38"/>
      <c r="AF439" s="38"/>
      <c r="AG439" s="37"/>
      <c r="AH439" s="37"/>
      <c r="AI439" s="37"/>
      <c r="AJ439"/>
      <c r="AK439"/>
      <c r="AL439"/>
    </row>
    <row r="440" spans="28:38" x14ac:dyDescent="0.35">
      <c r="AB440" s="37"/>
      <c r="AC440" s="37"/>
      <c r="AD440" s="37"/>
      <c r="AE440" s="38"/>
      <c r="AF440" s="38"/>
      <c r="AG440" s="37"/>
      <c r="AH440" s="37"/>
      <c r="AI440" s="37"/>
      <c r="AJ440"/>
      <c r="AK440"/>
      <c r="AL440"/>
    </row>
    <row r="441" spans="28:38" x14ac:dyDescent="0.35">
      <c r="AB441" s="37"/>
      <c r="AC441" s="37"/>
      <c r="AD441" s="37"/>
      <c r="AE441" s="38"/>
      <c r="AF441" s="38"/>
      <c r="AG441" s="37"/>
      <c r="AH441" s="37"/>
      <c r="AI441" s="37"/>
      <c r="AJ441"/>
      <c r="AK441"/>
      <c r="AL441"/>
    </row>
    <row r="442" spans="28:38" x14ac:dyDescent="0.35">
      <c r="AC442" s="37"/>
      <c r="AD442" s="37"/>
      <c r="AE442" s="38"/>
      <c r="AF442" s="38"/>
      <c r="AG442" s="37"/>
      <c r="AH442" s="37"/>
      <c r="AI442" s="37"/>
      <c r="AJ442"/>
      <c r="AK442"/>
      <c r="AL442"/>
    </row>
    <row r="443" spans="28:38" x14ac:dyDescent="0.35">
      <c r="AC443" s="37"/>
      <c r="AD443" s="37"/>
      <c r="AE443" s="38"/>
      <c r="AF443" s="38"/>
      <c r="AG443" s="37"/>
      <c r="AH443" s="37"/>
      <c r="AI443" s="37"/>
      <c r="AJ443"/>
      <c r="AK443"/>
      <c r="AL443"/>
    </row>
    <row r="444" spans="28:38" x14ac:dyDescent="0.35">
      <c r="AC444" s="37"/>
      <c r="AD444" s="37"/>
      <c r="AE444" s="38"/>
      <c r="AF444" s="38"/>
      <c r="AG444" s="37"/>
      <c r="AH444" s="37"/>
      <c r="AI444" s="37"/>
      <c r="AJ444"/>
      <c r="AK444"/>
      <c r="AL444"/>
    </row>
    <row r="445" spans="28:38" x14ac:dyDescent="0.35">
      <c r="AC445" s="37"/>
      <c r="AD445" s="37"/>
      <c r="AE445" s="38"/>
      <c r="AF445" s="38"/>
      <c r="AG445" s="37"/>
      <c r="AH445" s="37"/>
      <c r="AI445" s="37"/>
      <c r="AJ445"/>
      <c r="AK445"/>
      <c r="AL445"/>
    </row>
    <row r="446" spans="28:38" x14ac:dyDescent="0.35">
      <c r="AC446" s="37"/>
      <c r="AD446" s="37"/>
      <c r="AE446" s="38"/>
      <c r="AF446" s="38"/>
      <c r="AG446" s="37"/>
      <c r="AH446" s="37"/>
      <c r="AI446" s="37"/>
      <c r="AJ446"/>
      <c r="AK446"/>
      <c r="AL446"/>
    </row>
    <row r="447" spans="28:38" x14ac:dyDescent="0.35">
      <c r="AC447" s="37"/>
      <c r="AD447" s="37"/>
      <c r="AE447" s="38"/>
      <c r="AF447" s="38"/>
      <c r="AG447" s="37"/>
      <c r="AH447" s="37"/>
      <c r="AI447" s="37"/>
      <c r="AJ447"/>
      <c r="AK447"/>
      <c r="AL447"/>
    </row>
    <row r="448" spans="28:38" x14ac:dyDescent="0.35">
      <c r="AC448" s="37"/>
      <c r="AD448" s="37"/>
      <c r="AE448" s="38"/>
      <c r="AF448" s="38"/>
      <c r="AG448" s="37"/>
      <c r="AH448" s="37"/>
      <c r="AI448" s="37"/>
      <c r="AJ448"/>
      <c r="AK448"/>
      <c r="AL448"/>
    </row>
    <row r="449" spans="29:38" x14ac:dyDescent="0.35">
      <c r="AC449" s="37"/>
      <c r="AD449" s="37"/>
      <c r="AE449" s="38"/>
      <c r="AF449" s="38"/>
      <c r="AG449" s="37"/>
      <c r="AH449" s="37"/>
      <c r="AI449" s="37"/>
      <c r="AJ449"/>
      <c r="AK449"/>
      <c r="AL449"/>
    </row>
    <row r="450" spans="29:38" x14ac:dyDescent="0.35">
      <c r="AC450" s="37"/>
      <c r="AD450" s="37"/>
      <c r="AE450" s="38"/>
      <c r="AF450" s="38"/>
      <c r="AG450" s="37"/>
      <c r="AH450" s="37"/>
      <c r="AI450" s="37"/>
      <c r="AJ450"/>
      <c r="AK450"/>
      <c r="AL450"/>
    </row>
    <row r="451" spans="29:38" x14ac:dyDescent="0.35">
      <c r="AC451" s="37"/>
      <c r="AD451" s="37"/>
      <c r="AE451" s="38"/>
      <c r="AF451" s="38"/>
      <c r="AG451" s="37"/>
      <c r="AH451" s="37"/>
      <c r="AI451" s="37"/>
      <c r="AJ451"/>
      <c r="AK451"/>
      <c r="AL451"/>
    </row>
    <row r="452" spans="29:38" x14ac:dyDescent="0.35">
      <c r="AC452" s="37"/>
      <c r="AD452" s="37"/>
      <c r="AE452" s="38"/>
      <c r="AF452" s="38"/>
      <c r="AG452" s="37"/>
      <c r="AH452" s="37"/>
      <c r="AI452" s="37"/>
      <c r="AJ452"/>
      <c r="AK452"/>
      <c r="AL452"/>
    </row>
    <row r="453" spans="29:38" x14ac:dyDescent="0.35">
      <c r="AC453" s="37"/>
      <c r="AD453" s="37"/>
      <c r="AE453" s="38"/>
      <c r="AF453" s="38"/>
      <c r="AG453" s="37"/>
      <c r="AH453" s="37"/>
      <c r="AI453" s="37"/>
      <c r="AJ453"/>
      <c r="AK453"/>
      <c r="AL453"/>
    </row>
    <row r="454" spans="29:38" x14ac:dyDescent="0.35">
      <c r="AC454" s="37"/>
      <c r="AD454" s="37"/>
      <c r="AE454" s="38"/>
      <c r="AF454" s="38"/>
      <c r="AG454" s="37"/>
      <c r="AH454" s="37"/>
      <c r="AI454" s="37"/>
      <c r="AJ454"/>
      <c r="AK454"/>
      <c r="AL454"/>
    </row>
    <row r="455" spans="29:38" x14ac:dyDescent="0.35">
      <c r="AC455" s="37"/>
      <c r="AD455" s="37"/>
      <c r="AE455" s="38"/>
      <c r="AF455" s="38"/>
      <c r="AG455" s="37"/>
      <c r="AH455" s="37"/>
      <c r="AI455" s="37"/>
      <c r="AJ455"/>
      <c r="AK455"/>
      <c r="AL455"/>
    </row>
    <row r="456" spans="29:38" x14ac:dyDescent="0.35">
      <c r="AC456" s="37"/>
      <c r="AD456" s="37"/>
      <c r="AE456" s="38"/>
      <c r="AF456" s="38"/>
      <c r="AG456" s="37"/>
      <c r="AH456" s="37"/>
      <c r="AI456" s="37"/>
      <c r="AJ456"/>
      <c r="AK456"/>
      <c r="AL456"/>
    </row>
    <row r="457" spans="29:38" x14ac:dyDescent="0.35">
      <c r="AC457" s="37"/>
      <c r="AD457" s="37"/>
      <c r="AE457" s="38"/>
      <c r="AF457" s="38"/>
      <c r="AG457" s="37"/>
      <c r="AH457" s="37"/>
      <c r="AI457" s="37"/>
      <c r="AJ457"/>
      <c r="AK457"/>
      <c r="AL457"/>
    </row>
    <row r="458" spans="29:38" x14ac:dyDescent="0.35">
      <c r="AC458" s="37"/>
      <c r="AD458" s="37"/>
      <c r="AE458" s="38"/>
      <c r="AF458" s="38"/>
      <c r="AG458" s="37"/>
      <c r="AH458" s="37"/>
      <c r="AI458" s="37"/>
      <c r="AJ458"/>
      <c r="AK458"/>
      <c r="AL458"/>
    </row>
    <row r="459" spans="29:38" x14ac:dyDescent="0.35">
      <c r="AC459" s="37"/>
      <c r="AD459" s="37"/>
      <c r="AE459" s="38"/>
      <c r="AF459" s="38"/>
      <c r="AG459" s="37"/>
      <c r="AH459" s="37"/>
      <c r="AI459" s="37"/>
      <c r="AJ459"/>
      <c r="AK459"/>
      <c r="AL459"/>
    </row>
    <row r="460" spans="29:38" x14ac:dyDescent="0.35">
      <c r="AC460" s="37"/>
      <c r="AD460" s="37"/>
      <c r="AE460" s="38"/>
      <c r="AF460" s="38"/>
      <c r="AG460" s="37"/>
      <c r="AH460" s="37"/>
      <c r="AI460" s="37"/>
      <c r="AJ460"/>
      <c r="AK460"/>
      <c r="AL460"/>
    </row>
    <row r="461" spans="29:38" x14ac:dyDescent="0.35">
      <c r="AC461" s="37"/>
      <c r="AD461" s="37"/>
      <c r="AE461" s="38"/>
      <c r="AF461" s="38"/>
      <c r="AG461" s="37"/>
      <c r="AH461" s="37"/>
      <c r="AI461" s="37"/>
      <c r="AJ461"/>
      <c r="AK461"/>
      <c r="AL461"/>
    </row>
    <row r="462" spans="29:38" x14ac:dyDescent="0.35">
      <c r="AC462" s="37"/>
      <c r="AD462" s="37"/>
      <c r="AE462" s="38"/>
      <c r="AF462" s="38"/>
      <c r="AG462" s="37"/>
      <c r="AH462" s="37"/>
      <c r="AI462" s="37"/>
      <c r="AJ462"/>
      <c r="AK462"/>
      <c r="AL462"/>
    </row>
    <row r="463" spans="29:38" x14ac:dyDescent="0.35">
      <c r="AC463" s="37"/>
      <c r="AD463" s="37"/>
      <c r="AE463" s="38"/>
      <c r="AF463" s="38"/>
      <c r="AG463" s="37"/>
      <c r="AH463" s="37"/>
      <c r="AI463" s="37"/>
      <c r="AJ463"/>
      <c r="AK463"/>
      <c r="AL463"/>
    </row>
    <row r="464" spans="29:38" x14ac:dyDescent="0.35">
      <c r="AC464" s="37"/>
      <c r="AD464" s="37"/>
      <c r="AE464" s="38"/>
      <c r="AF464" s="38"/>
      <c r="AG464" s="37"/>
      <c r="AH464" s="37"/>
      <c r="AI464" s="37"/>
      <c r="AJ464"/>
      <c r="AK464"/>
      <c r="AL464"/>
    </row>
    <row r="465" spans="29:38" x14ac:dyDescent="0.35">
      <c r="AC465" s="37"/>
      <c r="AD465" s="37"/>
      <c r="AE465" s="38"/>
      <c r="AF465" s="38"/>
      <c r="AG465" s="37"/>
      <c r="AH465" s="37"/>
      <c r="AI465" s="37"/>
      <c r="AJ465"/>
      <c r="AK465"/>
      <c r="AL465"/>
    </row>
    <row r="466" spans="29:38" x14ac:dyDescent="0.35">
      <c r="AC466" s="37"/>
      <c r="AD466" s="37"/>
      <c r="AE466" s="38"/>
      <c r="AF466" s="38"/>
      <c r="AG466" s="37"/>
      <c r="AH466" s="37"/>
      <c r="AI466" s="37"/>
      <c r="AJ466"/>
      <c r="AK466"/>
      <c r="AL466"/>
    </row>
    <row r="467" spans="29:38" x14ac:dyDescent="0.35">
      <c r="AC467" s="37"/>
      <c r="AD467" s="37"/>
      <c r="AE467" s="38"/>
      <c r="AF467" s="38"/>
      <c r="AG467" s="37"/>
      <c r="AH467" s="37"/>
      <c r="AI467" s="37"/>
      <c r="AJ467"/>
      <c r="AK467"/>
      <c r="AL467"/>
    </row>
    <row r="468" spans="29:38" x14ac:dyDescent="0.35">
      <c r="AC468" s="37"/>
      <c r="AD468" s="37"/>
      <c r="AE468" s="38"/>
      <c r="AF468" s="38"/>
      <c r="AG468" s="37"/>
      <c r="AH468" s="37"/>
      <c r="AI468" s="37"/>
      <c r="AJ468"/>
      <c r="AK468"/>
      <c r="AL468"/>
    </row>
    <row r="469" spans="29:38" x14ac:dyDescent="0.35">
      <c r="AC469" s="37"/>
      <c r="AD469" s="37"/>
      <c r="AE469" s="38"/>
      <c r="AF469" s="38"/>
      <c r="AG469" s="37"/>
      <c r="AH469" s="37"/>
      <c r="AI469" s="37"/>
      <c r="AJ469"/>
      <c r="AK469"/>
      <c r="AL469"/>
    </row>
    <row r="470" spans="29:38" x14ac:dyDescent="0.35">
      <c r="AC470" s="37"/>
      <c r="AD470" s="37"/>
      <c r="AE470" s="38"/>
      <c r="AF470" s="38"/>
      <c r="AG470" s="37"/>
      <c r="AH470" s="37"/>
      <c r="AI470" s="37"/>
      <c r="AJ470"/>
      <c r="AK470"/>
      <c r="AL470"/>
    </row>
    <row r="471" spans="29:38" x14ac:dyDescent="0.35">
      <c r="AC471" s="37"/>
      <c r="AD471" s="37"/>
      <c r="AE471" s="38"/>
      <c r="AF471" s="38"/>
      <c r="AG471" s="37"/>
      <c r="AH471" s="37"/>
      <c r="AI471" s="37"/>
      <c r="AJ471"/>
      <c r="AK471"/>
      <c r="AL471"/>
    </row>
    <row r="472" spans="29:38" x14ac:dyDescent="0.35">
      <c r="AC472" s="37"/>
      <c r="AD472" s="37"/>
      <c r="AE472" s="38"/>
      <c r="AF472" s="38"/>
      <c r="AG472" s="37"/>
      <c r="AH472" s="37"/>
      <c r="AI472" s="37"/>
      <c r="AJ472"/>
      <c r="AK472"/>
      <c r="AL472"/>
    </row>
    <row r="473" spans="29:38" x14ac:dyDescent="0.35">
      <c r="AC473" s="37"/>
      <c r="AD473" s="37"/>
      <c r="AE473" s="38"/>
      <c r="AF473" s="38"/>
      <c r="AG473" s="37"/>
      <c r="AH473" s="37"/>
      <c r="AI473" s="37"/>
      <c r="AJ473"/>
      <c r="AK473"/>
      <c r="AL473"/>
    </row>
    <row r="474" spans="29:38" x14ac:dyDescent="0.35">
      <c r="AC474" s="37"/>
      <c r="AD474" s="37"/>
      <c r="AE474" s="38"/>
      <c r="AF474" s="38"/>
      <c r="AG474" s="37"/>
      <c r="AH474" s="37"/>
      <c r="AI474" s="37"/>
      <c r="AJ474"/>
      <c r="AK474"/>
      <c r="AL474"/>
    </row>
    <row r="475" spans="29:38" x14ac:dyDescent="0.35">
      <c r="AC475" s="37"/>
      <c r="AD475" s="37"/>
      <c r="AE475" s="38"/>
      <c r="AF475" s="38"/>
      <c r="AG475" s="37"/>
      <c r="AH475" s="37"/>
      <c r="AI475" s="37"/>
      <c r="AJ475"/>
      <c r="AK475"/>
      <c r="AL475"/>
    </row>
    <row r="476" spans="29:38" x14ac:dyDescent="0.35">
      <c r="AC476" s="37"/>
      <c r="AD476" s="37"/>
      <c r="AE476" s="38"/>
      <c r="AF476" s="38"/>
      <c r="AG476" s="37"/>
      <c r="AH476" s="37"/>
      <c r="AI476" s="37"/>
      <c r="AJ476"/>
      <c r="AK476"/>
      <c r="AL476"/>
    </row>
    <row r="477" spans="29:38" x14ac:dyDescent="0.35">
      <c r="AC477" s="37"/>
      <c r="AD477" s="37"/>
      <c r="AE477" s="38"/>
      <c r="AF477" s="38"/>
      <c r="AG477" s="37"/>
      <c r="AH477" s="37"/>
      <c r="AI477" s="37"/>
      <c r="AJ477"/>
      <c r="AK477"/>
      <c r="AL477"/>
    </row>
    <row r="478" spans="29:38" x14ac:dyDescent="0.35">
      <c r="AC478" s="37"/>
      <c r="AD478" s="37"/>
      <c r="AE478" s="38"/>
      <c r="AF478" s="38"/>
      <c r="AG478" s="37"/>
      <c r="AH478" s="37"/>
      <c r="AI478" s="37"/>
      <c r="AJ478"/>
      <c r="AK478"/>
      <c r="AL478"/>
    </row>
    <row r="479" spans="29:38" x14ac:dyDescent="0.35">
      <c r="AC479" s="37"/>
      <c r="AD479" s="37"/>
      <c r="AE479" s="38"/>
      <c r="AF479" s="38"/>
      <c r="AG479" s="37"/>
      <c r="AH479" s="37"/>
      <c r="AI479" s="37"/>
      <c r="AJ479"/>
      <c r="AK479"/>
      <c r="AL479"/>
    </row>
    <row r="480" spans="29:38" x14ac:dyDescent="0.35">
      <c r="AC480" s="37"/>
      <c r="AD480" s="37"/>
      <c r="AE480" s="38"/>
      <c r="AF480" s="38"/>
      <c r="AG480" s="37"/>
      <c r="AH480" s="37"/>
      <c r="AI480" s="37"/>
      <c r="AJ480"/>
      <c r="AK480"/>
      <c r="AL480"/>
    </row>
    <row r="481" spans="29:38" x14ac:dyDescent="0.35">
      <c r="AC481" s="37"/>
      <c r="AD481" s="37"/>
      <c r="AE481" s="38"/>
      <c r="AF481" s="38"/>
      <c r="AG481" s="37"/>
      <c r="AH481" s="37"/>
      <c r="AI481" s="37"/>
      <c r="AJ481"/>
      <c r="AK481"/>
      <c r="AL481"/>
    </row>
    <row r="482" spans="29:38" x14ac:dyDescent="0.35">
      <c r="AC482" s="37"/>
      <c r="AD482" s="37"/>
      <c r="AE482" s="38"/>
      <c r="AF482" s="38"/>
      <c r="AG482" s="37"/>
      <c r="AH482" s="37"/>
      <c r="AI482" s="37"/>
      <c r="AJ482"/>
      <c r="AK482"/>
      <c r="AL482"/>
    </row>
    <row r="483" spans="29:38" x14ac:dyDescent="0.35">
      <c r="AC483" s="37"/>
      <c r="AD483" s="37"/>
      <c r="AE483" s="38"/>
      <c r="AF483" s="38"/>
      <c r="AG483" s="37"/>
      <c r="AH483" s="37"/>
      <c r="AI483" s="37"/>
      <c r="AJ483"/>
      <c r="AK483"/>
      <c r="AL483"/>
    </row>
    <row r="484" spans="29:38" x14ac:dyDescent="0.35">
      <c r="AC484" s="37"/>
      <c r="AD484" s="37"/>
      <c r="AE484" s="38"/>
      <c r="AF484" s="38"/>
      <c r="AG484" s="37"/>
      <c r="AH484" s="37"/>
      <c r="AI484" s="37"/>
      <c r="AJ484"/>
      <c r="AK484"/>
      <c r="AL484"/>
    </row>
    <row r="485" spans="29:38" x14ac:dyDescent="0.35">
      <c r="AC485" s="37"/>
      <c r="AD485" s="37"/>
      <c r="AE485" s="38"/>
      <c r="AF485" s="38"/>
      <c r="AG485" s="37"/>
      <c r="AH485" s="37"/>
      <c r="AI485" s="37"/>
      <c r="AJ485"/>
      <c r="AK485"/>
      <c r="AL485"/>
    </row>
    <row r="486" spans="29:38" x14ac:dyDescent="0.35">
      <c r="AC486" s="37"/>
      <c r="AD486" s="37"/>
      <c r="AE486" s="38"/>
      <c r="AF486" s="38"/>
      <c r="AG486" s="37"/>
      <c r="AH486" s="37"/>
      <c r="AI486" s="37"/>
      <c r="AJ486"/>
      <c r="AK486"/>
      <c r="AL486"/>
    </row>
    <row r="487" spans="29:38" x14ac:dyDescent="0.35">
      <c r="AC487" s="37"/>
      <c r="AD487" s="37"/>
      <c r="AE487" s="38"/>
      <c r="AF487" s="38"/>
      <c r="AG487" s="37"/>
      <c r="AH487" s="37"/>
      <c r="AI487" s="37"/>
      <c r="AJ487"/>
      <c r="AK487"/>
      <c r="AL487"/>
    </row>
    <row r="488" spans="29:38" x14ac:dyDescent="0.35">
      <c r="AC488" s="37"/>
      <c r="AD488" s="37"/>
      <c r="AE488" s="38"/>
      <c r="AF488" s="38"/>
      <c r="AG488" s="37"/>
      <c r="AH488" s="37"/>
      <c r="AI488" s="37"/>
      <c r="AJ488"/>
      <c r="AK488"/>
      <c r="AL488"/>
    </row>
    <row r="489" spans="29:38" x14ac:dyDescent="0.35">
      <c r="AC489" s="37"/>
      <c r="AD489" s="37"/>
      <c r="AE489" s="38"/>
      <c r="AF489" s="38"/>
      <c r="AG489" s="37"/>
      <c r="AH489" s="37"/>
      <c r="AI489" s="37"/>
      <c r="AJ489"/>
      <c r="AK489"/>
      <c r="AL489"/>
    </row>
    <row r="490" spans="29:38" x14ac:dyDescent="0.35">
      <c r="AC490" s="37"/>
      <c r="AD490" s="37"/>
      <c r="AE490" s="38"/>
      <c r="AF490" s="38"/>
      <c r="AG490" s="37"/>
      <c r="AH490" s="37"/>
      <c r="AI490" s="37"/>
      <c r="AJ490"/>
      <c r="AK490"/>
      <c r="AL490"/>
    </row>
    <row r="491" spans="29:38" x14ac:dyDescent="0.35">
      <c r="AC491" s="37"/>
      <c r="AD491" s="37"/>
      <c r="AE491" s="38"/>
      <c r="AF491" s="38"/>
      <c r="AG491" s="37"/>
      <c r="AH491" s="37"/>
      <c r="AI491" s="37"/>
      <c r="AJ491"/>
      <c r="AK491"/>
      <c r="AL491"/>
    </row>
    <row r="492" spans="29:38" x14ac:dyDescent="0.35">
      <c r="AC492" s="37"/>
      <c r="AD492" s="37"/>
      <c r="AE492" s="38"/>
      <c r="AF492" s="38"/>
      <c r="AG492" s="37"/>
      <c r="AH492" s="37"/>
      <c r="AI492" s="37"/>
      <c r="AJ492"/>
      <c r="AK492"/>
      <c r="AL492"/>
    </row>
    <row r="493" spans="29:38" x14ac:dyDescent="0.35">
      <c r="AC493" s="37"/>
      <c r="AD493" s="37"/>
      <c r="AE493" s="38"/>
      <c r="AF493" s="38"/>
      <c r="AG493" s="37"/>
      <c r="AH493" s="37"/>
      <c r="AI493" s="37"/>
      <c r="AJ493"/>
      <c r="AK493"/>
      <c r="AL493"/>
    </row>
    <row r="494" spans="29:38" x14ac:dyDescent="0.35">
      <c r="AC494" s="37"/>
      <c r="AD494" s="37"/>
      <c r="AE494" s="38"/>
      <c r="AF494" s="38"/>
      <c r="AG494" s="37"/>
      <c r="AH494" s="37"/>
      <c r="AI494" s="37"/>
      <c r="AJ494"/>
      <c r="AK494"/>
      <c r="AL494"/>
    </row>
    <row r="495" spans="29:38" x14ac:dyDescent="0.35">
      <c r="AC495" s="37"/>
      <c r="AD495" s="37"/>
      <c r="AE495" s="38"/>
      <c r="AF495" s="38"/>
      <c r="AG495" s="37"/>
      <c r="AH495" s="37"/>
      <c r="AI495" s="37"/>
      <c r="AJ495"/>
      <c r="AK495"/>
      <c r="AL495"/>
    </row>
    <row r="496" spans="29:38" x14ac:dyDescent="0.35">
      <c r="AC496" s="37"/>
      <c r="AD496" s="37"/>
      <c r="AE496" s="38"/>
      <c r="AF496" s="38"/>
      <c r="AG496" s="37"/>
      <c r="AH496" s="37"/>
      <c r="AI496" s="37"/>
      <c r="AJ496"/>
      <c r="AK496"/>
      <c r="AL496"/>
    </row>
    <row r="497" spans="28:38" x14ac:dyDescent="0.35">
      <c r="AC497" s="37"/>
      <c r="AD497" s="37"/>
      <c r="AE497" s="38"/>
      <c r="AF497" s="38"/>
      <c r="AG497" s="37"/>
      <c r="AH497" s="37"/>
      <c r="AI497" s="37"/>
      <c r="AJ497"/>
      <c r="AK497"/>
      <c r="AL497"/>
    </row>
    <row r="498" spans="28:38" x14ac:dyDescent="0.35">
      <c r="AC498" s="37"/>
      <c r="AD498" s="37"/>
      <c r="AE498" s="38"/>
      <c r="AF498" s="38"/>
      <c r="AG498" s="37"/>
      <c r="AH498" s="37"/>
      <c r="AI498" s="37"/>
      <c r="AJ498"/>
      <c r="AK498"/>
      <c r="AL498"/>
    </row>
    <row r="499" spans="28:38" x14ac:dyDescent="0.35">
      <c r="AC499" s="37"/>
      <c r="AD499" s="37"/>
      <c r="AE499" s="38"/>
      <c r="AF499" s="38"/>
      <c r="AG499" s="37"/>
      <c r="AH499" s="37"/>
      <c r="AI499" s="37"/>
      <c r="AJ499"/>
      <c r="AK499"/>
      <c r="AL499"/>
    </row>
    <row r="500" spans="28:38" x14ac:dyDescent="0.35">
      <c r="AC500" s="37"/>
      <c r="AD500" s="37"/>
      <c r="AE500" s="38"/>
      <c r="AF500" s="38"/>
      <c r="AG500" s="37"/>
      <c r="AH500" s="37"/>
      <c r="AI500" s="37"/>
      <c r="AJ500"/>
      <c r="AK500"/>
      <c r="AL500"/>
    </row>
    <row r="501" spans="28:38" x14ac:dyDescent="0.35">
      <c r="AC501" s="37"/>
      <c r="AD501" s="37"/>
      <c r="AE501" s="38"/>
      <c r="AF501" s="38"/>
      <c r="AG501" s="37"/>
      <c r="AH501" s="37"/>
      <c r="AI501" s="37"/>
      <c r="AJ501"/>
      <c r="AK501"/>
      <c r="AL501"/>
    </row>
    <row r="502" spans="28:38" x14ac:dyDescent="0.35">
      <c r="AC502" s="37"/>
      <c r="AD502" s="37"/>
      <c r="AE502" s="38"/>
      <c r="AF502" s="38"/>
      <c r="AG502" s="37"/>
      <c r="AH502" s="37"/>
      <c r="AI502" s="37"/>
      <c r="AJ502"/>
      <c r="AK502"/>
      <c r="AL502"/>
    </row>
    <row r="503" spans="28:38" x14ac:dyDescent="0.35">
      <c r="AC503" s="37"/>
      <c r="AD503" s="37"/>
      <c r="AE503" s="38"/>
      <c r="AF503" s="38"/>
      <c r="AG503" s="37"/>
      <c r="AH503" s="37"/>
      <c r="AI503" s="37"/>
      <c r="AJ503"/>
      <c r="AK503"/>
      <c r="AL503"/>
    </row>
    <row r="504" spans="28:38" x14ac:dyDescent="0.35">
      <c r="AB504" s="37"/>
      <c r="AC504" s="37"/>
      <c r="AD504" s="37"/>
      <c r="AE504" s="38"/>
      <c r="AF504" s="38"/>
      <c r="AG504" s="37"/>
      <c r="AH504" s="37"/>
      <c r="AI504" s="37"/>
      <c r="AJ504"/>
      <c r="AK504"/>
      <c r="AL504"/>
    </row>
    <row r="505" spans="28:38" x14ac:dyDescent="0.35">
      <c r="AB505" s="37"/>
      <c r="AC505" s="37"/>
      <c r="AD505" s="37"/>
      <c r="AE505" s="38"/>
      <c r="AF505" s="38"/>
      <c r="AG505" s="37"/>
      <c r="AH505" s="37"/>
      <c r="AI505" s="37"/>
      <c r="AJ505"/>
      <c r="AK505"/>
      <c r="AL505"/>
    </row>
    <row r="506" spans="28:38" x14ac:dyDescent="0.35">
      <c r="AB506" s="37"/>
      <c r="AC506" s="37"/>
      <c r="AD506" s="37"/>
      <c r="AE506" s="38"/>
      <c r="AF506" s="38"/>
      <c r="AG506" s="37"/>
      <c r="AH506" s="37"/>
      <c r="AI506" s="37"/>
      <c r="AJ506"/>
      <c r="AK506"/>
      <c r="AL506"/>
    </row>
    <row r="507" spans="28:38" x14ac:dyDescent="0.35">
      <c r="AB507" s="37"/>
      <c r="AC507" s="37"/>
      <c r="AD507" s="37"/>
      <c r="AE507" s="38"/>
      <c r="AF507" s="38"/>
      <c r="AG507" s="37"/>
      <c r="AH507" s="37"/>
      <c r="AI507" s="37"/>
      <c r="AJ507"/>
      <c r="AK507"/>
      <c r="AL507"/>
    </row>
    <row r="508" spans="28:38" x14ac:dyDescent="0.35">
      <c r="AB508" s="37"/>
      <c r="AC508" s="37"/>
      <c r="AD508" s="37"/>
      <c r="AE508" s="38"/>
      <c r="AF508" s="38"/>
      <c r="AG508" s="37"/>
      <c r="AH508" s="37"/>
      <c r="AI508" s="37"/>
      <c r="AJ508"/>
      <c r="AK508"/>
      <c r="AL508"/>
    </row>
  </sheetData>
  <sheetProtection algorithmName="SHA-512" hashValue="3rjgvkOdJnWcbwTt0ap8mpR7pKGQB92aOn23lrQbEQFbG6MTWB3RuyOc17q6egk8kGtyVC93UHlOeHKa03LSUg==" saltValue="JuTQI4XieUcQoqE6SIJZEA==" spinCount="100000" sheet="1" objects="1" scenarios="1"/>
  <mergeCells count="9">
    <mergeCell ref="I14:K14"/>
    <mergeCell ref="Q2:S8"/>
    <mergeCell ref="A29:B29"/>
    <mergeCell ref="A25:B25"/>
    <mergeCell ref="A12:D12"/>
    <mergeCell ref="A26:B26"/>
    <mergeCell ref="A27:B27"/>
    <mergeCell ref="A28:B28"/>
    <mergeCell ref="A24:B24"/>
  </mergeCells>
  <phoneticPr fontId="11" type="noConversion"/>
  <conditionalFormatting sqref="N16:N18">
    <cfRule type="expression" dxfId="44" priority="12" stopIfTrue="1">
      <formula>M16=0</formula>
    </cfRule>
  </conditionalFormatting>
  <conditionalFormatting sqref="M16:M18">
    <cfRule type="cellIs" dxfId="43" priority="13" stopIfTrue="1" operator="equal">
      <formula>0</formula>
    </cfRule>
  </conditionalFormatting>
  <conditionalFormatting sqref="K16:K18">
    <cfRule type="cellIs" dxfId="42" priority="11" stopIfTrue="1" operator="equal">
      <formula>0</formula>
    </cfRule>
  </conditionalFormatting>
  <conditionalFormatting sqref="J16:J18">
    <cfRule type="cellIs" dxfId="41" priority="10" stopIfTrue="1" operator="equal">
      <formula>0</formula>
    </cfRule>
  </conditionalFormatting>
  <conditionalFormatting sqref="Q2">
    <cfRule type="containsText" dxfId="40" priority="9" operator="containsText" text="INFORMACION INCOMPLETA, SE DEBERA LLENAR LA INFORMACION REQUERIDA EN LA HOJA DE DATOS DE ESTE COTIZADOR.">
      <formula>NOT(ISERROR(SEARCH("INFORMACION INCOMPLETA, SE DEBERA LLENAR LA INFORMACION REQUERIDA EN LA HOJA DE DATOS DE ESTE COTIZADOR.",Q2)))</formula>
    </cfRule>
  </conditionalFormatting>
  <conditionalFormatting sqref="N19">
    <cfRule type="expression" dxfId="39" priority="7" stopIfTrue="1">
      <formula>M19=0</formula>
    </cfRule>
  </conditionalFormatting>
  <conditionalFormatting sqref="M19">
    <cfRule type="cellIs" dxfId="38" priority="8" stopIfTrue="1" operator="equal">
      <formula>0</formula>
    </cfRule>
  </conditionalFormatting>
  <conditionalFormatting sqref="K19">
    <cfRule type="cellIs" dxfId="37" priority="6" stopIfTrue="1" operator="equal">
      <formula>0</formula>
    </cfRule>
  </conditionalFormatting>
  <conditionalFormatting sqref="J19">
    <cfRule type="cellIs" dxfId="36" priority="5" stopIfTrue="1" operator="equal">
      <formula>0</formula>
    </cfRule>
  </conditionalFormatting>
  <conditionalFormatting sqref="L16:L18">
    <cfRule type="cellIs" dxfId="35" priority="4" stopIfTrue="1" operator="equal">
      <formula>0</formula>
    </cfRule>
  </conditionalFormatting>
  <conditionalFormatting sqref="L19">
    <cfRule type="cellIs" dxfId="34" priority="3" stopIfTrue="1" operator="equal">
      <formula>0</formula>
    </cfRule>
  </conditionalFormatting>
  <conditionalFormatting sqref="K25:L27">
    <cfRule type="cellIs" dxfId="33" priority="2" stopIfTrue="1" operator="equal">
      <formula>0</formula>
    </cfRule>
  </conditionalFormatting>
  <dataValidations disablePrompts="1" count="1">
    <dataValidation type="list" allowBlank="1" showInputMessage="1" showErrorMessage="1" sqref="A27:B27">
      <formula1>"16%"</formula1>
    </dataValidation>
  </dataValidations>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XFD560"/>
  <sheetViews>
    <sheetView windowProtection="1" showGridLines="0" zoomScale="80" zoomScaleNormal="80" zoomScaleSheetLayoutView="75" workbookViewId="0">
      <selection activeCell="I2" sqref="I2"/>
    </sheetView>
  </sheetViews>
  <sheetFormatPr baseColWidth="10" defaultColWidth="0" defaultRowHeight="0" customHeight="1" zeroHeight="1" x14ac:dyDescent="0.25"/>
  <cols>
    <col min="1" max="1" width="2.7265625" style="81" customWidth="1"/>
    <col min="2" max="2" width="12.453125" style="81" customWidth="1"/>
    <col min="3" max="3" width="44" style="81" bestFit="1" customWidth="1"/>
    <col min="4" max="4" width="59.7265625" style="38" customWidth="1"/>
    <col min="5" max="5" width="28" style="38" customWidth="1"/>
    <col min="6" max="6" width="19.1796875" style="81" customWidth="1"/>
    <col min="7" max="7" width="16.1796875" style="81" bestFit="1" customWidth="1"/>
    <col min="8" max="8" width="20" style="81" customWidth="1"/>
    <col min="9" max="9" width="17.1796875" style="82" customWidth="1"/>
    <col min="10" max="10" width="16.81640625" style="82" customWidth="1"/>
    <col min="11" max="11" width="9.453125" style="82" customWidth="1"/>
    <col min="12" max="12" width="2.54296875" style="82" customWidth="1"/>
    <col min="13" max="13" width="9.7265625" style="82" hidden="1" customWidth="1"/>
    <col min="14" max="14" width="11.453125" style="82" hidden="1" customWidth="1"/>
    <col min="15" max="16384" width="11.453125" style="82" hidden="1"/>
  </cols>
  <sheetData>
    <row r="1" spans="1:13" ht="26.25" customHeight="1" x14ac:dyDescent="0.25"/>
    <row r="2" spans="1:13" ht="42.75" customHeight="1" x14ac:dyDescent="0.25">
      <c r="A2" s="82"/>
      <c r="B2" s="82"/>
      <c r="C2" s="82"/>
      <c r="D2" s="82"/>
      <c r="E2" s="1"/>
      <c r="F2" s="1"/>
      <c r="G2" s="82"/>
      <c r="H2" s="53" t="s">
        <v>88</v>
      </c>
      <c r="I2" s="63">
        <f>DATOS!I2</f>
        <v>0</v>
      </c>
    </row>
    <row r="3" spans="1:13" ht="25.5" customHeight="1" x14ac:dyDescent="0.25">
      <c r="A3" s="82"/>
      <c r="B3" s="82"/>
      <c r="C3" s="82"/>
      <c r="D3" s="82"/>
      <c r="E3" s="1"/>
      <c r="F3" s="313" t="s">
        <v>165</v>
      </c>
      <c r="G3" s="313"/>
      <c r="H3" s="313"/>
      <c r="I3" s="313"/>
      <c r="J3" s="313"/>
      <c r="K3" s="180"/>
      <c r="L3" s="180"/>
    </row>
    <row r="4" spans="1:13" ht="12.5" x14ac:dyDescent="0.25">
      <c r="A4" s="82"/>
      <c r="B4" s="82"/>
      <c r="C4" s="82"/>
      <c r="D4" s="82"/>
      <c r="E4" s="1"/>
      <c r="F4" s="36"/>
      <c r="G4" s="83"/>
      <c r="H4" s="83"/>
      <c r="I4" s="81"/>
      <c r="J4" s="81"/>
      <c r="K4" s="81"/>
      <c r="L4" s="81"/>
      <c r="M4" s="81"/>
    </row>
    <row r="5" spans="1:13" ht="13" x14ac:dyDescent="0.3">
      <c r="A5" s="82"/>
      <c r="B5" s="82"/>
      <c r="C5" s="82"/>
      <c r="D5" s="82"/>
      <c r="E5" s="1"/>
      <c r="F5" s="36"/>
      <c r="G5" s="83"/>
      <c r="H5" s="83"/>
      <c r="I5" s="314">
        <f ca="1">TODAY()</f>
        <v>44439</v>
      </c>
      <c r="J5" s="314"/>
      <c r="K5" s="181"/>
      <c r="L5" s="181"/>
      <c r="M5" s="81"/>
    </row>
    <row r="6" spans="1:13" s="81" customFormat="1" ht="13.5" thickBot="1" x14ac:dyDescent="0.35">
      <c r="B6" s="296" t="s">
        <v>100</v>
      </c>
      <c r="C6" s="296"/>
      <c r="D6" s="179"/>
      <c r="E6" s="38"/>
      <c r="F6" s="38"/>
    </row>
    <row r="7" spans="1:13" s="81" customFormat="1" ht="16.5" customHeight="1" x14ac:dyDescent="0.25">
      <c r="B7" s="321" t="str">
        <f>IF(DATOS!$E$6="NOMBRE DEL CONTRATANTE","Ingrese el Nombre del Contratante",DATOS!$E$6)</f>
        <v>SEGUROS BANORTE</v>
      </c>
      <c r="C7" s="322"/>
      <c r="D7" s="322"/>
      <c r="E7" s="322"/>
      <c r="F7" s="322"/>
      <c r="G7" s="322"/>
      <c r="H7" s="322"/>
      <c r="I7" s="323"/>
      <c r="J7" s="191"/>
      <c r="K7" s="191"/>
    </row>
    <row r="8" spans="1:13" s="81" customFormat="1" ht="14.25" customHeight="1" thickBot="1" x14ac:dyDescent="0.3">
      <c r="B8" s="324"/>
      <c r="C8" s="325"/>
      <c r="D8" s="325"/>
      <c r="E8" s="325"/>
      <c r="F8" s="325"/>
      <c r="G8" s="325"/>
      <c r="H8" s="325"/>
      <c r="I8" s="326"/>
      <c r="J8" s="191"/>
      <c r="K8" s="191"/>
    </row>
    <row r="9" spans="1:13" s="81" customFormat="1" ht="13" x14ac:dyDescent="0.25">
      <c r="D9" s="38"/>
      <c r="E9" s="38"/>
      <c r="I9" s="84"/>
      <c r="J9" s="84"/>
      <c r="K9" s="84"/>
    </row>
    <row r="10" spans="1:13" s="81" customFormat="1" ht="13.5" thickBot="1" x14ac:dyDescent="0.35">
      <c r="B10" s="296" t="s">
        <v>101</v>
      </c>
      <c r="C10" s="296"/>
      <c r="D10" s="38"/>
      <c r="E10" s="38"/>
    </row>
    <row r="11" spans="1:13" s="81" customFormat="1" ht="12.75" customHeight="1" x14ac:dyDescent="0.25">
      <c r="B11" s="315" t="s">
        <v>39</v>
      </c>
      <c r="C11" s="316"/>
      <c r="D11" s="317"/>
      <c r="E11" s="317"/>
      <c r="F11" s="318"/>
    </row>
    <row r="12" spans="1:13" s="81" customFormat="1" ht="12.75" customHeight="1" x14ac:dyDescent="0.25">
      <c r="B12" s="311" t="s">
        <v>0</v>
      </c>
      <c r="C12" s="312"/>
      <c r="D12" s="188">
        <f>+IF(DATOS!E10="Anual",Calculo!K25,IF(DATOS!E10="Semestral",Calculo!K26,Calculo!K27))</f>
        <v>44378</v>
      </c>
      <c r="E12" s="188">
        <f>+IF(DATOS!E10="Anual",Calculo!L25,IF(DATOS!E10="Semestral",Calculo!L26,Calculo!L27))</f>
        <v>44743</v>
      </c>
      <c r="F12" s="187"/>
      <c r="G12" s="149"/>
    </row>
    <row r="13" spans="1:13" s="81" customFormat="1" ht="12.75" customHeight="1" x14ac:dyDescent="0.25">
      <c r="B13" s="319" t="s">
        <v>50</v>
      </c>
      <c r="C13" s="320"/>
      <c r="D13" s="327">
        <f>IF(DATOS!$E$8="","Ingresar el numero de alumnos",DATOS!$E$8)</f>
        <v>500</v>
      </c>
      <c r="E13" s="327"/>
      <c r="F13" s="328"/>
      <c r="G13" s="149"/>
    </row>
    <row r="14" spans="1:13" s="81" customFormat="1" ht="12.75" customHeight="1" x14ac:dyDescent="0.25">
      <c r="B14" s="311" t="s">
        <v>1</v>
      </c>
      <c r="C14" s="312"/>
      <c r="D14" s="312">
        <v>30069</v>
      </c>
      <c r="E14" s="312"/>
      <c r="F14" s="329"/>
      <c r="G14" s="150"/>
    </row>
    <row r="15" spans="1:13" s="81" customFormat="1" ht="13" x14ac:dyDescent="0.25">
      <c r="B15" s="319" t="s">
        <v>2</v>
      </c>
      <c r="C15" s="320"/>
      <c r="D15" s="285" t="s">
        <v>3</v>
      </c>
      <c r="E15" s="285"/>
      <c r="F15" s="286"/>
      <c r="I15" s="199"/>
      <c r="J15" s="199"/>
    </row>
    <row r="16" spans="1:13" s="81" customFormat="1" ht="13.5" thickBot="1" x14ac:dyDescent="0.3">
      <c r="B16" s="287" t="s">
        <v>52</v>
      </c>
      <c r="C16" s="288"/>
      <c r="D16" s="292">
        <f>IF(DATOS!E20=0," ",IF(DATOS!$E$22="","Ingresar Deducible en Reembolso de G.M.",IF(DATOS!$E$22="DEDUCIBLE EN REEMBOLSO DE GASTOS MÉDICOS","Ingresar Deducible en Reembolso de G.M.",DATOS!$E$22)))</f>
        <v>100</v>
      </c>
      <c r="E16" s="292"/>
      <c r="F16" s="293"/>
      <c r="G16" s="85"/>
    </row>
    <row r="17" spans="2:16384" s="81" customFormat="1" ht="12.5" x14ac:dyDescent="0.25">
      <c r="B17" s="39"/>
      <c r="C17" s="39"/>
      <c r="D17" s="151"/>
      <c r="E17" s="151"/>
      <c r="F17" s="39"/>
    </row>
    <row r="18" spans="2:16384" s="81" customFormat="1" ht="26.5" thickBot="1" x14ac:dyDescent="0.35">
      <c r="B18" s="152" t="s">
        <v>4</v>
      </c>
      <c r="C18" s="153" t="s">
        <v>5</v>
      </c>
      <c r="D18" s="153" t="s">
        <v>6</v>
      </c>
      <c r="E18" s="153" t="s">
        <v>7</v>
      </c>
      <c r="F18" s="153" t="s">
        <v>8</v>
      </c>
      <c r="G18" s="153" t="s">
        <v>9</v>
      </c>
      <c r="H18" s="154" t="s">
        <v>10</v>
      </c>
      <c r="I18" s="199"/>
      <c r="L18" s="86"/>
    </row>
    <row r="19" spans="2:16384" s="81" customFormat="1" ht="13" x14ac:dyDescent="0.3">
      <c r="B19" s="158" t="s">
        <v>13</v>
      </c>
      <c r="C19" s="159" t="s">
        <v>14</v>
      </c>
      <c r="D19" s="160" t="s">
        <v>55</v>
      </c>
      <c r="E19" s="160" t="s">
        <v>54</v>
      </c>
      <c r="F19" s="161">
        <f>IF(DATOS!$E$14="SUMA ASEGURADA MUERTE ACCIDENTAL","",DATOS!E14)</f>
        <v>200000</v>
      </c>
      <c r="G19" s="162">
        <f>D13</f>
        <v>500</v>
      </c>
      <c r="H19" s="163">
        <f>IFERROR(G19*F19,"")</f>
        <v>100000000</v>
      </c>
      <c r="I19" s="206"/>
      <c r="J19" s="38"/>
      <c r="K19" s="38"/>
      <c r="L19" s="87"/>
    </row>
    <row r="20" spans="2:16384" s="81" customFormat="1" ht="13.5" customHeight="1" x14ac:dyDescent="0.3">
      <c r="B20" s="164" t="s">
        <v>57</v>
      </c>
      <c r="C20" s="105" t="str">
        <f>"2 Pérdidas Orgánicas"&amp;" "&amp;DATOS!E16</f>
        <v>2 Pérdidas Orgánicas A</v>
      </c>
      <c r="D20" s="106" t="s">
        <v>55</v>
      </c>
      <c r="E20" s="106" t="s">
        <v>54</v>
      </c>
      <c r="F20" s="107">
        <f>IF(DATOS!$E$18="SUMA ASEGURADA PARA PÉRDIDAS ORGÁNICAS","",DATOS!$E$18)</f>
        <v>200000</v>
      </c>
      <c r="G20" s="108">
        <f>G19</f>
        <v>500</v>
      </c>
      <c r="H20" s="165">
        <f>IFERROR(F20*G20,"")</f>
        <v>100000000</v>
      </c>
      <c r="I20" s="206"/>
      <c r="J20" s="38"/>
      <c r="K20" s="38"/>
      <c r="L20" s="88"/>
    </row>
    <row r="21" spans="2:16384" s="81" customFormat="1" ht="13.5" thickBot="1" x14ac:dyDescent="0.35">
      <c r="B21" s="166" t="s">
        <v>16</v>
      </c>
      <c r="C21" s="167" t="s">
        <v>99</v>
      </c>
      <c r="D21" s="168" t="s">
        <v>55</v>
      </c>
      <c r="E21" s="168" t="s">
        <v>54</v>
      </c>
      <c r="F21" s="169">
        <f>IFERROR(IF(DATOS!$E$20&gt;$F$19*0.5,"S.A. INVALIDA",DATOS!$E$20),"")</f>
        <v>25000</v>
      </c>
      <c r="G21" s="170">
        <f>G20</f>
        <v>500</v>
      </c>
      <c r="H21" s="171">
        <f>IFERROR(IF(F21&gt;(F19*0.5),"S.A  INVALIDA",G21*F21),"")</f>
        <v>12500000</v>
      </c>
      <c r="I21" s="206"/>
      <c r="J21" s="38"/>
      <c r="K21" s="38"/>
      <c r="L21" s="89"/>
    </row>
    <row r="22" spans="2:16384" s="81" customFormat="1" ht="6.75" customHeight="1" x14ac:dyDescent="0.3">
      <c r="B22" s="39"/>
      <c r="C22" s="39"/>
      <c r="D22" s="155"/>
      <c r="E22" s="155"/>
      <c r="F22" s="90"/>
      <c r="G22" s="156"/>
      <c r="H22" s="157"/>
      <c r="L22" s="89"/>
      <c r="M22" s="38"/>
    </row>
    <row r="23" spans="2:16384" s="81" customFormat="1" ht="13.5" hidden="1" thickBot="1" x14ac:dyDescent="0.35">
      <c r="B23" s="174" t="s">
        <v>83</v>
      </c>
      <c r="C23" s="175" t="s">
        <v>84</v>
      </c>
      <c r="D23" s="294" t="s">
        <v>158</v>
      </c>
      <c r="E23" s="295"/>
      <c r="F23" s="90"/>
      <c r="I23" s="199"/>
      <c r="J23" s="199"/>
      <c r="K23" s="199"/>
    </row>
    <row r="24" spans="2:16384" s="81" customFormat="1" ht="13" x14ac:dyDescent="0.3">
      <c r="B24" s="39"/>
      <c r="C24" s="39"/>
      <c r="D24" s="90"/>
      <c r="E24" s="90"/>
      <c r="I24" s="199"/>
      <c r="J24" s="199"/>
    </row>
    <row r="25" spans="2:16384" s="81" customFormat="1" ht="28.5" customHeight="1" thickBot="1" x14ac:dyDescent="0.35">
      <c r="B25" s="296" t="s">
        <v>102</v>
      </c>
      <c r="C25" s="296"/>
      <c r="D25" s="195"/>
      <c r="F25" s="299" t="s">
        <v>132</v>
      </c>
      <c r="G25" s="300"/>
      <c r="H25" s="193" t="s">
        <v>133</v>
      </c>
      <c r="I25" s="193" t="s">
        <v>134</v>
      </c>
      <c r="J25" s="193" t="s">
        <v>135</v>
      </c>
    </row>
    <row r="26" spans="2:16384" s="81" customFormat="1" ht="14" x14ac:dyDescent="0.25">
      <c r="B26" s="309" t="s">
        <v>17</v>
      </c>
      <c r="C26" s="310"/>
      <c r="D26" s="172">
        <f>Calculo!C24</f>
        <v>179890</v>
      </c>
      <c r="F26" s="194" t="s">
        <v>136</v>
      </c>
      <c r="G26" s="189"/>
      <c r="H26" s="196">
        <f>+D30</f>
        <v>208904.4</v>
      </c>
      <c r="I26" s="197">
        <v>0</v>
      </c>
      <c r="J26" s="196">
        <f>+I26+H26</f>
        <v>208904.4</v>
      </c>
    </row>
    <row r="27" spans="2:16384" s="81" customFormat="1" ht="14" x14ac:dyDescent="0.25">
      <c r="B27" s="291" t="s">
        <v>114</v>
      </c>
      <c r="C27" s="274"/>
      <c r="D27" s="173">
        <f>D26/D13</f>
        <v>359.78</v>
      </c>
      <c r="F27" s="194" t="s">
        <v>166</v>
      </c>
      <c r="G27" s="189"/>
      <c r="H27" s="197">
        <f>IF(J26&lt;1000,"",(D26/2*(1+4.35%)+D28)*1.16)</f>
        <v>109106.82470000001</v>
      </c>
      <c r="I27" s="197">
        <f>IF(J26&lt;1000,"",(D26/2*(1+4.35%))*1.16)</f>
        <v>108874.82470000001</v>
      </c>
      <c r="J27" s="196">
        <f>IFERROR(I27+H27,"")</f>
        <v>217981.64940000002</v>
      </c>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c r="BD27" s="98"/>
      <c r="BE27" s="98"/>
      <c r="BF27" s="98"/>
      <c r="BG27" s="98"/>
      <c r="BH27" s="98"/>
      <c r="BI27" s="98"/>
      <c r="BJ27" s="98"/>
      <c r="BK27" s="98"/>
      <c r="BL27" s="98"/>
      <c r="BM27" s="98"/>
      <c r="BN27" s="98"/>
      <c r="BO27" s="98"/>
      <c r="BP27" s="98"/>
      <c r="BQ27" s="98"/>
      <c r="BR27" s="98"/>
      <c r="BS27" s="98"/>
      <c r="BT27" s="98"/>
      <c r="BU27" s="98"/>
      <c r="BV27" s="98"/>
      <c r="BW27" s="98"/>
      <c r="BX27" s="98"/>
      <c r="BY27" s="98"/>
      <c r="BZ27" s="98"/>
      <c r="CA27" s="98"/>
      <c r="CB27" s="98"/>
      <c r="CC27" s="98"/>
      <c r="CD27" s="98"/>
      <c r="CE27" s="98"/>
      <c r="CF27" s="98"/>
      <c r="CG27" s="98"/>
      <c r="CH27" s="98"/>
      <c r="CI27" s="98"/>
      <c r="CJ27" s="98"/>
      <c r="CK27" s="98"/>
      <c r="CL27" s="98"/>
      <c r="CM27" s="98"/>
      <c r="CN27" s="98"/>
      <c r="CO27" s="98"/>
      <c r="CP27" s="98"/>
      <c r="CQ27" s="98"/>
      <c r="CR27" s="98"/>
      <c r="CS27" s="98"/>
      <c r="CT27" s="98"/>
      <c r="CU27" s="98"/>
      <c r="CV27" s="98"/>
      <c r="CW27" s="98"/>
      <c r="CX27" s="98"/>
      <c r="CY27" s="98"/>
      <c r="CZ27" s="98"/>
      <c r="DA27" s="98"/>
      <c r="DB27" s="98"/>
      <c r="DC27" s="98"/>
      <c r="DD27" s="98"/>
      <c r="DE27" s="98"/>
      <c r="DF27" s="98"/>
      <c r="DG27" s="98"/>
      <c r="DH27" s="98"/>
      <c r="DI27" s="98"/>
      <c r="DJ27" s="98"/>
      <c r="DK27" s="98"/>
      <c r="DL27" s="98"/>
      <c r="DM27" s="98"/>
      <c r="DN27" s="98"/>
      <c r="DO27" s="98"/>
      <c r="DP27" s="98"/>
      <c r="DQ27" s="98"/>
      <c r="DR27" s="98"/>
      <c r="DS27" s="98"/>
      <c r="DT27" s="98"/>
      <c r="DU27" s="98"/>
      <c r="DV27" s="98"/>
      <c r="DW27" s="98"/>
      <c r="DX27" s="98"/>
      <c r="DY27" s="98"/>
      <c r="DZ27" s="98"/>
      <c r="EA27" s="98"/>
      <c r="EB27" s="98"/>
      <c r="EC27" s="98"/>
      <c r="ED27" s="98"/>
      <c r="EE27" s="98"/>
      <c r="EF27" s="98"/>
      <c r="EG27" s="98"/>
      <c r="EH27" s="98"/>
      <c r="EI27" s="98"/>
      <c r="EJ27" s="98"/>
      <c r="EK27" s="98"/>
      <c r="EL27" s="98"/>
      <c r="EM27" s="98"/>
      <c r="EN27" s="98"/>
      <c r="EO27" s="98"/>
      <c r="EP27" s="98"/>
      <c r="EQ27" s="98"/>
      <c r="ER27" s="98"/>
      <c r="ES27" s="98"/>
      <c r="ET27" s="98"/>
      <c r="EU27" s="98"/>
      <c r="EV27" s="98"/>
      <c r="EW27" s="98"/>
      <c r="EX27" s="98"/>
      <c r="EY27" s="98"/>
      <c r="EZ27" s="98"/>
      <c r="FA27" s="98"/>
      <c r="FB27" s="98"/>
      <c r="FC27" s="98"/>
      <c r="FD27" s="98"/>
      <c r="FE27" s="98"/>
      <c r="FF27" s="98"/>
      <c r="FG27" s="98"/>
      <c r="FH27" s="98"/>
      <c r="FI27" s="98"/>
      <c r="FJ27" s="98"/>
      <c r="FK27" s="98"/>
      <c r="FL27" s="98"/>
      <c r="FM27" s="98"/>
      <c r="FN27" s="98"/>
      <c r="FO27" s="98"/>
      <c r="FP27" s="98"/>
      <c r="FQ27" s="98"/>
      <c r="FR27" s="98"/>
      <c r="FS27" s="98"/>
      <c r="FT27" s="98"/>
      <c r="FU27" s="98"/>
      <c r="FV27" s="98"/>
      <c r="FW27" s="98"/>
      <c r="FX27" s="98"/>
      <c r="FY27" s="98"/>
      <c r="FZ27" s="98"/>
      <c r="GA27" s="98"/>
      <c r="GB27" s="98"/>
      <c r="GC27" s="98"/>
      <c r="GD27" s="98"/>
      <c r="GE27" s="98"/>
      <c r="GF27" s="98"/>
      <c r="GG27" s="98"/>
      <c r="GH27" s="98"/>
      <c r="GI27" s="98"/>
      <c r="GJ27" s="98"/>
      <c r="GK27" s="98"/>
      <c r="GL27" s="98"/>
      <c r="GM27" s="98"/>
      <c r="GN27" s="98"/>
      <c r="GO27" s="98"/>
      <c r="GP27" s="98"/>
      <c r="GQ27" s="98"/>
      <c r="GR27" s="98"/>
      <c r="GS27" s="98"/>
      <c r="GT27" s="98"/>
      <c r="GU27" s="98"/>
      <c r="GV27" s="98"/>
      <c r="GW27" s="98"/>
      <c r="GX27" s="98"/>
      <c r="GY27" s="98"/>
      <c r="GZ27" s="98"/>
      <c r="HA27" s="98"/>
      <c r="HB27" s="98"/>
      <c r="HC27" s="98"/>
      <c r="HD27" s="98"/>
      <c r="HE27" s="98"/>
      <c r="HF27" s="98"/>
      <c r="HG27" s="98"/>
      <c r="HH27" s="98"/>
      <c r="HI27" s="98"/>
      <c r="HJ27" s="98"/>
      <c r="HK27" s="98"/>
      <c r="HL27" s="98"/>
      <c r="HM27" s="98"/>
      <c r="HN27" s="98"/>
      <c r="HO27" s="98"/>
      <c r="HP27" s="98"/>
      <c r="HQ27" s="98"/>
      <c r="HR27" s="98"/>
      <c r="HS27" s="98"/>
      <c r="HT27" s="98"/>
      <c r="HU27" s="98"/>
      <c r="HV27" s="98"/>
      <c r="HW27" s="98"/>
      <c r="HX27" s="98"/>
      <c r="HY27" s="98"/>
      <c r="HZ27" s="98"/>
      <c r="IA27" s="98"/>
      <c r="IB27" s="98"/>
      <c r="IC27" s="98"/>
      <c r="ID27" s="98"/>
      <c r="IE27" s="98"/>
      <c r="IF27" s="98"/>
      <c r="IG27" s="98"/>
      <c r="IH27" s="98"/>
      <c r="II27" s="98"/>
      <c r="IJ27" s="98"/>
      <c r="IK27" s="98"/>
      <c r="IL27" s="98"/>
      <c r="IM27" s="98"/>
      <c r="IN27" s="98"/>
      <c r="IO27" s="98"/>
      <c r="IP27" s="98"/>
      <c r="IQ27" s="98"/>
      <c r="IR27" s="98"/>
      <c r="IS27" s="98"/>
      <c r="IT27" s="98"/>
      <c r="IU27" s="98"/>
      <c r="IV27" s="98"/>
      <c r="IW27" s="98"/>
      <c r="IX27" s="98"/>
      <c r="IY27" s="98"/>
      <c r="IZ27" s="98"/>
      <c r="JA27" s="98"/>
      <c r="JB27" s="98"/>
      <c r="JC27" s="98"/>
      <c r="JD27" s="98"/>
      <c r="JE27" s="98"/>
      <c r="JF27" s="98"/>
      <c r="JG27" s="98"/>
      <c r="JH27" s="98"/>
      <c r="JI27" s="98"/>
      <c r="JJ27" s="98"/>
      <c r="JK27" s="98"/>
      <c r="JL27" s="98"/>
      <c r="JM27" s="98"/>
      <c r="JN27" s="98"/>
      <c r="JO27" s="98"/>
      <c r="JP27" s="98"/>
      <c r="JQ27" s="98"/>
      <c r="JR27" s="98"/>
      <c r="JS27" s="98"/>
      <c r="JT27" s="98"/>
      <c r="JU27" s="98"/>
      <c r="JV27" s="98"/>
      <c r="JW27" s="98"/>
      <c r="JX27" s="98"/>
      <c r="JY27" s="98"/>
      <c r="JZ27" s="98"/>
      <c r="KA27" s="98"/>
      <c r="KB27" s="98"/>
      <c r="KC27" s="98"/>
      <c r="KD27" s="98"/>
      <c r="KE27" s="98"/>
      <c r="KF27" s="98"/>
      <c r="KG27" s="98"/>
      <c r="KH27" s="98"/>
      <c r="KI27" s="98"/>
      <c r="KJ27" s="98"/>
      <c r="KK27" s="98"/>
      <c r="KL27" s="98"/>
      <c r="KM27" s="98"/>
      <c r="KN27" s="98"/>
      <c r="KO27" s="98"/>
      <c r="KP27" s="98"/>
      <c r="KQ27" s="98"/>
      <c r="KR27" s="98"/>
      <c r="KS27" s="98"/>
      <c r="KT27" s="98"/>
      <c r="KU27" s="98"/>
      <c r="KV27" s="98"/>
      <c r="KW27" s="98"/>
      <c r="KX27" s="98"/>
      <c r="KY27" s="98"/>
      <c r="KZ27" s="98"/>
      <c r="LA27" s="98"/>
      <c r="LB27" s="98"/>
      <c r="LC27" s="98"/>
      <c r="LD27" s="98"/>
      <c r="LE27" s="98"/>
      <c r="LF27" s="98"/>
      <c r="LG27" s="98"/>
      <c r="LH27" s="98"/>
      <c r="LI27" s="98"/>
      <c r="LJ27" s="98"/>
      <c r="LK27" s="98"/>
      <c r="LL27" s="98"/>
      <c r="LM27" s="98"/>
      <c r="LN27" s="98"/>
      <c r="LO27" s="98"/>
      <c r="LP27" s="98"/>
      <c r="LQ27" s="98"/>
      <c r="LR27" s="98"/>
      <c r="LS27" s="98"/>
      <c r="LT27" s="98"/>
      <c r="LU27" s="98"/>
      <c r="LV27" s="98"/>
      <c r="LW27" s="98"/>
      <c r="LX27" s="98"/>
      <c r="LY27" s="98"/>
      <c r="LZ27" s="98"/>
      <c r="MA27" s="98"/>
      <c r="MB27" s="98"/>
      <c r="MC27" s="98"/>
      <c r="MD27" s="98"/>
      <c r="ME27" s="98"/>
      <c r="MF27" s="98"/>
      <c r="MG27" s="98"/>
      <c r="MH27" s="98"/>
      <c r="MI27" s="98"/>
      <c r="MJ27" s="98"/>
      <c r="MK27" s="98"/>
      <c r="ML27" s="98"/>
      <c r="MM27" s="98"/>
      <c r="MN27" s="98"/>
      <c r="MO27" s="98"/>
      <c r="MP27" s="98"/>
      <c r="MQ27" s="98"/>
      <c r="MR27" s="98"/>
      <c r="MS27" s="98"/>
      <c r="MT27" s="98"/>
      <c r="MU27" s="98"/>
      <c r="MV27" s="98"/>
      <c r="MW27" s="98"/>
      <c r="MX27" s="98"/>
      <c r="MY27" s="98"/>
      <c r="MZ27" s="98"/>
      <c r="NA27" s="98"/>
      <c r="NB27" s="98"/>
      <c r="NC27" s="98"/>
      <c r="ND27" s="98"/>
      <c r="NE27" s="98"/>
      <c r="NF27" s="98"/>
      <c r="NG27" s="98"/>
      <c r="NH27" s="98"/>
      <c r="NI27" s="98"/>
      <c r="NJ27" s="98"/>
      <c r="NK27" s="98"/>
      <c r="NL27" s="98"/>
      <c r="NM27" s="98"/>
      <c r="NN27" s="98"/>
      <c r="NO27" s="98"/>
      <c r="NP27" s="98"/>
      <c r="NQ27" s="98"/>
      <c r="NR27" s="98"/>
      <c r="NS27" s="98"/>
      <c r="NT27" s="98"/>
      <c r="NU27" s="98"/>
      <c r="NV27" s="98"/>
      <c r="NW27" s="98"/>
      <c r="NX27" s="98"/>
      <c r="NY27" s="98"/>
      <c r="NZ27" s="98"/>
      <c r="OA27" s="98"/>
      <c r="OB27" s="98"/>
      <c r="OC27" s="98"/>
      <c r="OD27" s="98"/>
      <c r="OE27" s="98"/>
      <c r="OF27" s="98"/>
      <c r="OG27" s="98"/>
      <c r="OH27" s="98"/>
      <c r="OI27" s="98"/>
      <c r="OJ27" s="98"/>
      <c r="OK27" s="98"/>
      <c r="OL27" s="98"/>
      <c r="OM27" s="98"/>
      <c r="ON27" s="98"/>
      <c r="OO27" s="98"/>
      <c r="OP27" s="98"/>
      <c r="OQ27" s="98"/>
      <c r="OR27" s="98"/>
      <c r="OS27" s="98"/>
      <c r="OT27" s="98"/>
      <c r="OU27" s="98"/>
      <c r="OV27" s="98"/>
      <c r="OW27" s="98"/>
      <c r="OX27" s="98"/>
      <c r="OY27" s="98"/>
      <c r="OZ27" s="98"/>
      <c r="PA27" s="98"/>
      <c r="PB27" s="98"/>
      <c r="PC27" s="98"/>
      <c r="PD27" s="98"/>
      <c r="PE27" s="98"/>
      <c r="PF27" s="98"/>
      <c r="PG27" s="98"/>
      <c r="PH27" s="98"/>
      <c r="PI27" s="98"/>
      <c r="PJ27" s="98"/>
      <c r="PK27" s="98"/>
      <c r="PL27" s="98"/>
      <c r="PM27" s="98"/>
      <c r="PN27" s="98"/>
      <c r="PO27" s="98"/>
      <c r="PP27" s="98"/>
      <c r="PQ27" s="98"/>
      <c r="PR27" s="98"/>
      <c r="PS27" s="98"/>
      <c r="PT27" s="98"/>
      <c r="PU27" s="98"/>
      <c r="PV27" s="98"/>
      <c r="PW27" s="98"/>
      <c r="PX27" s="98"/>
      <c r="PY27" s="98"/>
      <c r="PZ27" s="98"/>
      <c r="QA27" s="98"/>
      <c r="QB27" s="98"/>
      <c r="QC27" s="98"/>
      <c r="QD27" s="98"/>
      <c r="QE27" s="98"/>
      <c r="QF27" s="98"/>
      <c r="QG27" s="98"/>
      <c r="QH27" s="98"/>
      <c r="QI27" s="98"/>
      <c r="QJ27" s="98"/>
      <c r="QK27" s="98"/>
      <c r="QL27" s="98"/>
      <c r="QM27" s="98"/>
      <c r="QN27" s="98"/>
      <c r="QO27" s="98"/>
      <c r="QP27" s="98"/>
      <c r="QQ27" s="98"/>
      <c r="QR27" s="98"/>
      <c r="QS27" s="98"/>
      <c r="QT27" s="98"/>
      <c r="QU27" s="98"/>
      <c r="QV27" s="98"/>
      <c r="QW27" s="98"/>
      <c r="QX27" s="98"/>
      <c r="QY27" s="98"/>
      <c r="QZ27" s="98"/>
      <c r="RA27" s="98"/>
      <c r="RB27" s="98"/>
      <c r="RC27" s="98"/>
      <c r="RD27" s="98"/>
      <c r="RE27" s="98"/>
      <c r="RF27" s="98"/>
      <c r="RG27" s="98"/>
      <c r="RH27" s="98"/>
      <c r="RI27" s="98"/>
      <c r="RJ27" s="98"/>
      <c r="RK27" s="98"/>
      <c r="RL27" s="98"/>
      <c r="RM27" s="98"/>
      <c r="RN27" s="98"/>
      <c r="RO27" s="98"/>
      <c r="RP27" s="98"/>
      <c r="RQ27" s="98"/>
      <c r="RR27" s="98"/>
      <c r="RS27" s="98"/>
      <c r="RT27" s="98"/>
      <c r="RU27" s="98"/>
      <c r="RV27" s="98"/>
      <c r="RW27" s="98"/>
      <c r="RX27" s="98"/>
      <c r="RY27" s="98"/>
      <c r="RZ27" s="98"/>
      <c r="SA27" s="98"/>
      <c r="SB27" s="98"/>
      <c r="SC27" s="98"/>
      <c r="SD27" s="98"/>
      <c r="SE27" s="98"/>
      <c r="SF27" s="98"/>
      <c r="SG27" s="98"/>
      <c r="SH27" s="98"/>
      <c r="SI27" s="98"/>
      <c r="SJ27" s="98"/>
      <c r="SK27" s="98"/>
      <c r="SL27" s="98"/>
      <c r="SM27" s="98"/>
      <c r="SN27" s="98"/>
      <c r="SO27" s="98"/>
      <c r="SP27" s="98"/>
      <c r="SQ27" s="98"/>
      <c r="SR27" s="98"/>
      <c r="SS27" s="98"/>
      <c r="ST27" s="98"/>
      <c r="SU27" s="98"/>
      <c r="SV27" s="98"/>
      <c r="SW27" s="98"/>
      <c r="SX27" s="98"/>
      <c r="SY27" s="98"/>
      <c r="SZ27" s="98"/>
      <c r="TA27" s="98"/>
      <c r="TB27" s="98"/>
      <c r="TC27" s="98"/>
      <c r="TD27" s="98"/>
      <c r="TE27" s="98"/>
      <c r="TF27" s="98"/>
      <c r="TG27" s="98"/>
      <c r="TH27" s="98"/>
      <c r="TI27" s="98"/>
      <c r="TJ27" s="98"/>
      <c r="TK27" s="98"/>
      <c r="TL27" s="98"/>
      <c r="TM27" s="98"/>
      <c r="TN27" s="98"/>
      <c r="TO27" s="98"/>
      <c r="TP27" s="98"/>
      <c r="TQ27" s="98"/>
      <c r="TR27" s="98"/>
      <c r="TS27" s="98"/>
      <c r="TT27" s="98"/>
      <c r="TU27" s="98"/>
      <c r="TV27" s="98"/>
      <c r="TW27" s="98"/>
      <c r="TX27" s="98"/>
      <c r="TY27" s="98"/>
      <c r="TZ27" s="98"/>
      <c r="UA27" s="98"/>
      <c r="UB27" s="98"/>
      <c r="UC27" s="98"/>
      <c r="UD27" s="98"/>
      <c r="UE27" s="98"/>
      <c r="UF27" s="98"/>
      <c r="UG27" s="98"/>
      <c r="UH27" s="98"/>
      <c r="UI27" s="98"/>
      <c r="UJ27" s="98"/>
      <c r="UK27" s="98"/>
      <c r="UL27" s="98"/>
      <c r="UM27" s="98"/>
      <c r="UN27" s="98"/>
      <c r="UO27" s="98"/>
      <c r="UP27" s="98"/>
      <c r="UQ27" s="98"/>
      <c r="UR27" s="98"/>
      <c r="US27" s="98"/>
      <c r="UT27" s="98"/>
      <c r="UU27" s="98"/>
      <c r="UV27" s="98"/>
      <c r="UW27" s="98"/>
      <c r="UX27" s="98"/>
      <c r="UY27" s="98"/>
      <c r="UZ27" s="98"/>
      <c r="VA27" s="98"/>
      <c r="VB27" s="98"/>
      <c r="VC27" s="98"/>
      <c r="VD27" s="98"/>
      <c r="VE27" s="98"/>
      <c r="VF27" s="98"/>
      <c r="VG27" s="98"/>
      <c r="VH27" s="98"/>
      <c r="VI27" s="98"/>
      <c r="VJ27" s="98"/>
      <c r="VK27" s="98"/>
      <c r="VL27" s="98"/>
      <c r="VM27" s="98"/>
      <c r="VN27" s="98"/>
      <c r="VO27" s="98"/>
      <c r="VP27" s="98"/>
      <c r="VQ27" s="98"/>
      <c r="VR27" s="98"/>
      <c r="VS27" s="98"/>
      <c r="VT27" s="98"/>
      <c r="VU27" s="98"/>
      <c r="VV27" s="98"/>
      <c r="VW27" s="98"/>
      <c r="VX27" s="98"/>
      <c r="VY27" s="98"/>
      <c r="VZ27" s="98"/>
      <c r="WA27" s="98"/>
      <c r="WB27" s="98"/>
      <c r="WC27" s="98"/>
      <c r="WD27" s="98"/>
      <c r="WE27" s="98"/>
      <c r="WF27" s="98"/>
      <c r="WG27" s="98"/>
      <c r="WH27" s="98"/>
      <c r="WI27" s="98"/>
      <c r="WJ27" s="98"/>
      <c r="WK27" s="98"/>
      <c r="WL27" s="98"/>
      <c r="WM27" s="98"/>
      <c r="WN27" s="98"/>
      <c r="WO27" s="98"/>
      <c r="WP27" s="98"/>
      <c r="WQ27" s="98"/>
      <c r="WR27" s="98"/>
      <c r="WS27" s="98"/>
      <c r="WT27" s="98"/>
      <c r="WU27" s="98"/>
      <c r="WV27" s="98"/>
      <c r="WW27" s="98"/>
      <c r="WX27" s="98"/>
      <c r="WY27" s="98"/>
      <c r="WZ27" s="98"/>
      <c r="XA27" s="98"/>
      <c r="XB27" s="98"/>
      <c r="XC27" s="98"/>
      <c r="XD27" s="98"/>
      <c r="XE27" s="98"/>
      <c r="XF27" s="98"/>
      <c r="XG27" s="98"/>
      <c r="XH27" s="98"/>
      <c r="XI27" s="98"/>
      <c r="XJ27" s="98"/>
      <c r="XK27" s="98"/>
      <c r="XL27" s="98"/>
      <c r="XM27" s="98"/>
      <c r="XN27" s="98"/>
      <c r="XO27" s="98"/>
      <c r="XP27" s="98"/>
      <c r="XQ27" s="98"/>
      <c r="XR27" s="98"/>
      <c r="XS27" s="98"/>
      <c r="XT27" s="98"/>
      <c r="XU27" s="98"/>
      <c r="XV27" s="98"/>
      <c r="XW27" s="98"/>
      <c r="XX27" s="98"/>
      <c r="XY27" s="98"/>
      <c r="XZ27" s="98"/>
      <c r="YA27" s="98"/>
      <c r="YB27" s="98"/>
      <c r="YC27" s="98"/>
      <c r="YD27" s="98"/>
      <c r="YE27" s="98"/>
      <c r="YF27" s="98"/>
      <c r="YG27" s="98"/>
      <c r="YH27" s="98"/>
      <c r="YI27" s="98"/>
      <c r="YJ27" s="98"/>
      <c r="YK27" s="98"/>
      <c r="YL27" s="98"/>
      <c r="YM27" s="98"/>
      <c r="YN27" s="98"/>
      <c r="YO27" s="98"/>
      <c r="YP27" s="98"/>
      <c r="YQ27" s="98"/>
      <c r="YR27" s="98"/>
      <c r="YS27" s="98"/>
      <c r="YT27" s="98"/>
      <c r="YU27" s="98"/>
      <c r="YV27" s="98"/>
      <c r="YW27" s="98"/>
      <c r="YX27" s="98"/>
      <c r="YY27" s="98"/>
      <c r="YZ27" s="98"/>
      <c r="ZA27" s="98"/>
      <c r="ZB27" s="98"/>
      <c r="ZC27" s="98"/>
      <c r="ZD27" s="98"/>
      <c r="ZE27" s="98"/>
      <c r="ZF27" s="98"/>
      <c r="ZG27" s="98"/>
      <c r="ZH27" s="98"/>
      <c r="ZI27" s="98"/>
      <c r="ZJ27" s="98"/>
      <c r="ZK27" s="98"/>
      <c r="ZL27" s="98"/>
      <c r="ZM27" s="98"/>
      <c r="ZN27" s="98"/>
      <c r="ZO27" s="98"/>
      <c r="ZP27" s="98"/>
      <c r="ZQ27" s="98"/>
      <c r="ZR27" s="98"/>
      <c r="ZS27" s="98"/>
      <c r="ZT27" s="98"/>
      <c r="ZU27" s="98"/>
      <c r="ZV27" s="98"/>
      <c r="ZW27" s="98"/>
      <c r="ZX27" s="98"/>
      <c r="ZY27" s="98"/>
      <c r="ZZ27" s="98"/>
      <c r="AAA27" s="98"/>
      <c r="AAB27" s="98"/>
      <c r="AAC27" s="98"/>
      <c r="AAD27" s="98"/>
      <c r="AAE27" s="98"/>
      <c r="AAF27" s="98"/>
      <c r="AAG27" s="98"/>
      <c r="AAH27" s="98"/>
      <c r="AAI27" s="98"/>
      <c r="AAJ27" s="98"/>
      <c r="AAK27" s="98"/>
      <c r="AAL27" s="98"/>
      <c r="AAM27" s="98"/>
      <c r="AAN27" s="98"/>
      <c r="AAO27" s="98"/>
      <c r="AAP27" s="98"/>
      <c r="AAQ27" s="98"/>
      <c r="AAR27" s="98"/>
      <c r="AAS27" s="98"/>
      <c r="AAT27" s="98"/>
      <c r="AAU27" s="98"/>
      <c r="AAV27" s="98"/>
      <c r="AAW27" s="98"/>
      <c r="AAX27" s="98"/>
      <c r="AAY27" s="98"/>
      <c r="AAZ27" s="98"/>
      <c r="ABA27" s="98"/>
      <c r="ABB27" s="98"/>
      <c r="ABC27" s="98"/>
      <c r="ABD27" s="98"/>
      <c r="ABE27" s="98"/>
      <c r="ABF27" s="98"/>
      <c r="ABG27" s="98"/>
      <c r="ABH27" s="98"/>
      <c r="ABI27" s="98"/>
      <c r="ABJ27" s="98"/>
      <c r="ABK27" s="98"/>
      <c r="ABL27" s="98"/>
      <c r="ABM27" s="98"/>
      <c r="ABN27" s="98"/>
      <c r="ABO27" s="98"/>
      <c r="ABP27" s="98"/>
      <c r="ABQ27" s="98"/>
      <c r="ABR27" s="98"/>
      <c r="ABS27" s="98"/>
      <c r="ABT27" s="98"/>
      <c r="ABU27" s="98"/>
      <c r="ABV27" s="98"/>
      <c r="ABW27" s="98"/>
      <c r="ABX27" s="98"/>
      <c r="ABY27" s="98"/>
      <c r="ABZ27" s="98"/>
      <c r="ACA27" s="98"/>
      <c r="ACB27" s="98"/>
      <c r="ACC27" s="98"/>
      <c r="ACD27" s="98"/>
      <c r="ACE27" s="98"/>
      <c r="ACF27" s="98"/>
      <c r="ACG27" s="98"/>
      <c r="ACH27" s="98"/>
      <c r="ACI27" s="98"/>
      <c r="ACJ27" s="98"/>
      <c r="ACK27" s="98"/>
      <c r="ACL27" s="98"/>
      <c r="ACM27" s="98"/>
      <c r="ACN27" s="98"/>
      <c r="ACO27" s="98"/>
      <c r="ACP27" s="98"/>
      <c r="ACQ27" s="98"/>
      <c r="ACR27" s="98"/>
      <c r="ACS27" s="98"/>
      <c r="ACT27" s="98"/>
      <c r="ACU27" s="98"/>
      <c r="ACV27" s="98"/>
      <c r="ACW27" s="98"/>
      <c r="ACX27" s="98"/>
      <c r="ACY27" s="98"/>
      <c r="ACZ27" s="98"/>
      <c r="ADA27" s="98"/>
      <c r="ADB27" s="98"/>
      <c r="ADC27" s="98"/>
      <c r="ADD27" s="98"/>
      <c r="ADE27" s="98"/>
      <c r="ADF27" s="98"/>
      <c r="ADG27" s="98"/>
      <c r="ADH27" s="98"/>
      <c r="ADI27" s="98"/>
      <c r="ADJ27" s="98"/>
      <c r="ADK27" s="98"/>
      <c r="ADL27" s="98"/>
      <c r="ADM27" s="98"/>
      <c r="ADN27" s="98"/>
      <c r="ADO27" s="98"/>
      <c r="ADP27" s="98"/>
      <c r="ADQ27" s="98"/>
      <c r="ADR27" s="98"/>
      <c r="ADS27" s="98"/>
      <c r="ADT27" s="98"/>
      <c r="ADU27" s="98"/>
      <c r="ADV27" s="98"/>
      <c r="ADW27" s="98"/>
      <c r="ADX27" s="98"/>
      <c r="ADY27" s="98"/>
      <c r="ADZ27" s="98"/>
      <c r="AEA27" s="98"/>
      <c r="AEB27" s="98"/>
      <c r="AEC27" s="98"/>
      <c r="AED27" s="98"/>
      <c r="AEE27" s="98"/>
      <c r="AEF27" s="98"/>
      <c r="AEG27" s="98"/>
      <c r="AEH27" s="98"/>
      <c r="AEI27" s="98"/>
      <c r="AEJ27" s="98"/>
      <c r="AEK27" s="98"/>
      <c r="AEL27" s="98"/>
      <c r="AEM27" s="98"/>
      <c r="AEN27" s="98"/>
      <c r="AEO27" s="98"/>
      <c r="AEP27" s="98"/>
      <c r="AEQ27" s="98"/>
      <c r="AER27" s="98"/>
      <c r="AES27" s="98"/>
      <c r="AET27" s="98"/>
      <c r="AEU27" s="98"/>
      <c r="AEV27" s="98"/>
      <c r="AEW27" s="98"/>
      <c r="AEX27" s="98"/>
      <c r="AEY27" s="98"/>
      <c r="AEZ27" s="98"/>
      <c r="AFA27" s="98"/>
      <c r="AFB27" s="98"/>
      <c r="AFC27" s="98"/>
      <c r="AFD27" s="98"/>
      <c r="AFE27" s="98"/>
      <c r="AFF27" s="98"/>
      <c r="AFG27" s="98"/>
      <c r="AFH27" s="98"/>
      <c r="AFI27" s="98"/>
      <c r="AFJ27" s="98"/>
      <c r="AFK27" s="98"/>
      <c r="AFL27" s="98"/>
      <c r="AFM27" s="98"/>
      <c r="AFN27" s="98"/>
      <c r="AFO27" s="98"/>
      <c r="AFP27" s="98"/>
      <c r="AFQ27" s="98"/>
      <c r="AFR27" s="98"/>
      <c r="AFS27" s="98"/>
      <c r="AFT27" s="98"/>
      <c r="AFU27" s="98"/>
      <c r="AFV27" s="98"/>
      <c r="AFW27" s="98"/>
      <c r="AFX27" s="98"/>
      <c r="AFY27" s="98"/>
      <c r="AFZ27" s="98"/>
      <c r="AGA27" s="98"/>
      <c r="AGB27" s="98"/>
      <c r="AGC27" s="98"/>
      <c r="AGD27" s="98"/>
      <c r="AGE27" s="98"/>
      <c r="AGF27" s="98"/>
      <c r="AGG27" s="98"/>
      <c r="AGH27" s="98"/>
      <c r="AGI27" s="98"/>
      <c r="AGJ27" s="98"/>
      <c r="AGK27" s="98"/>
      <c r="AGL27" s="98"/>
      <c r="AGM27" s="98"/>
      <c r="AGN27" s="98"/>
      <c r="AGO27" s="98"/>
      <c r="AGP27" s="98"/>
      <c r="AGQ27" s="98"/>
      <c r="AGR27" s="98"/>
      <c r="AGS27" s="98"/>
      <c r="AGT27" s="98"/>
      <c r="AGU27" s="98"/>
      <c r="AGV27" s="98"/>
      <c r="AGW27" s="98"/>
      <c r="AGX27" s="98"/>
      <c r="AGY27" s="98"/>
      <c r="AGZ27" s="98"/>
      <c r="AHA27" s="98"/>
      <c r="AHB27" s="98"/>
      <c r="AHC27" s="98"/>
      <c r="AHD27" s="98"/>
      <c r="AHE27" s="98"/>
      <c r="AHF27" s="98"/>
      <c r="AHG27" s="98"/>
      <c r="AHH27" s="98"/>
      <c r="AHI27" s="98"/>
      <c r="AHJ27" s="98"/>
      <c r="AHK27" s="98"/>
      <c r="AHL27" s="98"/>
      <c r="AHM27" s="98"/>
      <c r="AHN27" s="98"/>
      <c r="AHO27" s="98"/>
      <c r="AHP27" s="98"/>
      <c r="AHQ27" s="98"/>
      <c r="AHR27" s="98"/>
      <c r="AHS27" s="98"/>
      <c r="AHT27" s="98"/>
      <c r="AHU27" s="98"/>
      <c r="AHV27" s="98"/>
      <c r="AHW27" s="98"/>
      <c r="AHX27" s="98"/>
      <c r="AHY27" s="98"/>
      <c r="AHZ27" s="98"/>
      <c r="AIA27" s="98"/>
      <c r="AIB27" s="98"/>
      <c r="AIC27" s="98"/>
      <c r="AID27" s="98"/>
      <c r="AIE27" s="98"/>
      <c r="AIF27" s="98"/>
      <c r="AIG27" s="98"/>
      <c r="AIH27" s="98"/>
      <c r="AII27" s="98"/>
      <c r="AIJ27" s="98"/>
      <c r="AIK27" s="98"/>
      <c r="AIL27" s="98"/>
      <c r="AIM27" s="98"/>
      <c r="AIN27" s="98"/>
      <c r="AIO27" s="98"/>
      <c r="AIP27" s="98"/>
      <c r="AIQ27" s="98"/>
      <c r="AIR27" s="98"/>
      <c r="AIS27" s="98"/>
      <c r="AIT27" s="98"/>
      <c r="AIU27" s="98"/>
      <c r="AIV27" s="98"/>
      <c r="AIW27" s="98"/>
      <c r="AIX27" s="98"/>
      <c r="AIY27" s="98"/>
      <c r="AIZ27" s="98"/>
      <c r="AJA27" s="98"/>
      <c r="AJB27" s="98"/>
      <c r="AJC27" s="98"/>
      <c r="AJD27" s="98"/>
      <c r="AJE27" s="98"/>
      <c r="AJF27" s="98"/>
      <c r="AJG27" s="98"/>
      <c r="AJH27" s="98"/>
      <c r="AJI27" s="98"/>
      <c r="AJJ27" s="98"/>
      <c r="AJK27" s="98"/>
      <c r="AJL27" s="98"/>
      <c r="AJM27" s="98"/>
      <c r="AJN27" s="98"/>
      <c r="AJO27" s="98"/>
      <c r="AJP27" s="98"/>
      <c r="AJQ27" s="98"/>
      <c r="AJR27" s="98"/>
      <c r="AJS27" s="98"/>
      <c r="AJT27" s="98"/>
      <c r="AJU27" s="98"/>
      <c r="AJV27" s="98"/>
      <c r="AJW27" s="98"/>
      <c r="AJX27" s="98"/>
      <c r="AJY27" s="98"/>
      <c r="AJZ27" s="98"/>
      <c r="AKA27" s="98"/>
      <c r="AKB27" s="98"/>
      <c r="AKC27" s="98"/>
      <c r="AKD27" s="98"/>
      <c r="AKE27" s="98"/>
      <c r="AKF27" s="98"/>
      <c r="AKG27" s="98"/>
      <c r="AKH27" s="98"/>
      <c r="AKI27" s="98"/>
      <c r="AKJ27" s="98"/>
      <c r="AKK27" s="98"/>
      <c r="AKL27" s="98"/>
      <c r="AKM27" s="98"/>
      <c r="AKN27" s="98"/>
      <c r="AKO27" s="98"/>
      <c r="AKP27" s="98"/>
      <c r="AKQ27" s="98"/>
      <c r="AKR27" s="98"/>
      <c r="AKS27" s="98"/>
      <c r="AKT27" s="98"/>
      <c r="AKU27" s="98"/>
      <c r="AKV27" s="98"/>
      <c r="AKW27" s="98"/>
      <c r="AKX27" s="98"/>
      <c r="AKY27" s="98"/>
      <c r="AKZ27" s="98"/>
      <c r="ALA27" s="98"/>
      <c r="ALB27" s="98"/>
      <c r="ALC27" s="98"/>
      <c r="ALD27" s="98"/>
      <c r="ALE27" s="98"/>
      <c r="ALF27" s="98"/>
      <c r="ALG27" s="98"/>
      <c r="ALH27" s="98"/>
      <c r="ALI27" s="98"/>
      <c r="ALJ27" s="98"/>
      <c r="ALK27" s="98"/>
      <c r="ALL27" s="98"/>
      <c r="ALM27" s="98"/>
      <c r="ALN27" s="98"/>
      <c r="ALO27" s="98"/>
      <c r="ALP27" s="98"/>
      <c r="ALQ27" s="98"/>
      <c r="ALR27" s="98"/>
      <c r="ALS27" s="98"/>
      <c r="ALT27" s="98"/>
      <c r="ALU27" s="98"/>
      <c r="ALV27" s="98"/>
      <c r="ALW27" s="98"/>
      <c r="ALX27" s="98"/>
      <c r="ALY27" s="98"/>
      <c r="ALZ27" s="98"/>
      <c r="AMA27" s="98"/>
      <c r="AMB27" s="98"/>
      <c r="AMC27" s="98"/>
      <c r="AMD27" s="98"/>
      <c r="AME27" s="98"/>
      <c r="AMF27" s="98"/>
      <c r="AMG27" s="98"/>
      <c r="AMH27" s="98"/>
      <c r="AMI27" s="98"/>
      <c r="AMJ27" s="98"/>
      <c r="AMK27" s="98"/>
      <c r="AML27" s="98"/>
      <c r="AMM27" s="98"/>
      <c r="AMN27" s="98"/>
      <c r="AMO27" s="98"/>
      <c r="AMP27" s="98"/>
      <c r="AMQ27" s="98"/>
      <c r="AMR27" s="98"/>
      <c r="AMS27" s="98"/>
      <c r="AMT27" s="98"/>
      <c r="AMU27" s="98"/>
      <c r="AMV27" s="98"/>
      <c r="AMW27" s="98"/>
      <c r="AMX27" s="98"/>
      <c r="AMY27" s="98"/>
      <c r="AMZ27" s="98"/>
      <c r="ANA27" s="98"/>
      <c r="ANB27" s="98"/>
      <c r="ANC27" s="98"/>
      <c r="AND27" s="98"/>
      <c r="ANE27" s="98"/>
      <c r="ANF27" s="98"/>
      <c r="ANG27" s="98"/>
      <c r="ANH27" s="98"/>
      <c r="ANI27" s="98"/>
      <c r="ANJ27" s="98"/>
      <c r="ANK27" s="98"/>
      <c r="ANL27" s="98"/>
      <c r="ANM27" s="98"/>
      <c r="ANN27" s="98"/>
      <c r="ANO27" s="98"/>
      <c r="ANP27" s="98"/>
      <c r="ANQ27" s="98"/>
      <c r="ANR27" s="98"/>
      <c r="ANS27" s="98"/>
      <c r="ANT27" s="98"/>
      <c r="ANU27" s="98"/>
      <c r="ANV27" s="98"/>
      <c r="ANW27" s="98"/>
      <c r="ANX27" s="98"/>
      <c r="ANY27" s="98"/>
      <c r="ANZ27" s="98"/>
      <c r="AOA27" s="98"/>
      <c r="AOB27" s="98"/>
      <c r="AOC27" s="98"/>
      <c r="AOD27" s="98"/>
      <c r="AOE27" s="98"/>
      <c r="AOF27" s="98"/>
      <c r="AOG27" s="98"/>
      <c r="AOH27" s="98"/>
      <c r="AOI27" s="98"/>
      <c r="AOJ27" s="98"/>
      <c r="AOK27" s="98"/>
      <c r="AOL27" s="98"/>
      <c r="AOM27" s="98"/>
      <c r="AON27" s="98"/>
      <c r="AOO27" s="98"/>
      <c r="AOP27" s="98"/>
      <c r="AOQ27" s="98"/>
      <c r="AOR27" s="98"/>
      <c r="AOS27" s="98"/>
      <c r="AOT27" s="98"/>
      <c r="AOU27" s="98"/>
      <c r="AOV27" s="98"/>
      <c r="AOW27" s="98"/>
      <c r="AOX27" s="98"/>
      <c r="AOY27" s="98"/>
      <c r="AOZ27" s="98"/>
      <c r="APA27" s="98"/>
      <c r="APB27" s="98"/>
      <c r="APC27" s="98"/>
      <c r="APD27" s="98"/>
      <c r="APE27" s="98"/>
      <c r="APF27" s="98"/>
      <c r="APG27" s="98"/>
      <c r="APH27" s="98"/>
      <c r="API27" s="98"/>
      <c r="APJ27" s="98"/>
      <c r="APK27" s="98"/>
      <c r="APL27" s="98"/>
      <c r="APM27" s="98"/>
      <c r="APN27" s="98"/>
      <c r="APO27" s="98"/>
      <c r="APP27" s="98"/>
      <c r="APQ27" s="98"/>
      <c r="APR27" s="98"/>
      <c r="APS27" s="98"/>
      <c r="APT27" s="98"/>
      <c r="APU27" s="98"/>
      <c r="APV27" s="98"/>
      <c r="APW27" s="98"/>
      <c r="APX27" s="98"/>
      <c r="APY27" s="98"/>
      <c r="APZ27" s="98"/>
      <c r="AQA27" s="98"/>
      <c r="AQB27" s="98"/>
      <c r="AQC27" s="98"/>
      <c r="AQD27" s="98"/>
      <c r="AQE27" s="98"/>
      <c r="AQF27" s="98"/>
      <c r="AQG27" s="98"/>
      <c r="AQH27" s="98"/>
      <c r="AQI27" s="98"/>
      <c r="AQJ27" s="98"/>
      <c r="AQK27" s="98"/>
      <c r="AQL27" s="98"/>
      <c r="AQM27" s="98"/>
      <c r="AQN27" s="98"/>
      <c r="AQO27" s="98"/>
      <c r="AQP27" s="98"/>
      <c r="AQQ27" s="98"/>
      <c r="AQR27" s="98"/>
      <c r="AQS27" s="98"/>
      <c r="AQT27" s="98"/>
      <c r="AQU27" s="98"/>
      <c r="AQV27" s="98"/>
      <c r="AQW27" s="98"/>
      <c r="AQX27" s="98"/>
      <c r="AQY27" s="98"/>
      <c r="AQZ27" s="98"/>
      <c r="ARA27" s="98"/>
      <c r="ARB27" s="98"/>
      <c r="ARC27" s="98"/>
      <c r="ARD27" s="98"/>
      <c r="ARE27" s="98"/>
      <c r="ARF27" s="98"/>
      <c r="ARG27" s="98"/>
      <c r="ARH27" s="98"/>
      <c r="ARI27" s="98"/>
      <c r="ARJ27" s="98"/>
      <c r="ARK27" s="98"/>
      <c r="ARL27" s="98"/>
      <c r="ARM27" s="98"/>
      <c r="ARN27" s="98"/>
      <c r="ARO27" s="98"/>
      <c r="ARP27" s="98"/>
      <c r="ARQ27" s="98"/>
      <c r="ARR27" s="98"/>
      <c r="ARS27" s="98"/>
      <c r="ART27" s="98"/>
      <c r="ARU27" s="98"/>
      <c r="ARV27" s="98"/>
      <c r="ARW27" s="98"/>
      <c r="ARX27" s="98"/>
      <c r="ARY27" s="98"/>
      <c r="ARZ27" s="98"/>
      <c r="ASA27" s="98"/>
      <c r="ASB27" s="98"/>
      <c r="ASC27" s="98"/>
      <c r="ASD27" s="98"/>
      <c r="ASE27" s="98"/>
      <c r="ASF27" s="98"/>
      <c r="ASG27" s="98"/>
      <c r="ASH27" s="98"/>
      <c r="ASI27" s="98"/>
      <c r="ASJ27" s="98"/>
      <c r="ASK27" s="98"/>
      <c r="ASL27" s="98"/>
      <c r="ASM27" s="98"/>
      <c r="ASN27" s="98"/>
      <c r="ASO27" s="98"/>
      <c r="ASP27" s="98"/>
      <c r="ASQ27" s="98"/>
      <c r="ASR27" s="98"/>
      <c r="ASS27" s="98"/>
      <c r="AST27" s="98"/>
      <c r="ASU27" s="98"/>
      <c r="ASV27" s="98"/>
      <c r="ASW27" s="98"/>
      <c r="ASX27" s="98"/>
      <c r="ASY27" s="98"/>
      <c r="ASZ27" s="98"/>
      <c r="ATA27" s="98"/>
      <c r="ATB27" s="98"/>
      <c r="ATC27" s="98"/>
      <c r="ATD27" s="98"/>
      <c r="ATE27" s="98"/>
      <c r="ATF27" s="98"/>
      <c r="ATG27" s="98"/>
      <c r="ATH27" s="98"/>
      <c r="ATI27" s="98"/>
      <c r="ATJ27" s="98"/>
      <c r="ATK27" s="98"/>
      <c r="ATL27" s="98"/>
      <c r="ATM27" s="98"/>
      <c r="ATN27" s="98"/>
      <c r="ATO27" s="98"/>
      <c r="ATP27" s="98"/>
      <c r="ATQ27" s="98"/>
      <c r="ATR27" s="98"/>
      <c r="ATS27" s="98"/>
      <c r="ATT27" s="98"/>
      <c r="ATU27" s="98"/>
      <c r="ATV27" s="98"/>
      <c r="ATW27" s="98"/>
      <c r="ATX27" s="98"/>
      <c r="ATY27" s="98"/>
      <c r="ATZ27" s="98"/>
      <c r="AUA27" s="98"/>
      <c r="AUB27" s="98"/>
      <c r="AUC27" s="98"/>
      <c r="AUD27" s="98"/>
      <c r="AUE27" s="98"/>
      <c r="AUF27" s="98"/>
      <c r="AUG27" s="98"/>
      <c r="AUH27" s="98"/>
      <c r="AUI27" s="98"/>
      <c r="AUJ27" s="98"/>
      <c r="AUK27" s="98"/>
      <c r="AUL27" s="98"/>
      <c r="AUM27" s="98"/>
      <c r="AUN27" s="98"/>
      <c r="AUO27" s="98"/>
      <c r="AUP27" s="98"/>
      <c r="AUQ27" s="98"/>
      <c r="AUR27" s="98"/>
      <c r="AUS27" s="98"/>
      <c r="AUT27" s="98"/>
      <c r="AUU27" s="98"/>
      <c r="AUV27" s="98"/>
      <c r="AUW27" s="98"/>
      <c r="AUX27" s="98"/>
      <c r="AUY27" s="98"/>
      <c r="AUZ27" s="98"/>
      <c r="AVA27" s="98"/>
      <c r="AVB27" s="98"/>
      <c r="AVC27" s="98"/>
      <c r="AVD27" s="98"/>
      <c r="AVE27" s="98"/>
      <c r="AVF27" s="98"/>
      <c r="AVG27" s="98"/>
      <c r="AVH27" s="98"/>
      <c r="AVI27" s="98"/>
      <c r="AVJ27" s="98"/>
      <c r="AVK27" s="98"/>
      <c r="AVL27" s="98"/>
      <c r="AVM27" s="98"/>
      <c r="AVN27" s="98"/>
      <c r="AVO27" s="98"/>
      <c r="AVP27" s="98"/>
      <c r="AVQ27" s="98"/>
      <c r="AVR27" s="98"/>
      <c r="AVS27" s="98"/>
      <c r="AVT27" s="98"/>
      <c r="AVU27" s="98"/>
      <c r="AVV27" s="98"/>
      <c r="AVW27" s="98"/>
      <c r="AVX27" s="98"/>
      <c r="AVY27" s="98"/>
      <c r="AVZ27" s="98"/>
      <c r="AWA27" s="98"/>
      <c r="AWB27" s="98"/>
      <c r="AWC27" s="98"/>
      <c r="AWD27" s="98"/>
      <c r="AWE27" s="98"/>
      <c r="AWF27" s="98"/>
      <c r="AWG27" s="98"/>
      <c r="AWH27" s="98"/>
      <c r="AWI27" s="98"/>
      <c r="AWJ27" s="98"/>
      <c r="AWK27" s="98"/>
      <c r="AWL27" s="98"/>
      <c r="AWM27" s="98"/>
      <c r="AWN27" s="98"/>
      <c r="AWO27" s="98"/>
      <c r="AWP27" s="98"/>
      <c r="AWQ27" s="98"/>
      <c r="AWR27" s="98"/>
      <c r="AWS27" s="98"/>
      <c r="AWT27" s="98"/>
      <c r="AWU27" s="98"/>
      <c r="AWV27" s="98"/>
      <c r="AWW27" s="98"/>
      <c r="AWX27" s="98"/>
      <c r="AWY27" s="98"/>
      <c r="AWZ27" s="98"/>
      <c r="AXA27" s="98"/>
      <c r="AXB27" s="98"/>
      <c r="AXC27" s="98"/>
      <c r="AXD27" s="98"/>
      <c r="AXE27" s="98"/>
      <c r="AXF27" s="98"/>
      <c r="AXG27" s="98"/>
      <c r="AXH27" s="98"/>
      <c r="AXI27" s="98"/>
      <c r="AXJ27" s="98"/>
      <c r="AXK27" s="98"/>
      <c r="AXL27" s="98"/>
      <c r="AXM27" s="98"/>
      <c r="AXN27" s="98"/>
      <c r="AXO27" s="98"/>
      <c r="AXP27" s="98"/>
      <c r="AXQ27" s="98"/>
      <c r="AXR27" s="98"/>
      <c r="AXS27" s="98"/>
      <c r="AXT27" s="98"/>
      <c r="AXU27" s="98"/>
      <c r="AXV27" s="98"/>
      <c r="AXW27" s="98"/>
      <c r="AXX27" s="98"/>
      <c r="AXY27" s="98"/>
      <c r="AXZ27" s="98"/>
      <c r="AYA27" s="98"/>
      <c r="AYB27" s="98"/>
      <c r="AYC27" s="98"/>
      <c r="AYD27" s="98"/>
      <c r="AYE27" s="98"/>
      <c r="AYF27" s="98"/>
      <c r="AYG27" s="98"/>
      <c r="AYH27" s="98"/>
      <c r="AYI27" s="98"/>
      <c r="AYJ27" s="98"/>
      <c r="AYK27" s="98"/>
      <c r="AYL27" s="98"/>
      <c r="AYM27" s="98"/>
      <c r="AYN27" s="98"/>
      <c r="AYO27" s="98"/>
      <c r="AYP27" s="98"/>
      <c r="AYQ27" s="98"/>
      <c r="AYR27" s="98"/>
      <c r="AYS27" s="98"/>
      <c r="AYT27" s="98"/>
      <c r="AYU27" s="98"/>
      <c r="AYV27" s="98"/>
      <c r="AYW27" s="98"/>
      <c r="AYX27" s="98"/>
      <c r="AYY27" s="98"/>
      <c r="AYZ27" s="98"/>
      <c r="AZA27" s="98"/>
      <c r="AZB27" s="98"/>
      <c r="AZC27" s="98"/>
      <c r="AZD27" s="98"/>
      <c r="AZE27" s="98"/>
      <c r="AZF27" s="98"/>
      <c r="AZG27" s="98"/>
      <c r="AZH27" s="98"/>
      <c r="AZI27" s="98"/>
      <c r="AZJ27" s="98"/>
      <c r="AZK27" s="98"/>
      <c r="AZL27" s="98"/>
      <c r="AZM27" s="98"/>
      <c r="AZN27" s="98"/>
      <c r="AZO27" s="98"/>
      <c r="AZP27" s="98"/>
      <c r="AZQ27" s="98"/>
      <c r="AZR27" s="98"/>
      <c r="AZS27" s="98"/>
      <c r="AZT27" s="98"/>
      <c r="AZU27" s="98"/>
      <c r="AZV27" s="98"/>
      <c r="AZW27" s="98"/>
      <c r="AZX27" s="98"/>
      <c r="AZY27" s="98"/>
      <c r="AZZ27" s="98"/>
      <c r="BAA27" s="98"/>
      <c r="BAB27" s="98"/>
      <c r="BAC27" s="98"/>
      <c r="BAD27" s="98"/>
      <c r="BAE27" s="98"/>
      <c r="BAF27" s="98"/>
      <c r="BAG27" s="98"/>
      <c r="BAH27" s="98"/>
      <c r="BAI27" s="98"/>
      <c r="BAJ27" s="98"/>
      <c r="BAK27" s="98"/>
      <c r="BAL27" s="98"/>
      <c r="BAM27" s="98"/>
      <c r="BAN27" s="98"/>
      <c r="BAO27" s="98"/>
      <c r="BAP27" s="98"/>
      <c r="BAQ27" s="98"/>
      <c r="BAR27" s="98"/>
      <c r="BAS27" s="98"/>
      <c r="BAT27" s="98"/>
      <c r="BAU27" s="98"/>
      <c r="BAV27" s="98"/>
      <c r="BAW27" s="98"/>
      <c r="BAX27" s="98"/>
      <c r="BAY27" s="98"/>
      <c r="BAZ27" s="98"/>
      <c r="BBA27" s="98"/>
      <c r="BBB27" s="98"/>
      <c r="BBC27" s="98"/>
      <c r="BBD27" s="98"/>
      <c r="BBE27" s="98"/>
      <c r="BBF27" s="98"/>
      <c r="BBG27" s="98"/>
      <c r="BBH27" s="98"/>
      <c r="BBI27" s="98"/>
      <c r="BBJ27" s="98"/>
      <c r="BBK27" s="98"/>
      <c r="BBL27" s="98"/>
      <c r="BBM27" s="98"/>
      <c r="BBN27" s="98"/>
      <c r="BBO27" s="98"/>
      <c r="BBP27" s="98"/>
      <c r="BBQ27" s="98"/>
      <c r="BBR27" s="98"/>
      <c r="BBS27" s="98"/>
      <c r="BBT27" s="98"/>
      <c r="BBU27" s="98"/>
      <c r="BBV27" s="98"/>
      <c r="BBW27" s="98"/>
      <c r="BBX27" s="98"/>
      <c r="BBY27" s="98"/>
      <c r="BBZ27" s="98"/>
      <c r="BCA27" s="98"/>
      <c r="BCB27" s="98"/>
      <c r="BCC27" s="98"/>
      <c r="BCD27" s="98"/>
      <c r="BCE27" s="98"/>
      <c r="BCF27" s="98"/>
      <c r="BCG27" s="98"/>
      <c r="BCH27" s="98"/>
      <c r="BCI27" s="98"/>
      <c r="BCJ27" s="98"/>
      <c r="BCK27" s="98"/>
      <c r="BCL27" s="98"/>
      <c r="BCM27" s="98"/>
      <c r="BCN27" s="98"/>
      <c r="BCO27" s="98"/>
      <c r="BCP27" s="98"/>
      <c r="BCQ27" s="98"/>
      <c r="BCR27" s="98"/>
      <c r="BCS27" s="98"/>
      <c r="BCT27" s="98"/>
      <c r="BCU27" s="98"/>
      <c r="BCV27" s="98"/>
      <c r="BCW27" s="98"/>
      <c r="BCX27" s="98"/>
      <c r="BCY27" s="98"/>
      <c r="BCZ27" s="98"/>
      <c r="BDA27" s="98"/>
      <c r="BDB27" s="98"/>
      <c r="BDC27" s="98"/>
      <c r="BDD27" s="98"/>
      <c r="BDE27" s="98"/>
      <c r="BDF27" s="98"/>
      <c r="BDG27" s="98"/>
      <c r="BDH27" s="98"/>
      <c r="BDI27" s="98"/>
      <c r="BDJ27" s="98"/>
      <c r="BDK27" s="98"/>
      <c r="BDL27" s="98"/>
      <c r="BDM27" s="98"/>
      <c r="BDN27" s="98"/>
      <c r="BDO27" s="98"/>
      <c r="BDP27" s="98"/>
      <c r="BDQ27" s="98"/>
      <c r="BDR27" s="98"/>
      <c r="BDS27" s="98"/>
      <c r="BDT27" s="98"/>
      <c r="BDU27" s="98"/>
      <c r="BDV27" s="98"/>
      <c r="BDW27" s="98"/>
      <c r="BDX27" s="98"/>
      <c r="BDY27" s="98"/>
      <c r="BDZ27" s="98"/>
      <c r="BEA27" s="98"/>
      <c r="BEB27" s="98"/>
      <c r="BEC27" s="98"/>
      <c r="BED27" s="98"/>
      <c r="BEE27" s="98"/>
      <c r="BEF27" s="98"/>
      <c r="BEG27" s="98"/>
      <c r="BEH27" s="98"/>
      <c r="BEI27" s="98"/>
      <c r="BEJ27" s="98"/>
      <c r="BEK27" s="98"/>
      <c r="BEL27" s="98"/>
      <c r="BEM27" s="98"/>
      <c r="BEN27" s="98"/>
      <c r="BEO27" s="98"/>
      <c r="BEP27" s="98"/>
      <c r="BEQ27" s="98"/>
      <c r="BER27" s="98"/>
      <c r="BES27" s="98"/>
      <c r="BET27" s="98"/>
      <c r="BEU27" s="98"/>
      <c r="BEV27" s="98"/>
      <c r="BEW27" s="98"/>
      <c r="BEX27" s="98"/>
      <c r="BEY27" s="98"/>
      <c r="BEZ27" s="98"/>
      <c r="BFA27" s="98"/>
      <c r="BFB27" s="98"/>
      <c r="BFC27" s="98"/>
      <c r="BFD27" s="98"/>
      <c r="BFE27" s="98"/>
      <c r="BFF27" s="98"/>
      <c r="BFG27" s="98"/>
      <c r="BFH27" s="98"/>
      <c r="BFI27" s="98"/>
      <c r="BFJ27" s="98"/>
      <c r="BFK27" s="98"/>
      <c r="BFL27" s="98"/>
      <c r="BFM27" s="98"/>
      <c r="BFN27" s="98"/>
      <c r="BFO27" s="98"/>
      <c r="BFP27" s="98"/>
      <c r="BFQ27" s="98"/>
      <c r="BFR27" s="98"/>
      <c r="BFS27" s="98"/>
      <c r="BFT27" s="98"/>
      <c r="BFU27" s="98"/>
      <c r="BFV27" s="98"/>
      <c r="BFW27" s="98"/>
      <c r="BFX27" s="98"/>
      <c r="BFY27" s="98"/>
      <c r="BFZ27" s="98"/>
      <c r="BGA27" s="98"/>
      <c r="BGB27" s="98"/>
      <c r="BGC27" s="98"/>
      <c r="BGD27" s="98"/>
      <c r="BGE27" s="98"/>
      <c r="BGF27" s="98"/>
      <c r="BGG27" s="98"/>
      <c r="BGH27" s="98"/>
      <c r="BGI27" s="98"/>
      <c r="BGJ27" s="98"/>
      <c r="BGK27" s="98"/>
      <c r="BGL27" s="98"/>
      <c r="BGM27" s="98"/>
      <c r="BGN27" s="98"/>
      <c r="BGO27" s="98"/>
      <c r="BGP27" s="98"/>
      <c r="BGQ27" s="98"/>
      <c r="BGR27" s="98"/>
      <c r="BGS27" s="98"/>
      <c r="BGT27" s="98"/>
      <c r="BGU27" s="98"/>
      <c r="BGV27" s="98"/>
      <c r="BGW27" s="98"/>
      <c r="BGX27" s="98"/>
      <c r="BGY27" s="98"/>
      <c r="BGZ27" s="98"/>
      <c r="BHA27" s="98"/>
      <c r="BHB27" s="98"/>
      <c r="BHC27" s="98"/>
      <c r="BHD27" s="98"/>
      <c r="BHE27" s="98"/>
      <c r="BHF27" s="98"/>
      <c r="BHG27" s="98"/>
      <c r="BHH27" s="98"/>
      <c r="BHI27" s="98"/>
      <c r="BHJ27" s="98"/>
      <c r="BHK27" s="98"/>
      <c r="BHL27" s="98"/>
      <c r="BHM27" s="98"/>
      <c r="BHN27" s="98"/>
      <c r="BHO27" s="98"/>
      <c r="BHP27" s="98"/>
      <c r="BHQ27" s="98"/>
      <c r="BHR27" s="98"/>
      <c r="BHS27" s="98"/>
      <c r="BHT27" s="98"/>
      <c r="BHU27" s="98"/>
      <c r="BHV27" s="98"/>
      <c r="BHW27" s="98"/>
      <c r="BHX27" s="98"/>
      <c r="BHY27" s="98"/>
      <c r="BHZ27" s="98"/>
      <c r="BIA27" s="98"/>
      <c r="BIB27" s="98"/>
      <c r="BIC27" s="98"/>
      <c r="BID27" s="98"/>
      <c r="BIE27" s="98"/>
      <c r="BIF27" s="98"/>
      <c r="BIG27" s="98"/>
      <c r="BIH27" s="98"/>
      <c r="BII27" s="98"/>
      <c r="BIJ27" s="98"/>
      <c r="BIK27" s="98"/>
      <c r="BIL27" s="98"/>
      <c r="BIM27" s="98"/>
      <c r="BIN27" s="98"/>
      <c r="BIO27" s="98"/>
      <c r="BIP27" s="98"/>
      <c r="BIQ27" s="98"/>
      <c r="BIR27" s="98"/>
      <c r="BIS27" s="98"/>
      <c r="BIT27" s="98"/>
      <c r="BIU27" s="98"/>
      <c r="BIV27" s="98"/>
      <c r="BIW27" s="98"/>
      <c r="BIX27" s="98"/>
      <c r="BIY27" s="98"/>
      <c r="BIZ27" s="98"/>
      <c r="BJA27" s="98"/>
      <c r="BJB27" s="98"/>
      <c r="BJC27" s="98"/>
      <c r="BJD27" s="98"/>
      <c r="BJE27" s="98"/>
      <c r="BJF27" s="98"/>
      <c r="BJG27" s="98"/>
      <c r="BJH27" s="98"/>
      <c r="BJI27" s="98"/>
      <c r="BJJ27" s="98"/>
      <c r="BJK27" s="98"/>
      <c r="BJL27" s="98"/>
      <c r="BJM27" s="98"/>
      <c r="BJN27" s="98"/>
      <c r="BJO27" s="98"/>
      <c r="BJP27" s="98"/>
      <c r="BJQ27" s="98"/>
      <c r="BJR27" s="98"/>
      <c r="BJS27" s="98"/>
      <c r="BJT27" s="98"/>
      <c r="BJU27" s="98"/>
      <c r="BJV27" s="98"/>
      <c r="BJW27" s="98"/>
      <c r="BJX27" s="98"/>
      <c r="BJY27" s="98"/>
      <c r="BJZ27" s="98"/>
      <c r="BKA27" s="98"/>
      <c r="BKB27" s="98"/>
      <c r="BKC27" s="98"/>
      <c r="BKD27" s="98"/>
      <c r="BKE27" s="98"/>
      <c r="BKF27" s="98"/>
      <c r="BKG27" s="98"/>
      <c r="BKH27" s="98"/>
      <c r="BKI27" s="98"/>
      <c r="BKJ27" s="98"/>
      <c r="BKK27" s="98"/>
      <c r="BKL27" s="98"/>
      <c r="BKM27" s="98"/>
      <c r="BKN27" s="98"/>
      <c r="BKO27" s="98"/>
      <c r="BKP27" s="98"/>
      <c r="BKQ27" s="98"/>
      <c r="BKR27" s="98"/>
      <c r="BKS27" s="98"/>
      <c r="BKT27" s="98"/>
      <c r="BKU27" s="98"/>
      <c r="BKV27" s="98"/>
      <c r="BKW27" s="98"/>
      <c r="BKX27" s="98"/>
      <c r="BKY27" s="98"/>
      <c r="BKZ27" s="98"/>
      <c r="BLA27" s="98"/>
      <c r="BLB27" s="98"/>
      <c r="BLC27" s="98"/>
      <c r="BLD27" s="98"/>
      <c r="BLE27" s="98"/>
      <c r="BLF27" s="98"/>
      <c r="BLG27" s="98"/>
      <c r="BLH27" s="98"/>
      <c r="BLI27" s="98"/>
      <c r="BLJ27" s="98"/>
      <c r="BLK27" s="98"/>
      <c r="BLL27" s="98"/>
      <c r="BLM27" s="98"/>
      <c r="BLN27" s="98"/>
      <c r="BLO27" s="98"/>
      <c r="BLP27" s="98"/>
      <c r="BLQ27" s="98"/>
      <c r="BLR27" s="98"/>
      <c r="BLS27" s="98"/>
      <c r="BLT27" s="98"/>
      <c r="BLU27" s="98"/>
      <c r="BLV27" s="98"/>
      <c r="BLW27" s="98"/>
      <c r="BLX27" s="98"/>
      <c r="BLY27" s="98"/>
      <c r="BLZ27" s="98"/>
      <c r="BMA27" s="98"/>
      <c r="BMB27" s="98"/>
      <c r="BMC27" s="98"/>
      <c r="BMD27" s="98"/>
      <c r="BME27" s="98"/>
      <c r="BMF27" s="98"/>
      <c r="BMG27" s="98"/>
      <c r="BMH27" s="98"/>
      <c r="BMI27" s="98"/>
      <c r="BMJ27" s="98"/>
      <c r="BMK27" s="98"/>
      <c r="BML27" s="98"/>
      <c r="BMM27" s="98"/>
      <c r="BMN27" s="98"/>
      <c r="BMO27" s="98"/>
      <c r="BMP27" s="98"/>
      <c r="BMQ27" s="98"/>
      <c r="BMR27" s="98"/>
      <c r="BMS27" s="98"/>
      <c r="BMT27" s="98"/>
      <c r="BMU27" s="98"/>
      <c r="BMV27" s="98"/>
      <c r="BMW27" s="98"/>
      <c r="BMX27" s="98"/>
      <c r="BMY27" s="98"/>
      <c r="BMZ27" s="98"/>
      <c r="BNA27" s="98"/>
      <c r="BNB27" s="98"/>
      <c r="BNC27" s="98"/>
      <c r="BND27" s="98"/>
      <c r="BNE27" s="98"/>
      <c r="BNF27" s="98"/>
      <c r="BNG27" s="98"/>
      <c r="BNH27" s="98"/>
      <c r="BNI27" s="98"/>
      <c r="BNJ27" s="98"/>
      <c r="BNK27" s="98"/>
      <c r="BNL27" s="98"/>
      <c r="BNM27" s="98"/>
      <c r="BNN27" s="98"/>
      <c r="BNO27" s="98"/>
      <c r="BNP27" s="98"/>
      <c r="BNQ27" s="98"/>
      <c r="BNR27" s="98"/>
      <c r="BNS27" s="98"/>
      <c r="BNT27" s="98"/>
      <c r="BNU27" s="98"/>
      <c r="BNV27" s="98"/>
      <c r="BNW27" s="98"/>
      <c r="BNX27" s="98"/>
      <c r="BNY27" s="98"/>
      <c r="BNZ27" s="98"/>
      <c r="BOA27" s="98"/>
      <c r="BOB27" s="98"/>
      <c r="BOC27" s="98"/>
      <c r="BOD27" s="98"/>
      <c r="BOE27" s="98"/>
      <c r="BOF27" s="98"/>
      <c r="BOG27" s="98"/>
      <c r="BOH27" s="98"/>
      <c r="BOI27" s="98"/>
      <c r="BOJ27" s="98"/>
      <c r="BOK27" s="98"/>
      <c r="BOL27" s="98"/>
      <c r="BOM27" s="98"/>
      <c r="BON27" s="98"/>
      <c r="BOO27" s="98"/>
      <c r="BOP27" s="98"/>
      <c r="BOQ27" s="98"/>
      <c r="BOR27" s="98"/>
      <c r="BOS27" s="98"/>
      <c r="BOT27" s="98"/>
      <c r="BOU27" s="98"/>
      <c r="BOV27" s="98"/>
      <c r="BOW27" s="98"/>
      <c r="BOX27" s="98"/>
      <c r="BOY27" s="98"/>
      <c r="BOZ27" s="98"/>
      <c r="BPA27" s="98"/>
      <c r="BPB27" s="98"/>
      <c r="BPC27" s="98"/>
      <c r="BPD27" s="98"/>
      <c r="BPE27" s="98"/>
      <c r="BPF27" s="98"/>
      <c r="BPG27" s="98"/>
      <c r="BPH27" s="98"/>
      <c r="BPI27" s="98"/>
      <c r="BPJ27" s="98"/>
      <c r="BPK27" s="98"/>
      <c r="BPL27" s="98"/>
      <c r="BPM27" s="98"/>
      <c r="BPN27" s="98"/>
      <c r="BPO27" s="98"/>
      <c r="BPP27" s="98"/>
      <c r="BPQ27" s="98"/>
      <c r="BPR27" s="98"/>
      <c r="BPS27" s="98"/>
      <c r="BPT27" s="98"/>
      <c r="BPU27" s="98"/>
      <c r="BPV27" s="98"/>
      <c r="BPW27" s="98"/>
      <c r="BPX27" s="98"/>
      <c r="BPY27" s="98"/>
      <c r="BPZ27" s="98"/>
      <c r="BQA27" s="98"/>
      <c r="BQB27" s="98"/>
      <c r="BQC27" s="98"/>
      <c r="BQD27" s="98"/>
      <c r="BQE27" s="98"/>
      <c r="BQF27" s="98"/>
      <c r="BQG27" s="98"/>
      <c r="BQH27" s="98"/>
      <c r="BQI27" s="98"/>
      <c r="BQJ27" s="98"/>
      <c r="BQK27" s="98"/>
      <c r="BQL27" s="98"/>
      <c r="BQM27" s="98"/>
      <c r="BQN27" s="98"/>
      <c r="BQO27" s="98"/>
      <c r="BQP27" s="98"/>
      <c r="BQQ27" s="98"/>
      <c r="BQR27" s="98"/>
      <c r="BQS27" s="98"/>
      <c r="BQT27" s="98"/>
      <c r="BQU27" s="98"/>
      <c r="BQV27" s="98"/>
      <c r="BQW27" s="98"/>
      <c r="BQX27" s="98"/>
      <c r="BQY27" s="98"/>
      <c r="BQZ27" s="98"/>
      <c r="BRA27" s="98"/>
      <c r="BRB27" s="98"/>
      <c r="BRC27" s="98"/>
      <c r="BRD27" s="98"/>
      <c r="BRE27" s="98"/>
      <c r="BRF27" s="98"/>
      <c r="BRG27" s="98"/>
      <c r="BRH27" s="98"/>
      <c r="BRI27" s="98"/>
      <c r="BRJ27" s="98"/>
      <c r="BRK27" s="98"/>
      <c r="BRL27" s="98"/>
      <c r="BRM27" s="98"/>
      <c r="BRN27" s="98"/>
      <c r="BRO27" s="98"/>
      <c r="BRP27" s="98"/>
      <c r="BRQ27" s="98"/>
      <c r="BRR27" s="98"/>
      <c r="BRS27" s="98"/>
      <c r="BRT27" s="98"/>
      <c r="BRU27" s="98"/>
      <c r="BRV27" s="98"/>
      <c r="BRW27" s="98"/>
      <c r="BRX27" s="98"/>
      <c r="BRY27" s="98"/>
      <c r="BRZ27" s="98"/>
      <c r="BSA27" s="98"/>
      <c r="BSB27" s="98"/>
      <c r="BSC27" s="98"/>
      <c r="BSD27" s="98"/>
      <c r="BSE27" s="98"/>
      <c r="BSF27" s="98"/>
      <c r="BSG27" s="98"/>
      <c r="BSH27" s="98"/>
      <c r="BSI27" s="98"/>
      <c r="BSJ27" s="98"/>
      <c r="BSK27" s="98"/>
      <c r="BSL27" s="98"/>
      <c r="BSM27" s="98"/>
      <c r="BSN27" s="98"/>
      <c r="BSO27" s="98"/>
      <c r="BSP27" s="98"/>
      <c r="BSQ27" s="98"/>
      <c r="BSR27" s="98"/>
      <c r="BSS27" s="98"/>
      <c r="BST27" s="98"/>
      <c r="BSU27" s="98"/>
      <c r="BSV27" s="98"/>
      <c r="BSW27" s="98"/>
      <c r="BSX27" s="98"/>
      <c r="BSY27" s="98"/>
      <c r="BSZ27" s="98"/>
      <c r="BTA27" s="98"/>
      <c r="BTB27" s="98"/>
      <c r="BTC27" s="98"/>
      <c r="BTD27" s="98"/>
      <c r="BTE27" s="98"/>
      <c r="BTF27" s="98"/>
      <c r="BTG27" s="98"/>
      <c r="BTH27" s="98"/>
      <c r="BTI27" s="98"/>
      <c r="BTJ27" s="98"/>
      <c r="BTK27" s="98"/>
      <c r="BTL27" s="98"/>
      <c r="BTM27" s="98"/>
      <c r="BTN27" s="98"/>
      <c r="BTO27" s="98"/>
      <c r="BTP27" s="98"/>
      <c r="BTQ27" s="98"/>
      <c r="BTR27" s="98"/>
      <c r="BTS27" s="98"/>
      <c r="BTT27" s="98"/>
      <c r="BTU27" s="98"/>
      <c r="BTV27" s="98"/>
      <c r="BTW27" s="98"/>
      <c r="BTX27" s="98"/>
      <c r="BTY27" s="98"/>
      <c r="BTZ27" s="98"/>
      <c r="BUA27" s="98"/>
      <c r="BUB27" s="98"/>
      <c r="BUC27" s="98"/>
      <c r="BUD27" s="98"/>
      <c r="BUE27" s="98"/>
      <c r="BUF27" s="98"/>
      <c r="BUG27" s="98"/>
      <c r="BUH27" s="98"/>
      <c r="BUI27" s="98"/>
      <c r="BUJ27" s="98"/>
      <c r="BUK27" s="98"/>
      <c r="BUL27" s="98"/>
      <c r="BUM27" s="98"/>
      <c r="BUN27" s="98"/>
      <c r="BUO27" s="98"/>
      <c r="BUP27" s="98"/>
      <c r="BUQ27" s="98"/>
      <c r="BUR27" s="98"/>
      <c r="BUS27" s="98"/>
      <c r="BUT27" s="98"/>
      <c r="BUU27" s="98"/>
      <c r="BUV27" s="98"/>
      <c r="BUW27" s="98"/>
      <c r="BUX27" s="98"/>
      <c r="BUY27" s="98"/>
      <c r="BUZ27" s="98"/>
      <c r="BVA27" s="98"/>
      <c r="BVB27" s="98"/>
      <c r="BVC27" s="98"/>
      <c r="BVD27" s="98"/>
      <c r="BVE27" s="98"/>
      <c r="BVF27" s="98"/>
      <c r="BVG27" s="98"/>
      <c r="BVH27" s="98"/>
      <c r="BVI27" s="98"/>
      <c r="BVJ27" s="98"/>
      <c r="BVK27" s="98"/>
      <c r="BVL27" s="98"/>
      <c r="BVM27" s="98"/>
      <c r="BVN27" s="98"/>
      <c r="BVO27" s="98"/>
      <c r="BVP27" s="98"/>
      <c r="BVQ27" s="98"/>
      <c r="BVR27" s="98"/>
      <c r="BVS27" s="98"/>
      <c r="BVT27" s="98"/>
      <c r="BVU27" s="98"/>
      <c r="BVV27" s="98"/>
      <c r="BVW27" s="98"/>
      <c r="BVX27" s="98"/>
      <c r="BVY27" s="98"/>
      <c r="BVZ27" s="98"/>
      <c r="BWA27" s="98"/>
      <c r="BWB27" s="98"/>
      <c r="BWC27" s="98"/>
      <c r="BWD27" s="98"/>
      <c r="BWE27" s="98"/>
      <c r="BWF27" s="98"/>
      <c r="BWG27" s="98"/>
      <c r="BWH27" s="98"/>
      <c r="BWI27" s="98"/>
      <c r="BWJ27" s="98"/>
      <c r="BWK27" s="98"/>
      <c r="BWL27" s="98"/>
      <c r="BWM27" s="98"/>
      <c r="BWN27" s="98"/>
      <c r="BWO27" s="98"/>
      <c r="BWP27" s="98"/>
      <c r="BWQ27" s="98"/>
      <c r="BWR27" s="98"/>
      <c r="BWS27" s="98"/>
      <c r="BWT27" s="98"/>
      <c r="BWU27" s="98"/>
      <c r="BWV27" s="98"/>
      <c r="BWW27" s="98"/>
      <c r="BWX27" s="98"/>
      <c r="BWY27" s="98"/>
      <c r="BWZ27" s="98"/>
      <c r="BXA27" s="98"/>
      <c r="BXB27" s="98"/>
      <c r="BXC27" s="98"/>
      <c r="BXD27" s="98"/>
      <c r="BXE27" s="98"/>
      <c r="BXF27" s="98"/>
      <c r="BXG27" s="98"/>
      <c r="BXH27" s="98"/>
      <c r="BXI27" s="98"/>
      <c r="BXJ27" s="98"/>
      <c r="BXK27" s="98"/>
      <c r="BXL27" s="98"/>
      <c r="BXM27" s="98"/>
      <c r="BXN27" s="98"/>
      <c r="BXO27" s="98"/>
      <c r="BXP27" s="98"/>
      <c r="BXQ27" s="98"/>
      <c r="BXR27" s="98"/>
      <c r="BXS27" s="98"/>
      <c r="BXT27" s="98"/>
      <c r="BXU27" s="98"/>
      <c r="BXV27" s="98"/>
      <c r="BXW27" s="98"/>
      <c r="BXX27" s="98"/>
      <c r="BXY27" s="98"/>
      <c r="BXZ27" s="98"/>
      <c r="BYA27" s="98"/>
      <c r="BYB27" s="98"/>
      <c r="BYC27" s="98"/>
      <c r="BYD27" s="98"/>
      <c r="BYE27" s="98"/>
      <c r="BYF27" s="98"/>
      <c r="BYG27" s="98"/>
      <c r="BYH27" s="98"/>
      <c r="BYI27" s="98"/>
      <c r="BYJ27" s="98"/>
      <c r="BYK27" s="98"/>
      <c r="BYL27" s="98"/>
      <c r="BYM27" s="98"/>
      <c r="BYN27" s="98"/>
      <c r="BYO27" s="98"/>
      <c r="BYP27" s="98"/>
      <c r="BYQ27" s="98"/>
      <c r="BYR27" s="98"/>
      <c r="BYS27" s="98"/>
      <c r="BYT27" s="98"/>
      <c r="BYU27" s="98"/>
      <c r="BYV27" s="98"/>
      <c r="BYW27" s="98"/>
      <c r="BYX27" s="98"/>
      <c r="BYY27" s="98"/>
      <c r="BYZ27" s="98"/>
      <c r="BZA27" s="98"/>
      <c r="BZB27" s="98"/>
      <c r="BZC27" s="98"/>
      <c r="BZD27" s="98"/>
      <c r="BZE27" s="98"/>
      <c r="BZF27" s="98"/>
      <c r="BZG27" s="98"/>
      <c r="BZH27" s="98"/>
      <c r="BZI27" s="98"/>
      <c r="BZJ27" s="98"/>
      <c r="BZK27" s="98"/>
      <c r="BZL27" s="98"/>
      <c r="BZM27" s="98"/>
      <c r="BZN27" s="98"/>
      <c r="BZO27" s="98"/>
      <c r="BZP27" s="98"/>
      <c r="BZQ27" s="98"/>
      <c r="BZR27" s="98"/>
      <c r="BZS27" s="98"/>
      <c r="BZT27" s="98"/>
      <c r="BZU27" s="98"/>
      <c r="BZV27" s="98"/>
      <c r="BZW27" s="98"/>
      <c r="BZX27" s="98"/>
      <c r="BZY27" s="98"/>
      <c r="BZZ27" s="98"/>
      <c r="CAA27" s="98"/>
      <c r="CAB27" s="98"/>
      <c r="CAC27" s="98"/>
      <c r="CAD27" s="98"/>
      <c r="CAE27" s="98"/>
      <c r="CAF27" s="98"/>
      <c r="CAG27" s="98"/>
      <c r="CAH27" s="98"/>
      <c r="CAI27" s="98"/>
      <c r="CAJ27" s="98"/>
      <c r="CAK27" s="98"/>
      <c r="CAL27" s="98"/>
      <c r="CAM27" s="98"/>
      <c r="CAN27" s="98"/>
      <c r="CAO27" s="98"/>
      <c r="CAP27" s="98"/>
      <c r="CAQ27" s="98"/>
      <c r="CAR27" s="98"/>
      <c r="CAS27" s="98"/>
      <c r="CAT27" s="98"/>
      <c r="CAU27" s="98"/>
      <c r="CAV27" s="98"/>
      <c r="CAW27" s="98"/>
      <c r="CAX27" s="98"/>
      <c r="CAY27" s="98"/>
      <c r="CAZ27" s="98"/>
      <c r="CBA27" s="98"/>
      <c r="CBB27" s="98"/>
      <c r="CBC27" s="98"/>
      <c r="CBD27" s="98"/>
      <c r="CBE27" s="98"/>
      <c r="CBF27" s="98"/>
      <c r="CBG27" s="98"/>
      <c r="CBH27" s="98"/>
      <c r="CBI27" s="98"/>
      <c r="CBJ27" s="98"/>
      <c r="CBK27" s="98"/>
      <c r="CBL27" s="98"/>
      <c r="CBM27" s="98"/>
      <c r="CBN27" s="98"/>
      <c r="CBO27" s="98"/>
      <c r="CBP27" s="98"/>
      <c r="CBQ27" s="98"/>
      <c r="CBR27" s="98"/>
      <c r="CBS27" s="98"/>
      <c r="CBT27" s="98"/>
      <c r="CBU27" s="98"/>
      <c r="CBV27" s="98"/>
      <c r="CBW27" s="98"/>
      <c r="CBX27" s="98"/>
      <c r="CBY27" s="98"/>
      <c r="CBZ27" s="98"/>
      <c r="CCA27" s="98"/>
      <c r="CCB27" s="98"/>
      <c r="CCC27" s="98"/>
      <c r="CCD27" s="98"/>
      <c r="CCE27" s="98"/>
      <c r="CCF27" s="98"/>
      <c r="CCG27" s="98"/>
      <c r="CCH27" s="98"/>
      <c r="CCI27" s="98"/>
      <c r="CCJ27" s="98"/>
      <c r="CCK27" s="98"/>
      <c r="CCL27" s="98"/>
      <c r="CCM27" s="98"/>
      <c r="CCN27" s="98"/>
      <c r="CCO27" s="98"/>
      <c r="CCP27" s="98"/>
      <c r="CCQ27" s="98"/>
      <c r="CCR27" s="98"/>
      <c r="CCS27" s="98"/>
      <c r="CCT27" s="98"/>
      <c r="CCU27" s="98"/>
      <c r="CCV27" s="98"/>
      <c r="CCW27" s="98"/>
      <c r="CCX27" s="98"/>
      <c r="CCY27" s="98"/>
      <c r="CCZ27" s="98"/>
      <c r="CDA27" s="98"/>
      <c r="CDB27" s="98"/>
      <c r="CDC27" s="98"/>
      <c r="CDD27" s="98"/>
      <c r="CDE27" s="98"/>
      <c r="CDF27" s="98"/>
      <c r="CDG27" s="98"/>
      <c r="CDH27" s="98"/>
      <c r="CDI27" s="98"/>
      <c r="CDJ27" s="98"/>
      <c r="CDK27" s="98"/>
      <c r="CDL27" s="98"/>
      <c r="CDM27" s="98"/>
      <c r="CDN27" s="98"/>
      <c r="CDO27" s="98"/>
      <c r="CDP27" s="98"/>
      <c r="CDQ27" s="98"/>
      <c r="CDR27" s="98"/>
      <c r="CDS27" s="98"/>
      <c r="CDT27" s="98"/>
      <c r="CDU27" s="98"/>
      <c r="CDV27" s="98"/>
      <c r="CDW27" s="98"/>
      <c r="CDX27" s="98"/>
      <c r="CDY27" s="98"/>
      <c r="CDZ27" s="98"/>
      <c r="CEA27" s="98"/>
      <c r="CEB27" s="98"/>
      <c r="CEC27" s="98"/>
      <c r="CED27" s="98"/>
      <c r="CEE27" s="98"/>
      <c r="CEF27" s="98"/>
      <c r="CEG27" s="98"/>
      <c r="CEH27" s="98"/>
      <c r="CEI27" s="98"/>
      <c r="CEJ27" s="98"/>
      <c r="CEK27" s="98"/>
      <c r="CEL27" s="98"/>
      <c r="CEM27" s="98"/>
      <c r="CEN27" s="98"/>
      <c r="CEO27" s="98"/>
      <c r="CEP27" s="98"/>
      <c r="CEQ27" s="98"/>
      <c r="CER27" s="98"/>
      <c r="CES27" s="98"/>
      <c r="CET27" s="98"/>
      <c r="CEU27" s="98"/>
      <c r="CEV27" s="98"/>
      <c r="CEW27" s="98"/>
      <c r="CEX27" s="98"/>
      <c r="CEY27" s="98"/>
      <c r="CEZ27" s="98"/>
      <c r="CFA27" s="98"/>
      <c r="CFB27" s="98"/>
      <c r="CFC27" s="98"/>
      <c r="CFD27" s="98"/>
      <c r="CFE27" s="98"/>
      <c r="CFF27" s="98"/>
      <c r="CFG27" s="98"/>
      <c r="CFH27" s="98"/>
      <c r="CFI27" s="98"/>
      <c r="CFJ27" s="98"/>
      <c r="CFK27" s="98"/>
      <c r="CFL27" s="98"/>
      <c r="CFM27" s="98"/>
      <c r="CFN27" s="98"/>
      <c r="CFO27" s="98"/>
      <c r="CFP27" s="98"/>
      <c r="CFQ27" s="98"/>
      <c r="CFR27" s="98"/>
      <c r="CFS27" s="98"/>
      <c r="CFT27" s="98"/>
      <c r="CFU27" s="98"/>
      <c r="CFV27" s="98"/>
      <c r="CFW27" s="98"/>
      <c r="CFX27" s="98"/>
      <c r="CFY27" s="98"/>
      <c r="CFZ27" s="98"/>
      <c r="CGA27" s="98"/>
      <c r="CGB27" s="98"/>
      <c r="CGC27" s="98"/>
      <c r="CGD27" s="98"/>
      <c r="CGE27" s="98"/>
      <c r="CGF27" s="98"/>
      <c r="CGG27" s="98"/>
      <c r="CGH27" s="98"/>
      <c r="CGI27" s="98"/>
      <c r="CGJ27" s="98"/>
      <c r="CGK27" s="98"/>
      <c r="CGL27" s="98"/>
      <c r="CGM27" s="98"/>
      <c r="CGN27" s="98"/>
      <c r="CGO27" s="98"/>
      <c r="CGP27" s="98"/>
      <c r="CGQ27" s="98"/>
      <c r="CGR27" s="98"/>
      <c r="CGS27" s="98"/>
      <c r="CGT27" s="98"/>
      <c r="CGU27" s="98"/>
      <c r="CGV27" s="98"/>
      <c r="CGW27" s="98"/>
      <c r="CGX27" s="98"/>
      <c r="CGY27" s="98"/>
      <c r="CGZ27" s="98"/>
      <c r="CHA27" s="98"/>
      <c r="CHB27" s="98"/>
      <c r="CHC27" s="98"/>
      <c r="CHD27" s="98"/>
      <c r="CHE27" s="98"/>
      <c r="CHF27" s="98"/>
      <c r="CHG27" s="98"/>
      <c r="CHH27" s="98"/>
      <c r="CHI27" s="98"/>
      <c r="CHJ27" s="98"/>
      <c r="CHK27" s="98"/>
      <c r="CHL27" s="98"/>
      <c r="CHM27" s="98"/>
      <c r="CHN27" s="98"/>
      <c r="CHO27" s="98"/>
      <c r="CHP27" s="98"/>
      <c r="CHQ27" s="98"/>
      <c r="CHR27" s="98"/>
      <c r="CHS27" s="98"/>
      <c r="CHT27" s="98"/>
      <c r="CHU27" s="98"/>
      <c r="CHV27" s="98"/>
      <c r="CHW27" s="98"/>
      <c r="CHX27" s="98"/>
      <c r="CHY27" s="98"/>
      <c r="CHZ27" s="98"/>
      <c r="CIA27" s="98"/>
      <c r="CIB27" s="98"/>
      <c r="CIC27" s="98"/>
      <c r="CID27" s="98"/>
      <c r="CIE27" s="98"/>
      <c r="CIF27" s="98"/>
      <c r="CIG27" s="98"/>
      <c r="CIH27" s="98"/>
      <c r="CII27" s="98"/>
      <c r="CIJ27" s="98"/>
      <c r="CIK27" s="98"/>
      <c r="CIL27" s="98"/>
      <c r="CIM27" s="98"/>
      <c r="CIN27" s="98"/>
      <c r="CIO27" s="98"/>
      <c r="CIP27" s="98"/>
      <c r="CIQ27" s="98"/>
      <c r="CIR27" s="98"/>
      <c r="CIS27" s="98"/>
      <c r="CIT27" s="98"/>
      <c r="CIU27" s="98"/>
      <c r="CIV27" s="98"/>
      <c r="CIW27" s="98"/>
      <c r="CIX27" s="98"/>
      <c r="CIY27" s="98"/>
      <c r="CIZ27" s="98"/>
      <c r="CJA27" s="98"/>
      <c r="CJB27" s="98"/>
      <c r="CJC27" s="98"/>
      <c r="CJD27" s="98"/>
      <c r="CJE27" s="98"/>
      <c r="CJF27" s="98"/>
      <c r="CJG27" s="98"/>
      <c r="CJH27" s="98"/>
      <c r="CJI27" s="98"/>
      <c r="CJJ27" s="98"/>
      <c r="CJK27" s="98"/>
      <c r="CJL27" s="98"/>
      <c r="CJM27" s="98"/>
      <c r="CJN27" s="98"/>
      <c r="CJO27" s="98"/>
      <c r="CJP27" s="98"/>
      <c r="CJQ27" s="98"/>
      <c r="CJR27" s="98"/>
      <c r="CJS27" s="98"/>
      <c r="CJT27" s="98"/>
      <c r="CJU27" s="98"/>
      <c r="CJV27" s="98"/>
      <c r="CJW27" s="98"/>
      <c r="CJX27" s="98"/>
      <c r="CJY27" s="98"/>
      <c r="CJZ27" s="98"/>
      <c r="CKA27" s="98"/>
      <c r="CKB27" s="98"/>
      <c r="CKC27" s="98"/>
      <c r="CKD27" s="98"/>
      <c r="CKE27" s="98"/>
      <c r="CKF27" s="98"/>
      <c r="CKG27" s="98"/>
      <c r="CKH27" s="98"/>
      <c r="CKI27" s="98"/>
      <c r="CKJ27" s="98"/>
      <c r="CKK27" s="98"/>
      <c r="CKL27" s="98"/>
      <c r="CKM27" s="98"/>
      <c r="CKN27" s="98"/>
      <c r="CKO27" s="98"/>
      <c r="CKP27" s="98"/>
      <c r="CKQ27" s="98"/>
      <c r="CKR27" s="98"/>
      <c r="CKS27" s="98"/>
      <c r="CKT27" s="98"/>
      <c r="CKU27" s="98"/>
      <c r="CKV27" s="98"/>
      <c r="CKW27" s="98"/>
      <c r="CKX27" s="98"/>
      <c r="CKY27" s="98"/>
      <c r="CKZ27" s="98"/>
      <c r="CLA27" s="98"/>
      <c r="CLB27" s="98"/>
      <c r="CLC27" s="98"/>
      <c r="CLD27" s="98"/>
      <c r="CLE27" s="98"/>
      <c r="CLF27" s="98"/>
      <c r="CLG27" s="98"/>
      <c r="CLH27" s="98"/>
      <c r="CLI27" s="98"/>
      <c r="CLJ27" s="98"/>
      <c r="CLK27" s="98"/>
      <c r="CLL27" s="98"/>
      <c r="CLM27" s="98"/>
      <c r="CLN27" s="98"/>
      <c r="CLO27" s="98"/>
      <c r="CLP27" s="98"/>
      <c r="CLQ27" s="98"/>
      <c r="CLR27" s="98"/>
      <c r="CLS27" s="98"/>
      <c r="CLT27" s="98"/>
      <c r="CLU27" s="98"/>
      <c r="CLV27" s="98"/>
      <c r="CLW27" s="98"/>
      <c r="CLX27" s="98"/>
      <c r="CLY27" s="98"/>
      <c r="CLZ27" s="98"/>
      <c r="CMA27" s="98"/>
      <c r="CMB27" s="98"/>
      <c r="CMC27" s="98"/>
      <c r="CMD27" s="98"/>
      <c r="CME27" s="98"/>
      <c r="CMF27" s="98"/>
      <c r="CMG27" s="98"/>
      <c r="CMH27" s="98"/>
      <c r="CMI27" s="98"/>
      <c r="CMJ27" s="98"/>
      <c r="CMK27" s="98"/>
      <c r="CML27" s="98"/>
      <c r="CMM27" s="98"/>
      <c r="CMN27" s="98"/>
      <c r="CMO27" s="98"/>
      <c r="CMP27" s="98"/>
      <c r="CMQ27" s="98"/>
      <c r="CMR27" s="98"/>
      <c r="CMS27" s="98"/>
      <c r="CMT27" s="98"/>
      <c r="CMU27" s="98"/>
      <c r="CMV27" s="98"/>
      <c r="CMW27" s="98"/>
      <c r="CMX27" s="98"/>
      <c r="CMY27" s="98"/>
      <c r="CMZ27" s="98"/>
      <c r="CNA27" s="98"/>
      <c r="CNB27" s="98"/>
      <c r="CNC27" s="98"/>
      <c r="CND27" s="98"/>
      <c r="CNE27" s="98"/>
      <c r="CNF27" s="98"/>
      <c r="CNG27" s="98"/>
      <c r="CNH27" s="98"/>
      <c r="CNI27" s="98"/>
      <c r="CNJ27" s="98"/>
      <c r="CNK27" s="98"/>
      <c r="CNL27" s="98"/>
      <c r="CNM27" s="98"/>
      <c r="CNN27" s="98"/>
      <c r="CNO27" s="98"/>
      <c r="CNP27" s="98"/>
      <c r="CNQ27" s="98"/>
      <c r="CNR27" s="98"/>
      <c r="CNS27" s="98"/>
      <c r="CNT27" s="98"/>
      <c r="CNU27" s="98"/>
      <c r="CNV27" s="98"/>
      <c r="CNW27" s="98"/>
      <c r="CNX27" s="98"/>
      <c r="CNY27" s="98"/>
      <c r="CNZ27" s="98"/>
      <c r="COA27" s="98"/>
      <c r="COB27" s="98"/>
      <c r="COC27" s="98"/>
      <c r="COD27" s="98"/>
      <c r="COE27" s="98"/>
      <c r="COF27" s="98"/>
      <c r="COG27" s="98"/>
      <c r="COH27" s="98"/>
      <c r="COI27" s="98"/>
      <c r="COJ27" s="98"/>
      <c r="COK27" s="98"/>
      <c r="COL27" s="98"/>
      <c r="COM27" s="98"/>
      <c r="CON27" s="98"/>
      <c r="COO27" s="98"/>
      <c r="COP27" s="98"/>
      <c r="COQ27" s="98"/>
      <c r="COR27" s="98"/>
      <c r="COS27" s="98"/>
      <c r="COT27" s="98"/>
      <c r="COU27" s="98"/>
      <c r="COV27" s="98"/>
      <c r="COW27" s="98"/>
      <c r="COX27" s="98"/>
      <c r="COY27" s="98"/>
      <c r="COZ27" s="98"/>
      <c r="CPA27" s="98"/>
      <c r="CPB27" s="98"/>
      <c r="CPC27" s="98"/>
      <c r="CPD27" s="98"/>
      <c r="CPE27" s="98"/>
      <c r="CPF27" s="98"/>
      <c r="CPG27" s="98"/>
      <c r="CPH27" s="98"/>
      <c r="CPI27" s="98"/>
      <c r="CPJ27" s="98"/>
      <c r="CPK27" s="98"/>
      <c r="CPL27" s="98"/>
      <c r="CPM27" s="98"/>
      <c r="CPN27" s="98"/>
      <c r="CPO27" s="98"/>
      <c r="CPP27" s="98"/>
      <c r="CPQ27" s="98"/>
      <c r="CPR27" s="98"/>
      <c r="CPS27" s="98"/>
      <c r="CPT27" s="98"/>
      <c r="CPU27" s="98"/>
      <c r="CPV27" s="98"/>
      <c r="CPW27" s="98"/>
      <c r="CPX27" s="98"/>
      <c r="CPY27" s="98"/>
      <c r="CPZ27" s="98"/>
      <c r="CQA27" s="98"/>
      <c r="CQB27" s="98"/>
      <c r="CQC27" s="98"/>
      <c r="CQD27" s="98"/>
      <c r="CQE27" s="98"/>
      <c r="CQF27" s="98"/>
      <c r="CQG27" s="98"/>
      <c r="CQH27" s="98"/>
      <c r="CQI27" s="98"/>
      <c r="CQJ27" s="98"/>
      <c r="CQK27" s="98"/>
      <c r="CQL27" s="98"/>
      <c r="CQM27" s="98"/>
      <c r="CQN27" s="98"/>
      <c r="CQO27" s="98"/>
      <c r="CQP27" s="98"/>
      <c r="CQQ27" s="98"/>
      <c r="CQR27" s="98"/>
      <c r="CQS27" s="98"/>
      <c r="CQT27" s="98"/>
      <c r="CQU27" s="98"/>
      <c r="CQV27" s="98"/>
      <c r="CQW27" s="98"/>
      <c r="CQX27" s="98"/>
      <c r="CQY27" s="98"/>
      <c r="CQZ27" s="98"/>
      <c r="CRA27" s="98"/>
      <c r="CRB27" s="98"/>
      <c r="CRC27" s="98"/>
      <c r="CRD27" s="98"/>
      <c r="CRE27" s="98"/>
      <c r="CRF27" s="98"/>
      <c r="CRG27" s="98"/>
      <c r="CRH27" s="98"/>
      <c r="CRI27" s="98"/>
      <c r="CRJ27" s="98"/>
      <c r="CRK27" s="98"/>
      <c r="CRL27" s="98"/>
      <c r="CRM27" s="98"/>
      <c r="CRN27" s="98"/>
      <c r="CRO27" s="98"/>
      <c r="CRP27" s="98"/>
      <c r="CRQ27" s="98"/>
      <c r="CRR27" s="98"/>
      <c r="CRS27" s="98"/>
      <c r="CRT27" s="98"/>
      <c r="CRU27" s="98"/>
      <c r="CRV27" s="98"/>
      <c r="CRW27" s="98"/>
      <c r="CRX27" s="98"/>
      <c r="CRY27" s="98"/>
      <c r="CRZ27" s="98"/>
      <c r="CSA27" s="98"/>
      <c r="CSB27" s="98"/>
      <c r="CSC27" s="98"/>
      <c r="CSD27" s="98"/>
      <c r="CSE27" s="98"/>
      <c r="CSF27" s="98"/>
      <c r="CSG27" s="98"/>
      <c r="CSH27" s="98"/>
      <c r="CSI27" s="98"/>
      <c r="CSJ27" s="98"/>
      <c r="CSK27" s="98"/>
      <c r="CSL27" s="98"/>
      <c r="CSM27" s="98"/>
      <c r="CSN27" s="98"/>
      <c r="CSO27" s="98"/>
      <c r="CSP27" s="98"/>
      <c r="CSQ27" s="98"/>
      <c r="CSR27" s="98"/>
      <c r="CSS27" s="98"/>
      <c r="CST27" s="98"/>
      <c r="CSU27" s="98"/>
      <c r="CSV27" s="98"/>
      <c r="CSW27" s="98"/>
      <c r="CSX27" s="98"/>
      <c r="CSY27" s="98"/>
      <c r="CSZ27" s="98"/>
      <c r="CTA27" s="98"/>
      <c r="CTB27" s="98"/>
      <c r="CTC27" s="98"/>
      <c r="CTD27" s="98"/>
      <c r="CTE27" s="98"/>
      <c r="CTF27" s="98"/>
      <c r="CTG27" s="98"/>
      <c r="CTH27" s="98"/>
      <c r="CTI27" s="98"/>
      <c r="CTJ27" s="98"/>
      <c r="CTK27" s="98"/>
      <c r="CTL27" s="98"/>
      <c r="CTM27" s="98"/>
      <c r="CTN27" s="98"/>
      <c r="CTO27" s="98"/>
      <c r="CTP27" s="98"/>
      <c r="CTQ27" s="98"/>
      <c r="CTR27" s="98"/>
      <c r="CTS27" s="98"/>
      <c r="CTT27" s="98"/>
      <c r="CTU27" s="98"/>
      <c r="CTV27" s="98"/>
      <c r="CTW27" s="98"/>
      <c r="CTX27" s="98"/>
      <c r="CTY27" s="98"/>
      <c r="CTZ27" s="98"/>
      <c r="CUA27" s="98"/>
      <c r="CUB27" s="98"/>
      <c r="CUC27" s="98"/>
      <c r="CUD27" s="98"/>
      <c r="CUE27" s="98"/>
      <c r="CUF27" s="98"/>
      <c r="CUG27" s="98"/>
      <c r="CUH27" s="98"/>
      <c r="CUI27" s="98"/>
      <c r="CUJ27" s="98"/>
      <c r="CUK27" s="98"/>
      <c r="CUL27" s="98"/>
      <c r="CUM27" s="98"/>
      <c r="CUN27" s="98"/>
      <c r="CUO27" s="98"/>
      <c r="CUP27" s="98"/>
      <c r="CUQ27" s="98"/>
      <c r="CUR27" s="98"/>
      <c r="CUS27" s="98"/>
      <c r="CUT27" s="98"/>
      <c r="CUU27" s="98"/>
      <c r="CUV27" s="98"/>
      <c r="CUW27" s="98"/>
      <c r="CUX27" s="98"/>
      <c r="CUY27" s="98"/>
      <c r="CUZ27" s="98"/>
      <c r="CVA27" s="98"/>
      <c r="CVB27" s="98"/>
      <c r="CVC27" s="98"/>
      <c r="CVD27" s="98"/>
      <c r="CVE27" s="98"/>
      <c r="CVF27" s="98"/>
      <c r="CVG27" s="98"/>
      <c r="CVH27" s="98"/>
      <c r="CVI27" s="98"/>
      <c r="CVJ27" s="98"/>
      <c r="CVK27" s="98"/>
      <c r="CVL27" s="98"/>
      <c r="CVM27" s="98"/>
      <c r="CVN27" s="98"/>
      <c r="CVO27" s="98"/>
      <c r="CVP27" s="98"/>
      <c r="CVQ27" s="98"/>
      <c r="CVR27" s="98"/>
      <c r="CVS27" s="98"/>
      <c r="CVT27" s="98"/>
      <c r="CVU27" s="98"/>
      <c r="CVV27" s="98"/>
      <c r="CVW27" s="98"/>
      <c r="CVX27" s="98"/>
      <c r="CVY27" s="98"/>
      <c r="CVZ27" s="98"/>
      <c r="CWA27" s="98"/>
      <c r="CWB27" s="98"/>
      <c r="CWC27" s="98"/>
      <c r="CWD27" s="98"/>
      <c r="CWE27" s="98"/>
      <c r="CWF27" s="98"/>
      <c r="CWG27" s="98"/>
      <c r="CWH27" s="98"/>
      <c r="CWI27" s="98"/>
      <c r="CWJ27" s="98"/>
      <c r="CWK27" s="98"/>
      <c r="CWL27" s="98"/>
      <c r="CWM27" s="98"/>
      <c r="CWN27" s="98"/>
      <c r="CWO27" s="98"/>
      <c r="CWP27" s="98"/>
      <c r="CWQ27" s="98"/>
      <c r="CWR27" s="98"/>
      <c r="CWS27" s="98"/>
      <c r="CWT27" s="98"/>
      <c r="CWU27" s="98"/>
      <c r="CWV27" s="98"/>
      <c r="CWW27" s="98"/>
      <c r="CWX27" s="98"/>
      <c r="CWY27" s="98"/>
      <c r="CWZ27" s="98"/>
      <c r="CXA27" s="98"/>
      <c r="CXB27" s="98"/>
      <c r="CXC27" s="98"/>
      <c r="CXD27" s="98"/>
      <c r="CXE27" s="98"/>
      <c r="CXF27" s="98"/>
      <c r="CXG27" s="98"/>
      <c r="CXH27" s="98"/>
      <c r="CXI27" s="98"/>
      <c r="CXJ27" s="98"/>
      <c r="CXK27" s="98"/>
      <c r="CXL27" s="98"/>
      <c r="CXM27" s="98"/>
      <c r="CXN27" s="98"/>
      <c r="CXO27" s="98"/>
      <c r="CXP27" s="98"/>
      <c r="CXQ27" s="98"/>
      <c r="CXR27" s="98"/>
      <c r="CXS27" s="98"/>
      <c r="CXT27" s="98"/>
      <c r="CXU27" s="98"/>
      <c r="CXV27" s="98"/>
      <c r="CXW27" s="98"/>
      <c r="CXX27" s="98"/>
      <c r="CXY27" s="98"/>
      <c r="CXZ27" s="98"/>
      <c r="CYA27" s="98"/>
      <c r="CYB27" s="98"/>
      <c r="CYC27" s="98"/>
      <c r="CYD27" s="98"/>
      <c r="CYE27" s="98"/>
      <c r="CYF27" s="98"/>
      <c r="CYG27" s="98"/>
      <c r="CYH27" s="98"/>
      <c r="CYI27" s="98"/>
      <c r="CYJ27" s="98"/>
      <c r="CYK27" s="98"/>
      <c r="CYL27" s="98"/>
      <c r="CYM27" s="98"/>
      <c r="CYN27" s="98"/>
      <c r="CYO27" s="98"/>
      <c r="CYP27" s="98"/>
      <c r="CYQ27" s="98"/>
      <c r="CYR27" s="98"/>
      <c r="CYS27" s="98"/>
      <c r="CYT27" s="98"/>
      <c r="CYU27" s="98"/>
      <c r="CYV27" s="98"/>
      <c r="CYW27" s="98"/>
      <c r="CYX27" s="98"/>
      <c r="CYY27" s="98"/>
      <c r="CYZ27" s="98"/>
      <c r="CZA27" s="98"/>
      <c r="CZB27" s="98"/>
      <c r="CZC27" s="98"/>
      <c r="CZD27" s="98"/>
      <c r="CZE27" s="98"/>
      <c r="CZF27" s="98"/>
      <c r="CZG27" s="98"/>
      <c r="CZH27" s="98"/>
      <c r="CZI27" s="98"/>
      <c r="CZJ27" s="98"/>
      <c r="CZK27" s="98"/>
      <c r="CZL27" s="98"/>
      <c r="CZM27" s="98"/>
      <c r="CZN27" s="98"/>
      <c r="CZO27" s="98"/>
      <c r="CZP27" s="98"/>
      <c r="CZQ27" s="98"/>
      <c r="CZR27" s="98"/>
      <c r="CZS27" s="98"/>
      <c r="CZT27" s="98"/>
      <c r="CZU27" s="98"/>
      <c r="CZV27" s="98"/>
      <c r="CZW27" s="98"/>
      <c r="CZX27" s="98"/>
      <c r="CZY27" s="98"/>
      <c r="CZZ27" s="98"/>
      <c r="DAA27" s="98"/>
      <c r="DAB27" s="98"/>
      <c r="DAC27" s="98"/>
      <c r="DAD27" s="98"/>
      <c r="DAE27" s="98"/>
      <c r="DAF27" s="98"/>
      <c r="DAG27" s="98"/>
      <c r="DAH27" s="98"/>
      <c r="DAI27" s="98"/>
      <c r="DAJ27" s="98"/>
      <c r="DAK27" s="98"/>
      <c r="DAL27" s="98"/>
      <c r="DAM27" s="98"/>
      <c r="DAN27" s="98"/>
      <c r="DAO27" s="98"/>
      <c r="DAP27" s="98"/>
      <c r="DAQ27" s="98"/>
      <c r="DAR27" s="98"/>
      <c r="DAS27" s="98"/>
      <c r="DAT27" s="98"/>
      <c r="DAU27" s="98"/>
      <c r="DAV27" s="98"/>
      <c r="DAW27" s="98"/>
      <c r="DAX27" s="98"/>
      <c r="DAY27" s="98"/>
      <c r="DAZ27" s="98"/>
      <c r="DBA27" s="98"/>
      <c r="DBB27" s="98"/>
      <c r="DBC27" s="98"/>
      <c r="DBD27" s="98"/>
      <c r="DBE27" s="98"/>
      <c r="DBF27" s="98"/>
      <c r="DBG27" s="98"/>
      <c r="DBH27" s="98"/>
      <c r="DBI27" s="98"/>
      <c r="DBJ27" s="98"/>
      <c r="DBK27" s="98"/>
      <c r="DBL27" s="98"/>
      <c r="DBM27" s="98"/>
      <c r="DBN27" s="98"/>
      <c r="DBO27" s="98"/>
      <c r="DBP27" s="98"/>
      <c r="DBQ27" s="98"/>
      <c r="DBR27" s="98"/>
      <c r="DBS27" s="98"/>
      <c r="DBT27" s="98"/>
      <c r="DBU27" s="98"/>
      <c r="DBV27" s="98"/>
      <c r="DBW27" s="98"/>
      <c r="DBX27" s="98"/>
      <c r="DBY27" s="98"/>
      <c r="DBZ27" s="98"/>
      <c r="DCA27" s="98"/>
      <c r="DCB27" s="98"/>
      <c r="DCC27" s="98"/>
      <c r="DCD27" s="98"/>
      <c r="DCE27" s="98"/>
      <c r="DCF27" s="98"/>
      <c r="DCG27" s="98"/>
      <c r="DCH27" s="98"/>
      <c r="DCI27" s="98"/>
      <c r="DCJ27" s="98"/>
      <c r="DCK27" s="98"/>
      <c r="DCL27" s="98"/>
      <c r="DCM27" s="98"/>
      <c r="DCN27" s="98"/>
      <c r="DCO27" s="98"/>
      <c r="DCP27" s="98"/>
      <c r="DCQ27" s="98"/>
      <c r="DCR27" s="98"/>
      <c r="DCS27" s="98"/>
      <c r="DCT27" s="98"/>
      <c r="DCU27" s="98"/>
      <c r="DCV27" s="98"/>
      <c r="DCW27" s="98"/>
      <c r="DCX27" s="98"/>
      <c r="DCY27" s="98"/>
      <c r="DCZ27" s="98"/>
      <c r="DDA27" s="98"/>
      <c r="DDB27" s="98"/>
      <c r="DDC27" s="98"/>
      <c r="DDD27" s="98"/>
      <c r="DDE27" s="98"/>
      <c r="DDF27" s="98"/>
      <c r="DDG27" s="98"/>
      <c r="DDH27" s="98"/>
      <c r="DDI27" s="98"/>
      <c r="DDJ27" s="98"/>
      <c r="DDK27" s="98"/>
      <c r="DDL27" s="98"/>
      <c r="DDM27" s="98"/>
      <c r="DDN27" s="98"/>
      <c r="DDO27" s="98"/>
      <c r="DDP27" s="98"/>
      <c r="DDQ27" s="98"/>
      <c r="DDR27" s="98"/>
      <c r="DDS27" s="98"/>
      <c r="DDT27" s="98"/>
      <c r="DDU27" s="98"/>
      <c r="DDV27" s="98"/>
      <c r="DDW27" s="98"/>
      <c r="DDX27" s="98"/>
      <c r="DDY27" s="98"/>
      <c r="DDZ27" s="98"/>
      <c r="DEA27" s="98"/>
      <c r="DEB27" s="98"/>
      <c r="DEC27" s="98"/>
      <c r="DED27" s="98"/>
      <c r="DEE27" s="98"/>
      <c r="DEF27" s="98"/>
      <c r="DEG27" s="98"/>
      <c r="DEH27" s="98"/>
      <c r="DEI27" s="98"/>
      <c r="DEJ27" s="98"/>
      <c r="DEK27" s="98"/>
      <c r="DEL27" s="98"/>
      <c r="DEM27" s="98"/>
      <c r="DEN27" s="98"/>
      <c r="DEO27" s="98"/>
      <c r="DEP27" s="98"/>
      <c r="DEQ27" s="98"/>
      <c r="DER27" s="98"/>
      <c r="DES27" s="98"/>
      <c r="DET27" s="98"/>
      <c r="DEU27" s="98"/>
      <c r="DEV27" s="98"/>
      <c r="DEW27" s="98"/>
      <c r="DEX27" s="98"/>
      <c r="DEY27" s="98"/>
      <c r="DEZ27" s="98"/>
      <c r="DFA27" s="98"/>
      <c r="DFB27" s="98"/>
      <c r="DFC27" s="98"/>
      <c r="DFD27" s="98"/>
      <c r="DFE27" s="98"/>
      <c r="DFF27" s="98"/>
      <c r="DFG27" s="98"/>
      <c r="DFH27" s="98"/>
      <c r="DFI27" s="98"/>
      <c r="DFJ27" s="98"/>
      <c r="DFK27" s="98"/>
      <c r="DFL27" s="98"/>
      <c r="DFM27" s="98"/>
      <c r="DFN27" s="98"/>
      <c r="DFO27" s="98"/>
      <c r="DFP27" s="98"/>
      <c r="DFQ27" s="98"/>
      <c r="DFR27" s="98"/>
      <c r="DFS27" s="98"/>
      <c r="DFT27" s="98"/>
      <c r="DFU27" s="98"/>
      <c r="DFV27" s="98"/>
      <c r="DFW27" s="98"/>
      <c r="DFX27" s="98"/>
      <c r="DFY27" s="98"/>
      <c r="DFZ27" s="98"/>
      <c r="DGA27" s="98"/>
      <c r="DGB27" s="98"/>
      <c r="DGC27" s="98"/>
      <c r="DGD27" s="98"/>
      <c r="DGE27" s="98"/>
      <c r="DGF27" s="98"/>
      <c r="DGG27" s="98"/>
      <c r="DGH27" s="98"/>
      <c r="DGI27" s="98"/>
      <c r="DGJ27" s="98"/>
      <c r="DGK27" s="98"/>
      <c r="DGL27" s="98"/>
      <c r="DGM27" s="98"/>
      <c r="DGN27" s="98"/>
      <c r="DGO27" s="98"/>
      <c r="DGP27" s="98"/>
      <c r="DGQ27" s="98"/>
      <c r="DGR27" s="98"/>
      <c r="DGS27" s="98"/>
      <c r="DGT27" s="98"/>
      <c r="DGU27" s="98"/>
      <c r="DGV27" s="98"/>
      <c r="DGW27" s="98"/>
      <c r="DGX27" s="98"/>
      <c r="DGY27" s="98"/>
      <c r="DGZ27" s="98"/>
      <c r="DHA27" s="98"/>
      <c r="DHB27" s="98"/>
      <c r="DHC27" s="98"/>
      <c r="DHD27" s="98"/>
      <c r="DHE27" s="98"/>
      <c r="DHF27" s="98"/>
      <c r="DHG27" s="98"/>
      <c r="DHH27" s="98"/>
      <c r="DHI27" s="98"/>
      <c r="DHJ27" s="98"/>
      <c r="DHK27" s="98"/>
      <c r="DHL27" s="98"/>
      <c r="DHM27" s="98"/>
      <c r="DHN27" s="98"/>
      <c r="DHO27" s="98"/>
      <c r="DHP27" s="98"/>
      <c r="DHQ27" s="98"/>
      <c r="DHR27" s="98"/>
      <c r="DHS27" s="98"/>
      <c r="DHT27" s="98"/>
      <c r="DHU27" s="98"/>
      <c r="DHV27" s="98"/>
      <c r="DHW27" s="98"/>
      <c r="DHX27" s="98"/>
      <c r="DHY27" s="98"/>
      <c r="DHZ27" s="98"/>
      <c r="DIA27" s="98"/>
      <c r="DIB27" s="98"/>
      <c r="DIC27" s="98"/>
      <c r="DID27" s="98"/>
      <c r="DIE27" s="98"/>
      <c r="DIF27" s="98"/>
      <c r="DIG27" s="98"/>
      <c r="DIH27" s="98"/>
      <c r="DII27" s="98"/>
      <c r="DIJ27" s="98"/>
      <c r="DIK27" s="98"/>
      <c r="DIL27" s="98"/>
      <c r="DIM27" s="98"/>
      <c r="DIN27" s="98"/>
      <c r="DIO27" s="98"/>
      <c r="DIP27" s="98"/>
      <c r="DIQ27" s="98"/>
      <c r="DIR27" s="98"/>
      <c r="DIS27" s="98"/>
      <c r="DIT27" s="98"/>
      <c r="DIU27" s="98"/>
      <c r="DIV27" s="98"/>
      <c r="DIW27" s="98"/>
      <c r="DIX27" s="98"/>
      <c r="DIY27" s="98"/>
      <c r="DIZ27" s="98"/>
      <c r="DJA27" s="98"/>
      <c r="DJB27" s="98"/>
      <c r="DJC27" s="98"/>
      <c r="DJD27" s="98"/>
      <c r="DJE27" s="98"/>
      <c r="DJF27" s="98"/>
      <c r="DJG27" s="98"/>
      <c r="DJH27" s="98"/>
      <c r="DJI27" s="98"/>
      <c r="DJJ27" s="98"/>
      <c r="DJK27" s="98"/>
      <c r="DJL27" s="98"/>
      <c r="DJM27" s="98"/>
      <c r="DJN27" s="98"/>
      <c r="DJO27" s="98"/>
      <c r="DJP27" s="98"/>
      <c r="DJQ27" s="98"/>
      <c r="DJR27" s="98"/>
      <c r="DJS27" s="98"/>
      <c r="DJT27" s="98"/>
      <c r="DJU27" s="98"/>
      <c r="DJV27" s="98"/>
      <c r="DJW27" s="98"/>
      <c r="DJX27" s="98"/>
      <c r="DJY27" s="98"/>
      <c r="DJZ27" s="98"/>
      <c r="DKA27" s="98"/>
      <c r="DKB27" s="98"/>
      <c r="DKC27" s="98"/>
      <c r="DKD27" s="98"/>
      <c r="DKE27" s="98"/>
      <c r="DKF27" s="98"/>
      <c r="DKG27" s="98"/>
      <c r="DKH27" s="98"/>
      <c r="DKI27" s="98"/>
      <c r="DKJ27" s="98"/>
      <c r="DKK27" s="98"/>
      <c r="DKL27" s="98"/>
      <c r="DKM27" s="98"/>
      <c r="DKN27" s="98"/>
      <c r="DKO27" s="98"/>
      <c r="DKP27" s="98"/>
      <c r="DKQ27" s="98"/>
      <c r="DKR27" s="98"/>
      <c r="DKS27" s="98"/>
      <c r="DKT27" s="98"/>
      <c r="DKU27" s="98"/>
      <c r="DKV27" s="98"/>
      <c r="DKW27" s="98"/>
      <c r="DKX27" s="98"/>
      <c r="DKY27" s="98"/>
      <c r="DKZ27" s="98"/>
      <c r="DLA27" s="98"/>
      <c r="DLB27" s="98"/>
      <c r="DLC27" s="98"/>
      <c r="DLD27" s="98"/>
      <c r="DLE27" s="98"/>
      <c r="DLF27" s="98"/>
      <c r="DLG27" s="98"/>
      <c r="DLH27" s="98"/>
      <c r="DLI27" s="98"/>
      <c r="DLJ27" s="98"/>
      <c r="DLK27" s="98"/>
      <c r="DLL27" s="98"/>
      <c r="DLM27" s="98"/>
      <c r="DLN27" s="98"/>
      <c r="DLO27" s="98"/>
      <c r="DLP27" s="98"/>
      <c r="DLQ27" s="98"/>
      <c r="DLR27" s="98"/>
      <c r="DLS27" s="98"/>
      <c r="DLT27" s="98"/>
      <c r="DLU27" s="98"/>
      <c r="DLV27" s="98"/>
      <c r="DLW27" s="98"/>
      <c r="DLX27" s="98"/>
      <c r="DLY27" s="98"/>
      <c r="DLZ27" s="98"/>
      <c r="DMA27" s="98"/>
      <c r="DMB27" s="98"/>
      <c r="DMC27" s="98"/>
      <c r="DMD27" s="98"/>
      <c r="DME27" s="98"/>
      <c r="DMF27" s="98"/>
      <c r="DMG27" s="98"/>
      <c r="DMH27" s="98"/>
      <c r="DMI27" s="98"/>
      <c r="DMJ27" s="98"/>
      <c r="DMK27" s="98"/>
      <c r="DML27" s="98"/>
      <c r="DMM27" s="98"/>
      <c r="DMN27" s="98"/>
      <c r="DMO27" s="98"/>
      <c r="DMP27" s="98"/>
      <c r="DMQ27" s="98"/>
      <c r="DMR27" s="98"/>
      <c r="DMS27" s="98"/>
      <c r="DMT27" s="98"/>
      <c r="DMU27" s="98"/>
      <c r="DMV27" s="98"/>
      <c r="DMW27" s="98"/>
      <c r="DMX27" s="98"/>
      <c r="DMY27" s="98"/>
      <c r="DMZ27" s="98"/>
      <c r="DNA27" s="98"/>
      <c r="DNB27" s="98"/>
      <c r="DNC27" s="98"/>
      <c r="DND27" s="98"/>
      <c r="DNE27" s="98"/>
      <c r="DNF27" s="98"/>
      <c r="DNG27" s="98"/>
      <c r="DNH27" s="98"/>
      <c r="DNI27" s="98"/>
      <c r="DNJ27" s="98"/>
      <c r="DNK27" s="98"/>
      <c r="DNL27" s="98"/>
      <c r="DNM27" s="98"/>
      <c r="DNN27" s="98"/>
      <c r="DNO27" s="98"/>
      <c r="DNP27" s="98"/>
      <c r="DNQ27" s="98"/>
      <c r="DNR27" s="98"/>
      <c r="DNS27" s="98"/>
      <c r="DNT27" s="98"/>
      <c r="DNU27" s="98"/>
      <c r="DNV27" s="98"/>
      <c r="DNW27" s="98"/>
      <c r="DNX27" s="98"/>
      <c r="DNY27" s="98"/>
      <c r="DNZ27" s="98"/>
      <c r="DOA27" s="98"/>
      <c r="DOB27" s="98"/>
      <c r="DOC27" s="98"/>
      <c r="DOD27" s="98"/>
      <c r="DOE27" s="98"/>
      <c r="DOF27" s="98"/>
      <c r="DOG27" s="98"/>
      <c r="DOH27" s="98"/>
      <c r="DOI27" s="98"/>
      <c r="DOJ27" s="98"/>
      <c r="DOK27" s="98"/>
      <c r="DOL27" s="98"/>
      <c r="DOM27" s="98"/>
      <c r="DON27" s="98"/>
      <c r="DOO27" s="98"/>
      <c r="DOP27" s="98"/>
      <c r="DOQ27" s="98"/>
      <c r="DOR27" s="98"/>
      <c r="DOS27" s="98"/>
      <c r="DOT27" s="98"/>
      <c r="DOU27" s="98"/>
      <c r="DOV27" s="98"/>
      <c r="DOW27" s="98"/>
      <c r="DOX27" s="98"/>
      <c r="DOY27" s="98"/>
      <c r="DOZ27" s="98"/>
      <c r="DPA27" s="98"/>
      <c r="DPB27" s="98"/>
      <c r="DPC27" s="98"/>
      <c r="DPD27" s="98"/>
      <c r="DPE27" s="98"/>
      <c r="DPF27" s="98"/>
      <c r="DPG27" s="98"/>
      <c r="DPH27" s="98"/>
      <c r="DPI27" s="98"/>
      <c r="DPJ27" s="98"/>
      <c r="DPK27" s="98"/>
      <c r="DPL27" s="98"/>
      <c r="DPM27" s="98"/>
      <c r="DPN27" s="98"/>
      <c r="DPO27" s="98"/>
      <c r="DPP27" s="98"/>
      <c r="DPQ27" s="98"/>
      <c r="DPR27" s="98"/>
      <c r="DPS27" s="98"/>
      <c r="DPT27" s="98"/>
      <c r="DPU27" s="98"/>
      <c r="DPV27" s="98"/>
      <c r="DPW27" s="98"/>
      <c r="DPX27" s="98"/>
      <c r="DPY27" s="98"/>
      <c r="DPZ27" s="98"/>
      <c r="DQA27" s="98"/>
      <c r="DQB27" s="98"/>
      <c r="DQC27" s="98"/>
      <c r="DQD27" s="98"/>
      <c r="DQE27" s="98"/>
      <c r="DQF27" s="98"/>
      <c r="DQG27" s="98"/>
      <c r="DQH27" s="98"/>
      <c r="DQI27" s="98"/>
      <c r="DQJ27" s="98"/>
      <c r="DQK27" s="98"/>
      <c r="DQL27" s="98"/>
      <c r="DQM27" s="98"/>
      <c r="DQN27" s="98"/>
      <c r="DQO27" s="98"/>
      <c r="DQP27" s="98"/>
      <c r="DQQ27" s="98"/>
      <c r="DQR27" s="98"/>
      <c r="DQS27" s="98"/>
      <c r="DQT27" s="98"/>
      <c r="DQU27" s="98"/>
      <c r="DQV27" s="98"/>
      <c r="DQW27" s="98"/>
      <c r="DQX27" s="98"/>
      <c r="DQY27" s="98"/>
      <c r="DQZ27" s="98"/>
      <c r="DRA27" s="98"/>
      <c r="DRB27" s="98"/>
      <c r="DRC27" s="98"/>
      <c r="DRD27" s="98"/>
      <c r="DRE27" s="98"/>
      <c r="DRF27" s="98"/>
      <c r="DRG27" s="98"/>
      <c r="DRH27" s="98"/>
      <c r="DRI27" s="98"/>
      <c r="DRJ27" s="98"/>
      <c r="DRK27" s="98"/>
      <c r="DRL27" s="98"/>
      <c r="DRM27" s="98"/>
      <c r="DRN27" s="98"/>
      <c r="DRO27" s="98"/>
      <c r="DRP27" s="98"/>
      <c r="DRQ27" s="98"/>
      <c r="DRR27" s="98"/>
      <c r="DRS27" s="98"/>
      <c r="DRT27" s="98"/>
      <c r="DRU27" s="98"/>
      <c r="DRV27" s="98"/>
      <c r="DRW27" s="98"/>
      <c r="DRX27" s="98"/>
      <c r="DRY27" s="98"/>
      <c r="DRZ27" s="98"/>
      <c r="DSA27" s="98"/>
      <c r="DSB27" s="98"/>
      <c r="DSC27" s="98"/>
      <c r="DSD27" s="98"/>
      <c r="DSE27" s="98"/>
      <c r="DSF27" s="98"/>
      <c r="DSG27" s="98"/>
      <c r="DSH27" s="98"/>
      <c r="DSI27" s="98"/>
      <c r="DSJ27" s="98"/>
      <c r="DSK27" s="98"/>
      <c r="DSL27" s="98"/>
      <c r="DSM27" s="98"/>
      <c r="DSN27" s="98"/>
      <c r="DSO27" s="98"/>
      <c r="DSP27" s="98"/>
      <c r="DSQ27" s="98"/>
      <c r="DSR27" s="98"/>
      <c r="DSS27" s="98"/>
      <c r="DST27" s="98"/>
      <c r="DSU27" s="98"/>
      <c r="DSV27" s="98"/>
      <c r="DSW27" s="98"/>
      <c r="DSX27" s="98"/>
      <c r="DSY27" s="98"/>
      <c r="DSZ27" s="98"/>
      <c r="DTA27" s="98"/>
      <c r="DTB27" s="98"/>
      <c r="DTC27" s="98"/>
      <c r="DTD27" s="98"/>
      <c r="DTE27" s="98"/>
      <c r="DTF27" s="98"/>
      <c r="DTG27" s="98"/>
      <c r="DTH27" s="98"/>
      <c r="DTI27" s="98"/>
      <c r="DTJ27" s="98"/>
      <c r="DTK27" s="98"/>
      <c r="DTL27" s="98"/>
      <c r="DTM27" s="98"/>
      <c r="DTN27" s="98"/>
      <c r="DTO27" s="98"/>
      <c r="DTP27" s="98"/>
      <c r="DTQ27" s="98"/>
      <c r="DTR27" s="98"/>
      <c r="DTS27" s="98"/>
      <c r="DTT27" s="98"/>
      <c r="DTU27" s="98"/>
      <c r="DTV27" s="98"/>
      <c r="DTW27" s="98"/>
      <c r="DTX27" s="98"/>
      <c r="DTY27" s="98"/>
      <c r="DTZ27" s="98"/>
      <c r="DUA27" s="98"/>
      <c r="DUB27" s="98"/>
      <c r="DUC27" s="98"/>
      <c r="DUD27" s="98"/>
      <c r="DUE27" s="98"/>
      <c r="DUF27" s="98"/>
      <c r="DUG27" s="98"/>
      <c r="DUH27" s="98"/>
      <c r="DUI27" s="98"/>
      <c r="DUJ27" s="98"/>
      <c r="DUK27" s="98"/>
      <c r="DUL27" s="98"/>
      <c r="DUM27" s="98"/>
      <c r="DUN27" s="98"/>
      <c r="DUO27" s="98"/>
      <c r="DUP27" s="98"/>
      <c r="DUQ27" s="98"/>
      <c r="DUR27" s="98"/>
      <c r="DUS27" s="98"/>
      <c r="DUT27" s="98"/>
      <c r="DUU27" s="98"/>
      <c r="DUV27" s="98"/>
      <c r="DUW27" s="98"/>
      <c r="DUX27" s="98"/>
      <c r="DUY27" s="98"/>
      <c r="DUZ27" s="98"/>
      <c r="DVA27" s="98"/>
      <c r="DVB27" s="98"/>
      <c r="DVC27" s="98"/>
      <c r="DVD27" s="98"/>
      <c r="DVE27" s="98"/>
      <c r="DVF27" s="98"/>
      <c r="DVG27" s="98"/>
      <c r="DVH27" s="98"/>
      <c r="DVI27" s="98"/>
      <c r="DVJ27" s="98"/>
      <c r="DVK27" s="98"/>
      <c r="DVL27" s="98"/>
      <c r="DVM27" s="98"/>
      <c r="DVN27" s="98"/>
      <c r="DVO27" s="98"/>
      <c r="DVP27" s="98"/>
      <c r="DVQ27" s="98"/>
      <c r="DVR27" s="98"/>
      <c r="DVS27" s="98"/>
      <c r="DVT27" s="98"/>
      <c r="DVU27" s="98"/>
      <c r="DVV27" s="98"/>
      <c r="DVW27" s="98"/>
      <c r="DVX27" s="98"/>
      <c r="DVY27" s="98"/>
      <c r="DVZ27" s="98"/>
      <c r="DWA27" s="98"/>
      <c r="DWB27" s="98"/>
      <c r="DWC27" s="98"/>
      <c r="DWD27" s="98"/>
      <c r="DWE27" s="98"/>
      <c r="DWF27" s="98"/>
      <c r="DWG27" s="98"/>
      <c r="DWH27" s="98"/>
      <c r="DWI27" s="98"/>
      <c r="DWJ27" s="98"/>
      <c r="DWK27" s="98"/>
      <c r="DWL27" s="98"/>
      <c r="DWM27" s="98"/>
      <c r="DWN27" s="98"/>
      <c r="DWO27" s="98"/>
      <c r="DWP27" s="98"/>
      <c r="DWQ27" s="98"/>
      <c r="DWR27" s="98"/>
      <c r="DWS27" s="98"/>
      <c r="DWT27" s="98"/>
      <c r="DWU27" s="98"/>
      <c r="DWV27" s="98"/>
      <c r="DWW27" s="98"/>
      <c r="DWX27" s="98"/>
      <c r="DWY27" s="98"/>
      <c r="DWZ27" s="98"/>
      <c r="DXA27" s="98"/>
      <c r="DXB27" s="98"/>
      <c r="DXC27" s="98"/>
      <c r="DXD27" s="98"/>
      <c r="DXE27" s="98"/>
      <c r="DXF27" s="98"/>
      <c r="DXG27" s="98"/>
      <c r="DXH27" s="98"/>
      <c r="DXI27" s="98"/>
      <c r="DXJ27" s="98"/>
      <c r="DXK27" s="98"/>
      <c r="DXL27" s="98"/>
      <c r="DXM27" s="98"/>
      <c r="DXN27" s="98"/>
      <c r="DXO27" s="98"/>
      <c r="DXP27" s="98"/>
      <c r="DXQ27" s="98"/>
      <c r="DXR27" s="98"/>
      <c r="DXS27" s="98"/>
      <c r="DXT27" s="98"/>
      <c r="DXU27" s="98"/>
      <c r="DXV27" s="98"/>
      <c r="DXW27" s="98"/>
      <c r="DXX27" s="98"/>
      <c r="DXY27" s="98"/>
      <c r="DXZ27" s="98"/>
      <c r="DYA27" s="98"/>
      <c r="DYB27" s="98"/>
      <c r="DYC27" s="98"/>
      <c r="DYD27" s="98"/>
      <c r="DYE27" s="98"/>
      <c r="DYF27" s="98"/>
      <c r="DYG27" s="98"/>
      <c r="DYH27" s="98"/>
      <c r="DYI27" s="98"/>
      <c r="DYJ27" s="98"/>
      <c r="DYK27" s="98"/>
      <c r="DYL27" s="98"/>
      <c r="DYM27" s="98"/>
      <c r="DYN27" s="98"/>
      <c r="DYO27" s="98"/>
      <c r="DYP27" s="98"/>
      <c r="DYQ27" s="98"/>
      <c r="DYR27" s="98"/>
      <c r="DYS27" s="98"/>
      <c r="DYT27" s="98"/>
      <c r="DYU27" s="98"/>
      <c r="DYV27" s="98"/>
      <c r="DYW27" s="98"/>
      <c r="DYX27" s="98"/>
      <c r="DYY27" s="98"/>
      <c r="DYZ27" s="98"/>
      <c r="DZA27" s="98"/>
      <c r="DZB27" s="98"/>
      <c r="DZC27" s="98"/>
      <c r="DZD27" s="98"/>
      <c r="DZE27" s="98"/>
      <c r="DZF27" s="98"/>
      <c r="DZG27" s="98"/>
      <c r="DZH27" s="98"/>
      <c r="DZI27" s="98"/>
      <c r="DZJ27" s="98"/>
      <c r="DZK27" s="98"/>
      <c r="DZL27" s="98"/>
      <c r="DZM27" s="98"/>
      <c r="DZN27" s="98"/>
      <c r="DZO27" s="98"/>
      <c r="DZP27" s="98"/>
      <c r="DZQ27" s="98"/>
      <c r="DZR27" s="98"/>
      <c r="DZS27" s="98"/>
      <c r="DZT27" s="98"/>
      <c r="DZU27" s="98"/>
      <c r="DZV27" s="98"/>
      <c r="DZW27" s="98"/>
      <c r="DZX27" s="98"/>
      <c r="DZY27" s="98"/>
      <c r="DZZ27" s="98"/>
      <c r="EAA27" s="98"/>
      <c r="EAB27" s="98"/>
      <c r="EAC27" s="98"/>
      <c r="EAD27" s="98"/>
      <c r="EAE27" s="98"/>
      <c r="EAF27" s="98"/>
      <c r="EAG27" s="98"/>
      <c r="EAH27" s="98"/>
      <c r="EAI27" s="98"/>
      <c r="EAJ27" s="98"/>
      <c r="EAK27" s="98"/>
      <c r="EAL27" s="98"/>
      <c r="EAM27" s="98"/>
      <c r="EAN27" s="98"/>
      <c r="EAO27" s="98"/>
      <c r="EAP27" s="98"/>
      <c r="EAQ27" s="98"/>
      <c r="EAR27" s="98"/>
      <c r="EAS27" s="98"/>
      <c r="EAT27" s="98"/>
      <c r="EAU27" s="98"/>
      <c r="EAV27" s="98"/>
      <c r="EAW27" s="98"/>
      <c r="EAX27" s="98"/>
      <c r="EAY27" s="98"/>
      <c r="EAZ27" s="98"/>
      <c r="EBA27" s="98"/>
      <c r="EBB27" s="98"/>
      <c r="EBC27" s="98"/>
      <c r="EBD27" s="98"/>
      <c r="EBE27" s="98"/>
      <c r="EBF27" s="98"/>
      <c r="EBG27" s="98"/>
      <c r="EBH27" s="98"/>
      <c r="EBI27" s="98"/>
      <c r="EBJ27" s="98"/>
      <c r="EBK27" s="98"/>
      <c r="EBL27" s="98"/>
      <c r="EBM27" s="98"/>
      <c r="EBN27" s="98"/>
      <c r="EBO27" s="98"/>
      <c r="EBP27" s="98"/>
      <c r="EBQ27" s="98"/>
      <c r="EBR27" s="98"/>
      <c r="EBS27" s="98"/>
      <c r="EBT27" s="98"/>
      <c r="EBU27" s="98"/>
      <c r="EBV27" s="98"/>
      <c r="EBW27" s="98"/>
      <c r="EBX27" s="98"/>
      <c r="EBY27" s="98"/>
      <c r="EBZ27" s="98"/>
      <c r="ECA27" s="98"/>
      <c r="ECB27" s="98"/>
      <c r="ECC27" s="98"/>
      <c r="ECD27" s="98"/>
      <c r="ECE27" s="98"/>
      <c r="ECF27" s="98"/>
      <c r="ECG27" s="98"/>
      <c r="ECH27" s="98"/>
      <c r="ECI27" s="98"/>
      <c r="ECJ27" s="98"/>
      <c r="ECK27" s="98"/>
      <c r="ECL27" s="98"/>
      <c r="ECM27" s="98"/>
      <c r="ECN27" s="98"/>
      <c r="ECO27" s="98"/>
      <c r="ECP27" s="98"/>
      <c r="ECQ27" s="98"/>
      <c r="ECR27" s="98"/>
      <c r="ECS27" s="98"/>
      <c r="ECT27" s="98"/>
      <c r="ECU27" s="98"/>
      <c r="ECV27" s="98"/>
      <c r="ECW27" s="98"/>
      <c r="ECX27" s="98"/>
      <c r="ECY27" s="98"/>
      <c r="ECZ27" s="98"/>
      <c r="EDA27" s="98"/>
      <c r="EDB27" s="98"/>
      <c r="EDC27" s="98"/>
      <c r="EDD27" s="98"/>
      <c r="EDE27" s="98"/>
      <c r="EDF27" s="98"/>
      <c r="EDG27" s="98"/>
      <c r="EDH27" s="98"/>
      <c r="EDI27" s="98"/>
      <c r="EDJ27" s="98"/>
      <c r="EDK27" s="98"/>
      <c r="EDL27" s="98"/>
      <c r="EDM27" s="98"/>
      <c r="EDN27" s="98"/>
      <c r="EDO27" s="98"/>
      <c r="EDP27" s="98"/>
      <c r="EDQ27" s="98"/>
      <c r="EDR27" s="98"/>
      <c r="EDS27" s="98"/>
      <c r="EDT27" s="98"/>
      <c r="EDU27" s="98"/>
      <c r="EDV27" s="98"/>
      <c r="EDW27" s="98"/>
      <c r="EDX27" s="98"/>
      <c r="EDY27" s="98"/>
      <c r="EDZ27" s="98"/>
      <c r="EEA27" s="98"/>
      <c r="EEB27" s="98"/>
      <c r="EEC27" s="98"/>
      <c r="EED27" s="98"/>
      <c r="EEE27" s="98"/>
      <c r="EEF27" s="98"/>
      <c r="EEG27" s="98"/>
      <c r="EEH27" s="98"/>
      <c r="EEI27" s="98"/>
      <c r="EEJ27" s="98"/>
      <c r="EEK27" s="98"/>
      <c r="EEL27" s="98"/>
      <c r="EEM27" s="98"/>
      <c r="EEN27" s="98"/>
      <c r="EEO27" s="98"/>
      <c r="EEP27" s="98"/>
      <c r="EEQ27" s="98"/>
      <c r="EER27" s="98"/>
      <c r="EES27" s="98"/>
      <c r="EET27" s="98"/>
      <c r="EEU27" s="98"/>
      <c r="EEV27" s="98"/>
      <c r="EEW27" s="98"/>
      <c r="EEX27" s="98"/>
      <c r="EEY27" s="98"/>
      <c r="EEZ27" s="98"/>
      <c r="EFA27" s="98"/>
      <c r="EFB27" s="98"/>
      <c r="EFC27" s="98"/>
      <c r="EFD27" s="98"/>
      <c r="EFE27" s="98"/>
      <c r="EFF27" s="98"/>
      <c r="EFG27" s="98"/>
      <c r="EFH27" s="98"/>
      <c r="EFI27" s="98"/>
      <c r="EFJ27" s="98"/>
      <c r="EFK27" s="98"/>
      <c r="EFL27" s="98"/>
      <c r="EFM27" s="98"/>
      <c r="EFN27" s="98"/>
      <c r="EFO27" s="98"/>
      <c r="EFP27" s="98"/>
      <c r="EFQ27" s="98"/>
      <c r="EFR27" s="98"/>
      <c r="EFS27" s="98"/>
      <c r="EFT27" s="98"/>
      <c r="EFU27" s="98"/>
      <c r="EFV27" s="98"/>
      <c r="EFW27" s="98"/>
      <c r="EFX27" s="98"/>
      <c r="EFY27" s="98"/>
      <c r="EFZ27" s="98"/>
      <c r="EGA27" s="98"/>
      <c r="EGB27" s="98"/>
      <c r="EGC27" s="98"/>
      <c r="EGD27" s="98"/>
      <c r="EGE27" s="98"/>
      <c r="EGF27" s="98"/>
      <c r="EGG27" s="98"/>
      <c r="EGH27" s="98"/>
      <c r="EGI27" s="98"/>
      <c r="EGJ27" s="98"/>
      <c r="EGK27" s="98"/>
      <c r="EGL27" s="98"/>
      <c r="EGM27" s="98"/>
      <c r="EGN27" s="98"/>
      <c r="EGO27" s="98"/>
      <c r="EGP27" s="98"/>
      <c r="EGQ27" s="98"/>
      <c r="EGR27" s="98"/>
      <c r="EGS27" s="98"/>
      <c r="EGT27" s="98"/>
      <c r="EGU27" s="98"/>
      <c r="EGV27" s="98"/>
      <c r="EGW27" s="98"/>
      <c r="EGX27" s="98"/>
      <c r="EGY27" s="98"/>
      <c r="EGZ27" s="98"/>
      <c r="EHA27" s="98"/>
      <c r="EHB27" s="98"/>
      <c r="EHC27" s="98"/>
      <c r="EHD27" s="98"/>
      <c r="EHE27" s="98"/>
      <c r="EHF27" s="98"/>
      <c r="EHG27" s="98"/>
      <c r="EHH27" s="98"/>
      <c r="EHI27" s="98"/>
      <c r="EHJ27" s="98"/>
      <c r="EHK27" s="98"/>
      <c r="EHL27" s="98"/>
      <c r="EHM27" s="98"/>
      <c r="EHN27" s="98"/>
      <c r="EHO27" s="98"/>
      <c r="EHP27" s="98"/>
      <c r="EHQ27" s="98"/>
      <c r="EHR27" s="98"/>
      <c r="EHS27" s="98"/>
      <c r="EHT27" s="98"/>
      <c r="EHU27" s="98"/>
      <c r="EHV27" s="98"/>
      <c r="EHW27" s="98"/>
      <c r="EHX27" s="98"/>
      <c r="EHY27" s="98"/>
      <c r="EHZ27" s="98"/>
      <c r="EIA27" s="98"/>
      <c r="EIB27" s="98"/>
      <c r="EIC27" s="98"/>
      <c r="EID27" s="98"/>
      <c r="EIE27" s="98"/>
      <c r="EIF27" s="98"/>
      <c r="EIG27" s="98"/>
      <c r="EIH27" s="98"/>
      <c r="EII27" s="98"/>
      <c r="EIJ27" s="98"/>
      <c r="EIK27" s="98"/>
      <c r="EIL27" s="98"/>
      <c r="EIM27" s="98"/>
      <c r="EIN27" s="98"/>
      <c r="EIO27" s="98"/>
      <c r="EIP27" s="98"/>
      <c r="EIQ27" s="98"/>
      <c r="EIR27" s="98"/>
      <c r="EIS27" s="98"/>
      <c r="EIT27" s="98"/>
      <c r="EIU27" s="98"/>
      <c r="EIV27" s="98"/>
      <c r="EIW27" s="98"/>
      <c r="EIX27" s="98"/>
      <c r="EIY27" s="98"/>
      <c r="EIZ27" s="98"/>
      <c r="EJA27" s="98"/>
      <c r="EJB27" s="98"/>
      <c r="EJC27" s="98"/>
      <c r="EJD27" s="98"/>
      <c r="EJE27" s="98"/>
      <c r="EJF27" s="98"/>
      <c r="EJG27" s="98"/>
      <c r="EJH27" s="98"/>
      <c r="EJI27" s="98"/>
      <c r="EJJ27" s="98"/>
      <c r="EJK27" s="98"/>
      <c r="EJL27" s="98"/>
      <c r="EJM27" s="98"/>
      <c r="EJN27" s="98"/>
      <c r="EJO27" s="98"/>
      <c r="EJP27" s="98"/>
      <c r="EJQ27" s="98"/>
      <c r="EJR27" s="98"/>
      <c r="EJS27" s="98"/>
      <c r="EJT27" s="98"/>
      <c r="EJU27" s="98"/>
      <c r="EJV27" s="98"/>
      <c r="EJW27" s="98"/>
      <c r="EJX27" s="98"/>
      <c r="EJY27" s="98"/>
      <c r="EJZ27" s="98"/>
      <c r="EKA27" s="98"/>
      <c r="EKB27" s="98"/>
      <c r="EKC27" s="98"/>
      <c r="EKD27" s="98"/>
      <c r="EKE27" s="98"/>
      <c r="EKF27" s="98"/>
      <c r="EKG27" s="98"/>
      <c r="EKH27" s="98"/>
      <c r="EKI27" s="98"/>
      <c r="EKJ27" s="98"/>
      <c r="EKK27" s="98"/>
      <c r="EKL27" s="98"/>
      <c r="EKM27" s="98"/>
      <c r="EKN27" s="98"/>
      <c r="EKO27" s="98"/>
      <c r="EKP27" s="98"/>
      <c r="EKQ27" s="98"/>
      <c r="EKR27" s="98"/>
      <c r="EKS27" s="98"/>
      <c r="EKT27" s="98"/>
      <c r="EKU27" s="98"/>
      <c r="EKV27" s="98"/>
      <c r="EKW27" s="98"/>
      <c r="EKX27" s="98"/>
      <c r="EKY27" s="98"/>
      <c r="EKZ27" s="98"/>
      <c r="ELA27" s="98"/>
      <c r="ELB27" s="98"/>
      <c r="ELC27" s="98"/>
      <c r="ELD27" s="98"/>
      <c r="ELE27" s="98"/>
      <c r="ELF27" s="98"/>
      <c r="ELG27" s="98"/>
      <c r="ELH27" s="98"/>
      <c r="ELI27" s="98"/>
      <c r="ELJ27" s="98"/>
      <c r="ELK27" s="98"/>
      <c r="ELL27" s="98"/>
      <c r="ELM27" s="98"/>
      <c r="ELN27" s="98"/>
      <c r="ELO27" s="98"/>
      <c r="ELP27" s="98"/>
      <c r="ELQ27" s="98"/>
      <c r="ELR27" s="98"/>
      <c r="ELS27" s="98"/>
      <c r="ELT27" s="98"/>
      <c r="ELU27" s="98"/>
      <c r="ELV27" s="98"/>
      <c r="ELW27" s="98"/>
      <c r="ELX27" s="98"/>
      <c r="ELY27" s="98"/>
      <c r="ELZ27" s="98"/>
      <c r="EMA27" s="98"/>
      <c r="EMB27" s="98"/>
      <c r="EMC27" s="98"/>
      <c r="EMD27" s="98"/>
      <c r="EME27" s="98"/>
      <c r="EMF27" s="98"/>
      <c r="EMG27" s="98"/>
      <c r="EMH27" s="98"/>
      <c r="EMI27" s="98"/>
      <c r="EMJ27" s="98"/>
      <c r="EMK27" s="98"/>
      <c r="EML27" s="98"/>
      <c r="EMM27" s="98"/>
      <c r="EMN27" s="98"/>
      <c r="EMO27" s="98"/>
      <c r="EMP27" s="98"/>
      <c r="EMQ27" s="98"/>
      <c r="EMR27" s="98"/>
      <c r="EMS27" s="98"/>
      <c r="EMT27" s="98"/>
      <c r="EMU27" s="98"/>
      <c r="EMV27" s="98"/>
      <c r="EMW27" s="98"/>
      <c r="EMX27" s="98"/>
      <c r="EMY27" s="98"/>
      <c r="EMZ27" s="98"/>
      <c r="ENA27" s="98"/>
      <c r="ENB27" s="98"/>
      <c r="ENC27" s="98"/>
      <c r="END27" s="98"/>
      <c r="ENE27" s="98"/>
      <c r="ENF27" s="98"/>
      <c r="ENG27" s="98"/>
      <c r="ENH27" s="98"/>
      <c r="ENI27" s="98"/>
      <c r="ENJ27" s="98"/>
      <c r="ENK27" s="98"/>
      <c r="ENL27" s="98"/>
      <c r="ENM27" s="98"/>
      <c r="ENN27" s="98"/>
      <c r="ENO27" s="98"/>
      <c r="ENP27" s="98"/>
      <c r="ENQ27" s="98"/>
      <c r="ENR27" s="98"/>
      <c r="ENS27" s="98"/>
      <c r="ENT27" s="98"/>
      <c r="ENU27" s="98"/>
      <c r="ENV27" s="98"/>
      <c r="ENW27" s="98"/>
      <c r="ENX27" s="98"/>
      <c r="ENY27" s="98"/>
      <c r="ENZ27" s="98"/>
      <c r="EOA27" s="98"/>
      <c r="EOB27" s="98"/>
      <c r="EOC27" s="98"/>
      <c r="EOD27" s="98"/>
      <c r="EOE27" s="98"/>
      <c r="EOF27" s="98"/>
      <c r="EOG27" s="98"/>
      <c r="EOH27" s="98"/>
      <c r="EOI27" s="98"/>
      <c r="EOJ27" s="98"/>
      <c r="EOK27" s="98"/>
      <c r="EOL27" s="98"/>
      <c r="EOM27" s="98"/>
      <c r="EON27" s="98"/>
      <c r="EOO27" s="98"/>
      <c r="EOP27" s="98"/>
      <c r="EOQ27" s="98"/>
      <c r="EOR27" s="98"/>
      <c r="EOS27" s="98"/>
      <c r="EOT27" s="98"/>
      <c r="EOU27" s="98"/>
      <c r="EOV27" s="98"/>
      <c r="EOW27" s="98"/>
      <c r="EOX27" s="98"/>
      <c r="EOY27" s="98"/>
      <c r="EOZ27" s="98"/>
      <c r="EPA27" s="98"/>
      <c r="EPB27" s="98"/>
      <c r="EPC27" s="98"/>
      <c r="EPD27" s="98"/>
      <c r="EPE27" s="98"/>
      <c r="EPF27" s="98"/>
      <c r="EPG27" s="98"/>
      <c r="EPH27" s="98"/>
      <c r="EPI27" s="98"/>
      <c r="EPJ27" s="98"/>
      <c r="EPK27" s="98"/>
      <c r="EPL27" s="98"/>
      <c r="EPM27" s="98"/>
      <c r="EPN27" s="98"/>
      <c r="EPO27" s="98"/>
      <c r="EPP27" s="98"/>
      <c r="EPQ27" s="98"/>
      <c r="EPR27" s="98"/>
      <c r="EPS27" s="98"/>
      <c r="EPT27" s="98"/>
      <c r="EPU27" s="98"/>
      <c r="EPV27" s="98"/>
      <c r="EPW27" s="98"/>
      <c r="EPX27" s="98"/>
      <c r="EPY27" s="98"/>
      <c r="EPZ27" s="98"/>
      <c r="EQA27" s="98"/>
      <c r="EQB27" s="98"/>
      <c r="EQC27" s="98"/>
      <c r="EQD27" s="98"/>
      <c r="EQE27" s="98"/>
      <c r="EQF27" s="98"/>
      <c r="EQG27" s="98"/>
      <c r="EQH27" s="98"/>
      <c r="EQI27" s="98"/>
      <c r="EQJ27" s="98"/>
      <c r="EQK27" s="98"/>
      <c r="EQL27" s="98"/>
      <c r="EQM27" s="98"/>
      <c r="EQN27" s="98"/>
      <c r="EQO27" s="98"/>
      <c r="EQP27" s="98"/>
      <c r="EQQ27" s="98"/>
      <c r="EQR27" s="98"/>
      <c r="EQS27" s="98"/>
      <c r="EQT27" s="98"/>
      <c r="EQU27" s="98"/>
      <c r="EQV27" s="98"/>
      <c r="EQW27" s="98"/>
      <c r="EQX27" s="98"/>
      <c r="EQY27" s="98"/>
      <c r="EQZ27" s="98"/>
      <c r="ERA27" s="98"/>
      <c r="ERB27" s="98"/>
      <c r="ERC27" s="98"/>
      <c r="ERD27" s="98"/>
      <c r="ERE27" s="98"/>
      <c r="ERF27" s="98"/>
      <c r="ERG27" s="98"/>
      <c r="ERH27" s="98"/>
      <c r="ERI27" s="98"/>
      <c r="ERJ27" s="98"/>
      <c r="ERK27" s="98"/>
      <c r="ERL27" s="98"/>
      <c r="ERM27" s="98"/>
      <c r="ERN27" s="98"/>
      <c r="ERO27" s="98"/>
      <c r="ERP27" s="98"/>
      <c r="ERQ27" s="98"/>
      <c r="ERR27" s="98"/>
      <c r="ERS27" s="98"/>
      <c r="ERT27" s="98"/>
      <c r="ERU27" s="98"/>
      <c r="ERV27" s="98"/>
      <c r="ERW27" s="98"/>
      <c r="ERX27" s="98"/>
      <c r="ERY27" s="98"/>
      <c r="ERZ27" s="98"/>
      <c r="ESA27" s="98"/>
      <c r="ESB27" s="98"/>
      <c r="ESC27" s="98"/>
      <c r="ESD27" s="98"/>
      <c r="ESE27" s="98"/>
      <c r="ESF27" s="98"/>
      <c r="ESG27" s="98"/>
      <c r="ESH27" s="98"/>
      <c r="ESI27" s="98"/>
      <c r="ESJ27" s="98"/>
      <c r="ESK27" s="98"/>
      <c r="ESL27" s="98"/>
      <c r="ESM27" s="98"/>
      <c r="ESN27" s="98"/>
      <c r="ESO27" s="98"/>
      <c r="ESP27" s="98"/>
      <c r="ESQ27" s="98"/>
      <c r="ESR27" s="98"/>
      <c r="ESS27" s="98"/>
      <c r="EST27" s="98"/>
      <c r="ESU27" s="98"/>
      <c r="ESV27" s="98"/>
      <c r="ESW27" s="98"/>
      <c r="ESX27" s="98"/>
      <c r="ESY27" s="98"/>
      <c r="ESZ27" s="98"/>
      <c r="ETA27" s="98"/>
      <c r="ETB27" s="98"/>
      <c r="ETC27" s="98"/>
      <c r="ETD27" s="98"/>
      <c r="ETE27" s="98"/>
      <c r="ETF27" s="98"/>
      <c r="ETG27" s="98"/>
      <c r="ETH27" s="98"/>
      <c r="ETI27" s="98"/>
      <c r="ETJ27" s="98"/>
      <c r="ETK27" s="98"/>
      <c r="ETL27" s="98"/>
      <c r="ETM27" s="98"/>
      <c r="ETN27" s="98"/>
      <c r="ETO27" s="98"/>
      <c r="ETP27" s="98"/>
      <c r="ETQ27" s="98"/>
      <c r="ETR27" s="98"/>
      <c r="ETS27" s="98"/>
      <c r="ETT27" s="98"/>
      <c r="ETU27" s="98"/>
      <c r="ETV27" s="98"/>
      <c r="ETW27" s="98"/>
      <c r="ETX27" s="98"/>
      <c r="ETY27" s="98"/>
      <c r="ETZ27" s="98"/>
      <c r="EUA27" s="98"/>
      <c r="EUB27" s="98"/>
      <c r="EUC27" s="98"/>
      <c r="EUD27" s="98"/>
      <c r="EUE27" s="98"/>
      <c r="EUF27" s="98"/>
      <c r="EUG27" s="98"/>
      <c r="EUH27" s="98"/>
      <c r="EUI27" s="98"/>
      <c r="EUJ27" s="98"/>
      <c r="EUK27" s="98"/>
      <c r="EUL27" s="98"/>
      <c r="EUM27" s="98"/>
      <c r="EUN27" s="98"/>
      <c r="EUO27" s="98"/>
      <c r="EUP27" s="98"/>
      <c r="EUQ27" s="98"/>
      <c r="EUR27" s="98"/>
      <c r="EUS27" s="98"/>
      <c r="EUT27" s="98"/>
      <c r="EUU27" s="98"/>
      <c r="EUV27" s="98"/>
      <c r="EUW27" s="98"/>
      <c r="EUX27" s="98"/>
      <c r="EUY27" s="98"/>
      <c r="EUZ27" s="98"/>
      <c r="EVA27" s="98"/>
      <c r="EVB27" s="98"/>
      <c r="EVC27" s="98"/>
      <c r="EVD27" s="98"/>
      <c r="EVE27" s="98"/>
      <c r="EVF27" s="98"/>
      <c r="EVG27" s="98"/>
      <c r="EVH27" s="98"/>
      <c r="EVI27" s="98"/>
      <c r="EVJ27" s="98"/>
      <c r="EVK27" s="98"/>
      <c r="EVL27" s="98"/>
      <c r="EVM27" s="98"/>
      <c r="EVN27" s="98"/>
      <c r="EVO27" s="98"/>
      <c r="EVP27" s="98"/>
      <c r="EVQ27" s="98"/>
      <c r="EVR27" s="98"/>
      <c r="EVS27" s="98"/>
      <c r="EVT27" s="98"/>
      <c r="EVU27" s="98"/>
      <c r="EVV27" s="98"/>
      <c r="EVW27" s="98"/>
      <c r="EVX27" s="98"/>
      <c r="EVY27" s="98"/>
      <c r="EVZ27" s="98"/>
      <c r="EWA27" s="98"/>
      <c r="EWB27" s="98"/>
      <c r="EWC27" s="98"/>
      <c r="EWD27" s="98"/>
      <c r="EWE27" s="98"/>
      <c r="EWF27" s="98"/>
      <c r="EWG27" s="98"/>
      <c r="EWH27" s="98"/>
      <c r="EWI27" s="98"/>
      <c r="EWJ27" s="98"/>
      <c r="EWK27" s="98"/>
      <c r="EWL27" s="98"/>
      <c r="EWM27" s="98"/>
      <c r="EWN27" s="98"/>
      <c r="EWO27" s="98"/>
      <c r="EWP27" s="98"/>
      <c r="EWQ27" s="98"/>
      <c r="EWR27" s="98"/>
      <c r="EWS27" s="98"/>
      <c r="EWT27" s="98"/>
      <c r="EWU27" s="98"/>
      <c r="EWV27" s="98"/>
      <c r="EWW27" s="98"/>
      <c r="EWX27" s="98"/>
      <c r="EWY27" s="98"/>
      <c r="EWZ27" s="98"/>
      <c r="EXA27" s="98"/>
      <c r="EXB27" s="98"/>
      <c r="EXC27" s="98"/>
      <c r="EXD27" s="98"/>
      <c r="EXE27" s="98"/>
      <c r="EXF27" s="98"/>
      <c r="EXG27" s="98"/>
      <c r="EXH27" s="98"/>
      <c r="EXI27" s="98"/>
      <c r="EXJ27" s="98"/>
      <c r="EXK27" s="98"/>
      <c r="EXL27" s="98"/>
      <c r="EXM27" s="98"/>
      <c r="EXN27" s="98"/>
      <c r="EXO27" s="98"/>
      <c r="EXP27" s="98"/>
      <c r="EXQ27" s="98"/>
      <c r="EXR27" s="98"/>
      <c r="EXS27" s="98"/>
      <c r="EXT27" s="98"/>
      <c r="EXU27" s="98"/>
      <c r="EXV27" s="98"/>
      <c r="EXW27" s="98"/>
      <c r="EXX27" s="98"/>
      <c r="EXY27" s="98"/>
      <c r="EXZ27" s="98"/>
      <c r="EYA27" s="98"/>
      <c r="EYB27" s="98"/>
      <c r="EYC27" s="98"/>
      <c r="EYD27" s="98"/>
      <c r="EYE27" s="98"/>
      <c r="EYF27" s="98"/>
      <c r="EYG27" s="98"/>
      <c r="EYH27" s="98"/>
      <c r="EYI27" s="98"/>
      <c r="EYJ27" s="98"/>
      <c r="EYK27" s="98"/>
      <c r="EYL27" s="98"/>
      <c r="EYM27" s="98"/>
      <c r="EYN27" s="98"/>
      <c r="EYO27" s="98"/>
      <c r="EYP27" s="98"/>
      <c r="EYQ27" s="98"/>
      <c r="EYR27" s="98"/>
      <c r="EYS27" s="98"/>
      <c r="EYT27" s="98"/>
      <c r="EYU27" s="98"/>
      <c r="EYV27" s="98"/>
      <c r="EYW27" s="98"/>
      <c r="EYX27" s="98"/>
      <c r="EYY27" s="98"/>
      <c r="EYZ27" s="98"/>
      <c r="EZA27" s="98"/>
      <c r="EZB27" s="98"/>
      <c r="EZC27" s="98"/>
      <c r="EZD27" s="98"/>
      <c r="EZE27" s="98"/>
      <c r="EZF27" s="98"/>
      <c r="EZG27" s="98"/>
      <c r="EZH27" s="98"/>
      <c r="EZI27" s="98"/>
      <c r="EZJ27" s="98"/>
      <c r="EZK27" s="98"/>
      <c r="EZL27" s="98"/>
      <c r="EZM27" s="98"/>
      <c r="EZN27" s="98"/>
      <c r="EZO27" s="98"/>
      <c r="EZP27" s="98"/>
      <c r="EZQ27" s="98"/>
      <c r="EZR27" s="98"/>
      <c r="EZS27" s="98"/>
      <c r="EZT27" s="98"/>
      <c r="EZU27" s="98"/>
      <c r="EZV27" s="98"/>
      <c r="EZW27" s="98"/>
      <c r="EZX27" s="98"/>
      <c r="EZY27" s="98"/>
      <c r="EZZ27" s="98"/>
      <c r="FAA27" s="98"/>
      <c r="FAB27" s="98"/>
      <c r="FAC27" s="98"/>
      <c r="FAD27" s="98"/>
      <c r="FAE27" s="98"/>
      <c r="FAF27" s="98"/>
      <c r="FAG27" s="98"/>
      <c r="FAH27" s="98"/>
      <c r="FAI27" s="98"/>
      <c r="FAJ27" s="98"/>
      <c r="FAK27" s="98"/>
      <c r="FAL27" s="98"/>
      <c r="FAM27" s="98"/>
      <c r="FAN27" s="98"/>
      <c r="FAO27" s="98"/>
      <c r="FAP27" s="98"/>
      <c r="FAQ27" s="98"/>
      <c r="FAR27" s="98"/>
      <c r="FAS27" s="98"/>
      <c r="FAT27" s="98"/>
      <c r="FAU27" s="98"/>
      <c r="FAV27" s="98"/>
      <c r="FAW27" s="98"/>
      <c r="FAX27" s="98"/>
      <c r="FAY27" s="98"/>
      <c r="FAZ27" s="98"/>
      <c r="FBA27" s="98"/>
      <c r="FBB27" s="98"/>
      <c r="FBC27" s="98"/>
      <c r="FBD27" s="98"/>
      <c r="FBE27" s="98"/>
      <c r="FBF27" s="98"/>
      <c r="FBG27" s="98"/>
      <c r="FBH27" s="98"/>
      <c r="FBI27" s="98"/>
      <c r="FBJ27" s="98"/>
      <c r="FBK27" s="98"/>
      <c r="FBL27" s="98"/>
      <c r="FBM27" s="98"/>
      <c r="FBN27" s="98"/>
      <c r="FBO27" s="98"/>
      <c r="FBP27" s="98"/>
      <c r="FBQ27" s="98"/>
      <c r="FBR27" s="98"/>
      <c r="FBS27" s="98"/>
      <c r="FBT27" s="98"/>
      <c r="FBU27" s="98"/>
      <c r="FBV27" s="98"/>
      <c r="FBW27" s="98"/>
      <c r="FBX27" s="98"/>
      <c r="FBY27" s="98"/>
      <c r="FBZ27" s="98"/>
      <c r="FCA27" s="98"/>
      <c r="FCB27" s="98"/>
      <c r="FCC27" s="98"/>
      <c r="FCD27" s="98"/>
      <c r="FCE27" s="98"/>
      <c r="FCF27" s="98"/>
      <c r="FCG27" s="98"/>
      <c r="FCH27" s="98"/>
      <c r="FCI27" s="98"/>
      <c r="FCJ27" s="98"/>
      <c r="FCK27" s="98"/>
      <c r="FCL27" s="98"/>
      <c r="FCM27" s="98"/>
      <c r="FCN27" s="98"/>
      <c r="FCO27" s="98"/>
      <c r="FCP27" s="98"/>
      <c r="FCQ27" s="98"/>
      <c r="FCR27" s="98"/>
      <c r="FCS27" s="98"/>
      <c r="FCT27" s="98"/>
      <c r="FCU27" s="98"/>
      <c r="FCV27" s="98"/>
      <c r="FCW27" s="98"/>
      <c r="FCX27" s="98"/>
      <c r="FCY27" s="98"/>
      <c r="FCZ27" s="98"/>
      <c r="FDA27" s="98"/>
      <c r="FDB27" s="98"/>
      <c r="FDC27" s="98"/>
      <c r="FDD27" s="98"/>
      <c r="FDE27" s="98"/>
      <c r="FDF27" s="98"/>
      <c r="FDG27" s="98"/>
      <c r="FDH27" s="98"/>
      <c r="FDI27" s="98"/>
      <c r="FDJ27" s="98"/>
      <c r="FDK27" s="98"/>
      <c r="FDL27" s="98"/>
      <c r="FDM27" s="98"/>
      <c r="FDN27" s="98"/>
      <c r="FDO27" s="98"/>
      <c r="FDP27" s="98"/>
      <c r="FDQ27" s="98"/>
      <c r="FDR27" s="98"/>
      <c r="FDS27" s="98"/>
      <c r="FDT27" s="98"/>
      <c r="FDU27" s="98"/>
      <c r="FDV27" s="98"/>
      <c r="FDW27" s="98"/>
      <c r="FDX27" s="98"/>
      <c r="FDY27" s="98"/>
      <c r="FDZ27" s="98"/>
      <c r="FEA27" s="98"/>
      <c r="FEB27" s="98"/>
      <c r="FEC27" s="98"/>
      <c r="FED27" s="98"/>
      <c r="FEE27" s="98"/>
      <c r="FEF27" s="98"/>
      <c r="FEG27" s="98"/>
      <c r="FEH27" s="98"/>
      <c r="FEI27" s="98"/>
      <c r="FEJ27" s="98"/>
      <c r="FEK27" s="98"/>
      <c r="FEL27" s="98"/>
      <c r="FEM27" s="98"/>
      <c r="FEN27" s="98"/>
      <c r="FEO27" s="98"/>
      <c r="FEP27" s="98"/>
      <c r="FEQ27" s="98"/>
      <c r="FER27" s="98"/>
      <c r="FES27" s="98"/>
      <c r="FET27" s="98"/>
      <c r="FEU27" s="98"/>
      <c r="FEV27" s="98"/>
      <c r="FEW27" s="98"/>
      <c r="FEX27" s="98"/>
      <c r="FEY27" s="98"/>
      <c r="FEZ27" s="98"/>
      <c r="FFA27" s="98"/>
      <c r="FFB27" s="98"/>
      <c r="FFC27" s="98"/>
      <c r="FFD27" s="98"/>
      <c r="FFE27" s="98"/>
      <c r="FFF27" s="98"/>
      <c r="FFG27" s="98"/>
      <c r="FFH27" s="98"/>
      <c r="FFI27" s="98"/>
      <c r="FFJ27" s="98"/>
      <c r="FFK27" s="98"/>
      <c r="FFL27" s="98"/>
      <c r="FFM27" s="98"/>
      <c r="FFN27" s="98"/>
      <c r="FFO27" s="98"/>
      <c r="FFP27" s="98"/>
      <c r="FFQ27" s="98"/>
      <c r="FFR27" s="98"/>
      <c r="FFS27" s="98"/>
      <c r="FFT27" s="98"/>
      <c r="FFU27" s="98"/>
      <c r="FFV27" s="98"/>
      <c r="FFW27" s="98"/>
      <c r="FFX27" s="98"/>
      <c r="FFY27" s="98"/>
      <c r="FFZ27" s="98"/>
      <c r="FGA27" s="98"/>
      <c r="FGB27" s="98"/>
      <c r="FGC27" s="98"/>
      <c r="FGD27" s="98"/>
      <c r="FGE27" s="98"/>
      <c r="FGF27" s="98"/>
      <c r="FGG27" s="98"/>
      <c r="FGH27" s="98"/>
      <c r="FGI27" s="98"/>
      <c r="FGJ27" s="98"/>
      <c r="FGK27" s="98"/>
      <c r="FGL27" s="98"/>
      <c r="FGM27" s="98"/>
      <c r="FGN27" s="98"/>
      <c r="FGO27" s="98"/>
      <c r="FGP27" s="98"/>
      <c r="FGQ27" s="98"/>
      <c r="FGR27" s="98"/>
      <c r="FGS27" s="98"/>
      <c r="FGT27" s="98"/>
      <c r="FGU27" s="98"/>
      <c r="FGV27" s="98"/>
      <c r="FGW27" s="98"/>
      <c r="FGX27" s="98"/>
      <c r="FGY27" s="98"/>
      <c r="FGZ27" s="98"/>
      <c r="FHA27" s="98"/>
      <c r="FHB27" s="98"/>
      <c r="FHC27" s="98"/>
      <c r="FHD27" s="98"/>
      <c r="FHE27" s="98"/>
      <c r="FHF27" s="98"/>
      <c r="FHG27" s="98"/>
      <c r="FHH27" s="98"/>
      <c r="FHI27" s="98"/>
      <c r="FHJ27" s="98"/>
      <c r="FHK27" s="98"/>
      <c r="FHL27" s="98"/>
      <c r="FHM27" s="98"/>
      <c r="FHN27" s="98"/>
      <c r="FHO27" s="98"/>
      <c r="FHP27" s="98"/>
      <c r="FHQ27" s="98"/>
      <c r="FHR27" s="98"/>
      <c r="FHS27" s="98"/>
      <c r="FHT27" s="98"/>
      <c r="FHU27" s="98"/>
      <c r="FHV27" s="98"/>
      <c r="FHW27" s="98"/>
      <c r="FHX27" s="98"/>
      <c r="FHY27" s="98"/>
      <c r="FHZ27" s="98"/>
      <c r="FIA27" s="98"/>
      <c r="FIB27" s="98"/>
      <c r="FIC27" s="98"/>
      <c r="FID27" s="98"/>
      <c r="FIE27" s="98"/>
      <c r="FIF27" s="98"/>
      <c r="FIG27" s="98"/>
      <c r="FIH27" s="98"/>
      <c r="FII27" s="98"/>
      <c r="FIJ27" s="98"/>
      <c r="FIK27" s="98"/>
      <c r="FIL27" s="98"/>
      <c r="FIM27" s="98"/>
      <c r="FIN27" s="98"/>
      <c r="FIO27" s="98"/>
      <c r="FIP27" s="98"/>
      <c r="FIQ27" s="98"/>
      <c r="FIR27" s="98"/>
      <c r="FIS27" s="98"/>
      <c r="FIT27" s="98"/>
      <c r="FIU27" s="98"/>
      <c r="FIV27" s="98"/>
      <c r="FIW27" s="98"/>
      <c r="FIX27" s="98"/>
      <c r="FIY27" s="98"/>
      <c r="FIZ27" s="98"/>
      <c r="FJA27" s="98"/>
      <c r="FJB27" s="98"/>
      <c r="FJC27" s="98"/>
      <c r="FJD27" s="98"/>
      <c r="FJE27" s="98"/>
      <c r="FJF27" s="98"/>
      <c r="FJG27" s="98"/>
      <c r="FJH27" s="98"/>
      <c r="FJI27" s="98"/>
      <c r="FJJ27" s="98"/>
      <c r="FJK27" s="98"/>
      <c r="FJL27" s="98"/>
      <c r="FJM27" s="98"/>
      <c r="FJN27" s="98"/>
      <c r="FJO27" s="98"/>
      <c r="FJP27" s="98"/>
      <c r="FJQ27" s="98"/>
      <c r="FJR27" s="98"/>
      <c r="FJS27" s="98"/>
      <c r="FJT27" s="98"/>
      <c r="FJU27" s="98"/>
      <c r="FJV27" s="98"/>
      <c r="FJW27" s="98"/>
      <c r="FJX27" s="98"/>
      <c r="FJY27" s="98"/>
      <c r="FJZ27" s="98"/>
      <c r="FKA27" s="98"/>
      <c r="FKB27" s="98"/>
      <c r="FKC27" s="98"/>
      <c r="FKD27" s="98"/>
      <c r="FKE27" s="98"/>
      <c r="FKF27" s="98"/>
      <c r="FKG27" s="98"/>
      <c r="FKH27" s="98"/>
      <c r="FKI27" s="98"/>
      <c r="FKJ27" s="98"/>
      <c r="FKK27" s="98"/>
      <c r="FKL27" s="98"/>
      <c r="FKM27" s="98"/>
      <c r="FKN27" s="98"/>
      <c r="FKO27" s="98"/>
      <c r="FKP27" s="98"/>
      <c r="FKQ27" s="98"/>
      <c r="FKR27" s="98"/>
      <c r="FKS27" s="98"/>
      <c r="FKT27" s="98"/>
      <c r="FKU27" s="98"/>
      <c r="FKV27" s="98"/>
      <c r="FKW27" s="98"/>
      <c r="FKX27" s="98"/>
      <c r="FKY27" s="98"/>
      <c r="FKZ27" s="98"/>
      <c r="FLA27" s="98"/>
      <c r="FLB27" s="98"/>
      <c r="FLC27" s="98"/>
      <c r="FLD27" s="98"/>
      <c r="FLE27" s="98"/>
      <c r="FLF27" s="98"/>
      <c r="FLG27" s="98"/>
      <c r="FLH27" s="98"/>
      <c r="FLI27" s="98"/>
      <c r="FLJ27" s="98"/>
      <c r="FLK27" s="98"/>
      <c r="FLL27" s="98"/>
      <c r="FLM27" s="98"/>
      <c r="FLN27" s="98"/>
      <c r="FLO27" s="98"/>
      <c r="FLP27" s="98"/>
      <c r="FLQ27" s="98"/>
      <c r="FLR27" s="98"/>
      <c r="FLS27" s="98"/>
      <c r="FLT27" s="98"/>
      <c r="FLU27" s="98"/>
      <c r="FLV27" s="98"/>
      <c r="FLW27" s="98"/>
      <c r="FLX27" s="98"/>
      <c r="FLY27" s="98"/>
      <c r="FLZ27" s="98"/>
      <c r="FMA27" s="98"/>
      <c r="FMB27" s="98"/>
      <c r="FMC27" s="98"/>
      <c r="FMD27" s="98"/>
      <c r="FME27" s="98"/>
      <c r="FMF27" s="98"/>
      <c r="FMG27" s="98"/>
      <c r="FMH27" s="98"/>
      <c r="FMI27" s="98"/>
      <c r="FMJ27" s="98"/>
      <c r="FMK27" s="98"/>
      <c r="FML27" s="98"/>
      <c r="FMM27" s="98"/>
      <c r="FMN27" s="98"/>
      <c r="FMO27" s="98"/>
      <c r="FMP27" s="98"/>
      <c r="FMQ27" s="98"/>
      <c r="FMR27" s="98"/>
      <c r="FMS27" s="98"/>
      <c r="FMT27" s="98"/>
      <c r="FMU27" s="98"/>
      <c r="FMV27" s="98"/>
      <c r="FMW27" s="98"/>
      <c r="FMX27" s="98"/>
      <c r="FMY27" s="98"/>
      <c r="FMZ27" s="98"/>
      <c r="FNA27" s="98"/>
      <c r="FNB27" s="98"/>
      <c r="FNC27" s="98"/>
      <c r="FND27" s="98"/>
      <c r="FNE27" s="98"/>
      <c r="FNF27" s="98"/>
      <c r="FNG27" s="98"/>
      <c r="FNH27" s="98"/>
      <c r="FNI27" s="98"/>
      <c r="FNJ27" s="98"/>
      <c r="FNK27" s="98"/>
      <c r="FNL27" s="98"/>
      <c r="FNM27" s="98"/>
      <c r="FNN27" s="98"/>
      <c r="FNO27" s="98"/>
      <c r="FNP27" s="98"/>
      <c r="FNQ27" s="98"/>
      <c r="FNR27" s="98"/>
      <c r="FNS27" s="98"/>
      <c r="FNT27" s="98"/>
      <c r="FNU27" s="98"/>
      <c r="FNV27" s="98"/>
      <c r="FNW27" s="98"/>
      <c r="FNX27" s="98"/>
      <c r="FNY27" s="98"/>
      <c r="FNZ27" s="98"/>
      <c r="FOA27" s="98"/>
      <c r="FOB27" s="98"/>
      <c r="FOC27" s="98"/>
      <c r="FOD27" s="98"/>
      <c r="FOE27" s="98"/>
      <c r="FOF27" s="98"/>
      <c r="FOG27" s="98"/>
      <c r="FOH27" s="98"/>
      <c r="FOI27" s="98"/>
      <c r="FOJ27" s="98"/>
      <c r="FOK27" s="98"/>
      <c r="FOL27" s="98"/>
      <c r="FOM27" s="98"/>
      <c r="FON27" s="98"/>
      <c r="FOO27" s="98"/>
      <c r="FOP27" s="98"/>
      <c r="FOQ27" s="98"/>
      <c r="FOR27" s="98"/>
      <c r="FOS27" s="98"/>
      <c r="FOT27" s="98"/>
      <c r="FOU27" s="98"/>
      <c r="FOV27" s="98"/>
      <c r="FOW27" s="98"/>
      <c r="FOX27" s="98"/>
      <c r="FOY27" s="98"/>
      <c r="FOZ27" s="98"/>
      <c r="FPA27" s="98"/>
      <c r="FPB27" s="98"/>
      <c r="FPC27" s="98"/>
      <c r="FPD27" s="98"/>
      <c r="FPE27" s="98"/>
      <c r="FPF27" s="98"/>
      <c r="FPG27" s="98"/>
      <c r="FPH27" s="98"/>
      <c r="FPI27" s="98"/>
      <c r="FPJ27" s="98"/>
      <c r="FPK27" s="98"/>
      <c r="FPL27" s="98"/>
      <c r="FPM27" s="98"/>
      <c r="FPN27" s="98"/>
      <c r="FPO27" s="98"/>
      <c r="FPP27" s="98"/>
      <c r="FPQ27" s="98"/>
      <c r="FPR27" s="98"/>
      <c r="FPS27" s="98"/>
      <c r="FPT27" s="98"/>
      <c r="FPU27" s="98"/>
      <c r="FPV27" s="98"/>
      <c r="FPW27" s="98"/>
      <c r="FPX27" s="98"/>
      <c r="FPY27" s="98"/>
      <c r="FPZ27" s="98"/>
      <c r="FQA27" s="98"/>
      <c r="FQB27" s="98"/>
      <c r="FQC27" s="98"/>
      <c r="FQD27" s="98"/>
      <c r="FQE27" s="98"/>
      <c r="FQF27" s="98"/>
      <c r="FQG27" s="98"/>
      <c r="FQH27" s="98"/>
      <c r="FQI27" s="98"/>
      <c r="FQJ27" s="98"/>
      <c r="FQK27" s="98"/>
      <c r="FQL27" s="98"/>
      <c r="FQM27" s="98"/>
      <c r="FQN27" s="98"/>
      <c r="FQO27" s="98"/>
      <c r="FQP27" s="98"/>
      <c r="FQQ27" s="98"/>
      <c r="FQR27" s="98"/>
      <c r="FQS27" s="98"/>
      <c r="FQT27" s="98"/>
      <c r="FQU27" s="98"/>
      <c r="FQV27" s="98"/>
      <c r="FQW27" s="98"/>
      <c r="FQX27" s="98"/>
      <c r="FQY27" s="98"/>
      <c r="FQZ27" s="98"/>
      <c r="FRA27" s="98"/>
      <c r="FRB27" s="98"/>
      <c r="FRC27" s="98"/>
      <c r="FRD27" s="98"/>
      <c r="FRE27" s="98"/>
      <c r="FRF27" s="98"/>
      <c r="FRG27" s="98"/>
      <c r="FRH27" s="98"/>
      <c r="FRI27" s="98"/>
      <c r="FRJ27" s="98"/>
      <c r="FRK27" s="98"/>
      <c r="FRL27" s="98"/>
      <c r="FRM27" s="98"/>
      <c r="FRN27" s="98"/>
      <c r="FRO27" s="98"/>
      <c r="FRP27" s="98"/>
      <c r="FRQ27" s="98"/>
      <c r="FRR27" s="98"/>
      <c r="FRS27" s="98"/>
      <c r="FRT27" s="98"/>
      <c r="FRU27" s="98"/>
      <c r="FRV27" s="98"/>
      <c r="FRW27" s="98"/>
      <c r="FRX27" s="98"/>
      <c r="FRY27" s="98"/>
      <c r="FRZ27" s="98"/>
      <c r="FSA27" s="98"/>
      <c r="FSB27" s="98"/>
      <c r="FSC27" s="98"/>
      <c r="FSD27" s="98"/>
      <c r="FSE27" s="98"/>
      <c r="FSF27" s="98"/>
      <c r="FSG27" s="98"/>
      <c r="FSH27" s="98"/>
      <c r="FSI27" s="98"/>
      <c r="FSJ27" s="98"/>
      <c r="FSK27" s="98"/>
      <c r="FSL27" s="98"/>
      <c r="FSM27" s="98"/>
      <c r="FSN27" s="98"/>
      <c r="FSO27" s="98"/>
      <c r="FSP27" s="98"/>
      <c r="FSQ27" s="98"/>
      <c r="FSR27" s="98"/>
      <c r="FSS27" s="98"/>
      <c r="FST27" s="98"/>
      <c r="FSU27" s="98"/>
      <c r="FSV27" s="98"/>
      <c r="FSW27" s="98"/>
      <c r="FSX27" s="98"/>
      <c r="FSY27" s="98"/>
      <c r="FSZ27" s="98"/>
      <c r="FTA27" s="98"/>
      <c r="FTB27" s="98"/>
      <c r="FTC27" s="98"/>
      <c r="FTD27" s="98"/>
      <c r="FTE27" s="98"/>
      <c r="FTF27" s="98"/>
      <c r="FTG27" s="98"/>
      <c r="FTH27" s="98"/>
      <c r="FTI27" s="98"/>
      <c r="FTJ27" s="98"/>
      <c r="FTK27" s="98"/>
      <c r="FTL27" s="98"/>
      <c r="FTM27" s="98"/>
      <c r="FTN27" s="98"/>
      <c r="FTO27" s="98"/>
      <c r="FTP27" s="98"/>
      <c r="FTQ27" s="98"/>
      <c r="FTR27" s="98"/>
      <c r="FTS27" s="98"/>
      <c r="FTT27" s="98"/>
      <c r="FTU27" s="98"/>
      <c r="FTV27" s="98"/>
      <c r="FTW27" s="98"/>
      <c r="FTX27" s="98"/>
      <c r="FTY27" s="98"/>
      <c r="FTZ27" s="98"/>
      <c r="FUA27" s="98"/>
      <c r="FUB27" s="98"/>
      <c r="FUC27" s="98"/>
      <c r="FUD27" s="98"/>
      <c r="FUE27" s="98"/>
      <c r="FUF27" s="98"/>
      <c r="FUG27" s="98"/>
      <c r="FUH27" s="98"/>
      <c r="FUI27" s="98"/>
      <c r="FUJ27" s="98"/>
      <c r="FUK27" s="98"/>
      <c r="FUL27" s="98"/>
      <c r="FUM27" s="98"/>
      <c r="FUN27" s="98"/>
      <c r="FUO27" s="98"/>
      <c r="FUP27" s="98"/>
      <c r="FUQ27" s="98"/>
      <c r="FUR27" s="98"/>
      <c r="FUS27" s="98"/>
      <c r="FUT27" s="98"/>
      <c r="FUU27" s="98"/>
      <c r="FUV27" s="98"/>
      <c r="FUW27" s="98"/>
      <c r="FUX27" s="98"/>
      <c r="FUY27" s="98"/>
      <c r="FUZ27" s="98"/>
      <c r="FVA27" s="98"/>
      <c r="FVB27" s="98"/>
      <c r="FVC27" s="98"/>
      <c r="FVD27" s="98"/>
      <c r="FVE27" s="98"/>
      <c r="FVF27" s="98"/>
      <c r="FVG27" s="98"/>
      <c r="FVH27" s="98"/>
      <c r="FVI27" s="98"/>
      <c r="FVJ27" s="98"/>
      <c r="FVK27" s="98"/>
      <c r="FVL27" s="98"/>
      <c r="FVM27" s="98"/>
      <c r="FVN27" s="98"/>
      <c r="FVO27" s="98"/>
      <c r="FVP27" s="98"/>
      <c r="FVQ27" s="98"/>
      <c r="FVR27" s="98"/>
      <c r="FVS27" s="98"/>
      <c r="FVT27" s="98"/>
      <c r="FVU27" s="98"/>
      <c r="FVV27" s="98"/>
      <c r="FVW27" s="98"/>
      <c r="FVX27" s="98"/>
      <c r="FVY27" s="98"/>
      <c r="FVZ27" s="98"/>
      <c r="FWA27" s="98"/>
      <c r="FWB27" s="98"/>
      <c r="FWC27" s="98"/>
      <c r="FWD27" s="98"/>
      <c r="FWE27" s="98"/>
      <c r="FWF27" s="98"/>
      <c r="FWG27" s="98"/>
      <c r="FWH27" s="98"/>
      <c r="FWI27" s="98"/>
      <c r="FWJ27" s="98"/>
      <c r="FWK27" s="98"/>
      <c r="FWL27" s="98"/>
      <c r="FWM27" s="98"/>
      <c r="FWN27" s="98"/>
      <c r="FWO27" s="98"/>
      <c r="FWP27" s="98"/>
      <c r="FWQ27" s="98"/>
      <c r="FWR27" s="98"/>
      <c r="FWS27" s="98"/>
      <c r="FWT27" s="98"/>
      <c r="FWU27" s="98"/>
      <c r="FWV27" s="98"/>
      <c r="FWW27" s="98"/>
      <c r="FWX27" s="98"/>
      <c r="FWY27" s="98"/>
      <c r="FWZ27" s="98"/>
      <c r="FXA27" s="98"/>
      <c r="FXB27" s="98"/>
      <c r="FXC27" s="98"/>
      <c r="FXD27" s="98"/>
      <c r="FXE27" s="98"/>
      <c r="FXF27" s="98"/>
      <c r="FXG27" s="98"/>
      <c r="FXH27" s="98"/>
      <c r="FXI27" s="98"/>
      <c r="FXJ27" s="98"/>
      <c r="FXK27" s="98"/>
      <c r="FXL27" s="98"/>
      <c r="FXM27" s="98"/>
      <c r="FXN27" s="98"/>
      <c r="FXO27" s="98"/>
      <c r="FXP27" s="98"/>
      <c r="FXQ27" s="98"/>
      <c r="FXR27" s="98"/>
      <c r="FXS27" s="98"/>
      <c r="FXT27" s="98"/>
      <c r="FXU27" s="98"/>
      <c r="FXV27" s="98"/>
      <c r="FXW27" s="98"/>
      <c r="FXX27" s="98"/>
      <c r="FXY27" s="98"/>
      <c r="FXZ27" s="98"/>
      <c r="FYA27" s="98"/>
      <c r="FYB27" s="98"/>
      <c r="FYC27" s="98"/>
      <c r="FYD27" s="98"/>
      <c r="FYE27" s="98"/>
      <c r="FYF27" s="98"/>
      <c r="FYG27" s="98"/>
      <c r="FYH27" s="98"/>
      <c r="FYI27" s="98"/>
      <c r="FYJ27" s="98"/>
      <c r="FYK27" s="98"/>
      <c r="FYL27" s="98"/>
      <c r="FYM27" s="98"/>
      <c r="FYN27" s="98"/>
      <c r="FYO27" s="98"/>
      <c r="FYP27" s="98"/>
      <c r="FYQ27" s="98"/>
      <c r="FYR27" s="98"/>
      <c r="FYS27" s="98"/>
      <c r="FYT27" s="98"/>
      <c r="FYU27" s="98"/>
      <c r="FYV27" s="98"/>
      <c r="FYW27" s="98"/>
      <c r="FYX27" s="98"/>
      <c r="FYY27" s="98"/>
      <c r="FYZ27" s="98"/>
      <c r="FZA27" s="98"/>
      <c r="FZB27" s="98"/>
      <c r="FZC27" s="98"/>
      <c r="FZD27" s="98"/>
      <c r="FZE27" s="98"/>
      <c r="FZF27" s="98"/>
      <c r="FZG27" s="98"/>
      <c r="FZH27" s="98"/>
      <c r="FZI27" s="98"/>
      <c r="FZJ27" s="98"/>
      <c r="FZK27" s="98"/>
      <c r="FZL27" s="98"/>
      <c r="FZM27" s="98"/>
      <c r="FZN27" s="98"/>
      <c r="FZO27" s="98"/>
      <c r="FZP27" s="98"/>
      <c r="FZQ27" s="98"/>
      <c r="FZR27" s="98"/>
      <c r="FZS27" s="98"/>
      <c r="FZT27" s="98"/>
      <c r="FZU27" s="98"/>
      <c r="FZV27" s="98"/>
      <c r="FZW27" s="98"/>
      <c r="FZX27" s="98"/>
      <c r="FZY27" s="98"/>
      <c r="FZZ27" s="98"/>
      <c r="GAA27" s="98"/>
      <c r="GAB27" s="98"/>
      <c r="GAC27" s="98"/>
      <c r="GAD27" s="98"/>
      <c r="GAE27" s="98"/>
      <c r="GAF27" s="98"/>
      <c r="GAG27" s="98"/>
      <c r="GAH27" s="98"/>
      <c r="GAI27" s="98"/>
      <c r="GAJ27" s="98"/>
      <c r="GAK27" s="98"/>
      <c r="GAL27" s="98"/>
      <c r="GAM27" s="98"/>
      <c r="GAN27" s="98"/>
      <c r="GAO27" s="98"/>
      <c r="GAP27" s="98"/>
      <c r="GAQ27" s="98"/>
      <c r="GAR27" s="98"/>
      <c r="GAS27" s="98"/>
      <c r="GAT27" s="98"/>
      <c r="GAU27" s="98"/>
      <c r="GAV27" s="98"/>
      <c r="GAW27" s="98"/>
      <c r="GAX27" s="98"/>
      <c r="GAY27" s="98"/>
      <c r="GAZ27" s="98"/>
      <c r="GBA27" s="98"/>
      <c r="GBB27" s="98"/>
      <c r="GBC27" s="98"/>
      <c r="GBD27" s="98"/>
      <c r="GBE27" s="98"/>
      <c r="GBF27" s="98"/>
      <c r="GBG27" s="98"/>
      <c r="GBH27" s="98"/>
      <c r="GBI27" s="98"/>
      <c r="GBJ27" s="98"/>
      <c r="GBK27" s="98"/>
      <c r="GBL27" s="98"/>
      <c r="GBM27" s="98"/>
      <c r="GBN27" s="98"/>
      <c r="GBO27" s="98"/>
      <c r="GBP27" s="98"/>
      <c r="GBQ27" s="98"/>
      <c r="GBR27" s="98"/>
      <c r="GBS27" s="98"/>
      <c r="GBT27" s="98"/>
      <c r="GBU27" s="98"/>
      <c r="GBV27" s="98"/>
      <c r="GBW27" s="98"/>
      <c r="GBX27" s="98"/>
      <c r="GBY27" s="98"/>
      <c r="GBZ27" s="98"/>
      <c r="GCA27" s="98"/>
      <c r="GCB27" s="98"/>
      <c r="GCC27" s="98"/>
      <c r="GCD27" s="98"/>
      <c r="GCE27" s="98"/>
      <c r="GCF27" s="98"/>
      <c r="GCG27" s="98"/>
      <c r="GCH27" s="98"/>
      <c r="GCI27" s="98"/>
      <c r="GCJ27" s="98"/>
      <c r="GCK27" s="98"/>
      <c r="GCL27" s="98"/>
      <c r="GCM27" s="98"/>
      <c r="GCN27" s="98"/>
      <c r="GCO27" s="98"/>
      <c r="GCP27" s="98"/>
      <c r="GCQ27" s="98"/>
      <c r="GCR27" s="98"/>
      <c r="GCS27" s="98"/>
      <c r="GCT27" s="98"/>
      <c r="GCU27" s="98"/>
      <c r="GCV27" s="98"/>
      <c r="GCW27" s="98"/>
      <c r="GCX27" s="98"/>
      <c r="GCY27" s="98"/>
      <c r="GCZ27" s="98"/>
      <c r="GDA27" s="98"/>
      <c r="GDB27" s="98"/>
      <c r="GDC27" s="98"/>
      <c r="GDD27" s="98"/>
      <c r="GDE27" s="98"/>
      <c r="GDF27" s="98"/>
      <c r="GDG27" s="98"/>
      <c r="GDH27" s="98"/>
      <c r="GDI27" s="98"/>
      <c r="GDJ27" s="98"/>
      <c r="GDK27" s="98"/>
      <c r="GDL27" s="98"/>
      <c r="GDM27" s="98"/>
      <c r="GDN27" s="98"/>
      <c r="GDO27" s="98"/>
      <c r="GDP27" s="98"/>
      <c r="GDQ27" s="98"/>
      <c r="GDR27" s="98"/>
      <c r="GDS27" s="98"/>
      <c r="GDT27" s="98"/>
      <c r="GDU27" s="98"/>
      <c r="GDV27" s="98"/>
      <c r="GDW27" s="98"/>
      <c r="GDX27" s="98"/>
      <c r="GDY27" s="98"/>
      <c r="GDZ27" s="98"/>
      <c r="GEA27" s="98"/>
      <c r="GEB27" s="98"/>
      <c r="GEC27" s="98"/>
      <c r="GED27" s="98"/>
      <c r="GEE27" s="98"/>
      <c r="GEF27" s="98"/>
      <c r="GEG27" s="98"/>
      <c r="GEH27" s="98"/>
      <c r="GEI27" s="98"/>
      <c r="GEJ27" s="98"/>
      <c r="GEK27" s="98"/>
      <c r="GEL27" s="98"/>
      <c r="GEM27" s="98"/>
      <c r="GEN27" s="98"/>
      <c r="GEO27" s="98"/>
      <c r="GEP27" s="98"/>
      <c r="GEQ27" s="98"/>
      <c r="GER27" s="98"/>
      <c r="GES27" s="98"/>
      <c r="GET27" s="98"/>
      <c r="GEU27" s="98"/>
      <c r="GEV27" s="98"/>
      <c r="GEW27" s="98"/>
      <c r="GEX27" s="98"/>
      <c r="GEY27" s="98"/>
      <c r="GEZ27" s="98"/>
      <c r="GFA27" s="98"/>
      <c r="GFB27" s="98"/>
      <c r="GFC27" s="98"/>
      <c r="GFD27" s="98"/>
      <c r="GFE27" s="98"/>
      <c r="GFF27" s="98"/>
      <c r="GFG27" s="98"/>
      <c r="GFH27" s="98"/>
      <c r="GFI27" s="98"/>
      <c r="GFJ27" s="98"/>
      <c r="GFK27" s="98"/>
      <c r="GFL27" s="98"/>
      <c r="GFM27" s="98"/>
      <c r="GFN27" s="98"/>
      <c r="GFO27" s="98"/>
      <c r="GFP27" s="98"/>
      <c r="GFQ27" s="98"/>
      <c r="GFR27" s="98"/>
      <c r="GFS27" s="98"/>
      <c r="GFT27" s="98"/>
      <c r="GFU27" s="98"/>
      <c r="GFV27" s="98"/>
      <c r="GFW27" s="98"/>
      <c r="GFX27" s="98"/>
      <c r="GFY27" s="98"/>
      <c r="GFZ27" s="98"/>
      <c r="GGA27" s="98"/>
      <c r="GGB27" s="98"/>
      <c r="GGC27" s="98"/>
      <c r="GGD27" s="98"/>
      <c r="GGE27" s="98"/>
      <c r="GGF27" s="98"/>
      <c r="GGG27" s="98"/>
      <c r="GGH27" s="98"/>
      <c r="GGI27" s="98"/>
      <c r="GGJ27" s="98"/>
      <c r="GGK27" s="98"/>
      <c r="GGL27" s="98"/>
      <c r="GGM27" s="98"/>
      <c r="GGN27" s="98"/>
      <c r="GGO27" s="98"/>
      <c r="GGP27" s="98"/>
      <c r="GGQ27" s="98"/>
      <c r="GGR27" s="98"/>
      <c r="GGS27" s="98"/>
      <c r="GGT27" s="98"/>
      <c r="GGU27" s="98"/>
      <c r="GGV27" s="98"/>
      <c r="GGW27" s="98"/>
      <c r="GGX27" s="98"/>
      <c r="GGY27" s="98"/>
      <c r="GGZ27" s="98"/>
      <c r="GHA27" s="98"/>
      <c r="GHB27" s="98"/>
      <c r="GHC27" s="98"/>
      <c r="GHD27" s="98"/>
      <c r="GHE27" s="98"/>
      <c r="GHF27" s="98"/>
      <c r="GHG27" s="98"/>
      <c r="GHH27" s="98"/>
      <c r="GHI27" s="98"/>
      <c r="GHJ27" s="98"/>
      <c r="GHK27" s="98"/>
      <c r="GHL27" s="98"/>
      <c r="GHM27" s="98"/>
      <c r="GHN27" s="98"/>
      <c r="GHO27" s="98"/>
      <c r="GHP27" s="98"/>
      <c r="GHQ27" s="98"/>
      <c r="GHR27" s="98"/>
      <c r="GHS27" s="98"/>
      <c r="GHT27" s="98"/>
      <c r="GHU27" s="98"/>
      <c r="GHV27" s="98"/>
      <c r="GHW27" s="98"/>
      <c r="GHX27" s="98"/>
      <c r="GHY27" s="98"/>
      <c r="GHZ27" s="98"/>
      <c r="GIA27" s="98"/>
      <c r="GIB27" s="98"/>
      <c r="GIC27" s="98"/>
      <c r="GID27" s="98"/>
      <c r="GIE27" s="98"/>
      <c r="GIF27" s="98"/>
      <c r="GIG27" s="98"/>
      <c r="GIH27" s="98"/>
      <c r="GII27" s="98"/>
      <c r="GIJ27" s="98"/>
      <c r="GIK27" s="98"/>
      <c r="GIL27" s="98"/>
      <c r="GIM27" s="98"/>
      <c r="GIN27" s="98"/>
      <c r="GIO27" s="98"/>
      <c r="GIP27" s="98"/>
      <c r="GIQ27" s="98"/>
      <c r="GIR27" s="98"/>
      <c r="GIS27" s="98"/>
      <c r="GIT27" s="98"/>
      <c r="GIU27" s="98"/>
      <c r="GIV27" s="98"/>
      <c r="GIW27" s="98"/>
      <c r="GIX27" s="98"/>
      <c r="GIY27" s="98"/>
      <c r="GIZ27" s="98"/>
      <c r="GJA27" s="98"/>
      <c r="GJB27" s="98"/>
      <c r="GJC27" s="98"/>
      <c r="GJD27" s="98"/>
      <c r="GJE27" s="98"/>
      <c r="GJF27" s="98"/>
      <c r="GJG27" s="98"/>
      <c r="GJH27" s="98"/>
      <c r="GJI27" s="98"/>
      <c r="GJJ27" s="98"/>
      <c r="GJK27" s="98"/>
      <c r="GJL27" s="98"/>
      <c r="GJM27" s="98"/>
      <c r="GJN27" s="98"/>
      <c r="GJO27" s="98"/>
      <c r="GJP27" s="98"/>
      <c r="GJQ27" s="98"/>
      <c r="GJR27" s="98"/>
      <c r="GJS27" s="98"/>
      <c r="GJT27" s="98"/>
      <c r="GJU27" s="98"/>
      <c r="GJV27" s="98"/>
      <c r="GJW27" s="98"/>
      <c r="GJX27" s="98"/>
      <c r="GJY27" s="98"/>
      <c r="GJZ27" s="98"/>
      <c r="GKA27" s="98"/>
      <c r="GKB27" s="98"/>
      <c r="GKC27" s="98"/>
      <c r="GKD27" s="98"/>
      <c r="GKE27" s="98"/>
      <c r="GKF27" s="98"/>
      <c r="GKG27" s="98"/>
      <c r="GKH27" s="98"/>
      <c r="GKI27" s="98"/>
      <c r="GKJ27" s="98"/>
      <c r="GKK27" s="98"/>
      <c r="GKL27" s="98"/>
      <c r="GKM27" s="98"/>
      <c r="GKN27" s="98"/>
      <c r="GKO27" s="98"/>
      <c r="GKP27" s="98"/>
      <c r="GKQ27" s="98"/>
      <c r="GKR27" s="98"/>
      <c r="GKS27" s="98"/>
      <c r="GKT27" s="98"/>
      <c r="GKU27" s="98"/>
      <c r="GKV27" s="98"/>
      <c r="GKW27" s="98"/>
      <c r="GKX27" s="98"/>
      <c r="GKY27" s="98"/>
      <c r="GKZ27" s="98"/>
      <c r="GLA27" s="98"/>
      <c r="GLB27" s="98"/>
      <c r="GLC27" s="98"/>
      <c r="GLD27" s="98"/>
      <c r="GLE27" s="98"/>
      <c r="GLF27" s="98"/>
      <c r="GLG27" s="98"/>
      <c r="GLH27" s="98"/>
      <c r="GLI27" s="98"/>
      <c r="GLJ27" s="98"/>
      <c r="GLK27" s="98"/>
      <c r="GLL27" s="98"/>
      <c r="GLM27" s="98"/>
      <c r="GLN27" s="98"/>
      <c r="GLO27" s="98"/>
      <c r="GLP27" s="98"/>
      <c r="GLQ27" s="98"/>
      <c r="GLR27" s="98"/>
      <c r="GLS27" s="98"/>
      <c r="GLT27" s="98"/>
      <c r="GLU27" s="98"/>
      <c r="GLV27" s="98"/>
      <c r="GLW27" s="98"/>
      <c r="GLX27" s="98"/>
      <c r="GLY27" s="98"/>
      <c r="GLZ27" s="98"/>
      <c r="GMA27" s="98"/>
      <c r="GMB27" s="98"/>
      <c r="GMC27" s="98"/>
      <c r="GMD27" s="98"/>
      <c r="GME27" s="98"/>
      <c r="GMF27" s="98"/>
      <c r="GMG27" s="98"/>
      <c r="GMH27" s="98"/>
      <c r="GMI27" s="98"/>
      <c r="GMJ27" s="98"/>
      <c r="GMK27" s="98"/>
      <c r="GML27" s="98"/>
      <c r="GMM27" s="98"/>
      <c r="GMN27" s="98"/>
      <c r="GMO27" s="98"/>
      <c r="GMP27" s="98"/>
      <c r="GMQ27" s="98"/>
      <c r="GMR27" s="98"/>
      <c r="GMS27" s="98"/>
      <c r="GMT27" s="98"/>
      <c r="GMU27" s="98"/>
      <c r="GMV27" s="98"/>
      <c r="GMW27" s="98"/>
      <c r="GMX27" s="98"/>
      <c r="GMY27" s="98"/>
      <c r="GMZ27" s="98"/>
      <c r="GNA27" s="98"/>
      <c r="GNB27" s="98"/>
      <c r="GNC27" s="98"/>
      <c r="GND27" s="98"/>
      <c r="GNE27" s="98"/>
      <c r="GNF27" s="98"/>
      <c r="GNG27" s="98"/>
      <c r="GNH27" s="98"/>
      <c r="GNI27" s="98"/>
      <c r="GNJ27" s="98"/>
      <c r="GNK27" s="98"/>
      <c r="GNL27" s="98"/>
      <c r="GNM27" s="98"/>
      <c r="GNN27" s="98"/>
      <c r="GNO27" s="98"/>
      <c r="GNP27" s="98"/>
      <c r="GNQ27" s="98"/>
      <c r="GNR27" s="98"/>
      <c r="GNS27" s="98"/>
      <c r="GNT27" s="98"/>
      <c r="GNU27" s="98"/>
      <c r="GNV27" s="98"/>
      <c r="GNW27" s="98"/>
      <c r="GNX27" s="98"/>
      <c r="GNY27" s="98"/>
      <c r="GNZ27" s="98"/>
      <c r="GOA27" s="98"/>
      <c r="GOB27" s="98"/>
      <c r="GOC27" s="98"/>
      <c r="GOD27" s="98"/>
      <c r="GOE27" s="98"/>
      <c r="GOF27" s="98"/>
      <c r="GOG27" s="98"/>
      <c r="GOH27" s="98"/>
      <c r="GOI27" s="98"/>
      <c r="GOJ27" s="98"/>
      <c r="GOK27" s="98"/>
      <c r="GOL27" s="98"/>
      <c r="GOM27" s="98"/>
      <c r="GON27" s="98"/>
      <c r="GOO27" s="98"/>
      <c r="GOP27" s="98"/>
      <c r="GOQ27" s="98"/>
      <c r="GOR27" s="98"/>
      <c r="GOS27" s="98"/>
      <c r="GOT27" s="98"/>
      <c r="GOU27" s="98"/>
      <c r="GOV27" s="98"/>
      <c r="GOW27" s="98"/>
      <c r="GOX27" s="98"/>
      <c r="GOY27" s="98"/>
      <c r="GOZ27" s="98"/>
      <c r="GPA27" s="98"/>
      <c r="GPB27" s="98"/>
      <c r="GPC27" s="98"/>
      <c r="GPD27" s="98"/>
      <c r="GPE27" s="98"/>
      <c r="GPF27" s="98"/>
      <c r="GPG27" s="98"/>
      <c r="GPH27" s="98"/>
      <c r="GPI27" s="98"/>
      <c r="GPJ27" s="98"/>
      <c r="GPK27" s="98"/>
      <c r="GPL27" s="98"/>
      <c r="GPM27" s="98"/>
      <c r="GPN27" s="98"/>
      <c r="GPO27" s="98"/>
      <c r="GPP27" s="98"/>
      <c r="GPQ27" s="98"/>
      <c r="GPR27" s="98"/>
      <c r="GPS27" s="98"/>
      <c r="GPT27" s="98"/>
      <c r="GPU27" s="98"/>
      <c r="GPV27" s="98"/>
      <c r="GPW27" s="98"/>
      <c r="GPX27" s="98"/>
      <c r="GPY27" s="98"/>
      <c r="GPZ27" s="98"/>
      <c r="GQA27" s="98"/>
      <c r="GQB27" s="98"/>
      <c r="GQC27" s="98"/>
      <c r="GQD27" s="98"/>
      <c r="GQE27" s="98"/>
      <c r="GQF27" s="98"/>
      <c r="GQG27" s="98"/>
      <c r="GQH27" s="98"/>
      <c r="GQI27" s="98"/>
      <c r="GQJ27" s="98"/>
      <c r="GQK27" s="98"/>
      <c r="GQL27" s="98"/>
      <c r="GQM27" s="98"/>
      <c r="GQN27" s="98"/>
      <c r="GQO27" s="98"/>
      <c r="GQP27" s="98"/>
      <c r="GQQ27" s="98"/>
      <c r="GQR27" s="98"/>
      <c r="GQS27" s="98"/>
      <c r="GQT27" s="98"/>
      <c r="GQU27" s="98"/>
      <c r="GQV27" s="98"/>
      <c r="GQW27" s="98"/>
      <c r="GQX27" s="98"/>
      <c r="GQY27" s="98"/>
      <c r="GQZ27" s="98"/>
      <c r="GRA27" s="98"/>
      <c r="GRB27" s="98"/>
      <c r="GRC27" s="98"/>
      <c r="GRD27" s="98"/>
      <c r="GRE27" s="98"/>
      <c r="GRF27" s="98"/>
      <c r="GRG27" s="98"/>
      <c r="GRH27" s="98"/>
      <c r="GRI27" s="98"/>
      <c r="GRJ27" s="98"/>
      <c r="GRK27" s="98"/>
      <c r="GRL27" s="98"/>
      <c r="GRM27" s="98"/>
      <c r="GRN27" s="98"/>
      <c r="GRO27" s="98"/>
      <c r="GRP27" s="98"/>
      <c r="GRQ27" s="98"/>
      <c r="GRR27" s="98"/>
      <c r="GRS27" s="98"/>
      <c r="GRT27" s="98"/>
      <c r="GRU27" s="98"/>
      <c r="GRV27" s="98"/>
      <c r="GRW27" s="98"/>
      <c r="GRX27" s="98"/>
      <c r="GRY27" s="98"/>
      <c r="GRZ27" s="98"/>
      <c r="GSA27" s="98"/>
      <c r="GSB27" s="98"/>
      <c r="GSC27" s="98"/>
      <c r="GSD27" s="98"/>
      <c r="GSE27" s="98"/>
      <c r="GSF27" s="98"/>
      <c r="GSG27" s="98"/>
      <c r="GSH27" s="98"/>
      <c r="GSI27" s="98"/>
      <c r="GSJ27" s="98"/>
      <c r="GSK27" s="98"/>
      <c r="GSL27" s="98"/>
      <c r="GSM27" s="98"/>
      <c r="GSN27" s="98"/>
      <c r="GSO27" s="98"/>
      <c r="GSP27" s="98"/>
      <c r="GSQ27" s="98"/>
      <c r="GSR27" s="98"/>
      <c r="GSS27" s="98"/>
      <c r="GST27" s="98"/>
      <c r="GSU27" s="98"/>
      <c r="GSV27" s="98"/>
      <c r="GSW27" s="98"/>
      <c r="GSX27" s="98"/>
      <c r="GSY27" s="98"/>
      <c r="GSZ27" s="98"/>
      <c r="GTA27" s="98"/>
      <c r="GTB27" s="98"/>
      <c r="GTC27" s="98"/>
      <c r="GTD27" s="98"/>
      <c r="GTE27" s="98"/>
      <c r="GTF27" s="98"/>
      <c r="GTG27" s="98"/>
      <c r="GTH27" s="98"/>
      <c r="GTI27" s="98"/>
      <c r="GTJ27" s="98"/>
      <c r="GTK27" s="98"/>
      <c r="GTL27" s="98"/>
      <c r="GTM27" s="98"/>
      <c r="GTN27" s="98"/>
      <c r="GTO27" s="98"/>
      <c r="GTP27" s="98"/>
      <c r="GTQ27" s="98"/>
      <c r="GTR27" s="98"/>
      <c r="GTS27" s="98"/>
      <c r="GTT27" s="98"/>
      <c r="GTU27" s="98"/>
      <c r="GTV27" s="98"/>
      <c r="GTW27" s="98"/>
      <c r="GTX27" s="98"/>
      <c r="GTY27" s="98"/>
      <c r="GTZ27" s="98"/>
      <c r="GUA27" s="98"/>
      <c r="GUB27" s="98"/>
      <c r="GUC27" s="98"/>
      <c r="GUD27" s="98"/>
      <c r="GUE27" s="98"/>
      <c r="GUF27" s="98"/>
      <c r="GUG27" s="98"/>
      <c r="GUH27" s="98"/>
      <c r="GUI27" s="98"/>
      <c r="GUJ27" s="98"/>
      <c r="GUK27" s="98"/>
      <c r="GUL27" s="98"/>
      <c r="GUM27" s="98"/>
      <c r="GUN27" s="98"/>
      <c r="GUO27" s="98"/>
      <c r="GUP27" s="98"/>
      <c r="GUQ27" s="98"/>
      <c r="GUR27" s="98"/>
      <c r="GUS27" s="98"/>
      <c r="GUT27" s="98"/>
      <c r="GUU27" s="98"/>
      <c r="GUV27" s="98"/>
      <c r="GUW27" s="98"/>
      <c r="GUX27" s="98"/>
      <c r="GUY27" s="98"/>
      <c r="GUZ27" s="98"/>
      <c r="GVA27" s="98"/>
      <c r="GVB27" s="98"/>
      <c r="GVC27" s="98"/>
      <c r="GVD27" s="98"/>
      <c r="GVE27" s="98"/>
      <c r="GVF27" s="98"/>
      <c r="GVG27" s="98"/>
      <c r="GVH27" s="98"/>
      <c r="GVI27" s="98"/>
      <c r="GVJ27" s="98"/>
      <c r="GVK27" s="98"/>
      <c r="GVL27" s="98"/>
      <c r="GVM27" s="98"/>
      <c r="GVN27" s="98"/>
      <c r="GVO27" s="98"/>
      <c r="GVP27" s="98"/>
      <c r="GVQ27" s="98"/>
      <c r="GVR27" s="98"/>
      <c r="GVS27" s="98"/>
      <c r="GVT27" s="98"/>
      <c r="GVU27" s="98"/>
      <c r="GVV27" s="98"/>
      <c r="GVW27" s="98"/>
      <c r="GVX27" s="98"/>
      <c r="GVY27" s="98"/>
      <c r="GVZ27" s="98"/>
      <c r="GWA27" s="98"/>
      <c r="GWB27" s="98"/>
      <c r="GWC27" s="98"/>
      <c r="GWD27" s="98"/>
      <c r="GWE27" s="98"/>
      <c r="GWF27" s="98"/>
      <c r="GWG27" s="98"/>
      <c r="GWH27" s="98"/>
      <c r="GWI27" s="98"/>
      <c r="GWJ27" s="98"/>
      <c r="GWK27" s="98"/>
      <c r="GWL27" s="98"/>
      <c r="GWM27" s="98"/>
      <c r="GWN27" s="98"/>
      <c r="GWO27" s="98"/>
      <c r="GWP27" s="98"/>
      <c r="GWQ27" s="98"/>
      <c r="GWR27" s="98"/>
      <c r="GWS27" s="98"/>
      <c r="GWT27" s="98"/>
      <c r="GWU27" s="98"/>
      <c r="GWV27" s="98"/>
      <c r="GWW27" s="98"/>
      <c r="GWX27" s="98"/>
      <c r="GWY27" s="98"/>
      <c r="GWZ27" s="98"/>
      <c r="GXA27" s="98"/>
      <c r="GXB27" s="98"/>
      <c r="GXC27" s="98"/>
      <c r="GXD27" s="98"/>
      <c r="GXE27" s="98"/>
      <c r="GXF27" s="98"/>
      <c r="GXG27" s="98"/>
      <c r="GXH27" s="98"/>
      <c r="GXI27" s="98"/>
      <c r="GXJ27" s="98"/>
      <c r="GXK27" s="98"/>
      <c r="GXL27" s="98"/>
      <c r="GXM27" s="98"/>
      <c r="GXN27" s="98"/>
      <c r="GXO27" s="98"/>
      <c r="GXP27" s="98"/>
      <c r="GXQ27" s="98"/>
      <c r="GXR27" s="98"/>
      <c r="GXS27" s="98"/>
      <c r="GXT27" s="98"/>
      <c r="GXU27" s="98"/>
      <c r="GXV27" s="98"/>
      <c r="GXW27" s="98"/>
      <c r="GXX27" s="98"/>
      <c r="GXY27" s="98"/>
      <c r="GXZ27" s="98"/>
      <c r="GYA27" s="98"/>
      <c r="GYB27" s="98"/>
      <c r="GYC27" s="98"/>
      <c r="GYD27" s="98"/>
      <c r="GYE27" s="98"/>
      <c r="GYF27" s="98"/>
      <c r="GYG27" s="98"/>
      <c r="GYH27" s="98"/>
      <c r="GYI27" s="98"/>
      <c r="GYJ27" s="98"/>
      <c r="GYK27" s="98"/>
      <c r="GYL27" s="98"/>
      <c r="GYM27" s="98"/>
      <c r="GYN27" s="98"/>
      <c r="GYO27" s="98"/>
      <c r="GYP27" s="98"/>
      <c r="GYQ27" s="98"/>
      <c r="GYR27" s="98"/>
      <c r="GYS27" s="98"/>
      <c r="GYT27" s="98"/>
      <c r="GYU27" s="98"/>
      <c r="GYV27" s="98"/>
      <c r="GYW27" s="98"/>
      <c r="GYX27" s="98"/>
      <c r="GYY27" s="98"/>
      <c r="GYZ27" s="98"/>
      <c r="GZA27" s="98"/>
      <c r="GZB27" s="98"/>
      <c r="GZC27" s="98"/>
      <c r="GZD27" s="98"/>
      <c r="GZE27" s="98"/>
      <c r="GZF27" s="98"/>
      <c r="GZG27" s="98"/>
      <c r="GZH27" s="98"/>
      <c r="GZI27" s="98"/>
      <c r="GZJ27" s="98"/>
      <c r="GZK27" s="98"/>
      <c r="GZL27" s="98"/>
      <c r="GZM27" s="98"/>
      <c r="GZN27" s="98"/>
      <c r="GZO27" s="98"/>
      <c r="GZP27" s="98"/>
      <c r="GZQ27" s="98"/>
      <c r="GZR27" s="98"/>
      <c r="GZS27" s="98"/>
      <c r="GZT27" s="98"/>
      <c r="GZU27" s="98"/>
      <c r="GZV27" s="98"/>
      <c r="GZW27" s="98"/>
      <c r="GZX27" s="98"/>
      <c r="GZY27" s="98"/>
      <c r="GZZ27" s="98"/>
      <c r="HAA27" s="98"/>
      <c r="HAB27" s="98"/>
      <c r="HAC27" s="98"/>
      <c r="HAD27" s="98"/>
      <c r="HAE27" s="98"/>
      <c r="HAF27" s="98"/>
      <c r="HAG27" s="98"/>
      <c r="HAH27" s="98"/>
      <c r="HAI27" s="98"/>
      <c r="HAJ27" s="98"/>
      <c r="HAK27" s="98"/>
      <c r="HAL27" s="98"/>
      <c r="HAM27" s="98"/>
      <c r="HAN27" s="98"/>
      <c r="HAO27" s="98"/>
      <c r="HAP27" s="98"/>
      <c r="HAQ27" s="98"/>
      <c r="HAR27" s="98"/>
      <c r="HAS27" s="98"/>
      <c r="HAT27" s="98"/>
      <c r="HAU27" s="98"/>
      <c r="HAV27" s="98"/>
      <c r="HAW27" s="98"/>
      <c r="HAX27" s="98"/>
      <c r="HAY27" s="98"/>
      <c r="HAZ27" s="98"/>
      <c r="HBA27" s="98"/>
      <c r="HBB27" s="98"/>
      <c r="HBC27" s="98"/>
      <c r="HBD27" s="98"/>
      <c r="HBE27" s="98"/>
      <c r="HBF27" s="98"/>
      <c r="HBG27" s="98"/>
      <c r="HBH27" s="98"/>
      <c r="HBI27" s="98"/>
      <c r="HBJ27" s="98"/>
      <c r="HBK27" s="98"/>
      <c r="HBL27" s="98"/>
      <c r="HBM27" s="98"/>
      <c r="HBN27" s="98"/>
      <c r="HBO27" s="98"/>
      <c r="HBP27" s="98"/>
      <c r="HBQ27" s="98"/>
      <c r="HBR27" s="98"/>
      <c r="HBS27" s="98"/>
      <c r="HBT27" s="98"/>
      <c r="HBU27" s="98"/>
      <c r="HBV27" s="98"/>
      <c r="HBW27" s="98"/>
      <c r="HBX27" s="98"/>
      <c r="HBY27" s="98"/>
      <c r="HBZ27" s="98"/>
      <c r="HCA27" s="98"/>
      <c r="HCB27" s="98"/>
      <c r="HCC27" s="98"/>
      <c r="HCD27" s="98"/>
      <c r="HCE27" s="98"/>
      <c r="HCF27" s="98"/>
      <c r="HCG27" s="98"/>
      <c r="HCH27" s="98"/>
      <c r="HCI27" s="98"/>
      <c r="HCJ27" s="98"/>
      <c r="HCK27" s="98"/>
      <c r="HCL27" s="98"/>
      <c r="HCM27" s="98"/>
      <c r="HCN27" s="98"/>
      <c r="HCO27" s="98"/>
      <c r="HCP27" s="98"/>
      <c r="HCQ27" s="98"/>
      <c r="HCR27" s="98"/>
      <c r="HCS27" s="98"/>
      <c r="HCT27" s="98"/>
      <c r="HCU27" s="98"/>
      <c r="HCV27" s="98"/>
      <c r="HCW27" s="98"/>
      <c r="HCX27" s="98"/>
      <c r="HCY27" s="98"/>
      <c r="HCZ27" s="98"/>
      <c r="HDA27" s="98"/>
      <c r="HDB27" s="98"/>
      <c r="HDC27" s="98"/>
      <c r="HDD27" s="98"/>
      <c r="HDE27" s="98"/>
      <c r="HDF27" s="98"/>
      <c r="HDG27" s="98"/>
      <c r="HDH27" s="98"/>
      <c r="HDI27" s="98"/>
      <c r="HDJ27" s="98"/>
      <c r="HDK27" s="98"/>
      <c r="HDL27" s="98"/>
      <c r="HDM27" s="98"/>
      <c r="HDN27" s="98"/>
      <c r="HDO27" s="98"/>
      <c r="HDP27" s="98"/>
      <c r="HDQ27" s="98"/>
      <c r="HDR27" s="98"/>
      <c r="HDS27" s="98"/>
      <c r="HDT27" s="98"/>
      <c r="HDU27" s="98"/>
      <c r="HDV27" s="98"/>
      <c r="HDW27" s="98"/>
      <c r="HDX27" s="98"/>
      <c r="HDY27" s="98"/>
      <c r="HDZ27" s="98"/>
      <c r="HEA27" s="98"/>
      <c r="HEB27" s="98"/>
      <c r="HEC27" s="98"/>
      <c r="HED27" s="98"/>
      <c r="HEE27" s="98"/>
      <c r="HEF27" s="98"/>
      <c r="HEG27" s="98"/>
      <c r="HEH27" s="98"/>
      <c r="HEI27" s="98"/>
      <c r="HEJ27" s="98"/>
      <c r="HEK27" s="98"/>
      <c r="HEL27" s="98"/>
      <c r="HEM27" s="98"/>
      <c r="HEN27" s="98"/>
      <c r="HEO27" s="98"/>
      <c r="HEP27" s="98"/>
      <c r="HEQ27" s="98"/>
      <c r="HER27" s="98"/>
      <c r="HES27" s="98"/>
      <c r="HET27" s="98"/>
      <c r="HEU27" s="98"/>
      <c r="HEV27" s="98"/>
      <c r="HEW27" s="98"/>
      <c r="HEX27" s="98"/>
      <c r="HEY27" s="98"/>
      <c r="HEZ27" s="98"/>
      <c r="HFA27" s="98"/>
      <c r="HFB27" s="98"/>
      <c r="HFC27" s="98"/>
      <c r="HFD27" s="98"/>
      <c r="HFE27" s="98"/>
      <c r="HFF27" s="98"/>
      <c r="HFG27" s="98"/>
      <c r="HFH27" s="98"/>
      <c r="HFI27" s="98"/>
      <c r="HFJ27" s="98"/>
      <c r="HFK27" s="98"/>
      <c r="HFL27" s="98"/>
      <c r="HFM27" s="98"/>
      <c r="HFN27" s="98"/>
      <c r="HFO27" s="98"/>
      <c r="HFP27" s="98"/>
      <c r="HFQ27" s="98"/>
      <c r="HFR27" s="98"/>
      <c r="HFS27" s="98"/>
      <c r="HFT27" s="98"/>
      <c r="HFU27" s="98"/>
      <c r="HFV27" s="98"/>
      <c r="HFW27" s="98"/>
      <c r="HFX27" s="98"/>
      <c r="HFY27" s="98"/>
      <c r="HFZ27" s="98"/>
      <c r="HGA27" s="98"/>
      <c r="HGB27" s="98"/>
      <c r="HGC27" s="98"/>
      <c r="HGD27" s="98"/>
      <c r="HGE27" s="98"/>
      <c r="HGF27" s="98"/>
      <c r="HGG27" s="98"/>
      <c r="HGH27" s="98"/>
      <c r="HGI27" s="98"/>
      <c r="HGJ27" s="98"/>
      <c r="HGK27" s="98"/>
      <c r="HGL27" s="98"/>
      <c r="HGM27" s="98"/>
      <c r="HGN27" s="98"/>
      <c r="HGO27" s="98"/>
      <c r="HGP27" s="98"/>
      <c r="HGQ27" s="98"/>
      <c r="HGR27" s="98"/>
      <c r="HGS27" s="98"/>
      <c r="HGT27" s="98"/>
      <c r="HGU27" s="98"/>
      <c r="HGV27" s="98"/>
      <c r="HGW27" s="98"/>
      <c r="HGX27" s="98"/>
      <c r="HGY27" s="98"/>
      <c r="HGZ27" s="98"/>
      <c r="HHA27" s="98"/>
      <c r="HHB27" s="98"/>
      <c r="HHC27" s="98"/>
      <c r="HHD27" s="98"/>
      <c r="HHE27" s="98"/>
      <c r="HHF27" s="98"/>
      <c r="HHG27" s="98"/>
      <c r="HHH27" s="98"/>
      <c r="HHI27" s="98"/>
      <c r="HHJ27" s="98"/>
      <c r="HHK27" s="98"/>
      <c r="HHL27" s="98"/>
      <c r="HHM27" s="98"/>
      <c r="HHN27" s="98"/>
      <c r="HHO27" s="98"/>
      <c r="HHP27" s="98"/>
      <c r="HHQ27" s="98"/>
      <c r="HHR27" s="98"/>
      <c r="HHS27" s="98"/>
      <c r="HHT27" s="98"/>
      <c r="HHU27" s="98"/>
      <c r="HHV27" s="98"/>
      <c r="HHW27" s="98"/>
      <c r="HHX27" s="98"/>
      <c r="HHY27" s="98"/>
      <c r="HHZ27" s="98"/>
      <c r="HIA27" s="98"/>
      <c r="HIB27" s="98"/>
      <c r="HIC27" s="98"/>
      <c r="HID27" s="98"/>
      <c r="HIE27" s="98"/>
      <c r="HIF27" s="98"/>
      <c r="HIG27" s="98"/>
      <c r="HIH27" s="98"/>
      <c r="HII27" s="98"/>
      <c r="HIJ27" s="98"/>
      <c r="HIK27" s="98"/>
      <c r="HIL27" s="98"/>
      <c r="HIM27" s="98"/>
      <c r="HIN27" s="98"/>
      <c r="HIO27" s="98"/>
      <c r="HIP27" s="98"/>
      <c r="HIQ27" s="98"/>
      <c r="HIR27" s="98"/>
      <c r="HIS27" s="98"/>
      <c r="HIT27" s="98"/>
      <c r="HIU27" s="98"/>
      <c r="HIV27" s="98"/>
      <c r="HIW27" s="98"/>
      <c r="HIX27" s="98"/>
      <c r="HIY27" s="98"/>
      <c r="HIZ27" s="98"/>
      <c r="HJA27" s="98"/>
      <c r="HJB27" s="98"/>
      <c r="HJC27" s="98"/>
      <c r="HJD27" s="98"/>
      <c r="HJE27" s="98"/>
      <c r="HJF27" s="98"/>
      <c r="HJG27" s="98"/>
      <c r="HJH27" s="98"/>
      <c r="HJI27" s="98"/>
      <c r="HJJ27" s="98"/>
      <c r="HJK27" s="98"/>
      <c r="HJL27" s="98"/>
      <c r="HJM27" s="98"/>
      <c r="HJN27" s="98"/>
      <c r="HJO27" s="98"/>
      <c r="HJP27" s="98"/>
      <c r="HJQ27" s="98"/>
      <c r="HJR27" s="98"/>
      <c r="HJS27" s="98"/>
      <c r="HJT27" s="98"/>
      <c r="HJU27" s="98"/>
      <c r="HJV27" s="98"/>
      <c r="HJW27" s="98"/>
      <c r="HJX27" s="98"/>
      <c r="HJY27" s="98"/>
      <c r="HJZ27" s="98"/>
      <c r="HKA27" s="98"/>
      <c r="HKB27" s="98"/>
      <c r="HKC27" s="98"/>
      <c r="HKD27" s="98"/>
      <c r="HKE27" s="98"/>
      <c r="HKF27" s="98"/>
      <c r="HKG27" s="98"/>
      <c r="HKH27" s="98"/>
      <c r="HKI27" s="98"/>
      <c r="HKJ27" s="98"/>
      <c r="HKK27" s="98"/>
      <c r="HKL27" s="98"/>
      <c r="HKM27" s="98"/>
      <c r="HKN27" s="98"/>
      <c r="HKO27" s="98"/>
      <c r="HKP27" s="98"/>
      <c r="HKQ27" s="98"/>
      <c r="HKR27" s="98"/>
      <c r="HKS27" s="98"/>
      <c r="HKT27" s="98"/>
      <c r="HKU27" s="98"/>
      <c r="HKV27" s="98"/>
      <c r="HKW27" s="98"/>
      <c r="HKX27" s="98"/>
      <c r="HKY27" s="98"/>
      <c r="HKZ27" s="98"/>
      <c r="HLA27" s="98"/>
      <c r="HLB27" s="98"/>
      <c r="HLC27" s="98"/>
      <c r="HLD27" s="98"/>
      <c r="HLE27" s="98"/>
      <c r="HLF27" s="98"/>
      <c r="HLG27" s="98"/>
      <c r="HLH27" s="98"/>
      <c r="HLI27" s="98"/>
      <c r="HLJ27" s="98"/>
      <c r="HLK27" s="98"/>
      <c r="HLL27" s="98"/>
      <c r="HLM27" s="98"/>
      <c r="HLN27" s="98"/>
      <c r="HLO27" s="98"/>
      <c r="HLP27" s="98"/>
      <c r="HLQ27" s="98"/>
      <c r="HLR27" s="98"/>
      <c r="HLS27" s="98"/>
      <c r="HLT27" s="98"/>
      <c r="HLU27" s="98"/>
      <c r="HLV27" s="98"/>
      <c r="HLW27" s="98"/>
      <c r="HLX27" s="98"/>
      <c r="HLY27" s="98"/>
      <c r="HLZ27" s="98"/>
      <c r="HMA27" s="98"/>
      <c r="HMB27" s="98"/>
      <c r="HMC27" s="98"/>
      <c r="HMD27" s="98"/>
      <c r="HME27" s="98"/>
      <c r="HMF27" s="98"/>
      <c r="HMG27" s="98"/>
      <c r="HMH27" s="98"/>
      <c r="HMI27" s="98"/>
      <c r="HMJ27" s="98"/>
      <c r="HMK27" s="98"/>
      <c r="HML27" s="98"/>
      <c r="HMM27" s="98"/>
      <c r="HMN27" s="98"/>
      <c r="HMO27" s="98"/>
      <c r="HMP27" s="98"/>
      <c r="HMQ27" s="98"/>
      <c r="HMR27" s="98"/>
      <c r="HMS27" s="98"/>
      <c r="HMT27" s="98"/>
      <c r="HMU27" s="98"/>
      <c r="HMV27" s="98"/>
      <c r="HMW27" s="98"/>
      <c r="HMX27" s="98"/>
      <c r="HMY27" s="98"/>
      <c r="HMZ27" s="98"/>
      <c r="HNA27" s="98"/>
      <c r="HNB27" s="98"/>
      <c r="HNC27" s="98"/>
      <c r="HND27" s="98"/>
      <c r="HNE27" s="98"/>
      <c r="HNF27" s="98"/>
      <c r="HNG27" s="98"/>
      <c r="HNH27" s="98"/>
      <c r="HNI27" s="98"/>
      <c r="HNJ27" s="98"/>
      <c r="HNK27" s="98"/>
      <c r="HNL27" s="98"/>
      <c r="HNM27" s="98"/>
      <c r="HNN27" s="98"/>
      <c r="HNO27" s="98"/>
      <c r="HNP27" s="98"/>
      <c r="HNQ27" s="98"/>
      <c r="HNR27" s="98"/>
      <c r="HNS27" s="98"/>
      <c r="HNT27" s="98"/>
      <c r="HNU27" s="98"/>
      <c r="HNV27" s="98"/>
      <c r="HNW27" s="98"/>
      <c r="HNX27" s="98"/>
      <c r="HNY27" s="98"/>
      <c r="HNZ27" s="98"/>
      <c r="HOA27" s="98"/>
      <c r="HOB27" s="98"/>
      <c r="HOC27" s="98"/>
      <c r="HOD27" s="98"/>
      <c r="HOE27" s="98"/>
      <c r="HOF27" s="98"/>
      <c r="HOG27" s="98"/>
      <c r="HOH27" s="98"/>
      <c r="HOI27" s="98"/>
      <c r="HOJ27" s="98"/>
      <c r="HOK27" s="98"/>
      <c r="HOL27" s="98"/>
      <c r="HOM27" s="98"/>
      <c r="HON27" s="98"/>
      <c r="HOO27" s="98"/>
      <c r="HOP27" s="98"/>
      <c r="HOQ27" s="98"/>
      <c r="HOR27" s="98"/>
      <c r="HOS27" s="98"/>
      <c r="HOT27" s="98"/>
      <c r="HOU27" s="98"/>
      <c r="HOV27" s="98"/>
      <c r="HOW27" s="98"/>
      <c r="HOX27" s="98"/>
      <c r="HOY27" s="98"/>
      <c r="HOZ27" s="98"/>
      <c r="HPA27" s="98"/>
      <c r="HPB27" s="98"/>
      <c r="HPC27" s="98"/>
      <c r="HPD27" s="98"/>
      <c r="HPE27" s="98"/>
      <c r="HPF27" s="98"/>
      <c r="HPG27" s="98"/>
      <c r="HPH27" s="98"/>
      <c r="HPI27" s="98"/>
      <c r="HPJ27" s="98"/>
      <c r="HPK27" s="98"/>
      <c r="HPL27" s="98"/>
      <c r="HPM27" s="98"/>
      <c r="HPN27" s="98"/>
      <c r="HPO27" s="98"/>
      <c r="HPP27" s="98"/>
      <c r="HPQ27" s="98"/>
      <c r="HPR27" s="98"/>
      <c r="HPS27" s="98"/>
      <c r="HPT27" s="98"/>
      <c r="HPU27" s="98"/>
      <c r="HPV27" s="98"/>
      <c r="HPW27" s="98"/>
      <c r="HPX27" s="98"/>
      <c r="HPY27" s="98"/>
      <c r="HPZ27" s="98"/>
      <c r="HQA27" s="98"/>
      <c r="HQB27" s="98"/>
      <c r="HQC27" s="98"/>
      <c r="HQD27" s="98"/>
      <c r="HQE27" s="98"/>
      <c r="HQF27" s="98"/>
      <c r="HQG27" s="98"/>
      <c r="HQH27" s="98"/>
      <c r="HQI27" s="98"/>
      <c r="HQJ27" s="98"/>
      <c r="HQK27" s="98"/>
      <c r="HQL27" s="98"/>
      <c r="HQM27" s="98"/>
      <c r="HQN27" s="98"/>
      <c r="HQO27" s="98"/>
      <c r="HQP27" s="98"/>
      <c r="HQQ27" s="98"/>
      <c r="HQR27" s="98"/>
      <c r="HQS27" s="98"/>
      <c r="HQT27" s="98"/>
      <c r="HQU27" s="98"/>
      <c r="HQV27" s="98"/>
      <c r="HQW27" s="98"/>
      <c r="HQX27" s="98"/>
      <c r="HQY27" s="98"/>
      <c r="HQZ27" s="98"/>
      <c r="HRA27" s="98"/>
      <c r="HRB27" s="98"/>
      <c r="HRC27" s="98"/>
      <c r="HRD27" s="98"/>
      <c r="HRE27" s="98"/>
      <c r="HRF27" s="98"/>
      <c r="HRG27" s="98"/>
      <c r="HRH27" s="98"/>
      <c r="HRI27" s="98"/>
      <c r="HRJ27" s="98"/>
      <c r="HRK27" s="98"/>
      <c r="HRL27" s="98"/>
      <c r="HRM27" s="98"/>
      <c r="HRN27" s="98"/>
      <c r="HRO27" s="98"/>
      <c r="HRP27" s="98"/>
      <c r="HRQ27" s="98"/>
      <c r="HRR27" s="98"/>
      <c r="HRS27" s="98"/>
      <c r="HRT27" s="98"/>
      <c r="HRU27" s="98"/>
      <c r="HRV27" s="98"/>
      <c r="HRW27" s="98"/>
      <c r="HRX27" s="98"/>
      <c r="HRY27" s="98"/>
      <c r="HRZ27" s="98"/>
      <c r="HSA27" s="98"/>
      <c r="HSB27" s="98"/>
      <c r="HSC27" s="98"/>
      <c r="HSD27" s="98"/>
      <c r="HSE27" s="98"/>
      <c r="HSF27" s="98"/>
      <c r="HSG27" s="98"/>
      <c r="HSH27" s="98"/>
      <c r="HSI27" s="98"/>
      <c r="HSJ27" s="98"/>
      <c r="HSK27" s="98"/>
      <c r="HSL27" s="98"/>
      <c r="HSM27" s="98"/>
      <c r="HSN27" s="98"/>
      <c r="HSO27" s="98"/>
      <c r="HSP27" s="98"/>
      <c r="HSQ27" s="98"/>
      <c r="HSR27" s="98"/>
      <c r="HSS27" s="98"/>
      <c r="HST27" s="98"/>
      <c r="HSU27" s="98"/>
      <c r="HSV27" s="98"/>
      <c r="HSW27" s="98"/>
      <c r="HSX27" s="98"/>
      <c r="HSY27" s="98"/>
      <c r="HSZ27" s="98"/>
      <c r="HTA27" s="98"/>
      <c r="HTB27" s="98"/>
      <c r="HTC27" s="98"/>
      <c r="HTD27" s="98"/>
      <c r="HTE27" s="98"/>
      <c r="HTF27" s="98"/>
      <c r="HTG27" s="98"/>
      <c r="HTH27" s="98"/>
      <c r="HTI27" s="98"/>
      <c r="HTJ27" s="98"/>
      <c r="HTK27" s="98"/>
      <c r="HTL27" s="98"/>
      <c r="HTM27" s="98"/>
      <c r="HTN27" s="98"/>
      <c r="HTO27" s="98"/>
      <c r="HTP27" s="98"/>
      <c r="HTQ27" s="98"/>
      <c r="HTR27" s="98"/>
      <c r="HTS27" s="98"/>
      <c r="HTT27" s="98"/>
      <c r="HTU27" s="98"/>
      <c r="HTV27" s="98"/>
      <c r="HTW27" s="98"/>
      <c r="HTX27" s="98"/>
      <c r="HTY27" s="98"/>
      <c r="HTZ27" s="98"/>
      <c r="HUA27" s="98"/>
      <c r="HUB27" s="98"/>
      <c r="HUC27" s="98"/>
      <c r="HUD27" s="98"/>
      <c r="HUE27" s="98"/>
      <c r="HUF27" s="98"/>
      <c r="HUG27" s="98"/>
      <c r="HUH27" s="98"/>
      <c r="HUI27" s="98"/>
      <c r="HUJ27" s="98"/>
      <c r="HUK27" s="98"/>
      <c r="HUL27" s="98"/>
      <c r="HUM27" s="98"/>
      <c r="HUN27" s="98"/>
      <c r="HUO27" s="98"/>
      <c r="HUP27" s="98"/>
      <c r="HUQ27" s="98"/>
      <c r="HUR27" s="98"/>
      <c r="HUS27" s="98"/>
      <c r="HUT27" s="98"/>
      <c r="HUU27" s="98"/>
      <c r="HUV27" s="98"/>
      <c r="HUW27" s="98"/>
      <c r="HUX27" s="98"/>
      <c r="HUY27" s="98"/>
      <c r="HUZ27" s="98"/>
      <c r="HVA27" s="98"/>
      <c r="HVB27" s="98"/>
      <c r="HVC27" s="98"/>
      <c r="HVD27" s="98"/>
      <c r="HVE27" s="98"/>
      <c r="HVF27" s="98"/>
      <c r="HVG27" s="98"/>
      <c r="HVH27" s="98"/>
      <c r="HVI27" s="98"/>
      <c r="HVJ27" s="98"/>
      <c r="HVK27" s="98"/>
      <c r="HVL27" s="98"/>
      <c r="HVM27" s="98"/>
      <c r="HVN27" s="98"/>
      <c r="HVO27" s="98"/>
      <c r="HVP27" s="98"/>
      <c r="HVQ27" s="98"/>
      <c r="HVR27" s="98"/>
      <c r="HVS27" s="98"/>
      <c r="HVT27" s="98"/>
      <c r="HVU27" s="98"/>
      <c r="HVV27" s="98"/>
      <c r="HVW27" s="98"/>
      <c r="HVX27" s="98"/>
      <c r="HVY27" s="98"/>
      <c r="HVZ27" s="98"/>
      <c r="HWA27" s="98"/>
      <c r="HWB27" s="98"/>
      <c r="HWC27" s="98"/>
      <c r="HWD27" s="98"/>
      <c r="HWE27" s="98"/>
      <c r="HWF27" s="98"/>
      <c r="HWG27" s="98"/>
      <c r="HWH27" s="98"/>
      <c r="HWI27" s="98"/>
      <c r="HWJ27" s="98"/>
      <c r="HWK27" s="98"/>
      <c r="HWL27" s="98"/>
      <c r="HWM27" s="98"/>
      <c r="HWN27" s="98"/>
      <c r="HWO27" s="98"/>
      <c r="HWP27" s="98"/>
      <c r="HWQ27" s="98"/>
      <c r="HWR27" s="98"/>
      <c r="HWS27" s="98"/>
      <c r="HWT27" s="98"/>
      <c r="HWU27" s="98"/>
      <c r="HWV27" s="98"/>
      <c r="HWW27" s="98"/>
      <c r="HWX27" s="98"/>
      <c r="HWY27" s="98"/>
      <c r="HWZ27" s="98"/>
      <c r="HXA27" s="98"/>
      <c r="HXB27" s="98"/>
      <c r="HXC27" s="98"/>
      <c r="HXD27" s="98"/>
      <c r="HXE27" s="98"/>
      <c r="HXF27" s="98"/>
      <c r="HXG27" s="98"/>
      <c r="HXH27" s="98"/>
      <c r="HXI27" s="98"/>
      <c r="HXJ27" s="98"/>
      <c r="HXK27" s="98"/>
      <c r="HXL27" s="98"/>
      <c r="HXM27" s="98"/>
      <c r="HXN27" s="98"/>
      <c r="HXO27" s="98"/>
      <c r="HXP27" s="98"/>
      <c r="HXQ27" s="98"/>
      <c r="HXR27" s="98"/>
      <c r="HXS27" s="98"/>
      <c r="HXT27" s="98"/>
      <c r="HXU27" s="98"/>
      <c r="HXV27" s="98"/>
      <c r="HXW27" s="98"/>
      <c r="HXX27" s="98"/>
      <c r="HXY27" s="98"/>
      <c r="HXZ27" s="98"/>
      <c r="HYA27" s="98"/>
      <c r="HYB27" s="98"/>
      <c r="HYC27" s="98"/>
      <c r="HYD27" s="98"/>
      <c r="HYE27" s="98"/>
      <c r="HYF27" s="98"/>
      <c r="HYG27" s="98"/>
      <c r="HYH27" s="98"/>
      <c r="HYI27" s="98"/>
      <c r="HYJ27" s="98"/>
      <c r="HYK27" s="98"/>
      <c r="HYL27" s="98"/>
      <c r="HYM27" s="98"/>
      <c r="HYN27" s="98"/>
      <c r="HYO27" s="98"/>
      <c r="HYP27" s="98"/>
      <c r="HYQ27" s="98"/>
      <c r="HYR27" s="98"/>
      <c r="HYS27" s="98"/>
      <c r="HYT27" s="98"/>
      <c r="HYU27" s="98"/>
      <c r="HYV27" s="98"/>
      <c r="HYW27" s="98"/>
      <c r="HYX27" s="98"/>
      <c r="HYY27" s="98"/>
      <c r="HYZ27" s="98"/>
      <c r="HZA27" s="98"/>
      <c r="HZB27" s="98"/>
      <c r="HZC27" s="98"/>
      <c r="HZD27" s="98"/>
      <c r="HZE27" s="98"/>
      <c r="HZF27" s="98"/>
      <c r="HZG27" s="98"/>
      <c r="HZH27" s="98"/>
      <c r="HZI27" s="98"/>
      <c r="HZJ27" s="98"/>
      <c r="HZK27" s="98"/>
      <c r="HZL27" s="98"/>
      <c r="HZM27" s="98"/>
      <c r="HZN27" s="98"/>
      <c r="HZO27" s="98"/>
      <c r="HZP27" s="98"/>
      <c r="HZQ27" s="98"/>
      <c r="HZR27" s="98"/>
      <c r="HZS27" s="98"/>
      <c r="HZT27" s="98"/>
      <c r="HZU27" s="98"/>
      <c r="HZV27" s="98"/>
      <c r="HZW27" s="98"/>
      <c r="HZX27" s="98"/>
      <c r="HZY27" s="98"/>
      <c r="HZZ27" s="98"/>
      <c r="IAA27" s="98"/>
      <c r="IAB27" s="98"/>
      <c r="IAC27" s="98"/>
      <c r="IAD27" s="98"/>
      <c r="IAE27" s="98"/>
      <c r="IAF27" s="98"/>
      <c r="IAG27" s="98"/>
      <c r="IAH27" s="98"/>
      <c r="IAI27" s="98"/>
      <c r="IAJ27" s="98"/>
      <c r="IAK27" s="98"/>
      <c r="IAL27" s="98"/>
      <c r="IAM27" s="98"/>
      <c r="IAN27" s="98"/>
      <c r="IAO27" s="98"/>
      <c r="IAP27" s="98"/>
      <c r="IAQ27" s="98"/>
      <c r="IAR27" s="98"/>
      <c r="IAS27" s="98"/>
      <c r="IAT27" s="98"/>
      <c r="IAU27" s="98"/>
      <c r="IAV27" s="98"/>
      <c r="IAW27" s="98"/>
      <c r="IAX27" s="98"/>
      <c r="IAY27" s="98"/>
      <c r="IAZ27" s="98"/>
      <c r="IBA27" s="98"/>
      <c r="IBB27" s="98"/>
      <c r="IBC27" s="98"/>
      <c r="IBD27" s="98"/>
      <c r="IBE27" s="98"/>
      <c r="IBF27" s="98"/>
      <c r="IBG27" s="98"/>
      <c r="IBH27" s="98"/>
      <c r="IBI27" s="98"/>
      <c r="IBJ27" s="98"/>
      <c r="IBK27" s="98"/>
      <c r="IBL27" s="98"/>
      <c r="IBM27" s="98"/>
      <c r="IBN27" s="98"/>
      <c r="IBO27" s="98"/>
      <c r="IBP27" s="98"/>
      <c r="IBQ27" s="98"/>
      <c r="IBR27" s="98"/>
      <c r="IBS27" s="98"/>
      <c r="IBT27" s="98"/>
      <c r="IBU27" s="98"/>
      <c r="IBV27" s="98"/>
      <c r="IBW27" s="98"/>
      <c r="IBX27" s="98"/>
      <c r="IBY27" s="98"/>
      <c r="IBZ27" s="98"/>
      <c r="ICA27" s="98"/>
      <c r="ICB27" s="98"/>
      <c r="ICC27" s="98"/>
      <c r="ICD27" s="98"/>
      <c r="ICE27" s="98"/>
      <c r="ICF27" s="98"/>
      <c r="ICG27" s="98"/>
      <c r="ICH27" s="98"/>
      <c r="ICI27" s="98"/>
      <c r="ICJ27" s="98"/>
      <c r="ICK27" s="98"/>
      <c r="ICL27" s="98"/>
      <c r="ICM27" s="98"/>
      <c r="ICN27" s="98"/>
      <c r="ICO27" s="98"/>
      <c r="ICP27" s="98"/>
      <c r="ICQ27" s="98"/>
      <c r="ICR27" s="98"/>
      <c r="ICS27" s="98"/>
      <c r="ICT27" s="98"/>
      <c r="ICU27" s="98"/>
      <c r="ICV27" s="98"/>
      <c r="ICW27" s="98"/>
      <c r="ICX27" s="98"/>
      <c r="ICY27" s="98"/>
      <c r="ICZ27" s="98"/>
      <c r="IDA27" s="98"/>
      <c r="IDB27" s="98"/>
      <c r="IDC27" s="98"/>
      <c r="IDD27" s="98"/>
      <c r="IDE27" s="98"/>
      <c r="IDF27" s="98"/>
      <c r="IDG27" s="98"/>
      <c r="IDH27" s="98"/>
      <c r="IDI27" s="98"/>
      <c r="IDJ27" s="98"/>
      <c r="IDK27" s="98"/>
      <c r="IDL27" s="98"/>
      <c r="IDM27" s="98"/>
      <c r="IDN27" s="98"/>
      <c r="IDO27" s="98"/>
      <c r="IDP27" s="98"/>
      <c r="IDQ27" s="98"/>
      <c r="IDR27" s="98"/>
      <c r="IDS27" s="98"/>
      <c r="IDT27" s="98"/>
      <c r="IDU27" s="98"/>
      <c r="IDV27" s="98"/>
      <c r="IDW27" s="98"/>
      <c r="IDX27" s="98"/>
      <c r="IDY27" s="98"/>
      <c r="IDZ27" s="98"/>
      <c r="IEA27" s="98"/>
      <c r="IEB27" s="98"/>
      <c r="IEC27" s="98"/>
      <c r="IED27" s="98"/>
      <c r="IEE27" s="98"/>
      <c r="IEF27" s="98"/>
      <c r="IEG27" s="98"/>
      <c r="IEH27" s="98"/>
      <c r="IEI27" s="98"/>
      <c r="IEJ27" s="98"/>
      <c r="IEK27" s="98"/>
      <c r="IEL27" s="98"/>
      <c r="IEM27" s="98"/>
      <c r="IEN27" s="98"/>
      <c r="IEO27" s="98"/>
      <c r="IEP27" s="98"/>
      <c r="IEQ27" s="98"/>
      <c r="IER27" s="98"/>
      <c r="IES27" s="98"/>
      <c r="IET27" s="98"/>
      <c r="IEU27" s="98"/>
      <c r="IEV27" s="98"/>
      <c r="IEW27" s="98"/>
      <c r="IEX27" s="98"/>
      <c r="IEY27" s="98"/>
      <c r="IEZ27" s="98"/>
      <c r="IFA27" s="98"/>
      <c r="IFB27" s="98"/>
      <c r="IFC27" s="98"/>
      <c r="IFD27" s="98"/>
      <c r="IFE27" s="98"/>
      <c r="IFF27" s="98"/>
      <c r="IFG27" s="98"/>
      <c r="IFH27" s="98"/>
      <c r="IFI27" s="98"/>
      <c r="IFJ27" s="98"/>
      <c r="IFK27" s="98"/>
      <c r="IFL27" s="98"/>
      <c r="IFM27" s="98"/>
      <c r="IFN27" s="98"/>
      <c r="IFO27" s="98"/>
      <c r="IFP27" s="98"/>
      <c r="IFQ27" s="98"/>
      <c r="IFR27" s="98"/>
      <c r="IFS27" s="98"/>
      <c r="IFT27" s="98"/>
      <c r="IFU27" s="98"/>
      <c r="IFV27" s="98"/>
      <c r="IFW27" s="98"/>
      <c r="IFX27" s="98"/>
      <c r="IFY27" s="98"/>
      <c r="IFZ27" s="98"/>
      <c r="IGA27" s="98"/>
      <c r="IGB27" s="98"/>
      <c r="IGC27" s="98"/>
      <c r="IGD27" s="98"/>
      <c r="IGE27" s="98"/>
      <c r="IGF27" s="98"/>
      <c r="IGG27" s="98"/>
      <c r="IGH27" s="98"/>
      <c r="IGI27" s="98"/>
      <c r="IGJ27" s="98"/>
      <c r="IGK27" s="98"/>
      <c r="IGL27" s="98"/>
      <c r="IGM27" s="98"/>
      <c r="IGN27" s="98"/>
      <c r="IGO27" s="98"/>
      <c r="IGP27" s="98"/>
      <c r="IGQ27" s="98"/>
      <c r="IGR27" s="98"/>
      <c r="IGS27" s="98"/>
      <c r="IGT27" s="98"/>
      <c r="IGU27" s="98"/>
      <c r="IGV27" s="98"/>
      <c r="IGW27" s="98"/>
      <c r="IGX27" s="98"/>
      <c r="IGY27" s="98"/>
      <c r="IGZ27" s="98"/>
      <c r="IHA27" s="98"/>
      <c r="IHB27" s="98"/>
      <c r="IHC27" s="98"/>
      <c r="IHD27" s="98"/>
      <c r="IHE27" s="98"/>
      <c r="IHF27" s="98"/>
      <c r="IHG27" s="98"/>
      <c r="IHH27" s="98"/>
      <c r="IHI27" s="98"/>
      <c r="IHJ27" s="98"/>
      <c r="IHK27" s="98"/>
      <c r="IHL27" s="98"/>
      <c r="IHM27" s="98"/>
      <c r="IHN27" s="98"/>
      <c r="IHO27" s="98"/>
      <c r="IHP27" s="98"/>
      <c r="IHQ27" s="98"/>
      <c r="IHR27" s="98"/>
      <c r="IHS27" s="98"/>
      <c r="IHT27" s="98"/>
      <c r="IHU27" s="98"/>
      <c r="IHV27" s="98"/>
      <c r="IHW27" s="98"/>
      <c r="IHX27" s="98"/>
      <c r="IHY27" s="98"/>
      <c r="IHZ27" s="98"/>
      <c r="IIA27" s="98"/>
      <c r="IIB27" s="98"/>
      <c r="IIC27" s="98"/>
      <c r="IID27" s="98"/>
      <c r="IIE27" s="98"/>
      <c r="IIF27" s="98"/>
      <c r="IIG27" s="98"/>
      <c r="IIH27" s="98"/>
      <c r="III27" s="98"/>
      <c r="IIJ27" s="98"/>
      <c r="IIK27" s="98"/>
      <c r="IIL27" s="98"/>
      <c r="IIM27" s="98"/>
      <c r="IIN27" s="98"/>
      <c r="IIO27" s="98"/>
      <c r="IIP27" s="98"/>
      <c r="IIQ27" s="98"/>
      <c r="IIR27" s="98"/>
      <c r="IIS27" s="98"/>
      <c r="IIT27" s="98"/>
      <c r="IIU27" s="98"/>
      <c r="IIV27" s="98"/>
      <c r="IIW27" s="98"/>
      <c r="IIX27" s="98"/>
      <c r="IIY27" s="98"/>
      <c r="IIZ27" s="98"/>
      <c r="IJA27" s="98"/>
      <c r="IJB27" s="98"/>
      <c r="IJC27" s="98"/>
      <c r="IJD27" s="98"/>
      <c r="IJE27" s="98"/>
      <c r="IJF27" s="98"/>
      <c r="IJG27" s="98"/>
      <c r="IJH27" s="98"/>
      <c r="IJI27" s="98"/>
      <c r="IJJ27" s="98"/>
      <c r="IJK27" s="98"/>
      <c r="IJL27" s="98"/>
      <c r="IJM27" s="98"/>
      <c r="IJN27" s="98"/>
      <c r="IJO27" s="98"/>
      <c r="IJP27" s="98"/>
      <c r="IJQ27" s="98"/>
      <c r="IJR27" s="98"/>
      <c r="IJS27" s="98"/>
      <c r="IJT27" s="98"/>
      <c r="IJU27" s="98"/>
      <c r="IJV27" s="98"/>
      <c r="IJW27" s="98"/>
      <c r="IJX27" s="98"/>
      <c r="IJY27" s="98"/>
      <c r="IJZ27" s="98"/>
      <c r="IKA27" s="98"/>
      <c r="IKB27" s="98"/>
      <c r="IKC27" s="98"/>
      <c r="IKD27" s="98"/>
      <c r="IKE27" s="98"/>
      <c r="IKF27" s="98"/>
      <c r="IKG27" s="98"/>
      <c r="IKH27" s="98"/>
      <c r="IKI27" s="98"/>
      <c r="IKJ27" s="98"/>
      <c r="IKK27" s="98"/>
      <c r="IKL27" s="98"/>
      <c r="IKM27" s="98"/>
      <c r="IKN27" s="98"/>
      <c r="IKO27" s="98"/>
      <c r="IKP27" s="98"/>
      <c r="IKQ27" s="98"/>
      <c r="IKR27" s="98"/>
      <c r="IKS27" s="98"/>
      <c r="IKT27" s="98"/>
      <c r="IKU27" s="98"/>
      <c r="IKV27" s="98"/>
      <c r="IKW27" s="98"/>
      <c r="IKX27" s="98"/>
      <c r="IKY27" s="98"/>
      <c r="IKZ27" s="98"/>
      <c r="ILA27" s="98"/>
      <c r="ILB27" s="98"/>
      <c r="ILC27" s="98"/>
      <c r="ILD27" s="98"/>
      <c r="ILE27" s="98"/>
      <c r="ILF27" s="98"/>
      <c r="ILG27" s="98"/>
      <c r="ILH27" s="98"/>
      <c r="ILI27" s="98"/>
      <c r="ILJ27" s="98"/>
      <c r="ILK27" s="98"/>
      <c r="ILL27" s="98"/>
      <c r="ILM27" s="98"/>
      <c r="ILN27" s="98"/>
      <c r="ILO27" s="98"/>
      <c r="ILP27" s="98"/>
      <c r="ILQ27" s="98"/>
      <c r="ILR27" s="98"/>
      <c r="ILS27" s="98"/>
      <c r="ILT27" s="98"/>
      <c r="ILU27" s="98"/>
      <c r="ILV27" s="98"/>
      <c r="ILW27" s="98"/>
      <c r="ILX27" s="98"/>
      <c r="ILY27" s="98"/>
      <c r="ILZ27" s="98"/>
      <c r="IMA27" s="98"/>
      <c r="IMB27" s="98"/>
      <c r="IMC27" s="98"/>
      <c r="IMD27" s="98"/>
      <c r="IME27" s="98"/>
      <c r="IMF27" s="98"/>
      <c r="IMG27" s="98"/>
      <c r="IMH27" s="98"/>
      <c r="IMI27" s="98"/>
      <c r="IMJ27" s="98"/>
      <c r="IMK27" s="98"/>
      <c r="IML27" s="98"/>
      <c r="IMM27" s="98"/>
      <c r="IMN27" s="98"/>
      <c r="IMO27" s="98"/>
      <c r="IMP27" s="98"/>
      <c r="IMQ27" s="98"/>
      <c r="IMR27" s="98"/>
      <c r="IMS27" s="98"/>
      <c r="IMT27" s="98"/>
      <c r="IMU27" s="98"/>
      <c r="IMV27" s="98"/>
      <c r="IMW27" s="98"/>
      <c r="IMX27" s="98"/>
      <c r="IMY27" s="98"/>
      <c r="IMZ27" s="98"/>
      <c r="INA27" s="98"/>
      <c r="INB27" s="98"/>
      <c r="INC27" s="98"/>
      <c r="IND27" s="98"/>
      <c r="INE27" s="98"/>
      <c r="INF27" s="98"/>
      <c r="ING27" s="98"/>
      <c r="INH27" s="98"/>
      <c r="INI27" s="98"/>
      <c r="INJ27" s="98"/>
      <c r="INK27" s="98"/>
      <c r="INL27" s="98"/>
      <c r="INM27" s="98"/>
      <c r="INN27" s="98"/>
      <c r="INO27" s="98"/>
      <c r="INP27" s="98"/>
      <c r="INQ27" s="98"/>
      <c r="INR27" s="98"/>
      <c r="INS27" s="98"/>
      <c r="INT27" s="98"/>
      <c r="INU27" s="98"/>
      <c r="INV27" s="98"/>
      <c r="INW27" s="98"/>
      <c r="INX27" s="98"/>
      <c r="INY27" s="98"/>
      <c r="INZ27" s="98"/>
      <c r="IOA27" s="98"/>
      <c r="IOB27" s="98"/>
      <c r="IOC27" s="98"/>
      <c r="IOD27" s="98"/>
      <c r="IOE27" s="98"/>
      <c r="IOF27" s="98"/>
      <c r="IOG27" s="98"/>
      <c r="IOH27" s="98"/>
      <c r="IOI27" s="98"/>
      <c r="IOJ27" s="98"/>
      <c r="IOK27" s="98"/>
      <c r="IOL27" s="98"/>
      <c r="IOM27" s="98"/>
      <c r="ION27" s="98"/>
      <c r="IOO27" s="98"/>
      <c r="IOP27" s="98"/>
      <c r="IOQ27" s="98"/>
      <c r="IOR27" s="98"/>
      <c r="IOS27" s="98"/>
      <c r="IOT27" s="98"/>
      <c r="IOU27" s="98"/>
      <c r="IOV27" s="98"/>
      <c r="IOW27" s="98"/>
      <c r="IOX27" s="98"/>
      <c r="IOY27" s="98"/>
      <c r="IOZ27" s="98"/>
      <c r="IPA27" s="98"/>
      <c r="IPB27" s="98"/>
      <c r="IPC27" s="98"/>
      <c r="IPD27" s="98"/>
      <c r="IPE27" s="98"/>
      <c r="IPF27" s="98"/>
      <c r="IPG27" s="98"/>
      <c r="IPH27" s="98"/>
      <c r="IPI27" s="98"/>
      <c r="IPJ27" s="98"/>
      <c r="IPK27" s="98"/>
      <c r="IPL27" s="98"/>
      <c r="IPM27" s="98"/>
      <c r="IPN27" s="98"/>
      <c r="IPO27" s="98"/>
      <c r="IPP27" s="98"/>
      <c r="IPQ27" s="98"/>
      <c r="IPR27" s="98"/>
      <c r="IPS27" s="98"/>
      <c r="IPT27" s="98"/>
      <c r="IPU27" s="98"/>
      <c r="IPV27" s="98"/>
      <c r="IPW27" s="98"/>
      <c r="IPX27" s="98"/>
      <c r="IPY27" s="98"/>
      <c r="IPZ27" s="98"/>
      <c r="IQA27" s="98"/>
      <c r="IQB27" s="98"/>
      <c r="IQC27" s="98"/>
      <c r="IQD27" s="98"/>
      <c r="IQE27" s="98"/>
      <c r="IQF27" s="98"/>
      <c r="IQG27" s="98"/>
      <c r="IQH27" s="98"/>
      <c r="IQI27" s="98"/>
      <c r="IQJ27" s="98"/>
      <c r="IQK27" s="98"/>
      <c r="IQL27" s="98"/>
      <c r="IQM27" s="98"/>
      <c r="IQN27" s="98"/>
      <c r="IQO27" s="98"/>
      <c r="IQP27" s="98"/>
      <c r="IQQ27" s="98"/>
      <c r="IQR27" s="98"/>
      <c r="IQS27" s="98"/>
      <c r="IQT27" s="98"/>
      <c r="IQU27" s="98"/>
      <c r="IQV27" s="98"/>
      <c r="IQW27" s="98"/>
      <c r="IQX27" s="98"/>
      <c r="IQY27" s="98"/>
      <c r="IQZ27" s="98"/>
      <c r="IRA27" s="98"/>
      <c r="IRB27" s="98"/>
      <c r="IRC27" s="98"/>
      <c r="IRD27" s="98"/>
      <c r="IRE27" s="98"/>
      <c r="IRF27" s="98"/>
      <c r="IRG27" s="98"/>
      <c r="IRH27" s="98"/>
      <c r="IRI27" s="98"/>
      <c r="IRJ27" s="98"/>
      <c r="IRK27" s="98"/>
      <c r="IRL27" s="98"/>
      <c r="IRM27" s="98"/>
      <c r="IRN27" s="98"/>
      <c r="IRO27" s="98"/>
      <c r="IRP27" s="98"/>
      <c r="IRQ27" s="98"/>
      <c r="IRR27" s="98"/>
      <c r="IRS27" s="98"/>
      <c r="IRT27" s="98"/>
      <c r="IRU27" s="98"/>
      <c r="IRV27" s="98"/>
      <c r="IRW27" s="98"/>
      <c r="IRX27" s="98"/>
      <c r="IRY27" s="98"/>
      <c r="IRZ27" s="98"/>
      <c r="ISA27" s="98"/>
      <c r="ISB27" s="98"/>
      <c r="ISC27" s="98"/>
      <c r="ISD27" s="98"/>
      <c r="ISE27" s="98"/>
      <c r="ISF27" s="98"/>
      <c r="ISG27" s="98"/>
      <c r="ISH27" s="98"/>
      <c r="ISI27" s="98"/>
      <c r="ISJ27" s="98"/>
      <c r="ISK27" s="98"/>
      <c r="ISL27" s="98"/>
      <c r="ISM27" s="98"/>
      <c r="ISN27" s="98"/>
      <c r="ISO27" s="98"/>
      <c r="ISP27" s="98"/>
      <c r="ISQ27" s="98"/>
      <c r="ISR27" s="98"/>
      <c r="ISS27" s="98"/>
      <c r="IST27" s="98"/>
      <c r="ISU27" s="98"/>
      <c r="ISV27" s="98"/>
      <c r="ISW27" s="98"/>
      <c r="ISX27" s="98"/>
      <c r="ISY27" s="98"/>
      <c r="ISZ27" s="98"/>
      <c r="ITA27" s="98"/>
      <c r="ITB27" s="98"/>
      <c r="ITC27" s="98"/>
      <c r="ITD27" s="98"/>
      <c r="ITE27" s="98"/>
      <c r="ITF27" s="98"/>
      <c r="ITG27" s="98"/>
      <c r="ITH27" s="98"/>
      <c r="ITI27" s="98"/>
      <c r="ITJ27" s="98"/>
      <c r="ITK27" s="98"/>
      <c r="ITL27" s="98"/>
      <c r="ITM27" s="98"/>
      <c r="ITN27" s="98"/>
      <c r="ITO27" s="98"/>
      <c r="ITP27" s="98"/>
      <c r="ITQ27" s="98"/>
      <c r="ITR27" s="98"/>
      <c r="ITS27" s="98"/>
      <c r="ITT27" s="98"/>
      <c r="ITU27" s="98"/>
      <c r="ITV27" s="98"/>
      <c r="ITW27" s="98"/>
      <c r="ITX27" s="98"/>
      <c r="ITY27" s="98"/>
      <c r="ITZ27" s="98"/>
      <c r="IUA27" s="98"/>
      <c r="IUB27" s="98"/>
      <c r="IUC27" s="98"/>
      <c r="IUD27" s="98"/>
      <c r="IUE27" s="98"/>
      <c r="IUF27" s="98"/>
      <c r="IUG27" s="98"/>
      <c r="IUH27" s="98"/>
      <c r="IUI27" s="98"/>
      <c r="IUJ27" s="98"/>
      <c r="IUK27" s="98"/>
      <c r="IUL27" s="98"/>
      <c r="IUM27" s="98"/>
      <c r="IUN27" s="98"/>
      <c r="IUO27" s="98"/>
      <c r="IUP27" s="98"/>
      <c r="IUQ27" s="98"/>
      <c r="IUR27" s="98"/>
      <c r="IUS27" s="98"/>
      <c r="IUT27" s="98"/>
      <c r="IUU27" s="98"/>
      <c r="IUV27" s="98"/>
      <c r="IUW27" s="98"/>
      <c r="IUX27" s="98"/>
      <c r="IUY27" s="98"/>
      <c r="IUZ27" s="98"/>
      <c r="IVA27" s="98"/>
      <c r="IVB27" s="98"/>
      <c r="IVC27" s="98"/>
      <c r="IVD27" s="98"/>
      <c r="IVE27" s="98"/>
      <c r="IVF27" s="98"/>
      <c r="IVG27" s="98"/>
      <c r="IVH27" s="98"/>
      <c r="IVI27" s="98"/>
      <c r="IVJ27" s="98"/>
      <c r="IVK27" s="98"/>
      <c r="IVL27" s="98"/>
      <c r="IVM27" s="98"/>
      <c r="IVN27" s="98"/>
      <c r="IVO27" s="98"/>
      <c r="IVP27" s="98"/>
      <c r="IVQ27" s="98"/>
      <c r="IVR27" s="98"/>
      <c r="IVS27" s="98"/>
      <c r="IVT27" s="98"/>
      <c r="IVU27" s="98"/>
      <c r="IVV27" s="98"/>
      <c r="IVW27" s="98"/>
      <c r="IVX27" s="98"/>
      <c r="IVY27" s="98"/>
      <c r="IVZ27" s="98"/>
      <c r="IWA27" s="98"/>
      <c r="IWB27" s="98"/>
      <c r="IWC27" s="98"/>
      <c r="IWD27" s="98"/>
      <c r="IWE27" s="98"/>
      <c r="IWF27" s="98"/>
      <c r="IWG27" s="98"/>
      <c r="IWH27" s="98"/>
      <c r="IWI27" s="98"/>
      <c r="IWJ27" s="98"/>
      <c r="IWK27" s="98"/>
      <c r="IWL27" s="98"/>
      <c r="IWM27" s="98"/>
      <c r="IWN27" s="98"/>
      <c r="IWO27" s="98"/>
      <c r="IWP27" s="98"/>
      <c r="IWQ27" s="98"/>
      <c r="IWR27" s="98"/>
      <c r="IWS27" s="98"/>
      <c r="IWT27" s="98"/>
      <c r="IWU27" s="98"/>
      <c r="IWV27" s="98"/>
      <c r="IWW27" s="98"/>
      <c r="IWX27" s="98"/>
      <c r="IWY27" s="98"/>
      <c r="IWZ27" s="98"/>
      <c r="IXA27" s="98"/>
      <c r="IXB27" s="98"/>
      <c r="IXC27" s="98"/>
      <c r="IXD27" s="98"/>
      <c r="IXE27" s="98"/>
      <c r="IXF27" s="98"/>
      <c r="IXG27" s="98"/>
      <c r="IXH27" s="98"/>
      <c r="IXI27" s="98"/>
      <c r="IXJ27" s="98"/>
      <c r="IXK27" s="98"/>
      <c r="IXL27" s="98"/>
      <c r="IXM27" s="98"/>
      <c r="IXN27" s="98"/>
      <c r="IXO27" s="98"/>
      <c r="IXP27" s="98"/>
      <c r="IXQ27" s="98"/>
      <c r="IXR27" s="98"/>
      <c r="IXS27" s="98"/>
      <c r="IXT27" s="98"/>
      <c r="IXU27" s="98"/>
      <c r="IXV27" s="98"/>
      <c r="IXW27" s="98"/>
      <c r="IXX27" s="98"/>
      <c r="IXY27" s="98"/>
      <c r="IXZ27" s="98"/>
      <c r="IYA27" s="98"/>
      <c r="IYB27" s="98"/>
      <c r="IYC27" s="98"/>
      <c r="IYD27" s="98"/>
      <c r="IYE27" s="98"/>
      <c r="IYF27" s="98"/>
      <c r="IYG27" s="98"/>
      <c r="IYH27" s="98"/>
      <c r="IYI27" s="98"/>
      <c r="IYJ27" s="98"/>
      <c r="IYK27" s="98"/>
      <c r="IYL27" s="98"/>
      <c r="IYM27" s="98"/>
      <c r="IYN27" s="98"/>
      <c r="IYO27" s="98"/>
      <c r="IYP27" s="98"/>
      <c r="IYQ27" s="98"/>
      <c r="IYR27" s="98"/>
      <c r="IYS27" s="98"/>
      <c r="IYT27" s="98"/>
      <c r="IYU27" s="98"/>
      <c r="IYV27" s="98"/>
      <c r="IYW27" s="98"/>
      <c r="IYX27" s="98"/>
      <c r="IYY27" s="98"/>
      <c r="IYZ27" s="98"/>
      <c r="IZA27" s="98"/>
      <c r="IZB27" s="98"/>
      <c r="IZC27" s="98"/>
      <c r="IZD27" s="98"/>
      <c r="IZE27" s="98"/>
      <c r="IZF27" s="98"/>
      <c r="IZG27" s="98"/>
      <c r="IZH27" s="98"/>
      <c r="IZI27" s="98"/>
      <c r="IZJ27" s="98"/>
      <c r="IZK27" s="98"/>
      <c r="IZL27" s="98"/>
      <c r="IZM27" s="98"/>
      <c r="IZN27" s="98"/>
      <c r="IZO27" s="98"/>
      <c r="IZP27" s="98"/>
      <c r="IZQ27" s="98"/>
      <c r="IZR27" s="98"/>
      <c r="IZS27" s="98"/>
      <c r="IZT27" s="98"/>
      <c r="IZU27" s="98"/>
      <c r="IZV27" s="98"/>
      <c r="IZW27" s="98"/>
      <c r="IZX27" s="98"/>
      <c r="IZY27" s="98"/>
      <c r="IZZ27" s="98"/>
      <c r="JAA27" s="98"/>
      <c r="JAB27" s="98"/>
      <c r="JAC27" s="98"/>
      <c r="JAD27" s="98"/>
      <c r="JAE27" s="98"/>
      <c r="JAF27" s="98"/>
      <c r="JAG27" s="98"/>
      <c r="JAH27" s="98"/>
      <c r="JAI27" s="98"/>
      <c r="JAJ27" s="98"/>
      <c r="JAK27" s="98"/>
      <c r="JAL27" s="98"/>
      <c r="JAM27" s="98"/>
      <c r="JAN27" s="98"/>
      <c r="JAO27" s="98"/>
      <c r="JAP27" s="98"/>
      <c r="JAQ27" s="98"/>
      <c r="JAR27" s="98"/>
      <c r="JAS27" s="98"/>
      <c r="JAT27" s="98"/>
      <c r="JAU27" s="98"/>
      <c r="JAV27" s="98"/>
      <c r="JAW27" s="98"/>
      <c r="JAX27" s="98"/>
      <c r="JAY27" s="98"/>
      <c r="JAZ27" s="98"/>
      <c r="JBA27" s="98"/>
      <c r="JBB27" s="98"/>
      <c r="JBC27" s="98"/>
      <c r="JBD27" s="98"/>
      <c r="JBE27" s="98"/>
      <c r="JBF27" s="98"/>
      <c r="JBG27" s="98"/>
      <c r="JBH27" s="98"/>
      <c r="JBI27" s="98"/>
      <c r="JBJ27" s="98"/>
      <c r="JBK27" s="98"/>
      <c r="JBL27" s="98"/>
      <c r="JBM27" s="98"/>
      <c r="JBN27" s="98"/>
      <c r="JBO27" s="98"/>
      <c r="JBP27" s="98"/>
      <c r="JBQ27" s="98"/>
      <c r="JBR27" s="98"/>
      <c r="JBS27" s="98"/>
      <c r="JBT27" s="98"/>
      <c r="JBU27" s="98"/>
      <c r="JBV27" s="98"/>
      <c r="JBW27" s="98"/>
      <c r="JBX27" s="98"/>
      <c r="JBY27" s="98"/>
      <c r="JBZ27" s="98"/>
      <c r="JCA27" s="98"/>
      <c r="JCB27" s="98"/>
      <c r="JCC27" s="98"/>
      <c r="JCD27" s="98"/>
      <c r="JCE27" s="98"/>
      <c r="JCF27" s="98"/>
      <c r="JCG27" s="98"/>
      <c r="JCH27" s="98"/>
      <c r="JCI27" s="98"/>
      <c r="JCJ27" s="98"/>
      <c r="JCK27" s="98"/>
      <c r="JCL27" s="98"/>
      <c r="JCM27" s="98"/>
      <c r="JCN27" s="98"/>
      <c r="JCO27" s="98"/>
      <c r="JCP27" s="98"/>
      <c r="JCQ27" s="98"/>
      <c r="JCR27" s="98"/>
      <c r="JCS27" s="98"/>
      <c r="JCT27" s="98"/>
      <c r="JCU27" s="98"/>
      <c r="JCV27" s="98"/>
      <c r="JCW27" s="98"/>
      <c r="JCX27" s="98"/>
      <c r="JCY27" s="98"/>
      <c r="JCZ27" s="98"/>
      <c r="JDA27" s="98"/>
      <c r="JDB27" s="98"/>
      <c r="JDC27" s="98"/>
      <c r="JDD27" s="98"/>
      <c r="JDE27" s="98"/>
      <c r="JDF27" s="98"/>
      <c r="JDG27" s="98"/>
      <c r="JDH27" s="98"/>
      <c r="JDI27" s="98"/>
      <c r="JDJ27" s="98"/>
      <c r="JDK27" s="98"/>
      <c r="JDL27" s="98"/>
      <c r="JDM27" s="98"/>
      <c r="JDN27" s="98"/>
      <c r="JDO27" s="98"/>
      <c r="JDP27" s="98"/>
      <c r="JDQ27" s="98"/>
      <c r="JDR27" s="98"/>
      <c r="JDS27" s="98"/>
      <c r="JDT27" s="98"/>
      <c r="JDU27" s="98"/>
      <c r="JDV27" s="98"/>
      <c r="JDW27" s="98"/>
      <c r="JDX27" s="98"/>
      <c r="JDY27" s="98"/>
      <c r="JDZ27" s="98"/>
      <c r="JEA27" s="98"/>
      <c r="JEB27" s="98"/>
      <c r="JEC27" s="98"/>
      <c r="JED27" s="98"/>
      <c r="JEE27" s="98"/>
      <c r="JEF27" s="98"/>
      <c r="JEG27" s="98"/>
      <c r="JEH27" s="98"/>
      <c r="JEI27" s="98"/>
      <c r="JEJ27" s="98"/>
      <c r="JEK27" s="98"/>
      <c r="JEL27" s="98"/>
      <c r="JEM27" s="98"/>
      <c r="JEN27" s="98"/>
      <c r="JEO27" s="98"/>
      <c r="JEP27" s="98"/>
      <c r="JEQ27" s="98"/>
      <c r="JER27" s="98"/>
      <c r="JES27" s="98"/>
      <c r="JET27" s="98"/>
      <c r="JEU27" s="98"/>
      <c r="JEV27" s="98"/>
      <c r="JEW27" s="98"/>
      <c r="JEX27" s="98"/>
      <c r="JEY27" s="98"/>
      <c r="JEZ27" s="98"/>
      <c r="JFA27" s="98"/>
      <c r="JFB27" s="98"/>
      <c r="JFC27" s="98"/>
      <c r="JFD27" s="98"/>
      <c r="JFE27" s="98"/>
      <c r="JFF27" s="98"/>
      <c r="JFG27" s="98"/>
      <c r="JFH27" s="98"/>
      <c r="JFI27" s="98"/>
      <c r="JFJ27" s="98"/>
      <c r="JFK27" s="98"/>
      <c r="JFL27" s="98"/>
      <c r="JFM27" s="98"/>
      <c r="JFN27" s="98"/>
      <c r="JFO27" s="98"/>
      <c r="JFP27" s="98"/>
      <c r="JFQ27" s="98"/>
      <c r="JFR27" s="98"/>
      <c r="JFS27" s="98"/>
      <c r="JFT27" s="98"/>
      <c r="JFU27" s="98"/>
      <c r="JFV27" s="98"/>
      <c r="JFW27" s="98"/>
      <c r="JFX27" s="98"/>
      <c r="JFY27" s="98"/>
      <c r="JFZ27" s="98"/>
      <c r="JGA27" s="98"/>
      <c r="JGB27" s="98"/>
      <c r="JGC27" s="98"/>
      <c r="JGD27" s="98"/>
      <c r="JGE27" s="98"/>
      <c r="JGF27" s="98"/>
      <c r="JGG27" s="98"/>
      <c r="JGH27" s="98"/>
      <c r="JGI27" s="98"/>
      <c r="JGJ27" s="98"/>
      <c r="JGK27" s="98"/>
      <c r="JGL27" s="98"/>
      <c r="JGM27" s="98"/>
      <c r="JGN27" s="98"/>
      <c r="JGO27" s="98"/>
      <c r="JGP27" s="98"/>
      <c r="JGQ27" s="98"/>
      <c r="JGR27" s="98"/>
      <c r="JGS27" s="98"/>
      <c r="JGT27" s="98"/>
      <c r="JGU27" s="98"/>
      <c r="JGV27" s="98"/>
      <c r="JGW27" s="98"/>
      <c r="JGX27" s="98"/>
      <c r="JGY27" s="98"/>
      <c r="JGZ27" s="98"/>
      <c r="JHA27" s="98"/>
      <c r="JHB27" s="98"/>
      <c r="JHC27" s="98"/>
      <c r="JHD27" s="98"/>
      <c r="JHE27" s="98"/>
      <c r="JHF27" s="98"/>
      <c r="JHG27" s="98"/>
      <c r="JHH27" s="98"/>
      <c r="JHI27" s="98"/>
      <c r="JHJ27" s="98"/>
      <c r="JHK27" s="98"/>
      <c r="JHL27" s="98"/>
      <c r="JHM27" s="98"/>
      <c r="JHN27" s="98"/>
      <c r="JHO27" s="98"/>
      <c r="JHP27" s="98"/>
      <c r="JHQ27" s="98"/>
      <c r="JHR27" s="98"/>
      <c r="JHS27" s="98"/>
      <c r="JHT27" s="98"/>
      <c r="JHU27" s="98"/>
      <c r="JHV27" s="98"/>
      <c r="JHW27" s="98"/>
      <c r="JHX27" s="98"/>
      <c r="JHY27" s="98"/>
      <c r="JHZ27" s="98"/>
      <c r="JIA27" s="98"/>
      <c r="JIB27" s="98"/>
      <c r="JIC27" s="98"/>
      <c r="JID27" s="98"/>
      <c r="JIE27" s="98"/>
      <c r="JIF27" s="98"/>
      <c r="JIG27" s="98"/>
      <c r="JIH27" s="98"/>
      <c r="JII27" s="98"/>
      <c r="JIJ27" s="98"/>
      <c r="JIK27" s="98"/>
      <c r="JIL27" s="98"/>
      <c r="JIM27" s="98"/>
      <c r="JIN27" s="98"/>
      <c r="JIO27" s="98"/>
      <c r="JIP27" s="98"/>
      <c r="JIQ27" s="98"/>
      <c r="JIR27" s="98"/>
      <c r="JIS27" s="98"/>
      <c r="JIT27" s="98"/>
      <c r="JIU27" s="98"/>
      <c r="JIV27" s="98"/>
      <c r="JIW27" s="98"/>
      <c r="JIX27" s="98"/>
      <c r="JIY27" s="98"/>
      <c r="JIZ27" s="98"/>
      <c r="JJA27" s="98"/>
      <c r="JJB27" s="98"/>
      <c r="JJC27" s="98"/>
      <c r="JJD27" s="98"/>
      <c r="JJE27" s="98"/>
      <c r="JJF27" s="98"/>
      <c r="JJG27" s="98"/>
      <c r="JJH27" s="98"/>
      <c r="JJI27" s="98"/>
      <c r="JJJ27" s="98"/>
      <c r="JJK27" s="98"/>
      <c r="JJL27" s="98"/>
      <c r="JJM27" s="98"/>
      <c r="JJN27" s="98"/>
      <c r="JJO27" s="98"/>
      <c r="JJP27" s="98"/>
      <c r="JJQ27" s="98"/>
      <c r="JJR27" s="98"/>
      <c r="JJS27" s="98"/>
      <c r="JJT27" s="98"/>
      <c r="JJU27" s="98"/>
      <c r="JJV27" s="98"/>
      <c r="JJW27" s="98"/>
      <c r="JJX27" s="98"/>
      <c r="JJY27" s="98"/>
      <c r="JJZ27" s="98"/>
      <c r="JKA27" s="98"/>
      <c r="JKB27" s="98"/>
      <c r="JKC27" s="98"/>
      <c r="JKD27" s="98"/>
      <c r="JKE27" s="98"/>
      <c r="JKF27" s="98"/>
      <c r="JKG27" s="98"/>
      <c r="JKH27" s="98"/>
      <c r="JKI27" s="98"/>
      <c r="JKJ27" s="98"/>
      <c r="JKK27" s="98"/>
      <c r="JKL27" s="98"/>
      <c r="JKM27" s="98"/>
      <c r="JKN27" s="98"/>
      <c r="JKO27" s="98"/>
      <c r="JKP27" s="98"/>
      <c r="JKQ27" s="98"/>
      <c r="JKR27" s="98"/>
      <c r="JKS27" s="98"/>
      <c r="JKT27" s="98"/>
      <c r="JKU27" s="98"/>
      <c r="JKV27" s="98"/>
      <c r="JKW27" s="98"/>
      <c r="JKX27" s="98"/>
      <c r="JKY27" s="98"/>
      <c r="JKZ27" s="98"/>
      <c r="JLA27" s="98"/>
      <c r="JLB27" s="98"/>
      <c r="JLC27" s="98"/>
      <c r="JLD27" s="98"/>
      <c r="JLE27" s="98"/>
      <c r="JLF27" s="98"/>
      <c r="JLG27" s="98"/>
      <c r="JLH27" s="98"/>
      <c r="JLI27" s="98"/>
      <c r="JLJ27" s="98"/>
      <c r="JLK27" s="98"/>
      <c r="JLL27" s="98"/>
      <c r="JLM27" s="98"/>
      <c r="JLN27" s="98"/>
      <c r="JLO27" s="98"/>
      <c r="JLP27" s="98"/>
      <c r="JLQ27" s="98"/>
      <c r="JLR27" s="98"/>
      <c r="JLS27" s="98"/>
      <c r="JLT27" s="98"/>
      <c r="JLU27" s="98"/>
      <c r="JLV27" s="98"/>
      <c r="JLW27" s="98"/>
      <c r="JLX27" s="98"/>
      <c r="JLY27" s="98"/>
      <c r="JLZ27" s="98"/>
      <c r="JMA27" s="98"/>
      <c r="JMB27" s="98"/>
      <c r="JMC27" s="98"/>
      <c r="JMD27" s="98"/>
      <c r="JME27" s="98"/>
      <c r="JMF27" s="98"/>
      <c r="JMG27" s="98"/>
      <c r="JMH27" s="98"/>
      <c r="JMI27" s="98"/>
      <c r="JMJ27" s="98"/>
      <c r="JMK27" s="98"/>
      <c r="JML27" s="98"/>
      <c r="JMM27" s="98"/>
      <c r="JMN27" s="98"/>
      <c r="JMO27" s="98"/>
      <c r="JMP27" s="98"/>
      <c r="JMQ27" s="98"/>
      <c r="JMR27" s="98"/>
      <c r="JMS27" s="98"/>
      <c r="JMT27" s="98"/>
      <c r="JMU27" s="98"/>
      <c r="JMV27" s="98"/>
      <c r="JMW27" s="98"/>
      <c r="JMX27" s="98"/>
      <c r="JMY27" s="98"/>
      <c r="JMZ27" s="98"/>
      <c r="JNA27" s="98"/>
      <c r="JNB27" s="98"/>
      <c r="JNC27" s="98"/>
      <c r="JND27" s="98"/>
      <c r="JNE27" s="98"/>
      <c r="JNF27" s="98"/>
      <c r="JNG27" s="98"/>
      <c r="JNH27" s="98"/>
      <c r="JNI27" s="98"/>
      <c r="JNJ27" s="98"/>
      <c r="JNK27" s="98"/>
      <c r="JNL27" s="98"/>
      <c r="JNM27" s="98"/>
      <c r="JNN27" s="98"/>
      <c r="JNO27" s="98"/>
      <c r="JNP27" s="98"/>
      <c r="JNQ27" s="98"/>
      <c r="JNR27" s="98"/>
      <c r="JNS27" s="98"/>
      <c r="JNT27" s="98"/>
      <c r="JNU27" s="98"/>
      <c r="JNV27" s="98"/>
      <c r="JNW27" s="98"/>
      <c r="JNX27" s="98"/>
      <c r="JNY27" s="98"/>
      <c r="JNZ27" s="98"/>
      <c r="JOA27" s="98"/>
      <c r="JOB27" s="98"/>
      <c r="JOC27" s="98"/>
      <c r="JOD27" s="98"/>
      <c r="JOE27" s="98"/>
      <c r="JOF27" s="98"/>
      <c r="JOG27" s="98"/>
      <c r="JOH27" s="98"/>
      <c r="JOI27" s="98"/>
      <c r="JOJ27" s="98"/>
      <c r="JOK27" s="98"/>
      <c r="JOL27" s="98"/>
      <c r="JOM27" s="98"/>
      <c r="JON27" s="98"/>
      <c r="JOO27" s="98"/>
      <c r="JOP27" s="98"/>
      <c r="JOQ27" s="98"/>
      <c r="JOR27" s="98"/>
      <c r="JOS27" s="98"/>
      <c r="JOT27" s="98"/>
      <c r="JOU27" s="98"/>
      <c r="JOV27" s="98"/>
      <c r="JOW27" s="98"/>
      <c r="JOX27" s="98"/>
      <c r="JOY27" s="98"/>
      <c r="JOZ27" s="98"/>
      <c r="JPA27" s="98"/>
      <c r="JPB27" s="98"/>
      <c r="JPC27" s="98"/>
      <c r="JPD27" s="98"/>
      <c r="JPE27" s="98"/>
      <c r="JPF27" s="98"/>
      <c r="JPG27" s="98"/>
      <c r="JPH27" s="98"/>
      <c r="JPI27" s="98"/>
      <c r="JPJ27" s="98"/>
      <c r="JPK27" s="98"/>
      <c r="JPL27" s="98"/>
      <c r="JPM27" s="98"/>
      <c r="JPN27" s="98"/>
      <c r="JPO27" s="98"/>
      <c r="JPP27" s="98"/>
      <c r="JPQ27" s="98"/>
      <c r="JPR27" s="98"/>
      <c r="JPS27" s="98"/>
      <c r="JPT27" s="98"/>
      <c r="JPU27" s="98"/>
      <c r="JPV27" s="98"/>
      <c r="JPW27" s="98"/>
      <c r="JPX27" s="98"/>
      <c r="JPY27" s="98"/>
      <c r="JPZ27" s="98"/>
      <c r="JQA27" s="98"/>
      <c r="JQB27" s="98"/>
      <c r="JQC27" s="98"/>
      <c r="JQD27" s="98"/>
      <c r="JQE27" s="98"/>
      <c r="JQF27" s="98"/>
      <c r="JQG27" s="98"/>
      <c r="JQH27" s="98"/>
      <c r="JQI27" s="98"/>
      <c r="JQJ27" s="98"/>
      <c r="JQK27" s="98"/>
      <c r="JQL27" s="98"/>
      <c r="JQM27" s="98"/>
      <c r="JQN27" s="98"/>
      <c r="JQO27" s="98"/>
      <c r="JQP27" s="98"/>
      <c r="JQQ27" s="98"/>
      <c r="JQR27" s="98"/>
      <c r="JQS27" s="98"/>
      <c r="JQT27" s="98"/>
      <c r="JQU27" s="98"/>
      <c r="JQV27" s="98"/>
      <c r="JQW27" s="98"/>
      <c r="JQX27" s="98"/>
      <c r="JQY27" s="98"/>
      <c r="JQZ27" s="98"/>
      <c r="JRA27" s="98"/>
      <c r="JRB27" s="98"/>
      <c r="JRC27" s="98"/>
      <c r="JRD27" s="98"/>
      <c r="JRE27" s="98"/>
      <c r="JRF27" s="98"/>
      <c r="JRG27" s="98"/>
      <c r="JRH27" s="98"/>
      <c r="JRI27" s="98"/>
      <c r="JRJ27" s="98"/>
      <c r="JRK27" s="98"/>
      <c r="JRL27" s="98"/>
      <c r="JRM27" s="98"/>
      <c r="JRN27" s="98"/>
      <c r="JRO27" s="98"/>
      <c r="JRP27" s="98"/>
      <c r="JRQ27" s="98"/>
      <c r="JRR27" s="98"/>
      <c r="JRS27" s="98"/>
      <c r="JRT27" s="98"/>
      <c r="JRU27" s="98"/>
      <c r="JRV27" s="98"/>
      <c r="JRW27" s="98"/>
      <c r="JRX27" s="98"/>
      <c r="JRY27" s="98"/>
      <c r="JRZ27" s="98"/>
      <c r="JSA27" s="98"/>
      <c r="JSB27" s="98"/>
      <c r="JSC27" s="98"/>
      <c r="JSD27" s="98"/>
      <c r="JSE27" s="98"/>
      <c r="JSF27" s="98"/>
      <c r="JSG27" s="98"/>
      <c r="JSH27" s="98"/>
      <c r="JSI27" s="98"/>
      <c r="JSJ27" s="98"/>
      <c r="JSK27" s="98"/>
      <c r="JSL27" s="98"/>
      <c r="JSM27" s="98"/>
      <c r="JSN27" s="98"/>
      <c r="JSO27" s="98"/>
      <c r="JSP27" s="98"/>
      <c r="JSQ27" s="98"/>
      <c r="JSR27" s="98"/>
      <c r="JSS27" s="98"/>
      <c r="JST27" s="98"/>
      <c r="JSU27" s="98"/>
      <c r="JSV27" s="98"/>
      <c r="JSW27" s="98"/>
      <c r="JSX27" s="98"/>
      <c r="JSY27" s="98"/>
      <c r="JSZ27" s="98"/>
      <c r="JTA27" s="98"/>
      <c r="JTB27" s="98"/>
      <c r="JTC27" s="98"/>
      <c r="JTD27" s="98"/>
      <c r="JTE27" s="98"/>
      <c r="JTF27" s="98"/>
      <c r="JTG27" s="98"/>
      <c r="JTH27" s="98"/>
      <c r="JTI27" s="98"/>
      <c r="JTJ27" s="98"/>
      <c r="JTK27" s="98"/>
      <c r="JTL27" s="98"/>
      <c r="JTM27" s="98"/>
      <c r="JTN27" s="98"/>
      <c r="JTO27" s="98"/>
      <c r="JTP27" s="98"/>
      <c r="JTQ27" s="98"/>
      <c r="JTR27" s="98"/>
      <c r="JTS27" s="98"/>
      <c r="JTT27" s="98"/>
      <c r="JTU27" s="98"/>
      <c r="JTV27" s="98"/>
      <c r="JTW27" s="98"/>
      <c r="JTX27" s="98"/>
      <c r="JTY27" s="98"/>
      <c r="JTZ27" s="98"/>
      <c r="JUA27" s="98"/>
      <c r="JUB27" s="98"/>
      <c r="JUC27" s="98"/>
      <c r="JUD27" s="98"/>
      <c r="JUE27" s="98"/>
      <c r="JUF27" s="98"/>
      <c r="JUG27" s="98"/>
      <c r="JUH27" s="98"/>
      <c r="JUI27" s="98"/>
      <c r="JUJ27" s="98"/>
      <c r="JUK27" s="98"/>
      <c r="JUL27" s="98"/>
      <c r="JUM27" s="98"/>
      <c r="JUN27" s="98"/>
      <c r="JUO27" s="98"/>
      <c r="JUP27" s="98"/>
      <c r="JUQ27" s="98"/>
      <c r="JUR27" s="98"/>
      <c r="JUS27" s="98"/>
      <c r="JUT27" s="98"/>
      <c r="JUU27" s="98"/>
      <c r="JUV27" s="98"/>
      <c r="JUW27" s="98"/>
      <c r="JUX27" s="98"/>
      <c r="JUY27" s="98"/>
      <c r="JUZ27" s="98"/>
      <c r="JVA27" s="98"/>
      <c r="JVB27" s="98"/>
      <c r="JVC27" s="98"/>
      <c r="JVD27" s="98"/>
      <c r="JVE27" s="98"/>
      <c r="JVF27" s="98"/>
      <c r="JVG27" s="98"/>
      <c r="JVH27" s="98"/>
      <c r="JVI27" s="98"/>
      <c r="JVJ27" s="98"/>
      <c r="JVK27" s="98"/>
      <c r="JVL27" s="98"/>
      <c r="JVM27" s="98"/>
      <c r="JVN27" s="98"/>
      <c r="JVO27" s="98"/>
      <c r="JVP27" s="98"/>
      <c r="JVQ27" s="98"/>
      <c r="JVR27" s="98"/>
      <c r="JVS27" s="98"/>
      <c r="JVT27" s="98"/>
      <c r="JVU27" s="98"/>
      <c r="JVV27" s="98"/>
      <c r="JVW27" s="98"/>
      <c r="JVX27" s="98"/>
      <c r="JVY27" s="98"/>
      <c r="JVZ27" s="98"/>
      <c r="JWA27" s="98"/>
      <c r="JWB27" s="98"/>
      <c r="JWC27" s="98"/>
      <c r="JWD27" s="98"/>
      <c r="JWE27" s="98"/>
      <c r="JWF27" s="98"/>
      <c r="JWG27" s="98"/>
      <c r="JWH27" s="98"/>
      <c r="JWI27" s="98"/>
      <c r="JWJ27" s="98"/>
      <c r="JWK27" s="98"/>
      <c r="JWL27" s="98"/>
      <c r="JWM27" s="98"/>
      <c r="JWN27" s="98"/>
      <c r="JWO27" s="98"/>
      <c r="JWP27" s="98"/>
      <c r="JWQ27" s="98"/>
      <c r="JWR27" s="98"/>
      <c r="JWS27" s="98"/>
      <c r="JWT27" s="98"/>
      <c r="JWU27" s="98"/>
      <c r="JWV27" s="98"/>
      <c r="JWW27" s="98"/>
      <c r="JWX27" s="98"/>
      <c r="JWY27" s="98"/>
      <c r="JWZ27" s="98"/>
      <c r="JXA27" s="98"/>
      <c r="JXB27" s="98"/>
      <c r="JXC27" s="98"/>
      <c r="JXD27" s="98"/>
      <c r="JXE27" s="98"/>
      <c r="JXF27" s="98"/>
      <c r="JXG27" s="98"/>
      <c r="JXH27" s="98"/>
      <c r="JXI27" s="98"/>
      <c r="JXJ27" s="98"/>
      <c r="JXK27" s="98"/>
      <c r="JXL27" s="98"/>
      <c r="JXM27" s="98"/>
      <c r="JXN27" s="98"/>
      <c r="JXO27" s="98"/>
      <c r="JXP27" s="98"/>
      <c r="JXQ27" s="98"/>
      <c r="JXR27" s="98"/>
      <c r="JXS27" s="98"/>
      <c r="JXT27" s="98"/>
      <c r="JXU27" s="98"/>
      <c r="JXV27" s="98"/>
      <c r="JXW27" s="98"/>
      <c r="JXX27" s="98"/>
      <c r="JXY27" s="98"/>
      <c r="JXZ27" s="98"/>
      <c r="JYA27" s="98"/>
      <c r="JYB27" s="98"/>
      <c r="JYC27" s="98"/>
      <c r="JYD27" s="98"/>
      <c r="JYE27" s="98"/>
      <c r="JYF27" s="98"/>
      <c r="JYG27" s="98"/>
      <c r="JYH27" s="98"/>
      <c r="JYI27" s="98"/>
      <c r="JYJ27" s="98"/>
      <c r="JYK27" s="98"/>
      <c r="JYL27" s="98"/>
      <c r="JYM27" s="98"/>
      <c r="JYN27" s="98"/>
      <c r="JYO27" s="98"/>
      <c r="JYP27" s="98"/>
      <c r="JYQ27" s="98"/>
      <c r="JYR27" s="98"/>
      <c r="JYS27" s="98"/>
      <c r="JYT27" s="98"/>
      <c r="JYU27" s="98"/>
      <c r="JYV27" s="98"/>
      <c r="JYW27" s="98"/>
      <c r="JYX27" s="98"/>
      <c r="JYY27" s="98"/>
      <c r="JYZ27" s="98"/>
      <c r="JZA27" s="98"/>
      <c r="JZB27" s="98"/>
      <c r="JZC27" s="98"/>
      <c r="JZD27" s="98"/>
      <c r="JZE27" s="98"/>
      <c r="JZF27" s="98"/>
      <c r="JZG27" s="98"/>
      <c r="JZH27" s="98"/>
      <c r="JZI27" s="98"/>
      <c r="JZJ27" s="98"/>
      <c r="JZK27" s="98"/>
      <c r="JZL27" s="98"/>
      <c r="JZM27" s="98"/>
      <c r="JZN27" s="98"/>
      <c r="JZO27" s="98"/>
      <c r="JZP27" s="98"/>
      <c r="JZQ27" s="98"/>
      <c r="JZR27" s="98"/>
      <c r="JZS27" s="98"/>
      <c r="JZT27" s="98"/>
      <c r="JZU27" s="98"/>
      <c r="JZV27" s="98"/>
      <c r="JZW27" s="98"/>
      <c r="JZX27" s="98"/>
      <c r="JZY27" s="98"/>
      <c r="JZZ27" s="98"/>
      <c r="KAA27" s="98"/>
      <c r="KAB27" s="98"/>
      <c r="KAC27" s="98"/>
      <c r="KAD27" s="98"/>
      <c r="KAE27" s="98"/>
      <c r="KAF27" s="98"/>
      <c r="KAG27" s="98"/>
      <c r="KAH27" s="98"/>
      <c r="KAI27" s="98"/>
      <c r="KAJ27" s="98"/>
      <c r="KAK27" s="98"/>
      <c r="KAL27" s="98"/>
      <c r="KAM27" s="98"/>
      <c r="KAN27" s="98"/>
      <c r="KAO27" s="98"/>
      <c r="KAP27" s="98"/>
      <c r="KAQ27" s="98"/>
      <c r="KAR27" s="98"/>
      <c r="KAS27" s="98"/>
      <c r="KAT27" s="98"/>
      <c r="KAU27" s="98"/>
      <c r="KAV27" s="98"/>
      <c r="KAW27" s="98"/>
      <c r="KAX27" s="98"/>
      <c r="KAY27" s="98"/>
      <c r="KAZ27" s="98"/>
      <c r="KBA27" s="98"/>
      <c r="KBB27" s="98"/>
      <c r="KBC27" s="98"/>
      <c r="KBD27" s="98"/>
      <c r="KBE27" s="98"/>
      <c r="KBF27" s="98"/>
      <c r="KBG27" s="98"/>
      <c r="KBH27" s="98"/>
      <c r="KBI27" s="98"/>
      <c r="KBJ27" s="98"/>
      <c r="KBK27" s="98"/>
      <c r="KBL27" s="98"/>
      <c r="KBM27" s="98"/>
      <c r="KBN27" s="98"/>
      <c r="KBO27" s="98"/>
      <c r="KBP27" s="98"/>
      <c r="KBQ27" s="98"/>
      <c r="KBR27" s="98"/>
      <c r="KBS27" s="98"/>
      <c r="KBT27" s="98"/>
      <c r="KBU27" s="98"/>
      <c r="KBV27" s="98"/>
      <c r="KBW27" s="98"/>
      <c r="KBX27" s="98"/>
      <c r="KBY27" s="98"/>
      <c r="KBZ27" s="98"/>
      <c r="KCA27" s="98"/>
      <c r="KCB27" s="98"/>
      <c r="KCC27" s="98"/>
      <c r="KCD27" s="98"/>
      <c r="KCE27" s="98"/>
      <c r="KCF27" s="98"/>
      <c r="KCG27" s="98"/>
      <c r="KCH27" s="98"/>
      <c r="KCI27" s="98"/>
      <c r="KCJ27" s="98"/>
      <c r="KCK27" s="98"/>
      <c r="KCL27" s="98"/>
      <c r="KCM27" s="98"/>
      <c r="KCN27" s="98"/>
      <c r="KCO27" s="98"/>
      <c r="KCP27" s="98"/>
      <c r="KCQ27" s="98"/>
      <c r="KCR27" s="98"/>
      <c r="KCS27" s="98"/>
      <c r="KCT27" s="98"/>
      <c r="KCU27" s="98"/>
      <c r="KCV27" s="98"/>
      <c r="KCW27" s="98"/>
      <c r="KCX27" s="98"/>
      <c r="KCY27" s="98"/>
      <c r="KCZ27" s="98"/>
      <c r="KDA27" s="98"/>
      <c r="KDB27" s="98"/>
      <c r="KDC27" s="98"/>
      <c r="KDD27" s="98"/>
      <c r="KDE27" s="98"/>
      <c r="KDF27" s="98"/>
      <c r="KDG27" s="98"/>
      <c r="KDH27" s="98"/>
      <c r="KDI27" s="98"/>
      <c r="KDJ27" s="98"/>
      <c r="KDK27" s="98"/>
      <c r="KDL27" s="98"/>
      <c r="KDM27" s="98"/>
      <c r="KDN27" s="98"/>
      <c r="KDO27" s="98"/>
      <c r="KDP27" s="98"/>
      <c r="KDQ27" s="98"/>
      <c r="KDR27" s="98"/>
      <c r="KDS27" s="98"/>
      <c r="KDT27" s="98"/>
      <c r="KDU27" s="98"/>
      <c r="KDV27" s="98"/>
      <c r="KDW27" s="98"/>
      <c r="KDX27" s="98"/>
      <c r="KDY27" s="98"/>
      <c r="KDZ27" s="98"/>
      <c r="KEA27" s="98"/>
      <c r="KEB27" s="98"/>
      <c r="KEC27" s="98"/>
      <c r="KED27" s="98"/>
      <c r="KEE27" s="98"/>
      <c r="KEF27" s="98"/>
      <c r="KEG27" s="98"/>
      <c r="KEH27" s="98"/>
      <c r="KEI27" s="98"/>
      <c r="KEJ27" s="98"/>
      <c r="KEK27" s="98"/>
      <c r="KEL27" s="98"/>
      <c r="KEM27" s="98"/>
      <c r="KEN27" s="98"/>
      <c r="KEO27" s="98"/>
      <c r="KEP27" s="98"/>
      <c r="KEQ27" s="98"/>
      <c r="KER27" s="98"/>
      <c r="KES27" s="98"/>
      <c r="KET27" s="98"/>
      <c r="KEU27" s="98"/>
      <c r="KEV27" s="98"/>
      <c r="KEW27" s="98"/>
      <c r="KEX27" s="98"/>
      <c r="KEY27" s="98"/>
      <c r="KEZ27" s="98"/>
      <c r="KFA27" s="98"/>
      <c r="KFB27" s="98"/>
      <c r="KFC27" s="98"/>
      <c r="KFD27" s="98"/>
      <c r="KFE27" s="98"/>
      <c r="KFF27" s="98"/>
      <c r="KFG27" s="98"/>
      <c r="KFH27" s="98"/>
      <c r="KFI27" s="98"/>
      <c r="KFJ27" s="98"/>
      <c r="KFK27" s="98"/>
      <c r="KFL27" s="98"/>
      <c r="KFM27" s="98"/>
      <c r="KFN27" s="98"/>
      <c r="KFO27" s="98"/>
      <c r="KFP27" s="98"/>
      <c r="KFQ27" s="98"/>
      <c r="KFR27" s="98"/>
      <c r="KFS27" s="98"/>
      <c r="KFT27" s="98"/>
      <c r="KFU27" s="98"/>
      <c r="KFV27" s="98"/>
      <c r="KFW27" s="98"/>
      <c r="KFX27" s="98"/>
      <c r="KFY27" s="98"/>
      <c r="KFZ27" s="98"/>
      <c r="KGA27" s="98"/>
      <c r="KGB27" s="98"/>
      <c r="KGC27" s="98"/>
      <c r="KGD27" s="98"/>
      <c r="KGE27" s="98"/>
      <c r="KGF27" s="98"/>
      <c r="KGG27" s="98"/>
      <c r="KGH27" s="98"/>
      <c r="KGI27" s="98"/>
      <c r="KGJ27" s="98"/>
      <c r="KGK27" s="98"/>
      <c r="KGL27" s="98"/>
      <c r="KGM27" s="98"/>
      <c r="KGN27" s="98"/>
      <c r="KGO27" s="98"/>
      <c r="KGP27" s="98"/>
      <c r="KGQ27" s="98"/>
      <c r="KGR27" s="98"/>
      <c r="KGS27" s="98"/>
      <c r="KGT27" s="98"/>
      <c r="KGU27" s="98"/>
      <c r="KGV27" s="98"/>
      <c r="KGW27" s="98"/>
      <c r="KGX27" s="98"/>
      <c r="KGY27" s="98"/>
      <c r="KGZ27" s="98"/>
      <c r="KHA27" s="98"/>
      <c r="KHB27" s="98"/>
      <c r="KHC27" s="98"/>
      <c r="KHD27" s="98"/>
      <c r="KHE27" s="98"/>
      <c r="KHF27" s="98"/>
      <c r="KHG27" s="98"/>
      <c r="KHH27" s="98"/>
      <c r="KHI27" s="98"/>
      <c r="KHJ27" s="98"/>
      <c r="KHK27" s="98"/>
      <c r="KHL27" s="98"/>
      <c r="KHM27" s="98"/>
      <c r="KHN27" s="98"/>
      <c r="KHO27" s="98"/>
      <c r="KHP27" s="98"/>
      <c r="KHQ27" s="98"/>
      <c r="KHR27" s="98"/>
      <c r="KHS27" s="98"/>
      <c r="KHT27" s="98"/>
      <c r="KHU27" s="98"/>
      <c r="KHV27" s="98"/>
      <c r="KHW27" s="98"/>
      <c r="KHX27" s="98"/>
      <c r="KHY27" s="98"/>
      <c r="KHZ27" s="98"/>
      <c r="KIA27" s="98"/>
      <c r="KIB27" s="98"/>
      <c r="KIC27" s="98"/>
      <c r="KID27" s="98"/>
      <c r="KIE27" s="98"/>
      <c r="KIF27" s="98"/>
      <c r="KIG27" s="98"/>
      <c r="KIH27" s="98"/>
      <c r="KII27" s="98"/>
      <c r="KIJ27" s="98"/>
      <c r="KIK27" s="98"/>
      <c r="KIL27" s="98"/>
      <c r="KIM27" s="98"/>
      <c r="KIN27" s="98"/>
      <c r="KIO27" s="98"/>
      <c r="KIP27" s="98"/>
      <c r="KIQ27" s="98"/>
      <c r="KIR27" s="98"/>
      <c r="KIS27" s="98"/>
      <c r="KIT27" s="98"/>
      <c r="KIU27" s="98"/>
      <c r="KIV27" s="98"/>
      <c r="KIW27" s="98"/>
      <c r="KIX27" s="98"/>
      <c r="KIY27" s="98"/>
      <c r="KIZ27" s="98"/>
      <c r="KJA27" s="98"/>
      <c r="KJB27" s="98"/>
      <c r="KJC27" s="98"/>
      <c r="KJD27" s="98"/>
      <c r="KJE27" s="98"/>
      <c r="KJF27" s="98"/>
      <c r="KJG27" s="98"/>
      <c r="KJH27" s="98"/>
      <c r="KJI27" s="98"/>
      <c r="KJJ27" s="98"/>
      <c r="KJK27" s="98"/>
      <c r="KJL27" s="98"/>
      <c r="KJM27" s="98"/>
      <c r="KJN27" s="98"/>
      <c r="KJO27" s="98"/>
      <c r="KJP27" s="98"/>
      <c r="KJQ27" s="98"/>
      <c r="KJR27" s="98"/>
      <c r="KJS27" s="98"/>
      <c r="KJT27" s="98"/>
      <c r="KJU27" s="98"/>
      <c r="KJV27" s="98"/>
      <c r="KJW27" s="98"/>
      <c r="KJX27" s="98"/>
      <c r="KJY27" s="98"/>
      <c r="KJZ27" s="98"/>
      <c r="KKA27" s="98"/>
      <c r="KKB27" s="98"/>
      <c r="KKC27" s="98"/>
      <c r="KKD27" s="98"/>
      <c r="KKE27" s="98"/>
      <c r="KKF27" s="98"/>
      <c r="KKG27" s="98"/>
      <c r="KKH27" s="98"/>
      <c r="KKI27" s="98"/>
      <c r="KKJ27" s="98"/>
      <c r="KKK27" s="98"/>
      <c r="KKL27" s="98"/>
      <c r="KKM27" s="98"/>
      <c r="KKN27" s="98"/>
      <c r="KKO27" s="98"/>
      <c r="KKP27" s="98"/>
      <c r="KKQ27" s="98"/>
      <c r="KKR27" s="98"/>
      <c r="KKS27" s="98"/>
      <c r="KKT27" s="98"/>
      <c r="KKU27" s="98"/>
      <c r="KKV27" s="98"/>
      <c r="KKW27" s="98"/>
      <c r="KKX27" s="98"/>
      <c r="KKY27" s="98"/>
      <c r="KKZ27" s="98"/>
      <c r="KLA27" s="98"/>
      <c r="KLB27" s="98"/>
      <c r="KLC27" s="98"/>
      <c r="KLD27" s="98"/>
      <c r="KLE27" s="98"/>
      <c r="KLF27" s="98"/>
      <c r="KLG27" s="98"/>
      <c r="KLH27" s="98"/>
      <c r="KLI27" s="98"/>
      <c r="KLJ27" s="98"/>
      <c r="KLK27" s="98"/>
      <c r="KLL27" s="98"/>
      <c r="KLM27" s="98"/>
      <c r="KLN27" s="98"/>
      <c r="KLO27" s="98"/>
      <c r="KLP27" s="98"/>
      <c r="KLQ27" s="98"/>
      <c r="KLR27" s="98"/>
      <c r="KLS27" s="98"/>
      <c r="KLT27" s="98"/>
      <c r="KLU27" s="98"/>
      <c r="KLV27" s="98"/>
      <c r="KLW27" s="98"/>
      <c r="KLX27" s="98"/>
      <c r="KLY27" s="98"/>
      <c r="KLZ27" s="98"/>
      <c r="KMA27" s="98"/>
      <c r="KMB27" s="98"/>
      <c r="KMC27" s="98"/>
      <c r="KMD27" s="98"/>
      <c r="KME27" s="98"/>
      <c r="KMF27" s="98"/>
      <c r="KMG27" s="98"/>
      <c r="KMH27" s="98"/>
      <c r="KMI27" s="98"/>
      <c r="KMJ27" s="98"/>
      <c r="KMK27" s="98"/>
      <c r="KML27" s="98"/>
      <c r="KMM27" s="98"/>
      <c r="KMN27" s="98"/>
      <c r="KMO27" s="98"/>
      <c r="KMP27" s="98"/>
      <c r="KMQ27" s="98"/>
      <c r="KMR27" s="98"/>
      <c r="KMS27" s="98"/>
      <c r="KMT27" s="98"/>
      <c r="KMU27" s="98"/>
      <c r="KMV27" s="98"/>
      <c r="KMW27" s="98"/>
      <c r="KMX27" s="98"/>
      <c r="KMY27" s="98"/>
      <c r="KMZ27" s="98"/>
      <c r="KNA27" s="98"/>
      <c r="KNB27" s="98"/>
      <c r="KNC27" s="98"/>
      <c r="KND27" s="98"/>
      <c r="KNE27" s="98"/>
      <c r="KNF27" s="98"/>
      <c r="KNG27" s="98"/>
      <c r="KNH27" s="98"/>
      <c r="KNI27" s="98"/>
      <c r="KNJ27" s="98"/>
      <c r="KNK27" s="98"/>
      <c r="KNL27" s="98"/>
      <c r="KNM27" s="98"/>
      <c r="KNN27" s="98"/>
      <c r="KNO27" s="98"/>
      <c r="KNP27" s="98"/>
      <c r="KNQ27" s="98"/>
      <c r="KNR27" s="98"/>
      <c r="KNS27" s="98"/>
      <c r="KNT27" s="98"/>
      <c r="KNU27" s="98"/>
      <c r="KNV27" s="98"/>
      <c r="KNW27" s="98"/>
      <c r="KNX27" s="98"/>
      <c r="KNY27" s="98"/>
      <c r="KNZ27" s="98"/>
      <c r="KOA27" s="98"/>
      <c r="KOB27" s="98"/>
      <c r="KOC27" s="98"/>
      <c r="KOD27" s="98"/>
      <c r="KOE27" s="98"/>
      <c r="KOF27" s="98"/>
      <c r="KOG27" s="98"/>
      <c r="KOH27" s="98"/>
      <c r="KOI27" s="98"/>
      <c r="KOJ27" s="98"/>
      <c r="KOK27" s="98"/>
      <c r="KOL27" s="98"/>
      <c r="KOM27" s="98"/>
      <c r="KON27" s="98"/>
      <c r="KOO27" s="98"/>
      <c r="KOP27" s="98"/>
      <c r="KOQ27" s="98"/>
      <c r="KOR27" s="98"/>
      <c r="KOS27" s="98"/>
      <c r="KOT27" s="98"/>
      <c r="KOU27" s="98"/>
      <c r="KOV27" s="98"/>
      <c r="KOW27" s="98"/>
      <c r="KOX27" s="98"/>
      <c r="KOY27" s="98"/>
      <c r="KOZ27" s="98"/>
      <c r="KPA27" s="98"/>
      <c r="KPB27" s="98"/>
      <c r="KPC27" s="98"/>
      <c r="KPD27" s="98"/>
      <c r="KPE27" s="98"/>
      <c r="KPF27" s="98"/>
      <c r="KPG27" s="98"/>
      <c r="KPH27" s="98"/>
      <c r="KPI27" s="98"/>
      <c r="KPJ27" s="98"/>
      <c r="KPK27" s="98"/>
      <c r="KPL27" s="98"/>
      <c r="KPM27" s="98"/>
      <c r="KPN27" s="98"/>
      <c r="KPO27" s="98"/>
      <c r="KPP27" s="98"/>
      <c r="KPQ27" s="98"/>
      <c r="KPR27" s="98"/>
      <c r="KPS27" s="98"/>
      <c r="KPT27" s="98"/>
      <c r="KPU27" s="98"/>
      <c r="KPV27" s="98"/>
      <c r="KPW27" s="98"/>
      <c r="KPX27" s="98"/>
      <c r="KPY27" s="98"/>
      <c r="KPZ27" s="98"/>
      <c r="KQA27" s="98"/>
      <c r="KQB27" s="98"/>
      <c r="KQC27" s="98"/>
      <c r="KQD27" s="98"/>
      <c r="KQE27" s="98"/>
      <c r="KQF27" s="98"/>
      <c r="KQG27" s="98"/>
      <c r="KQH27" s="98"/>
      <c r="KQI27" s="98"/>
      <c r="KQJ27" s="98"/>
      <c r="KQK27" s="98"/>
      <c r="KQL27" s="98"/>
      <c r="KQM27" s="98"/>
      <c r="KQN27" s="98"/>
      <c r="KQO27" s="98"/>
      <c r="KQP27" s="98"/>
      <c r="KQQ27" s="98"/>
      <c r="KQR27" s="98"/>
      <c r="KQS27" s="98"/>
      <c r="KQT27" s="98"/>
      <c r="KQU27" s="98"/>
      <c r="KQV27" s="98"/>
      <c r="KQW27" s="98"/>
      <c r="KQX27" s="98"/>
      <c r="KQY27" s="98"/>
      <c r="KQZ27" s="98"/>
      <c r="KRA27" s="98"/>
      <c r="KRB27" s="98"/>
      <c r="KRC27" s="98"/>
      <c r="KRD27" s="98"/>
      <c r="KRE27" s="98"/>
      <c r="KRF27" s="98"/>
      <c r="KRG27" s="98"/>
      <c r="KRH27" s="98"/>
      <c r="KRI27" s="98"/>
      <c r="KRJ27" s="98"/>
      <c r="KRK27" s="98"/>
      <c r="KRL27" s="98"/>
      <c r="KRM27" s="98"/>
      <c r="KRN27" s="98"/>
      <c r="KRO27" s="98"/>
      <c r="KRP27" s="98"/>
      <c r="KRQ27" s="98"/>
      <c r="KRR27" s="98"/>
      <c r="KRS27" s="98"/>
      <c r="KRT27" s="98"/>
      <c r="KRU27" s="98"/>
      <c r="KRV27" s="98"/>
      <c r="KRW27" s="98"/>
      <c r="KRX27" s="98"/>
      <c r="KRY27" s="98"/>
      <c r="KRZ27" s="98"/>
      <c r="KSA27" s="98"/>
      <c r="KSB27" s="98"/>
      <c r="KSC27" s="98"/>
      <c r="KSD27" s="98"/>
      <c r="KSE27" s="98"/>
      <c r="KSF27" s="98"/>
      <c r="KSG27" s="98"/>
      <c r="KSH27" s="98"/>
      <c r="KSI27" s="98"/>
      <c r="KSJ27" s="98"/>
      <c r="KSK27" s="98"/>
      <c r="KSL27" s="98"/>
      <c r="KSM27" s="98"/>
      <c r="KSN27" s="98"/>
      <c r="KSO27" s="98"/>
      <c r="KSP27" s="98"/>
      <c r="KSQ27" s="98"/>
      <c r="KSR27" s="98"/>
      <c r="KSS27" s="98"/>
      <c r="KST27" s="98"/>
      <c r="KSU27" s="98"/>
      <c r="KSV27" s="98"/>
      <c r="KSW27" s="98"/>
      <c r="KSX27" s="98"/>
      <c r="KSY27" s="98"/>
      <c r="KSZ27" s="98"/>
      <c r="KTA27" s="98"/>
      <c r="KTB27" s="98"/>
      <c r="KTC27" s="98"/>
      <c r="KTD27" s="98"/>
      <c r="KTE27" s="98"/>
      <c r="KTF27" s="98"/>
      <c r="KTG27" s="98"/>
      <c r="KTH27" s="98"/>
      <c r="KTI27" s="98"/>
      <c r="KTJ27" s="98"/>
      <c r="KTK27" s="98"/>
      <c r="KTL27" s="98"/>
      <c r="KTM27" s="98"/>
      <c r="KTN27" s="98"/>
      <c r="KTO27" s="98"/>
      <c r="KTP27" s="98"/>
      <c r="KTQ27" s="98"/>
      <c r="KTR27" s="98"/>
      <c r="KTS27" s="98"/>
      <c r="KTT27" s="98"/>
      <c r="KTU27" s="98"/>
      <c r="KTV27" s="98"/>
      <c r="KTW27" s="98"/>
      <c r="KTX27" s="98"/>
      <c r="KTY27" s="98"/>
      <c r="KTZ27" s="98"/>
      <c r="KUA27" s="98"/>
      <c r="KUB27" s="98"/>
      <c r="KUC27" s="98"/>
      <c r="KUD27" s="98"/>
      <c r="KUE27" s="98"/>
      <c r="KUF27" s="98"/>
      <c r="KUG27" s="98"/>
      <c r="KUH27" s="98"/>
      <c r="KUI27" s="98"/>
      <c r="KUJ27" s="98"/>
      <c r="KUK27" s="98"/>
      <c r="KUL27" s="98"/>
      <c r="KUM27" s="98"/>
      <c r="KUN27" s="98"/>
      <c r="KUO27" s="98"/>
      <c r="KUP27" s="98"/>
      <c r="KUQ27" s="98"/>
      <c r="KUR27" s="98"/>
      <c r="KUS27" s="98"/>
      <c r="KUT27" s="98"/>
      <c r="KUU27" s="98"/>
      <c r="KUV27" s="98"/>
      <c r="KUW27" s="98"/>
      <c r="KUX27" s="98"/>
      <c r="KUY27" s="98"/>
      <c r="KUZ27" s="98"/>
      <c r="KVA27" s="98"/>
      <c r="KVB27" s="98"/>
      <c r="KVC27" s="98"/>
      <c r="KVD27" s="98"/>
      <c r="KVE27" s="98"/>
      <c r="KVF27" s="98"/>
      <c r="KVG27" s="98"/>
      <c r="KVH27" s="98"/>
      <c r="KVI27" s="98"/>
      <c r="KVJ27" s="98"/>
      <c r="KVK27" s="98"/>
      <c r="KVL27" s="98"/>
      <c r="KVM27" s="98"/>
      <c r="KVN27" s="98"/>
      <c r="KVO27" s="98"/>
      <c r="KVP27" s="98"/>
      <c r="KVQ27" s="98"/>
      <c r="KVR27" s="98"/>
      <c r="KVS27" s="98"/>
      <c r="KVT27" s="98"/>
      <c r="KVU27" s="98"/>
      <c r="KVV27" s="98"/>
      <c r="KVW27" s="98"/>
      <c r="KVX27" s="98"/>
      <c r="KVY27" s="98"/>
      <c r="KVZ27" s="98"/>
      <c r="KWA27" s="98"/>
      <c r="KWB27" s="98"/>
      <c r="KWC27" s="98"/>
      <c r="KWD27" s="98"/>
      <c r="KWE27" s="98"/>
      <c r="KWF27" s="98"/>
      <c r="KWG27" s="98"/>
      <c r="KWH27" s="98"/>
      <c r="KWI27" s="98"/>
      <c r="KWJ27" s="98"/>
      <c r="KWK27" s="98"/>
      <c r="KWL27" s="98"/>
      <c r="KWM27" s="98"/>
      <c r="KWN27" s="98"/>
      <c r="KWO27" s="98"/>
      <c r="KWP27" s="98"/>
      <c r="KWQ27" s="98"/>
      <c r="KWR27" s="98"/>
      <c r="KWS27" s="98"/>
      <c r="KWT27" s="98"/>
      <c r="KWU27" s="98"/>
      <c r="KWV27" s="98"/>
      <c r="KWW27" s="98"/>
      <c r="KWX27" s="98"/>
      <c r="KWY27" s="98"/>
      <c r="KWZ27" s="98"/>
      <c r="KXA27" s="98"/>
      <c r="KXB27" s="98"/>
      <c r="KXC27" s="98"/>
      <c r="KXD27" s="98"/>
      <c r="KXE27" s="98"/>
      <c r="KXF27" s="98"/>
      <c r="KXG27" s="98"/>
      <c r="KXH27" s="98"/>
      <c r="KXI27" s="98"/>
      <c r="KXJ27" s="98"/>
      <c r="KXK27" s="98"/>
      <c r="KXL27" s="98"/>
      <c r="KXM27" s="98"/>
      <c r="KXN27" s="98"/>
      <c r="KXO27" s="98"/>
      <c r="KXP27" s="98"/>
      <c r="KXQ27" s="98"/>
      <c r="KXR27" s="98"/>
      <c r="KXS27" s="98"/>
      <c r="KXT27" s="98"/>
      <c r="KXU27" s="98"/>
      <c r="KXV27" s="98"/>
      <c r="KXW27" s="98"/>
      <c r="KXX27" s="98"/>
      <c r="KXY27" s="98"/>
      <c r="KXZ27" s="98"/>
      <c r="KYA27" s="98"/>
      <c r="KYB27" s="98"/>
      <c r="KYC27" s="98"/>
      <c r="KYD27" s="98"/>
      <c r="KYE27" s="98"/>
      <c r="KYF27" s="98"/>
      <c r="KYG27" s="98"/>
      <c r="KYH27" s="98"/>
      <c r="KYI27" s="98"/>
      <c r="KYJ27" s="98"/>
      <c r="KYK27" s="98"/>
      <c r="KYL27" s="98"/>
      <c r="KYM27" s="98"/>
      <c r="KYN27" s="98"/>
      <c r="KYO27" s="98"/>
      <c r="KYP27" s="98"/>
      <c r="KYQ27" s="98"/>
      <c r="KYR27" s="98"/>
      <c r="KYS27" s="98"/>
      <c r="KYT27" s="98"/>
      <c r="KYU27" s="98"/>
      <c r="KYV27" s="98"/>
      <c r="KYW27" s="98"/>
      <c r="KYX27" s="98"/>
      <c r="KYY27" s="98"/>
      <c r="KYZ27" s="98"/>
      <c r="KZA27" s="98"/>
      <c r="KZB27" s="98"/>
      <c r="KZC27" s="98"/>
      <c r="KZD27" s="98"/>
      <c r="KZE27" s="98"/>
      <c r="KZF27" s="98"/>
      <c r="KZG27" s="98"/>
      <c r="KZH27" s="98"/>
      <c r="KZI27" s="98"/>
      <c r="KZJ27" s="98"/>
      <c r="KZK27" s="98"/>
      <c r="KZL27" s="98"/>
      <c r="KZM27" s="98"/>
      <c r="KZN27" s="98"/>
      <c r="KZO27" s="98"/>
      <c r="KZP27" s="98"/>
      <c r="KZQ27" s="98"/>
      <c r="KZR27" s="98"/>
      <c r="KZS27" s="98"/>
      <c r="KZT27" s="98"/>
      <c r="KZU27" s="98"/>
      <c r="KZV27" s="98"/>
      <c r="KZW27" s="98"/>
      <c r="KZX27" s="98"/>
      <c r="KZY27" s="98"/>
      <c r="KZZ27" s="98"/>
      <c r="LAA27" s="98"/>
      <c r="LAB27" s="98"/>
      <c r="LAC27" s="98"/>
      <c r="LAD27" s="98"/>
      <c r="LAE27" s="98"/>
      <c r="LAF27" s="98"/>
      <c r="LAG27" s="98"/>
      <c r="LAH27" s="98"/>
      <c r="LAI27" s="98"/>
      <c r="LAJ27" s="98"/>
      <c r="LAK27" s="98"/>
      <c r="LAL27" s="98"/>
      <c r="LAM27" s="98"/>
      <c r="LAN27" s="98"/>
      <c r="LAO27" s="98"/>
      <c r="LAP27" s="98"/>
      <c r="LAQ27" s="98"/>
      <c r="LAR27" s="98"/>
      <c r="LAS27" s="98"/>
      <c r="LAT27" s="98"/>
      <c r="LAU27" s="98"/>
      <c r="LAV27" s="98"/>
      <c r="LAW27" s="98"/>
      <c r="LAX27" s="98"/>
      <c r="LAY27" s="98"/>
      <c r="LAZ27" s="98"/>
      <c r="LBA27" s="98"/>
      <c r="LBB27" s="98"/>
      <c r="LBC27" s="98"/>
      <c r="LBD27" s="98"/>
      <c r="LBE27" s="98"/>
      <c r="LBF27" s="98"/>
      <c r="LBG27" s="98"/>
      <c r="LBH27" s="98"/>
      <c r="LBI27" s="98"/>
      <c r="LBJ27" s="98"/>
      <c r="LBK27" s="98"/>
      <c r="LBL27" s="98"/>
      <c r="LBM27" s="98"/>
      <c r="LBN27" s="98"/>
      <c r="LBO27" s="98"/>
      <c r="LBP27" s="98"/>
      <c r="LBQ27" s="98"/>
      <c r="LBR27" s="98"/>
      <c r="LBS27" s="98"/>
      <c r="LBT27" s="98"/>
      <c r="LBU27" s="98"/>
      <c r="LBV27" s="98"/>
      <c r="LBW27" s="98"/>
      <c r="LBX27" s="98"/>
      <c r="LBY27" s="98"/>
      <c r="LBZ27" s="98"/>
      <c r="LCA27" s="98"/>
      <c r="LCB27" s="98"/>
      <c r="LCC27" s="98"/>
      <c r="LCD27" s="98"/>
      <c r="LCE27" s="98"/>
      <c r="LCF27" s="98"/>
      <c r="LCG27" s="98"/>
      <c r="LCH27" s="98"/>
      <c r="LCI27" s="98"/>
      <c r="LCJ27" s="98"/>
      <c r="LCK27" s="98"/>
      <c r="LCL27" s="98"/>
      <c r="LCM27" s="98"/>
      <c r="LCN27" s="98"/>
      <c r="LCO27" s="98"/>
      <c r="LCP27" s="98"/>
      <c r="LCQ27" s="98"/>
      <c r="LCR27" s="98"/>
      <c r="LCS27" s="98"/>
      <c r="LCT27" s="98"/>
      <c r="LCU27" s="98"/>
      <c r="LCV27" s="98"/>
      <c r="LCW27" s="98"/>
      <c r="LCX27" s="98"/>
      <c r="LCY27" s="98"/>
      <c r="LCZ27" s="98"/>
      <c r="LDA27" s="98"/>
      <c r="LDB27" s="98"/>
      <c r="LDC27" s="98"/>
      <c r="LDD27" s="98"/>
      <c r="LDE27" s="98"/>
      <c r="LDF27" s="98"/>
      <c r="LDG27" s="98"/>
      <c r="LDH27" s="98"/>
      <c r="LDI27" s="98"/>
      <c r="LDJ27" s="98"/>
      <c r="LDK27" s="98"/>
      <c r="LDL27" s="98"/>
      <c r="LDM27" s="98"/>
      <c r="LDN27" s="98"/>
      <c r="LDO27" s="98"/>
      <c r="LDP27" s="98"/>
      <c r="LDQ27" s="98"/>
      <c r="LDR27" s="98"/>
      <c r="LDS27" s="98"/>
      <c r="LDT27" s="98"/>
      <c r="LDU27" s="98"/>
      <c r="LDV27" s="98"/>
      <c r="LDW27" s="98"/>
      <c r="LDX27" s="98"/>
      <c r="LDY27" s="98"/>
      <c r="LDZ27" s="98"/>
      <c r="LEA27" s="98"/>
      <c r="LEB27" s="98"/>
      <c r="LEC27" s="98"/>
      <c r="LED27" s="98"/>
      <c r="LEE27" s="98"/>
      <c r="LEF27" s="98"/>
      <c r="LEG27" s="98"/>
      <c r="LEH27" s="98"/>
      <c r="LEI27" s="98"/>
      <c r="LEJ27" s="98"/>
      <c r="LEK27" s="98"/>
      <c r="LEL27" s="98"/>
      <c r="LEM27" s="98"/>
      <c r="LEN27" s="98"/>
      <c r="LEO27" s="98"/>
      <c r="LEP27" s="98"/>
      <c r="LEQ27" s="98"/>
      <c r="LER27" s="98"/>
      <c r="LES27" s="98"/>
      <c r="LET27" s="98"/>
      <c r="LEU27" s="98"/>
      <c r="LEV27" s="98"/>
      <c r="LEW27" s="98"/>
      <c r="LEX27" s="98"/>
      <c r="LEY27" s="98"/>
      <c r="LEZ27" s="98"/>
      <c r="LFA27" s="98"/>
      <c r="LFB27" s="98"/>
      <c r="LFC27" s="98"/>
      <c r="LFD27" s="98"/>
      <c r="LFE27" s="98"/>
      <c r="LFF27" s="98"/>
      <c r="LFG27" s="98"/>
      <c r="LFH27" s="98"/>
      <c r="LFI27" s="98"/>
      <c r="LFJ27" s="98"/>
      <c r="LFK27" s="98"/>
      <c r="LFL27" s="98"/>
      <c r="LFM27" s="98"/>
      <c r="LFN27" s="98"/>
      <c r="LFO27" s="98"/>
      <c r="LFP27" s="98"/>
      <c r="LFQ27" s="98"/>
      <c r="LFR27" s="98"/>
      <c r="LFS27" s="98"/>
      <c r="LFT27" s="98"/>
      <c r="LFU27" s="98"/>
      <c r="LFV27" s="98"/>
      <c r="LFW27" s="98"/>
      <c r="LFX27" s="98"/>
      <c r="LFY27" s="98"/>
      <c r="LFZ27" s="98"/>
      <c r="LGA27" s="98"/>
      <c r="LGB27" s="98"/>
      <c r="LGC27" s="98"/>
      <c r="LGD27" s="98"/>
      <c r="LGE27" s="98"/>
      <c r="LGF27" s="98"/>
      <c r="LGG27" s="98"/>
      <c r="LGH27" s="98"/>
      <c r="LGI27" s="98"/>
      <c r="LGJ27" s="98"/>
      <c r="LGK27" s="98"/>
      <c r="LGL27" s="98"/>
      <c r="LGM27" s="98"/>
      <c r="LGN27" s="98"/>
      <c r="LGO27" s="98"/>
      <c r="LGP27" s="98"/>
      <c r="LGQ27" s="98"/>
      <c r="LGR27" s="98"/>
      <c r="LGS27" s="98"/>
      <c r="LGT27" s="98"/>
      <c r="LGU27" s="98"/>
      <c r="LGV27" s="98"/>
      <c r="LGW27" s="98"/>
      <c r="LGX27" s="98"/>
      <c r="LGY27" s="98"/>
      <c r="LGZ27" s="98"/>
      <c r="LHA27" s="98"/>
      <c r="LHB27" s="98"/>
      <c r="LHC27" s="98"/>
      <c r="LHD27" s="98"/>
      <c r="LHE27" s="98"/>
      <c r="LHF27" s="98"/>
      <c r="LHG27" s="98"/>
      <c r="LHH27" s="98"/>
      <c r="LHI27" s="98"/>
      <c r="LHJ27" s="98"/>
      <c r="LHK27" s="98"/>
      <c r="LHL27" s="98"/>
      <c r="LHM27" s="98"/>
      <c r="LHN27" s="98"/>
      <c r="LHO27" s="98"/>
      <c r="LHP27" s="98"/>
      <c r="LHQ27" s="98"/>
      <c r="LHR27" s="98"/>
      <c r="LHS27" s="98"/>
      <c r="LHT27" s="98"/>
      <c r="LHU27" s="98"/>
      <c r="LHV27" s="98"/>
      <c r="LHW27" s="98"/>
      <c r="LHX27" s="98"/>
      <c r="LHY27" s="98"/>
      <c r="LHZ27" s="98"/>
      <c r="LIA27" s="98"/>
      <c r="LIB27" s="98"/>
      <c r="LIC27" s="98"/>
      <c r="LID27" s="98"/>
      <c r="LIE27" s="98"/>
      <c r="LIF27" s="98"/>
      <c r="LIG27" s="98"/>
      <c r="LIH27" s="98"/>
      <c r="LII27" s="98"/>
      <c r="LIJ27" s="98"/>
      <c r="LIK27" s="98"/>
      <c r="LIL27" s="98"/>
      <c r="LIM27" s="98"/>
      <c r="LIN27" s="98"/>
      <c r="LIO27" s="98"/>
      <c r="LIP27" s="98"/>
      <c r="LIQ27" s="98"/>
      <c r="LIR27" s="98"/>
      <c r="LIS27" s="98"/>
      <c r="LIT27" s="98"/>
      <c r="LIU27" s="98"/>
      <c r="LIV27" s="98"/>
      <c r="LIW27" s="98"/>
      <c r="LIX27" s="98"/>
      <c r="LIY27" s="98"/>
      <c r="LIZ27" s="98"/>
      <c r="LJA27" s="98"/>
      <c r="LJB27" s="98"/>
      <c r="LJC27" s="98"/>
      <c r="LJD27" s="98"/>
      <c r="LJE27" s="98"/>
      <c r="LJF27" s="98"/>
      <c r="LJG27" s="98"/>
      <c r="LJH27" s="98"/>
      <c r="LJI27" s="98"/>
      <c r="LJJ27" s="98"/>
      <c r="LJK27" s="98"/>
      <c r="LJL27" s="98"/>
      <c r="LJM27" s="98"/>
      <c r="LJN27" s="98"/>
      <c r="LJO27" s="98"/>
      <c r="LJP27" s="98"/>
      <c r="LJQ27" s="98"/>
      <c r="LJR27" s="98"/>
      <c r="LJS27" s="98"/>
      <c r="LJT27" s="98"/>
      <c r="LJU27" s="98"/>
      <c r="LJV27" s="98"/>
      <c r="LJW27" s="98"/>
      <c r="LJX27" s="98"/>
      <c r="LJY27" s="98"/>
      <c r="LJZ27" s="98"/>
      <c r="LKA27" s="98"/>
      <c r="LKB27" s="98"/>
      <c r="LKC27" s="98"/>
      <c r="LKD27" s="98"/>
      <c r="LKE27" s="98"/>
      <c r="LKF27" s="98"/>
      <c r="LKG27" s="98"/>
      <c r="LKH27" s="98"/>
      <c r="LKI27" s="98"/>
      <c r="LKJ27" s="98"/>
      <c r="LKK27" s="98"/>
      <c r="LKL27" s="98"/>
      <c r="LKM27" s="98"/>
      <c r="LKN27" s="98"/>
      <c r="LKO27" s="98"/>
      <c r="LKP27" s="98"/>
      <c r="LKQ27" s="98"/>
      <c r="LKR27" s="98"/>
      <c r="LKS27" s="98"/>
      <c r="LKT27" s="98"/>
      <c r="LKU27" s="98"/>
      <c r="LKV27" s="98"/>
      <c r="LKW27" s="98"/>
      <c r="LKX27" s="98"/>
      <c r="LKY27" s="98"/>
      <c r="LKZ27" s="98"/>
      <c r="LLA27" s="98"/>
      <c r="LLB27" s="98"/>
      <c r="LLC27" s="98"/>
      <c r="LLD27" s="98"/>
      <c r="LLE27" s="98"/>
      <c r="LLF27" s="98"/>
      <c r="LLG27" s="98"/>
      <c r="LLH27" s="98"/>
      <c r="LLI27" s="98"/>
      <c r="LLJ27" s="98"/>
      <c r="LLK27" s="98"/>
      <c r="LLL27" s="98"/>
      <c r="LLM27" s="98"/>
      <c r="LLN27" s="98"/>
      <c r="LLO27" s="98"/>
      <c r="LLP27" s="98"/>
      <c r="LLQ27" s="98"/>
      <c r="LLR27" s="98"/>
      <c r="LLS27" s="98"/>
      <c r="LLT27" s="98"/>
      <c r="LLU27" s="98"/>
      <c r="LLV27" s="98"/>
      <c r="LLW27" s="98"/>
      <c r="LLX27" s="98"/>
      <c r="LLY27" s="98"/>
      <c r="LLZ27" s="98"/>
      <c r="LMA27" s="98"/>
      <c r="LMB27" s="98"/>
      <c r="LMC27" s="98"/>
      <c r="LMD27" s="98"/>
      <c r="LME27" s="98"/>
      <c r="LMF27" s="98"/>
      <c r="LMG27" s="98"/>
      <c r="LMH27" s="98"/>
      <c r="LMI27" s="98"/>
      <c r="LMJ27" s="98"/>
      <c r="LMK27" s="98"/>
      <c r="LML27" s="98"/>
      <c r="LMM27" s="98"/>
      <c r="LMN27" s="98"/>
      <c r="LMO27" s="98"/>
      <c r="LMP27" s="98"/>
      <c r="LMQ27" s="98"/>
      <c r="LMR27" s="98"/>
      <c r="LMS27" s="98"/>
      <c r="LMT27" s="98"/>
      <c r="LMU27" s="98"/>
      <c r="LMV27" s="98"/>
      <c r="LMW27" s="98"/>
      <c r="LMX27" s="98"/>
      <c r="LMY27" s="98"/>
      <c r="LMZ27" s="98"/>
      <c r="LNA27" s="98"/>
      <c r="LNB27" s="98"/>
      <c r="LNC27" s="98"/>
      <c r="LND27" s="98"/>
      <c r="LNE27" s="98"/>
      <c r="LNF27" s="98"/>
      <c r="LNG27" s="98"/>
      <c r="LNH27" s="98"/>
      <c r="LNI27" s="98"/>
      <c r="LNJ27" s="98"/>
      <c r="LNK27" s="98"/>
      <c r="LNL27" s="98"/>
      <c r="LNM27" s="98"/>
      <c r="LNN27" s="98"/>
      <c r="LNO27" s="98"/>
      <c r="LNP27" s="98"/>
      <c r="LNQ27" s="98"/>
      <c r="LNR27" s="98"/>
      <c r="LNS27" s="98"/>
      <c r="LNT27" s="98"/>
      <c r="LNU27" s="98"/>
      <c r="LNV27" s="98"/>
      <c r="LNW27" s="98"/>
      <c r="LNX27" s="98"/>
      <c r="LNY27" s="98"/>
      <c r="LNZ27" s="98"/>
      <c r="LOA27" s="98"/>
      <c r="LOB27" s="98"/>
      <c r="LOC27" s="98"/>
      <c r="LOD27" s="98"/>
      <c r="LOE27" s="98"/>
      <c r="LOF27" s="98"/>
      <c r="LOG27" s="98"/>
      <c r="LOH27" s="98"/>
      <c r="LOI27" s="98"/>
      <c r="LOJ27" s="98"/>
      <c r="LOK27" s="98"/>
      <c r="LOL27" s="98"/>
      <c r="LOM27" s="98"/>
      <c r="LON27" s="98"/>
      <c r="LOO27" s="98"/>
      <c r="LOP27" s="98"/>
      <c r="LOQ27" s="98"/>
      <c r="LOR27" s="98"/>
      <c r="LOS27" s="98"/>
      <c r="LOT27" s="98"/>
      <c r="LOU27" s="98"/>
      <c r="LOV27" s="98"/>
      <c r="LOW27" s="98"/>
      <c r="LOX27" s="98"/>
      <c r="LOY27" s="98"/>
      <c r="LOZ27" s="98"/>
      <c r="LPA27" s="98"/>
      <c r="LPB27" s="98"/>
      <c r="LPC27" s="98"/>
      <c r="LPD27" s="98"/>
      <c r="LPE27" s="98"/>
      <c r="LPF27" s="98"/>
      <c r="LPG27" s="98"/>
      <c r="LPH27" s="98"/>
      <c r="LPI27" s="98"/>
      <c r="LPJ27" s="98"/>
      <c r="LPK27" s="98"/>
      <c r="LPL27" s="98"/>
      <c r="LPM27" s="98"/>
      <c r="LPN27" s="98"/>
      <c r="LPO27" s="98"/>
      <c r="LPP27" s="98"/>
      <c r="LPQ27" s="98"/>
      <c r="LPR27" s="98"/>
      <c r="LPS27" s="98"/>
      <c r="LPT27" s="98"/>
      <c r="LPU27" s="98"/>
      <c r="LPV27" s="98"/>
      <c r="LPW27" s="98"/>
      <c r="LPX27" s="98"/>
      <c r="LPY27" s="98"/>
      <c r="LPZ27" s="98"/>
      <c r="LQA27" s="98"/>
      <c r="LQB27" s="98"/>
      <c r="LQC27" s="98"/>
      <c r="LQD27" s="98"/>
      <c r="LQE27" s="98"/>
      <c r="LQF27" s="98"/>
      <c r="LQG27" s="98"/>
      <c r="LQH27" s="98"/>
      <c r="LQI27" s="98"/>
      <c r="LQJ27" s="98"/>
      <c r="LQK27" s="98"/>
      <c r="LQL27" s="98"/>
      <c r="LQM27" s="98"/>
      <c r="LQN27" s="98"/>
      <c r="LQO27" s="98"/>
      <c r="LQP27" s="98"/>
      <c r="LQQ27" s="98"/>
      <c r="LQR27" s="98"/>
      <c r="LQS27" s="98"/>
      <c r="LQT27" s="98"/>
      <c r="LQU27" s="98"/>
      <c r="LQV27" s="98"/>
      <c r="LQW27" s="98"/>
      <c r="LQX27" s="98"/>
      <c r="LQY27" s="98"/>
      <c r="LQZ27" s="98"/>
      <c r="LRA27" s="98"/>
      <c r="LRB27" s="98"/>
      <c r="LRC27" s="98"/>
      <c r="LRD27" s="98"/>
      <c r="LRE27" s="98"/>
      <c r="LRF27" s="98"/>
      <c r="LRG27" s="98"/>
      <c r="LRH27" s="98"/>
      <c r="LRI27" s="98"/>
      <c r="LRJ27" s="98"/>
      <c r="LRK27" s="98"/>
      <c r="LRL27" s="98"/>
      <c r="LRM27" s="98"/>
      <c r="LRN27" s="98"/>
      <c r="LRO27" s="98"/>
      <c r="LRP27" s="98"/>
      <c r="LRQ27" s="98"/>
      <c r="LRR27" s="98"/>
      <c r="LRS27" s="98"/>
      <c r="LRT27" s="98"/>
      <c r="LRU27" s="98"/>
      <c r="LRV27" s="98"/>
      <c r="LRW27" s="98"/>
      <c r="LRX27" s="98"/>
      <c r="LRY27" s="98"/>
      <c r="LRZ27" s="98"/>
      <c r="LSA27" s="98"/>
      <c r="LSB27" s="98"/>
      <c r="LSC27" s="98"/>
      <c r="LSD27" s="98"/>
      <c r="LSE27" s="98"/>
      <c r="LSF27" s="98"/>
      <c r="LSG27" s="98"/>
      <c r="LSH27" s="98"/>
      <c r="LSI27" s="98"/>
      <c r="LSJ27" s="98"/>
      <c r="LSK27" s="98"/>
      <c r="LSL27" s="98"/>
      <c r="LSM27" s="98"/>
      <c r="LSN27" s="98"/>
      <c r="LSO27" s="98"/>
      <c r="LSP27" s="98"/>
      <c r="LSQ27" s="98"/>
      <c r="LSR27" s="98"/>
      <c r="LSS27" s="98"/>
      <c r="LST27" s="98"/>
      <c r="LSU27" s="98"/>
      <c r="LSV27" s="98"/>
      <c r="LSW27" s="98"/>
      <c r="LSX27" s="98"/>
      <c r="LSY27" s="98"/>
      <c r="LSZ27" s="98"/>
      <c r="LTA27" s="98"/>
      <c r="LTB27" s="98"/>
      <c r="LTC27" s="98"/>
      <c r="LTD27" s="98"/>
      <c r="LTE27" s="98"/>
      <c r="LTF27" s="98"/>
      <c r="LTG27" s="98"/>
      <c r="LTH27" s="98"/>
      <c r="LTI27" s="98"/>
      <c r="LTJ27" s="98"/>
      <c r="LTK27" s="98"/>
      <c r="LTL27" s="98"/>
      <c r="LTM27" s="98"/>
      <c r="LTN27" s="98"/>
      <c r="LTO27" s="98"/>
      <c r="LTP27" s="98"/>
      <c r="LTQ27" s="98"/>
      <c r="LTR27" s="98"/>
      <c r="LTS27" s="98"/>
      <c r="LTT27" s="98"/>
      <c r="LTU27" s="98"/>
      <c r="LTV27" s="98"/>
      <c r="LTW27" s="98"/>
      <c r="LTX27" s="98"/>
      <c r="LTY27" s="98"/>
      <c r="LTZ27" s="98"/>
      <c r="LUA27" s="98"/>
      <c r="LUB27" s="98"/>
      <c r="LUC27" s="98"/>
      <c r="LUD27" s="98"/>
      <c r="LUE27" s="98"/>
      <c r="LUF27" s="98"/>
      <c r="LUG27" s="98"/>
      <c r="LUH27" s="98"/>
      <c r="LUI27" s="98"/>
      <c r="LUJ27" s="98"/>
      <c r="LUK27" s="98"/>
      <c r="LUL27" s="98"/>
      <c r="LUM27" s="98"/>
      <c r="LUN27" s="98"/>
      <c r="LUO27" s="98"/>
      <c r="LUP27" s="98"/>
      <c r="LUQ27" s="98"/>
      <c r="LUR27" s="98"/>
      <c r="LUS27" s="98"/>
      <c r="LUT27" s="98"/>
      <c r="LUU27" s="98"/>
      <c r="LUV27" s="98"/>
      <c r="LUW27" s="98"/>
      <c r="LUX27" s="98"/>
      <c r="LUY27" s="98"/>
      <c r="LUZ27" s="98"/>
      <c r="LVA27" s="98"/>
      <c r="LVB27" s="98"/>
      <c r="LVC27" s="98"/>
      <c r="LVD27" s="98"/>
      <c r="LVE27" s="98"/>
      <c r="LVF27" s="98"/>
      <c r="LVG27" s="98"/>
      <c r="LVH27" s="98"/>
      <c r="LVI27" s="98"/>
      <c r="LVJ27" s="98"/>
      <c r="LVK27" s="98"/>
      <c r="LVL27" s="98"/>
      <c r="LVM27" s="98"/>
      <c r="LVN27" s="98"/>
      <c r="LVO27" s="98"/>
      <c r="LVP27" s="98"/>
      <c r="LVQ27" s="98"/>
      <c r="LVR27" s="98"/>
      <c r="LVS27" s="98"/>
      <c r="LVT27" s="98"/>
      <c r="LVU27" s="98"/>
      <c r="LVV27" s="98"/>
      <c r="LVW27" s="98"/>
      <c r="LVX27" s="98"/>
      <c r="LVY27" s="98"/>
      <c r="LVZ27" s="98"/>
      <c r="LWA27" s="98"/>
      <c r="LWB27" s="98"/>
      <c r="LWC27" s="98"/>
      <c r="LWD27" s="98"/>
      <c r="LWE27" s="98"/>
      <c r="LWF27" s="98"/>
      <c r="LWG27" s="98"/>
      <c r="LWH27" s="98"/>
      <c r="LWI27" s="98"/>
      <c r="LWJ27" s="98"/>
      <c r="LWK27" s="98"/>
      <c r="LWL27" s="98"/>
      <c r="LWM27" s="98"/>
      <c r="LWN27" s="98"/>
      <c r="LWO27" s="98"/>
      <c r="LWP27" s="98"/>
      <c r="LWQ27" s="98"/>
      <c r="LWR27" s="98"/>
      <c r="LWS27" s="98"/>
      <c r="LWT27" s="98"/>
      <c r="LWU27" s="98"/>
      <c r="LWV27" s="98"/>
      <c r="LWW27" s="98"/>
      <c r="LWX27" s="98"/>
      <c r="LWY27" s="98"/>
      <c r="LWZ27" s="98"/>
      <c r="LXA27" s="98"/>
      <c r="LXB27" s="98"/>
      <c r="LXC27" s="98"/>
      <c r="LXD27" s="98"/>
      <c r="LXE27" s="98"/>
      <c r="LXF27" s="98"/>
      <c r="LXG27" s="98"/>
      <c r="LXH27" s="98"/>
      <c r="LXI27" s="98"/>
      <c r="LXJ27" s="98"/>
      <c r="LXK27" s="98"/>
      <c r="LXL27" s="98"/>
      <c r="LXM27" s="98"/>
      <c r="LXN27" s="98"/>
      <c r="LXO27" s="98"/>
      <c r="LXP27" s="98"/>
      <c r="LXQ27" s="98"/>
      <c r="LXR27" s="98"/>
      <c r="LXS27" s="98"/>
      <c r="LXT27" s="98"/>
      <c r="LXU27" s="98"/>
      <c r="LXV27" s="98"/>
      <c r="LXW27" s="98"/>
      <c r="LXX27" s="98"/>
      <c r="LXY27" s="98"/>
      <c r="LXZ27" s="98"/>
      <c r="LYA27" s="98"/>
      <c r="LYB27" s="98"/>
      <c r="LYC27" s="98"/>
      <c r="LYD27" s="98"/>
      <c r="LYE27" s="98"/>
      <c r="LYF27" s="98"/>
      <c r="LYG27" s="98"/>
      <c r="LYH27" s="98"/>
      <c r="LYI27" s="98"/>
      <c r="LYJ27" s="98"/>
      <c r="LYK27" s="98"/>
      <c r="LYL27" s="98"/>
      <c r="LYM27" s="98"/>
      <c r="LYN27" s="98"/>
      <c r="LYO27" s="98"/>
      <c r="LYP27" s="98"/>
      <c r="LYQ27" s="98"/>
      <c r="LYR27" s="98"/>
      <c r="LYS27" s="98"/>
      <c r="LYT27" s="98"/>
      <c r="LYU27" s="98"/>
      <c r="LYV27" s="98"/>
      <c r="LYW27" s="98"/>
      <c r="LYX27" s="98"/>
      <c r="LYY27" s="98"/>
      <c r="LYZ27" s="98"/>
      <c r="LZA27" s="98"/>
      <c r="LZB27" s="98"/>
      <c r="LZC27" s="98"/>
      <c r="LZD27" s="98"/>
      <c r="LZE27" s="98"/>
      <c r="LZF27" s="98"/>
      <c r="LZG27" s="98"/>
      <c r="LZH27" s="98"/>
      <c r="LZI27" s="98"/>
      <c r="LZJ27" s="98"/>
      <c r="LZK27" s="98"/>
      <c r="LZL27" s="98"/>
      <c r="LZM27" s="98"/>
      <c r="LZN27" s="98"/>
      <c r="LZO27" s="98"/>
      <c r="LZP27" s="98"/>
      <c r="LZQ27" s="98"/>
      <c r="LZR27" s="98"/>
      <c r="LZS27" s="98"/>
      <c r="LZT27" s="98"/>
      <c r="LZU27" s="98"/>
      <c r="LZV27" s="98"/>
      <c r="LZW27" s="98"/>
      <c r="LZX27" s="98"/>
      <c r="LZY27" s="98"/>
      <c r="LZZ27" s="98"/>
      <c r="MAA27" s="98"/>
      <c r="MAB27" s="98"/>
      <c r="MAC27" s="98"/>
      <c r="MAD27" s="98"/>
      <c r="MAE27" s="98"/>
      <c r="MAF27" s="98"/>
      <c r="MAG27" s="98"/>
      <c r="MAH27" s="98"/>
      <c r="MAI27" s="98"/>
      <c r="MAJ27" s="98"/>
      <c r="MAK27" s="98"/>
      <c r="MAL27" s="98"/>
      <c r="MAM27" s="98"/>
      <c r="MAN27" s="98"/>
      <c r="MAO27" s="98"/>
      <c r="MAP27" s="98"/>
      <c r="MAQ27" s="98"/>
      <c r="MAR27" s="98"/>
      <c r="MAS27" s="98"/>
      <c r="MAT27" s="98"/>
      <c r="MAU27" s="98"/>
      <c r="MAV27" s="98"/>
      <c r="MAW27" s="98"/>
      <c r="MAX27" s="98"/>
      <c r="MAY27" s="98"/>
      <c r="MAZ27" s="98"/>
      <c r="MBA27" s="98"/>
      <c r="MBB27" s="98"/>
      <c r="MBC27" s="98"/>
      <c r="MBD27" s="98"/>
      <c r="MBE27" s="98"/>
      <c r="MBF27" s="98"/>
      <c r="MBG27" s="98"/>
      <c r="MBH27" s="98"/>
      <c r="MBI27" s="98"/>
      <c r="MBJ27" s="98"/>
      <c r="MBK27" s="98"/>
      <c r="MBL27" s="98"/>
      <c r="MBM27" s="98"/>
      <c r="MBN27" s="98"/>
      <c r="MBO27" s="98"/>
      <c r="MBP27" s="98"/>
      <c r="MBQ27" s="98"/>
      <c r="MBR27" s="98"/>
      <c r="MBS27" s="98"/>
      <c r="MBT27" s="98"/>
      <c r="MBU27" s="98"/>
      <c r="MBV27" s="98"/>
      <c r="MBW27" s="98"/>
      <c r="MBX27" s="98"/>
      <c r="MBY27" s="98"/>
      <c r="MBZ27" s="98"/>
      <c r="MCA27" s="98"/>
      <c r="MCB27" s="98"/>
      <c r="MCC27" s="98"/>
      <c r="MCD27" s="98"/>
      <c r="MCE27" s="98"/>
      <c r="MCF27" s="98"/>
      <c r="MCG27" s="98"/>
      <c r="MCH27" s="98"/>
      <c r="MCI27" s="98"/>
      <c r="MCJ27" s="98"/>
      <c r="MCK27" s="98"/>
      <c r="MCL27" s="98"/>
      <c r="MCM27" s="98"/>
      <c r="MCN27" s="98"/>
      <c r="MCO27" s="98"/>
      <c r="MCP27" s="98"/>
      <c r="MCQ27" s="98"/>
      <c r="MCR27" s="98"/>
      <c r="MCS27" s="98"/>
      <c r="MCT27" s="98"/>
      <c r="MCU27" s="98"/>
      <c r="MCV27" s="98"/>
      <c r="MCW27" s="98"/>
      <c r="MCX27" s="98"/>
      <c r="MCY27" s="98"/>
      <c r="MCZ27" s="98"/>
      <c r="MDA27" s="98"/>
      <c r="MDB27" s="98"/>
      <c r="MDC27" s="98"/>
      <c r="MDD27" s="98"/>
      <c r="MDE27" s="98"/>
      <c r="MDF27" s="98"/>
      <c r="MDG27" s="98"/>
      <c r="MDH27" s="98"/>
      <c r="MDI27" s="98"/>
      <c r="MDJ27" s="98"/>
      <c r="MDK27" s="98"/>
      <c r="MDL27" s="98"/>
      <c r="MDM27" s="98"/>
      <c r="MDN27" s="98"/>
      <c r="MDO27" s="98"/>
      <c r="MDP27" s="98"/>
      <c r="MDQ27" s="98"/>
      <c r="MDR27" s="98"/>
      <c r="MDS27" s="98"/>
      <c r="MDT27" s="98"/>
      <c r="MDU27" s="98"/>
      <c r="MDV27" s="98"/>
      <c r="MDW27" s="98"/>
      <c r="MDX27" s="98"/>
      <c r="MDY27" s="98"/>
      <c r="MDZ27" s="98"/>
      <c r="MEA27" s="98"/>
      <c r="MEB27" s="98"/>
      <c r="MEC27" s="98"/>
      <c r="MED27" s="98"/>
      <c r="MEE27" s="98"/>
      <c r="MEF27" s="98"/>
      <c r="MEG27" s="98"/>
      <c r="MEH27" s="98"/>
      <c r="MEI27" s="98"/>
      <c r="MEJ27" s="98"/>
      <c r="MEK27" s="98"/>
      <c r="MEL27" s="98"/>
      <c r="MEM27" s="98"/>
      <c r="MEN27" s="98"/>
      <c r="MEO27" s="98"/>
      <c r="MEP27" s="98"/>
      <c r="MEQ27" s="98"/>
      <c r="MER27" s="98"/>
      <c r="MES27" s="98"/>
      <c r="MET27" s="98"/>
      <c r="MEU27" s="98"/>
      <c r="MEV27" s="98"/>
      <c r="MEW27" s="98"/>
      <c r="MEX27" s="98"/>
      <c r="MEY27" s="98"/>
      <c r="MEZ27" s="98"/>
      <c r="MFA27" s="98"/>
      <c r="MFB27" s="98"/>
      <c r="MFC27" s="98"/>
      <c r="MFD27" s="98"/>
      <c r="MFE27" s="98"/>
      <c r="MFF27" s="98"/>
      <c r="MFG27" s="98"/>
      <c r="MFH27" s="98"/>
      <c r="MFI27" s="98"/>
      <c r="MFJ27" s="98"/>
      <c r="MFK27" s="98"/>
      <c r="MFL27" s="98"/>
      <c r="MFM27" s="98"/>
      <c r="MFN27" s="98"/>
      <c r="MFO27" s="98"/>
      <c r="MFP27" s="98"/>
      <c r="MFQ27" s="98"/>
      <c r="MFR27" s="98"/>
      <c r="MFS27" s="98"/>
      <c r="MFT27" s="98"/>
      <c r="MFU27" s="98"/>
      <c r="MFV27" s="98"/>
      <c r="MFW27" s="98"/>
      <c r="MFX27" s="98"/>
      <c r="MFY27" s="98"/>
      <c r="MFZ27" s="98"/>
      <c r="MGA27" s="98"/>
      <c r="MGB27" s="98"/>
      <c r="MGC27" s="98"/>
      <c r="MGD27" s="98"/>
      <c r="MGE27" s="98"/>
      <c r="MGF27" s="98"/>
      <c r="MGG27" s="98"/>
      <c r="MGH27" s="98"/>
      <c r="MGI27" s="98"/>
      <c r="MGJ27" s="98"/>
      <c r="MGK27" s="98"/>
      <c r="MGL27" s="98"/>
      <c r="MGM27" s="98"/>
      <c r="MGN27" s="98"/>
      <c r="MGO27" s="98"/>
      <c r="MGP27" s="98"/>
      <c r="MGQ27" s="98"/>
      <c r="MGR27" s="98"/>
      <c r="MGS27" s="98"/>
      <c r="MGT27" s="98"/>
      <c r="MGU27" s="98"/>
      <c r="MGV27" s="98"/>
      <c r="MGW27" s="98"/>
      <c r="MGX27" s="98"/>
      <c r="MGY27" s="98"/>
      <c r="MGZ27" s="98"/>
      <c r="MHA27" s="98"/>
      <c r="MHB27" s="98"/>
      <c r="MHC27" s="98"/>
      <c r="MHD27" s="98"/>
      <c r="MHE27" s="98"/>
      <c r="MHF27" s="98"/>
      <c r="MHG27" s="98"/>
      <c r="MHH27" s="98"/>
      <c r="MHI27" s="98"/>
      <c r="MHJ27" s="98"/>
      <c r="MHK27" s="98"/>
      <c r="MHL27" s="98"/>
      <c r="MHM27" s="98"/>
      <c r="MHN27" s="98"/>
      <c r="MHO27" s="98"/>
      <c r="MHP27" s="98"/>
      <c r="MHQ27" s="98"/>
      <c r="MHR27" s="98"/>
      <c r="MHS27" s="98"/>
      <c r="MHT27" s="98"/>
      <c r="MHU27" s="98"/>
      <c r="MHV27" s="98"/>
      <c r="MHW27" s="98"/>
      <c r="MHX27" s="98"/>
      <c r="MHY27" s="98"/>
      <c r="MHZ27" s="98"/>
      <c r="MIA27" s="98"/>
      <c r="MIB27" s="98"/>
      <c r="MIC27" s="98"/>
      <c r="MID27" s="98"/>
      <c r="MIE27" s="98"/>
      <c r="MIF27" s="98"/>
      <c r="MIG27" s="98"/>
      <c r="MIH27" s="98"/>
      <c r="MII27" s="98"/>
      <c r="MIJ27" s="98"/>
      <c r="MIK27" s="98"/>
      <c r="MIL27" s="98"/>
      <c r="MIM27" s="98"/>
      <c r="MIN27" s="98"/>
      <c r="MIO27" s="98"/>
      <c r="MIP27" s="98"/>
      <c r="MIQ27" s="98"/>
      <c r="MIR27" s="98"/>
      <c r="MIS27" s="98"/>
      <c r="MIT27" s="98"/>
      <c r="MIU27" s="98"/>
      <c r="MIV27" s="98"/>
      <c r="MIW27" s="98"/>
      <c r="MIX27" s="98"/>
      <c r="MIY27" s="98"/>
      <c r="MIZ27" s="98"/>
      <c r="MJA27" s="98"/>
      <c r="MJB27" s="98"/>
      <c r="MJC27" s="98"/>
      <c r="MJD27" s="98"/>
      <c r="MJE27" s="98"/>
      <c r="MJF27" s="98"/>
      <c r="MJG27" s="98"/>
      <c r="MJH27" s="98"/>
      <c r="MJI27" s="98"/>
      <c r="MJJ27" s="98"/>
      <c r="MJK27" s="98"/>
      <c r="MJL27" s="98"/>
      <c r="MJM27" s="98"/>
      <c r="MJN27" s="98"/>
      <c r="MJO27" s="98"/>
      <c r="MJP27" s="98"/>
      <c r="MJQ27" s="98"/>
      <c r="MJR27" s="98"/>
      <c r="MJS27" s="98"/>
      <c r="MJT27" s="98"/>
      <c r="MJU27" s="98"/>
      <c r="MJV27" s="98"/>
      <c r="MJW27" s="98"/>
      <c r="MJX27" s="98"/>
      <c r="MJY27" s="98"/>
      <c r="MJZ27" s="98"/>
      <c r="MKA27" s="98"/>
      <c r="MKB27" s="98"/>
      <c r="MKC27" s="98"/>
      <c r="MKD27" s="98"/>
      <c r="MKE27" s="98"/>
      <c r="MKF27" s="98"/>
      <c r="MKG27" s="98"/>
      <c r="MKH27" s="98"/>
      <c r="MKI27" s="98"/>
      <c r="MKJ27" s="98"/>
      <c r="MKK27" s="98"/>
      <c r="MKL27" s="98"/>
      <c r="MKM27" s="98"/>
      <c r="MKN27" s="98"/>
      <c r="MKO27" s="98"/>
      <c r="MKP27" s="98"/>
      <c r="MKQ27" s="98"/>
      <c r="MKR27" s="98"/>
      <c r="MKS27" s="98"/>
      <c r="MKT27" s="98"/>
      <c r="MKU27" s="98"/>
      <c r="MKV27" s="98"/>
      <c r="MKW27" s="98"/>
      <c r="MKX27" s="98"/>
      <c r="MKY27" s="98"/>
      <c r="MKZ27" s="98"/>
      <c r="MLA27" s="98"/>
      <c r="MLB27" s="98"/>
      <c r="MLC27" s="98"/>
      <c r="MLD27" s="98"/>
      <c r="MLE27" s="98"/>
      <c r="MLF27" s="98"/>
      <c r="MLG27" s="98"/>
      <c r="MLH27" s="98"/>
      <c r="MLI27" s="98"/>
      <c r="MLJ27" s="98"/>
      <c r="MLK27" s="98"/>
      <c r="MLL27" s="98"/>
      <c r="MLM27" s="98"/>
      <c r="MLN27" s="98"/>
      <c r="MLO27" s="98"/>
      <c r="MLP27" s="98"/>
      <c r="MLQ27" s="98"/>
      <c r="MLR27" s="98"/>
      <c r="MLS27" s="98"/>
      <c r="MLT27" s="98"/>
      <c r="MLU27" s="98"/>
      <c r="MLV27" s="98"/>
      <c r="MLW27" s="98"/>
      <c r="MLX27" s="98"/>
      <c r="MLY27" s="98"/>
      <c r="MLZ27" s="98"/>
      <c r="MMA27" s="98"/>
      <c r="MMB27" s="98"/>
      <c r="MMC27" s="98"/>
      <c r="MMD27" s="98"/>
      <c r="MME27" s="98"/>
      <c r="MMF27" s="98"/>
      <c r="MMG27" s="98"/>
      <c r="MMH27" s="98"/>
      <c r="MMI27" s="98"/>
      <c r="MMJ27" s="98"/>
      <c r="MMK27" s="98"/>
      <c r="MML27" s="98"/>
      <c r="MMM27" s="98"/>
      <c r="MMN27" s="98"/>
      <c r="MMO27" s="98"/>
      <c r="MMP27" s="98"/>
      <c r="MMQ27" s="98"/>
      <c r="MMR27" s="98"/>
      <c r="MMS27" s="98"/>
      <c r="MMT27" s="98"/>
      <c r="MMU27" s="98"/>
      <c r="MMV27" s="98"/>
      <c r="MMW27" s="98"/>
      <c r="MMX27" s="98"/>
      <c r="MMY27" s="98"/>
      <c r="MMZ27" s="98"/>
      <c r="MNA27" s="98"/>
      <c r="MNB27" s="98"/>
      <c r="MNC27" s="98"/>
      <c r="MND27" s="98"/>
      <c r="MNE27" s="98"/>
      <c r="MNF27" s="98"/>
      <c r="MNG27" s="98"/>
      <c r="MNH27" s="98"/>
      <c r="MNI27" s="98"/>
      <c r="MNJ27" s="98"/>
      <c r="MNK27" s="98"/>
      <c r="MNL27" s="98"/>
      <c r="MNM27" s="98"/>
      <c r="MNN27" s="98"/>
      <c r="MNO27" s="98"/>
      <c r="MNP27" s="98"/>
      <c r="MNQ27" s="98"/>
      <c r="MNR27" s="98"/>
      <c r="MNS27" s="98"/>
      <c r="MNT27" s="98"/>
      <c r="MNU27" s="98"/>
      <c r="MNV27" s="98"/>
      <c r="MNW27" s="98"/>
      <c r="MNX27" s="98"/>
      <c r="MNY27" s="98"/>
      <c r="MNZ27" s="98"/>
      <c r="MOA27" s="98"/>
      <c r="MOB27" s="98"/>
      <c r="MOC27" s="98"/>
      <c r="MOD27" s="98"/>
      <c r="MOE27" s="98"/>
      <c r="MOF27" s="98"/>
      <c r="MOG27" s="98"/>
      <c r="MOH27" s="98"/>
      <c r="MOI27" s="98"/>
      <c r="MOJ27" s="98"/>
      <c r="MOK27" s="98"/>
      <c r="MOL27" s="98"/>
      <c r="MOM27" s="98"/>
      <c r="MON27" s="98"/>
      <c r="MOO27" s="98"/>
      <c r="MOP27" s="98"/>
      <c r="MOQ27" s="98"/>
      <c r="MOR27" s="98"/>
      <c r="MOS27" s="98"/>
      <c r="MOT27" s="98"/>
      <c r="MOU27" s="98"/>
      <c r="MOV27" s="98"/>
      <c r="MOW27" s="98"/>
      <c r="MOX27" s="98"/>
      <c r="MOY27" s="98"/>
      <c r="MOZ27" s="98"/>
      <c r="MPA27" s="98"/>
      <c r="MPB27" s="98"/>
      <c r="MPC27" s="98"/>
      <c r="MPD27" s="98"/>
      <c r="MPE27" s="98"/>
      <c r="MPF27" s="98"/>
      <c r="MPG27" s="98"/>
      <c r="MPH27" s="98"/>
      <c r="MPI27" s="98"/>
      <c r="MPJ27" s="98"/>
      <c r="MPK27" s="98"/>
      <c r="MPL27" s="98"/>
      <c r="MPM27" s="98"/>
      <c r="MPN27" s="98"/>
      <c r="MPO27" s="98"/>
      <c r="MPP27" s="98"/>
      <c r="MPQ27" s="98"/>
      <c r="MPR27" s="98"/>
      <c r="MPS27" s="98"/>
      <c r="MPT27" s="98"/>
      <c r="MPU27" s="98"/>
      <c r="MPV27" s="98"/>
      <c r="MPW27" s="98"/>
      <c r="MPX27" s="98"/>
      <c r="MPY27" s="98"/>
      <c r="MPZ27" s="98"/>
      <c r="MQA27" s="98"/>
      <c r="MQB27" s="98"/>
      <c r="MQC27" s="98"/>
      <c r="MQD27" s="98"/>
      <c r="MQE27" s="98"/>
      <c r="MQF27" s="98"/>
      <c r="MQG27" s="98"/>
      <c r="MQH27" s="98"/>
      <c r="MQI27" s="98"/>
      <c r="MQJ27" s="98"/>
      <c r="MQK27" s="98"/>
      <c r="MQL27" s="98"/>
      <c r="MQM27" s="98"/>
      <c r="MQN27" s="98"/>
      <c r="MQO27" s="98"/>
      <c r="MQP27" s="98"/>
      <c r="MQQ27" s="98"/>
      <c r="MQR27" s="98"/>
      <c r="MQS27" s="98"/>
      <c r="MQT27" s="98"/>
      <c r="MQU27" s="98"/>
      <c r="MQV27" s="98"/>
      <c r="MQW27" s="98"/>
      <c r="MQX27" s="98"/>
      <c r="MQY27" s="98"/>
      <c r="MQZ27" s="98"/>
      <c r="MRA27" s="98"/>
      <c r="MRB27" s="98"/>
      <c r="MRC27" s="98"/>
      <c r="MRD27" s="98"/>
      <c r="MRE27" s="98"/>
      <c r="MRF27" s="98"/>
      <c r="MRG27" s="98"/>
      <c r="MRH27" s="98"/>
      <c r="MRI27" s="98"/>
      <c r="MRJ27" s="98"/>
      <c r="MRK27" s="98"/>
      <c r="MRL27" s="98"/>
      <c r="MRM27" s="98"/>
      <c r="MRN27" s="98"/>
      <c r="MRO27" s="98"/>
      <c r="MRP27" s="98"/>
      <c r="MRQ27" s="98"/>
      <c r="MRR27" s="98"/>
      <c r="MRS27" s="98"/>
      <c r="MRT27" s="98"/>
      <c r="MRU27" s="98"/>
      <c r="MRV27" s="98"/>
      <c r="MRW27" s="98"/>
      <c r="MRX27" s="98"/>
      <c r="MRY27" s="98"/>
      <c r="MRZ27" s="98"/>
      <c r="MSA27" s="98"/>
      <c r="MSB27" s="98"/>
      <c r="MSC27" s="98"/>
      <c r="MSD27" s="98"/>
      <c r="MSE27" s="98"/>
      <c r="MSF27" s="98"/>
      <c r="MSG27" s="98"/>
      <c r="MSH27" s="98"/>
      <c r="MSI27" s="98"/>
      <c r="MSJ27" s="98"/>
      <c r="MSK27" s="98"/>
      <c r="MSL27" s="98"/>
      <c r="MSM27" s="98"/>
      <c r="MSN27" s="98"/>
      <c r="MSO27" s="98"/>
      <c r="MSP27" s="98"/>
      <c r="MSQ27" s="98"/>
      <c r="MSR27" s="98"/>
      <c r="MSS27" s="98"/>
      <c r="MST27" s="98"/>
      <c r="MSU27" s="98"/>
      <c r="MSV27" s="98"/>
      <c r="MSW27" s="98"/>
      <c r="MSX27" s="98"/>
      <c r="MSY27" s="98"/>
      <c r="MSZ27" s="98"/>
      <c r="MTA27" s="98"/>
      <c r="MTB27" s="98"/>
      <c r="MTC27" s="98"/>
      <c r="MTD27" s="98"/>
      <c r="MTE27" s="98"/>
      <c r="MTF27" s="98"/>
      <c r="MTG27" s="98"/>
      <c r="MTH27" s="98"/>
      <c r="MTI27" s="98"/>
      <c r="MTJ27" s="98"/>
      <c r="MTK27" s="98"/>
      <c r="MTL27" s="98"/>
      <c r="MTM27" s="98"/>
      <c r="MTN27" s="98"/>
      <c r="MTO27" s="98"/>
      <c r="MTP27" s="98"/>
      <c r="MTQ27" s="98"/>
      <c r="MTR27" s="98"/>
      <c r="MTS27" s="98"/>
      <c r="MTT27" s="98"/>
      <c r="MTU27" s="98"/>
      <c r="MTV27" s="98"/>
      <c r="MTW27" s="98"/>
      <c r="MTX27" s="98"/>
      <c r="MTY27" s="98"/>
      <c r="MTZ27" s="98"/>
      <c r="MUA27" s="98"/>
      <c r="MUB27" s="98"/>
      <c r="MUC27" s="98"/>
      <c r="MUD27" s="98"/>
      <c r="MUE27" s="98"/>
      <c r="MUF27" s="98"/>
      <c r="MUG27" s="98"/>
      <c r="MUH27" s="98"/>
      <c r="MUI27" s="98"/>
      <c r="MUJ27" s="98"/>
      <c r="MUK27" s="98"/>
      <c r="MUL27" s="98"/>
      <c r="MUM27" s="98"/>
      <c r="MUN27" s="98"/>
      <c r="MUO27" s="98"/>
      <c r="MUP27" s="98"/>
      <c r="MUQ27" s="98"/>
      <c r="MUR27" s="98"/>
      <c r="MUS27" s="98"/>
      <c r="MUT27" s="98"/>
      <c r="MUU27" s="98"/>
      <c r="MUV27" s="98"/>
      <c r="MUW27" s="98"/>
      <c r="MUX27" s="98"/>
      <c r="MUY27" s="98"/>
      <c r="MUZ27" s="98"/>
      <c r="MVA27" s="98"/>
      <c r="MVB27" s="98"/>
      <c r="MVC27" s="98"/>
      <c r="MVD27" s="98"/>
      <c r="MVE27" s="98"/>
      <c r="MVF27" s="98"/>
      <c r="MVG27" s="98"/>
      <c r="MVH27" s="98"/>
      <c r="MVI27" s="98"/>
      <c r="MVJ27" s="98"/>
      <c r="MVK27" s="98"/>
      <c r="MVL27" s="98"/>
      <c r="MVM27" s="98"/>
      <c r="MVN27" s="98"/>
      <c r="MVO27" s="98"/>
      <c r="MVP27" s="98"/>
      <c r="MVQ27" s="98"/>
      <c r="MVR27" s="98"/>
      <c r="MVS27" s="98"/>
      <c r="MVT27" s="98"/>
      <c r="MVU27" s="98"/>
      <c r="MVV27" s="98"/>
      <c r="MVW27" s="98"/>
      <c r="MVX27" s="98"/>
      <c r="MVY27" s="98"/>
      <c r="MVZ27" s="98"/>
      <c r="MWA27" s="98"/>
      <c r="MWB27" s="98"/>
      <c r="MWC27" s="98"/>
      <c r="MWD27" s="98"/>
      <c r="MWE27" s="98"/>
      <c r="MWF27" s="98"/>
      <c r="MWG27" s="98"/>
      <c r="MWH27" s="98"/>
      <c r="MWI27" s="98"/>
      <c r="MWJ27" s="98"/>
      <c r="MWK27" s="98"/>
      <c r="MWL27" s="98"/>
      <c r="MWM27" s="98"/>
      <c r="MWN27" s="98"/>
      <c r="MWO27" s="98"/>
      <c r="MWP27" s="98"/>
      <c r="MWQ27" s="98"/>
      <c r="MWR27" s="98"/>
      <c r="MWS27" s="98"/>
      <c r="MWT27" s="98"/>
      <c r="MWU27" s="98"/>
      <c r="MWV27" s="98"/>
      <c r="MWW27" s="98"/>
      <c r="MWX27" s="98"/>
      <c r="MWY27" s="98"/>
      <c r="MWZ27" s="98"/>
      <c r="MXA27" s="98"/>
      <c r="MXB27" s="98"/>
      <c r="MXC27" s="98"/>
      <c r="MXD27" s="98"/>
      <c r="MXE27" s="98"/>
      <c r="MXF27" s="98"/>
      <c r="MXG27" s="98"/>
      <c r="MXH27" s="98"/>
      <c r="MXI27" s="98"/>
      <c r="MXJ27" s="98"/>
      <c r="MXK27" s="98"/>
      <c r="MXL27" s="98"/>
      <c r="MXM27" s="98"/>
      <c r="MXN27" s="98"/>
      <c r="MXO27" s="98"/>
      <c r="MXP27" s="98"/>
      <c r="MXQ27" s="98"/>
      <c r="MXR27" s="98"/>
      <c r="MXS27" s="98"/>
      <c r="MXT27" s="98"/>
      <c r="MXU27" s="98"/>
      <c r="MXV27" s="98"/>
      <c r="MXW27" s="98"/>
      <c r="MXX27" s="98"/>
      <c r="MXY27" s="98"/>
      <c r="MXZ27" s="98"/>
      <c r="MYA27" s="98"/>
      <c r="MYB27" s="98"/>
      <c r="MYC27" s="98"/>
      <c r="MYD27" s="98"/>
      <c r="MYE27" s="98"/>
      <c r="MYF27" s="98"/>
      <c r="MYG27" s="98"/>
      <c r="MYH27" s="98"/>
      <c r="MYI27" s="98"/>
      <c r="MYJ27" s="98"/>
      <c r="MYK27" s="98"/>
      <c r="MYL27" s="98"/>
      <c r="MYM27" s="98"/>
      <c r="MYN27" s="98"/>
      <c r="MYO27" s="98"/>
      <c r="MYP27" s="98"/>
      <c r="MYQ27" s="98"/>
      <c r="MYR27" s="98"/>
      <c r="MYS27" s="98"/>
      <c r="MYT27" s="98"/>
      <c r="MYU27" s="98"/>
      <c r="MYV27" s="98"/>
      <c r="MYW27" s="98"/>
      <c r="MYX27" s="98"/>
      <c r="MYY27" s="98"/>
      <c r="MYZ27" s="98"/>
      <c r="MZA27" s="98"/>
      <c r="MZB27" s="98"/>
      <c r="MZC27" s="98"/>
      <c r="MZD27" s="98"/>
      <c r="MZE27" s="98"/>
      <c r="MZF27" s="98"/>
      <c r="MZG27" s="98"/>
      <c r="MZH27" s="98"/>
      <c r="MZI27" s="98"/>
      <c r="MZJ27" s="98"/>
      <c r="MZK27" s="98"/>
      <c r="MZL27" s="98"/>
      <c r="MZM27" s="98"/>
      <c r="MZN27" s="98"/>
      <c r="MZO27" s="98"/>
      <c r="MZP27" s="98"/>
      <c r="MZQ27" s="98"/>
      <c r="MZR27" s="98"/>
      <c r="MZS27" s="98"/>
      <c r="MZT27" s="98"/>
      <c r="MZU27" s="98"/>
      <c r="MZV27" s="98"/>
      <c r="MZW27" s="98"/>
      <c r="MZX27" s="98"/>
      <c r="MZY27" s="98"/>
      <c r="MZZ27" s="98"/>
      <c r="NAA27" s="98"/>
      <c r="NAB27" s="98"/>
      <c r="NAC27" s="98"/>
      <c r="NAD27" s="98"/>
      <c r="NAE27" s="98"/>
      <c r="NAF27" s="98"/>
      <c r="NAG27" s="98"/>
      <c r="NAH27" s="98"/>
      <c r="NAI27" s="98"/>
      <c r="NAJ27" s="98"/>
      <c r="NAK27" s="98"/>
      <c r="NAL27" s="98"/>
      <c r="NAM27" s="98"/>
      <c r="NAN27" s="98"/>
      <c r="NAO27" s="98"/>
      <c r="NAP27" s="98"/>
      <c r="NAQ27" s="98"/>
      <c r="NAR27" s="98"/>
      <c r="NAS27" s="98"/>
      <c r="NAT27" s="98"/>
      <c r="NAU27" s="98"/>
      <c r="NAV27" s="98"/>
      <c r="NAW27" s="98"/>
      <c r="NAX27" s="98"/>
      <c r="NAY27" s="98"/>
      <c r="NAZ27" s="98"/>
      <c r="NBA27" s="98"/>
      <c r="NBB27" s="98"/>
      <c r="NBC27" s="98"/>
      <c r="NBD27" s="98"/>
      <c r="NBE27" s="98"/>
      <c r="NBF27" s="98"/>
      <c r="NBG27" s="98"/>
      <c r="NBH27" s="98"/>
      <c r="NBI27" s="98"/>
      <c r="NBJ27" s="98"/>
      <c r="NBK27" s="98"/>
      <c r="NBL27" s="98"/>
      <c r="NBM27" s="98"/>
      <c r="NBN27" s="98"/>
      <c r="NBO27" s="98"/>
      <c r="NBP27" s="98"/>
      <c r="NBQ27" s="98"/>
      <c r="NBR27" s="98"/>
      <c r="NBS27" s="98"/>
      <c r="NBT27" s="98"/>
      <c r="NBU27" s="98"/>
      <c r="NBV27" s="98"/>
      <c r="NBW27" s="98"/>
      <c r="NBX27" s="98"/>
      <c r="NBY27" s="98"/>
      <c r="NBZ27" s="98"/>
      <c r="NCA27" s="98"/>
      <c r="NCB27" s="98"/>
      <c r="NCC27" s="98"/>
      <c r="NCD27" s="98"/>
      <c r="NCE27" s="98"/>
      <c r="NCF27" s="98"/>
      <c r="NCG27" s="98"/>
      <c r="NCH27" s="98"/>
      <c r="NCI27" s="98"/>
      <c r="NCJ27" s="98"/>
      <c r="NCK27" s="98"/>
      <c r="NCL27" s="98"/>
      <c r="NCM27" s="98"/>
      <c r="NCN27" s="98"/>
      <c r="NCO27" s="98"/>
      <c r="NCP27" s="98"/>
      <c r="NCQ27" s="98"/>
      <c r="NCR27" s="98"/>
      <c r="NCS27" s="98"/>
      <c r="NCT27" s="98"/>
      <c r="NCU27" s="98"/>
      <c r="NCV27" s="98"/>
      <c r="NCW27" s="98"/>
      <c r="NCX27" s="98"/>
      <c r="NCY27" s="98"/>
      <c r="NCZ27" s="98"/>
      <c r="NDA27" s="98"/>
      <c r="NDB27" s="98"/>
      <c r="NDC27" s="98"/>
      <c r="NDD27" s="98"/>
      <c r="NDE27" s="98"/>
      <c r="NDF27" s="98"/>
      <c r="NDG27" s="98"/>
      <c r="NDH27" s="98"/>
      <c r="NDI27" s="98"/>
      <c r="NDJ27" s="98"/>
      <c r="NDK27" s="98"/>
      <c r="NDL27" s="98"/>
      <c r="NDM27" s="98"/>
      <c r="NDN27" s="98"/>
      <c r="NDO27" s="98"/>
      <c r="NDP27" s="98"/>
      <c r="NDQ27" s="98"/>
      <c r="NDR27" s="98"/>
      <c r="NDS27" s="98"/>
      <c r="NDT27" s="98"/>
      <c r="NDU27" s="98"/>
      <c r="NDV27" s="98"/>
      <c r="NDW27" s="98"/>
      <c r="NDX27" s="98"/>
      <c r="NDY27" s="98"/>
      <c r="NDZ27" s="98"/>
      <c r="NEA27" s="98"/>
      <c r="NEB27" s="98"/>
      <c r="NEC27" s="98"/>
      <c r="NED27" s="98"/>
      <c r="NEE27" s="98"/>
      <c r="NEF27" s="98"/>
      <c r="NEG27" s="98"/>
      <c r="NEH27" s="98"/>
      <c r="NEI27" s="98"/>
      <c r="NEJ27" s="98"/>
      <c r="NEK27" s="98"/>
      <c r="NEL27" s="98"/>
      <c r="NEM27" s="98"/>
      <c r="NEN27" s="98"/>
      <c r="NEO27" s="98"/>
      <c r="NEP27" s="98"/>
      <c r="NEQ27" s="98"/>
      <c r="NER27" s="98"/>
      <c r="NES27" s="98"/>
      <c r="NET27" s="98"/>
      <c r="NEU27" s="98"/>
      <c r="NEV27" s="98"/>
      <c r="NEW27" s="98"/>
      <c r="NEX27" s="98"/>
      <c r="NEY27" s="98"/>
      <c r="NEZ27" s="98"/>
      <c r="NFA27" s="98"/>
      <c r="NFB27" s="98"/>
      <c r="NFC27" s="98"/>
      <c r="NFD27" s="98"/>
      <c r="NFE27" s="98"/>
      <c r="NFF27" s="98"/>
      <c r="NFG27" s="98"/>
      <c r="NFH27" s="98"/>
      <c r="NFI27" s="98"/>
      <c r="NFJ27" s="98"/>
      <c r="NFK27" s="98"/>
      <c r="NFL27" s="98"/>
      <c r="NFM27" s="98"/>
      <c r="NFN27" s="98"/>
      <c r="NFO27" s="98"/>
      <c r="NFP27" s="98"/>
      <c r="NFQ27" s="98"/>
      <c r="NFR27" s="98"/>
      <c r="NFS27" s="98"/>
      <c r="NFT27" s="98"/>
      <c r="NFU27" s="98"/>
      <c r="NFV27" s="98"/>
      <c r="NFW27" s="98"/>
      <c r="NFX27" s="98"/>
      <c r="NFY27" s="98"/>
      <c r="NFZ27" s="98"/>
      <c r="NGA27" s="98"/>
      <c r="NGB27" s="98"/>
      <c r="NGC27" s="98"/>
      <c r="NGD27" s="98"/>
      <c r="NGE27" s="98"/>
      <c r="NGF27" s="98"/>
      <c r="NGG27" s="98"/>
      <c r="NGH27" s="98"/>
      <c r="NGI27" s="98"/>
      <c r="NGJ27" s="98"/>
      <c r="NGK27" s="98"/>
      <c r="NGL27" s="98"/>
      <c r="NGM27" s="98"/>
      <c r="NGN27" s="98"/>
      <c r="NGO27" s="98"/>
      <c r="NGP27" s="98"/>
      <c r="NGQ27" s="98"/>
      <c r="NGR27" s="98"/>
      <c r="NGS27" s="98"/>
      <c r="NGT27" s="98"/>
      <c r="NGU27" s="98"/>
      <c r="NGV27" s="98"/>
      <c r="NGW27" s="98"/>
      <c r="NGX27" s="98"/>
      <c r="NGY27" s="98"/>
      <c r="NGZ27" s="98"/>
      <c r="NHA27" s="98"/>
      <c r="NHB27" s="98"/>
      <c r="NHC27" s="98"/>
      <c r="NHD27" s="98"/>
      <c r="NHE27" s="98"/>
      <c r="NHF27" s="98"/>
      <c r="NHG27" s="98"/>
      <c r="NHH27" s="98"/>
      <c r="NHI27" s="98"/>
      <c r="NHJ27" s="98"/>
      <c r="NHK27" s="98"/>
      <c r="NHL27" s="98"/>
      <c r="NHM27" s="98"/>
      <c r="NHN27" s="98"/>
      <c r="NHO27" s="98"/>
      <c r="NHP27" s="98"/>
      <c r="NHQ27" s="98"/>
      <c r="NHR27" s="98"/>
      <c r="NHS27" s="98"/>
      <c r="NHT27" s="98"/>
      <c r="NHU27" s="98"/>
      <c r="NHV27" s="98"/>
      <c r="NHW27" s="98"/>
      <c r="NHX27" s="98"/>
      <c r="NHY27" s="98"/>
      <c r="NHZ27" s="98"/>
      <c r="NIA27" s="98"/>
      <c r="NIB27" s="98"/>
      <c r="NIC27" s="98"/>
      <c r="NID27" s="98"/>
      <c r="NIE27" s="98"/>
      <c r="NIF27" s="98"/>
      <c r="NIG27" s="98"/>
      <c r="NIH27" s="98"/>
      <c r="NII27" s="98"/>
      <c r="NIJ27" s="98"/>
      <c r="NIK27" s="98"/>
      <c r="NIL27" s="98"/>
      <c r="NIM27" s="98"/>
      <c r="NIN27" s="98"/>
      <c r="NIO27" s="98"/>
      <c r="NIP27" s="98"/>
      <c r="NIQ27" s="98"/>
      <c r="NIR27" s="98"/>
      <c r="NIS27" s="98"/>
      <c r="NIT27" s="98"/>
      <c r="NIU27" s="98"/>
      <c r="NIV27" s="98"/>
      <c r="NIW27" s="98"/>
      <c r="NIX27" s="98"/>
      <c r="NIY27" s="98"/>
      <c r="NIZ27" s="98"/>
      <c r="NJA27" s="98"/>
      <c r="NJB27" s="98"/>
      <c r="NJC27" s="98"/>
      <c r="NJD27" s="98"/>
      <c r="NJE27" s="98"/>
      <c r="NJF27" s="98"/>
      <c r="NJG27" s="98"/>
      <c r="NJH27" s="98"/>
      <c r="NJI27" s="98"/>
      <c r="NJJ27" s="98"/>
      <c r="NJK27" s="98"/>
      <c r="NJL27" s="98"/>
      <c r="NJM27" s="98"/>
      <c r="NJN27" s="98"/>
      <c r="NJO27" s="98"/>
      <c r="NJP27" s="98"/>
      <c r="NJQ27" s="98"/>
      <c r="NJR27" s="98"/>
      <c r="NJS27" s="98"/>
      <c r="NJT27" s="98"/>
      <c r="NJU27" s="98"/>
      <c r="NJV27" s="98"/>
      <c r="NJW27" s="98"/>
      <c r="NJX27" s="98"/>
      <c r="NJY27" s="98"/>
      <c r="NJZ27" s="98"/>
      <c r="NKA27" s="98"/>
      <c r="NKB27" s="98"/>
      <c r="NKC27" s="98"/>
      <c r="NKD27" s="98"/>
      <c r="NKE27" s="98"/>
      <c r="NKF27" s="98"/>
      <c r="NKG27" s="98"/>
      <c r="NKH27" s="98"/>
      <c r="NKI27" s="98"/>
      <c r="NKJ27" s="98"/>
      <c r="NKK27" s="98"/>
      <c r="NKL27" s="98"/>
      <c r="NKM27" s="98"/>
      <c r="NKN27" s="98"/>
      <c r="NKO27" s="98"/>
      <c r="NKP27" s="98"/>
      <c r="NKQ27" s="98"/>
      <c r="NKR27" s="98"/>
      <c r="NKS27" s="98"/>
      <c r="NKT27" s="98"/>
      <c r="NKU27" s="98"/>
      <c r="NKV27" s="98"/>
      <c r="NKW27" s="98"/>
      <c r="NKX27" s="98"/>
      <c r="NKY27" s="98"/>
      <c r="NKZ27" s="98"/>
      <c r="NLA27" s="98"/>
      <c r="NLB27" s="98"/>
      <c r="NLC27" s="98"/>
      <c r="NLD27" s="98"/>
      <c r="NLE27" s="98"/>
      <c r="NLF27" s="98"/>
      <c r="NLG27" s="98"/>
      <c r="NLH27" s="98"/>
      <c r="NLI27" s="98"/>
      <c r="NLJ27" s="98"/>
      <c r="NLK27" s="98"/>
      <c r="NLL27" s="98"/>
      <c r="NLM27" s="98"/>
      <c r="NLN27" s="98"/>
      <c r="NLO27" s="98"/>
      <c r="NLP27" s="98"/>
      <c r="NLQ27" s="98"/>
      <c r="NLR27" s="98"/>
      <c r="NLS27" s="98"/>
      <c r="NLT27" s="98"/>
      <c r="NLU27" s="98"/>
      <c r="NLV27" s="98"/>
      <c r="NLW27" s="98"/>
      <c r="NLX27" s="98"/>
      <c r="NLY27" s="98"/>
      <c r="NLZ27" s="98"/>
      <c r="NMA27" s="98"/>
      <c r="NMB27" s="98"/>
      <c r="NMC27" s="98"/>
      <c r="NMD27" s="98"/>
      <c r="NME27" s="98"/>
      <c r="NMF27" s="98"/>
      <c r="NMG27" s="98"/>
      <c r="NMH27" s="98"/>
      <c r="NMI27" s="98"/>
      <c r="NMJ27" s="98"/>
      <c r="NMK27" s="98"/>
      <c r="NML27" s="98"/>
      <c r="NMM27" s="98"/>
      <c r="NMN27" s="98"/>
      <c r="NMO27" s="98"/>
      <c r="NMP27" s="98"/>
      <c r="NMQ27" s="98"/>
      <c r="NMR27" s="98"/>
      <c r="NMS27" s="98"/>
      <c r="NMT27" s="98"/>
      <c r="NMU27" s="98"/>
      <c r="NMV27" s="98"/>
      <c r="NMW27" s="98"/>
      <c r="NMX27" s="98"/>
      <c r="NMY27" s="98"/>
      <c r="NMZ27" s="98"/>
      <c r="NNA27" s="98"/>
      <c r="NNB27" s="98"/>
      <c r="NNC27" s="98"/>
      <c r="NND27" s="98"/>
      <c r="NNE27" s="98"/>
      <c r="NNF27" s="98"/>
      <c r="NNG27" s="98"/>
      <c r="NNH27" s="98"/>
      <c r="NNI27" s="98"/>
      <c r="NNJ27" s="98"/>
      <c r="NNK27" s="98"/>
      <c r="NNL27" s="98"/>
      <c r="NNM27" s="98"/>
      <c r="NNN27" s="98"/>
      <c r="NNO27" s="98"/>
      <c r="NNP27" s="98"/>
      <c r="NNQ27" s="98"/>
      <c r="NNR27" s="98"/>
      <c r="NNS27" s="98"/>
      <c r="NNT27" s="98"/>
      <c r="NNU27" s="98"/>
      <c r="NNV27" s="98"/>
      <c r="NNW27" s="98"/>
      <c r="NNX27" s="98"/>
      <c r="NNY27" s="98"/>
      <c r="NNZ27" s="98"/>
      <c r="NOA27" s="98"/>
      <c r="NOB27" s="98"/>
      <c r="NOC27" s="98"/>
      <c r="NOD27" s="98"/>
      <c r="NOE27" s="98"/>
      <c r="NOF27" s="98"/>
      <c r="NOG27" s="98"/>
      <c r="NOH27" s="98"/>
      <c r="NOI27" s="98"/>
      <c r="NOJ27" s="98"/>
      <c r="NOK27" s="98"/>
      <c r="NOL27" s="98"/>
      <c r="NOM27" s="98"/>
      <c r="NON27" s="98"/>
      <c r="NOO27" s="98"/>
      <c r="NOP27" s="98"/>
      <c r="NOQ27" s="98"/>
      <c r="NOR27" s="98"/>
      <c r="NOS27" s="98"/>
      <c r="NOT27" s="98"/>
      <c r="NOU27" s="98"/>
      <c r="NOV27" s="98"/>
      <c r="NOW27" s="98"/>
      <c r="NOX27" s="98"/>
      <c r="NOY27" s="98"/>
      <c r="NOZ27" s="98"/>
      <c r="NPA27" s="98"/>
      <c r="NPB27" s="98"/>
      <c r="NPC27" s="98"/>
      <c r="NPD27" s="98"/>
      <c r="NPE27" s="98"/>
      <c r="NPF27" s="98"/>
      <c r="NPG27" s="98"/>
      <c r="NPH27" s="98"/>
      <c r="NPI27" s="98"/>
      <c r="NPJ27" s="98"/>
      <c r="NPK27" s="98"/>
      <c r="NPL27" s="98"/>
      <c r="NPM27" s="98"/>
      <c r="NPN27" s="98"/>
      <c r="NPO27" s="98"/>
      <c r="NPP27" s="98"/>
      <c r="NPQ27" s="98"/>
      <c r="NPR27" s="98"/>
      <c r="NPS27" s="98"/>
      <c r="NPT27" s="98"/>
      <c r="NPU27" s="98"/>
      <c r="NPV27" s="98"/>
      <c r="NPW27" s="98"/>
      <c r="NPX27" s="98"/>
      <c r="NPY27" s="98"/>
      <c r="NPZ27" s="98"/>
      <c r="NQA27" s="98"/>
      <c r="NQB27" s="98"/>
      <c r="NQC27" s="98"/>
      <c r="NQD27" s="98"/>
      <c r="NQE27" s="98"/>
      <c r="NQF27" s="98"/>
      <c r="NQG27" s="98"/>
      <c r="NQH27" s="98"/>
      <c r="NQI27" s="98"/>
      <c r="NQJ27" s="98"/>
      <c r="NQK27" s="98"/>
      <c r="NQL27" s="98"/>
      <c r="NQM27" s="98"/>
      <c r="NQN27" s="98"/>
      <c r="NQO27" s="98"/>
      <c r="NQP27" s="98"/>
      <c r="NQQ27" s="98"/>
      <c r="NQR27" s="98"/>
      <c r="NQS27" s="98"/>
      <c r="NQT27" s="98"/>
      <c r="NQU27" s="98"/>
      <c r="NQV27" s="98"/>
      <c r="NQW27" s="98"/>
      <c r="NQX27" s="98"/>
      <c r="NQY27" s="98"/>
      <c r="NQZ27" s="98"/>
      <c r="NRA27" s="98"/>
      <c r="NRB27" s="98"/>
      <c r="NRC27" s="98"/>
      <c r="NRD27" s="98"/>
      <c r="NRE27" s="98"/>
      <c r="NRF27" s="98"/>
      <c r="NRG27" s="98"/>
      <c r="NRH27" s="98"/>
      <c r="NRI27" s="98"/>
      <c r="NRJ27" s="98"/>
      <c r="NRK27" s="98"/>
      <c r="NRL27" s="98"/>
      <c r="NRM27" s="98"/>
      <c r="NRN27" s="98"/>
      <c r="NRO27" s="98"/>
      <c r="NRP27" s="98"/>
      <c r="NRQ27" s="98"/>
      <c r="NRR27" s="98"/>
      <c r="NRS27" s="98"/>
      <c r="NRT27" s="98"/>
      <c r="NRU27" s="98"/>
      <c r="NRV27" s="98"/>
      <c r="NRW27" s="98"/>
      <c r="NRX27" s="98"/>
      <c r="NRY27" s="98"/>
      <c r="NRZ27" s="98"/>
      <c r="NSA27" s="98"/>
      <c r="NSB27" s="98"/>
      <c r="NSC27" s="98"/>
      <c r="NSD27" s="98"/>
      <c r="NSE27" s="98"/>
      <c r="NSF27" s="98"/>
      <c r="NSG27" s="98"/>
      <c r="NSH27" s="98"/>
      <c r="NSI27" s="98"/>
      <c r="NSJ27" s="98"/>
      <c r="NSK27" s="98"/>
      <c r="NSL27" s="98"/>
      <c r="NSM27" s="98"/>
      <c r="NSN27" s="98"/>
      <c r="NSO27" s="98"/>
      <c r="NSP27" s="98"/>
      <c r="NSQ27" s="98"/>
      <c r="NSR27" s="98"/>
      <c r="NSS27" s="98"/>
      <c r="NST27" s="98"/>
      <c r="NSU27" s="98"/>
      <c r="NSV27" s="98"/>
      <c r="NSW27" s="98"/>
      <c r="NSX27" s="98"/>
      <c r="NSY27" s="98"/>
      <c r="NSZ27" s="98"/>
      <c r="NTA27" s="98"/>
      <c r="NTB27" s="98"/>
      <c r="NTC27" s="98"/>
      <c r="NTD27" s="98"/>
      <c r="NTE27" s="98"/>
      <c r="NTF27" s="98"/>
      <c r="NTG27" s="98"/>
      <c r="NTH27" s="98"/>
      <c r="NTI27" s="98"/>
      <c r="NTJ27" s="98"/>
      <c r="NTK27" s="98"/>
      <c r="NTL27" s="98"/>
      <c r="NTM27" s="98"/>
      <c r="NTN27" s="98"/>
      <c r="NTO27" s="98"/>
      <c r="NTP27" s="98"/>
      <c r="NTQ27" s="98"/>
      <c r="NTR27" s="98"/>
      <c r="NTS27" s="98"/>
      <c r="NTT27" s="98"/>
      <c r="NTU27" s="98"/>
      <c r="NTV27" s="98"/>
      <c r="NTW27" s="98"/>
      <c r="NTX27" s="98"/>
      <c r="NTY27" s="98"/>
      <c r="NTZ27" s="98"/>
      <c r="NUA27" s="98"/>
      <c r="NUB27" s="98"/>
      <c r="NUC27" s="98"/>
      <c r="NUD27" s="98"/>
      <c r="NUE27" s="98"/>
      <c r="NUF27" s="98"/>
      <c r="NUG27" s="98"/>
      <c r="NUH27" s="98"/>
      <c r="NUI27" s="98"/>
      <c r="NUJ27" s="98"/>
      <c r="NUK27" s="98"/>
      <c r="NUL27" s="98"/>
      <c r="NUM27" s="98"/>
      <c r="NUN27" s="98"/>
      <c r="NUO27" s="98"/>
      <c r="NUP27" s="98"/>
      <c r="NUQ27" s="98"/>
      <c r="NUR27" s="98"/>
      <c r="NUS27" s="98"/>
      <c r="NUT27" s="98"/>
      <c r="NUU27" s="98"/>
      <c r="NUV27" s="98"/>
      <c r="NUW27" s="98"/>
      <c r="NUX27" s="98"/>
      <c r="NUY27" s="98"/>
      <c r="NUZ27" s="98"/>
      <c r="NVA27" s="98"/>
      <c r="NVB27" s="98"/>
      <c r="NVC27" s="98"/>
      <c r="NVD27" s="98"/>
      <c r="NVE27" s="98"/>
      <c r="NVF27" s="98"/>
      <c r="NVG27" s="98"/>
      <c r="NVH27" s="98"/>
      <c r="NVI27" s="98"/>
      <c r="NVJ27" s="98"/>
      <c r="NVK27" s="98"/>
      <c r="NVL27" s="98"/>
      <c r="NVM27" s="98"/>
      <c r="NVN27" s="98"/>
      <c r="NVO27" s="98"/>
      <c r="NVP27" s="98"/>
      <c r="NVQ27" s="98"/>
      <c r="NVR27" s="98"/>
      <c r="NVS27" s="98"/>
      <c r="NVT27" s="98"/>
      <c r="NVU27" s="98"/>
      <c r="NVV27" s="98"/>
      <c r="NVW27" s="98"/>
      <c r="NVX27" s="98"/>
      <c r="NVY27" s="98"/>
      <c r="NVZ27" s="98"/>
      <c r="NWA27" s="98"/>
      <c r="NWB27" s="98"/>
      <c r="NWC27" s="98"/>
      <c r="NWD27" s="98"/>
      <c r="NWE27" s="98"/>
      <c r="NWF27" s="98"/>
      <c r="NWG27" s="98"/>
      <c r="NWH27" s="98"/>
      <c r="NWI27" s="98"/>
      <c r="NWJ27" s="98"/>
      <c r="NWK27" s="98"/>
      <c r="NWL27" s="98"/>
      <c r="NWM27" s="98"/>
      <c r="NWN27" s="98"/>
      <c r="NWO27" s="98"/>
      <c r="NWP27" s="98"/>
      <c r="NWQ27" s="98"/>
      <c r="NWR27" s="98"/>
      <c r="NWS27" s="98"/>
      <c r="NWT27" s="98"/>
      <c r="NWU27" s="98"/>
      <c r="NWV27" s="98"/>
      <c r="NWW27" s="98"/>
      <c r="NWX27" s="98"/>
      <c r="NWY27" s="98"/>
      <c r="NWZ27" s="98"/>
      <c r="NXA27" s="98"/>
      <c r="NXB27" s="98"/>
      <c r="NXC27" s="98"/>
      <c r="NXD27" s="98"/>
      <c r="NXE27" s="98"/>
      <c r="NXF27" s="98"/>
      <c r="NXG27" s="98"/>
      <c r="NXH27" s="98"/>
      <c r="NXI27" s="98"/>
      <c r="NXJ27" s="98"/>
      <c r="NXK27" s="98"/>
      <c r="NXL27" s="98"/>
      <c r="NXM27" s="98"/>
      <c r="NXN27" s="98"/>
      <c r="NXO27" s="98"/>
      <c r="NXP27" s="98"/>
      <c r="NXQ27" s="98"/>
      <c r="NXR27" s="98"/>
      <c r="NXS27" s="98"/>
      <c r="NXT27" s="98"/>
      <c r="NXU27" s="98"/>
      <c r="NXV27" s="98"/>
      <c r="NXW27" s="98"/>
      <c r="NXX27" s="98"/>
      <c r="NXY27" s="98"/>
      <c r="NXZ27" s="98"/>
      <c r="NYA27" s="98"/>
      <c r="NYB27" s="98"/>
      <c r="NYC27" s="98"/>
      <c r="NYD27" s="98"/>
      <c r="NYE27" s="98"/>
      <c r="NYF27" s="98"/>
      <c r="NYG27" s="98"/>
      <c r="NYH27" s="98"/>
      <c r="NYI27" s="98"/>
      <c r="NYJ27" s="98"/>
      <c r="NYK27" s="98"/>
      <c r="NYL27" s="98"/>
      <c r="NYM27" s="98"/>
      <c r="NYN27" s="98"/>
      <c r="NYO27" s="98"/>
      <c r="NYP27" s="98"/>
      <c r="NYQ27" s="98"/>
      <c r="NYR27" s="98"/>
      <c r="NYS27" s="98"/>
      <c r="NYT27" s="98"/>
      <c r="NYU27" s="98"/>
      <c r="NYV27" s="98"/>
      <c r="NYW27" s="98"/>
      <c r="NYX27" s="98"/>
      <c r="NYY27" s="98"/>
      <c r="NYZ27" s="98"/>
      <c r="NZA27" s="98"/>
      <c r="NZB27" s="98"/>
      <c r="NZC27" s="98"/>
      <c r="NZD27" s="98"/>
      <c r="NZE27" s="98"/>
      <c r="NZF27" s="98"/>
      <c r="NZG27" s="98"/>
      <c r="NZH27" s="98"/>
      <c r="NZI27" s="98"/>
      <c r="NZJ27" s="98"/>
      <c r="NZK27" s="98"/>
      <c r="NZL27" s="98"/>
      <c r="NZM27" s="98"/>
      <c r="NZN27" s="98"/>
      <c r="NZO27" s="98"/>
      <c r="NZP27" s="98"/>
      <c r="NZQ27" s="98"/>
      <c r="NZR27" s="98"/>
      <c r="NZS27" s="98"/>
      <c r="NZT27" s="98"/>
      <c r="NZU27" s="98"/>
      <c r="NZV27" s="98"/>
      <c r="NZW27" s="98"/>
      <c r="NZX27" s="98"/>
      <c r="NZY27" s="98"/>
      <c r="NZZ27" s="98"/>
      <c r="OAA27" s="98"/>
      <c r="OAB27" s="98"/>
      <c r="OAC27" s="98"/>
      <c r="OAD27" s="98"/>
      <c r="OAE27" s="98"/>
      <c r="OAF27" s="98"/>
      <c r="OAG27" s="98"/>
      <c r="OAH27" s="98"/>
      <c r="OAI27" s="98"/>
      <c r="OAJ27" s="98"/>
      <c r="OAK27" s="98"/>
      <c r="OAL27" s="98"/>
      <c r="OAM27" s="98"/>
      <c r="OAN27" s="98"/>
      <c r="OAO27" s="98"/>
      <c r="OAP27" s="98"/>
      <c r="OAQ27" s="98"/>
      <c r="OAR27" s="98"/>
      <c r="OAS27" s="98"/>
      <c r="OAT27" s="98"/>
      <c r="OAU27" s="98"/>
      <c r="OAV27" s="98"/>
      <c r="OAW27" s="98"/>
      <c r="OAX27" s="98"/>
      <c r="OAY27" s="98"/>
      <c r="OAZ27" s="98"/>
      <c r="OBA27" s="98"/>
      <c r="OBB27" s="98"/>
      <c r="OBC27" s="98"/>
      <c r="OBD27" s="98"/>
      <c r="OBE27" s="98"/>
      <c r="OBF27" s="98"/>
      <c r="OBG27" s="98"/>
      <c r="OBH27" s="98"/>
      <c r="OBI27" s="98"/>
      <c r="OBJ27" s="98"/>
      <c r="OBK27" s="98"/>
      <c r="OBL27" s="98"/>
      <c r="OBM27" s="98"/>
      <c r="OBN27" s="98"/>
      <c r="OBO27" s="98"/>
      <c r="OBP27" s="98"/>
      <c r="OBQ27" s="98"/>
      <c r="OBR27" s="98"/>
      <c r="OBS27" s="98"/>
      <c r="OBT27" s="98"/>
      <c r="OBU27" s="98"/>
      <c r="OBV27" s="98"/>
      <c r="OBW27" s="98"/>
      <c r="OBX27" s="98"/>
      <c r="OBY27" s="98"/>
      <c r="OBZ27" s="98"/>
      <c r="OCA27" s="98"/>
      <c r="OCB27" s="98"/>
      <c r="OCC27" s="98"/>
      <c r="OCD27" s="98"/>
      <c r="OCE27" s="98"/>
      <c r="OCF27" s="98"/>
      <c r="OCG27" s="98"/>
      <c r="OCH27" s="98"/>
      <c r="OCI27" s="98"/>
      <c r="OCJ27" s="98"/>
      <c r="OCK27" s="98"/>
      <c r="OCL27" s="98"/>
      <c r="OCM27" s="98"/>
      <c r="OCN27" s="98"/>
      <c r="OCO27" s="98"/>
      <c r="OCP27" s="98"/>
      <c r="OCQ27" s="98"/>
      <c r="OCR27" s="98"/>
      <c r="OCS27" s="98"/>
      <c r="OCT27" s="98"/>
      <c r="OCU27" s="98"/>
      <c r="OCV27" s="98"/>
      <c r="OCW27" s="98"/>
      <c r="OCX27" s="98"/>
      <c r="OCY27" s="98"/>
      <c r="OCZ27" s="98"/>
      <c r="ODA27" s="98"/>
      <c r="ODB27" s="98"/>
      <c r="ODC27" s="98"/>
      <c r="ODD27" s="98"/>
      <c r="ODE27" s="98"/>
      <c r="ODF27" s="98"/>
      <c r="ODG27" s="98"/>
      <c r="ODH27" s="98"/>
      <c r="ODI27" s="98"/>
      <c r="ODJ27" s="98"/>
      <c r="ODK27" s="98"/>
      <c r="ODL27" s="98"/>
      <c r="ODM27" s="98"/>
      <c r="ODN27" s="98"/>
      <c r="ODO27" s="98"/>
      <c r="ODP27" s="98"/>
      <c r="ODQ27" s="98"/>
      <c r="ODR27" s="98"/>
      <c r="ODS27" s="98"/>
      <c r="ODT27" s="98"/>
      <c r="ODU27" s="98"/>
      <c r="ODV27" s="98"/>
      <c r="ODW27" s="98"/>
      <c r="ODX27" s="98"/>
      <c r="ODY27" s="98"/>
      <c r="ODZ27" s="98"/>
      <c r="OEA27" s="98"/>
      <c r="OEB27" s="98"/>
      <c r="OEC27" s="98"/>
      <c r="OED27" s="98"/>
      <c r="OEE27" s="98"/>
      <c r="OEF27" s="98"/>
      <c r="OEG27" s="98"/>
      <c r="OEH27" s="98"/>
      <c r="OEI27" s="98"/>
      <c r="OEJ27" s="98"/>
      <c r="OEK27" s="98"/>
      <c r="OEL27" s="98"/>
      <c r="OEM27" s="98"/>
      <c r="OEN27" s="98"/>
      <c r="OEO27" s="98"/>
      <c r="OEP27" s="98"/>
      <c r="OEQ27" s="98"/>
      <c r="OER27" s="98"/>
      <c r="OES27" s="98"/>
      <c r="OET27" s="98"/>
      <c r="OEU27" s="98"/>
      <c r="OEV27" s="98"/>
      <c r="OEW27" s="98"/>
      <c r="OEX27" s="98"/>
      <c r="OEY27" s="98"/>
      <c r="OEZ27" s="98"/>
      <c r="OFA27" s="98"/>
      <c r="OFB27" s="98"/>
      <c r="OFC27" s="98"/>
      <c r="OFD27" s="98"/>
      <c r="OFE27" s="98"/>
      <c r="OFF27" s="98"/>
      <c r="OFG27" s="98"/>
      <c r="OFH27" s="98"/>
      <c r="OFI27" s="98"/>
      <c r="OFJ27" s="98"/>
      <c r="OFK27" s="98"/>
      <c r="OFL27" s="98"/>
      <c r="OFM27" s="98"/>
      <c r="OFN27" s="98"/>
      <c r="OFO27" s="98"/>
      <c r="OFP27" s="98"/>
      <c r="OFQ27" s="98"/>
      <c r="OFR27" s="98"/>
      <c r="OFS27" s="98"/>
      <c r="OFT27" s="98"/>
      <c r="OFU27" s="98"/>
      <c r="OFV27" s="98"/>
      <c r="OFW27" s="98"/>
      <c r="OFX27" s="98"/>
      <c r="OFY27" s="98"/>
      <c r="OFZ27" s="98"/>
      <c r="OGA27" s="98"/>
      <c r="OGB27" s="98"/>
      <c r="OGC27" s="98"/>
      <c r="OGD27" s="98"/>
      <c r="OGE27" s="98"/>
      <c r="OGF27" s="98"/>
      <c r="OGG27" s="98"/>
      <c r="OGH27" s="98"/>
      <c r="OGI27" s="98"/>
      <c r="OGJ27" s="98"/>
      <c r="OGK27" s="98"/>
      <c r="OGL27" s="98"/>
      <c r="OGM27" s="98"/>
      <c r="OGN27" s="98"/>
      <c r="OGO27" s="98"/>
      <c r="OGP27" s="98"/>
      <c r="OGQ27" s="98"/>
      <c r="OGR27" s="98"/>
      <c r="OGS27" s="98"/>
      <c r="OGT27" s="98"/>
      <c r="OGU27" s="98"/>
      <c r="OGV27" s="98"/>
      <c r="OGW27" s="98"/>
      <c r="OGX27" s="98"/>
      <c r="OGY27" s="98"/>
      <c r="OGZ27" s="98"/>
      <c r="OHA27" s="98"/>
      <c r="OHB27" s="98"/>
      <c r="OHC27" s="98"/>
      <c r="OHD27" s="98"/>
      <c r="OHE27" s="98"/>
      <c r="OHF27" s="98"/>
      <c r="OHG27" s="98"/>
      <c r="OHH27" s="98"/>
      <c r="OHI27" s="98"/>
      <c r="OHJ27" s="98"/>
      <c r="OHK27" s="98"/>
      <c r="OHL27" s="98"/>
      <c r="OHM27" s="98"/>
      <c r="OHN27" s="98"/>
      <c r="OHO27" s="98"/>
      <c r="OHP27" s="98"/>
      <c r="OHQ27" s="98"/>
      <c r="OHR27" s="98"/>
      <c r="OHS27" s="98"/>
      <c r="OHT27" s="98"/>
      <c r="OHU27" s="98"/>
      <c r="OHV27" s="98"/>
      <c r="OHW27" s="98"/>
      <c r="OHX27" s="98"/>
      <c r="OHY27" s="98"/>
      <c r="OHZ27" s="98"/>
      <c r="OIA27" s="98"/>
      <c r="OIB27" s="98"/>
      <c r="OIC27" s="98"/>
      <c r="OID27" s="98"/>
      <c r="OIE27" s="98"/>
      <c r="OIF27" s="98"/>
      <c r="OIG27" s="98"/>
      <c r="OIH27" s="98"/>
      <c r="OII27" s="98"/>
      <c r="OIJ27" s="98"/>
      <c r="OIK27" s="98"/>
      <c r="OIL27" s="98"/>
      <c r="OIM27" s="98"/>
      <c r="OIN27" s="98"/>
      <c r="OIO27" s="98"/>
      <c r="OIP27" s="98"/>
      <c r="OIQ27" s="98"/>
      <c r="OIR27" s="98"/>
      <c r="OIS27" s="98"/>
      <c r="OIT27" s="98"/>
      <c r="OIU27" s="98"/>
      <c r="OIV27" s="98"/>
      <c r="OIW27" s="98"/>
      <c r="OIX27" s="98"/>
      <c r="OIY27" s="98"/>
      <c r="OIZ27" s="98"/>
      <c r="OJA27" s="98"/>
      <c r="OJB27" s="98"/>
      <c r="OJC27" s="98"/>
      <c r="OJD27" s="98"/>
      <c r="OJE27" s="98"/>
      <c r="OJF27" s="98"/>
      <c r="OJG27" s="98"/>
      <c r="OJH27" s="98"/>
      <c r="OJI27" s="98"/>
      <c r="OJJ27" s="98"/>
      <c r="OJK27" s="98"/>
      <c r="OJL27" s="98"/>
      <c r="OJM27" s="98"/>
      <c r="OJN27" s="98"/>
      <c r="OJO27" s="98"/>
      <c r="OJP27" s="98"/>
      <c r="OJQ27" s="98"/>
      <c r="OJR27" s="98"/>
      <c r="OJS27" s="98"/>
      <c r="OJT27" s="98"/>
      <c r="OJU27" s="98"/>
      <c r="OJV27" s="98"/>
      <c r="OJW27" s="98"/>
      <c r="OJX27" s="98"/>
      <c r="OJY27" s="98"/>
      <c r="OJZ27" s="98"/>
      <c r="OKA27" s="98"/>
      <c r="OKB27" s="98"/>
      <c r="OKC27" s="98"/>
      <c r="OKD27" s="98"/>
      <c r="OKE27" s="98"/>
      <c r="OKF27" s="98"/>
      <c r="OKG27" s="98"/>
      <c r="OKH27" s="98"/>
      <c r="OKI27" s="98"/>
      <c r="OKJ27" s="98"/>
      <c r="OKK27" s="98"/>
      <c r="OKL27" s="98"/>
      <c r="OKM27" s="98"/>
      <c r="OKN27" s="98"/>
      <c r="OKO27" s="98"/>
      <c r="OKP27" s="98"/>
      <c r="OKQ27" s="98"/>
      <c r="OKR27" s="98"/>
      <c r="OKS27" s="98"/>
      <c r="OKT27" s="98"/>
      <c r="OKU27" s="98"/>
      <c r="OKV27" s="98"/>
      <c r="OKW27" s="98"/>
      <c r="OKX27" s="98"/>
      <c r="OKY27" s="98"/>
      <c r="OKZ27" s="98"/>
      <c r="OLA27" s="98"/>
      <c r="OLB27" s="98"/>
      <c r="OLC27" s="98"/>
      <c r="OLD27" s="98"/>
      <c r="OLE27" s="98"/>
      <c r="OLF27" s="98"/>
      <c r="OLG27" s="98"/>
      <c r="OLH27" s="98"/>
      <c r="OLI27" s="98"/>
      <c r="OLJ27" s="98"/>
      <c r="OLK27" s="98"/>
      <c r="OLL27" s="98"/>
      <c r="OLM27" s="98"/>
      <c r="OLN27" s="98"/>
      <c r="OLO27" s="98"/>
      <c r="OLP27" s="98"/>
      <c r="OLQ27" s="98"/>
      <c r="OLR27" s="98"/>
      <c r="OLS27" s="98"/>
      <c r="OLT27" s="98"/>
      <c r="OLU27" s="98"/>
      <c r="OLV27" s="98"/>
      <c r="OLW27" s="98"/>
      <c r="OLX27" s="98"/>
      <c r="OLY27" s="98"/>
      <c r="OLZ27" s="98"/>
      <c r="OMA27" s="98"/>
      <c r="OMB27" s="98"/>
      <c r="OMC27" s="98"/>
      <c r="OMD27" s="98"/>
      <c r="OME27" s="98"/>
      <c r="OMF27" s="98"/>
      <c r="OMG27" s="98"/>
      <c r="OMH27" s="98"/>
      <c r="OMI27" s="98"/>
      <c r="OMJ27" s="98"/>
      <c r="OMK27" s="98"/>
      <c r="OML27" s="98"/>
      <c r="OMM27" s="98"/>
      <c r="OMN27" s="98"/>
      <c r="OMO27" s="98"/>
      <c r="OMP27" s="98"/>
      <c r="OMQ27" s="98"/>
      <c r="OMR27" s="98"/>
      <c r="OMS27" s="98"/>
      <c r="OMT27" s="98"/>
      <c r="OMU27" s="98"/>
      <c r="OMV27" s="98"/>
      <c r="OMW27" s="98"/>
      <c r="OMX27" s="98"/>
      <c r="OMY27" s="98"/>
      <c r="OMZ27" s="98"/>
      <c r="ONA27" s="98"/>
      <c r="ONB27" s="98"/>
      <c r="ONC27" s="98"/>
      <c r="OND27" s="98"/>
      <c r="ONE27" s="98"/>
      <c r="ONF27" s="98"/>
      <c r="ONG27" s="98"/>
      <c r="ONH27" s="98"/>
      <c r="ONI27" s="98"/>
      <c r="ONJ27" s="98"/>
      <c r="ONK27" s="98"/>
      <c r="ONL27" s="98"/>
      <c r="ONM27" s="98"/>
      <c r="ONN27" s="98"/>
      <c r="ONO27" s="98"/>
      <c r="ONP27" s="98"/>
      <c r="ONQ27" s="98"/>
      <c r="ONR27" s="98"/>
      <c r="ONS27" s="98"/>
      <c r="ONT27" s="98"/>
      <c r="ONU27" s="98"/>
      <c r="ONV27" s="98"/>
      <c r="ONW27" s="98"/>
      <c r="ONX27" s="98"/>
      <c r="ONY27" s="98"/>
      <c r="ONZ27" s="98"/>
      <c r="OOA27" s="98"/>
      <c r="OOB27" s="98"/>
      <c r="OOC27" s="98"/>
      <c r="OOD27" s="98"/>
      <c r="OOE27" s="98"/>
      <c r="OOF27" s="98"/>
      <c r="OOG27" s="98"/>
      <c r="OOH27" s="98"/>
      <c r="OOI27" s="98"/>
      <c r="OOJ27" s="98"/>
      <c r="OOK27" s="98"/>
      <c r="OOL27" s="98"/>
      <c r="OOM27" s="98"/>
      <c r="OON27" s="98"/>
      <c r="OOO27" s="98"/>
      <c r="OOP27" s="98"/>
      <c r="OOQ27" s="98"/>
      <c r="OOR27" s="98"/>
      <c r="OOS27" s="98"/>
      <c r="OOT27" s="98"/>
      <c r="OOU27" s="98"/>
      <c r="OOV27" s="98"/>
      <c r="OOW27" s="98"/>
      <c r="OOX27" s="98"/>
      <c r="OOY27" s="98"/>
      <c r="OOZ27" s="98"/>
      <c r="OPA27" s="98"/>
      <c r="OPB27" s="98"/>
      <c r="OPC27" s="98"/>
      <c r="OPD27" s="98"/>
      <c r="OPE27" s="98"/>
      <c r="OPF27" s="98"/>
      <c r="OPG27" s="98"/>
      <c r="OPH27" s="98"/>
      <c r="OPI27" s="98"/>
      <c r="OPJ27" s="98"/>
      <c r="OPK27" s="98"/>
      <c r="OPL27" s="98"/>
      <c r="OPM27" s="98"/>
      <c r="OPN27" s="98"/>
      <c r="OPO27" s="98"/>
      <c r="OPP27" s="98"/>
      <c r="OPQ27" s="98"/>
      <c r="OPR27" s="98"/>
      <c r="OPS27" s="98"/>
      <c r="OPT27" s="98"/>
      <c r="OPU27" s="98"/>
      <c r="OPV27" s="98"/>
      <c r="OPW27" s="98"/>
      <c r="OPX27" s="98"/>
      <c r="OPY27" s="98"/>
      <c r="OPZ27" s="98"/>
      <c r="OQA27" s="98"/>
      <c r="OQB27" s="98"/>
      <c r="OQC27" s="98"/>
      <c r="OQD27" s="98"/>
      <c r="OQE27" s="98"/>
      <c r="OQF27" s="98"/>
      <c r="OQG27" s="98"/>
      <c r="OQH27" s="98"/>
      <c r="OQI27" s="98"/>
      <c r="OQJ27" s="98"/>
      <c r="OQK27" s="98"/>
      <c r="OQL27" s="98"/>
      <c r="OQM27" s="98"/>
      <c r="OQN27" s="98"/>
      <c r="OQO27" s="98"/>
      <c r="OQP27" s="98"/>
      <c r="OQQ27" s="98"/>
      <c r="OQR27" s="98"/>
      <c r="OQS27" s="98"/>
      <c r="OQT27" s="98"/>
      <c r="OQU27" s="98"/>
      <c r="OQV27" s="98"/>
      <c r="OQW27" s="98"/>
      <c r="OQX27" s="98"/>
      <c r="OQY27" s="98"/>
      <c r="OQZ27" s="98"/>
      <c r="ORA27" s="98"/>
      <c r="ORB27" s="98"/>
      <c r="ORC27" s="98"/>
      <c r="ORD27" s="98"/>
      <c r="ORE27" s="98"/>
      <c r="ORF27" s="98"/>
      <c r="ORG27" s="98"/>
      <c r="ORH27" s="98"/>
      <c r="ORI27" s="98"/>
      <c r="ORJ27" s="98"/>
      <c r="ORK27" s="98"/>
      <c r="ORL27" s="98"/>
      <c r="ORM27" s="98"/>
      <c r="ORN27" s="98"/>
      <c r="ORO27" s="98"/>
      <c r="ORP27" s="98"/>
      <c r="ORQ27" s="98"/>
      <c r="ORR27" s="98"/>
      <c r="ORS27" s="98"/>
      <c r="ORT27" s="98"/>
      <c r="ORU27" s="98"/>
      <c r="ORV27" s="98"/>
      <c r="ORW27" s="98"/>
      <c r="ORX27" s="98"/>
      <c r="ORY27" s="98"/>
      <c r="ORZ27" s="98"/>
      <c r="OSA27" s="98"/>
      <c r="OSB27" s="98"/>
      <c r="OSC27" s="98"/>
      <c r="OSD27" s="98"/>
      <c r="OSE27" s="98"/>
      <c r="OSF27" s="98"/>
      <c r="OSG27" s="98"/>
      <c r="OSH27" s="98"/>
      <c r="OSI27" s="98"/>
      <c r="OSJ27" s="98"/>
      <c r="OSK27" s="98"/>
      <c r="OSL27" s="98"/>
      <c r="OSM27" s="98"/>
      <c r="OSN27" s="98"/>
      <c r="OSO27" s="98"/>
      <c r="OSP27" s="98"/>
      <c r="OSQ27" s="98"/>
      <c r="OSR27" s="98"/>
      <c r="OSS27" s="98"/>
      <c r="OST27" s="98"/>
      <c r="OSU27" s="98"/>
      <c r="OSV27" s="98"/>
      <c r="OSW27" s="98"/>
      <c r="OSX27" s="98"/>
      <c r="OSY27" s="98"/>
      <c r="OSZ27" s="98"/>
      <c r="OTA27" s="98"/>
      <c r="OTB27" s="98"/>
      <c r="OTC27" s="98"/>
      <c r="OTD27" s="98"/>
      <c r="OTE27" s="98"/>
      <c r="OTF27" s="98"/>
      <c r="OTG27" s="98"/>
      <c r="OTH27" s="98"/>
      <c r="OTI27" s="98"/>
      <c r="OTJ27" s="98"/>
      <c r="OTK27" s="98"/>
      <c r="OTL27" s="98"/>
      <c r="OTM27" s="98"/>
      <c r="OTN27" s="98"/>
      <c r="OTO27" s="98"/>
      <c r="OTP27" s="98"/>
      <c r="OTQ27" s="98"/>
      <c r="OTR27" s="98"/>
      <c r="OTS27" s="98"/>
      <c r="OTT27" s="98"/>
      <c r="OTU27" s="98"/>
      <c r="OTV27" s="98"/>
      <c r="OTW27" s="98"/>
      <c r="OTX27" s="98"/>
      <c r="OTY27" s="98"/>
      <c r="OTZ27" s="98"/>
      <c r="OUA27" s="98"/>
      <c r="OUB27" s="98"/>
      <c r="OUC27" s="98"/>
      <c r="OUD27" s="98"/>
      <c r="OUE27" s="98"/>
      <c r="OUF27" s="98"/>
      <c r="OUG27" s="98"/>
      <c r="OUH27" s="98"/>
      <c r="OUI27" s="98"/>
      <c r="OUJ27" s="98"/>
      <c r="OUK27" s="98"/>
      <c r="OUL27" s="98"/>
      <c r="OUM27" s="98"/>
      <c r="OUN27" s="98"/>
      <c r="OUO27" s="98"/>
      <c r="OUP27" s="98"/>
      <c r="OUQ27" s="98"/>
      <c r="OUR27" s="98"/>
      <c r="OUS27" s="98"/>
      <c r="OUT27" s="98"/>
      <c r="OUU27" s="98"/>
      <c r="OUV27" s="98"/>
      <c r="OUW27" s="98"/>
      <c r="OUX27" s="98"/>
      <c r="OUY27" s="98"/>
      <c r="OUZ27" s="98"/>
      <c r="OVA27" s="98"/>
      <c r="OVB27" s="98"/>
      <c r="OVC27" s="98"/>
      <c r="OVD27" s="98"/>
      <c r="OVE27" s="98"/>
      <c r="OVF27" s="98"/>
      <c r="OVG27" s="98"/>
      <c r="OVH27" s="98"/>
      <c r="OVI27" s="98"/>
      <c r="OVJ27" s="98"/>
      <c r="OVK27" s="98"/>
      <c r="OVL27" s="98"/>
      <c r="OVM27" s="98"/>
      <c r="OVN27" s="98"/>
      <c r="OVO27" s="98"/>
      <c r="OVP27" s="98"/>
      <c r="OVQ27" s="98"/>
      <c r="OVR27" s="98"/>
      <c r="OVS27" s="98"/>
      <c r="OVT27" s="98"/>
      <c r="OVU27" s="98"/>
      <c r="OVV27" s="98"/>
      <c r="OVW27" s="98"/>
      <c r="OVX27" s="98"/>
      <c r="OVY27" s="98"/>
      <c r="OVZ27" s="98"/>
      <c r="OWA27" s="98"/>
      <c r="OWB27" s="98"/>
      <c r="OWC27" s="98"/>
      <c r="OWD27" s="98"/>
      <c r="OWE27" s="98"/>
      <c r="OWF27" s="98"/>
      <c r="OWG27" s="98"/>
      <c r="OWH27" s="98"/>
      <c r="OWI27" s="98"/>
      <c r="OWJ27" s="98"/>
      <c r="OWK27" s="98"/>
      <c r="OWL27" s="98"/>
      <c r="OWM27" s="98"/>
      <c r="OWN27" s="98"/>
      <c r="OWO27" s="98"/>
      <c r="OWP27" s="98"/>
      <c r="OWQ27" s="98"/>
      <c r="OWR27" s="98"/>
      <c r="OWS27" s="98"/>
      <c r="OWT27" s="98"/>
      <c r="OWU27" s="98"/>
      <c r="OWV27" s="98"/>
      <c r="OWW27" s="98"/>
      <c r="OWX27" s="98"/>
      <c r="OWY27" s="98"/>
      <c r="OWZ27" s="98"/>
      <c r="OXA27" s="98"/>
      <c r="OXB27" s="98"/>
      <c r="OXC27" s="98"/>
      <c r="OXD27" s="98"/>
      <c r="OXE27" s="98"/>
      <c r="OXF27" s="98"/>
      <c r="OXG27" s="98"/>
      <c r="OXH27" s="98"/>
      <c r="OXI27" s="98"/>
      <c r="OXJ27" s="98"/>
      <c r="OXK27" s="98"/>
      <c r="OXL27" s="98"/>
      <c r="OXM27" s="98"/>
      <c r="OXN27" s="98"/>
      <c r="OXO27" s="98"/>
      <c r="OXP27" s="98"/>
      <c r="OXQ27" s="98"/>
      <c r="OXR27" s="98"/>
      <c r="OXS27" s="98"/>
      <c r="OXT27" s="98"/>
      <c r="OXU27" s="98"/>
      <c r="OXV27" s="98"/>
      <c r="OXW27" s="98"/>
      <c r="OXX27" s="98"/>
      <c r="OXY27" s="98"/>
      <c r="OXZ27" s="98"/>
      <c r="OYA27" s="98"/>
      <c r="OYB27" s="98"/>
      <c r="OYC27" s="98"/>
      <c r="OYD27" s="98"/>
      <c r="OYE27" s="98"/>
      <c r="OYF27" s="98"/>
      <c r="OYG27" s="98"/>
      <c r="OYH27" s="98"/>
      <c r="OYI27" s="98"/>
      <c r="OYJ27" s="98"/>
      <c r="OYK27" s="98"/>
      <c r="OYL27" s="98"/>
      <c r="OYM27" s="98"/>
      <c r="OYN27" s="98"/>
      <c r="OYO27" s="98"/>
      <c r="OYP27" s="98"/>
      <c r="OYQ27" s="98"/>
      <c r="OYR27" s="98"/>
      <c r="OYS27" s="98"/>
      <c r="OYT27" s="98"/>
      <c r="OYU27" s="98"/>
      <c r="OYV27" s="98"/>
      <c r="OYW27" s="98"/>
      <c r="OYX27" s="98"/>
      <c r="OYY27" s="98"/>
      <c r="OYZ27" s="98"/>
      <c r="OZA27" s="98"/>
      <c r="OZB27" s="98"/>
      <c r="OZC27" s="98"/>
      <c r="OZD27" s="98"/>
      <c r="OZE27" s="98"/>
      <c r="OZF27" s="98"/>
      <c r="OZG27" s="98"/>
      <c r="OZH27" s="98"/>
      <c r="OZI27" s="98"/>
      <c r="OZJ27" s="98"/>
      <c r="OZK27" s="98"/>
      <c r="OZL27" s="98"/>
      <c r="OZM27" s="98"/>
      <c r="OZN27" s="98"/>
      <c r="OZO27" s="98"/>
      <c r="OZP27" s="98"/>
      <c r="OZQ27" s="98"/>
      <c r="OZR27" s="98"/>
      <c r="OZS27" s="98"/>
      <c r="OZT27" s="98"/>
      <c r="OZU27" s="98"/>
      <c r="OZV27" s="98"/>
      <c r="OZW27" s="98"/>
      <c r="OZX27" s="98"/>
      <c r="OZY27" s="98"/>
      <c r="OZZ27" s="98"/>
      <c r="PAA27" s="98"/>
      <c r="PAB27" s="98"/>
      <c r="PAC27" s="98"/>
      <c r="PAD27" s="98"/>
      <c r="PAE27" s="98"/>
      <c r="PAF27" s="98"/>
      <c r="PAG27" s="98"/>
      <c r="PAH27" s="98"/>
      <c r="PAI27" s="98"/>
      <c r="PAJ27" s="98"/>
      <c r="PAK27" s="98"/>
      <c r="PAL27" s="98"/>
      <c r="PAM27" s="98"/>
      <c r="PAN27" s="98"/>
      <c r="PAO27" s="98"/>
      <c r="PAP27" s="98"/>
      <c r="PAQ27" s="98"/>
      <c r="PAR27" s="98"/>
      <c r="PAS27" s="98"/>
      <c r="PAT27" s="98"/>
      <c r="PAU27" s="98"/>
      <c r="PAV27" s="98"/>
      <c r="PAW27" s="98"/>
      <c r="PAX27" s="98"/>
      <c r="PAY27" s="98"/>
      <c r="PAZ27" s="98"/>
      <c r="PBA27" s="98"/>
      <c r="PBB27" s="98"/>
      <c r="PBC27" s="98"/>
      <c r="PBD27" s="98"/>
      <c r="PBE27" s="98"/>
      <c r="PBF27" s="98"/>
      <c r="PBG27" s="98"/>
      <c r="PBH27" s="98"/>
      <c r="PBI27" s="98"/>
      <c r="PBJ27" s="98"/>
      <c r="PBK27" s="98"/>
      <c r="PBL27" s="98"/>
      <c r="PBM27" s="98"/>
      <c r="PBN27" s="98"/>
      <c r="PBO27" s="98"/>
      <c r="PBP27" s="98"/>
      <c r="PBQ27" s="98"/>
      <c r="PBR27" s="98"/>
      <c r="PBS27" s="98"/>
      <c r="PBT27" s="98"/>
      <c r="PBU27" s="98"/>
      <c r="PBV27" s="98"/>
      <c r="PBW27" s="98"/>
      <c r="PBX27" s="98"/>
      <c r="PBY27" s="98"/>
      <c r="PBZ27" s="98"/>
      <c r="PCA27" s="98"/>
      <c r="PCB27" s="98"/>
      <c r="PCC27" s="98"/>
      <c r="PCD27" s="98"/>
      <c r="PCE27" s="98"/>
      <c r="PCF27" s="98"/>
      <c r="PCG27" s="98"/>
      <c r="PCH27" s="98"/>
      <c r="PCI27" s="98"/>
      <c r="PCJ27" s="98"/>
      <c r="PCK27" s="98"/>
      <c r="PCL27" s="98"/>
      <c r="PCM27" s="98"/>
      <c r="PCN27" s="98"/>
      <c r="PCO27" s="98"/>
      <c r="PCP27" s="98"/>
      <c r="PCQ27" s="98"/>
      <c r="PCR27" s="98"/>
      <c r="PCS27" s="98"/>
      <c r="PCT27" s="98"/>
      <c r="PCU27" s="98"/>
      <c r="PCV27" s="98"/>
      <c r="PCW27" s="98"/>
      <c r="PCX27" s="98"/>
      <c r="PCY27" s="98"/>
      <c r="PCZ27" s="98"/>
      <c r="PDA27" s="98"/>
      <c r="PDB27" s="98"/>
      <c r="PDC27" s="98"/>
      <c r="PDD27" s="98"/>
      <c r="PDE27" s="98"/>
      <c r="PDF27" s="98"/>
      <c r="PDG27" s="98"/>
      <c r="PDH27" s="98"/>
      <c r="PDI27" s="98"/>
      <c r="PDJ27" s="98"/>
      <c r="PDK27" s="98"/>
      <c r="PDL27" s="98"/>
      <c r="PDM27" s="98"/>
      <c r="PDN27" s="98"/>
      <c r="PDO27" s="98"/>
      <c r="PDP27" s="98"/>
      <c r="PDQ27" s="98"/>
      <c r="PDR27" s="98"/>
      <c r="PDS27" s="98"/>
      <c r="PDT27" s="98"/>
      <c r="PDU27" s="98"/>
      <c r="PDV27" s="98"/>
      <c r="PDW27" s="98"/>
      <c r="PDX27" s="98"/>
      <c r="PDY27" s="98"/>
      <c r="PDZ27" s="98"/>
      <c r="PEA27" s="98"/>
      <c r="PEB27" s="98"/>
      <c r="PEC27" s="98"/>
      <c r="PED27" s="98"/>
      <c r="PEE27" s="98"/>
      <c r="PEF27" s="98"/>
      <c r="PEG27" s="98"/>
      <c r="PEH27" s="98"/>
      <c r="PEI27" s="98"/>
      <c r="PEJ27" s="98"/>
      <c r="PEK27" s="98"/>
      <c r="PEL27" s="98"/>
      <c r="PEM27" s="98"/>
      <c r="PEN27" s="98"/>
      <c r="PEO27" s="98"/>
      <c r="PEP27" s="98"/>
      <c r="PEQ27" s="98"/>
      <c r="PER27" s="98"/>
      <c r="PES27" s="98"/>
      <c r="PET27" s="98"/>
      <c r="PEU27" s="98"/>
      <c r="PEV27" s="98"/>
      <c r="PEW27" s="98"/>
      <c r="PEX27" s="98"/>
      <c r="PEY27" s="98"/>
      <c r="PEZ27" s="98"/>
      <c r="PFA27" s="98"/>
      <c r="PFB27" s="98"/>
      <c r="PFC27" s="98"/>
      <c r="PFD27" s="98"/>
      <c r="PFE27" s="98"/>
      <c r="PFF27" s="98"/>
      <c r="PFG27" s="98"/>
      <c r="PFH27" s="98"/>
      <c r="PFI27" s="98"/>
      <c r="PFJ27" s="98"/>
      <c r="PFK27" s="98"/>
      <c r="PFL27" s="98"/>
      <c r="PFM27" s="98"/>
      <c r="PFN27" s="98"/>
      <c r="PFO27" s="98"/>
      <c r="PFP27" s="98"/>
      <c r="PFQ27" s="98"/>
      <c r="PFR27" s="98"/>
      <c r="PFS27" s="98"/>
      <c r="PFT27" s="98"/>
      <c r="PFU27" s="98"/>
      <c r="PFV27" s="98"/>
      <c r="PFW27" s="98"/>
      <c r="PFX27" s="98"/>
      <c r="PFY27" s="98"/>
      <c r="PFZ27" s="98"/>
      <c r="PGA27" s="98"/>
      <c r="PGB27" s="98"/>
      <c r="PGC27" s="98"/>
      <c r="PGD27" s="98"/>
      <c r="PGE27" s="98"/>
      <c r="PGF27" s="98"/>
      <c r="PGG27" s="98"/>
      <c r="PGH27" s="98"/>
      <c r="PGI27" s="98"/>
      <c r="PGJ27" s="98"/>
      <c r="PGK27" s="98"/>
      <c r="PGL27" s="98"/>
      <c r="PGM27" s="98"/>
      <c r="PGN27" s="98"/>
      <c r="PGO27" s="98"/>
      <c r="PGP27" s="98"/>
      <c r="PGQ27" s="98"/>
      <c r="PGR27" s="98"/>
      <c r="PGS27" s="98"/>
      <c r="PGT27" s="98"/>
      <c r="PGU27" s="98"/>
      <c r="PGV27" s="98"/>
      <c r="PGW27" s="98"/>
      <c r="PGX27" s="98"/>
      <c r="PGY27" s="98"/>
      <c r="PGZ27" s="98"/>
      <c r="PHA27" s="98"/>
      <c r="PHB27" s="98"/>
      <c r="PHC27" s="98"/>
      <c r="PHD27" s="98"/>
      <c r="PHE27" s="98"/>
      <c r="PHF27" s="98"/>
      <c r="PHG27" s="98"/>
      <c r="PHH27" s="98"/>
      <c r="PHI27" s="98"/>
      <c r="PHJ27" s="98"/>
      <c r="PHK27" s="98"/>
      <c r="PHL27" s="98"/>
      <c r="PHM27" s="98"/>
      <c r="PHN27" s="98"/>
      <c r="PHO27" s="98"/>
      <c r="PHP27" s="98"/>
      <c r="PHQ27" s="98"/>
      <c r="PHR27" s="98"/>
      <c r="PHS27" s="98"/>
      <c r="PHT27" s="98"/>
      <c r="PHU27" s="98"/>
      <c r="PHV27" s="98"/>
      <c r="PHW27" s="98"/>
      <c r="PHX27" s="98"/>
      <c r="PHY27" s="98"/>
      <c r="PHZ27" s="98"/>
      <c r="PIA27" s="98"/>
      <c r="PIB27" s="98"/>
      <c r="PIC27" s="98"/>
      <c r="PID27" s="98"/>
      <c r="PIE27" s="98"/>
      <c r="PIF27" s="98"/>
      <c r="PIG27" s="98"/>
      <c r="PIH27" s="98"/>
      <c r="PII27" s="98"/>
      <c r="PIJ27" s="98"/>
      <c r="PIK27" s="98"/>
      <c r="PIL27" s="98"/>
      <c r="PIM27" s="98"/>
      <c r="PIN27" s="98"/>
      <c r="PIO27" s="98"/>
      <c r="PIP27" s="98"/>
      <c r="PIQ27" s="98"/>
      <c r="PIR27" s="98"/>
      <c r="PIS27" s="98"/>
      <c r="PIT27" s="98"/>
      <c r="PIU27" s="98"/>
      <c r="PIV27" s="98"/>
      <c r="PIW27" s="98"/>
      <c r="PIX27" s="98"/>
      <c r="PIY27" s="98"/>
      <c r="PIZ27" s="98"/>
      <c r="PJA27" s="98"/>
      <c r="PJB27" s="98"/>
      <c r="PJC27" s="98"/>
      <c r="PJD27" s="98"/>
      <c r="PJE27" s="98"/>
      <c r="PJF27" s="98"/>
      <c r="PJG27" s="98"/>
      <c r="PJH27" s="98"/>
      <c r="PJI27" s="98"/>
      <c r="PJJ27" s="98"/>
      <c r="PJK27" s="98"/>
      <c r="PJL27" s="98"/>
      <c r="PJM27" s="98"/>
      <c r="PJN27" s="98"/>
      <c r="PJO27" s="98"/>
      <c r="PJP27" s="98"/>
      <c r="PJQ27" s="98"/>
      <c r="PJR27" s="98"/>
      <c r="PJS27" s="98"/>
      <c r="PJT27" s="98"/>
      <c r="PJU27" s="98"/>
      <c r="PJV27" s="98"/>
      <c r="PJW27" s="98"/>
      <c r="PJX27" s="98"/>
      <c r="PJY27" s="98"/>
      <c r="PJZ27" s="98"/>
      <c r="PKA27" s="98"/>
      <c r="PKB27" s="98"/>
      <c r="PKC27" s="98"/>
      <c r="PKD27" s="98"/>
      <c r="PKE27" s="98"/>
      <c r="PKF27" s="98"/>
      <c r="PKG27" s="98"/>
      <c r="PKH27" s="98"/>
      <c r="PKI27" s="98"/>
      <c r="PKJ27" s="98"/>
      <c r="PKK27" s="98"/>
      <c r="PKL27" s="98"/>
      <c r="PKM27" s="98"/>
      <c r="PKN27" s="98"/>
      <c r="PKO27" s="98"/>
      <c r="PKP27" s="98"/>
      <c r="PKQ27" s="98"/>
      <c r="PKR27" s="98"/>
      <c r="PKS27" s="98"/>
      <c r="PKT27" s="98"/>
      <c r="PKU27" s="98"/>
      <c r="PKV27" s="98"/>
      <c r="PKW27" s="98"/>
      <c r="PKX27" s="98"/>
      <c r="PKY27" s="98"/>
      <c r="PKZ27" s="98"/>
      <c r="PLA27" s="98"/>
      <c r="PLB27" s="98"/>
      <c r="PLC27" s="98"/>
      <c r="PLD27" s="98"/>
      <c r="PLE27" s="98"/>
      <c r="PLF27" s="98"/>
      <c r="PLG27" s="98"/>
      <c r="PLH27" s="98"/>
      <c r="PLI27" s="98"/>
      <c r="PLJ27" s="98"/>
      <c r="PLK27" s="98"/>
      <c r="PLL27" s="98"/>
      <c r="PLM27" s="98"/>
      <c r="PLN27" s="98"/>
      <c r="PLO27" s="98"/>
      <c r="PLP27" s="98"/>
      <c r="PLQ27" s="98"/>
      <c r="PLR27" s="98"/>
      <c r="PLS27" s="98"/>
      <c r="PLT27" s="98"/>
      <c r="PLU27" s="98"/>
      <c r="PLV27" s="98"/>
      <c r="PLW27" s="98"/>
      <c r="PLX27" s="98"/>
      <c r="PLY27" s="98"/>
      <c r="PLZ27" s="98"/>
      <c r="PMA27" s="98"/>
      <c r="PMB27" s="98"/>
      <c r="PMC27" s="98"/>
      <c r="PMD27" s="98"/>
      <c r="PME27" s="98"/>
      <c r="PMF27" s="98"/>
      <c r="PMG27" s="98"/>
      <c r="PMH27" s="98"/>
      <c r="PMI27" s="98"/>
      <c r="PMJ27" s="98"/>
      <c r="PMK27" s="98"/>
      <c r="PML27" s="98"/>
      <c r="PMM27" s="98"/>
      <c r="PMN27" s="98"/>
      <c r="PMO27" s="98"/>
      <c r="PMP27" s="98"/>
      <c r="PMQ27" s="98"/>
      <c r="PMR27" s="98"/>
      <c r="PMS27" s="98"/>
      <c r="PMT27" s="98"/>
      <c r="PMU27" s="98"/>
      <c r="PMV27" s="98"/>
      <c r="PMW27" s="98"/>
      <c r="PMX27" s="98"/>
      <c r="PMY27" s="98"/>
      <c r="PMZ27" s="98"/>
      <c r="PNA27" s="98"/>
      <c r="PNB27" s="98"/>
      <c r="PNC27" s="98"/>
      <c r="PND27" s="98"/>
      <c r="PNE27" s="98"/>
      <c r="PNF27" s="98"/>
      <c r="PNG27" s="98"/>
      <c r="PNH27" s="98"/>
      <c r="PNI27" s="98"/>
      <c r="PNJ27" s="98"/>
      <c r="PNK27" s="98"/>
      <c r="PNL27" s="98"/>
      <c r="PNM27" s="98"/>
      <c r="PNN27" s="98"/>
      <c r="PNO27" s="98"/>
      <c r="PNP27" s="98"/>
      <c r="PNQ27" s="98"/>
      <c r="PNR27" s="98"/>
      <c r="PNS27" s="98"/>
      <c r="PNT27" s="98"/>
      <c r="PNU27" s="98"/>
      <c r="PNV27" s="98"/>
      <c r="PNW27" s="98"/>
      <c r="PNX27" s="98"/>
      <c r="PNY27" s="98"/>
      <c r="PNZ27" s="98"/>
      <c r="POA27" s="98"/>
      <c r="POB27" s="98"/>
      <c r="POC27" s="98"/>
      <c r="POD27" s="98"/>
      <c r="POE27" s="98"/>
      <c r="POF27" s="98"/>
      <c r="POG27" s="98"/>
      <c r="POH27" s="98"/>
      <c r="POI27" s="98"/>
      <c r="POJ27" s="98"/>
      <c r="POK27" s="98"/>
      <c r="POL27" s="98"/>
      <c r="POM27" s="98"/>
      <c r="PON27" s="98"/>
      <c r="POO27" s="98"/>
      <c r="POP27" s="98"/>
      <c r="POQ27" s="98"/>
      <c r="POR27" s="98"/>
      <c r="POS27" s="98"/>
      <c r="POT27" s="98"/>
      <c r="POU27" s="98"/>
      <c r="POV27" s="98"/>
      <c r="POW27" s="98"/>
      <c r="POX27" s="98"/>
      <c r="POY27" s="98"/>
      <c r="POZ27" s="98"/>
      <c r="PPA27" s="98"/>
      <c r="PPB27" s="98"/>
      <c r="PPC27" s="98"/>
      <c r="PPD27" s="98"/>
      <c r="PPE27" s="98"/>
      <c r="PPF27" s="98"/>
      <c r="PPG27" s="98"/>
      <c r="PPH27" s="98"/>
      <c r="PPI27" s="98"/>
      <c r="PPJ27" s="98"/>
      <c r="PPK27" s="98"/>
      <c r="PPL27" s="98"/>
      <c r="PPM27" s="98"/>
      <c r="PPN27" s="98"/>
      <c r="PPO27" s="98"/>
      <c r="PPP27" s="98"/>
      <c r="PPQ27" s="98"/>
      <c r="PPR27" s="98"/>
      <c r="PPS27" s="98"/>
      <c r="PPT27" s="98"/>
      <c r="PPU27" s="98"/>
      <c r="PPV27" s="98"/>
      <c r="PPW27" s="98"/>
      <c r="PPX27" s="98"/>
      <c r="PPY27" s="98"/>
      <c r="PPZ27" s="98"/>
      <c r="PQA27" s="98"/>
      <c r="PQB27" s="98"/>
      <c r="PQC27" s="98"/>
      <c r="PQD27" s="98"/>
      <c r="PQE27" s="98"/>
      <c r="PQF27" s="98"/>
      <c r="PQG27" s="98"/>
      <c r="PQH27" s="98"/>
      <c r="PQI27" s="98"/>
      <c r="PQJ27" s="98"/>
      <c r="PQK27" s="98"/>
      <c r="PQL27" s="98"/>
      <c r="PQM27" s="98"/>
      <c r="PQN27" s="98"/>
      <c r="PQO27" s="98"/>
      <c r="PQP27" s="98"/>
      <c r="PQQ27" s="98"/>
      <c r="PQR27" s="98"/>
      <c r="PQS27" s="98"/>
      <c r="PQT27" s="98"/>
      <c r="PQU27" s="98"/>
      <c r="PQV27" s="98"/>
      <c r="PQW27" s="98"/>
      <c r="PQX27" s="98"/>
      <c r="PQY27" s="98"/>
      <c r="PQZ27" s="98"/>
      <c r="PRA27" s="98"/>
      <c r="PRB27" s="98"/>
      <c r="PRC27" s="98"/>
      <c r="PRD27" s="98"/>
      <c r="PRE27" s="98"/>
      <c r="PRF27" s="98"/>
      <c r="PRG27" s="98"/>
      <c r="PRH27" s="98"/>
      <c r="PRI27" s="98"/>
      <c r="PRJ27" s="98"/>
      <c r="PRK27" s="98"/>
      <c r="PRL27" s="98"/>
      <c r="PRM27" s="98"/>
      <c r="PRN27" s="98"/>
      <c r="PRO27" s="98"/>
      <c r="PRP27" s="98"/>
      <c r="PRQ27" s="98"/>
      <c r="PRR27" s="98"/>
      <c r="PRS27" s="98"/>
      <c r="PRT27" s="98"/>
      <c r="PRU27" s="98"/>
      <c r="PRV27" s="98"/>
      <c r="PRW27" s="98"/>
      <c r="PRX27" s="98"/>
      <c r="PRY27" s="98"/>
      <c r="PRZ27" s="98"/>
      <c r="PSA27" s="98"/>
      <c r="PSB27" s="98"/>
      <c r="PSC27" s="98"/>
      <c r="PSD27" s="98"/>
      <c r="PSE27" s="98"/>
      <c r="PSF27" s="98"/>
      <c r="PSG27" s="98"/>
      <c r="PSH27" s="98"/>
      <c r="PSI27" s="98"/>
      <c r="PSJ27" s="98"/>
      <c r="PSK27" s="98"/>
      <c r="PSL27" s="98"/>
      <c r="PSM27" s="98"/>
      <c r="PSN27" s="98"/>
      <c r="PSO27" s="98"/>
      <c r="PSP27" s="98"/>
      <c r="PSQ27" s="98"/>
      <c r="PSR27" s="98"/>
      <c r="PSS27" s="98"/>
      <c r="PST27" s="98"/>
      <c r="PSU27" s="98"/>
      <c r="PSV27" s="98"/>
      <c r="PSW27" s="98"/>
      <c r="PSX27" s="98"/>
      <c r="PSY27" s="98"/>
      <c r="PSZ27" s="98"/>
      <c r="PTA27" s="98"/>
      <c r="PTB27" s="98"/>
      <c r="PTC27" s="98"/>
      <c r="PTD27" s="98"/>
      <c r="PTE27" s="98"/>
      <c r="PTF27" s="98"/>
      <c r="PTG27" s="98"/>
      <c r="PTH27" s="98"/>
      <c r="PTI27" s="98"/>
      <c r="PTJ27" s="98"/>
      <c r="PTK27" s="98"/>
      <c r="PTL27" s="98"/>
      <c r="PTM27" s="98"/>
      <c r="PTN27" s="98"/>
      <c r="PTO27" s="98"/>
      <c r="PTP27" s="98"/>
      <c r="PTQ27" s="98"/>
      <c r="PTR27" s="98"/>
      <c r="PTS27" s="98"/>
      <c r="PTT27" s="98"/>
      <c r="PTU27" s="98"/>
      <c r="PTV27" s="98"/>
      <c r="PTW27" s="98"/>
      <c r="PTX27" s="98"/>
      <c r="PTY27" s="98"/>
      <c r="PTZ27" s="98"/>
      <c r="PUA27" s="98"/>
      <c r="PUB27" s="98"/>
      <c r="PUC27" s="98"/>
      <c r="PUD27" s="98"/>
      <c r="PUE27" s="98"/>
      <c r="PUF27" s="98"/>
      <c r="PUG27" s="98"/>
      <c r="PUH27" s="98"/>
      <c r="PUI27" s="98"/>
      <c r="PUJ27" s="98"/>
      <c r="PUK27" s="98"/>
      <c r="PUL27" s="98"/>
      <c r="PUM27" s="98"/>
      <c r="PUN27" s="98"/>
      <c r="PUO27" s="98"/>
      <c r="PUP27" s="98"/>
      <c r="PUQ27" s="98"/>
      <c r="PUR27" s="98"/>
      <c r="PUS27" s="98"/>
      <c r="PUT27" s="98"/>
      <c r="PUU27" s="98"/>
      <c r="PUV27" s="98"/>
      <c r="PUW27" s="98"/>
      <c r="PUX27" s="98"/>
      <c r="PUY27" s="98"/>
      <c r="PUZ27" s="98"/>
      <c r="PVA27" s="98"/>
      <c r="PVB27" s="98"/>
      <c r="PVC27" s="98"/>
      <c r="PVD27" s="98"/>
      <c r="PVE27" s="98"/>
      <c r="PVF27" s="98"/>
      <c r="PVG27" s="98"/>
      <c r="PVH27" s="98"/>
      <c r="PVI27" s="98"/>
      <c r="PVJ27" s="98"/>
      <c r="PVK27" s="98"/>
      <c r="PVL27" s="98"/>
      <c r="PVM27" s="98"/>
      <c r="PVN27" s="98"/>
      <c r="PVO27" s="98"/>
      <c r="PVP27" s="98"/>
      <c r="PVQ27" s="98"/>
      <c r="PVR27" s="98"/>
      <c r="PVS27" s="98"/>
      <c r="PVT27" s="98"/>
      <c r="PVU27" s="98"/>
      <c r="PVV27" s="98"/>
      <c r="PVW27" s="98"/>
      <c r="PVX27" s="98"/>
      <c r="PVY27" s="98"/>
      <c r="PVZ27" s="98"/>
      <c r="PWA27" s="98"/>
      <c r="PWB27" s="98"/>
      <c r="PWC27" s="98"/>
      <c r="PWD27" s="98"/>
      <c r="PWE27" s="98"/>
      <c r="PWF27" s="98"/>
      <c r="PWG27" s="98"/>
      <c r="PWH27" s="98"/>
      <c r="PWI27" s="98"/>
      <c r="PWJ27" s="98"/>
      <c r="PWK27" s="98"/>
      <c r="PWL27" s="98"/>
      <c r="PWM27" s="98"/>
      <c r="PWN27" s="98"/>
      <c r="PWO27" s="98"/>
      <c r="PWP27" s="98"/>
      <c r="PWQ27" s="98"/>
      <c r="PWR27" s="98"/>
      <c r="PWS27" s="98"/>
      <c r="PWT27" s="98"/>
      <c r="PWU27" s="98"/>
      <c r="PWV27" s="98"/>
      <c r="PWW27" s="98"/>
      <c r="PWX27" s="98"/>
      <c r="PWY27" s="98"/>
      <c r="PWZ27" s="98"/>
      <c r="PXA27" s="98"/>
      <c r="PXB27" s="98"/>
      <c r="PXC27" s="98"/>
      <c r="PXD27" s="98"/>
      <c r="PXE27" s="98"/>
      <c r="PXF27" s="98"/>
      <c r="PXG27" s="98"/>
      <c r="PXH27" s="98"/>
      <c r="PXI27" s="98"/>
      <c r="PXJ27" s="98"/>
      <c r="PXK27" s="98"/>
      <c r="PXL27" s="98"/>
      <c r="PXM27" s="98"/>
      <c r="PXN27" s="98"/>
      <c r="PXO27" s="98"/>
      <c r="PXP27" s="98"/>
      <c r="PXQ27" s="98"/>
      <c r="PXR27" s="98"/>
      <c r="PXS27" s="98"/>
      <c r="PXT27" s="98"/>
      <c r="PXU27" s="98"/>
      <c r="PXV27" s="98"/>
      <c r="PXW27" s="98"/>
      <c r="PXX27" s="98"/>
      <c r="PXY27" s="98"/>
      <c r="PXZ27" s="98"/>
      <c r="PYA27" s="98"/>
      <c r="PYB27" s="98"/>
      <c r="PYC27" s="98"/>
      <c r="PYD27" s="98"/>
      <c r="PYE27" s="98"/>
      <c r="PYF27" s="98"/>
      <c r="PYG27" s="98"/>
      <c r="PYH27" s="98"/>
      <c r="PYI27" s="98"/>
      <c r="PYJ27" s="98"/>
      <c r="PYK27" s="98"/>
      <c r="PYL27" s="98"/>
      <c r="PYM27" s="98"/>
      <c r="PYN27" s="98"/>
      <c r="PYO27" s="98"/>
      <c r="PYP27" s="98"/>
      <c r="PYQ27" s="98"/>
      <c r="PYR27" s="98"/>
      <c r="PYS27" s="98"/>
      <c r="PYT27" s="98"/>
      <c r="PYU27" s="98"/>
      <c r="PYV27" s="98"/>
      <c r="PYW27" s="98"/>
      <c r="PYX27" s="98"/>
      <c r="PYY27" s="98"/>
      <c r="PYZ27" s="98"/>
      <c r="PZA27" s="98"/>
      <c r="PZB27" s="98"/>
      <c r="PZC27" s="98"/>
      <c r="PZD27" s="98"/>
      <c r="PZE27" s="98"/>
      <c r="PZF27" s="98"/>
      <c r="PZG27" s="98"/>
      <c r="PZH27" s="98"/>
      <c r="PZI27" s="98"/>
      <c r="PZJ27" s="98"/>
      <c r="PZK27" s="98"/>
      <c r="PZL27" s="98"/>
      <c r="PZM27" s="98"/>
      <c r="PZN27" s="98"/>
      <c r="PZO27" s="98"/>
      <c r="PZP27" s="98"/>
      <c r="PZQ27" s="98"/>
      <c r="PZR27" s="98"/>
      <c r="PZS27" s="98"/>
      <c r="PZT27" s="98"/>
      <c r="PZU27" s="98"/>
      <c r="PZV27" s="98"/>
      <c r="PZW27" s="98"/>
      <c r="PZX27" s="98"/>
      <c r="PZY27" s="98"/>
      <c r="PZZ27" s="98"/>
      <c r="QAA27" s="98"/>
      <c r="QAB27" s="98"/>
      <c r="QAC27" s="98"/>
      <c r="QAD27" s="98"/>
      <c r="QAE27" s="98"/>
      <c r="QAF27" s="98"/>
      <c r="QAG27" s="98"/>
      <c r="QAH27" s="98"/>
      <c r="QAI27" s="98"/>
      <c r="QAJ27" s="98"/>
      <c r="QAK27" s="98"/>
      <c r="QAL27" s="98"/>
      <c r="QAM27" s="98"/>
      <c r="QAN27" s="98"/>
      <c r="QAO27" s="98"/>
      <c r="QAP27" s="98"/>
      <c r="QAQ27" s="98"/>
      <c r="QAR27" s="98"/>
      <c r="QAS27" s="98"/>
      <c r="QAT27" s="98"/>
      <c r="QAU27" s="98"/>
      <c r="QAV27" s="98"/>
      <c r="QAW27" s="98"/>
      <c r="QAX27" s="98"/>
      <c r="QAY27" s="98"/>
      <c r="QAZ27" s="98"/>
      <c r="QBA27" s="98"/>
      <c r="QBB27" s="98"/>
      <c r="QBC27" s="98"/>
      <c r="QBD27" s="98"/>
      <c r="QBE27" s="98"/>
      <c r="QBF27" s="98"/>
      <c r="QBG27" s="98"/>
      <c r="QBH27" s="98"/>
      <c r="QBI27" s="98"/>
      <c r="QBJ27" s="98"/>
      <c r="QBK27" s="98"/>
      <c r="QBL27" s="98"/>
      <c r="QBM27" s="98"/>
      <c r="QBN27" s="98"/>
      <c r="QBO27" s="98"/>
      <c r="QBP27" s="98"/>
      <c r="QBQ27" s="98"/>
      <c r="QBR27" s="98"/>
      <c r="QBS27" s="98"/>
      <c r="QBT27" s="98"/>
      <c r="QBU27" s="98"/>
      <c r="QBV27" s="98"/>
      <c r="QBW27" s="98"/>
      <c r="QBX27" s="98"/>
      <c r="QBY27" s="98"/>
      <c r="QBZ27" s="98"/>
      <c r="QCA27" s="98"/>
      <c r="QCB27" s="98"/>
      <c r="QCC27" s="98"/>
      <c r="QCD27" s="98"/>
      <c r="QCE27" s="98"/>
      <c r="QCF27" s="98"/>
      <c r="QCG27" s="98"/>
      <c r="QCH27" s="98"/>
      <c r="QCI27" s="98"/>
      <c r="QCJ27" s="98"/>
      <c r="QCK27" s="98"/>
      <c r="QCL27" s="98"/>
      <c r="QCM27" s="98"/>
      <c r="QCN27" s="98"/>
      <c r="QCO27" s="98"/>
      <c r="QCP27" s="98"/>
      <c r="QCQ27" s="98"/>
      <c r="QCR27" s="98"/>
      <c r="QCS27" s="98"/>
      <c r="QCT27" s="98"/>
      <c r="QCU27" s="98"/>
      <c r="QCV27" s="98"/>
      <c r="QCW27" s="98"/>
      <c r="QCX27" s="98"/>
      <c r="QCY27" s="98"/>
      <c r="QCZ27" s="98"/>
      <c r="QDA27" s="98"/>
      <c r="QDB27" s="98"/>
      <c r="QDC27" s="98"/>
      <c r="QDD27" s="98"/>
      <c r="QDE27" s="98"/>
      <c r="QDF27" s="98"/>
      <c r="QDG27" s="98"/>
      <c r="QDH27" s="98"/>
      <c r="QDI27" s="98"/>
      <c r="QDJ27" s="98"/>
      <c r="QDK27" s="98"/>
      <c r="QDL27" s="98"/>
      <c r="QDM27" s="98"/>
      <c r="QDN27" s="98"/>
      <c r="QDO27" s="98"/>
      <c r="QDP27" s="98"/>
      <c r="QDQ27" s="98"/>
      <c r="QDR27" s="98"/>
      <c r="QDS27" s="98"/>
      <c r="QDT27" s="98"/>
      <c r="QDU27" s="98"/>
      <c r="QDV27" s="98"/>
      <c r="QDW27" s="98"/>
      <c r="QDX27" s="98"/>
      <c r="QDY27" s="98"/>
      <c r="QDZ27" s="98"/>
      <c r="QEA27" s="98"/>
      <c r="QEB27" s="98"/>
      <c r="QEC27" s="98"/>
      <c r="QED27" s="98"/>
      <c r="QEE27" s="98"/>
      <c r="QEF27" s="98"/>
      <c r="QEG27" s="98"/>
      <c r="QEH27" s="98"/>
      <c r="QEI27" s="98"/>
      <c r="QEJ27" s="98"/>
      <c r="QEK27" s="98"/>
      <c r="QEL27" s="98"/>
      <c r="QEM27" s="98"/>
      <c r="QEN27" s="98"/>
      <c r="QEO27" s="98"/>
      <c r="QEP27" s="98"/>
      <c r="QEQ27" s="98"/>
      <c r="QER27" s="98"/>
      <c r="QES27" s="98"/>
      <c r="QET27" s="98"/>
      <c r="QEU27" s="98"/>
      <c r="QEV27" s="98"/>
      <c r="QEW27" s="98"/>
      <c r="QEX27" s="98"/>
      <c r="QEY27" s="98"/>
      <c r="QEZ27" s="98"/>
      <c r="QFA27" s="98"/>
      <c r="QFB27" s="98"/>
      <c r="QFC27" s="98"/>
      <c r="QFD27" s="98"/>
      <c r="QFE27" s="98"/>
      <c r="QFF27" s="98"/>
      <c r="QFG27" s="98"/>
      <c r="QFH27" s="98"/>
      <c r="QFI27" s="98"/>
      <c r="QFJ27" s="98"/>
      <c r="QFK27" s="98"/>
      <c r="QFL27" s="98"/>
      <c r="QFM27" s="98"/>
      <c r="QFN27" s="98"/>
      <c r="QFO27" s="98"/>
      <c r="QFP27" s="98"/>
      <c r="QFQ27" s="98"/>
      <c r="QFR27" s="98"/>
      <c r="QFS27" s="98"/>
      <c r="QFT27" s="98"/>
      <c r="QFU27" s="98"/>
      <c r="QFV27" s="98"/>
      <c r="QFW27" s="98"/>
      <c r="QFX27" s="98"/>
      <c r="QFY27" s="98"/>
      <c r="QFZ27" s="98"/>
      <c r="QGA27" s="98"/>
      <c r="QGB27" s="98"/>
      <c r="QGC27" s="98"/>
      <c r="QGD27" s="98"/>
      <c r="QGE27" s="98"/>
      <c r="QGF27" s="98"/>
      <c r="QGG27" s="98"/>
      <c r="QGH27" s="98"/>
      <c r="QGI27" s="98"/>
      <c r="QGJ27" s="98"/>
      <c r="QGK27" s="98"/>
      <c r="QGL27" s="98"/>
      <c r="QGM27" s="98"/>
      <c r="QGN27" s="98"/>
      <c r="QGO27" s="98"/>
      <c r="QGP27" s="98"/>
      <c r="QGQ27" s="98"/>
      <c r="QGR27" s="98"/>
      <c r="QGS27" s="98"/>
      <c r="QGT27" s="98"/>
      <c r="QGU27" s="98"/>
      <c r="QGV27" s="98"/>
      <c r="QGW27" s="98"/>
      <c r="QGX27" s="98"/>
      <c r="QGY27" s="98"/>
      <c r="QGZ27" s="98"/>
      <c r="QHA27" s="98"/>
      <c r="QHB27" s="98"/>
      <c r="QHC27" s="98"/>
      <c r="QHD27" s="98"/>
      <c r="QHE27" s="98"/>
      <c r="QHF27" s="98"/>
      <c r="QHG27" s="98"/>
      <c r="QHH27" s="98"/>
      <c r="QHI27" s="98"/>
      <c r="QHJ27" s="98"/>
      <c r="QHK27" s="98"/>
      <c r="QHL27" s="98"/>
      <c r="QHM27" s="98"/>
      <c r="QHN27" s="98"/>
      <c r="QHO27" s="98"/>
      <c r="QHP27" s="98"/>
      <c r="QHQ27" s="98"/>
      <c r="QHR27" s="98"/>
      <c r="QHS27" s="98"/>
      <c r="QHT27" s="98"/>
      <c r="QHU27" s="98"/>
      <c r="QHV27" s="98"/>
      <c r="QHW27" s="98"/>
      <c r="QHX27" s="98"/>
      <c r="QHY27" s="98"/>
      <c r="QHZ27" s="98"/>
      <c r="QIA27" s="98"/>
      <c r="QIB27" s="98"/>
      <c r="QIC27" s="98"/>
      <c r="QID27" s="98"/>
      <c r="QIE27" s="98"/>
      <c r="QIF27" s="98"/>
      <c r="QIG27" s="98"/>
      <c r="QIH27" s="98"/>
      <c r="QII27" s="98"/>
      <c r="QIJ27" s="98"/>
      <c r="QIK27" s="98"/>
      <c r="QIL27" s="98"/>
      <c r="QIM27" s="98"/>
      <c r="QIN27" s="98"/>
      <c r="QIO27" s="98"/>
      <c r="QIP27" s="98"/>
      <c r="QIQ27" s="98"/>
      <c r="QIR27" s="98"/>
      <c r="QIS27" s="98"/>
      <c r="QIT27" s="98"/>
      <c r="QIU27" s="98"/>
      <c r="QIV27" s="98"/>
      <c r="QIW27" s="98"/>
      <c r="QIX27" s="98"/>
      <c r="QIY27" s="98"/>
      <c r="QIZ27" s="98"/>
      <c r="QJA27" s="98"/>
      <c r="QJB27" s="98"/>
      <c r="QJC27" s="98"/>
      <c r="QJD27" s="98"/>
      <c r="QJE27" s="98"/>
      <c r="QJF27" s="98"/>
      <c r="QJG27" s="98"/>
      <c r="QJH27" s="98"/>
      <c r="QJI27" s="98"/>
      <c r="QJJ27" s="98"/>
      <c r="QJK27" s="98"/>
      <c r="QJL27" s="98"/>
      <c r="QJM27" s="98"/>
      <c r="QJN27" s="98"/>
      <c r="QJO27" s="98"/>
      <c r="QJP27" s="98"/>
      <c r="QJQ27" s="98"/>
      <c r="QJR27" s="98"/>
      <c r="QJS27" s="98"/>
      <c r="QJT27" s="98"/>
      <c r="QJU27" s="98"/>
      <c r="QJV27" s="98"/>
      <c r="QJW27" s="98"/>
      <c r="QJX27" s="98"/>
      <c r="QJY27" s="98"/>
      <c r="QJZ27" s="98"/>
      <c r="QKA27" s="98"/>
      <c r="QKB27" s="98"/>
      <c r="QKC27" s="98"/>
      <c r="QKD27" s="98"/>
      <c r="QKE27" s="98"/>
      <c r="QKF27" s="98"/>
      <c r="QKG27" s="98"/>
      <c r="QKH27" s="98"/>
      <c r="QKI27" s="98"/>
      <c r="QKJ27" s="98"/>
      <c r="QKK27" s="98"/>
      <c r="QKL27" s="98"/>
      <c r="QKM27" s="98"/>
      <c r="QKN27" s="98"/>
      <c r="QKO27" s="98"/>
      <c r="QKP27" s="98"/>
      <c r="QKQ27" s="98"/>
      <c r="QKR27" s="98"/>
      <c r="QKS27" s="98"/>
      <c r="QKT27" s="98"/>
      <c r="QKU27" s="98"/>
      <c r="QKV27" s="98"/>
      <c r="QKW27" s="98"/>
      <c r="QKX27" s="98"/>
      <c r="QKY27" s="98"/>
      <c r="QKZ27" s="98"/>
      <c r="QLA27" s="98"/>
      <c r="QLB27" s="98"/>
      <c r="QLC27" s="98"/>
      <c r="QLD27" s="98"/>
      <c r="QLE27" s="98"/>
      <c r="QLF27" s="98"/>
      <c r="QLG27" s="98"/>
      <c r="QLH27" s="98"/>
      <c r="QLI27" s="98"/>
      <c r="QLJ27" s="98"/>
      <c r="QLK27" s="98"/>
      <c r="QLL27" s="98"/>
      <c r="QLM27" s="98"/>
      <c r="QLN27" s="98"/>
      <c r="QLO27" s="98"/>
      <c r="QLP27" s="98"/>
      <c r="QLQ27" s="98"/>
      <c r="QLR27" s="98"/>
      <c r="QLS27" s="98"/>
      <c r="QLT27" s="98"/>
      <c r="QLU27" s="98"/>
      <c r="QLV27" s="98"/>
      <c r="QLW27" s="98"/>
      <c r="QLX27" s="98"/>
      <c r="QLY27" s="98"/>
      <c r="QLZ27" s="98"/>
      <c r="QMA27" s="98"/>
      <c r="QMB27" s="98"/>
      <c r="QMC27" s="98"/>
      <c r="QMD27" s="98"/>
      <c r="QME27" s="98"/>
      <c r="QMF27" s="98"/>
      <c r="QMG27" s="98"/>
      <c r="QMH27" s="98"/>
      <c r="QMI27" s="98"/>
      <c r="QMJ27" s="98"/>
      <c r="QMK27" s="98"/>
      <c r="QML27" s="98"/>
      <c r="QMM27" s="98"/>
      <c r="QMN27" s="98"/>
      <c r="QMO27" s="98"/>
      <c r="QMP27" s="98"/>
      <c r="QMQ27" s="98"/>
      <c r="QMR27" s="98"/>
      <c r="QMS27" s="98"/>
      <c r="QMT27" s="98"/>
      <c r="QMU27" s="98"/>
      <c r="QMV27" s="98"/>
      <c r="QMW27" s="98"/>
      <c r="QMX27" s="98"/>
      <c r="QMY27" s="98"/>
      <c r="QMZ27" s="98"/>
      <c r="QNA27" s="98"/>
      <c r="QNB27" s="98"/>
      <c r="QNC27" s="98"/>
      <c r="QND27" s="98"/>
      <c r="QNE27" s="98"/>
      <c r="QNF27" s="98"/>
      <c r="QNG27" s="98"/>
      <c r="QNH27" s="98"/>
      <c r="QNI27" s="98"/>
      <c r="QNJ27" s="98"/>
      <c r="QNK27" s="98"/>
      <c r="QNL27" s="98"/>
      <c r="QNM27" s="98"/>
      <c r="QNN27" s="98"/>
      <c r="QNO27" s="98"/>
      <c r="QNP27" s="98"/>
      <c r="QNQ27" s="98"/>
      <c r="QNR27" s="98"/>
      <c r="QNS27" s="98"/>
      <c r="QNT27" s="98"/>
      <c r="QNU27" s="98"/>
      <c r="QNV27" s="98"/>
      <c r="QNW27" s="98"/>
      <c r="QNX27" s="98"/>
      <c r="QNY27" s="98"/>
      <c r="QNZ27" s="98"/>
      <c r="QOA27" s="98"/>
      <c r="QOB27" s="98"/>
      <c r="QOC27" s="98"/>
      <c r="QOD27" s="98"/>
      <c r="QOE27" s="98"/>
      <c r="QOF27" s="98"/>
      <c r="QOG27" s="98"/>
      <c r="QOH27" s="98"/>
      <c r="QOI27" s="98"/>
      <c r="QOJ27" s="98"/>
      <c r="QOK27" s="98"/>
      <c r="QOL27" s="98"/>
      <c r="QOM27" s="98"/>
      <c r="QON27" s="98"/>
      <c r="QOO27" s="98"/>
      <c r="QOP27" s="98"/>
      <c r="QOQ27" s="98"/>
      <c r="QOR27" s="98"/>
      <c r="QOS27" s="98"/>
      <c r="QOT27" s="98"/>
      <c r="QOU27" s="98"/>
      <c r="QOV27" s="98"/>
      <c r="QOW27" s="98"/>
      <c r="QOX27" s="98"/>
      <c r="QOY27" s="98"/>
      <c r="QOZ27" s="98"/>
      <c r="QPA27" s="98"/>
      <c r="QPB27" s="98"/>
      <c r="QPC27" s="98"/>
      <c r="QPD27" s="98"/>
      <c r="QPE27" s="98"/>
      <c r="QPF27" s="98"/>
      <c r="QPG27" s="98"/>
      <c r="QPH27" s="98"/>
      <c r="QPI27" s="98"/>
      <c r="QPJ27" s="98"/>
      <c r="QPK27" s="98"/>
      <c r="QPL27" s="98"/>
      <c r="QPM27" s="98"/>
      <c r="QPN27" s="98"/>
      <c r="QPO27" s="98"/>
      <c r="QPP27" s="98"/>
      <c r="QPQ27" s="98"/>
      <c r="QPR27" s="98"/>
      <c r="QPS27" s="98"/>
      <c r="QPT27" s="98"/>
      <c r="QPU27" s="98"/>
      <c r="QPV27" s="98"/>
      <c r="QPW27" s="98"/>
      <c r="QPX27" s="98"/>
      <c r="QPY27" s="98"/>
      <c r="QPZ27" s="98"/>
      <c r="QQA27" s="98"/>
      <c r="QQB27" s="98"/>
      <c r="QQC27" s="98"/>
      <c r="QQD27" s="98"/>
      <c r="QQE27" s="98"/>
      <c r="QQF27" s="98"/>
      <c r="QQG27" s="98"/>
      <c r="QQH27" s="98"/>
      <c r="QQI27" s="98"/>
      <c r="QQJ27" s="98"/>
      <c r="QQK27" s="98"/>
      <c r="QQL27" s="98"/>
      <c r="QQM27" s="98"/>
      <c r="QQN27" s="98"/>
      <c r="QQO27" s="98"/>
      <c r="QQP27" s="98"/>
      <c r="QQQ27" s="98"/>
      <c r="QQR27" s="98"/>
      <c r="QQS27" s="98"/>
      <c r="QQT27" s="98"/>
      <c r="QQU27" s="98"/>
      <c r="QQV27" s="98"/>
      <c r="QQW27" s="98"/>
      <c r="QQX27" s="98"/>
      <c r="QQY27" s="98"/>
      <c r="QQZ27" s="98"/>
      <c r="QRA27" s="98"/>
      <c r="QRB27" s="98"/>
      <c r="QRC27" s="98"/>
      <c r="QRD27" s="98"/>
      <c r="QRE27" s="98"/>
      <c r="QRF27" s="98"/>
      <c r="QRG27" s="98"/>
      <c r="QRH27" s="98"/>
      <c r="QRI27" s="98"/>
      <c r="QRJ27" s="98"/>
      <c r="QRK27" s="98"/>
      <c r="QRL27" s="98"/>
      <c r="QRM27" s="98"/>
      <c r="QRN27" s="98"/>
      <c r="QRO27" s="98"/>
      <c r="QRP27" s="98"/>
      <c r="QRQ27" s="98"/>
      <c r="QRR27" s="98"/>
      <c r="QRS27" s="98"/>
      <c r="QRT27" s="98"/>
      <c r="QRU27" s="98"/>
      <c r="QRV27" s="98"/>
      <c r="QRW27" s="98"/>
      <c r="QRX27" s="98"/>
      <c r="QRY27" s="98"/>
      <c r="QRZ27" s="98"/>
      <c r="QSA27" s="98"/>
      <c r="QSB27" s="98"/>
      <c r="QSC27" s="98"/>
      <c r="QSD27" s="98"/>
      <c r="QSE27" s="98"/>
      <c r="QSF27" s="98"/>
      <c r="QSG27" s="98"/>
      <c r="QSH27" s="98"/>
      <c r="QSI27" s="98"/>
      <c r="QSJ27" s="98"/>
      <c r="QSK27" s="98"/>
      <c r="QSL27" s="98"/>
      <c r="QSM27" s="98"/>
      <c r="QSN27" s="98"/>
      <c r="QSO27" s="98"/>
      <c r="QSP27" s="98"/>
      <c r="QSQ27" s="98"/>
      <c r="QSR27" s="98"/>
      <c r="QSS27" s="98"/>
      <c r="QST27" s="98"/>
      <c r="QSU27" s="98"/>
      <c r="QSV27" s="98"/>
      <c r="QSW27" s="98"/>
      <c r="QSX27" s="98"/>
      <c r="QSY27" s="98"/>
      <c r="QSZ27" s="98"/>
      <c r="QTA27" s="98"/>
      <c r="QTB27" s="98"/>
      <c r="QTC27" s="98"/>
      <c r="QTD27" s="98"/>
      <c r="QTE27" s="98"/>
      <c r="QTF27" s="98"/>
      <c r="QTG27" s="98"/>
      <c r="QTH27" s="98"/>
      <c r="QTI27" s="98"/>
      <c r="QTJ27" s="98"/>
      <c r="QTK27" s="98"/>
      <c r="QTL27" s="98"/>
      <c r="QTM27" s="98"/>
      <c r="QTN27" s="98"/>
      <c r="QTO27" s="98"/>
      <c r="QTP27" s="98"/>
      <c r="QTQ27" s="98"/>
      <c r="QTR27" s="98"/>
      <c r="QTS27" s="98"/>
      <c r="QTT27" s="98"/>
      <c r="QTU27" s="98"/>
      <c r="QTV27" s="98"/>
      <c r="QTW27" s="98"/>
      <c r="QTX27" s="98"/>
      <c r="QTY27" s="98"/>
      <c r="QTZ27" s="98"/>
      <c r="QUA27" s="98"/>
      <c r="QUB27" s="98"/>
      <c r="QUC27" s="98"/>
      <c r="QUD27" s="98"/>
      <c r="QUE27" s="98"/>
      <c r="QUF27" s="98"/>
      <c r="QUG27" s="98"/>
      <c r="QUH27" s="98"/>
      <c r="QUI27" s="98"/>
      <c r="QUJ27" s="98"/>
      <c r="QUK27" s="98"/>
      <c r="QUL27" s="98"/>
      <c r="QUM27" s="98"/>
      <c r="QUN27" s="98"/>
      <c r="QUO27" s="98"/>
      <c r="QUP27" s="98"/>
      <c r="QUQ27" s="98"/>
      <c r="QUR27" s="98"/>
      <c r="QUS27" s="98"/>
      <c r="QUT27" s="98"/>
      <c r="QUU27" s="98"/>
      <c r="QUV27" s="98"/>
      <c r="QUW27" s="98"/>
      <c r="QUX27" s="98"/>
      <c r="QUY27" s="98"/>
      <c r="QUZ27" s="98"/>
      <c r="QVA27" s="98"/>
      <c r="QVB27" s="98"/>
      <c r="QVC27" s="98"/>
      <c r="QVD27" s="98"/>
      <c r="QVE27" s="98"/>
      <c r="QVF27" s="98"/>
      <c r="QVG27" s="98"/>
      <c r="QVH27" s="98"/>
      <c r="QVI27" s="98"/>
      <c r="QVJ27" s="98"/>
      <c r="QVK27" s="98"/>
      <c r="QVL27" s="98"/>
      <c r="QVM27" s="98"/>
      <c r="QVN27" s="98"/>
      <c r="QVO27" s="98"/>
      <c r="QVP27" s="98"/>
      <c r="QVQ27" s="98"/>
      <c r="QVR27" s="98"/>
      <c r="QVS27" s="98"/>
      <c r="QVT27" s="98"/>
      <c r="QVU27" s="98"/>
      <c r="QVV27" s="98"/>
      <c r="QVW27" s="98"/>
      <c r="QVX27" s="98"/>
      <c r="QVY27" s="98"/>
      <c r="QVZ27" s="98"/>
      <c r="QWA27" s="98"/>
      <c r="QWB27" s="98"/>
      <c r="QWC27" s="98"/>
      <c r="QWD27" s="98"/>
      <c r="QWE27" s="98"/>
      <c r="QWF27" s="98"/>
      <c r="QWG27" s="98"/>
      <c r="QWH27" s="98"/>
      <c r="QWI27" s="98"/>
      <c r="QWJ27" s="98"/>
      <c r="QWK27" s="98"/>
      <c r="QWL27" s="98"/>
      <c r="QWM27" s="98"/>
      <c r="QWN27" s="98"/>
      <c r="QWO27" s="98"/>
      <c r="QWP27" s="98"/>
      <c r="QWQ27" s="98"/>
      <c r="QWR27" s="98"/>
      <c r="QWS27" s="98"/>
      <c r="QWT27" s="98"/>
      <c r="QWU27" s="98"/>
      <c r="QWV27" s="98"/>
      <c r="QWW27" s="98"/>
      <c r="QWX27" s="98"/>
      <c r="QWY27" s="98"/>
      <c r="QWZ27" s="98"/>
      <c r="QXA27" s="98"/>
      <c r="QXB27" s="98"/>
      <c r="QXC27" s="98"/>
      <c r="QXD27" s="98"/>
      <c r="QXE27" s="98"/>
      <c r="QXF27" s="98"/>
      <c r="QXG27" s="98"/>
      <c r="QXH27" s="98"/>
      <c r="QXI27" s="98"/>
      <c r="QXJ27" s="98"/>
      <c r="QXK27" s="98"/>
      <c r="QXL27" s="98"/>
      <c r="QXM27" s="98"/>
      <c r="QXN27" s="98"/>
      <c r="QXO27" s="98"/>
      <c r="QXP27" s="98"/>
      <c r="QXQ27" s="98"/>
      <c r="QXR27" s="98"/>
      <c r="QXS27" s="98"/>
      <c r="QXT27" s="98"/>
      <c r="QXU27" s="98"/>
      <c r="QXV27" s="98"/>
      <c r="QXW27" s="98"/>
      <c r="QXX27" s="98"/>
      <c r="QXY27" s="98"/>
      <c r="QXZ27" s="98"/>
      <c r="QYA27" s="98"/>
      <c r="QYB27" s="98"/>
      <c r="QYC27" s="98"/>
      <c r="QYD27" s="98"/>
      <c r="QYE27" s="98"/>
      <c r="QYF27" s="98"/>
      <c r="QYG27" s="98"/>
      <c r="QYH27" s="98"/>
      <c r="QYI27" s="98"/>
      <c r="QYJ27" s="98"/>
      <c r="QYK27" s="98"/>
      <c r="QYL27" s="98"/>
      <c r="QYM27" s="98"/>
      <c r="QYN27" s="98"/>
      <c r="QYO27" s="98"/>
      <c r="QYP27" s="98"/>
      <c r="QYQ27" s="98"/>
      <c r="QYR27" s="98"/>
      <c r="QYS27" s="98"/>
      <c r="QYT27" s="98"/>
      <c r="QYU27" s="98"/>
      <c r="QYV27" s="98"/>
      <c r="QYW27" s="98"/>
      <c r="QYX27" s="98"/>
      <c r="QYY27" s="98"/>
      <c r="QYZ27" s="98"/>
      <c r="QZA27" s="98"/>
      <c r="QZB27" s="98"/>
      <c r="QZC27" s="98"/>
      <c r="QZD27" s="98"/>
      <c r="QZE27" s="98"/>
      <c r="QZF27" s="98"/>
      <c r="QZG27" s="98"/>
      <c r="QZH27" s="98"/>
      <c r="QZI27" s="98"/>
      <c r="QZJ27" s="98"/>
      <c r="QZK27" s="98"/>
      <c r="QZL27" s="98"/>
      <c r="QZM27" s="98"/>
      <c r="QZN27" s="98"/>
      <c r="QZO27" s="98"/>
      <c r="QZP27" s="98"/>
      <c r="QZQ27" s="98"/>
      <c r="QZR27" s="98"/>
      <c r="QZS27" s="98"/>
      <c r="QZT27" s="98"/>
      <c r="QZU27" s="98"/>
      <c r="QZV27" s="98"/>
      <c r="QZW27" s="98"/>
      <c r="QZX27" s="98"/>
      <c r="QZY27" s="98"/>
      <c r="QZZ27" s="98"/>
      <c r="RAA27" s="98"/>
      <c r="RAB27" s="98"/>
      <c r="RAC27" s="98"/>
      <c r="RAD27" s="98"/>
      <c r="RAE27" s="98"/>
      <c r="RAF27" s="98"/>
      <c r="RAG27" s="98"/>
      <c r="RAH27" s="98"/>
      <c r="RAI27" s="98"/>
      <c r="RAJ27" s="98"/>
      <c r="RAK27" s="98"/>
      <c r="RAL27" s="98"/>
      <c r="RAM27" s="98"/>
      <c r="RAN27" s="98"/>
      <c r="RAO27" s="98"/>
      <c r="RAP27" s="98"/>
      <c r="RAQ27" s="98"/>
      <c r="RAR27" s="98"/>
      <c r="RAS27" s="98"/>
      <c r="RAT27" s="98"/>
      <c r="RAU27" s="98"/>
      <c r="RAV27" s="98"/>
      <c r="RAW27" s="98"/>
      <c r="RAX27" s="98"/>
      <c r="RAY27" s="98"/>
      <c r="RAZ27" s="98"/>
      <c r="RBA27" s="98"/>
      <c r="RBB27" s="98"/>
      <c r="RBC27" s="98"/>
      <c r="RBD27" s="98"/>
      <c r="RBE27" s="98"/>
      <c r="RBF27" s="98"/>
      <c r="RBG27" s="98"/>
      <c r="RBH27" s="98"/>
      <c r="RBI27" s="98"/>
      <c r="RBJ27" s="98"/>
      <c r="RBK27" s="98"/>
      <c r="RBL27" s="98"/>
      <c r="RBM27" s="98"/>
      <c r="RBN27" s="98"/>
      <c r="RBO27" s="98"/>
      <c r="RBP27" s="98"/>
      <c r="RBQ27" s="98"/>
      <c r="RBR27" s="98"/>
      <c r="RBS27" s="98"/>
      <c r="RBT27" s="98"/>
      <c r="RBU27" s="98"/>
      <c r="RBV27" s="98"/>
      <c r="RBW27" s="98"/>
      <c r="RBX27" s="98"/>
      <c r="RBY27" s="98"/>
      <c r="RBZ27" s="98"/>
      <c r="RCA27" s="98"/>
      <c r="RCB27" s="98"/>
      <c r="RCC27" s="98"/>
      <c r="RCD27" s="98"/>
      <c r="RCE27" s="98"/>
      <c r="RCF27" s="98"/>
      <c r="RCG27" s="98"/>
      <c r="RCH27" s="98"/>
      <c r="RCI27" s="98"/>
      <c r="RCJ27" s="98"/>
      <c r="RCK27" s="98"/>
      <c r="RCL27" s="98"/>
      <c r="RCM27" s="98"/>
      <c r="RCN27" s="98"/>
      <c r="RCO27" s="98"/>
      <c r="RCP27" s="98"/>
      <c r="RCQ27" s="98"/>
      <c r="RCR27" s="98"/>
      <c r="RCS27" s="98"/>
      <c r="RCT27" s="98"/>
      <c r="RCU27" s="98"/>
      <c r="RCV27" s="98"/>
      <c r="RCW27" s="98"/>
      <c r="RCX27" s="98"/>
      <c r="RCY27" s="98"/>
      <c r="RCZ27" s="98"/>
      <c r="RDA27" s="98"/>
      <c r="RDB27" s="98"/>
      <c r="RDC27" s="98"/>
      <c r="RDD27" s="98"/>
      <c r="RDE27" s="98"/>
      <c r="RDF27" s="98"/>
      <c r="RDG27" s="98"/>
      <c r="RDH27" s="98"/>
      <c r="RDI27" s="98"/>
      <c r="RDJ27" s="98"/>
      <c r="RDK27" s="98"/>
      <c r="RDL27" s="98"/>
      <c r="RDM27" s="98"/>
      <c r="RDN27" s="98"/>
      <c r="RDO27" s="98"/>
      <c r="RDP27" s="98"/>
      <c r="RDQ27" s="98"/>
      <c r="RDR27" s="98"/>
      <c r="RDS27" s="98"/>
      <c r="RDT27" s="98"/>
      <c r="RDU27" s="98"/>
      <c r="RDV27" s="98"/>
      <c r="RDW27" s="98"/>
      <c r="RDX27" s="98"/>
      <c r="RDY27" s="98"/>
      <c r="RDZ27" s="98"/>
      <c r="REA27" s="98"/>
      <c r="REB27" s="98"/>
      <c r="REC27" s="98"/>
      <c r="RED27" s="98"/>
      <c r="REE27" s="98"/>
      <c r="REF27" s="98"/>
      <c r="REG27" s="98"/>
      <c r="REH27" s="98"/>
      <c r="REI27" s="98"/>
      <c r="REJ27" s="98"/>
      <c r="REK27" s="98"/>
      <c r="REL27" s="98"/>
      <c r="REM27" s="98"/>
      <c r="REN27" s="98"/>
      <c r="REO27" s="98"/>
      <c r="REP27" s="98"/>
      <c r="REQ27" s="98"/>
      <c r="RER27" s="98"/>
      <c r="RES27" s="98"/>
      <c r="RET27" s="98"/>
      <c r="REU27" s="98"/>
      <c r="REV27" s="98"/>
      <c r="REW27" s="98"/>
      <c r="REX27" s="98"/>
      <c r="REY27" s="98"/>
      <c r="REZ27" s="98"/>
      <c r="RFA27" s="98"/>
      <c r="RFB27" s="98"/>
      <c r="RFC27" s="98"/>
      <c r="RFD27" s="98"/>
      <c r="RFE27" s="98"/>
      <c r="RFF27" s="98"/>
      <c r="RFG27" s="98"/>
      <c r="RFH27" s="98"/>
      <c r="RFI27" s="98"/>
      <c r="RFJ27" s="98"/>
      <c r="RFK27" s="98"/>
      <c r="RFL27" s="98"/>
      <c r="RFM27" s="98"/>
      <c r="RFN27" s="98"/>
      <c r="RFO27" s="98"/>
      <c r="RFP27" s="98"/>
      <c r="RFQ27" s="98"/>
      <c r="RFR27" s="98"/>
      <c r="RFS27" s="98"/>
      <c r="RFT27" s="98"/>
      <c r="RFU27" s="98"/>
      <c r="RFV27" s="98"/>
      <c r="RFW27" s="98"/>
      <c r="RFX27" s="98"/>
      <c r="RFY27" s="98"/>
      <c r="RFZ27" s="98"/>
      <c r="RGA27" s="98"/>
      <c r="RGB27" s="98"/>
      <c r="RGC27" s="98"/>
      <c r="RGD27" s="98"/>
      <c r="RGE27" s="98"/>
      <c r="RGF27" s="98"/>
      <c r="RGG27" s="98"/>
      <c r="RGH27" s="98"/>
      <c r="RGI27" s="98"/>
      <c r="RGJ27" s="98"/>
      <c r="RGK27" s="98"/>
      <c r="RGL27" s="98"/>
      <c r="RGM27" s="98"/>
      <c r="RGN27" s="98"/>
      <c r="RGO27" s="98"/>
      <c r="RGP27" s="98"/>
      <c r="RGQ27" s="98"/>
      <c r="RGR27" s="98"/>
      <c r="RGS27" s="98"/>
      <c r="RGT27" s="98"/>
      <c r="RGU27" s="98"/>
      <c r="RGV27" s="98"/>
      <c r="RGW27" s="98"/>
      <c r="RGX27" s="98"/>
      <c r="RGY27" s="98"/>
      <c r="RGZ27" s="98"/>
      <c r="RHA27" s="98"/>
      <c r="RHB27" s="98"/>
      <c r="RHC27" s="98"/>
      <c r="RHD27" s="98"/>
      <c r="RHE27" s="98"/>
      <c r="RHF27" s="98"/>
      <c r="RHG27" s="98"/>
      <c r="RHH27" s="98"/>
      <c r="RHI27" s="98"/>
      <c r="RHJ27" s="98"/>
      <c r="RHK27" s="98"/>
      <c r="RHL27" s="98"/>
      <c r="RHM27" s="98"/>
      <c r="RHN27" s="98"/>
      <c r="RHO27" s="98"/>
      <c r="RHP27" s="98"/>
      <c r="RHQ27" s="98"/>
      <c r="RHR27" s="98"/>
      <c r="RHS27" s="98"/>
      <c r="RHT27" s="98"/>
      <c r="RHU27" s="98"/>
      <c r="RHV27" s="98"/>
      <c r="RHW27" s="98"/>
      <c r="RHX27" s="98"/>
      <c r="RHY27" s="98"/>
      <c r="RHZ27" s="98"/>
      <c r="RIA27" s="98"/>
      <c r="RIB27" s="98"/>
      <c r="RIC27" s="98"/>
      <c r="RID27" s="98"/>
      <c r="RIE27" s="98"/>
      <c r="RIF27" s="98"/>
      <c r="RIG27" s="98"/>
      <c r="RIH27" s="98"/>
      <c r="RII27" s="98"/>
      <c r="RIJ27" s="98"/>
      <c r="RIK27" s="98"/>
      <c r="RIL27" s="98"/>
      <c r="RIM27" s="98"/>
      <c r="RIN27" s="98"/>
      <c r="RIO27" s="98"/>
      <c r="RIP27" s="98"/>
      <c r="RIQ27" s="98"/>
      <c r="RIR27" s="98"/>
      <c r="RIS27" s="98"/>
      <c r="RIT27" s="98"/>
      <c r="RIU27" s="98"/>
      <c r="RIV27" s="98"/>
      <c r="RIW27" s="98"/>
      <c r="RIX27" s="98"/>
      <c r="RIY27" s="98"/>
      <c r="RIZ27" s="98"/>
      <c r="RJA27" s="98"/>
      <c r="RJB27" s="98"/>
      <c r="RJC27" s="98"/>
      <c r="RJD27" s="98"/>
      <c r="RJE27" s="98"/>
      <c r="RJF27" s="98"/>
      <c r="RJG27" s="98"/>
      <c r="RJH27" s="98"/>
      <c r="RJI27" s="98"/>
      <c r="RJJ27" s="98"/>
      <c r="RJK27" s="98"/>
      <c r="RJL27" s="98"/>
      <c r="RJM27" s="98"/>
      <c r="RJN27" s="98"/>
      <c r="RJO27" s="98"/>
      <c r="RJP27" s="98"/>
      <c r="RJQ27" s="98"/>
      <c r="RJR27" s="98"/>
      <c r="RJS27" s="98"/>
      <c r="RJT27" s="98"/>
      <c r="RJU27" s="98"/>
      <c r="RJV27" s="98"/>
      <c r="RJW27" s="98"/>
      <c r="RJX27" s="98"/>
      <c r="RJY27" s="98"/>
      <c r="RJZ27" s="98"/>
      <c r="RKA27" s="98"/>
      <c r="RKB27" s="98"/>
      <c r="RKC27" s="98"/>
      <c r="RKD27" s="98"/>
      <c r="RKE27" s="98"/>
      <c r="RKF27" s="98"/>
      <c r="RKG27" s="98"/>
      <c r="RKH27" s="98"/>
      <c r="RKI27" s="98"/>
      <c r="RKJ27" s="98"/>
      <c r="RKK27" s="98"/>
      <c r="RKL27" s="98"/>
      <c r="RKM27" s="98"/>
      <c r="RKN27" s="98"/>
      <c r="RKO27" s="98"/>
      <c r="RKP27" s="98"/>
      <c r="RKQ27" s="98"/>
      <c r="RKR27" s="98"/>
      <c r="RKS27" s="98"/>
      <c r="RKT27" s="98"/>
      <c r="RKU27" s="98"/>
      <c r="RKV27" s="98"/>
      <c r="RKW27" s="98"/>
      <c r="RKX27" s="98"/>
      <c r="RKY27" s="98"/>
      <c r="RKZ27" s="98"/>
      <c r="RLA27" s="98"/>
      <c r="RLB27" s="98"/>
      <c r="RLC27" s="98"/>
      <c r="RLD27" s="98"/>
      <c r="RLE27" s="98"/>
      <c r="RLF27" s="98"/>
      <c r="RLG27" s="98"/>
      <c r="RLH27" s="98"/>
      <c r="RLI27" s="98"/>
      <c r="RLJ27" s="98"/>
      <c r="RLK27" s="98"/>
      <c r="RLL27" s="98"/>
      <c r="RLM27" s="98"/>
      <c r="RLN27" s="98"/>
      <c r="RLO27" s="98"/>
      <c r="RLP27" s="98"/>
      <c r="RLQ27" s="98"/>
      <c r="RLR27" s="98"/>
      <c r="RLS27" s="98"/>
      <c r="RLT27" s="98"/>
      <c r="RLU27" s="98"/>
      <c r="RLV27" s="98"/>
      <c r="RLW27" s="98"/>
      <c r="RLX27" s="98"/>
      <c r="RLY27" s="98"/>
      <c r="RLZ27" s="98"/>
      <c r="RMA27" s="98"/>
      <c r="RMB27" s="98"/>
      <c r="RMC27" s="98"/>
      <c r="RMD27" s="98"/>
      <c r="RME27" s="98"/>
      <c r="RMF27" s="98"/>
      <c r="RMG27" s="98"/>
      <c r="RMH27" s="98"/>
      <c r="RMI27" s="98"/>
      <c r="RMJ27" s="98"/>
      <c r="RMK27" s="98"/>
      <c r="RML27" s="98"/>
      <c r="RMM27" s="98"/>
      <c r="RMN27" s="98"/>
      <c r="RMO27" s="98"/>
      <c r="RMP27" s="98"/>
      <c r="RMQ27" s="98"/>
      <c r="RMR27" s="98"/>
      <c r="RMS27" s="98"/>
      <c r="RMT27" s="98"/>
      <c r="RMU27" s="98"/>
      <c r="RMV27" s="98"/>
      <c r="RMW27" s="98"/>
      <c r="RMX27" s="98"/>
      <c r="RMY27" s="98"/>
      <c r="RMZ27" s="98"/>
      <c r="RNA27" s="98"/>
      <c r="RNB27" s="98"/>
      <c r="RNC27" s="98"/>
      <c r="RND27" s="98"/>
      <c r="RNE27" s="98"/>
      <c r="RNF27" s="98"/>
      <c r="RNG27" s="98"/>
      <c r="RNH27" s="98"/>
      <c r="RNI27" s="98"/>
      <c r="RNJ27" s="98"/>
      <c r="RNK27" s="98"/>
      <c r="RNL27" s="98"/>
      <c r="RNM27" s="98"/>
      <c r="RNN27" s="98"/>
      <c r="RNO27" s="98"/>
      <c r="RNP27" s="98"/>
      <c r="RNQ27" s="98"/>
      <c r="RNR27" s="98"/>
      <c r="RNS27" s="98"/>
      <c r="RNT27" s="98"/>
      <c r="RNU27" s="98"/>
      <c r="RNV27" s="98"/>
      <c r="RNW27" s="98"/>
      <c r="RNX27" s="98"/>
      <c r="RNY27" s="98"/>
      <c r="RNZ27" s="98"/>
      <c r="ROA27" s="98"/>
      <c r="ROB27" s="98"/>
      <c r="ROC27" s="98"/>
      <c r="ROD27" s="98"/>
      <c r="ROE27" s="98"/>
      <c r="ROF27" s="98"/>
      <c r="ROG27" s="98"/>
      <c r="ROH27" s="98"/>
      <c r="ROI27" s="98"/>
      <c r="ROJ27" s="98"/>
      <c r="ROK27" s="98"/>
      <c r="ROL27" s="98"/>
      <c r="ROM27" s="98"/>
      <c r="RON27" s="98"/>
      <c r="ROO27" s="98"/>
      <c r="ROP27" s="98"/>
      <c r="ROQ27" s="98"/>
      <c r="ROR27" s="98"/>
      <c r="ROS27" s="98"/>
      <c r="ROT27" s="98"/>
      <c r="ROU27" s="98"/>
      <c r="ROV27" s="98"/>
      <c r="ROW27" s="98"/>
      <c r="ROX27" s="98"/>
      <c r="ROY27" s="98"/>
      <c r="ROZ27" s="98"/>
      <c r="RPA27" s="98"/>
      <c r="RPB27" s="98"/>
      <c r="RPC27" s="98"/>
      <c r="RPD27" s="98"/>
      <c r="RPE27" s="98"/>
      <c r="RPF27" s="98"/>
      <c r="RPG27" s="98"/>
      <c r="RPH27" s="98"/>
      <c r="RPI27" s="98"/>
      <c r="RPJ27" s="98"/>
      <c r="RPK27" s="98"/>
      <c r="RPL27" s="98"/>
      <c r="RPM27" s="98"/>
      <c r="RPN27" s="98"/>
      <c r="RPO27" s="98"/>
      <c r="RPP27" s="98"/>
      <c r="RPQ27" s="98"/>
      <c r="RPR27" s="98"/>
      <c r="RPS27" s="98"/>
      <c r="RPT27" s="98"/>
      <c r="RPU27" s="98"/>
      <c r="RPV27" s="98"/>
      <c r="RPW27" s="98"/>
      <c r="RPX27" s="98"/>
      <c r="RPY27" s="98"/>
      <c r="RPZ27" s="98"/>
      <c r="RQA27" s="98"/>
      <c r="RQB27" s="98"/>
      <c r="RQC27" s="98"/>
      <c r="RQD27" s="98"/>
      <c r="RQE27" s="98"/>
      <c r="RQF27" s="98"/>
      <c r="RQG27" s="98"/>
      <c r="RQH27" s="98"/>
      <c r="RQI27" s="98"/>
      <c r="RQJ27" s="98"/>
      <c r="RQK27" s="98"/>
      <c r="RQL27" s="98"/>
      <c r="RQM27" s="98"/>
      <c r="RQN27" s="98"/>
      <c r="RQO27" s="98"/>
      <c r="RQP27" s="98"/>
      <c r="RQQ27" s="98"/>
      <c r="RQR27" s="98"/>
      <c r="RQS27" s="98"/>
      <c r="RQT27" s="98"/>
      <c r="RQU27" s="98"/>
      <c r="RQV27" s="98"/>
      <c r="RQW27" s="98"/>
      <c r="RQX27" s="98"/>
      <c r="RQY27" s="98"/>
      <c r="RQZ27" s="98"/>
      <c r="RRA27" s="98"/>
      <c r="RRB27" s="98"/>
      <c r="RRC27" s="98"/>
      <c r="RRD27" s="98"/>
      <c r="RRE27" s="98"/>
      <c r="RRF27" s="98"/>
      <c r="RRG27" s="98"/>
      <c r="RRH27" s="98"/>
      <c r="RRI27" s="98"/>
      <c r="RRJ27" s="98"/>
      <c r="RRK27" s="98"/>
      <c r="RRL27" s="98"/>
      <c r="RRM27" s="98"/>
      <c r="RRN27" s="98"/>
      <c r="RRO27" s="98"/>
      <c r="RRP27" s="98"/>
      <c r="RRQ27" s="98"/>
      <c r="RRR27" s="98"/>
      <c r="RRS27" s="98"/>
      <c r="RRT27" s="98"/>
      <c r="RRU27" s="98"/>
      <c r="RRV27" s="98"/>
      <c r="RRW27" s="98"/>
      <c r="RRX27" s="98"/>
      <c r="RRY27" s="98"/>
      <c r="RRZ27" s="98"/>
      <c r="RSA27" s="98"/>
      <c r="RSB27" s="98"/>
      <c r="RSC27" s="98"/>
      <c r="RSD27" s="98"/>
      <c r="RSE27" s="98"/>
      <c r="RSF27" s="98"/>
      <c r="RSG27" s="98"/>
      <c r="RSH27" s="98"/>
      <c r="RSI27" s="98"/>
      <c r="RSJ27" s="98"/>
      <c r="RSK27" s="98"/>
      <c r="RSL27" s="98"/>
      <c r="RSM27" s="98"/>
      <c r="RSN27" s="98"/>
      <c r="RSO27" s="98"/>
      <c r="RSP27" s="98"/>
      <c r="RSQ27" s="98"/>
      <c r="RSR27" s="98"/>
      <c r="RSS27" s="98"/>
      <c r="RST27" s="98"/>
      <c r="RSU27" s="98"/>
      <c r="RSV27" s="98"/>
      <c r="RSW27" s="98"/>
      <c r="RSX27" s="98"/>
      <c r="RSY27" s="98"/>
      <c r="RSZ27" s="98"/>
      <c r="RTA27" s="98"/>
      <c r="RTB27" s="98"/>
      <c r="RTC27" s="98"/>
      <c r="RTD27" s="98"/>
      <c r="RTE27" s="98"/>
      <c r="RTF27" s="98"/>
      <c r="RTG27" s="98"/>
      <c r="RTH27" s="98"/>
      <c r="RTI27" s="98"/>
      <c r="RTJ27" s="98"/>
      <c r="RTK27" s="98"/>
      <c r="RTL27" s="98"/>
      <c r="RTM27" s="98"/>
      <c r="RTN27" s="98"/>
      <c r="RTO27" s="98"/>
      <c r="RTP27" s="98"/>
      <c r="RTQ27" s="98"/>
      <c r="RTR27" s="98"/>
      <c r="RTS27" s="98"/>
      <c r="RTT27" s="98"/>
      <c r="RTU27" s="98"/>
      <c r="RTV27" s="98"/>
      <c r="RTW27" s="98"/>
      <c r="RTX27" s="98"/>
      <c r="RTY27" s="98"/>
      <c r="RTZ27" s="98"/>
      <c r="RUA27" s="98"/>
      <c r="RUB27" s="98"/>
      <c r="RUC27" s="98"/>
      <c r="RUD27" s="98"/>
      <c r="RUE27" s="98"/>
      <c r="RUF27" s="98"/>
      <c r="RUG27" s="98"/>
      <c r="RUH27" s="98"/>
      <c r="RUI27" s="98"/>
      <c r="RUJ27" s="98"/>
      <c r="RUK27" s="98"/>
      <c r="RUL27" s="98"/>
      <c r="RUM27" s="98"/>
      <c r="RUN27" s="98"/>
      <c r="RUO27" s="98"/>
      <c r="RUP27" s="98"/>
      <c r="RUQ27" s="98"/>
      <c r="RUR27" s="98"/>
      <c r="RUS27" s="98"/>
      <c r="RUT27" s="98"/>
      <c r="RUU27" s="98"/>
      <c r="RUV27" s="98"/>
      <c r="RUW27" s="98"/>
      <c r="RUX27" s="98"/>
      <c r="RUY27" s="98"/>
      <c r="RUZ27" s="98"/>
      <c r="RVA27" s="98"/>
      <c r="RVB27" s="98"/>
      <c r="RVC27" s="98"/>
      <c r="RVD27" s="98"/>
      <c r="RVE27" s="98"/>
      <c r="RVF27" s="98"/>
      <c r="RVG27" s="98"/>
      <c r="RVH27" s="98"/>
      <c r="RVI27" s="98"/>
      <c r="RVJ27" s="98"/>
      <c r="RVK27" s="98"/>
      <c r="RVL27" s="98"/>
      <c r="RVM27" s="98"/>
      <c r="RVN27" s="98"/>
      <c r="RVO27" s="98"/>
      <c r="RVP27" s="98"/>
      <c r="RVQ27" s="98"/>
      <c r="RVR27" s="98"/>
      <c r="RVS27" s="98"/>
      <c r="RVT27" s="98"/>
      <c r="RVU27" s="98"/>
      <c r="RVV27" s="98"/>
      <c r="RVW27" s="98"/>
      <c r="RVX27" s="98"/>
      <c r="RVY27" s="98"/>
      <c r="RVZ27" s="98"/>
      <c r="RWA27" s="98"/>
      <c r="RWB27" s="98"/>
      <c r="RWC27" s="98"/>
      <c r="RWD27" s="98"/>
      <c r="RWE27" s="98"/>
      <c r="RWF27" s="98"/>
      <c r="RWG27" s="98"/>
      <c r="RWH27" s="98"/>
      <c r="RWI27" s="98"/>
      <c r="RWJ27" s="98"/>
      <c r="RWK27" s="98"/>
      <c r="RWL27" s="98"/>
      <c r="RWM27" s="98"/>
      <c r="RWN27" s="98"/>
      <c r="RWO27" s="98"/>
      <c r="RWP27" s="98"/>
      <c r="RWQ27" s="98"/>
      <c r="RWR27" s="98"/>
      <c r="RWS27" s="98"/>
      <c r="RWT27" s="98"/>
      <c r="RWU27" s="98"/>
      <c r="RWV27" s="98"/>
      <c r="RWW27" s="98"/>
      <c r="RWX27" s="98"/>
      <c r="RWY27" s="98"/>
      <c r="RWZ27" s="98"/>
      <c r="RXA27" s="98"/>
      <c r="RXB27" s="98"/>
      <c r="RXC27" s="98"/>
      <c r="RXD27" s="98"/>
      <c r="RXE27" s="98"/>
      <c r="RXF27" s="98"/>
      <c r="RXG27" s="98"/>
      <c r="RXH27" s="98"/>
      <c r="RXI27" s="98"/>
      <c r="RXJ27" s="98"/>
      <c r="RXK27" s="98"/>
      <c r="RXL27" s="98"/>
      <c r="RXM27" s="98"/>
      <c r="RXN27" s="98"/>
      <c r="RXO27" s="98"/>
      <c r="RXP27" s="98"/>
      <c r="RXQ27" s="98"/>
      <c r="RXR27" s="98"/>
      <c r="RXS27" s="98"/>
      <c r="RXT27" s="98"/>
      <c r="RXU27" s="98"/>
      <c r="RXV27" s="98"/>
      <c r="RXW27" s="98"/>
      <c r="RXX27" s="98"/>
      <c r="RXY27" s="98"/>
      <c r="RXZ27" s="98"/>
      <c r="RYA27" s="98"/>
      <c r="RYB27" s="98"/>
      <c r="RYC27" s="98"/>
      <c r="RYD27" s="98"/>
      <c r="RYE27" s="98"/>
      <c r="RYF27" s="98"/>
      <c r="RYG27" s="98"/>
      <c r="RYH27" s="98"/>
      <c r="RYI27" s="98"/>
      <c r="RYJ27" s="98"/>
      <c r="RYK27" s="98"/>
      <c r="RYL27" s="98"/>
      <c r="RYM27" s="98"/>
      <c r="RYN27" s="98"/>
      <c r="RYO27" s="98"/>
      <c r="RYP27" s="98"/>
      <c r="RYQ27" s="98"/>
      <c r="RYR27" s="98"/>
      <c r="RYS27" s="98"/>
      <c r="RYT27" s="98"/>
      <c r="RYU27" s="98"/>
      <c r="RYV27" s="98"/>
      <c r="RYW27" s="98"/>
      <c r="RYX27" s="98"/>
      <c r="RYY27" s="98"/>
      <c r="RYZ27" s="98"/>
      <c r="RZA27" s="98"/>
      <c r="RZB27" s="98"/>
      <c r="RZC27" s="98"/>
      <c r="RZD27" s="98"/>
      <c r="RZE27" s="98"/>
      <c r="RZF27" s="98"/>
      <c r="RZG27" s="98"/>
      <c r="RZH27" s="98"/>
      <c r="RZI27" s="98"/>
      <c r="RZJ27" s="98"/>
      <c r="RZK27" s="98"/>
      <c r="RZL27" s="98"/>
      <c r="RZM27" s="98"/>
      <c r="RZN27" s="98"/>
      <c r="RZO27" s="98"/>
      <c r="RZP27" s="98"/>
      <c r="RZQ27" s="98"/>
      <c r="RZR27" s="98"/>
      <c r="RZS27" s="98"/>
      <c r="RZT27" s="98"/>
      <c r="RZU27" s="98"/>
      <c r="RZV27" s="98"/>
      <c r="RZW27" s="98"/>
      <c r="RZX27" s="98"/>
      <c r="RZY27" s="98"/>
      <c r="RZZ27" s="98"/>
      <c r="SAA27" s="98"/>
      <c r="SAB27" s="98"/>
      <c r="SAC27" s="98"/>
      <c r="SAD27" s="98"/>
      <c r="SAE27" s="98"/>
      <c r="SAF27" s="98"/>
      <c r="SAG27" s="98"/>
      <c r="SAH27" s="98"/>
      <c r="SAI27" s="98"/>
      <c r="SAJ27" s="98"/>
      <c r="SAK27" s="98"/>
      <c r="SAL27" s="98"/>
      <c r="SAM27" s="98"/>
      <c r="SAN27" s="98"/>
      <c r="SAO27" s="98"/>
      <c r="SAP27" s="98"/>
      <c r="SAQ27" s="98"/>
      <c r="SAR27" s="98"/>
      <c r="SAS27" s="98"/>
      <c r="SAT27" s="98"/>
      <c r="SAU27" s="98"/>
      <c r="SAV27" s="98"/>
      <c r="SAW27" s="98"/>
      <c r="SAX27" s="98"/>
      <c r="SAY27" s="98"/>
      <c r="SAZ27" s="98"/>
      <c r="SBA27" s="98"/>
      <c r="SBB27" s="98"/>
      <c r="SBC27" s="98"/>
      <c r="SBD27" s="98"/>
      <c r="SBE27" s="98"/>
      <c r="SBF27" s="98"/>
      <c r="SBG27" s="98"/>
      <c r="SBH27" s="98"/>
      <c r="SBI27" s="98"/>
      <c r="SBJ27" s="98"/>
      <c r="SBK27" s="98"/>
      <c r="SBL27" s="98"/>
      <c r="SBM27" s="98"/>
      <c r="SBN27" s="98"/>
      <c r="SBO27" s="98"/>
      <c r="SBP27" s="98"/>
      <c r="SBQ27" s="98"/>
      <c r="SBR27" s="98"/>
      <c r="SBS27" s="98"/>
      <c r="SBT27" s="98"/>
      <c r="SBU27" s="98"/>
      <c r="SBV27" s="98"/>
      <c r="SBW27" s="98"/>
      <c r="SBX27" s="98"/>
      <c r="SBY27" s="98"/>
      <c r="SBZ27" s="98"/>
      <c r="SCA27" s="98"/>
      <c r="SCB27" s="98"/>
      <c r="SCC27" s="98"/>
      <c r="SCD27" s="98"/>
      <c r="SCE27" s="98"/>
      <c r="SCF27" s="98"/>
      <c r="SCG27" s="98"/>
      <c r="SCH27" s="98"/>
      <c r="SCI27" s="98"/>
      <c r="SCJ27" s="98"/>
      <c r="SCK27" s="98"/>
      <c r="SCL27" s="98"/>
      <c r="SCM27" s="98"/>
      <c r="SCN27" s="98"/>
      <c r="SCO27" s="98"/>
      <c r="SCP27" s="98"/>
      <c r="SCQ27" s="98"/>
      <c r="SCR27" s="98"/>
      <c r="SCS27" s="98"/>
      <c r="SCT27" s="98"/>
      <c r="SCU27" s="98"/>
      <c r="SCV27" s="98"/>
      <c r="SCW27" s="98"/>
      <c r="SCX27" s="98"/>
      <c r="SCY27" s="98"/>
      <c r="SCZ27" s="98"/>
      <c r="SDA27" s="98"/>
      <c r="SDB27" s="98"/>
      <c r="SDC27" s="98"/>
      <c r="SDD27" s="98"/>
      <c r="SDE27" s="98"/>
      <c r="SDF27" s="98"/>
      <c r="SDG27" s="98"/>
      <c r="SDH27" s="98"/>
      <c r="SDI27" s="98"/>
      <c r="SDJ27" s="98"/>
      <c r="SDK27" s="98"/>
      <c r="SDL27" s="98"/>
      <c r="SDM27" s="98"/>
      <c r="SDN27" s="98"/>
      <c r="SDO27" s="98"/>
      <c r="SDP27" s="98"/>
      <c r="SDQ27" s="98"/>
      <c r="SDR27" s="98"/>
      <c r="SDS27" s="98"/>
      <c r="SDT27" s="98"/>
      <c r="SDU27" s="98"/>
      <c r="SDV27" s="98"/>
      <c r="SDW27" s="98"/>
      <c r="SDX27" s="98"/>
      <c r="SDY27" s="98"/>
      <c r="SDZ27" s="98"/>
      <c r="SEA27" s="98"/>
      <c r="SEB27" s="98"/>
      <c r="SEC27" s="98"/>
      <c r="SED27" s="98"/>
      <c r="SEE27" s="98"/>
      <c r="SEF27" s="98"/>
      <c r="SEG27" s="98"/>
      <c r="SEH27" s="98"/>
      <c r="SEI27" s="98"/>
      <c r="SEJ27" s="98"/>
      <c r="SEK27" s="98"/>
      <c r="SEL27" s="98"/>
      <c r="SEM27" s="98"/>
      <c r="SEN27" s="98"/>
      <c r="SEO27" s="98"/>
      <c r="SEP27" s="98"/>
      <c r="SEQ27" s="98"/>
      <c r="SER27" s="98"/>
      <c r="SES27" s="98"/>
      <c r="SET27" s="98"/>
      <c r="SEU27" s="98"/>
      <c r="SEV27" s="98"/>
      <c r="SEW27" s="98"/>
      <c r="SEX27" s="98"/>
      <c r="SEY27" s="98"/>
      <c r="SEZ27" s="98"/>
      <c r="SFA27" s="98"/>
      <c r="SFB27" s="98"/>
      <c r="SFC27" s="98"/>
      <c r="SFD27" s="98"/>
      <c r="SFE27" s="98"/>
      <c r="SFF27" s="98"/>
      <c r="SFG27" s="98"/>
      <c r="SFH27" s="98"/>
      <c r="SFI27" s="98"/>
      <c r="SFJ27" s="98"/>
      <c r="SFK27" s="98"/>
      <c r="SFL27" s="98"/>
      <c r="SFM27" s="98"/>
      <c r="SFN27" s="98"/>
      <c r="SFO27" s="98"/>
      <c r="SFP27" s="98"/>
      <c r="SFQ27" s="98"/>
      <c r="SFR27" s="98"/>
      <c r="SFS27" s="98"/>
      <c r="SFT27" s="98"/>
      <c r="SFU27" s="98"/>
      <c r="SFV27" s="98"/>
      <c r="SFW27" s="98"/>
      <c r="SFX27" s="98"/>
      <c r="SFY27" s="98"/>
      <c r="SFZ27" s="98"/>
      <c r="SGA27" s="98"/>
      <c r="SGB27" s="98"/>
      <c r="SGC27" s="98"/>
      <c r="SGD27" s="98"/>
      <c r="SGE27" s="98"/>
      <c r="SGF27" s="98"/>
      <c r="SGG27" s="98"/>
      <c r="SGH27" s="98"/>
      <c r="SGI27" s="98"/>
      <c r="SGJ27" s="98"/>
      <c r="SGK27" s="98"/>
      <c r="SGL27" s="98"/>
      <c r="SGM27" s="98"/>
      <c r="SGN27" s="98"/>
      <c r="SGO27" s="98"/>
      <c r="SGP27" s="98"/>
      <c r="SGQ27" s="98"/>
      <c r="SGR27" s="98"/>
      <c r="SGS27" s="98"/>
      <c r="SGT27" s="98"/>
      <c r="SGU27" s="98"/>
      <c r="SGV27" s="98"/>
      <c r="SGW27" s="98"/>
      <c r="SGX27" s="98"/>
      <c r="SGY27" s="98"/>
      <c r="SGZ27" s="98"/>
      <c r="SHA27" s="98"/>
      <c r="SHB27" s="98"/>
      <c r="SHC27" s="98"/>
      <c r="SHD27" s="98"/>
      <c r="SHE27" s="98"/>
      <c r="SHF27" s="98"/>
      <c r="SHG27" s="98"/>
      <c r="SHH27" s="98"/>
      <c r="SHI27" s="98"/>
      <c r="SHJ27" s="98"/>
      <c r="SHK27" s="98"/>
      <c r="SHL27" s="98"/>
      <c r="SHM27" s="98"/>
      <c r="SHN27" s="98"/>
      <c r="SHO27" s="98"/>
      <c r="SHP27" s="98"/>
      <c r="SHQ27" s="98"/>
      <c r="SHR27" s="98"/>
      <c r="SHS27" s="98"/>
      <c r="SHT27" s="98"/>
      <c r="SHU27" s="98"/>
      <c r="SHV27" s="98"/>
      <c r="SHW27" s="98"/>
      <c r="SHX27" s="98"/>
      <c r="SHY27" s="98"/>
      <c r="SHZ27" s="98"/>
      <c r="SIA27" s="98"/>
      <c r="SIB27" s="98"/>
      <c r="SIC27" s="98"/>
      <c r="SID27" s="98"/>
      <c r="SIE27" s="98"/>
      <c r="SIF27" s="98"/>
      <c r="SIG27" s="98"/>
      <c r="SIH27" s="98"/>
      <c r="SII27" s="98"/>
      <c r="SIJ27" s="98"/>
      <c r="SIK27" s="98"/>
      <c r="SIL27" s="98"/>
      <c r="SIM27" s="98"/>
      <c r="SIN27" s="98"/>
      <c r="SIO27" s="98"/>
      <c r="SIP27" s="98"/>
      <c r="SIQ27" s="98"/>
      <c r="SIR27" s="98"/>
      <c r="SIS27" s="98"/>
      <c r="SIT27" s="98"/>
      <c r="SIU27" s="98"/>
      <c r="SIV27" s="98"/>
      <c r="SIW27" s="98"/>
      <c r="SIX27" s="98"/>
      <c r="SIY27" s="98"/>
      <c r="SIZ27" s="98"/>
      <c r="SJA27" s="98"/>
      <c r="SJB27" s="98"/>
      <c r="SJC27" s="98"/>
      <c r="SJD27" s="98"/>
      <c r="SJE27" s="98"/>
      <c r="SJF27" s="98"/>
      <c r="SJG27" s="98"/>
      <c r="SJH27" s="98"/>
      <c r="SJI27" s="98"/>
      <c r="SJJ27" s="98"/>
      <c r="SJK27" s="98"/>
      <c r="SJL27" s="98"/>
      <c r="SJM27" s="98"/>
      <c r="SJN27" s="98"/>
      <c r="SJO27" s="98"/>
      <c r="SJP27" s="98"/>
      <c r="SJQ27" s="98"/>
      <c r="SJR27" s="98"/>
      <c r="SJS27" s="98"/>
      <c r="SJT27" s="98"/>
      <c r="SJU27" s="98"/>
      <c r="SJV27" s="98"/>
      <c r="SJW27" s="98"/>
      <c r="SJX27" s="98"/>
      <c r="SJY27" s="98"/>
      <c r="SJZ27" s="98"/>
      <c r="SKA27" s="98"/>
      <c r="SKB27" s="98"/>
      <c r="SKC27" s="98"/>
      <c r="SKD27" s="98"/>
      <c r="SKE27" s="98"/>
      <c r="SKF27" s="98"/>
      <c r="SKG27" s="98"/>
      <c r="SKH27" s="98"/>
      <c r="SKI27" s="98"/>
      <c r="SKJ27" s="98"/>
      <c r="SKK27" s="98"/>
      <c r="SKL27" s="98"/>
      <c r="SKM27" s="98"/>
      <c r="SKN27" s="98"/>
      <c r="SKO27" s="98"/>
      <c r="SKP27" s="98"/>
      <c r="SKQ27" s="98"/>
      <c r="SKR27" s="98"/>
      <c r="SKS27" s="98"/>
      <c r="SKT27" s="98"/>
      <c r="SKU27" s="98"/>
      <c r="SKV27" s="98"/>
      <c r="SKW27" s="98"/>
      <c r="SKX27" s="98"/>
      <c r="SKY27" s="98"/>
      <c r="SKZ27" s="98"/>
      <c r="SLA27" s="98"/>
      <c r="SLB27" s="98"/>
      <c r="SLC27" s="98"/>
      <c r="SLD27" s="98"/>
      <c r="SLE27" s="98"/>
      <c r="SLF27" s="98"/>
      <c r="SLG27" s="98"/>
      <c r="SLH27" s="98"/>
      <c r="SLI27" s="98"/>
      <c r="SLJ27" s="98"/>
      <c r="SLK27" s="98"/>
      <c r="SLL27" s="98"/>
      <c r="SLM27" s="98"/>
      <c r="SLN27" s="98"/>
      <c r="SLO27" s="98"/>
      <c r="SLP27" s="98"/>
      <c r="SLQ27" s="98"/>
      <c r="SLR27" s="98"/>
      <c r="SLS27" s="98"/>
      <c r="SLT27" s="98"/>
      <c r="SLU27" s="98"/>
      <c r="SLV27" s="98"/>
      <c r="SLW27" s="98"/>
      <c r="SLX27" s="98"/>
      <c r="SLY27" s="98"/>
      <c r="SLZ27" s="98"/>
      <c r="SMA27" s="98"/>
      <c r="SMB27" s="98"/>
      <c r="SMC27" s="98"/>
      <c r="SMD27" s="98"/>
      <c r="SME27" s="98"/>
      <c r="SMF27" s="98"/>
      <c r="SMG27" s="98"/>
      <c r="SMH27" s="98"/>
      <c r="SMI27" s="98"/>
      <c r="SMJ27" s="98"/>
      <c r="SMK27" s="98"/>
      <c r="SML27" s="98"/>
      <c r="SMM27" s="98"/>
      <c r="SMN27" s="98"/>
      <c r="SMO27" s="98"/>
      <c r="SMP27" s="98"/>
      <c r="SMQ27" s="98"/>
      <c r="SMR27" s="98"/>
      <c r="SMS27" s="98"/>
      <c r="SMT27" s="98"/>
      <c r="SMU27" s="98"/>
      <c r="SMV27" s="98"/>
      <c r="SMW27" s="98"/>
      <c r="SMX27" s="98"/>
      <c r="SMY27" s="98"/>
      <c r="SMZ27" s="98"/>
      <c r="SNA27" s="98"/>
      <c r="SNB27" s="98"/>
      <c r="SNC27" s="98"/>
      <c r="SND27" s="98"/>
      <c r="SNE27" s="98"/>
      <c r="SNF27" s="98"/>
      <c r="SNG27" s="98"/>
      <c r="SNH27" s="98"/>
      <c r="SNI27" s="98"/>
      <c r="SNJ27" s="98"/>
      <c r="SNK27" s="98"/>
      <c r="SNL27" s="98"/>
      <c r="SNM27" s="98"/>
      <c r="SNN27" s="98"/>
      <c r="SNO27" s="98"/>
      <c r="SNP27" s="98"/>
      <c r="SNQ27" s="98"/>
      <c r="SNR27" s="98"/>
      <c r="SNS27" s="98"/>
      <c r="SNT27" s="98"/>
      <c r="SNU27" s="98"/>
      <c r="SNV27" s="98"/>
      <c r="SNW27" s="98"/>
      <c r="SNX27" s="98"/>
      <c r="SNY27" s="98"/>
      <c r="SNZ27" s="98"/>
      <c r="SOA27" s="98"/>
      <c r="SOB27" s="98"/>
      <c r="SOC27" s="98"/>
      <c r="SOD27" s="98"/>
      <c r="SOE27" s="98"/>
      <c r="SOF27" s="98"/>
      <c r="SOG27" s="98"/>
      <c r="SOH27" s="98"/>
      <c r="SOI27" s="98"/>
      <c r="SOJ27" s="98"/>
      <c r="SOK27" s="98"/>
      <c r="SOL27" s="98"/>
      <c r="SOM27" s="98"/>
      <c r="SON27" s="98"/>
      <c r="SOO27" s="98"/>
      <c r="SOP27" s="98"/>
      <c r="SOQ27" s="98"/>
      <c r="SOR27" s="98"/>
      <c r="SOS27" s="98"/>
      <c r="SOT27" s="98"/>
      <c r="SOU27" s="98"/>
      <c r="SOV27" s="98"/>
      <c r="SOW27" s="98"/>
      <c r="SOX27" s="98"/>
      <c r="SOY27" s="98"/>
      <c r="SOZ27" s="98"/>
      <c r="SPA27" s="98"/>
      <c r="SPB27" s="98"/>
      <c r="SPC27" s="98"/>
      <c r="SPD27" s="98"/>
      <c r="SPE27" s="98"/>
      <c r="SPF27" s="98"/>
      <c r="SPG27" s="98"/>
      <c r="SPH27" s="98"/>
      <c r="SPI27" s="98"/>
      <c r="SPJ27" s="98"/>
      <c r="SPK27" s="98"/>
      <c r="SPL27" s="98"/>
      <c r="SPM27" s="98"/>
      <c r="SPN27" s="98"/>
      <c r="SPO27" s="98"/>
      <c r="SPP27" s="98"/>
      <c r="SPQ27" s="98"/>
      <c r="SPR27" s="98"/>
      <c r="SPS27" s="98"/>
      <c r="SPT27" s="98"/>
      <c r="SPU27" s="98"/>
      <c r="SPV27" s="98"/>
      <c r="SPW27" s="98"/>
      <c r="SPX27" s="98"/>
      <c r="SPY27" s="98"/>
      <c r="SPZ27" s="98"/>
      <c r="SQA27" s="98"/>
      <c r="SQB27" s="98"/>
      <c r="SQC27" s="98"/>
      <c r="SQD27" s="98"/>
      <c r="SQE27" s="98"/>
      <c r="SQF27" s="98"/>
      <c r="SQG27" s="98"/>
      <c r="SQH27" s="98"/>
      <c r="SQI27" s="98"/>
      <c r="SQJ27" s="98"/>
      <c r="SQK27" s="98"/>
      <c r="SQL27" s="98"/>
      <c r="SQM27" s="98"/>
      <c r="SQN27" s="98"/>
      <c r="SQO27" s="98"/>
      <c r="SQP27" s="98"/>
      <c r="SQQ27" s="98"/>
      <c r="SQR27" s="98"/>
      <c r="SQS27" s="98"/>
      <c r="SQT27" s="98"/>
      <c r="SQU27" s="98"/>
      <c r="SQV27" s="98"/>
      <c r="SQW27" s="98"/>
      <c r="SQX27" s="98"/>
      <c r="SQY27" s="98"/>
      <c r="SQZ27" s="98"/>
      <c r="SRA27" s="98"/>
      <c r="SRB27" s="98"/>
      <c r="SRC27" s="98"/>
      <c r="SRD27" s="98"/>
      <c r="SRE27" s="98"/>
      <c r="SRF27" s="98"/>
      <c r="SRG27" s="98"/>
      <c r="SRH27" s="98"/>
      <c r="SRI27" s="98"/>
      <c r="SRJ27" s="98"/>
      <c r="SRK27" s="98"/>
      <c r="SRL27" s="98"/>
      <c r="SRM27" s="98"/>
      <c r="SRN27" s="98"/>
      <c r="SRO27" s="98"/>
      <c r="SRP27" s="98"/>
      <c r="SRQ27" s="98"/>
      <c r="SRR27" s="98"/>
      <c r="SRS27" s="98"/>
      <c r="SRT27" s="98"/>
      <c r="SRU27" s="98"/>
      <c r="SRV27" s="98"/>
      <c r="SRW27" s="98"/>
      <c r="SRX27" s="98"/>
      <c r="SRY27" s="98"/>
      <c r="SRZ27" s="98"/>
      <c r="SSA27" s="98"/>
      <c r="SSB27" s="98"/>
      <c r="SSC27" s="98"/>
      <c r="SSD27" s="98"/>
      <c r="SSE27" s="98"/>
      <c r="SSF27" s="98"/>
      <c r="SSG27" s="98"/>
      <c r="SSH27" s="98"/>
      <c r="SSI27" s="98"/>
      <c r="SSJ27" s="98"/>
      <c r="SSK27" s="98"/>
      <c r="SSL27" s="98"/>
      <c r="SSM27" s="98"/>
      <c r="SSN27" s="98"/>
      <c r="SSO27" s="98"/>
      <c r="SSP27" s="98"/>
      <c r="SSQ27" s="98"/>
      <c r="SSR27" s="98"/>
      <c r="SSS27" s="98"/>
      <c r="SST27" s="98"/>
      <c r="SSU27" s="98"/>
      <c r="SSV27" s="98"/>
      <c r="SSW27" s="98"/>
      <c r="SSX27" s="98"/>
      <c r="SSY27" s="98"/>
      <c r="SSZ27" s="98"/>
      <c r="STA27" s="98"/>
      <c r="STB27" s="98"/>
      <c r="STC27" s="98"/>
      <c r="STD27" s="98"/>
      <c r="STE27" s="98"/>
      <c r="STF27" s="98"/>
      <c r="STG27" s="98"/>
      <c r="STH27" s="98"/>
      <c r="STI27" s="98"/>
      <c r="STJ27" s="98"/>
      <c r="STK27" s="98"/>
      <c r="STL27" s="98"/>
      <c r="STM27" s="98"/>
      <c r="STN27" s="98"/>
      <c r="STO27" s="98"/>
      <c r="STP27" s="98"/>
      <c r="STQ27" s="98"/>
      <c r="STR27" s="98"/>
      <c r="STS27" s="98"/>
      <c r="STT27" s="98"/>
      <c r="STU27" s="98"/>
      <c r="STV27" s="98"/>
      <c r="STW27" s="98"/>
      <c r="STX27" s="98"/>
      <c r="STY27" s="98"/>
      <c r="STZ27" s="98"/>
      <c r="SUA27" s="98"/>
      <c r="SUB27" s="98"/>
      <c r="SUC27" s="98"/>
      <c r="SUD27" s="98"/>
      <c r="SUE27" s="98"/>
      <c r="SUF27" s="98"/>
      <c r="SUG27" s="98"/>
      <c r="SUH27" s="98"/>
      <c r="SUI27" s="98"/>
      <c r="SUJ27" s="98"/>
      <c r="SUK27" s="98"/>
      <c r="SUL27" s="98"/>
      <c r="SUM27" s="98"/>
      <c r="SUN27" s="98"/>
      <c r="SUO27" s="98"/>
      <c r="SUP27" s="98"/>
      <c r="SUQ27" s="98"/>
      <c r="SUR27" s="98"/>
      <c r="SUS27" s="98"/>
      <c r="SUT27" s="98"/>
      <c r="SUU27" s="98"/>
      <c r="SUV27" s="98"/>
      <c r="SUW27" s="98"/>
      <c r="SUX27" s="98"/>
      <c r="SUY27" s="98"/>
      <c r="SUZ27" s="98"/>
      <c r="SVA27" s="98"/>
      <c r="SVB27" s="98"/>
      <c r="SVC27" s="98"/>
      <c r="SVD27" s="98"/>
      <c r="SVE27" s="98"/>
      <c r="SVF27" s="98"/>
      <c r="SVG27" s="98"/>
      <c r="SVH27" s="98"/>
      <c r="SVI27" s="98"/>
      <c r="SVJ27" s="98"/>
      <c r="SVK27" s="98"/>
      <c r="SVL27" s="98"/>
      <c r="SVM27" s="98"/>
      <c r="SVN27" s="98"/>
      <c r="SVO27" s="98"/>
      <c r="SVP27" s="98"/>
      <c r="SVQ27" s="98"/>
      <c r="SVR27" s="98"/>
      <c r="SVS27" s="98"/>
      <c r="SVT27" s="98"/>
      <c r="SVU27" s="98"/>
      <c r="SVV27" s="98"/>
      <c r="SVW27" s="98"/>
      <c r="SVX27" s="98"/>
      <c r="SVY27" s="98"/>
      <c r="SVZ27" s="98"/>
      <c r="SWA27" s="98"/>
      <c r="SWB27" s="98"/>
      <c r="SWC27" s="98"/>
      <c r="SWD27" s="98"/>
      <c r="SWE27" s="98"/>
      <c r="SWF27" s="98"/>
      <c r="SWG27" s="98"/>
      <c r="SWH27" s="98"/>
      <c r="SWI27" s="98"/>
      <c r="SWJ27" s="98"/>
      <c r="SWK27" s="98"/>
      <c r="SWL27" s="98"/>
      <c r="SWM27" s="98"/>
      <c r="SWN27" s="98"/>
      <c r="SWO27" s="98"/>
      <c r="SWP27" s="98"/>
      <c r="SWQ27" s="98"/>
      <c r="SWR27" s="98"/>
      <c r="SWS27" s="98"/>
      <c r="SWT27" s="98"/>
      <c r="SWU27" s="98"/>
      <c r="SWV27" s="98"/>
      <c r="SWW27" s="98"/>
      <c r="SWX27" s="98"/>
      <c r="SWY27" s="98"/>
      <c r="SWZ27" s="98"/>
      <c r="SXA27" s="98"/>
      <c r="SXB27" s="98"/>
      <c r="SXC27" s="98"/>
      <c r="SXD27" s="98"/>
      <c r="SXE27" s="98"/>
      <c r="SXF27" s="98"/>
      <c r="SXG27" s="98"/>
      <c r="SXH27" s="98"/>
      <c r="SXI27" s="98"/>
      <c r="SXJ27" s="98"/>
      <c r="SXK27" s="98"/>
      <c r="SXL27" s="98"/>
      <c r="SXM27" s="98"/>
      <c r="SXN27" s="98"/>
      <c r="SXO27" s="98"/>
      <c r="SXP27" s="98"/>
      <c r="SXQ27" s="98"/>
      <c r="SXR27" s="98"/>
      <c r="SXS27" s="98"/>
      <c r="SXT27" s="98"/>
      <c r="SXU27" s="98"/>
      <c r="SXV27" s="98"/>
      <c r="SXW27" s="98"/>
      <c r="SXX27" s="98"/>
      <c r="SXY27" s="98"/>
      <c r="SXZ27" s="98"/>
      <c r="SYA27" s="98"/>
      <c r="SYB27" s="98"/>
      <c r="SYC27" s="98"/>
      <c r="SYD27" s="98"/>
      <c r="SYE27" s="98"/>
      <c r="SYF27" s="98"/>
      <c r="SYG27" s="98"/>
      <c r="SYH27" s="98"/>
      <c r="SYI27" s="98"/>
      <c r="SYJ27" s="98"/>
      <c r="SYK27" s="98"/>
      <c r="SYL27" s="98"/>
      <c r="SYM27" s="98"/>
      <c r="SYN27" s="98"/>
      <c r="SYO27" s="98"/>
      <c r="SYP27" s="98"/>
      <c r="SYQ27" s="98"/>
      <c r="SYR27" s="98"/>
      <c r="SYS27" s="98"/>
      <c r="SYT27" s="98"/>
      <c r="SYU27" s="98"/>
      <c r="SYV27" s="98"/>
      <c r="SYW27" s="98"/>
      <c r="SYX27" s="98"/>
      <c r="SYY27" s="98"/>
      <c r="SYZ27" s="98"/>
      <c r="SZA27" s="98"/>
      <c r="SZB27" s="98"/>
      <c r="SZC27" s="98"/>
      <c r="SZD27" s="98"/>
      <c r="SZE27" s="98"/>
      <c r="SZF27" s="98"/>
      <c r="SZG27" s="98"/>
      <c r="SZH27" s="98"/>
      <c r="SZI27" s="98"/>
      <c r="SZJ27" s="98"/>
      <c r="SZK27" s="98"/>
      <c r="SZL27" s="98"/>
      <c r="SZM27" s="98"/>
      <c r="SZN27" s="98"/>
      <c r="SZO27" s="98"/>
      <c r="SZP27" s="98"/>
      <c r="SZQ27" s="98"/>
      <c r="SZR27" s="98"/>
      <c r="SZS27" s="98"/>
      <c r="SZT27" s="98"/>
      <c r="SZU27" s="98"/>
      <c r="SZV27" s="98"/>
      <c r="SZW27" s="98"/>
      <c r="SZX27" s="98"/>
      <c r="SZY27" s="98"/>
      <c r="SZZ27" s="98"/>
      <c r="TAA27" s="98"/>
      <c r="TAB27" s="98"/>
      <c r="TAC27" s="98"/>
      <c r="TAD27" s="98"/>
      <c r="TAE27" s="98"/>
      <c r="TAF27" s="98"/>
      <c r="TAG27" s="98"/>
      <c r="TAH27" s="98"/>
      <c r="TAI27" s="98"/>
      <c r="TAJ27" s="98"/>
      <c r="TAK27" s="98"/>
      <c r="TAL27" s="98"/>
      <c r="TAM27" s="98"/>
      <c r="TAN27" s="98"/>
      <c r="TAO27" s="98"/>
      <c r="TAP27" s="98"/>
      <c r="TAQ27" s="98"/>
      <c r="TAR27" s="98"/>
      <c r="TAS27" s="98"/>
      <c r="TAT27" s="98"/>
      <c r="TAU27" s="98"/>
      <c r="TAV27" s="98"/>
      <c r="TAW27" s="98"/>
      <c r="TAX27" s="98"/>
      <c r="TAY27" s="98"/>
      <c r="TAZ27" s="98"/>
      <c r="TBA27" s="98"/>
      <c r="TBB27" s="98"/>
      <c r="TBC27" s="98"/>
      <c r="TBD27" s="98"/>
      <c r="TBE27" s="98"/>
      <c r="TBF27" s="98"/>
      <c r="TBG27" s="98"/>
      <c r="TBH27" s="98"/>
      <c r="TBI27" s="98"/>
      <c r="TBJ27" s="98"/>
      <c r="TBK27" s="98"/>
      <c r="TBL27" s="98"/>
      <c r="TBM27" s="98"/>
      <c r="TBN27" s="98"/>
      <c r="TBO27" s="98"/>
      <c r="TBP27" s="98"/>
      <c r="TBQ27" s="98"/>
      <c r="TBR27" s="98"/>
      <c r="TBS27" s="98"/>
      <c r="TBT27" s="98"/>
      <c r="TBU27" s="98"/>
      <c r="TBV27" s="98"/>
      <c r="TBW27" s="98"/>
      <c r="TBX27" s="98"/>
      <c r="TBY27" s="98"/>
      <c r="TBZ27" s="98"/>
      <c r="TCA27" s="98"/>
      <c r="TCB27" s="98"/>
      <c r="TCC27" s="98"/>
      <c r="TCD27" s="98"/>
      <c r="TCE27" s="98"/>
      <c r="TCF27" s="98"/>
      <c r="TCG27" s="98"/>
      <c r="TCH27" s="98"/>
      <c r="TCI27" s="98"/>
      <c r="TCJ27" s="98"/>
      <c r="TCK27" s="98"/>
      <c r="TCL27" s="98"/>
      <c r="TCM27" s="98"/>
      <c r="TCN27" s="98"/>
      <c r="TCO27" s="98"/>
      <c r="TCP27" s="98"/>
      <c r="TCQ27" s="98"/>
      <c r="TCR27" s="98"/>
      <c r="TCS27" s="98"/>
      <c r="TCT27" s="98"/>
      <c r="TCU27" s="98"/>
      <c r="TCV27" s="98"/>
      <c r="TCW27" s="98"/>
      <c r="TCX27" s="98"/>
      <c r="TCY27" s="98"/>
      <c r="TCZ27" s="98"/>
      <c r="TDA27" s="98"/>
      <c r="TDB27" s="98"/>
      <c r="TDC27" s="98"/>
      <c r="TDD27" s="98"/>
      <c r="TDE27" s="98"/>
      <c r="TDF27" s="98"/>
      <c r="TDG27" s="98"/>
      <c r="TDH27" s="98"/>
      <c r="TDI27" s="98"/>
      <c r="TDJ27" s="98"/>
      <c r="TDK27" s="98"/>
      <c r="TDL27" s="98"/>
      <c r="TDM27" s="98"/>
      <c r="TDN27" s="98"/>
      <c r="TDO27" s="98"/>
      <c r="TDP27" s="98"/>
      <c r="TDQ27" s="98"/>
      <c r="TDR27" s="98"/>
      <c r="TDS27" s="98"/>
      <c r="TDT27" s="98"/>
      <c r="TDU27" s="98"/>
      <c r="TDV27" s="98"/>
      <c r="TDW27" s="98"/>
      <c r="TDX27" s="98"/>
      <c r="TDY27" s="98"/>
      <c r="TDZ27" s="98"/>
      <c r="TEA27" s="98"/>
      <c r="TEB27" s="98"/>
      <c r="TEC27" s="98"/>
      <c r="TED27" s="98"/>
      <c r="TEE27" s="98"/>
      <c r="TEF27" s="98"/>
      <c r="TEG27" s="98"/>
      <c r="TEH27" s="98"/>
      <c r="TEI27" s="98"/>
      <c r="TEJ27" s="98"/>
      <c r="TEK27" s="98"/>
      <c r="TEL27" s="98"/>
      <c r="TEM27" s="98"/>
      <c r="TEN27" s="98"/>
      <c r="TEO27" s="98"/>
      <c r="TEP27" s="98"/>
      <c r="TEQ27" s="98"/>
      <c r="TER27" s="98"/>
      <c r="TES27" s="98"/>
      <c r="TET27" s="98"/>
      <c r="TEU27" s="98"/>
      <c r="TEV27" s="98"/>
      <c r="TEW27" s="98"/>
      <c r="TEX27" s="98"/>
      <c r="TEY27" s="98"/>
      <c r="TEZ27" s="98"/>
      <c r="TFA27" s="98"/>
      <c r="TFB27" s="98"/>
      <c r="TFC27" s="98"/>
      <c r="TFD27" s="98"/>
      <c r="TFE27" s="98"/>
      <c r="TFF27" s="98"/>
      <c r="TFG27" s="98"/>
      <c r="TFH27" s="98"/>
      <c r="TFI27" s="98"/>
      <c r="TFJ27" s="98"/>
      <c r="TFK27" s="98"/>
      <c r="TFL27" s="98"/>
      <c r="TFM27" s="98"/>
      <c r="TFN27" s="98"/>
      <c r="TFO27" s="98"/>
      <c r="TFP27" s="98"/>
      <c r="TFQ27" s="98"/>
      <c r="TFR27" s="98"/>
      <c r="TFS27" s="98"/>
      <c r="TFT27" s="98"/>
      <c r="TFU27" s="98"/>
      <c r="TFV27" s="98"/>
      <c r="TFW27" s="98"/>
      <c r="TFX27" s="98"/>
      <c r="TFY27" s="98"/>
      <c r="TFZ27" s="98"/>
      <c r="TGA27" s="98"/>
      <c r="TGB27" s="98"/>
      <c r="TGC27" s="98"/>
      <c r="TGD27" s="98"/>
      <c r="TGE27" s="98"/>
      <c r="TGF27" s="98"/>
      <c r="TGG27" s="98"/>
      <c r="TGH27" s="98"/>
      <c r="TGI27" s="98"/>
      <c r="TGJ27" s="98"/>
      <c r="TGK27" s="98"/>
      <c r="TGL27" s="98"/>
      <c r="TGM27" s="98"/>
      <c r="TGN27" s="98"/>
      <c r="TGO27" s="98"/>
      <c r="TGP27" s="98"/>
      <c r="TGQ27" s="98"/>
      <c r="TGR27" s="98"/>
      <c r="TGS27" s="98"/>
      <c r="TGT27" s="98"/>
      <c r="TGU27" s="98"/>
      <c r="TGV27" s="98"/>
      <c r="TGW27" s="98"/>
      <c r="TGX27" s="98"/>
      <c r="TGY27" s="98"/>
      <c r="TGZ27" s="98"/>
      <c r="THA27" s="98"/>
      <c r="THB27" s="98"/>
      <c r="THC27" s="98"/>
      <c r="THD27" s="98"/>
      <c r="THE27" s="98"/>
      <c r="THF27" s="98"/>
      <c r="THG27" s="98"/>
      <c r="THH27" s="98"/>
      <c r="THI27" s="98"/>
      <c r="THJ27" s="98"/>
      <c r="THK27" s="98"/>
      <c r="THL27" s="98"/>
      <c r="THM27" s="98"/>
      <c r="THN27" s="98"/>
      <c r="THO27" s="98"/>
      <c r="THP27" s="98"/>
      <c r="THQ27" s="98"/>
      <c r="THR27" s="98"/>
      <c r="THS27" s="98"/>
      <c r="THT27" s="98"/>
      <c r="THU27" s="98"/>
      <c r="THV27" s="98"/>
      <c r="THW27" s="98"/>
      <c r="THX27" s="98"/>
      <c r="THY27" s="98"/>
      <c r="THZ27" s="98"/>
      <c r="TIA27" s="98"/>
      <c r="TIB27" s="98"/>
      <c r="TIC27" s="98"/>
      <c r="TID27" s="98"/>
      <c r="TIE27" s="98"/>
      <c r="TIF27" s="98"/>
      <c r="TIG27" s="98"/>
      <c r="TIH27" s="98"/>
      <c r="TII27" s="98"/>
      <c r="TIJ27" s="98"/>
      <c r="TIK27" s="98"/>
      <c r="TIL27" s="98"/>
      <c r="TIM27" s="98"/>
      <c r="TIN27" s="98"/>
      <c r="TIO27" s="98"/>
      <c r="TIP27" s="98"/>
      <c r="TIQ27" s="98"/>
      <c r="TIR27" s="98"/>
      <c r="TIS27" s="98"/>
      <c r="TIT27" s="98"/>
      <c r="TIU27" s="98"/>
      <c r="TIV27" s="98"/>
      <c r="TIW27" s="98"/>
      <c r="TIX27" s="98"/>
      <c r="TIY27" s="98"/>
      <c r="TIZ27" s="98"/>
      <c r="TJA27" s="98"/>
      <c r="TJB27" s="98"/>
      <c r="TJC27" s="98"/>
      <c r="TJD27" s="98"/>
      <c r="TJE27" s="98"/>
      <c r="TJF27" s="98"/>
      <c r="TJG27" s="98"/>
      <c r="TJH27" s="98"/>
      <c r="TJI27" s="98"/>
      <c r="TJJ27" s="98"/>
      <c r="TJK27" s="98"/>
      <c r="TJL27" s="98"/>
      <c r="TJM27" s="98"/>
      <c r="TJN27" s="98"/>
      <c r="TJO27" s="98"/>
      <c r="TJP27" s="98"/>
      <c r="TJQ27" s="98"/>
      <c r="TJR27" s="98"/>
      <c r="TJS27" s="98"/>
      <c r="TJT27" s="98"/>
      <c r="TJU27" s="98"/>
      <c r="TJV27" s="98"/>
      <c r="TJW27" s="98"/>
      <c r="TJX27" s="98"/>
      <c r="TJY27" s="98"/>
      <c r="TJZ27" s="98"/>
      <c r="TKA27" s="98"/>
      <c r="TKB27" s="98"/>
      <c r="TKC27" s="98"/>
      <c r="TKD27" s="98"/>
      <c r="TKE27" s="98"/>
      <c r="TKF27" s="98"/>
      <c r="TKG27" s="98"/>
      <c r="TKH27" s="98"/>
      <c r="TKI27" s="98"/>
      <c r="TKJ27" s="98"/>
      <c r="TKK27" s="98"/>
      <c r="TKL27" s="98"/>
      <c r="TKM27" s="98"/>
      <c r="TKN27" s="98"/>
      <c r="TKO27" s="98"/>
      <c r="TKP27" s="98"/>
      <c r="TKQ27" s="98"/>
      <c r="TKR27" s="98"/>
      <c r="TKS27" s="98"/>
      <c r="TKT27" s="98"/>
      <c r="TKU27" s="98"/>
      <c r="TKV27" s="98"/>
      <c r="TKW27" s="98"/>
      <c r="TKX27" s="98"/>
      <c r="TKY27" s="98"/>
      <c r="TKZ27" s="98"/>
      <c r="TLA27" s="98"/>
      <c r="TLB27" s="98"/>
      <c r="TLC27" s="98"/>
      <c r="TLD27" s="98"/>
      <c r="TLE27" s="98"/>
      <c r="TLF27" s="98"/>
      <c r="TLG27" s="98"/>
      <c r="TLH27" s="98"/>
      <c r="TLI27" s="98"/>
      <c r="TLJ27" s="98"/>
      <c r="TLK27" s="98"/>
      <c r="TLL27" s="98"/>
      <c r="TLM27" s="98"/>
      <c r="TLN27" s="98"/>
      <c r="TLO27" s="98"/>
      <c r="TLP27" s="98"/>
      <c r="TLQ27" s="98"/>
      <c r="TLR27" s="98"/>
      <c r="TLS27" s="98"/>
      <c r="TLT27" s="98"/>
      <c r="TLU27" s="98"/>
      <c r="TLV27" s="98"/>
      <c r="TLW27" s="98"/>
      <c r="TLX27" s="98"/>
      <c r="TLY27" s="98"/>
      <c r="TLZ27" s="98"/>
      <c r="TMA27" s="98"/>
      <c r="TMB27" s="98"/>
      <c r="TMC27" s="98"/>
      <c r="TMD27" s="98"/>
      <c r="TME27" s="98"/>
      <c r="TMF27" s="98"/>
      <c r="TMG27" s="98"/>
      <c r="TMH27" s="98"/>
      <c r="TMI27" s="98"/>
      <c r="TMJ27" s="98"/>
      <c r="TMK27" s="98"/>
      <c r="TML27" s="98"/>
      <c r="TMM27" s="98"/>
      <c r="TMN27" s="98"/>
      <c r="TMO27" s="98"/>
      <c r="TMP27" s="98"/>
      <c r="TMQ27" s="98"/>
      <c r="TMR27" s="98"/>
      <c r="TMS27" s="98"/>
      <c r="TMT27" s="98"/>
      <c r="TMU27" s="98"/>
      <c r="TMV27" s="98"/>
      <c r="TMW27" s="98"/>
      <c r="TMX27" s="98"/>
      <c r="TMY27" s="98"/>
      <c r="TMZ27" s="98"/>
      <c r="TNA27" s="98"/>
      <c r="TNB27" s="98"/>
      <c r="TNC27" s="98"/>
      <c r="TND27" s="98"/>
      <c r="TNE27" s="98"/>
      <c r="TNF27" s="98"/>
      <c r="TNG27" s="98"/>
      <c r="TNH27" s="98"/>
      <c r="TNI27" s="98"/>
      <c r="TNJ27" s="98"/>
      <c r="TNK27" s="98"/>
      <c r="TNL27" s="98"/>
      <c r="TNM27" s="98"/>
      <c r="TNN27" s="98"/>
      <c r="TNO27" s="98"/>
      <c r="TNP27" s="98"/>
      <c r="TNQ27" s="98"/>
      <c r="TNR27" s="98"/>
      <c r="TNS27" s="98"/>
      <c r="TNT27" s="98"/>
      <c r="TNU27" s="98"/>
      <c r="TNV27" s="98"/>
      <c r="TNW27" s="98"/>
      <c r="TNX27" s="98"/>
      <c r="TNY27" s="98"/>
      <c r="TNZ27" s="98"/>
      <c r="TOA27" s="98"/>
      <c r="TOB27" s="98"/>
      <c r="TOC27" s="98"/>
      <c r="TOD27" s="98"/>
      <c r="TOE27" s="98"/>
      <c r="TOF27" s="98"/>
      <c r="TOG27" s="98"/>
      <c r="TOH27" s="98"/>
      <c r="TOI27" s="98"/>
      <c r="TOJ27" s="98"/>
      <c r="TOK27" s="98"/>
      <c r="TOL27" s="98"/>
      <c r="TOM27" s="98"/>
      <c r="TON27" s="98"/>
      <c r="TOO27" s="98"/>
      <c r="TOP27" s="98"/>
      <c r="TOQ27" s="98"/>
      <c r="TOR27" s="98"/>
      <c r="TOS27" s="98"/>
      <c r="TOT27" s="98"/>
      <c r="TOU27" s="98"/>
      <c r="TOV27" s="98"/>
      <c r="TOW27" s="98"/>
      <c r="TOX27" s="98"/>
      <c r="TOY27" s="98"/>
      <c r="TOZ27" s="98"/>
      <c r="TPA27" s="98"/>
      <c r="TPB27" s="98"/>
      <c r="TPC27" s="98"/>
      <c r="TPD27" s="98"/>
      <c r="TPE27" s="98"/>
      <c r="TPF27" s="98"/>
      <c r="TPG27" s="98"/>
      <c r="TPH27" s="98"/>
      <c r="TPI27" s="98"/>
      <c r="TPJ27" s="98"/>
      <c r="TPK27" s="98"/>
      <c r="TPL27" s="98"/>
      <c r="TPM27" s="98"/>
      <c r="TPN27" s="98"/>
      <c r="TPO27" s="98"/>
      <c r="TPP27" s="98"/>
      <c r="TPQ27" s="98"/>
      <c r="TPR27" s="98"/>
      <c r="TPS27" s="98"/>
      <c r="TPT27" s="98"/>
      <c r="TPU27" s="98"/>
      <c r="TPV27" s="98"/>
      <c r="TPW27" s="98"/>
      <c r="TPX27" s="98"/>
      <c r="TPY27" s="98"/>
      <c r="TPZ27" s="98"/>
      <c r="TQA27" s="98"/>
      <c r="TQB27" s="98"/>
      <c r="TQC27" s="98"/>
      <c r="TQD27" s="98"/>
      <c r="TQE27" s="98"/>
      <c r="TQF27" s="98"/>
      <c r="TQG27" s="98"/>
      <c r="TQH27" s="98"/>
      <c r="TQI27" s="98"/>
      <c r="TQJ27" s="98"/>
      <c r="TQK27" s="98"/>
      <c r="TQL27" s="98"/>
      <c r="TQM27" s="98"/>
      <c r="TQN27" s="98"/>
      <c r="TQO27" s="98"/>
      <c r="TQP27" s="98"/>
      <c r="TQQ27" s="98"/>
      <c r="TQR27" s="98"/>
      <c r="TQS27" s="98"/>
      <c r="TQT27" s="98"/>
      <c r="TQU27" s="98"/>
      <c r="TQV27" s="98"/>
      <c r="TQW27" s="98"/>
      <c r="TQX27" s="98"/>
      <c r="TQY27" s="98"/>
      <c r="TQZ27" s="98"/>
      <c r="TRA27" s="98"/>
      <c r="TRB27" s="98"/>
      <c r="TRC27" s="98"/>
      <c r="TRD27" s="98"/>
      <c r="TRE27" s="98"/>
      <c r="TRF27" s="98"/>
      <c r="TRG27" s="98"/>
      <c r="TRH27" s="98"/>
      <c r="TRI27" s="98"/>
      <c r="TRJ27" s="98"/>
      <c r="TRK27" s="98"/>
      <c r="TRL27" s="98"/>
      <c r="TRM27" s="98"/>
      <c r="TRN27" s="98"/>
      <c r="TRO27" s="98"/>
      <c r="TRP27" s="98"/>
      <c r="TRQ27" s="98"/>
      <c r="TRR27" s="98"/>
      <c r="TRS27" s="98"/>
      <c r="TRT27" s="98"/>
      <c r="TRU27" s="98"/>
      <c r="TRV27" s="98"/>
      <c r="TRW27" s="98"/>
      <c r="TRX27" s="98"/>
      <c r="TRY27" s="98"/>
      <c r="TRZ27" s="98"/>
      <c r="TSA27" s="98"/>
      <c r="TSB27" s="98"/>
      <c r="TSC27" s="98"/>
      <c r="TSD27" s="98"/>
      <c r="TSE27" s="98"/>
      <c r="TSF27" s="98"/>
      <c r="TSG27" s="98"/>
      <c r="TSH27" s="98"/>
      <c r="TSI27" s="98"/>
      <c r="TSJ27" s="98"/>
      <c r="TSK27" s="98"/>
      <c r="TSL27" s="98"/>
      <c r="TSM27" s="98"/>
      <c r="TSN27" s="98"/>
      <c r="TSO27" s="98"/>
      <c r="TSP27" s="98"/>
      <c r="TSQ27" s="98"/>
      <c r="TSR27" s="98"/>
      <c r="TSS27" s="98"/>
      <c r="TST27" s="98"/>
      <c r="TSU27" s="98"/>
      <c r="TSV27" s="98"/>
      <c r="TSW27" s="98"/>
      <c r="TSX27" s="98"/>
      <c r="TSY27" s="98"/>
      <c r="TSZ27" s="98"/>
      <c r="TTA27" s="98"/>
      <c r="TTB27" s="98"/>
      <c r="TTC27" s="98"/>
      <c r="TTD27" s="98"/>
      <c r="TTE27" s="98"/>
      <c r="TTF27" s="98"/>
      <c r="TTG27" s="98"/>
      <c r="TTH27" s="98"/>
      <c r="TTI27" s="98"/>
      <c r="TTJ27" s="98"/>
      <c r="TTK27" s="98"/>
      <c r="TTL27" s="98"/>
      <c r="TTM27" s="98"/>
      <c r="TTN27" s="98"/>
      <c r="TTO27" s="98"/>
      <c r="TTP27" s="98"/>
      <c r="TTQ27" s="98"/>
      <c r="TTR27" s="98"/>
      <c r="TTS27" s="98"/>
      <c r="TTT27" s="98"/>
      <c r="TTU27" s="98"/>
      <c r="TTV27" s="98"/>
      <c r="TTW27" s="98"/>
      <c r="TTX27" s="98"/>
      <c r="TTY27" s="98"/>
      <c r="TTZ27" s="98"/>
      <c r="TUA27" s="98"/>
      <c r="TUB27" s="98"/>
      <c r="TUC27" s="98"/>
      <c r="TUD27" s="98"/>
      <c r="TUE27" s="98"/>
      <c r="TUF27" s="98"/>
      <c r="TUG27" s="98"/>
      <c r="TUH27" s="98"/>
      <c r="TUI27" s="98"/>
      <c r="TUJ27" s="98"/>
      <c r="TUK27" s="98"/>
      <c r="TUL27" s="98"/>
      <c r="TUM27" s="98"/>
      <c r="TUN27" s="98"/>
      <c r="TUO27" s="98"/>
      <c r="TUP27" s="98"/>
      <c r="TUQ27" s="98"/>
      <c r="TUR27" s="98"/>
      <c r="TUS27" s="98"/>
      <c r="TUT27" s="98"/>
      <c r="TUU27" s="98"/>
      <c r="TUV27" s="98"/>
      <c r="TUW27" s="98"/>
      <c r="TUX27" s="98"/>
      <c r="TUY27" s="98"/>
      <c r="TUZ27" s="98"/>
      <c r="TVA27" s="98"/>
      <c r="TVB27" s="98"/>
      <c r="TVC27" s="98"/>
      <c r="TVD27" s="98"/>
      <c r="TVE27" s="98"/>
      <c r="TVF27" s="98"/>
      <c r="TVG27" s="98"/>
      <c r="TVH27" s="98"/>
      <c r="TVI27" s="98"/>
      <c r="TVJ27" s="98"/>
      <c r="TVK27" s="98"/>
      <c r="TVL27" s="98"/>
      <c r="TVM27" s="98"/>
      <c r="TVN27" s="98"/>
      <c r="TVO27" s="98"/>
      <c r="TVP27" s="98"/>
      <c r="TVQ27" s="98"/>
      <c r="TVR27" s="98"/>
      <c r="TVS27" s="98"/>
      <c r="TVT27" s="98"/>
      <c r="TVU27" s="98"/>
      <c r="TVV27" s="98"/>
      <c r="TVW27" s="98"/>
      <c r="TVX27" s="98"/>
      <c r="TVY27" s="98"/>
      <c r="TVZ27" s="98"/>
      <c r="TWA27" s="98"/>
      <c r="TWB27" s="98"/>
      <c r="TWC27" s="98"/>
      <c r="TWD27" s="98"/>
      <c r="TWE27" s="98"/>
      <c r="TWF27" s="98"/>
      <c r="TWG27" s="98"/>
      <c r="TWH27" s="98"/>
      <c r="TWI27" s="98"/>
      <c r="TWJ27" s="98"/>
      <c r="TWK27" s="98"/>
      <c r="TWL27" s="98"/>
      <c r="TWM27" s="98"/>
      <c r="TWN27" s="98"/>
      <c r="TWO27" s="98"/>
      <c r="TWP27" s="98"/>
      <c r="TWQ27" s="98"/>
      <c r="TWR27" s="98"/>
      <c r="TWS27" s="98"/>
      <c r="TWT27" s="98"/>
      <c r="TWU27" s="98"/>
      <c r="TWV27" s="98"/>
      <c r="TWW27" s="98"/>
      <c r="TWX27" s="98"/>
      <c r="TWY27" s="98"/>
      <c r="TWZ27" s="98"/>
      <c r="TXA27" s="98"/>
      <c r="TXB27" s="98"/>
      <c r="TXC27" s="98"/>
      <c r="TXD27" s="98"/>
      <c r="TXE27" s="98"/>
      <c r="TXF27" s="98"/>
      <c r="TXG27" s="98"/>
      <c r="TXH27" s="98"/>
      <c r="TXI27" s="98"/>
      <c r="TXJ27" s="98"/>
      <c r="TXK27" s="98"/>
      <c r="TXL27" s="98"/>
      <c r="TXM27" s="98"/>
      <c r="TXN27" s="98"/>
      <c r="TXO27" s="98"/>
      <c r="TXP27" s="98"/>
      <c r="TXQ27" s="98"/>
      <c r="TXR27" s="98"/>
      <c r="TXS27" s="98"/>
      <c r="TXT27" s="98"/>
      <c r="TXU27" s="98"/>
      <c r="TXV27" s="98"/>
      <c r="TXW27" s="98"/>
      <c r="TXX27" s="98"/>
      <c r="TXY27" s="98"/>
      <c r="TXZ27" s="98"/>
      <c r="TYA27" s="98"/>
      <c r="TYB27" s="98"/>
      <c r="TYC27" s="98"/>
      <c r="TYD27" s="98"/>
      <c r="TYE27" s="98"/>
      <c r="TYF27" s="98"/>
      <c r="TYG27" s="98"/>
      <c r="TYH27" s="98"/>
      <c r="TYI27" s="98"/>
      <c r="TYJ27" s="98"/>
      <c r="TYK27" s="98"/>
      <c r="TYL27" s="98"/>
      <c r="TYM27" s="98"/>
      <c r="TYN27" s="98"/>
      <c r="TYO27" s="98"/>
      <c r="TYP27" s="98"/>
      <c r="TYQ27" s="98"/>
      <c r="TYR27" s="98"/>
      <c r="TYS27" s="98"/>
      <c r="TYT27" s="98"/>
      <c r="TYU27" s="98"/>
      <c r="TYV27" s="98"/>
      <c r="TYW27" s="98"/>
      <c r="TYX27" s="98"/>
      <c r="TYY27" s="98"/>
      <c r="TYZ27" s="98"/>
      <c r="TZA27" s="98"/>
      <c r="TZB27" s="98"/>
      <c r="TZC27" s="98"/>
      <c r="TZD27" s="98"/>
      <c r="TZE27" s="98"/>
      <c r="TZF27" s="98"/>
      <c r="TZG27" s="98"/>
      <c r="TZH27" s="98"/>
      <c r="TZI27" s="98"/>
      <c r="TZJ27" s="98"/>
      <c r="TZK27" s="98"/>
      <c r="TZL27" s="98"/>
      <c r="TZM27" s="98"/>
      <c r="TZN27" s="98"/>
      <c r="TZO27" s="98"/>
      <c r="TZP27" s="98"/>
      <c r="TZQ27" s="98"/>
      <c r="TZR27" s="98"/>
      <c r="TZS27" s="98"/>
      <c r="TZT27" s="98"/>
      <c r="TZU27" s="98"/>
      <c r="TZV27" s="98"/>
      <c r="TZW27" s="98"/>
      <c r="TZX27" s="98"/>
      <c r="TZY27" s="98"/>
      <c r="TZZ27" s="98"/>
      <c r="UAA27" s="98"/>
      <c r="UAB27" s="98"/>
      <c r="UAC27" s="98"/>
      <c r="UAD27" s="98"/>
      <c r="UAE27" s="98"/>
      <c r="UAF27" s="98"/>
      <c r="UAG27" s="98"/>
      <c r="UAH27" s="98"/>
      <c r="UAI27" s="98"/>
      <c r="UAJ27" s="98"/>
      <c r="UAK27" s="98"/>
      <c r="UAL27" s="98"/>
      <c r="UAM27" s="98"/>
      <c r="UAN27" s="98"/>
      <c r="UAO27" s="98"/>
      <c r="UAP27" s="98"/>
      <c r="UAQ27" s="98"/>
      <c r="UAR27" s="98"/>
      <c r="UAS27" s="98"/>
      <c r="UAT27" s="98"/>
      <c r="UAU27" s="98"/>
      <c r="UAV27" s="98"/>
      <c r="UAW27" s="98"/>
      <c r="UAX27" s="98"/>
      <c r="UAY27" s="98"/>
      <c r="UAZ27" s="98"/>
      <c r="UBA27" s="98"/>
      <c r="UBB27" s="98"/>
      <c r="UBC27" s="98"/>
      <c r="UBD27" s="98"/>
      <c r="UBE27" s="98"/>
      <c r="UBF27" s="98"/>
      <c r="UBG27" s="98"/>
      <c r="UBH27" s="98"/>
      <c r="UBI27" s="98"/>
      <c r="UBJ27" s="98"/>
      <c r="UBK27" s="98"/>
      <c r="UBL27" s="98"/>
      <c r="UBM27" s="98"/>
      <c r="UBN27" s="98"/>
      <c r="UBO27" s="98"/>
      <c r="UBP27" s="98"/>
      <c r="UBQ27" s="98"/>
      <c r="UBR27" s="98"/>
      <c r="UBS27" s="98"/>
      <c r="UBT27" s="98"/>
      <c r="UBU27" s="98"/>
      <c r="UBV27" s="98"/>
      <c r="UBW27" s="98"/>
      <c r="UBX27" s="98"/>
      <c r="UBY27" s="98"/>
      <c r="UBZ27" s="98"/>
      <c r="UCA27" s="98"/>
      <c r="UCB27" s="98"/>
      <c r="UCC27" s="98"/>
      <c r="UCD27" s="98"/>
      <c r="UCE27" s="98"/>
      <c r="UCF27" s="98"/>
      <c r="UCG27" s="98"/>
      <c r="UCH27" s="98"/>
      <c r="UCI27" s="98"/>
      <c r="UCJ27" s="98"/>
      <c r="UCK27" s="98"/>
      <c r="UCL27" s="98"/>
      <c r="UCM27" s="98"/>
      <c r="UCN27" s="98"/>
      <c r="UCO27" s="98"/>
      <c r="UCP27" s="98"/>
      <c r="UCQ27" s="98"/>
      <c r="UCR27" s="98"/>
      <c r="UCS27" s="98"/>
      <c r="UCT27" s="98"/>
      <c r="UCU27" s="98"/>
      <c r="UCV27" s="98"/>
      <c r="UCW27" s="98"/>
      <c r="UCX27" s="98"/>
      <c r="UCY27" s="98"/>
      <c r="UCZ27" s="98"/>
      <c r="UDA27" s="98"/>
      <c r="UDB27" s="98"/>
      <c r="UDC27" s="98"/>
      <c r="UDD27" s="98"/>
      <c r="UDE27" s="98"/>
      <c r="UDF27" s="98"/>
      <c r="UDG27" s="98"/>
      <c r="UDH27" s="98"/>
      <c r="UDI27" s="98"/>
      <c r="UDJ27" s="98"/>
      <c r="UDK27" s="98"/>
      <c r="UDL27" s="98"/>
      <c r="UDM27" s="98"/>
      <c r="UDN27" s="98"/>
      <c r="UDO27" s="98"/>
      <c r="UDP27" s="98"/>
      <c r="UDQ27" s="98"/>
      <c r="UDR27" s="98"/>
      <c r="UDS27" s="98"/>
      <c r="UDT27" s="98"/>
      <c r="UDU27" s="98"/>
      <c r="UDV27" s="98"/>
      <c r="UDW27" s="98"/>
      <c r="UDX27" s="98"/>
      <c r="UDY27" s="98"/>
      <c r="UDZ27" s="98"/>
      <c r="UEA27" s="98"/>
      <c r="UEB27" s="98"/>
      <c r="UEC27" s="98"/>
      <c r="UED27" s="98"/>
      <c r="UEE27" s="98"/>
      <c r="UEF27" s="98"/>
      <c r="UEG27" s="98"/>
      <c r="UEH27" s="98"/>
      <c r="UEI27" s="98"/>
      <c r="UEJ27" s="98"/>
      <c r="UEK27" s="98"/>
      <c r="UEL27" s="98"/>
      <c r="UEM27" s="98"/>
      <c r="UEN27" s="98"/>
      <c r="UEO27" s="98"/>
      <c r="UEP27" s="98"/>
      <c r="UEQ27" s="98"/>
      <c r="UER27" s="98"/>
      <c r="UES27" s="98"/>
      <c r="UET27" s="98"/>
      <c r="UEU27" s="98"/>
      <c r="UEV27" s="98"/>
      <c r="UEW27" s="98"/>
      <c r="UEX27" s="98"/>
      <c r="UEY27" s="98"/>
      <c r="UEZ27" s="98"/>
      <c r="UFA27" s="98"/>
      <c r="UFB27" s="98"/>
      <c r="UFC27" s="98"/>
      <c r="UFD27" s="98"/>
      <c r="UFE27" s="98"/>
      <c r="UFF27" s="98"/>
      <c r="UFG27" s="98"/>
      <c r="UFH27" s="98"/>
      <c r="UFI27" s="98"/>
      <c r="UFJ27" s="98"/>
      <c r="UFK27" s="98"/>
      <c r="UFL27" s="98"/>
      <c r="UFM27" s="98"/>
      <c r="UFN27" s="98"/>
      <c r="UFO27" s="98"/>
      <c r="UFP27" s="98"/>
      <c r="UFQ27" s="98"/>
      <c r="UFR27" s="98"/>
      <c r="UFS27" s="98"/>
      <c r="UFT27" s="98"/>
      <c r="UFU27" s="98"/>
      <c r="UFV27" s="98"/>
      <c r="UFW27" s="98"/>
      <c r="UFX27" s="98"/>
      <c r="UFY27" s="98"/>
      <c r="UFZ27" s="98"/>
      <c r="UGA27" s="98"/>
      <c r="UGB27" s="98"/>
      <c r="UGC27" s="98"/>
      <c r="UGD27" s="98"/>
      <c r="UGE27" s="98"/>
      <c r="UGF27" s="98"/>
      <c r="UGG27" s="98"/>
      <c r="UGH27" s="98"/>
      <c r="UGI27" s="98"/>
      <c r="UGJ27" s="98"/>
      <c r="UGK27" s="98"/>
      <c r="UGL27" s="98"/>
      <c r="UGM27" s="98"/>
      <c r="UGN27" s="98"/>
      <c r="UGO27" s="98"/>
      <c r="UGP27" s="98"/>
      <c r="UGQ27" s="98"/>
      <c r="UGR27" s="98"/>
      <c r="UGS27" s="98"/>
      <c r="UGT27" s="98"/>
      <c r="UGU27" s="98"/>
      <c r="UGV27" s="98"/>
      <c r="UGW27" s="98"/>
      <c r="UGX27" s="98"/>
      <c r="UGY27" s="98"/>
      <c r="UGZ27" s="98"/>
      <c r="UHA27" s="98"/>
      <c r="UHB27" s="98"/>
      <c r="UHC27" s="98"/>
      <c r="UHD27" s="98"/>
      <c r="UHE27" s="98"/>
      <c r="UHF27" s="98"/>
      <c r="UHG27" s="98"/>
      <c r="UHH27" s="98"/>
      <c r="UHI27" s="98"/>
      <c r="UHJ27" s="98"/>
      <c r="UHK27" s="98"/>
      <c r="UHL27" s="98"/>
      <c r="UHM27" s="98"/>
      <c r="UHN27" s="98"/>
      <c r="UHO27" s="98"/>
      <c r="UHP27" s="98"/>
      <c r="UHQ27" s="98"/>
      <c r="UHR27" s="98"/>
      <c r="UHS27" s="98"/>
      <c r="UHT27" s="98"/>
      <c r="UHU27" s="98"/>
      <c r="UHV27" s="98"/>
      <c r="UHW27" s="98"/>
      <c r="UHX27" s="98"/>
      <c r="UHY27" s="98"/>
      <c r="UHZ27" s="98"/>
      <c r="UIA27" s="98"/>
      <c r="UIB27" s="98"/>
      <c r="UIC27" s="98"/>
      <c r="UID27" s="98"/>
      <c r="UIE27" s="98"/>
      <c r="UIF27" s="98"/>
      <c r="UIG27" s="98"/>
      <c r="UIH27" s="98"/>
      <c r="UII27" s="98"/>
      <c r="UIJ27" s="98"/>
      <c r="UIK27" s="98"/>
      <c r="UIL27" s="98"/>
      <c r="UIM27" s="98"/>
      <c r="UIN27" s="98"/>
      <c r="UIO27" s="98"/>
      <c r="UIP27" s="98"/>
      <c r="UIQ27" s="98"/>
      <c r="UIR27" s="98"/>
      <c r="UIS27" s="98"/>
      <c r="UIT27" s="98"/>
      <c r="UIU27" s="98"/>
      <c r="UIV27" s="98"/>
      <c r="UIW27" s="98"/>
      <c r="UIX27" s="98"/>
      <c r="UIY27" s="98"/>
      <c r="UIZ27" s="98"/>
      <c r="UJA27" s="98"/>
      <c r="UJB27" s="98"/>
      <c r="UJC27" s="98"/>
      <c r="UJD27" s="98"/>
      <c r="UJE27" s="98"/>
      <c r="UJF27" s="98"/>
      <c r="UJG27" s="98"/>
      <c r="UJH27" s="98"/>
      <c r="UJI27" s="98"/>
      <c r="UJJ27" s="98"/>
      <c r="UJK27" s="98"/>
      <c r="UJL27" s="98"/>
      <c r="UJM27" s="98"/>
      <c r="UJN27" s="98"/>
      <c r="UJO27" s="98"/>
      <c r="UJP27" s="98"/>
      <c r="UJQ27" s="98"/>
      <c r="UJR27" s="98"/>
      <c r="UJS27" s="98"/>
      <c r="UJT27" s="98"/>
      <c r="UJU27" s="98"/>
      <c r="UJV27" s="98"/>
      <c r="UJW27" s="98"/>
      <c r="UJX27" s="98"/>
      <c r="UJY27" s="98"/>
      <c r="UJZ27" s="98"/>
      <c r="UKA27" s="98"/>
      <c r="UKB27" s="98"/>
      <c r="UKC27" s="98"/>
      <c r="UKD27" s="98"/>
      <c r="UKE27" s="98"/>
      <c r="UKF27" s="98"/>
      <c r="UKG27" s="98"/>
      <c r="UKH27" s="98"/>
      <c r="UKI27" s="98"/>
      <c r="UKJ27" s="98"/>
      <c r="UKK27" s="98"/>
      <c r="UKL27" s="98"/>
      <c r="UKM27" s="98"/>
      <c r="UKN27" s="98"/>
      <c r="UKO27" s="98"/>
      <c r="UKP27" s="98"/>
      <c r="UKQ27" s="98"/>
      <c r="UKR27" s="98"/>
      <c r="UKS27" s="98"/>
      <c r="UKT27" s="98"/>
      <c r="UKU27" s="98"/>
      <c r="UKV27" s="98"/>
      <c r="UKW27" s="98"/>
      <c r="UKX27" s="98"/>
      <c r="UKY27" s="98"/>
      <c r="UKZ27" s="98"/>
      <c r="ULA27" s="98"/>
      <c r="ULB27" s="98"/>
      <c r="ULC27" s="98"/>
      <c r="ULD27" s="98"/>
      <c r="ULE27" s="98"/>
      <c r="ULF27" s="98"/>
      <c r="ULG27" s="98"/>
      <c r="ULH27" s="98"/>
      <c r="ULI27" s="98"/>
      <c r="ULJ27" s="98"/>
      <c r="ULK27" s="98"/>
      <c r="ULL27" s="98"/>
      <c r="ULM27" s="98"/>
      <c r="ULN27" s="98"/>
      <c r="ULO27" s="98"/>
      <c r="ULP27" s="98"/>
      <c r="ULQ27" s="98"/>
      <c r="ULR27" s="98"/>
      <c r="ULS27" s="98"/>
      <c r="ULT27" s="98"/>
      <c r="ULU27" s="98"/>
      <c r="ULV27" s="98"/>
      <c r="ULW27" s="98"/>
      <c r="ULX27" s="98"/>
      <c r="ULY27" s="98"/>
      <c r="ULZ27" s="98"/>
      <c r="UMA27" s="98"/>
      <c r="UMB27" s="98"/>
      <c r="UMC27" s="98"/>
      <c r="UMD27" s="98"/>
      <c r="UME27" s="98"/>
      <c r="UMF27" s="98"/>
      <c r="UMG27" s="98"/>
      <c r="UMH27" s="98"/>
      <c r="UMI27" s="98"/>
      <c r="UMJ27" s="98"/>
      <c r="UMK27" s="98"/>
      <c r="UML27" s="98"/>
      <c r="UMM27" s="98"/>
      <c r="UMN27" s="98"/>
      <c r="UMO27" s="98"/>
      <c r="UMP27" s="98"/>
      <c r="UMQ27" s="98"/>
      <c r="UMR27" s="98"/>
      <c r="UMS27" s="98"/>
      <c r="UMT27" s="98"/>
      <c r="UMU27" s="98"/>
      <c r="UMV27" s="98"/>
      <c r="UMW27" s="98"/>
      <c r="UMX27" s="98"/>
      <c r="UMY27" s="98"/>
      <c r="UMZ27" s="98"/>
      <c r="UNA27" s="98"/>
      <c r="UNB27" s="98"/>
      <c r="UNC27" s="98"/>
      <c r="UND27" s="98"/>
      <c r="UNE27" s="98"/>
      <c r="UNF27" s="98"/>
      <c r="UNG27" s="98"/>
      <c r="UNH27" s="98"/>
      <c r="UNI27" s="98"/>
      <c r="UNJ27" s="98"/>
      <c r="UNK27" s="98"/>
      <c r="UNL27" s="98"/>
      <c r="UNM27" s="98"/>
      <c r="UNN27" s="98"/>
      <c r="UNO27" s="98"/>
      <c r="UNP27" s="98"/>
      <c r="UNQ27" s="98"/>
      <c r="UNR27" s="98"/>
      <c r="UNS27" s="98"/>
      <c r="UNT27" s="98"/>
      <c r="UNU27" s="98"/>
      <c r="UNV27" s="98"/>
      <c r="UNW27" s="98"/>
      <c r="UNX27" s="98"/>
      <c r="UNY27" s="98"/>
      <c r="UNZ27" s="98"/>
      <c r="UOA27" s="98"/>
      <c r="UOB27" s="98"/>
      <c r="UOC27" s="98"/>
      <c r="UOD27" s="98"/>
      <c r="UOE27" s="98"/>
      <c r="UOF27" s="98"/>
      <c r="UOG27" s="98"/>
      <c r="UOH27" s="98"/>
      <c r="UOI27" s="98"/>
      <c r="UOJ27" s="98"/>
      <c r="UOK27" s="98"/>
      <c r="UOL27" s="98"/>
      <c r="UOM27" s="98"/>
      <c r="UON27" s="98"/>
      <c r="UOO27" s="98"/>
      <c r="UOP27" s="98"/>
      <c r="UOQ27" s="98"/>
      <c r="UOR27" s="98"/>
      <c r="UOS27" s="98"/>
      <c r="UOT27" s="98"/>
      <c r="UOU27" s="98"/>
      <c r="UOV27" s="98"/>
      <c r="UOW27" s="98"/>
      <c r="UOX27" s="98"/>
      <c r="UOY27" s="98"/>
      <c r="UOZ27" s="98"/>
      <c r="UPA27" s="98"/>
      <c r="UPB27" s="98"/>
      <c r="UPC27" s="98"/>
      <c r="UPD27" s="98"/>
      <c r="UPE27" s="98"/>
      <c r="UPF27" s="98"/>
      <c r="UPG27" s="98"/>
      <c r="UPH27" s="98"/>
      <c r="UPI27" s="98"/>
      <c r="UPJ27" s="98"/>
      <c r="UPK27" s="98"/>
      <c r="UPL27" s="98"/>
      <c r="UPM27" s="98"/>
      <c r="UPN27" s="98"/>
      <c r="UPO27" s="98"/>
      <c r="UPP27" s="98"/>
      <c r="UPQ27" s="98"/>
      <c r="UPR27" s="98"/>
      <c r="UPS27" s="98"/>
      <c r="UPT27" s="98"/>
      <c r="UPU27" s="98"/>
      <c r="UPV27" s="98"/>
      <c r="UPW27" s="98"/>
      <c r="UPX27" s="98"/>
      <c r="UPY27" s="98"/>
      <c r="UPZ27" s="98"/>
      <c r="UQA27" s="98"/>
      <c r="UQB27" s="98"/>
      <c r="UQC27" s="98"/>
      <c r="UQD27" s="98"/>
      <c r="UQE27" s="98"/>
      <c r="UQF27" s="98"/>
      <c r="UQG27" s="98"/>
      <c r="UQH27" s="98"/>
      <c r="UQI27" s="98"/>
      <c r="UQJ27" s="98"/>
      <c r="UQK27" s="98"/>
      <c r="UQL27" s="98"/>
      <c r="UQM27" s="98"/>
      <c r="UQN27" s="98"/>
      <c r="UQO27" s="98"/>
      <c r="UQP27" s="98"/>
      <c r="UQQ27" s="98"/>
      <c r="UQR27" s="98"/>
      <c r="UQS27" s="98"/>
      <c r="UQT27" s="98"/>
      <c r="UQU27" s="98"/>
      <c r="UQV27" s="98"/>
      <c r="UQW27" s="98"/>
      <c r="UQX27" s="98"/>
      <c r="UQY27" s="98"/>
      <c r="UQZ27" s="98"/>
      <c r="URA27" s="98"/>
      <c r="URB27" s="98"/>
      <c r="URC27" s="98"/>
      <c r="URD27" s="98"/>
      <c r="URE27" s="98"/>
      <c r="URF27" s="98"/>
      <c r="URG27" s="98"/>
      <c r="URH27" s="98"/>
      <c r="URI27" s="98"/>
      <c r="URJ27" s="98"/>
      <c r="URK27" s="98"/>
      <c r="URL27" s="98"/>
      <c r="URM27" s="98"/>
      <c r="URN27" s="98"/>
      <c r="URO27" s="98"/>
      <c r="URP27" s="98"/>
      <c r="URQ27" s="98"/>
      <c r="URR27" s="98"/>
      <c r="URS27" s="98"/>
      <c r="URT27" s="98"/>
      <c r="URU27" s="98"/>
      <c r="URV27" s="98"/>
      <c r="URW27" s="98"/>
      <c r="URX27" s="98"/>
      <c r="URY27" s="98"/>
      <c r="URZ27" s="98"/>
      <c r="USA27" s="98"/>
      <c r="USB27" s="98"/>
      <c r="USC27" s="98"/>
      <c r="USD27" s="98"/>
      <c r="USE27" s="98"/>
      <c r="USF27" s="98"/>
      <c r="USG27" s="98"/>
      <c r="USH27" s="98"/>
      <c r="USI27" s="98"/>
      <c r="USJ27" s="98"/>
      <c r="USK27" s="98"/>
      <c r="USL27" s="98"/>
      <c r="USM27" s="98"/>
      <c r="USN27" s="98"/>
      <c r="USO27" s="98"/>
      <c r="USP27" s="98"/>
      <c r="USQ27" s="98"/>
      <c r="USR27" s="98"/>
      <c r="USS27" s="98"/>
      <c r="UST27" s="98"/>
      <c r="USU27" s="98"/>
      <c r="USV27" s="98"/>
      <c r="USW27" s="98"/>
      <c r="USX27" s="98"/>
      <c r="USY27" s="98"/>
      <c r="USZ27" s="98"/>
      <c r="UTA27" s="98"/>
      <c r="UTB27" s="98"/>
      <c r="UTC27" s="98"/>
      <c r="UTD27" s="98"/>
      <c r="UTE27" s="98"/>
      <c r="UTF27" s="98"/>
      <c r="UTG27" s="98"/>
      <c r="UTH27" s="98"/>
      <c r="UTI27" s="98"/>
      <c r="UTJ27" s="98"/>
      <c r="UTK27" s="98"/>
      <c r="UTL27" s="98"/>
      <c r="UTM27" s="98"/>
      <c r="UTN27" s="98"/>
      <c r="UTO27" s="98"/>
      <c r="UTP27" s="98"/>
      <c r="UTQ27" s="98"/>
      <c r="UTR27" s="98"/>
      <c r="UTS27" s="98"/>
      <c r="UTT27" s="98"/>
      <c r="UTU27" s="98"/>
      <c r="UTV27" s="98"/>
      <c r="UTW27" s="98"/>
      <c r="UTX27" s="98"/>
      <c r="UTY27" s="98"/>
      <c r="UTZ27" s="98"/>
      <c r="UUA27" s="98"/>
      <c r="UUB27" s="98"/>
      <c r="UUC27" s="98"/>
      <c r="UUD27" s="98"/>
      <c r="UUE27" s="98"/>
      <c r="UUF27" s="98"/>
      <c r="UUG27" s="98"/>
      <c r="UUH27" s="98"/>
      <c r="UUI27" s="98"/>
      <c r="UUJ27" s="98"/>
      <c r="UUK27" s="98"/>
      <c r="UUL27" s="98"/>
      <c r="UUM27" s="98"/>
      <c r="UUN27" s="98"/>
      <c r="UUO27" s="98"/>
      <c r="UUP27" s="98"/>
      <c r="UUQ27" s="98"/>
      <c r="UUR27" s="98"/>
      <c r="UUS27" s="98"/>
      <c r="UUT27" s="98"/>
      <c r="UUU27" s="98"/>
      <c r="UUV27" s="98"/>
      <c r="UUW27" s="98"/>
      <c r="UUX27" s="98"/>
      <c r="UUY27" s="98"/>
      <c r="UUZ27" s="98"/>
      <c r="UVA27" s="98"/>
      <c r="UVB27" s="98"/>
      <c r="UVC27" s="98"/>
      <c r="UVD27" s="98"/>
      <c r="UVE27" s="98"/>
      <c r="UVF27" s="98"/>
      <c r="UVG27" s="98"/>
      <c r="UVH27" s="98"/>
      <c r="UVI27" s="98"/>
      <c r="UVJ27" s="98"/>
      <c r="UVK27" s="98"/>
      <c r="UVL27" s="98"/>
      <c r="UVM27" s="98"/>
      <c r="UVN27" s="98"/>
      <c r="UVO27" s="98"/>
      <c r="UVP27" s="98"/>
      <c r="UVQ27" s="98"/>
      <c r="UVR27" s="98"/>
      <c r="UVS27" s="98"/>
      <c r="UVT27" s="98"/>
      <c r="UVU27" s="98"/>
      <c r="UVV27" s="98"/>
      <c r="UVW27" s="98"/>
      <c r="UVX27" s="98"/>
      <c r="UVY27" s="98"/>
      <c r="UVZ27" s="98"/>
      <c r="UWA27" s="98"/>
      <c r="UWB27" s="98"/>
      <c r="UWC27" s="98"/>
      <c r="UWD27" s="98"/>
      <c r="UWE27" s="98"/>
      <c r="UWF27" s="98"/>
      <c r="UWG27" s="98"/>
      <c r="UWH27" s="98"/>
      <c r="UWI27" s="98"/>
      <c r="UWJ27" s="98"/>
      <c r="UWK27" s="98"/>
      <c r="UWL27" s="98"/>
      <c r="UWM27" s="98"/>
      <c r="UWN27" s="98"/>
      <c r="UWO27" s="98"/>
      <c r="UWP27" s="98"/>
      <c r="UWQ27" s="98"/>
      <c r="UWR27" s="98"/>
      <c r="UWS27" s="98"/>
      <c r="UWT27" s="98"/>
      <c r="UWU27" s="98"/>
      <c r="UWV27" s="98"/>
      <c r="UWW27" s="98"/>
      <c r="UWX27" s="98"/>
      <c r="UWY27" s="98"/>
      <c r="UWZ27" s="98"/>
      <c r="UXA27" s="98"/>
      <c r="UXB27" s="98"/>
      <c r="UXC27" s="98"/>
      <c r="UXD27" s="98"/>
      <c r="UXE27" s="98"/>
      <c r="UXF27" s="98"/>
      <c r="UXG27" s="98"/>
      <c r="UXH27" s="98"/>
      <c r="UXI27" s="98"/>
      <c r="UXJ27" s="98"/>
      <c r="UXK27" s="98"/>
      <c r="UXL27" s="98"/>
      <c r="UXM27" s="98"/>
      <c r="UXN27" s="98"/>
      <c r="UXO27" s="98"/>
      <c r="UXP27" s="98"/>
      <c r="UXQ27" s="98"/>
      <c r="UXR27" s="98"/>
      <c r="UXS27" s="98"/>
      <c r="UXT27" s="98"/>
      <c r="UXU27" s="98"/>
      <c r="UXV27" s="98"/>
      <c r="UXW27" s="98"/>
      <c r="UXX27" s="98"/>
      <c r="UXY27" s="98"/>
      <c r="UXZ27" s="98"/>
      <c r="UYA27" s="98"/>
      <c r="UYB27" s="98"/>
      <c r="UYC27" s="98"/>
      <c r="UYD27" s="98"/>
      <c r="UYE27" s="98"/>
      <c r="UYF27" s="98"/>
      <c r="UYG27" s="98"/>
      <c r="UYH27" s="98"/>
      <c r="UYI27" s="98"/>
      <c r="UYJ27" s="98"/>
      <c r="UYK27" s="98"/>
      <c r="UYL27" s="98"/>
      <c r="UYM27" s="98"/>
      <c r="UYN27" s="98"/>
      <c r="UYO27" s="98"/>
      <c r="UYP27" s="98"/>
      <c r="UYQ27" s="98"/>
      <c r="UYR27" s="98"/>
      <c r="UYS27" s="98"/>
      <c r="UYT27" s="98"/>
      <c r="UYU27" s="98"/>
      <c r="UYV27" s="98"/>
      <c r="UYW27" s="98"/>
      <c r="UYX27" s="98"/>
      <c r="UYY27" s="98"/>
      <c r="UYZ27" s="98"/>
      <c r="UZA27" s="98"/>
      <c r="UZB27" s="98"/>
      <c r="UZC27" s="98"/>
      <c r="UZD27" s="98"/>
      <c r="UZE27" s="98"/>
      <c r="UZF27" s="98"/>
      <c r="UZG27" s="98"/>
      <c r="UZH27" s="98"/>
      <c r="UZI27" s="98"/>
      <c r="UZJ27" s="98"/>
      <c r="UZK27" s="98"/>
      <c r="UZL27" s="98"/>
      <c r="UZM27" s="98"/>
      <c r="UZN27" s="98"/>
      <c r="UZO27" s="98"/>
      <c r="UZP27" s="98"/>
      <c r="UZQ27" s="98"/>
      <c r="UZR27" s="98"/>
      <c r="UZS27" s="98"/>
      <c r="UZT27" s="98"/>
      <c r="UZU27" s="98"/>
      <c r="UZV27" s="98"/>
      <c r="UZW27" s="98"/>
      <c r="UZX27" s="98"/>
      <c r="UZY27" s="98"/>
      <c r="UZZ27" s="98"/>
      <c r="VAA27" s="98"/>
      <c r="VAB27" s="98"/>
      <c r="VAC27" s="98"/>
      <c r="VAD27" s="98"/>
      <c r="VAE27" s="98"/>
      <c r="VAF27" s="98"/>
      <c r="VAG27" s="98"/>
      <c r="VAH27" s="98"/>
      <c r="VAI27" s="98"/>
      <c r="VAJ27" s="98"/>
      <c r="VAK27" s="98"/>
      <c r="VAL27" s="98"/>
      <c r="VAM27" s="98"/>
      <c r="VAN27" s="98"/>
      <c r="VAO27" s="98"/>
      <c r="VAP27" s="98"/>
      <c r="VAQ27" s="98"/>
      <c r="VAR27" s="98"/>
      <c r="VAS27" s="98"/>
      <c r="VAT27" s="98"/>
      <c r="VAU27" s="98"/>
      <c r="VAV27" s="98"/>
      <c r="VAW27" s="98"/>
      <c r="VAX27" s="98"/>
      <c r="VAY27" s="98"/>
      <c r="VAZ27" s="98"/>
      <c r="VBA27" s="98"/>
      <c r="VBB27" s="98"/>
      <c r="VBC27" s="98"/>
      <c r="VBD27" s="98"/>
      <c r="VBE27" s="98"/>
      <c r="VBF27" s="98"/>
      <c r="VBG27" s="98"/>
      <c r="VBH27" s="98"/>
      <c r="VBI27" s="98"/>
      <c r="VBJ27" s="98"/>
      <c r="VBK27" s="98"/>
      <c r="VBL27" s="98"/>
      <c r="VBM27" s="98"/>
      <c r="VBN27" s="98"/>
      <c r="VBO27" s="98"/>
      <c r="VBP27" s="98"/>
      <c r="VBQ27" s="98"/>
      <c r="VBR27" s="98"/>
      <c r="VBS27" s="98"/>
      <c r="VBT27" s="98"/>
      <c r="VBU27" s="98"/>
      <c r="VBV27" s="98"/>
      <c r="VBW27" s="98"/>
      <c r="VBX27" s="98"/>
      <c r="VBY27" s="98"/>
      <c r="VBZ27" s="98"/>
      <c r="VCA27" s="98"/>
      <c r="VCB27" s="98"/>
      <c r="VCC27" s="98"/>
      <c r="VCD27" s="98"/>
      <c r="VCE27" s="98"/>
      <c r="VCF27" s="98"/>
      <c r="VCG27" s="98"/>
      <c r="VCH27" s="98"/>
      <c r="VCI27" s="98"/>
      <c r="VCJ27" s="98"/>
      <c r="VCK27" s="98"/>
      <c r="VCL27" s="98"/>
      <c r="VCM27" s="98"/>
      <c r="VCN27" s="98"/>
      <c r="VCO27" s="98"/>
      <c r="VCP27" s="98"/>
      <c r="VCQ27" s="98"/>
      <c r="VCR27" s="98"/>
      <c r="VCS27" s="98"/>
      <c r="VCT27" s="98"/>
      <c r="VCU27" s="98"/>
      <c r="VCV27" s="98"/>
      <c r="VCW27" s="98"/>
      <c r="VCX27" s="98"/>
      <c r="VCY27" s="98"/>
      <c r="VCZ27" s="98"/>
      <c r="VDA27" s="98"/>
      <c r="VDB27" s="98"/>
      <c r="VDC27" s="98"/>
      <c r="VDD27" s="98"/>
      <c r="VDE27" s="98"/>
      <c r="VDF27" s="98"/>
      <c r="VDG27" s="98"/>
      <c r="VDH27" s="98"/>
      <c r="VDI27" s="98"/>
      <c r="VDJ27" s="98"/>
      <c r="VDK27" s="98"/>
      <c r="VDL27" s="98"/>
      <c r="VDM27" s="98"/>
      <c r="VDN27" s="98"/>
      <c r="VDO27" s="98"/>
      <c r="VDP27" s="98"/>
      <c r="VDQ27" s="98"/>
      <c r="VDR27" s="98"/>
      <c r="VDS27" s="98"/>
      <c r="VDT27" s="98"/>
      <c r="VDU27" s="98"/>
      <c r="VDV27" s="98"/>
      <c r="VDW27" s="98"/>
      <c r="VDX27" s="98"/>
      <c r="VDY27" s="98"/>
      <c r="VDZ27" s="98"/>
      <c r="VEA27" s="98"/>
      <c r="VEB27" s="98"/>
      <c r="VEC27" s="98"/>
      <c r="VED27" s="98"/>
      <c r="VEE27" s="98"/>
      <c r="VEF27" s="98"/>
      <c r="VEG27" s="98"/>
      <c r="VEH27" s="98"/>
      <c r="VEI27" s="98"/>
      <c r="VEJ27" s="98"/>
      <c r="VEK27" s="98"/>
      <c r="VEL27" s="98"/>
      <c r="VEM27" s="98"/>
      <c r="VEN27" s="98"/>
      <c r="VEO27" s="98"/>
      <c r="VEP27" s="98"/>
      <c r="VEQ27" s="98"/>
      <c r="VER27" s="98"/>
      <c r="VES27" s="98"/>
      <c r="VET27" s="98"/>
      <c r="VEU27" s="98"/>
      <c r="VEV27" s="98"/>
      <c r="VEW27" s="98"/>
      <c r="VEX27" s="98"/>
      <c r="VEY27" s="98"/>
      <c r="VEZ27" s="98"/>
      <c r="VFA27" s="98"/>
      <c r="VFB27" s="98"/>
      <c r="VFC27" s="98"/>
      <c r="VFD27" s="98"/>
      <c r="VFE27" s="98"/>
      <c r="VFF27" s="98"/>
      <c r="VFG27" s="98"/>
      <c r="VFH27" s="98"/>
      <c r="VFI27" s="98"/>
      <c r="VFJ27" s="98"/>
      <c r="VFK27" s="98"/>
      <c r="VFL27" s="98"/>
      <c r="VFM27" s="98"/>
      <c r="VFN27" s="98"/>
      <c r="VFO27" s="98"/>
      <c r="VFP27" s="98"/>
      <c r="VFQ27" s="98"/>
      <c r="VFR27" s="98"/>
      <c r="VFS27" s="98"/>
      <c r="VFT27" s="98"/>
      <c r="VFU27" s="98"/>
      <c r="VFV27" s="98"/>
      <c r="VFW27" s="98"/>
      <c r="VFX27" s="98"/>
      <c r="VFY27" s="98"/>
      <c r="VFZ27" s="98"/>
      <c r="VGA27" s="98"/>
      <c r="VGB27" s="98"/>
      <c r="VGC27" s="98"/>
      <c r="VGD27" s="98"/>
      <c r="VGE27" s="98"/>
      <c r="VGF27" s="98"/>
      <c r="VGG27" s="98"/>
      <c r="VGH27" s="98"/>
      <c r="VGI27" s="98"/>
      <c r="VGJ27" s="98"/>
      <c r="VGK27" s="98"/>
      <c r="VGL27" s="98"/>
      <c r="VGM27" s="98"/>
      <c r="VGN27" s="98"/>
      <c r="VGO27" s="98"/>
      <c r="VGP27" s="98"/>
      <c r="VGQ27" s="98"/>
      <c r="VGR27" s="98"/>
      <c r="VGS27" s="98"/>
      <c r="VGT27" s="98"/>
      <c r="VGU27" s="98"/>
      <c r="VGV27" s="98"/>
      <c r="VGW27" s="98"/>
      <c r="VGX27" s="98"/>
      <c r="VGY27" s="98"/>
      <c r="VGZ27" s="98"/>
      <c r="VHA27" s="98"/>
      <c r="VHB27" s="98"/>
      <c r="VHC27" s="98"/>
      <c r="VHD27" s="98"/>
      <c r="VHE27" s="98"/>
      <c r="VHF27" s="98"/>
      <c r="VHG27" s="98"/>
      <c r="VHH27" s="98"/>
      <c r="VHI27" s="98"/>
      <c r="VHJ27" s="98"/>
      <c r="VHK27" s="98"/>
      <c r="VHL27" s="98"/>
      <c r="VHM27" s="98"/>
      <c r="VHN27" s="98"/>
      <c r="VHO27" s="98"/>
      <c r="VHP27" s="98"/>
      <c r="VHQ27" s="98"/>
      <c r="VHR27" s="98"/>
      <c r="VHS27" s="98"/>
      <c r="VHT27" s="98"/>
      <c r="VHU27" s="98"/>
      <c r="VHV27" s="98"/>
      <c r="VHW27" s="98"/>
      <c r="VHX27" s="98"/>
      <c r="VHY27" s="98"/>
      <c r="VHZ27" s="98"/>
      <c r="VIA27" s="98"/>
      <c r="VIB27" s="98"/>
      <c r="VIC27" s="98"/>
      <c r="VID27" s="98"/>
      <c r="VIE27" s="98"/>
      <c r="VIF27" s="98"/>
      <c r="VIG27" s="98"/>
      <c r="VIH27" s="98"/>
      <c r="VII27" s="98"/>
      <c r="VIJ27" s="98"/>
      <c r="VIK27" s="98"/>
      <c r="VIL27" s="98"/>
      <c r="VIM27" s="98"/>
      <c r="VIN27" s="98"/>
      <c r="VIO27" s="98"/>
      <c r="VIP27" s="98"/>
      <c r="VIQ27" s="98"/>
      <c r="VIR27" s="98"/>
      <c r="VIS27" s="98"/>
      <c r="VIT27" s="98"/>
      <c r="VIU27" s="98"/>
      <c r="VIV27" s="98"/>
      <c r="VIW27" s="98"/>
      <c r="VIX27" s="98"/>
      <c r="VIY27" s="98"/>
      <c r="VIZ27" s="98"/>
      <c r="VJA27" s="98"/>
      <c r="VJB27" s="98"/>
      <c r="VJC27" s="98"/>
      <c r="VJD27" s="98"/>
      <c r="VJE27" s="98"/>
      <c r="VJF27" s="98"/>
      <c r="VJG27" s="98"/>
      <c r="VJH27" s="98"/>
      <c r="VJI27" s="98"/>
      <c r="VJJ27" s="98"/>
      <c r="VJK27" s="98"/>
      <c r="VJL27" s="98"/>
      <c r="VJM27" s="98"/>
      <c r="VJN27" s="98"/>
      <c r="VJO27" s="98"/>
      <c r="VJP27" s="98"/>
      <c r="VJQ27" s="98"/>
      <c r="VJR27" s="98"/>
      <c r="VJS27" s="98"/>
      <c r="VJT27" s="98"/>
      <c r="VJU27" s="98"/>
      <c r="VJV27" s="98"/>
      <c r="VJW27" s="98"/>
      <c r="VJX27" s="98"/>
      <c r="VJY27" s="98"/>
      <c r="VJZ27" s="98"/>
      <c r="VKA27" s="98"/>
      <c r="VKB27" s="98"/>
      <c r="VKC27" s="98"/>
      <c r="VKD27" s="98"/>
      <c r="VKE27" s="98"/>
      <c r="VKF27" s="98"/>
      <c r="VKG27" s="98"/>
      <c r="VKH27" s="98"/>
      <c r="VKI27" s="98"/>
      <c r="VKJ27" s="98"/>
      <c r="VKK27" s="98"/>
      <c r="VKL27" s="98"/>
      <c r="VKM27" s="98"/>
      <c r="VKN27" s="98"/>
      <c r="VKO27" s="98"/>
      <c r="VKP27" s="98"/>
      <c r="VKQ27" s="98"/>
      <c r="VKR27" s="98"/>
      <c r="VKS27" s="98"/>
      <c r="VKT27" s="98"/>
      <c r="VKU27" s="98"/>
      <c r="VKV27" s="98"/>
      <c r="VKW27" s="98"/>
      <c r="VKX27" s="98"/>
      <c r="VKY27" s="98"/>
      <c r="VKZ27" s="98"/>
      <c r="VLA27" s="98"/>
      <c r="VLB27" s="98"/>
      <c r="VLC27" s="98"/>
      <c r="VLD27" s="98"/>
      <c r="VLE27" s="98"/>
      <c r="VLF27" s="98"/>
      <c r="VLG27" s="98"/>
      <c r="VLH27" s="98"/>
      <c r="VLI27" s="98"/>
      <c r="VLJ27" s="98"/>
      <c r="VLK27" s="98"/>
      <c r="VLL27" s="98"/>
      <c r="VLM27" s="98"/>
      <c r="VLN27" s="98"/>
      <c r="VLO27" s="98"/>
      <c r="VLP27" s="98"/>
      <c r="VLQ27" s="98"/>
      <c r="VLR27" s="98"/>
      <c r="VLS27" s="98"/>
      <c r="VLT27" s="98"/>
      <c r="VLU27" s="98"/>
      <c r="VLV27" s="98"/>
      <c r="VLW27" s="98"/>
      <c r="VLX27" s="98"/>
      <c r="VLY27" s="98"/>
      <c r="VLZ27" s="98"/>
      <c r="VMA27" s="98"/>
      <c r="VMB27" s="98"/>
      <c r="VMC27" s="98"/>
      <c r="VMD27" s="98"/>
      <c r="VME27" s="98"/>
      <c r="VMF27" s="98"/>
      <c r="VMG27" s="98"/>
      <c r="VMH27" s="98"/>
      <c r="VMI27" s="98"/>
      <c r="VMJ27" s="98"/>
      <c r="VMK27" s="98"/>
      <c r="VML27" s="98"/>
      <c r="VMM27" s="98"/>
      <c r="VMN27" s="98"/>
      <c r="VMO27" s="98"/>
      <c r="VMP27" s="98"/>
      <c r="VMQ27" s="98"/>
      <c r="VMR27" s="98"/>
      <c r="VMS27" s="98"/>
      <c r="VMT27" s="98"/>
      <c r="VMU27" s="98"/>
      <c r="VMV27" s="98"/>
      <c r="VMW27" s="98"/>
      <c r="VMX27" s="98"/>
      <c r="VMY27" s="98"/>
      <c r="VMZ27" s="98"/>
      <c r="VNA27" s="98"/>
      <c r="VNB27" s="98"/>
      <c r="VNC27" s="98"/>
      <c r="VND27" s="98"/>
      <c r="VNE27" s="98"/>
      <c r="VNF27" s="98"/>
      <c r="VNG27" s="98"/>
      <c r="VNH27" s="98"/>
      <c r="VNI27" s="98"/>
      <c r="VNJ27" s="98"/>
      <c r="VNK27" s="98"/>
      <c r="VNL27" s="98"/>
      <c r="VNM27" s="98"/>
      <c r="VNN27" s="98"/>
      <c r="VNO27" s="98"/>
      <c r="VNP27" s="98"/>
      <c r="VNQ27" s="98"/>
      <c r="VNR27" s="98"/>
      <c r="VNS27" s="98"/>
      <c r="VNT27" s="98"/>
      <c r="VNU27" s="98"/>
      <c r="VNV27" s="98"/>
      <c r="VNW27" s="98"/>
      <c r="VNX27" s="98"/>
      <c r="VNY27" s="98"/>
      <c r="VNZ27" s="98"/>
      <c r="VOA27" s="98"/>
      <c r="VOB27" s="98"/>
      <c r="VOC27" s="98"/>
      <c r="VOD27" s="98"/>
      <c r="VOE27" s="98"/>
      <c r="VOF27" s="98"/>
      <c r="VOG27" s="98"/>
      <c r="VOH27" s="98"/>
      <c r="VOI27" s="98"/>
      <c r="VOJ27" s="98"/>
      <c r="VOK27" s="98"/>
      <c r="VOL27" s="98"/>
      <c r="VOM27" s="98"/>
      <c r="VON27" s="98"/>
      <c r="VOO27" s="98"/>
      <c r="VOP27" s="98"/>
      <c r="VOQ27" s="98"/>
      <c r="VOR27" s="98"/>
      <c r="VOS27" s="98"/>
      <c r="VOT27" s="98"/>
      <c r="VOU27" s="98"/>
      <c r="VOV27" s="98"/>
      <c r="VOW27" s="98"/>
      <c r="VOX27" s="98"/>
      <c r="VOY27" s="98"/>
      <c r="VOZ27" s="98"/>
      <c r="VPA27" s="98"/>
      <c r="VPB27" s="98"/>
      <c r="VPC27" s="98"/>
      <c r="VPD27" s="98"/>
      <c r="VPE27" s="98"/>
      <c r="VPF27" s="98"/>
      <c r="VPG27" s="98"/>
      <c r="VPH27" s="98"/>
      <c r="VPI27" s="98"/>
      <c r="VPJ27" s="98"/>
      <c r="VPK27" s="98"/>
      <c r="VPL27" s="98"/>
      <c r="VPM27" s="98"/>
      <c r="VPN27" s="98"/>
      <c r="VPO27" s="98"/>
      <c r="VPP27" s="98"/>
      <c r="VPQ27" s="98"/>
      <c r="VPR27" s="98"/>
      <c r="VPS27" s="98"/>
      <c r="VPT27" s="98"/>
      <c r="VPU27" s="98"/>
      <c r="VPV27" s="98"/>
      <c r="VPW27" s="98"/>
      <c r="VPX27" s="98"/>
      <c r="VPY27" s="98"/>
      <c r="VPZ27" s="98"/>
      <c r="VQA27" s="98"/>
      <c r="VQB27" s="98"/>
      <c r="VQC27" s="98"/>
      <c r="VQD27" s="98"/>
      <c r="VQE27" s="98"/>
      <c r="VQF27" s="98"/>
      <c r="VQG27" s="98"/>
      <c r="VQH27" s="98"/>
      <c r="VQI27" s="98"/>
      <c r="VQJ27" s="98"/>
      <c r="VQK27" s="98"/>
      <c r="VQL27" s="98"/>
      <c r="VQM27" s="98"/>
      <c r="VQN27" s="98"/>
      <c r="VQO27" s="98"/>
      <c r="VQP27" s="98"/>
      <c r="VQQ27" s="98"/>
      <c r="VQR27" s="98"/>
      <c r="VQS27" s="98"/>
      <c r="VQT27" s="98"/>
      <c r="VQU27" s="98"/>
      <c r="VQV27" s="98"/>
      <c r="VQW27" s="98"/>
      <c r="VQX27" s="98"/>
      <c r="VQY27" s="98"/>
      <c r="VQZ27" s="98"/>
      <c r="VRA27" s="98"/>
      <c r="VRB27" s="98"/>
      <c r="VRC27" s="98"/>
      <c r="VRD27" s="98"/>
      <c r="VRE27" s="98"/>
      <c r="VRF27" s="98"/>
      <c r="VRG27" s="98"/>
      <c r="VRH27" s="98"/>
      <c r="VRI27" s="98"/>
      <c r="VRJ27" s="98"/>
      <c r="VRK27" s="98"/>
      <c r="VRL27" s="98"/>
      <c r="VRM27" s="98"/>
      <c r="VRN27" s="98"/>
      <c r="VRO27" s="98"/>
      <c r="VRP27" s="98"/>
      <c r="VRQ27" s="98"/>
      <c r="VRR27" s="98"/>
      <c r="VRS27" s="98"/>
      <c r="VRT27" s="98"/>
      <c r="VRU27" s="98"/>
      <c r="VRV27" s="98"/>
      <c r="VRW27" s="98"/>
      <c r="VRX27" s="98"/>
      <c r="VRY27" s="98"/>
      <c r="VRZ27" s="98"/>
      <c r="VSA27" s="98"/>
      <c r="VSB27" s="98"/>
      <c r="VSC27" s="98"/>
      <c r="VSD27" s="98"/>
      <c r="VSE27" s="98"/>
      <c r="VSF27" s="98"/>
      <c r="VSG27" s="98"/>
      <c r="VSH27" s="98"/>
      <c r="VSI27" s="98"/>
      <c r="VSJ27" s="98"/>
      <c r="VSK27" s="98"/>
      <c r="VSL27" s="98"/>
      <c r="VSM27" s="98"/>
      <c r="VSN27" s="98"/>
      <c r="VSO27" s="98"/>
      <c r="VSP27" s="98"/>
      <c r="VSQ27" s="98"/>
      <c r="VSR27" s="98"/>
      <c r="VSS27" s="98"/>
      <c r="VST27" s="98"/>
      <c r="VSU27" s="98"/>
      <c r="VSV27" s="98"/>
      <c r="VSW27" s="98"/>
      <c r="VSX27" s="98"/>
      <c r="VSY27" s="98"/>
      <c r="VSZ27" s="98"/>
      <c r="VTA27" s="98"/>
      <c r="VTB27" s="98"/>
      <c r="VTC27" s="98"/>
      <c r="VTD27" s="98"/>
      <c r="VTE27" s="98"/>
      <c r="VTF27" s="98"/>
      <c r="VTG27" s="98"/>
      <c r="VTH27" s="98"/>
      <c r="VTI27" s="98"/>
      <c r="VTJ27" s="98"/>
      <c r="VTK27" s="98"/>
      <c r="VTL27" s="98"/>
      <c r="VTM27" s="98"/>
      <c r="VTN27" s="98"/>
      <c r="VTO27" s="98"/>
      <c r="VTP27" s="98"/>
      <c r="VTQ27" s="98"/>
      <c r="VTR27" s="98"/>
      <c r="VTS27" s="98"/>
      <c r="VTT27" s="98"/>
      <c r="VTU27" s="98"/>
      <c r="VTV27" s="98"/>
      <c r="VTW27" s="98"/>
      <c r="VTX27" s="98"/>
      <c r="VTY27" s="98"/>
      <c r="VTZ27" s="98"/>
      <c r="VUA27" s="98"/>
      <c r="VUB27" s="98"/>
      <c r="VUC27" s="98"/>
      <c r="VUD27" s="98"/>
      <c r="VUE27" s="98"/>
      <c r="VUF27" s="98"/>
      <c r="VUG27" s="98"/>
      <c r="VUH27" s="98"/>
      <c r="VUI27" s="98"/>
      <c r="VUJ27" s="98"/>
      <c r="VUK27" s="98"/>
      <c r="VUL27" s="98"/>
      <c r="VUM27" s="98"/>
      <c r="VUN27" s="98"/>
      <c r="VUO27" s="98"/>
      <c r="VUP27" s="98"/>
      <c r="VUQ27" s="98"/>
      <c r="VUR27" s="98"/>
      <c r="VUS27" s="98"/>
      <c r="VUT27" s="98"/>
      <c r="VUU27" s="98"/>
      <c r="VUV27" s="98"/>
      <c r="VUW27" s="98"/>
      <c r="VUX27" s="98"/>
      <c r="VUY27" s="98"/>
      <c r="VUZ27" s="98"/>
      <c r="VVA27" s="98"/>
      <c r="VVB27" s="98"/>
      <c r="VVC27" s="98"/>
      <c r="VVD27" s="98"/>
      <c r="VVE27" s="98"/>
      <c r="VVF27" s="98"/>
      <c r="VVG27" s="98"/>
      <c r="VVH27" s="98"/>
      <c r="VVI27" s="98"/>
      <c r="VVJ27" s="98"/>
      <c r="VVK27" s="98"/>
      <c r="VVL27" s="98"/>
      <c r="VVM27" s="98"/>
      <c r="VVN27" s="98"/>
      <c r="VVO27" s="98"/>
      <c r="VVP27" s="98"/>
      <c r="VVQ27" s="98"/>
      <c r="VVR27" s="98"/>
      <c r="VVS27" s="98"/>
      <c r="VVT27" s="98"/>
      <c r="VVU27" s="98"/>
      <c r="VVV27" s="98"/>
      <c r="VVW27" s="98"/>
      <c r="VVX27" s="98"/>
      <c r="VVY27" s="98"/>
      <c r="VVZ27" s="98"/>
      <c r="VWA27" s="98"/>
      <c r="VWB27" s="98"/>
      <c r="VWC27" s="98"/>
      <c r="VWD27" s="98"/>
      <c r="VWE27" s="98"/>
      <c r="VWF27" s="98"/>
      <c r="VWG27" s="98"/>
      <c r="VWH27" s="98"/>
      <c r="VWI27" s="98"/>
      <c r="VWJ27" s="98"/>
      <c r="VWK27" s="98"/>
      <c r="VWL27" s="98"/>
      <c r="VWM27" s="98"/>
      <c r="VWN27" s="98"/>
      <c r="VWO27" s="98"/>
      <c r="VWP27" s="98"/>
      <c r="VWQ27" s="98"/>
      <c r="VWR27" s="98"/>
      <c r="VWS27" s="98"/>
      <c r="VWT27" s="98"/>
      <c r="VWU27" s="98"/>
      <c r="VWV27" s="98"/>
      <c r="VWW27" s="98"/>
      <c r="VWX27" s="98"/>
      <c r="VWY27" s="98"/>
      <c r="VWZ27" s="98"/>
      <c r="VXA27" s="98"/>
      <c r="VXB27" s="98"/>
      <c r="VXC27" s="98"/>
      <c r="VXD27" s="98"/>
      <c r="VXE27" s="98"/>
      <c r="VXF27" s="98"/>
      <c r="VXG27" s="98"/>
      <c r="VXH27" s="98"/>
      <c r="VXI27" s="98"/>
      <c r="VXJ27" s="98"/>
      <c r="VXK27" s="98"/>
      <c r="VXL27" s="98"/>
      <c r="VXM27" s="98"/>
      <c r="VXN27" s="98"/>
      <c r="VXO27" s="98"/>
      <c r="VXP27" s="98"/>
      <c r="VXQ27" s="98"/>
      <c r="VXR27" s="98"/>
      <c r="VXS27" s="98"/>
      <c r="VXT27" s="98"/>
      <c r="VXU27" s="98"/>
      <c r="VXV27" s="98"/>
      <c r="VXW27" s="98"/>
      <c r="VXX27" s="98"/>
      <c r="VXY27" s="98"/>
      <c r="VXZ27" s="98"/>
      <c r="VYA27" s="98"/>
      <c r="VYB27" s="98"/>
      <c r="VYC27" s="98"/>
      <c r="VYD27" s="98"/>
      <c r="VYE27" s="98"/>
      <c r="VYF27" s="98"/>
      <c r="VYG27" s="98"/>
      <c r="VYH27" s="98"/>
      <c r="VYI27" s="98"/>
      <c r="VYJ27" s="98"/>
      <c r="VYK27" s="98"/>
      <c r="VYL27" s="98"/>
      <c r="VYM27" s="98"/>
      <c r="VYN27" s="98"/>
      <c r="VYO27" s="98"/>
      <c r="VYP27" s="98"/>
      <c r="VYQ27" s="98"/>
      <c r="VYR27" s="98"/>
      <c r="VYS27" s="98"/>
      <c r="VYT27" s="98"/>
      <c r="VYU27" s="98"/>
      <c r="VYV27" s="98"/>
      <c r="VYW27" s="98"/>
      <c r="VYX27" s="98"/>
      <c r="VYY27" s="98"/>
      <c r="VYZ27" s="98"/>
      <c r="VZA27" s="98"/>
      <c r="VZB27" s="98"/>
      <c r="VZC27" s="98"/>
      <c r="VZD27" s="98"/>
      <c r="VZE27" s="98"/>
      <c r="VZF27" s="98"/>
      <c r="VZG27" s="98"/>
      <c r="VZH27" s="98"/>
      <c r="VZI27" s="98"/>
      <c r="VZJ27" s="98"/>
      <c r="VZK27" s="98"/>
      <c r="VZL27" s="98"/>
      <c r="VZM27" s="98"/>
      <c r="VZN27" s="98"/>
      <c r="VZO27" s="98"/>
      <c r="VZP27" s="98"/>
      <c r="VZQ27" s="98"/>
      <c r="VZR27" s="98"/>
      <c r="VZS27" s="98"/>
      <c r="VZT27" s="98"/>
      <c r="VZU27" s="98"/>
      <c r="VZV27" s="98"/>
      <c r="VZW27" s="98"/>
      <c r="VZX27" s="98"/>
      <c r="VZY27" s="98"/>
      <c r="VZZ27" s="98"/>
      <c r="WAA27" s="98"/>
      <c r="WAB27" s="98"/>
      <c r="WAC27" s="98"/>
      <c r="WAD27" s="98"/>
      <c r="WAE27" s="98"/>
      <c r="WAF27" s="98"/>
      <c r="WAG27" s="98"/>
      <c r="WAH27" s="98"/>
      <c r="WAI27" s="98"/>
      <c r="WAJ27" s="98"/>
      <c r="WAK27" s="98"/>
      <c r="WAL27" s="98"/>
      <c r="WAM27" s="98"/>
      <c r="WAN27" s="98"/>
      <c r="WAO27" s="98"/>
      <c r="WAP27" s="98"/>
      <c r="WAQ27" s="98"/>
      <c r="WAR27" s="98"/>
      <c r="WAS27" s="98"/>
      <c r="WAT27" s="98"/>
      <c r="WAU27" s="98"/>
      <c r="WAV27" s="98"/>
      <c r="WAW27" s="98"/>
      <c r="WAX27" s="98"/>
      <c r="WAY27" s="98"/>
      <c r="WAZ27" s="98"/>
      <c r="WBA27" s="98"/>
      <c r="WBB27" s="98"/>
      <c r="WBC27" s="98"/>
      <c r="WBD27" s="98"/>
      <c r="WBE27" s="98"/>
      <c r="WBF27" s="98"/>
      <c r="WBG27" s="98"/>
      <c r="WBH27" s="98"/>
      <c r="WBI27" s="98"/>
      <c r="WBJ27" s="98"/>
      <c r="WBK27" s="98"/>
      <c r="WBL27" s="98"/>
      <c r="WBM27" s="98"/>
      <c r="WBN27" s="98"/>
      <c r="WBO27" s="98"/>
      <c r="WBP27" s="98"/>
      <c r="WBQ27" s="98"/>
      <c r="WBR27" s="98"/>
      <c r="WBS27" s="98"/>
      <c r="WBT27" s="98"/>
      <c r="WBU27" s="98"/>
      <c r="WBV27" s="98"/>
      <c r="WBW27" s="98"/>
      <c r="WBX27" s="98"/>
      <c r="WBY27" s="98"/>
      <c r="WBZ27" s="98"/>
      <c r="WCA27" s="98"/>
      <c r="WCB27" s="98"/>
      <c r="WCC27" s="98"/>
      <c r="WCD27" s="98"/>
      <c r="WCE27" s="98"/>
      <c r="WCF27" s="98"/>
      <c r="WCG27" s="98"/>
      <c r="WCH27" s="98"/>
      <c r="WCI27" s="98"/>
      <c r="WCJ27" s="98"/>
      <c r="WCK27" s="98"/>
      <c r="WCL27" s="98"/>
      <c r="WCM27" s="98"/>
      <c r="WCN27" s="98"/>
      <c r="WCO27" s="98"/>
      <c r="WCP27" s="98"/>
      <c r="WCQ27" s="98"/>
      <c r="WCR27" s="98"/>
      <c r="WCS27" s="98"/>
      <c r="WCT27" s="98"/>
      <c r="WCU27" s="98"/>
      <c r="WCV27" s="98"/>
      <c r="WCW27" s="98"/>
      <c r="WCX27" s="98"/>
      <c r="WCY27" s="98"/>
      <c r="WCZ27" s="98"/>
      <c r="WDA27" s="98"/>
      <c r="WDB27" s="98"/>
      <c r="WDC27" s="98"/>
      <c r="WDD27" s="98"/>
      <c r="WDE27" s="98"/>
      <c r="WDF27" s="98"/>
      <c r="WDG27" s="98"/>
      <c r="WDH27" s="98"/>
      <c r="WDI27" s="98"/>
      <c r="WDJ27" s="98"/>
      <c r="WDK27" s="98"/>
      <c r="WDL27" s="98"/>
      <c r="WDM27" s="98"/>
      <c r="WDN27" s="98"/>
      <c r="WDO27" s="98"/>
      <c r="WDP27" s="98"/>
      <c r="WDQ27" s="98"/>
      <c r="WDR27" s="98"/>
      <c r="WDS27" s="98"/>
      <c r="WDT27" s="98"/>
      <c r="WDU27" s="98"/>
      <c r="WDV27" s="98"/>
      <c r="WDW27" s="98"/>
      <c r="WDX27" s="98"/>
      <c r="WDY27" s="98"/>
      <c r="WDZ27" s="98"/>
      <c r="WEA27" s="98"/>
      <c r="WEB27" s="98"/>
      <c r="WEC27" s="98"/>
      <c r="WED27" s="98"/>
      <c r="WEE27" s="98"/>
      <c r="WEF27" s="98"/>
      <c r="WEG27" s="98"/>
      <c r="WEH27" s="98"/>
      <c r="WEI27" s="98"/>
      <c r="WEJ27" s="98"/>
      <c r="WEK27" s="98"/>
      <c r="WEL27" s="98"/>
      <c r="WEM27" s="98"/>
      <c r="WEN27" s="98"/>
      <c r="WEO27" s="98"/>
      <c r="WEP27" s="98"/>
      <c r="WEQ27" s="98"/>
      <c r="WER27" s="98"/>
      <c r="WES27" s="98"/>
      <c r="WET27" s="98"/>
      <c r="WEU27" s="98"/>
      <c r="WEV27" s="98"/>
      <c r="WEW27" s="98"/>
      <c r="WEX27" s="98"/>
      <c r="WEY27" s="98"/>
      <c r="WEZ27" s="98"/>
      <c r="WFA27" s="98"/>
      <c r="WFB27" s="98"/>
      <c r="WFC27" s="98"/>
      <c r="WFD27" s="98"/>
      <c r="WFE27" s="98"/>
      <c r="WFF27" s="98"/>
      <c r="WFG27" s="98"/>
      <c r="WFH27" s="98"/>
      <c r="WFI27" s="98"/>
      <c r="WFJ27" s="98"/>
      <c r="WFK27" s="98"/>
      <c r="WFL27" s="98"/>
      <c r="WFM27" s="98"/>
      <c r="WFN27" s="98"/>
      <c r="WFO27" s="98"/>
      <c r="WFP27" s="98"/>
      <c r="WFQ27" s="98"/>
      <c r="WFR27" s="98"/>
      <c r="WFS27" s="98"/>
      <c r="WFT27" s="98"/>
      <c r="WFU27" s="98"/>
      <c r="WFV27" s="98"/>
      <c r="WFW27" s="98"/>
      <c r="WFX27" s="98"/>
      <c r="WFY27" s="98"/>
      <c r="WFZ27" s="98"/>
      <c r="WGA27" s="98"/>
      <c r="WGB27" s="98"/>
      <c r="WGC27" s="98"/>
      <c r="WGD27" s="98"/>
      <c r="WGE27" s="98"/>
      <c r="WGF27" s="98"/>
      <c r="WGG27" s="98"/>
      <c r="WGH27" s="98"/>
      <c r="WGI27" s="98"/>
      <c r="WGJ27" s="98"/>
      <c r="WGK27" s="98"/>
      <c r="WGL27" s="98"/>
      <c r="WGM27" s="98"/>
      <c r="WGN27" s="98"/>
      <c r="WGO27" s="98"/>
      <c r="WGP27" s="98"/>
      <c r="WGQ27" s="98"/>
      <c r="WGR27" s="98"/>
      <c r="WGS27" s="98"/>
      <c r="WGT27" s="98"/>
      <c r="WGU27" s="98"/>
      <c r="WGV27" s="98"/>
      <c r="WGW27" s="98"/>
      <c r="WGX27" s="98"/>
      <c r="WGY27" s="98"/>
      <c r="WGZ27" s="98"/>
      <c r="WHA27" s="98"/>
      <c r="WHB27" s="98"/>
      <c r="WHC27" s="98"/>
      <c r="WHD27" s="98"/>
      <c r="WHE27" s="98"/>
      <c r="WHF27" s="98"/>
      <c r="WHG27" s="98"/>
      <c r="WHH27" s="98"/>
      <c r="WHI27" s="98"/>
      <c r="WHJ27" s="98"/>
      <c r="WHK27" s="98"/>
      <c r="WHL27" s="98"/>
      <c r="WHM27" s="98"/>
      <c r="WHN27" s="98"/>
      <c r="WHO27" s="98"/>
      <c r="WHP27" s="98"/>
      <c r="WHQ27" s="98"/>
      <c r="WHR27" s="98"/>
      <c r="WHS27" s="98"/>
      <c r="WHT27" s="98"/>
      <c r="WHU27" s="98"/>
      <c r="WHV27" s="98"/>
      <c r="WHW27" s="98"/>
      <c r="WHX27" s="98"/>
      <c r="WHY27" s="98"/>
      <c r="WHZ27" s="98"/>
      <c r="WIA27" s="98"/>
      <c r="WIB27" s="98"/>
      <c r="WIC27" s="98"/>
      <c r="WID27" s="98"/>
      <c r="WIE27" s="98"/>
      <c r="WIF27" s="98"/>
      <c r="WIG27" s="98"/>
      <c r="WIH27" s="98"/>
      <c r="WII27" s="98"/>
      <c r="WIJ27" s="98"/>
      <c r="WIK27" s="98"/>
      <c r="WIL27" s="98"/>
      <c r="WIM27" s="98"/>
      <c r="WIN27" s="98"/>
      <c r="WIO27" s="98"/>
      <c r="WIP27" s="98"/>
      <c r="WIQ27" s="98"/>
      <c r="WIR27" s="98"/>
      <c r="WIS27" s="98"/>
      <c r="WIT27" s="98"/>
      <c r="WIU27" s="98"/>
      <c r="WIV27" s="98"/>
      <c r="WIW27" s="98"/>
      <c r="WIX27" s="98"/>
      <c r="WIY27" s="98"/>
      <c r="WIZ27" s="98"/>
      <c r="WJA27" s="98"/>
      <c r="WJB27" s="98"/>
      <c r="WJC27" s="98"/>
      <c r="WJD27" s="98"/>
      <c r="WJE27" s="98"/>
      <c r="WJF27" s="98"/>
      <c r="WJG27" s="98"/>
      <c r="WJH27" s="98"/>
      <c r="WJI27" s="98"/>
      <c r="WJJ27" s="98"/>
      <c r="WJK27" s="98"/>
      <c r="WJL27" s="98"/>
      <c r="WJM27" s="98"/>
      <c r="WJN27" s="98"/>
      <c r="WJO27" s="98"/>
      <c r="WJP27" s="98"/>
      <c r="WJQ27" s="98"/>
      <c r="WJR27" s="98"/>
      <c r="WJS27" s="98"/>
      <c r="WJT27" s="98"/>
      <c r="WJU27" s="98"/>
      <c r="WJV27" s="98"/>
      <c r="WJW27" s="98"/>
      <c r="WJX27" s="98"/>
      <c r="WJY27" s="98"/>
      <c r="WJZ27" s="98"/>
      <c r="WKA27" s="98"/>
      <c r="WKB27" s="98"/>
      <c r="WKC27" s="98"/>
      <c r="WKD27" s="98"/>
      <c r="WKE27" s="98"/>
      <c r="WKF27" s="98"/>
      <c r="WKG27" s="98"/>
      <c r="WKH27" s="98"/>
      <c r="WKI27" s="98"/>
      <c r="WKJ27" s="98"/>
      <c r="WKK27" s="98"/>
      <c r="WKL27" s="98"/>
      <c r="WKM27" s="98"/>
      <c r="WKN27" s="98"/>
      <c r="WKO27" s="98"/>
      <c r="WKP27" s="98"/>
      <c r="WKQ27" s="98"/>
      <c r="WKR27" s="98"/>
      <c r="WKS27" s="98"/>
      <c r="WKT27" s="98"/>
      <c r="WKU27" s="98"/>
      <c r="WKV27" s="98"/>
      <c r="WKW27" s="98"/>
      <c r="WKX27" s="98"/>
      <c r="WKY27" s="98"/>
      <c r="WKZ27" s="98"/>
      <c r="WLA27" s="98"/>
      <c r="WLB27" s="98"/>
      <c r="WLC27" s="98"/>
      <c r="WLD27" s="98"/>
      <c r="WLE27" s="98"/>
      <c r="WLF27" s="98"/>
      <c r="WLG27" s="98"/>
      <c r="WLH27" s="98"/>
      <c r="WLI27" s="98"/>
      <c r="WLJ27" s="98"/>
      <c r="WLK27" s="98"/>
      <c r="WLL27" s="98"/>
      <c r="WLM27" s="98"/>
      <c r="WLN27" s="98"/>
      <c r="WLO27" s="98"/>
      <c r="WLP27" s="98"/>
      <c r="WLQ27" s="98"/>
      <c r="WLR27" s="98"/>
      <c r="WLS27" s="98"/>
      <c r="WLT27" s="98"/>
      <c r="WLU27" s="98"/>
      <c r="WLV27" s="98"/>
      <c r="WLW27" s="98"/>
      <c r="WLX27" s="98"/>
      <c r="WLY27" s="98"/>
      <c r="WLZ27" s="98"/>
      <c r="WMA27" s="98"/>
      <c r="WMB27" s="98"/>
      <c r="WMC27" s="98"/>
      <c r="WMD27" s="98"/>
      <c r="WME27" s="98"/>
      <c r="WMF27" s="98"/>
      <c r="WMG27" s="98"/>
      <c r="WMH27" s="98"/>
      <c r="WMI27" s="98"/>
      <c r="WMJ27" s="98"/>
      <c r="WMK27" s="98"/>
      <c r="WML27" s="98"/>
      <c r="WMM27" s="98"/>
      <c r="WMN27" s="98"/>
      <c r="WMO27" s="98"/>
      <c r="WMP27" s="98"/>
      <c r="WMQ27" s="98"/>
      <c r="WMR27" s="98"/>
      <c r="WMS27" s="98"/>
      <c r="WMT27" s="98"/>
      <c r="WMU27" s="98"/>
      <c r="WMV27" s="98"/>
      <c r="WMW27" s="98"/>
      <c r="WMX27" s="98"/>
      <c r="WMY27" s="98"/>
      <c r="WMZ27" s="98"/>
      <c r="WNA27" s="98"/>
      <c r="WNB27" s="98"/>
      <c r="WNC27" s="98"/>
      <c r="WND27" s="98"/>
      <c r="WNE27" s="98"/>
      <c r="WNF27" s="98"/>
      <c r="WNG27" s="98"/>
      <c r="WNH27" s="98"/>
      <c r="WNI27" s="98"/>
      <c r="WNJ27" s="98"/>
      <c r="WNK27" s="98"/>
      <c r="WNL27" s="98"/>
      <c r="WNM27" s="98"/>
      <c r="WNN27" s="98"/>
      <c r="WNO27" s="98"/>
      <c r="WNP27" s="98"/>
      <c r="WNQ27" s="98"/>
      <c r="WNR27" s="98"/>
      <c r="WNS27" s="98"/>
      <c r="WNT27" s="98"/>
      <c r="WNU27" s="98"/>
      <c r="WNV27" s="98"/>
      <c r="WNW27" s="98"/>
      <c r="WNX27" s="98"/>
      <c r="WNY27" s="98"/>
      <c r="WNZ27" s="98"/>
      <c r="WOA27" s="98"/>
      <c r="WOB27" s="98"/>
      <c r="WOC27" s="98"/>
      <c r="WOD27" s="98"/>
      <c r="WOE27" s="98"/>
      <c r="WOF27" s="98"/>
      <c r="WOG27" s="98"/>
      <c r="WOH27" s="98"/>
      <c r="WOI27" s="98"/>
      <c r="WOJ27" s="98"/>
      <c r="WOK27" s="98"/>
      <c r="WOL27" s="98"/>
      <c r="WOM27" s="98"/>
      <c r="WON27" s="98"/>
      <c r="WOO27" s="98"/>
      <c r="WOP27" s="98"/>
      <c r="WOQ27" s="98"/>
      <c r="WOR27" s="98"/>
      <c r="WOS27" s="98"/>
      <c r="WOT27" s="98"/>
      <c r="WOU27" s="98"/>
      <c r="WOV27" s="98"/>
      <c r="WOW27" s="98"/>
      <c r="WOX27" s="98"/>
      <c r="WOY27" s="98"/>
      <c r="WOZ27" s="98"/>
      <c r="WPA27" s="98"/>
      <c r="WPB27" s="98"/>
      <c r="WPC27" s="98"/>
      <c r="WPD27" s="98"/>
      <c r="WPE27" s="98"/>
      <c r="WPF27" s="98"/>
      <c r="WPG27" s="98"/>
      <c r="WPH27" s="98"/>
      <c r="WPI27" s="98"/>
      <c r="WPJ27" s="98"/>
      <c r="WPK27" s="98"/>
      <c r="WPL27" s="98"/>
      <c r="WPM27" s="98"/>
      <c r="WPN27" s="98"/>
      <c r="WPO27" s="98"/>
      <c r="WPP27" s="98"/>
      <c r="WPQ27" s="98"/>
      <c r="WPR27" s="98"/>
      <c r="WPS27" s="98"/>
      <c r="WPT27" s="98"/>
      <c r="WPU27" s="98"/>
      <c r="WPV27" s="98"/>
      <c r="WPW27" s="98"/>
      <c r="WPX27" s="98"/>
      <c r="WPY27" s="98"/>
      <c r="WPZ27" s="98"/>
      <c r="WQA27" s="98"/>
      <c r="WQB27" s="98"/>
      <c r="WQC27" s="98"/>
      <c r="WQD27" s="98"/>
      <c r="WQE27" s="98"/>
      <c r="WQF27" s="98"/>
      <c r="WQG27" s="98"/>
      <c r="WQH27" s="98"/>
      <c r="WQI27" s="98"/>
      <c r="WQJ27" s="98"/>
      <c r="WQK27" s="98"/>
      <c r="WQL27" s="98"/>
      <c r="WQM27" s="98"/>
      <c r="WQN27" s="98"/>
      <c r="WQO27" s="98"/>
      <c r="WQP27" s="98"/>
      <c r="WQQ27" s="98"/>
      <c r="WQR27" s="98"/>
      <c r="WQS27" s="98"/>
      <c r="WQT27" s="98"/>
      <c r="WQU27" s="98"/>
      <c r="WQV27" s="98"/>
      <c r="WQW27" s="98"/>
      <c r="WQX27" s="98"/>
      <c r="WQY27" s="98"/>
      <c r="WQZ27" s="98"/>
      <c r="WRA27" s="98"/>
      <c r="WRB27" s="98"/>
      <c r="WRC27" s="98"/>
      <c r="WRD27" s="98"/>
      <c r="WRE27" s="98"/>
      <c r="WRF27" s="98"/>
      <c r="WRG27" s="98"/>
      <c r="WRH27" s="98"/>
      <c r="WRI27" s="98"/>
      <c r="WRJ27" s="98"/>
      <c r="WRK27" s="98"/>
      <c r="WRL27" s="98"/>
      <c r="WRM27" s="98"/>
      <c r="WRN27" s="98"/>
      <c r="WRO27" s="98"/>
      <c r="WRP27" s="98"/>
      <c r="WRQ27" s="98"/>
      <c r="WRR27" s="98"/>
      <c r="WRS27" s="98"/>
      <c r="WRT27" s="98"/>
      <c r="WRU27" s="98"/>
      <c r="WRV27" s="98"/>
      <c r="WRW27" s="98"/>
      <c r="WRX27" s="98"/>
      <c r="WRY27" s="98"/>
      <c r="WRZ27" s="98"/>
      <c r="WSA27" s="98"/>
      <c r="WSB27" s="98"/>
      <c r="WSC27" s="98"/>
      <c r="WSD27" s="98"/>
      <c r="WSE27" s="98"/>
      <c r="WSF27" s="98"/>
      <c r="WSG27" s="98"/>
      <c r="WSH27" s="98"/>
      <c r="WSI27" s="98"/>
      <c r="WSJ27" s="98"/>
      <c r="WSK27" s="98"/>
      <c r="WSL27" s="98"/>
      <c r="WSM27" s="98"/>
      <c r="WSN27" s="98"/>
      <c r="WSO27" s="98"/>
      <c r="WSP27" s="98"/>
      <c r="WSQ27" s="98"/>
      <c r="WSR27" s="98"/>
      <c r="WSS27" s="98"/>
      <c r="WST27" s="98"/>
      <c r="WSU27" s="98"/>
      <c r="WSV27" s="98"/>
      <c r="WSW27" s="98"/>
      <c r="WSX27" s="98"/>
      <c r="WSY27" s="98"/>
      <c r="WSZ27" s="98"/>
      <c r="WTA27" s="98"/>
      <c r="WTB27" s="98"/>
      <c r="WTC27" s="98"/>
      <c r="WTD27" s="98"/>
      <c r="WTE27" s="98"/>
      <c r="WTF27" s="98"/>
      <c r="WTG27" s="98"/>
      <c r="WTH27" s="98"/>
      <c r="WTI27" s="98"/>
      <c r="WTJ27" s="98"/>
      <c r="WTK27" s="98"/>
      <c r="WTL27" s="98"/>
      <c r="WTM27" s="98"/>
      <c r="WTN27" s="98"/>
      <c r="WTO27" s="98"/>
      <c r="WTP27" s="98"/>
      <c r="WTQ27" s="98"/>
      <c r="WTR27" s="98"/>
      <c r="WTS27" s="98"/>
      <c r="WTT27" s="98"/>
      <c r="WTU27" s="98"/>
      <c r="WTV27" s="98"/>
      <c r="WTW27" s="98"/>
      <c r="WTX27" s="98"/>
      <c r="WTY27" s="98"/>
      <c r="WTZ27" s="98"/>
      <c r="WUA27" s="98"/>
      <c r="WUB27" s="98"/>
      <c r="WUC27" s="98"/>
      <c r="WUD27" s="98"/>
      <c r="WUE27" s="98"/>
      <c r="WUF27" s="98"/>
      <c r="WUG27" s="98"/>
      <c r="WUH27" s="98"/>
      <c r="WUI27" s="98"/>
      <c r="WUJ27" s="98"/>
      <c r="WUK27" s="98"/>
      <c r="WUL27" s="98"/>
      <c r="WUM27" s="98"/>
      <c r="WUN27" s="98"/>
      <c r="WUO27" s="98"/>
      <c r="WUP27" s="98"/>
      <c r="WUQ27" s="98"/>
      <c r="WUR27" s="98"/>
      <c r="WUS27" s="98"/>
      <c r="WUT27" s="98"/>
      <c r="WUU27" s="98"/>
      <c r="WUV27" s="98"/>
      <c r="WUW27" s="98"/>
      <c r="WUX27" s="98"/>
      <c r="WUY27" s="98"/>
      <c r="WUZ27" s="98"/>
      <c r="WVA27" s="98"/>
      <c r="WVB27" s="98"/>
      <c r="WVC27" s="98"/>
      <c r="WVD27" s="98"/>
      <c r="WVE27" s="98"/>
      <c r="WVF27" s="98"/>
      <c r="WVG27" s="98"/>
      <c r="WVH27" s="98"/>
      <c r="WVI27" s="98"/>
      <c r="WVJ27" s="98"/>
      <c r="WVK27" s="98"/>
      <c r="WVL27" s="98"/>
      <c r="WVM27" s="98"/>
      <c r="WVN27" s="98"/>
      <c r="WVO27" s="98"/>
      <c r="WVP27" s="98"/>
      <c r="WVQ27" s="98"/>
      <c r="WVR27" s="98"/>
      <c r="WVS27" s="98"/>
      <c r="WVT27" s="98"/>
      <c r="WVU27" s="98"/>
      <c r="WVV27" s="98"/>
      <c r="WVW27" s="98"/>
      <c r="WVX27" s="98"/>
      <c r="WVY27" s="98"/>
      <c r="WVZ27" s="98"/>
      <c r="WWA27" s="98"/>
      <c r="WWB27" s="98"/>
      <c r="WWC27" s="98"/>
      <c r="WWD27" s="98"/>
      <c r="WWE27" s="98"/>
      <c r="WWF27" s="98"/>
      <c r="WWG27" s="98"/>
      <c r="WWH27" s="98"/>
      <c r="WWI27" s="98"/>
      <c r="WWJ27" s="98"/>
      <c r="WWK27" s="98"/>
      <c r="WWL27" s="98"/>
      <c r="WWM27" s="98"/>
      <c r="WWN27" s="98"/>
      <c r="WWO27" s="98"/>
      <c r="WWP27" s="98"/>
      <c r="WWQ27" s="98"/>
      <c r="WWR27" s="98"/>
      <c r="WWS27" s="98"/>
      <c r="WWT27" s="98"/>
      <c r="WWU27" s="98"/>
      <c r="WWV27" s="98"/>
      <c r="WWW27" s="98"/>
      <c r="WWX27" s="98"/>
      <c r="WWY27" s="98"/>
      <c r="WWZ27" s="98"/>
      <c r="WXA27" s="98"/>
      <c r="WXB27" s="98"/>
      <c r="WXC27" s="98"/>
      <c r="WXD27" s="98"/>
      <c r="WXE27" s="98"/>
      <c r="WXF27" s="98"/>
      <c r="WXG27" s="98"/>
      <c r="WXH27" s="98"/>
      <c r="WXI27" s="98"/>
      <c r="WXJ27" s="98"/>
      <c r="WXK27" s="98"/>
      <c r="WXL27" s="98"/>
      <c r="WXM27" s="98"/>
      <c r="WXN27" s="98"/>
      <c r="WXO27" s="98"/>
      <c r="WXP27" s="98"/>
      <c r="WXQ27" s="98"/>
      <c r="WXR27" s="98"/>
      <c r="WXS27" s="98"/>
      <c r="WXT27" s="98"/>
      <c r="WXU27" s="98"/>
      <c r="WXV27" s="98"/>
      <c r="WXW27" s="98"/>
      <c r="WXX27" s="98"/>
      <c r="WXY27" s="98"/>
      <c r="WXZ27" s="98"/>
      <c r="WYA27" s="98"/>
      <c r="WYB27" s="98"/>
      <c r="WYC27" s="98"/>
      <c r="WYD27" s="98"/>
      <c r="WYE27" s="98"/>
      <c r="WYF27" s="98"/>
      <c r="WYG27" s="98"/>
      <c r="WYH27" s="98"/>
      <c r="WYI27" s="98"/>
      <c r="WYJ27" s="98"/>
      <c r="WYK27" s="98"/>
      <c r="WYL27" s="98"/>
      <c r="WYM27" s="98"/>
      <c r="WYN27" s="98"/>
      <c r="WYO27" s="98"/>
      <c r="WYP27" s="98"/>
      <c r="WYQ27" s="98"/>
      <c r="WYR27" s="98"/>
      <c r="WYS27" s="98"/>
      <c r="WYT27" s="98"/>
      <c r="WYU27" s="98"/>
      <c r="WYV27" s="98"/>
      <c r="WYW27" s="98"/>
      <c r="WYX27" s="98"/>
      <c r="WYY27" s="98"/>
      <c r="WYZ27" s="98"/>
      <c r="WZA27" s="98"/>
      <c r="WZB27" s="98"/>
      <c r="WZC27" s="98"/>
      <c r="WZD27" s="98"/>
      <c r="WZE27" s="98"/>
      <c r="WZF27" s="98"/>
      <c r="WZG27" s="98"/>
      <c r="WZH27" s="98"/>
      <c r="WZI27" s="98"/>
      <c r="WZJ27" s="98"/>
      <c r="WZK27" s="98"/>
      <c r="WZL27" s="98"/>
      <c r="WZM27" s="98"/>
      <c r="WZN27" s="98"/>
      <c r="WZO27" s="98"/>
      <c r="WZP27" s="98"/>
      <c r="WZQ27" s="98"/>
      <c r="WZR27" s="98"/>
      <c r="WZS27" s="98"/>
      <c r="WZT27" s="98"/>
      <c r="WZU27" s="98"/>
      <c r="WZV27" s="98"/>
      <c r="WZW27" s="98"/>
      <c r="WZX27" s="98"/>
      <c r="WZY27" s="98"/>
      <c r="WZZ27" s="98"/>
      <c r="XAA27" s="98"/>
      <c r="XAB27" s="98"/>
      <c r="XAC27" s="98"/>
      <c r="XAD27" s="98"/>
      <c r="XAE27" s="98"/>
      <c r="XAF27" s="98"/>
      <c r="XAG27" s="98"/>
      <c r="XAH27" s="98"/>
      <c r="XAI27" s="98"/>
      <c r="XAJ27" s="98"/>
      <c r="XAK27" s="98"/>
      <c r="XAL27" s="98"/>
      <c r="XAM27" s="98"/>
      <c r="XAN27" s="98"/>
      <c r="XAO27" s="98"/>
      <c r="XAP27" s="98"/>
      <c r="XAQ27" s="98"/>
      <c r="XAR27" s="98"/>
      <c r="XAS27" s="98"/>
      <c r="XAT27" s="98"/>
      <c r="XAU27" s="98"/>
      <c r="XAV27" s="98"/>
      <c r="XAW27" s="98"/>
      <c r="XAX27" s="98"/>
      <c r="XAY27" s="98"/>
      <c r="XAZ27" s="98"/>
      <c r="XBA27" s="98"/>
      <c r="XBB27" s="98"/>
      <c r="XBC27" s="98"/>
      <c r="XBD27" s="98"/>
      <c r="XBE27" s="98"/>
      <c r="XBF27" s="98"/>
      <c r="XBG27" s="98"/>
      <c r="XBH27" s="98"/>
      <c r="XBI27" s="98"/>
      <c r="XBJ27" s="98"/>
      <c r="XBK27" s="98"/>
      <c r="XBL27" s="98"/>
      <c r="XBM27" s="98"/>
      <c r="XBN27" s="98"/>
      <c r="XBO27" s="98"/>
      <c r="XBP27" s="98"/>
      <c r="XBQ27" s="98"/>
      <c r="XBR27" s="98"/>
      <c r="XBS27" s="98"/>
      <c r="XBT27" s="98"/>
      <c r="XBU27" s="98"/>
      <c r="XBV27" s="98"/>
      <c r="XBW27" s="98"/>
      <c r="XBX27" s="98"/>
      <c r="XBY27" s="98"/>
      <c r="XBZ27" s="98"/>
      <c r="XCA27" s="98"/>
      <c r="XCB27" s="98"/>
      <c r="XCC27" s="98"/>
      <c r="XCD27" s="98"/>
      <c r="XCE27" s="98"/>
      <c r="XCF27" s="98"/>
      <c r="XCG27" s="98"/>
      <c r="XCH27" s="98"/>
      <c r="XCI27" s="98"/>
      <c r="XCJ27" s="98"/>
      <c r="XCK27" s="98"/>
      <c r="XCL27" s="98"/>
      <c r="XCM27" s="98"/>
      <c r="XCN27" s="98"/>
      <c r="XCO27" s="98"/>
      <c r="XCP27" s="98"/>
      <c r="XCQ27" s="98"/>
      <c r="XCR27" s="98"/>
      <c r="XCS27" s="98"/>
      <c r="XCT27" s="98"/>
      <c r="XCU27" s="98"/>
      <c r="XCV27" s="98"/>
      <c r="XCW27" s="98"/>
      <c r="XCX27" s="98"/>
      <c r="XCY27" s="98"/>
      <c r="XCZ27" s="98"/>
      <c r="XDA27" s="98"/>
      <c r="XDB27" s="98"/>
      <c r="XDC27" s="98"/>
      <c r="XDD27" s="98"/>
      <c r="XDE27" s="98"/>
      <c r="XDF27" s="98"/>
      <c r="XDG27" s="98"/>
      <c r="XDH27" s="98"/>
      <c r="XDI27" s="98"/>
      <c r="XDJ27" s="98"/>
      <c r="XDK27" s="98"/>
      <c r="XDL27" s="98"/>
      <c r="XDM27" s="98"/>
      <c r="XDN27" s="98"/>
      <c r="XDO27" s="98"/>
      <c r="XDP27" s="98"/>
      <c r="XDQ27" s="98"/>
      <c r="XDR27" s="98"/>
      <c r="XDS27" s="98"/>
      <c r="XDT27" s="98"/>
      <c r="XDU27" s="98"/>
      <c r="XDV27" s="98"/>
      <c r="XDW27" s="98"/>
      <c r="XDX27" s="98"/>
      <c r="XDY27" s="98"/>
      <c r="XDZ27" s="98"/>
      <c r="XEA27" s="98"/>
      <c r="XEB27" s="98"/>
      <c r="XEC27" s="98"/>
      <c r="XED27" s="98"/>
      <c r="XEE27" s="98"/>
      <c r="XEF27" s="98"/>
      <c r="XEG27" s="98"/>
      <c r="XEH27" s="98"/>
      <c r="XEI27" s="98"/>
      <c r="XEJ27" s="98"/>
      <c r="XEK27" s="98"/>
      <c r="XEL27" s="98"/>
      <c r="XEM27" s="98"/>
      <c r="XEN27" s="98"/>
      <c r="XEO27" s="98"/>
      <c r="XEP27" s="98"/>
      <c r="XEQ27" s="98"/>
      <c r="XER27" s="98"/>
      <c r="XES27" s="98"/>
      <c r="XET27" s="98"/>
      <c r="XEU27" s="98"/>
      <c r="XEV27" s="98"/>
      <c r="XEW27" s="98"/>
      <c r="XEX27" s="98"/>
      <c r="XEY27" s="98"/>
      <c r="XEZ27" s="98"/>
      <c r="XFA27" s="98"/>
      <c r="XFB27" s="98"/>
      <c r="XFC27" s="98"/>
      <c r="XFD27" s="98"/>
    </row>
    <row r="28" spans="2:16384" s="81" customFormat="1" ht="14" x14ac:dyDescent="0.25">
      <c r="B28" s="297" t="s">
        <v>23</v>
      </c>
      <c r="C28" s="298"/>
      <c r="D28" s="198">
        <f>Calculo!C26</f>
        <v>200</v>
      </c>
      <c r="F28" s="194" t="s">
        <v>167</v>
      </c>
      <c r="G28" s="190"/>
      <c r="H28" s="197">
        <f>IF(J26&lt;1000,"",(D26/4*(1+6.55%)+D28)*1.16)</f>
        <v>55817.110549999998</v>
      </c>
      <c r="I28" s="197">
        <f>IF(J26&lt;1000,"",(D26/4*(1+6.55%))*1.16)</f>
        <v>55585.110549999998</v>
      </c>
      <c r="J28" s="196">
        <f>IFERROR(I28*3+H28,"")</f>
        <v>222572.44219999999</v>
      </c>
    </row>
    <row r="29" spans="2:16384" s="81" customFormat="1" ht="14" x14ac:dyDescent="0.25">
      <c r="B29" s="291" t="s">
        <v>137</v>
      </c>
      <c r="C29" s="274"/>
      <c r="D29" s="173">
        <f>Calculo!C27</f>
        <v>28814.400000000001</v>
      </c>
      <c r="E29" s="199"/>
      <c r="F29" s="194" t="s">
        <v>168</v>
      </c>
      <c r="G29" s="190"/>
      <c r="H29" s="197">
        <f>IF(J26&lt;1000,"",(D26/12*(1+8.45%)+D28)*1.16)</f>
        <v>19090.76815</v>
      </c>
      <c r="I29" s="197">
        <f>IF(J26&lt;1000,"",(D26/12*(1+8.45%))*1.16)</f>
        <v>18858.76815</v>
      </c>
      <c r="J29" s="196">
        <f>IFERROR(I29*11+H29,"")</f>
        <v>226537.21779999998</v>
      </c>
    </row>
    <row r="30" spans="2:16384" s="81" customFormat="1" ht="12.5" x14ac:dyDescent="0.25">
      <c r="B30" s="297" t="s">
        <v>24</v>
      </c>
      <c r="C30" s="298"/>
      <c r="D30" s="198">
        <f>Calculo!C28</f>
        <v>208904.4</v>
      </c>
    </row>
    <row r="31" spans="2:16384" s="81" customFormat="1" ht="13" thickBot="1" x14ac:dyDescent="0.3">
      <c r="B31" s="289" t="s">
        <v>115</v>
      </c>
      <c r="C31" s="290"/>
      <c r="D31" s="200">
        <f>Calculo!C29</f>
        <v>417.80879999999996</v>
      </c>
      <c r="E31" s="98"/>
    </row>
    <row r="32" spans="2:16384" s="81" customFormat="1" ht="13" thickBot="1" x14ac:dyDescent="0.3">
      <c r="K32" s="94"/>
    </row>
    <row r="33" spans="2:11" s="81" customFormat="1" ht="13.5" thickBot="1" x14ac:dyDescent="0.35">
      <c r="B33" s="307" t="s">
        <v>107</v>
      </c>
      <c r="C33" s="308"/>
      <c r="D33" s="264" t="s">
        <v>144</v>
      </c>
      <c r="E33" s="265" t="s">
        <v>147</v>
      </c>
      <c r="F33" s="239" t="s">
        <v>148</v>
      </c>
    </row>
    <row r="34" spans="2:11" s="81" customFormat="1" ht="14" x14ac:dyDescent="0.25">
      <c r="B34" s="304">
        <f>+DATOS!E24</f>
        <v>211</v>
      </c>
      <c r="C34" s="305"/>
      <c r="D34" s="266" t="s">
        <v>145</v>
      </c>
      <c r="E34" s="267">
        <f>DATOS!D34</f>
        <v>0.2</v>
      </c>
      <c r="F34" s="242">
        <f>DATOS!E31</f>
        <v>0</v>
      </c>
    </row>
    <row r="35" spans="2:11" s="81" customFormat="1" ht="14.25" customHeight="1" thickBot="1" x14ac:dyDescent="0.3">
      <c r="B35" s="301" t="str">
        <f>+DATOS!E26</f>
        <v>AGENTE</v>
      </c>
      <c r="C35" s="302"/>
      <c r="D35" s="266" t="s">
        <v>33</v>
      </c>
      <c r="E35" s="267" t="str">
        <f>DATOS!D35</f>
        <v>SI</v>
      </c>
      <c r="F35" s="242"/>
    </row>
    <row r="36" spans="2:11" s="81" customFormat="1" ht="12.5" x14ac:dyDescent="0.25"/>
    <row r="37" spans="2:11" s="81" customFormat="1" ht="12.5" x14ac:dyDescent="0.25">
      <c r="B37" s="303" t="s">
        <v>51</v>
      </c>
      <c r="C37" s="303"/>
      <c r="D37" s="303"/>
      <c r="E37" s="303"/>
      <c r="F37" s="303"/>
      <c r="G37" s="303"/>
      <c r="H37" s="303"/>
      <c r="I37" s="303"/>
      <c r="J37" s="178"/>
      <c r="K37" s="178"/>
    </row>
    <row r="38" spans="2:11" s="81" customFormat="1" ht="12.5" x14ac:dyDescent="0.25">
      <c r="B38" s="303"/>
      <c r="C38" s="303"/>
      <c r="D38" s="303"/>
      <c r="E38" s="303"/>
      <c r="F38" s="303"/>
      <c r="G38" s="303"/>
      <c r="H38" s="303"/>
      <c r="I38" s="303"/>
      <c r="J38" s="178"/>
      <c r="K38" s="178"/>
    </row>
    <row r="39" spans="2:11" s="81" customFormat="1" ht="6.75" customHeight="1" x14ac:dyDescent="0.25">
      <c r="B39" s="45"/>
      <c r="C39" s="45"/>
      <c r="D39" s="45"/>
      <c r="E39" s="45"/>
      <c r="F39" s="45"/>
      <c r="G39" s="45"/>
      <c r="H39" s="45"/>
      <c r="I39" s="45"/>
      <c r="J39" s="45"/>
      <c r="K39" s="45"/>
    </row>
    <row r="40" spans="2:11" s="81" customFormat="1" ht="12.75" customHeight="1" x14ac:dyDescent="0.25">
      <c r="B40" s="303" t="s">
        <v>108</v>
      </c>
      <c r="C40" s="303"/>
      <c r="D40" s="303"/>
      <c r="E40" s="303"/>
      <c r="F40" s="303"/>
      <c r="G40" s="303"/>
      <c r="H40" s="303"/>
      <c r="I40" s="303"/>
      <c r="J40" s="178"/>
      <c r="K40" s="178"/>
    </row>
    <row r="41" spans="2:11" s="81" customFormat="1" ht="6.75" customHeight="1" x14ac:dyDescent="0.25">
      <c r="B41" s="45"/>
      <c r="C41" s="45"/>
      <c r="D41" s="45"/>
      <c r="E41" s="45"/>
      <c r="F41" s="45"/>
      <c r="G41" s="45"/>
      <c r="H41" s="45"/>
      <c r="I41" s="45"/>
      <c r="J41" s="45"/>
      <c r="K41" s="45"/>
    </row>
    <row r="42" spans="2:11" s="81" customFormat="1" ht="12.5" x14ac:dyDescent="0.25">
      <c r="B42" s="303" t="s">
        <v>35</v>
      </c>
      <c r="C42" s="303"/>
      <c r="D42" s="303"/>
      <c r="E42" s="303"/>
      <c r="F42" s="303"/>
      <c r="G42" s="303"/>
      <c r="H42" s="303"/>
      <c r="I42" s="303"/>
      <c r="J42" s="178"/>
      <c r="K42" s="178"/>
    </row>
    <row r="43" spans="2:11" s="81" customFormat="1" ht="6.75" customHeight="1" x14ac:dyDescent="0.25">
      <c r="B43" s="45"/>
      <c r="C43" s="45"/>
      <c r="D43" s="45"/>
      <c r="E43" s="45"/>
      <c r="F43" s="45"/>
      <c r="G43" s="45"/>
      <c r="H43" s="45"/>
      <c r="I43" s="45"/>
      <c r="J43" s="45"/>
      <c r="K43" s="45"/>
    </row>
    <row r="44" spans="2:11" s="81" customFormat="1" ht="12.5" x14ac:dyDescent="0.25">
      <c r="B44" s="303" t="s">
        <v>65</v>
      </c>
      <c r="C44" s="303"/>
      <c r="D44" s="303"/>
      <c r="E44" s="303"/>
      <c r="F44" s="303"/>
      <c r="G44" s="303"/>
      <c r="H44" s="303"/>
      <c r="I44" s="303"/>
      <c r="J44" s="178"/>
      <c r="K44" s="178"/>
    </row>
    <row r="45" spans="2:11" s="81" customFormat="1" ht="12.5" x14ac:dyDescent="0.25">
      <c r="B45" s="303" t="s">
        <v>62</v>
      </c>
      <c r="C45" s="303"/>
      <c r="D45" s="303"/>
      <c r="E45" s="303"/>
      <c r="F45" s="303"/>
      <c r="G45" s="303"/>
      <c r="H45" s="303"/>
      <c r="I45" s="303"/>
      <c r="J45" s="178"/>
      <c r="K45" s="178"/>
    </row>
    <row r="46" spans="2:11" s="81" customFormat="1" ht="12.5" x14ac:dyDescent="0.25">
      <c r="B46" s="306" t="s">
        <v>139</v>
      </c>
      <c r="C46" s="306"/>
      <c r="D46" s="306"/>
      <c r="E46" s="306"/>
      <c r="F46" s="306"/>
      <c r="G46" s="306"/>
      <c r="H46" s="306"/>
      <c r="I46" s="306"/>
      <c r="J46" s="178"/>
      <c r="K46" s="178"/>
    </row>
    <row r="47" spans="2:11" s="81" customFormat="1" ht="12.5" x14ac:dyDescent="0.25">
      <c r="B47" s="214"/>
      <c r="C47" s="214"/>
      <c r="D47" s="214"/>
      <c r="E47" s="214"/>
      <c r="F47" s="214"/>
      <c r="G47" s="214"/>
      <c r="H47" s="214"/>
      <c r="I47" s="214"/>
      <c r="J47" s="212"/>
      <c r="K47" s="212"/>
    </row>
    <row r="48" spans="2:11" s="81" customFormat="1" ht="43.5" customHeight="1" x14ac:dyDescent="0.25">
      <c r="B48" s="303" t="s">
        <v>53</v>
      </c>
      <c r="C48" s="303"/>
      <c r="D48" s="303"/>
      <c r="E48" s="303"/>
      <c r="F48" s="303"/>
      <c r="G48" s="303"/>
      <c r="H48" s="303"/>
      <c r="I48" s="303"/>
      <c r="J48" s="178"/>
      <c r="K48" s="178"/>
    </row>
    <row r="49" spans="1:13" s="81" customFormat="1" ht="12.5" x14ac:dyDescent="0.25">
      <c r="B49" s="69"/>
      <c r="C49" s="69"/>
      <c r="D49" s="69"/>
      <c r="E49" s="69"/>
      <c r="F49" s="69"/>
      <c r="G49" s="69"/>
      <c r="H49" s="69"/>
      <c r="I49" s="69"/>
      <c r="J49" s="178"/>
      <c r="K49" s="178"/>
    </row>
    <row r="50" spans="1:13" s="81" customFormat="1" ht="18" x14ac:dyDescent="0.25">
      <c r="B50" s="216" t="s">
        <v>150</v>
      </c>
      <c r="C50" s="215"/>
      <c r="D50" s="215"/>
      <c r="E50" s="215"/>
      <c r="F50" s="215"/>
      <c r="G50" s="215"/>
      <c r="H50" s="215"/>
      <c r="I50" s="215"/>
      <c r="J50" s="215"/>
      <c r="K50" s="215"/>
    </row>
    <row r="51" spans="1:13" s="81" customFormat="1" ht="12.5" x14ac:dyDescent="0.25">
      <c r="B51" s="212"/>
      <c r="C51" s="212"/>
      <c r="D51" s="212"/>
      <c r="E51" s="212"/>
      <c r="F51" s="212"/>
      <c r="G51" s="212"/>
      <c r="H51" s="212"/>
      <c r="I51" s="212"/>
      <c r="J51" s="212"/>
      <c r="K51" s="212"/>
    </row>
    <row r="52" spans="1:13" s="81" customFormat="1" ht="13" thickBot="1" x14ac:dyDescent="0.3">
      <c r="B52" s="217" t="s">
        <v>164</v>
      </c>
      <c r="C52" s="69"/>
      <c r="D52" s="69"/>
      <c r="E52" s="69"/>
      <c r="F52" s="69"/>
      <c r="G52" s="178"/>
      <c r="H52" s="178"/>
      <c r="I52" s="69"/>
      <c r="J52" s="144"/>
      <c r="K52" s="144"/>
      <c r="L52" s="192"/>
      <c r="M52" s="192"/>
    </row>
    <row r="53" spans="1:13" s="81" customFormat="1" ht="13" thickTop="1" x14ac:dyDescent="0.25">
      <c r="B53" s="46" t="s">
        <v>36</v>
      </c>
      <c r="C53" s="47"/>
      <c r="D53" s="48"/>
      <c r="E53" s="48"/>
      <c r="F53" s="47"/>
      <c r="G53" s="47"/>
      <c r="H53" s="47"/>
      <c r="I53" s="47"/>
      <c r="K53" s="50" t="s">
        <v>37</v>
      </c>
      <c r="L53" s="50"/>
      <c r="M53" s="50"/>
    </row>
    <row r="54" spans="1:13" s="81" customFormat="1" ht="13" x14ac:dyDescent="0.3">
      <c r="B54" s="49"/>
      <c r="D54" s="38"/>
      <c r="E54" s="38"/>
      <c r="K54" s="50" t="s">
        <v>38</v>
      </c>
      <c r="L54" s="50"/>
      <c r="M54" s="50"/>
    </row>
    <row r="55" spans="1:13" s="81" customFormat="1" ht="12.5" x14ac:dyDescent="0.25">
      <c r="B55" s="81" t="str">
        <f>CONCATENATE(B58,D58,B59)</f>
        <v>000/1.1,1.0156/1.2,0.0713/1.11,5.6961|000/R.1,0.3352/R.2,0.0235/R.11,3.0474</v>
      </c>
      <c r="D55" s="38"/>
      <c r="E55" s="38"/>
      <c r="J55" s="284" t="s">
        <v>89</v>
      </c>
      <c r="K55" s="284"/>
      <c r="L55" s="64"/>
      <c r="M55" s="64"/>
    </row>
    <row r="56" spans="1:13" ht="12.5" x14ac:dyDescent="0.25">
      <c r="B56" s="81" t="s">
        <v>160</v>
      </c>
      <c r="C56" s="81" t="str">
        <f>IF(DATOS!E20=0,Calculo!C8&amp;"/"&amp;Calculo!C9&amp;"/"&amp;Calculo!C10,Calculo!E8&amp;"/"&amp;Calculo!E9&amp;"/"&amp;Calculo!E10)</f>
        <v>0.09/0.3/0.075</v>
      </c>
    </row>
    <row r="57" spans="1:13" ht="12.75" customHeight="1" x14ac:dyDescent="0.25"/>
    <row r="58" spans="1:13" s="209" customFormat="1" ht="18" hidden="1" customHeight="1" x14ac:dyDescent="0.4">
      <c r="A58" s="207"/>
      <c r="B58" s="254" t="str">
        <f>IFERROR(CONCATENATE("000/1.1,",ROUND(Calculo!B45,4),"/1.2,",ROUND(Calculo!B46,4),"/1.11,",ROUND(Calculo!B47,4),),"")</f>
        <v>000/1.1,1.0156/1.2,0.0713/1.11,5.6961</v>
      </c>
      <c r="C58" s="207"/>
      <c r="D58" s="208" t="s">
        <v>159</v>
      </c>
      <c r="E58" s="208"/>
      <c r="F58" s="207"/>
      <c r="G58" s="207"/>
      <c r="H58" s="207"/>
    </row>
    <row r="59" spans="1:13" s="209" customFormat="1" ht="15" hidden="1" customHeight="1" x14ac:dyDescent="0.4">
      <c r="A59" s="207"/>
      <c r="B59" s="254" t="str">
        <f>IFERROR(CONCATENATE("000/R.1,",ROUND(Calculo!C45,4),"/R.2,",ROUND(Calculo!C46,4),"/R.11,",ROUND(Calculo!C47,4)),"")</f>
        <v>000/R.1,0.3352/R.2,0.0235/R.11,3.0474</v>
      </c>
      <c r="C59" s="207"/>
      <c r="D59" s="208"/>
      <c r="E59" s="208"/>
      <c r="F59" s="207"/>
      <c r="G59" s="207"/>
      <c r="H59" s="207"/>
    </row>
    <row r="60" spans="1:13" ht="12.75" hidden="1" customHeight="1" x14ac:dyDescent="0.25"/>
    <row r="61" spans="1:13" ht="12.75" hidden="1" customHeight="1" x14ac:dyDescent="0.25"/>
    <row r="62" spans="1:13" ht="12.75" hidden="1" customHeight="1" x14ac:dyDescent="0.25"/>
    <row r="63" spans="1:13" ht="12.75" hidden="1" customHeight="1" x14ac:dyDescent="0.25"/>
    <row r="64" spans="1:13" ht="12.75" hidden="1" customHeight="1" x14ac:dyDescent="0.25"/>
    <row r="65" ht="12.75" hidden="1" customHeight="1" x14ac:dyDescent="0.25"/>
    <row r="66" ht="12.75" hidden="1" customHeight="1" x14ac:dyDescent="0.25"/>
    <row r="67" ht="12.75" hidden="1" customHeight="1" x14ac:dyDescent="0.25"/>
    <row r="68" ht="12.75" hidden="1" customHeight="1" x14ac:dyDescent="0.25"/>
    <row r="69" ht="12.75" hidden="1" customHeight="1" x14ac:dyDescent="0.25"/>
    <row r="70" ht="12.75" hidden="1" customHeight="1" x14ac:dyDescent="0.25"/>
    <row r="71" ht="12.75" hidden="1" customHeight="1" x14ac:dyDescent="0.25"/>
    <row r="72" ht="12.75" hidden="1" customHeight="1" x14ac:dyDescent="0.25"/>
    <row r="73" ht="12.75" hidden="1" customHeight="1" x14ac:dyDescent="0.25"/>
    <row r="74" ht="12.75" hidden="1" customHeight="1" x14ac:dyDescent="0.25"/>
    <row r="75" ht="12.75" hidden="1" customHeight="1" x14ac:dyDescent="0.25"/>
    <row r="76" ht="12.75" hidden="1" customHeight="1" x14ac:dyDescent="0.25"/>
    <row r="77" ht="12.75" hidden="1" customHeight="1" x14ac:dyDescent="0.25"/>
    <row r="78" ht="12.75" hidden="1" customHeight="1" x14ac:dyDescent="0.25"/>
    <row r="79" ht="12.75" hidden="1" customHeight="1" x14ac:dyDescent="0.25"/>
    <row r="80" ht="12.75" hidden="1" customHeight="1" x14ac:dyDescent="0.25"/>
    <row r="81" ht="12.75" hidden="1" customHeight="1" x14ac:dyDescent="0.25"/>
    <row r="82" ht="12.75" hidden="1" customHeight="1" x14ac:dyDescent="0.25"/>
    <row r="83" ht="12.75" hidden="1" customHeight="1" x14ac:dyDescent="0.25"/>
    <row r="84" ht="12.75" hidden="1" customHeight="1" x14ac:dyDescent="0.25"/>
    <row r="85" ht="12.75" hidden="1" customHeight="1" x14ac:dyDescent="0.25"/>
    <row r="86" ht="12.75" hidden="1" customHeight="1" x14ac:dyDescent="0.25"/>
    <row r="87" ht="12.75" hidden="1" customHeight="1" x14ac:dyDescent="0.25"/>
    <row r="88" ht="12.75" hidden="1" customHeight="1" x14ac:dyDescent="0.25"/>
    <row r="89" ht="12.75" hidden="1" customHeight="1" x14ac:dyDescent="0.25"/>
    <row r="90" ht="12.75" hidden="1" customHeight="1" x14ac:dyDescent="0.25"/>
    <row r="91" ht="12.75" hidden="1" customHeight="1" x14ac:dyDescent="0.25"/>
    <row r="92" ht="12.75" hidden="1" customHeight="1" x14ac:dyDescent="0.25"/>
    <row r="93" ht="12.75" hidden="1" customHeight="1" x14ac:dyDescent="0.25"/>
    <row r="94" ht="12.75" hidden="1" customHeight="1" x14ac:dyDescent="0.25"/>
    <row r="95" ht="12.75" hidden="1" customHeight="1" x14ac:dyDescent="0.25"/>
    <row r="96" ht="12.75" hidden="1" customHeight="1" x14ac:dyDescent="0.25"/>
    <row r="97" ht="12.75" hidden="1" customHeight="1" x14ac:dyDescent="0.25"/>
    <row r="98" ht="12.75" hidden="1" customHeight="1" x14ac:dyDescent="0.25"/>
    <row r="99" ht="12.75" hidden="1" customHeight="1" x14ac:dyDescent="0.25"/>
    <row r="100" ht="12.75" hidden="1" customHeight="1" x14ac:dyDescent="0.25"/>
    <row r="101" ht="12.75" hidden="1" customHeight="1" x14ac:dyDescent="0.25"/>
    <row r="102" ht="12.75" hidden="1" customHeight="1" x14ac:dyDescent="0.25"/>
    <row r="103" ht="12.75" hidden="1" customHeight="1" x14ac:dyDescent="0.25"/>
    <row r="104" ht="12.75" hidden="1" customHeight="1" x14ac:dyDescent="0.25"/>
    <row r="105" ht="12.75" hidden="1" customHeight="1" x14ac:dyDescent="0.25"/>
    <row r="106" ht="12.75" hidden="1" customHeight="1" x14ac:dyDescent="0.25"/>
    <row r="107" ht="12.75" hidden="1" customHeight="1" x14ac:dyDescent="0.25"/>
    <row r="108" ht="12.75" hidden="1" customHeight="1" x14ac:dyDescent="0.25"/>
    <row r="109" ht="12.75" hidden="1" customHeight="1" x14ac:dyDescent="0.25"/>
    <row r="110" ht="12.75" hidden="1" customHeight="1" x14ac:dyDescent="0.25"/>
    <row r="111" ht="12.75" hidden="1" customHeight="1" x14ac:dyDescent="0.25"/>
    <row r="112" ht="12.75" hidden="1" customHeight="1" x14ac:dyDescent="0.25"/>
    <row r="113" ht="12.75" hidden="1" customHeight="1" x14ac:dyDescent="0.25"/>
    <row r="114" ht="12.75" hidden="1" customHeight="1" x14ac:dyDescent="0.25"/>
    <row r="115" ht="12.75" hidden="1" customHeight="1" x14ac:dyDescent="0.25"/>
    <row r="116" ht="12.75" hidden="1" customHeight="1" x14ac:dyDescent="0.25"/>
    <row r="117" ht="12.75" hidden="1" customHeight="1" x14ac:dyDescent="0.25"/>
    <row r="118" ht="12.75" hidden="1" customHeight="1" x14ac:dyDescent="0.25"/>
    <row r="119" ht="12.75" hidden="1" customHeight="1" x14ac:dyDescent="0.25"/>
    <row r="120" ht="12.75" hidden="1" customHeight="1" x14ac:dyDescent="0.25"/>
    <row r="121" ht="12.75" hidden="1" customHeight="1" x14ac:dyDescent="0.25"/>
    <row r="122" ht="12.75" hidden="1" customHeight="1" x14ac:dyDescent="0.25"/>
    <row r="123" ht="12.75" hidden="1" customHeight="1" x14ac:dyDescent="0.25"/>
    <row r="124" ht="12.75" hidden="1" customHeight="1" x14ac:dyDescent="0.25"/>
    <row r="125" ht="12.75" hidden="1" customHeight="1" x14ac:dyDescent="0.25"/>
    <row r="126" ht="12.75" hidden="1" customHeight="1" x14ac:dyDescent="0.25"/>
    <row r="127" ht="12.75" hidden="1" customHeight="1" x14ac:dyDescent="0.25"/>
    <row r="128" ht="12.75" hidden="1" customHeight="1" x14ac:dyDescent="0.25"/>
    <row r="129" ht="12.75" hidden="1" customHeight="1" x14ac:dyDescent="0.25"/>
    <row r="130" ht="12.75" hidden="1" customHeight="1" x14ac:dyDescent="0.25"/>
    <row r="131" ht="12.75" hidden="1" customHeight="1" x14ac:dyDescent="0.25"/>
    <row r="132" ht="12.75" hidden="1" customHeight="1" x14ac:dyDescent="0.25"/>
    <row r="133" ht="12.75" hidden="1" customHeight="1" x14ac:dyDescent="0.25"/>
    <row r="134" ht="12.75" hidden="1" customHeight="1" x14ac:dyDescent="0.25"/>
    <row r="135" ht="12.75" hidden="1" customHeight="1" x14ac:dyDescent="0.25"/>
    <row r="136" ht="12.75" hidden="1" customHeight="1" x14ac:dyDescent="0.25"/>
    <row r="137" ht="12.75" hidden="1" customHeight="1" x14ac:dyDescent="0.25"/>
    <row r="138" ht="12.75" hidden="1" customHeight="1" x14ac:dyDescent="0.25"/>
    <row r="139" ht="12.75" hidden="1" customHeight="1" x14ac:dyDescent="0.25"/>
    <row r="140" ht="12.75" hidden="1" customHeight="1" x14ac:dyDescent="0.25"/>
    <row r="141" ht="12.75" hidden="1" customHeight="1" x14ac:dyDescent="0.25"/>
    <row r="142" ht="12.75" hidden="1" customHeight="1" x14ac:dyDescent="0.25"/>
    <row r="143" ht="12.75" hidden="1" customHeight="1" x14ac:dyDescent="0.25"/>
    <row r="144" ht="12.75" hidden="1" customHeight="1" x14ac:dyDescent="0.25"/>
    <row r="145" ht="12.75" hidden="1" customHeight="1" x14ac:dyDescent="0.25"/>
    <row r="146" ht="12.75" hidden="1" customHeight="1" x14ac:dyDescent="0.25"/>
    <row r="147" ht="12.75" hidden="1" customHeight="1" x14ac:dyDescent="0.25"/>
    <row r="148" ht="12.75" hidden="1" customHeight="1" x14ac:dyDescent="0.25"/>
    <row r="149" ht="12.75" hidden="1" customHeight="1" x14ac:dyDescent="0.25"/>
    <row r="150" ht="12.75" hidden="1" customHeight="1" x14ac:dyDescent="0.25"/>
    <row r="151" ht="12.75" hidden="1" customHeight="1" x14ac:dyDescent="0.25"/>
    <row r="152" ht="12.75" hidden="1" customHeight="1" x14ac:dyDescent="0.25"/>
    <row r="153" ht="12.75" hidden="1" customHeight="1" x14ac:dyDescent="0.25"/>
    <row r="154" ht="12.75" hidden="1" customHeight="1" x14ac:dyDescent="0.25"/>
    <row r="155" ht="12.75" hidden="1" customHeight="1" x14ac:dyDescent="0.25"/>
    <row r="156" ht="12.75" hidden="1" customHeight="1" x14ac:dyDescent="0.25"/>
    <row r="157" ht="12.75" hidden="1" customHeight="1" x14ac:dyDescent="0.25"/>
    <row r="158" ht="12.75" hidden="1" customHeight="1" x14ac:dyDescent="0.25"/>
    <row r="159" ht="12.75" hidden="1" customHeight="1" x14ac:dyDescent="0.25"/>
    <row r="160" ht="12.75" hidden="1" customHeight="1" x14ac:dyDescent="0.25"/>
    <row r="161" ht="12.75" hidden="1" customHeight="1" x14ac:dyDescent="0.25"/>
    <row r="162" ht="12.75" hidden="1" customHeight="1" x14ac:dyDescent="0.25"/>
    <row r="163" ht="12.75" hidden="1" customHeight="1" x14ac:dyDescent="0.25"/>
    <row r="164" ht="12.75" hidden="1" customHeight="1" x14ac:dyDescent="0.25"/>
    <row r="165" ht="12.75" hidden="1" customHeight="1" x14ac:dyDescent="0.25"/>
    <row r="166" ht="12.75" hidden="1" customHeight="1" x14ac:dyDescent="0.25"/>
    <row r="167" ht="12.75" hidden="1" customHeight="1" x14ac:dyDescent="0.25"/>
    <row r="168" ht="12.75" hidden="1" customHeight="1" x14ac:dyDescent="0.25"/>
    <row r="169" ht="12.75" hidden="1" customHeight="1" x14ac:dyDescent="0.25"/>
    <row r="170" ht="12.75" hidden="1" customHeight="1" x14ac:dyDescent="0.25"/>
    <row r="171" ht="12.75" hidden="1" customHeight="1" x14ac:dyDescent="0.25"/>
    <row r="172" ht="12.75" hidden="1" customHeight="1" x14ac:dyDescent="0.25"/>
    <row r="173" ht="12.75" hidden="1" customHeight="1" x14ac:dyDescent="0.25"/>
    <row r="174" ht="12.75" hidden="1" customHeight="1" x14ac:dyDescent="0.25"/>
    <row r="175" ht="12.75" hidden="1" customHeight="1" x14ac:dyDescent="0.25"/>
    <row r="176" ht="12.75" hidden="1" customHeight="1" x14ac:dyDescent="0.25"/>
    <row r="177" ht="12.75" hidden="1" customHeight="1" x14ac:dyDescent="0.25"/>
    <row r="178" ht="12.75" hidden="1" customHeight="1" x14ac:dyDescent="0.25"/>
    <row r="179" ht="12.75" hidden="1" customHeight="1" x14ac:dyDescent="0.25"/>
    <row r="180" ht="12.75" hidden="1" customHeight="1" x14ac:dyDescent="0.25"/>
    <row r="181" ht="12.75" hidden="1" customHeight="1" x14ac:dyDescent="0.25"/>
    <row r="182" ht="12.75" hidden="1" customHeight="1" x14ac:dyDescent="0.25"/>
    <row r="183" ht="12.75" hidden="1" customHeight="1" x14ac:dyDescent="0.25"/>
    <row r="184" ht="12.75" hidden="1" customHeight="1" x14ac:dyDescent="0.25"/>
    <row r="185" ht="12.75" hidden="1" customHeight="1" x14ac:dyDescent="0.25"/>
    <row r="186" ht="12.75" hidden="1" customHeight="1" x14ac:dyDescent="0.25"/>
    <row r="187" ht="12.75" hidden="1" customHeight="1" x14ac:dyDescent="0.25"/>
    <row r="188" ht="12.75" hidden="1" customHeight="1" x14ac:dyDescent="0.25"/>
    <row r="189" ht="12.75" hidden="1" customHeight="1" x14ac:dyDescent="0.25"/>
    <row r="190" ht="12.75" hidden="1" customHeight="1" x14ac:dyDescent="0.25"/>
    <row r="191" ht="12.75" hidden="1" customHeight="1" x14ac:dyDescent="0.25"/>
    <row r="192" ht="12.75" hidden="1" customHeight="1" x14ac:dyDescent="0.25"/>
    <row r="193" ht="12.75" hidden="1" customHeight="1" x14ac:dyDescent="0.25"/>
    <row r="194" ht="12.75" hidden="1" customHeight="1" x14ac:dyDescent="0.25"/>
    <row r="195" ht="12.75" hidden="1" customHeight="1" x14ac:dyDescent="0.25"/>
    <row r="196" ht="12.75" hidden="1" customHeight="1" x14ac:dyDescent="0.25"/>
    <row r="197" ht="12.75" hidden="1" customHeight="1" x14ac:dyDescent="0.25"/>
    <row r="198" ht="12.75" hidden="1" customHeight="1" x14ac:dyDescent="0.25"/>
    <row r="199" ht="12.75" hidden="1" customHeight="1" x14ac:dyDescent="0.25"/>
    <row r="200" ht="12.75" hidden="1" customHeight="1" x14ac:dyDescent="0.25"/>
    <row r="201" ht="12.75" hidden="1" customHeight="1" x14ac:dyDescent="0.25"/>
    <row r="202" ht="12.75" hidden="1" customHeight="1" x14ac:dyDescent="0.25"/>
    <row r="203" ht="12.75" hidden="1" customHeight="1" x14ac:dyDescent="0.25"/>
    <row r="204" ht="12.75" hidden="1" customHeight="1" x14ac:dyDescent="0.25"/>
    <row r="205" ht="12.75" hidden="1" customHeight="1" x14ac:dyDescent="0.25"/>
    <row r="206" ht="12.75" hidden="1" customHeight="1" x14ac:dyDescent="0.25"/>
    <row r="207" ht="12.75" hidden="1" customHeight="1" x14ac:dyDescent="0.25"/>
    <row r="208" ht="12.75" hidden="1" customHeight="1" x14ac:dyDescent="0.25"/>
    <row r="209" ht="12.75" hidden="1" customHeight="1" x14ac:dyDescent="0.25"/>
    <row r="210" ht="12.75" hidden="1" customHeight="1" x14ac:dyDescent="0.25"/>
    <row r="211" ht="12.75" hidden="1" customHeight="1" x14ac:dyDescent="0.25"/>
    <row r="212" ht="12.75" hidden="1" customHeight="1" x14ac:dyDescent="0.25"/>
    <row r="213" ht="12.75" hidden="1" customHeight="1" x14ac:dyDescent="0.25"/>
    <row r="214" ht="12.75" hidden="1" customHeight="1" x14ac:dyDescent="0.25"/>
    <row r="215" ht="12.75" hidden="1" customHeight="1" x14ac:dyDescent="0.25"/>
    <row r="216" ht="12.75" hidden="1" customHeight="1" x14ac:dyDescent="0.25"/>
    <row r="217" ht="12.75" hidden="1" customHeight="1" x14ac:dyDescent="0.25"/>
    <row r="218" ht="12.75" hidden="1" customHeight="1" x14ac:dyDescent="0.25"/>
    <row r="219" ht="12.75" hidden="1" customHeight="1" x14ac:dyDescent="0.25"/>
    <row r="220" ht="12.75" hidden="1" customHeight="1" x14ac:dyDescent="0.25"/>
    <row r="221" ht="12.75" hidden="1" customHeight="1" x14ac:dyDescent="0.25"/>
    <row r="222" ht="12.75" hidden="1" customHeight="1" x14ac:dyDescent="0.25"/>
    <row r="223" ht="12.75" hidden="1" customHeight="1" x14ac:dyDescent="0.25"/>
    <row r="224" ht="12.75" hidden="1" customHeight="1" x14ac:dyDescent="0.25"/>
    <row r="225" ht="12.75" hidden="1" customHeight="1" x14ac:dyDescent="0.25"/>
    <row r="226" ht="12.75" hidden="1" customHeight="1" x14ac:dyDescent="0.25"/>
    <row r="227" ht="12.75" hidden="1" customHeight="1" x14ac:dyDescent="0.25"/>
    <row r="228" ht="12.75" hidden="1" customHeight="1" x14ac:dyDescent="0.25"/>
    <row r="229" ht="12.75" hidden="1" customHeight="1" x14ac:dyDescent="0.25"/>
    <row r="230" ht="12.75" hidden="1" customHeight="1" x14ac:dyDescent="0.25"/>
    <row r="231" ht="12.75" hidden="1" customHeight="1" x14ac:dyDescent="0.25"/>
    <row r="232" ht="12.75" hidden="1" customHeight="1" x14ac:dyDescent="0.25"/>
    <row r="233" ht="12.75" hidden="1" customHeight="1" x14ac:dyDescent="0.25"/>
    <row r="234" ht="12.75" hidden="1" customHeight="1" x14ac:dyDescent="0.25"/>
    <row r="235" ht="12.75" hidden="1" customHeight="1" x14ac:dyDescent="0.25"/>
    <row r="236" ht="12.75" hidden="1" customHeight="1" x14ac:dyDescent="0.25"/>
    <row r="237" ht="12.75" hidden="1" customHeight="1" x14ac:dyDescent="0.25"/>
    <row r="238" ht="12.75" hidden="1" customHeight="1" x14ac:dyDescent="0.25"/>
    <row r="239" ht="12.75" hidden="1" customHeight="1" x14ac:dyDescent="0.25"/>
    <row r="240" ht="12.75" hidden="1" customHeight="1" x14ac:dyDescent="0.25"/>
    <row r="241" ht="12.75" hidden="1" customHeight="1" x14ac:dyDescent="0.25"/>
    <row r="242" ht="12.75" hidden="1" customHeight="1" x14ac:dyDescent="0.25"/>
    <row r="243" ht="12.75" hidden="1" customHeight="1" x14ac:dyDescent="0.25"/>
    <row r="244" ht="12.75" hidden="1" customHeight="1" x14ac:dyDescent="0.25"/>
    <row r="245" ht="12.75" hidden="1" customHeight="1" x14ac:dyDescent="0.25"/>
    <row r="246" ht="12.75" hidden="1" customHeight="1" x14ac:dyDescent="0.25"/>
    <row r="247" ht="12.75" hidden="1" customHeight="1" x14ac:dyDescent="0.25"/>
    <row r="248" ht="12.75" hidden="1" customHeight="1" x14ac:dyDescent="0.25"/>
    <row r="249" ht="12.75" hidden="1" customHeight="1" x14ac:dyDescent="0.25"/>
    <row r="250" ht="12.75" hidden="1" customHeight="1" x14ac:dyDescent="0.25"/>
    <row r="251" ht="12.75" hidden="1" customHeight="1" x14ac:dyDescent="0.25"/>
    <row r="252" ht="12.75" hidden="1" customHeight="1" x14ac:dyDescent="0.25"/>
    <row r="253" ht="12.75" hidden="1" customHeight="1" x14ac:dyDescent="0.25"/>
    <row r="254" ht="12.75" hidden="1" customHeight="1" x14ac:dyDescent="0.25"/>
    <row r="255" ht="12.75" hidden="1" customHeight="1" x14ac:dyDescent="0.25"/>
    <row r="256" ht="12.75" hidden="1" customHeight="1" x14ac:dyDescent="0.25"/>
    <row r="257" ht="12.75" hidden="1" customHeight="1" x14ac:dyDescent="0.25"/>
    <row r="258" ht="12.75" hidden="1" customHeight="1" x14ac:dyDescent="0.25"/>
    <row r="259" ht="12.75" hidden="1" customHeight="1" x14ac:dyDescent="0.25"/>
    <row r="260" ht="12.75" hidden="1" customHeight="1" x14ac:dyDescent="0.25"/>
    <row r="261" ht="12.75" hidden="1" customHeight="1" x14ac:dyDescent="0.25"/>
    <row r="262" ht="12.75" hidden="1" customHeight="1" x14ac:dyDescent="0.25"/>
    <row r="263" ht="12.75" hidden="1" customHeight="1" x14ac:dyDescent="0.25"/>
    <row r="264" ht="12.75" hidden="1" customHeight="1" x14ac:dyDescent="0.25"/>
    <row r="265" ht="12.75" hidden="1" customHeight="1" x14ac:dyDescent="0.25"/>
    <row r="266" ht="12.75" hidden="1" customHeight="1" x14ac:dyDescent="0.25"/>
    <row r="267" ht="12.75" hidden="1" customHeight="1" x14ac:dyDescent="0.25"/>
    <row r="268" ht="12.75" hidden="1" customHeight="1" x14ac:dyDescent="0.25"/>
    <row r="269" ht="12.75" hidden="1" customHeight="1" x14ac:dyDescent="0.25"/>
    <row r="270" ht="12.75" hidden="1" customHeight="1" x14ac:dyDescent="0.25"/>
    <row r="271" ht="12.75" hidden="1" customHeight="1" x14ac:dyDescent="0.25"/>
    <row r="272" ht="12.75" hidden="1" customHeight="1" x14ac:dyDescent="0.25"/>
    <row r="273" ht="12.75" hidden="1" customHeight="1" x14ac:dyDescent="0.25"/>
    <row r="274" ht="12.75" hidden="1" customHeight="1" x14ac:dyDescent="0.25"/>
    <row r="275" ht="12.75" hidden="1" customHeight="1" x14ac:dyDescent="0.25"/>
    <row r="276" ht="12.75" hidden="1" customHeight="1" x14ac:dyDescent="0.25"/>
    <row r="277" ht="12.75" hidden="1" customHeight="1" x14ac:dyDescent="0.25"/>
    <row r="278" ht="12.75" hidden="1" customHeight="1" x14ac:dyDescent="0.25"/>
    <row r="279" ht="12.75" hidden="1" customHeight="1" x14ac:dyDescent="0.25"/>
    <row r="280" ht="12.75" hidden="1" customHeight="1" x14ac:dyDescent="0.25"/>
    <row r="281" ht="12.75" hidden="1" customHeight="1" x14ac:dyDescent="0.25"/>
    <row r="282" ht="12.75" hidden="1" customHeight="1" x14ac:dyDescent="0.25"/>
    <row r="283" ht="12.75" hidden="1" customHeight="1" x14ac:dyDescent="0.25"/>
    <row r="284" ht="12.75" hidden="1" customHeight="1" x14ac:dyDescent="0.25"/>
    <row r="285" ht="12.75" hidden="1" customHeight="1" x14ac:dyDescent="0.25"/>
    <row r="286" ht="12.75" hidden="1" customHeight="1" x14ac:dyDescent="0.25"/>
    <row r="287" ht="12.75" hidden="1" customHeight="1" x14ac:dyDescent="0.25"/>
    <row r="288" ht="12.75" hidden="1" customHeight="1" x14ac:dyDescent="0.25"/>
    <row r="289" ht="12.75" hidden="1" customHeight="1" x14ac:dyDescent="0.25"/>
    <row r="290" ht="12.75" hidden="1" customHeight="1" x14ac:dyDescent="0.25"/>
    <row r="291" ht="12.75" hidden="1" customHeight="1" x14ac:dyDescent="0.25"/>
    <row r="292" ht="12.75" hidden="1" customHeight="1" x14ac:dyDescent="0.25"/>
    <row r="293" ht="12.75" hidden="1" customHeight="1" x14ac:dyDescent="0.25"/>
    <row r="294" ht="12.75" hidden="1" customHeight="1" x14ac:dyDescent="0.25"/>
    <row r="295" ht="12.75" hidden="1" customHeight="1" x14ac:dyDescent="0.25"/>
    <row r="296" ht="12.75" hidden="1" customHeight="1" x14ac:dyDescent="0.25"/>
    <row r="297" ht="12.75" hidden="1" customHeight="1" x14ac:dyDescent="0.25"/>
    <row r="298" ht="12.75" hidden="1" customHeight="1" x14ac:dyDescent="0.25"/>
    <row r="299" ht="12.75" hidden="1" customHeight="1" x14ac:dyDescent="0.25"/>
    <row r="300" ht="12.75" hidden="1" customHeight="1" x14ac:dyDescent="0.25"/>
    <row r="301" ht="12.75" hidden="1" customHeight="1" x14ac:dyDescent="0.25"/>
    <row r="302" ht="12.75" hidden="1" customHeight="1" x14ac:dyDescent="0.25"/>
    <row r="303" ht="12.75" hidden="1" customHeight="1" x14ac:dyDescent="0.25"/>
    <row r="304" ht="12.75" hidden="1" customHeight="1" x14ac:dyDescent="0.25"/>
    <row r="305" ht="12.75" hidden="1" customHeight="1" x14ac:dyDescent="0.25"/>
    <row r="306" ht="12.75" hidden="1" customHeight="1" x14ac:dyDescent="0.25"/>
    <row r="307" ht="12.75" hidden="1" customHeight="1" x14ac:dyDescent="0.25"/>
    <row r="308" ht="12.75" hidden="1" customHeight="1" x14ac:dyDescent="0.25"/>
    <row r="309" ht="12.75" hidden="1" customHeight="1" x14ac:dyDescent="0.25"/>
    <row r="310" ht="12.75" hidden="1" customHeight="1" x14ac:dyDescent="0.25"/>
    <row r="311" ht="12.75" hidden="1" customHeight="1" x14ac:dyDescent="0.25"/>
    <row r="312" ht="12.75" hidden="1" customHeight="1" x14ac:dyDescent="0.25"/>
    <row r="313" ht="12.75" hidden="1" customHeight="1" x14ac:dyDescent="0.25"/>
    <row r="314" ht="12.75" hidden="1" customHeight="1" x14ac:dyDescent="0.25"/>
    <row r="315" ht="12.75" hidden="1" customHeight="1" x14ac:dyDescent="0.25"/>
    <row r="316" ht="12.75" hidden="1" customHeight="1" x14ac:dyDescent="0.25"/>
    <row r="317" ht="12.75" hidden="1" customHeight="1" x14ac:dyDescent="0.25"/>
    <row r="318" ht="12.75" hidden="1" customHeight="1" x14ac:dyDescent="0.25"/>
    <row r="319" ht="12.75" hidden="1" customHeight="1" x14ac:dyDescent="0.25"/>
    <row r="320" ht="12.75" hidden="1" customHeight="1" x14ac:dyDescent="0.25"/>
    <row r="321" ht="12.75" hidden="1" customHeight="1" x14ac:dyDescent="0.25"/>
    <row r="322" ht="12.75" hidden="1" customHeight="1" x14ac:dyDescent="0.25"/>
    <row r="323" ht="12.75" hidden="1" customHeight="1" x14ac:dyDescent="0.25"/>
    <row r="324" ht="12.75" hidden="1" customHeight="1" x14ac:dyDescent="0.25"/>
    <row r="325" ht="12.75" hidden="1" customHeight="1" x14ac:dyDescent="0.25"/>
    <row r="326" ht="12.75" hidden="1" customHeight="1" x14ac:dyDescent="0.25"/>
    <row r="327" ht="12.75" hidden="1" customHeight="1" x14ac:dyDescent="0.25"/>
    <row r="328" ht="12.75" hidden="1" customHeight="1" x14ac:dyDescent="0.25"/>
    <row r="329" ht="12.75" hidden="1" customHeight="1" x14ac:dyDescent="0.25"/>
    <row r="330" ht="12.75" hidden="1" customHeight="1" x14ac:dyDescent="0.25"/>
    <row r="331" ht="12.75" hidden="1" customHeight="1" x14ac:dyDescent="0.25"/>
    <row r="332" ht="12.75" hidden="1" customHeight="1" x14ac:dyDescent="0.25"/>
    <row r="333" ht="12.75" hidden="1" customHeight="1" x14ac:dyDescent="0.25"/>
    <row r="334" ht="12.75" hidden="1" customHeight="1" x14ac:dyDescent="0.25"/>
    <row r="335" ht="12.75" hidden="1" customHeight="1" x14ac:dyDescent="0.25"/>
    <row r="336" ht="12.75" hidden="1" customHeight="1" x14ac:dyDescent="0.25"/>
    <row r="337" ht="12.75" hidden="1" customHeight="1" x14ac:dyDescent="0.25"/>
    <row r="338" ht="12.75" hidden="1" customHeight="1" x14ac:dyDescent="0.25"/>
    <row r="339" ht="12.75" hidden="1" customHeight="1" x14ac:dyDescent="0.25"/>
    <row r="340" ht="12.75" hidden="1" customHeight="1" x14ac:dyDescent="0.25"/>
    <row r="341" ht="12.75" hidden="1" customHeight="1" x14ac:dyDescent="0.25"/>
    <row r="342" ht="12.75" hidden="1" customHeight="1" x14ac:dyDescent="0.25"/>
    <row r="343" ht="12.75" hidden="1" customHeight="1" x14ac:dyDescent="0.25"/>
    <row r="344" ht="12.75" hidden="1" customHeight="1" x14ac:dyDescent="0.25"/>
    <row r="345" ht="12.75" hidden="1" customHeight="1" x14ac:dyDescent="0.25"/>
    <row r="346" ht="12.75" hidden="1" customHeight="1" x14ac:dyDescent="0.25"/>
    <row r="347" ht="12.75" hidden="1" customHeight="1" x14ac:dyDescent="0.25"/>
    <row r="348" ht="12.75" hidden="1" customHeight="1" x14ac:dyDescent="0.25"/>
    <row r="349" ht="12.75" hidden="1" customHeight="1" x14ac:dyDescent="0.25"/>
    <row r="350" ht="12.75" hidden="1" customHeight="1" x14ac:dyDescent="0.25"/>
    <row r="351" ht="12.75" hidden="1" customHeight="1" x14ac:dyDescent="0.25"/>
    <row r="352" ht="12.75" hidden="1" customHeight="1" x14ac:dyDescent="0.25"/>
    <row r="353" ht="12.75" hidden="1" customHeight="1" x14ac:dyDescent="0.25"/>
    <row r="354" ht="12.75" hidden="1" customHeight="1" x14ac:dyDescent="0.25"/>
    <row r="355" ht="12.75" hidden="1" customHeight="1" x14ac:dyDescent="0.25"/>
    <row r="356" ht="12.75" hidden="1" customHeight="1" x14ac:dyDescent="0.25"/>
    <row r="357" ht="12.75" hidden="1" customHeight="1" x14ac:dyDescent="0.25"/>
    <row r="358" ht="12.75" hidden="1" customHeight="1" x14ac:dyDescent="0.25"/>
    <row r="359" ht="12.75" hidden="1" customHeight="1" x14ac:dyDescent="0.25"/>
    <row r="360" ht="12.75" hidden="1" customHeight="1" x14ac:dyDescent="0.25"/>
    <row r="361" ht="12.75" hidden="1" customHeight="1" x14ac:dyDescent="0.25"/>
    <row r="362" ht="12.75" hidden="1" customHeight="1" x14ac:dyDescent="0.25"/>
    <row r="363" ht="12.75" hidden="1" customHeight="1" x14ac:dyDescent="0.25"/>
    <row r="364" ht="12.75" hidden="1" customHeight="1" x14ac:dyDescent="0.25"/>
    <row r="365" ht="12.75" hidden="1" customHeight="1" x14ac:dyDescent="0.25"/>
    <row r="366" ht="12.75" hidden="1" customHeight="1" x14ac:dyDescent="0.25"/>
    <row r="367" ht="12.75" hidden="1" customHeight="1" x14ac:dyDescent="0.25"/>
    <row r="368" ht="12.75" hidden="1" customHeight="1" x14ac:dyDescent="0.25"/>
    <row r="369" ht="12.75" hidden="1" customHeight="1" x14ac:dyDescent="0.25"/>
    <row r="370" ht="12.75" hidden="1" customHeight="1" x14ac:dyDescent="0.25"/>
    <row r="371" ht="12.75" hidden="1" customHeight="1" x14ac:dyDescent="0.25"/>
    <row r="372" ht="12.75" hidden="1" customHeight="1" x14ac:dyDescent="0.25"/>
    <row r="373" ht="12.75" hidden="1" customHeight="1" x14ac:dyDescent="0.25"/>
    <row r="374" ht="12.75" hidden="1" customHeight="1" x14ac:dyDescent="0.25"/>
    <row r="375" ht="12.75" hidden="1" customHeight="1" x14ac:dyDescent="0.25"/>
    <row r="376" ht="12.75" hidden="1" customHeight="1" x14ac:dyDescent="0.25"/>
    <row r="377" ht="12.75" hidden="1" customHeight="1" x14ac:dyDescent="0.25"/>
    <row r="378" ht="12.75" hidden="1" customHeight="1" x14ac:dyDescent="0.25"/>
    <row r="379" ht="12.75" hidden="1" customHeight="1" x14ac:dyDescent="0.25"/>
    <row r="380" ht="12.75" hidden="1" customHeight="1" x14ac:dyDescent="0.25"/>
    <row r="381" ht="12.75" hidden="1" customHeight="1" x14ac:dyDescent="0.25"/>
    <row r="382" ht="12.75" hidden="1" customHeight="1" x14ac:dyDescent="0.25"/>
    <row r="383" ht="12.75" hidden="1" customHeight="1" x14ac:dyDescent="0.25"/>
    <row r="384" ht="12.75" hidden="1" customHeight="1" x14ac:dyDescent="0.25"/>
    <row r="385" ht="12.75" hidden="1" customHeight="1" x14ac:dyDescent="0.25"/>
    <row r="386" ht="12.75" hidden="1" customHeight="1" x14ac:dyDescent="0.25"/>
    <row r="387" ht="12.75" hidden="1" customHeight="1" x14ac:dyDescent="0.25"/>
    <row r="388" ht="12.75" hidden="1" customHeight="1" x14ac:dyDescent="0.25"/>
    <row r="389" ht="12.75" hidden="1" customHeight="1" x14ac:dyDescent="0.25"/>
    <row r="390" ht="12.75" hidden="1" customHeight="1" x14ac:dyDescent="0.25"/>
    <row r="391" ht="12.75" hidden="1" customHeight="1" x14ac:dyDescent="0.25"/>
    <row r="392" ht="12.75" hidden="1" customHeight="1" x14ac:dyDescent="0.25"/>
    <row r="393" ht="12.75" hidden="1" customHeight="1" x14ac:dyDescent="0.25"/>
    <row r="394" ht="12.75" hidden="1" customHeight="1" x14ac:dyDescent="0.25"/>
    <row r="395" ht="12.75" hidden="1" customHeight="1" x14ac:dyDescent="0.25"/>
    <row r="396" ht="12.75" hidden="1" customHeight="1" x14ac:dyDescent="0.25"/>
    <row r="397" ht="12.75" hidden="1" customHeight="1" x14ac:dyDescent="0.25"/>
    <row r="398" ht="12.75" hidden="1" customHeight="1" x14ac:dyDescent="0.25"/>
    <row r="399" ht="12.75" hidden="1" customHeight="1" x14ac:dyDescent="0.25"/>
    <row r="400" ht="12.75" hidden="1" customHeight="1" x14ac:dyDescent="0.25"/>
    <row r="401" ht="12.75" hidden="1" customHeight="1" x14ac:dyDescent="0.25"/>
    <row r="402" ht="12.75" hidden="1" customHeight="1" x14ac:dyDescent="0.25"/>
    <row r="403" ht="12.75" hidden="1" customHeight="1" x14ac:dyDescent="0.25"/>
    <row r="404" ht="12.75" hidden="1" customHeight="1" x14ac:dyDescent="0.25"/>
    <row r="405" ht="12.75" hidden="1" customHeight="1" x14ac:dyDescent="0.25"/>
    <row r="406" ht="12.75" hidden="1" customHeight="1" x14ac:dyDescent="0.25"/>
    <row r="407" ht="12.75" hidden="1" customHeight="1" x14ac:dyDescent="0.25"/>
    <row r="408" ht="12.75" hidden="1" customHeight="1" x14ac:dyDescent="0.25"/>
    <row r="409" ht="12.75" hidden="1" customHeight="1" x14ac:dyDescent="0.25"/>
    <row r="410" ht="3" hidden="1" customHeight="1" x14ac:dyDescent="0.25"/>
    <row r="411" ht="12.75" hidden="1" customHeight="1" x14ac:dyDescent="0.25"/>
    <row r="412" ht="12.75" hidden="1" customHeight="1" x14ac:dyDescent="0.25"/>
    <row r="413" ht="12.75" hidden="1" customHeight="1" x14ac:dyDescent="0.25"/>
    <row r="414" ht="12.75" hidden="1" customHeight="1" x14ac:dyDescent="0.25"/>
    <row r="415" ht="12.75" hidden="1" customHeight="1" x14ac:dyDescent="0.25"/>
    <row r="416" ht="12.75" hidden="1" customHeight="1" x14ac:dyDescent="0.25"/>
    <row r="417" ht="12.75" hidden="1" customHeight="1" x14ac:dyDescent="0.25"/>
    <row r="418" ht="12.75" hidden="1" customHeight="1" x14ac:dyDescent="0.25"/>
    <row r="419" ht="12.75" hidden="1" customHeight="1" x14ac:dyDescent="0.25"/>
    <row r="420" ht="12.75" hidden="1" customHeight="1" x14ac:dyDescent="0.25"/>
    <row r="421" ht="12.75" hidden="1" customHeight="1" x14ac:dyDescent="0.25"/>
    <row r="422" ht="12.75" hidden="1" customHeight="1" x14ac:dyDescent="0.25"/>
    <row r="423" ht="12.75" hidden="1" customHeight="1" x14ac:dyDescent="0.25"/>
    <row r="424" ht="12.75" hidden="1" customHeight="1" x14ac:dyDescent="0.25"/>
    <row r="425" ht="12.75" hidden="1" customHeight="1" x14ac:dyDescent="0.25"/>
    <row r="426" ht="12.75" hidden="1" customHeight="1" x14ac:dyDescent="0.25"/>
    <row r="427" ht="12.75" hidden="1" customHeight="1" x14ac:dyDescent="0.25"/>
    <row r="428" ht="12.75" hidden="1" customHeight="1" x14ac:dyDescent="0.25"/>
    <row r="429" ht="12.75" hidden="1" customHeight="1" x14ac:dyDescent="0.25"/>
    <row r="430" ht="12.75" hidden="1" customHeight="1" x14ac:dyDescent="0.25"/>
    <row r="431" ht="12.75" hidden="1" customHeight="1" x14ac:dyDescent="0.25"/>
    <row r="432" ht="12.75" hidden="1" customHeight="1" x14ac:dyDescent="0.25"/>
    <row r="433" ht="12.75" hidden="1" customHeight="1" x14ac:dyDescent="0.25"/>
    <row r="434" ht="12.75" hidden="1" customHeight="1" x14ac:dyDescent="0.25"/>
    <row r="435" ht="12.75" hidden="1" customHeight="1" x14ac:dyDescent="0.25"/>
    <row r="436" ht="12.75" hidden="1" customHeight="1" x14ac:dyDescent="0.25"/>
    <row r="437" ht="12.75" hidden="1" customHeight="1" x14ac:dyDescent="0.25"/>
    <row r="438" ht="12.75" hidden="1" customHeight="1" x14ac:dyDescent="0.25"/>
    <row r="439" ht="0.75" hidden="1" customHeight="1" x14ac:dyDescent="0.25"/>
    <row r="440" ht="12.75" hidden="1" customHeight="1" x14ac:dyDescent="0.25"/>
    <row r="441" ht="12.75" hidden="1" customHeight="1" x14ac:dyDescent="0.25"/>
    <row r="442" ht="12.75" hidden="1" customHeight="1" x14ac:dyDescent="0.25"/>
    <row r="443" ht="12.75" hidden="1" customHeight="1" x14ac:dyDescent="0.25"/>
    <row r="444" ht="12.75" hidden="1" customHeight="1" x14ac:dyDescent="0.25"/>
    <row r="445" ht="12.75" hidden="1" customHeight="1" x14ac:dyDescent="0.25"/>
    <row r="446" ht="12.75" hidden="1" customHeight="1" x14ac:dyDescent="0.25"/>
    <row r="447" ht="12.75" hidden="1" customHeight="1" x14ac:dyDescent="0.25"/>
    <row r="448" ht="12.75" hidden="1" customHeight="1" x14ac:dyDescent="0.25"/>
    <row r="449" ht="12.75" hidden="1" customHeight="1" x14ac:dyDescent="0.25"/>
    <row r="450" ht="12.75" hidden="1" customHeight="1" x14ac:dyDescent="0.25"/>
    <row r="451" ht="12.75" hidden="1" customHeight="1" x14ac:dyDescent="0.25"/>
    <row r="452" ht="12.75" hidden="1" customHeight="1" x14ac:dyDescent="0.25"/>
    <row r="453" ht="12.75" hidden="1" customHeight="1" x14ac:dyDescent="0.25"/>
    <row r="454" ht="12.75" hidden="1" customHeight="1" x14ac:dyDescent="0.25"/>
    <row r="455" ht="12.75" hidden="1" customHeight="1" x14ac:dyDescent="0.25"/>
    <row r="456" ht="12.75" hidden="1" customHeight="1" x14ac:dyDescent="0.25"/>
    <row r="457" ht="12.75" hidden="1" customHeight="1" x14ac:dyDescent="0.25"/>
    <row r="458" ht="12.75" hidden="1" customHeight="1" x14ac:dyDescent="0.25"/>
    <row r="459" ht="12.75" hidden="1" customHeight="1" x14ac:dyDescent="0.25"/>
    <row r="460" ht="12.75" hidden="1" customHeight="1" x14ac:dyDescent="0.25"/>
    <row r="461" ht="12.75" hidden="1" customHeight="1" x14ac:dyDescent="0.25"/>
    <row r="462" ht="12.75" hidden="1" customHeight="1" x14ac:dyDescent="0.25"/>
    <row r="463" ht="12.75" hidden="1" customHeight="1" x14ac:dyDescent="0.25"/>
    <row r="464" ht="12.75" hidden="1" customHeight="1" x14ac:dyDescent="0.25"/>
    <row r="465" ht="12.75" hidden="1" customHeight="1" x14ac:dyDescent="0.25"/>
    <row r="466" ht="12.75" hidden="1" customHeight="1" x14ac:dyDescent="0.25"/>
    <row r="467" ht="12.75" hidden="1" customHeight="1" x14ac:dyDescent="0.25"/>
    <row r="468" ht="12.75" hidden="1" customHeight="1" x14ac:dyDescent="0.25"/>
    <row r="469" ht="12.75" hidden="1" customHeight="1" x14ac:dyDescent="0.25"/>
    <row r="470" ht="12.75" hidden="1" customHeight="1" x14ac:dyDescent="0.25"/>
    <row r="471" ht="12.75" hidden="1" customHeight="1" x14ac:dyDescent="0.25"/>
    <row r="472" ht="12.75" hidden="1" customHeight="1" x14ac:dyDescent="0.25"/>
    <row r="473" ht="12.75" hidden="1" customHeight="1" x14ac:dyDescent="0.25"/>
    <row r="474" ht="12.75" hidden="1" customHeight="1" x14ac:dyDescent="0.25"/>
    <row r="475" ht="12.75" hidden="1" customHeight="1" x14ac:dyDescent="0.25"/>
    <row r="476" ht="12.75" hidden="1" customHeight="1" x14ac:dyDescent="0.25"/>
    <row r="477" ht="12.75" hidden="1" customHeight="1" x14ac:dyDescent="0.25"/>
    <row r="478" ht="12.75" hidden="1" customHeight="1" x14ac:dyDescent="0.25"/>
    <row r="479" ht="2.25" hidden="1" customHeight="1" x14ac:dyDescent="0.25"/>
    <row r="480" ht="12.75" hidden="1" customHeight="1" x14ac:dyDescent="0.25"/>
    <row r="481" ht="12.75" hidden="1" customHeight="1" x14ac:dyDescent="0.25"/>
    <row r="482" ht="12.75" hidden="1" customHeight="1" x14ac:dyDescent="0.25"/>
    <row r="483" ht="12.75" hidden="1" customHeight="1" x14ac:dyDescent="0.25"/>
    <row r="484" ht="12.75" hidden="1" customHeight="1" x14ac:dyDescent="0.25"/>
    <row r="485" ht="12.75" hidden="1" customHeight="1" x14ac:dyDescent="0.25"/>
    <row r="486" ht="12.75" hidden="1" customHeight="1" x14ac:dyDescent="0.25"/>
    <row r="487" ht="12.75" hidden="1" customHeight="1" x14ac:dyDescent="0.25"/>
    <row r="488" ht="12.75" hidden="1" customHeight="1" x14ac:dyDescent="0.25"/>
    <row r="489" ht="12.75" hidden="1" customHeight="1" x14ac:dyDescent="0.25"/>
    <row r="490" ht="12.75" hidden="1" customHeight="1" x14ac:dyDescent="0.25"/>
    <row r="491" ht="12.75" hidden="1" customHeight="1" x14ac:dyDescent="0.25"/>
    <row r="492" ht="12.75" hidden="1" customHeight="1" x14ac:dyDescent="0.25"/>
    <row r="493" ht="12.75" hidden="1" customHeight="1" x14ac:dyDescent="0.25"/>
    <row r="494" ht="12.75" hidden="1" customHeight="1" x14ac:dyDescent="0.25"/>
    <row r="495" ht="12.75" hidden="1" customHeight="1" x14ac:dyDescent="0.25"/>
    <row r="496" ht="12.75" hidden="1" customHeight="1" x14ac:dyDescent="0.25"/>
    <row r="497" ht="12.75" hidden="1" customHeight="1" x14ac:dyDescent="0.25"/>
    <row r="498" ht="12.75" hidden="1" customHeight="1" x14ac:dyDescent="0.25"/>
    <row r="499" ht="12.75" hidden="1" customHeight="1" x14ac:dyDescent="0.25"/>
    <row r="500" ht="12.75" hidden="1" customHeight="1" x14ac:dyDescent="0.25"/>
    <row r="501" ht="12.75" hidden="1" customHeight="1" x14ac:dyDescent="0.25"/>
    <row r="502" ht="12.75" hidden="1" customHeight="1" x14ac:dyDescent="0.25"/>
    <row r="503" ht="12.75" hidden="1" customHeight="1" x14ac:dyDescent="0.25"/>
    <row r="504" ht="12.75" hidden="1" customHeight="1" x14ac:dyDescent="0.25"/>
    <row r="505" ht="12.75" hidden="1" customHeight="1" x14ac:dyDescent="0.25"/>
    <row r="506" ht="12.75" hidden="1" customHeight="1" x14ac:dyDescent="0.25"/>
    <row r="507" ht="12.75" hidden="1" customHeight="1" x14ac:dyDescent="0.25"/>
    <row r="508" ht="3.75" hidden="1" customHeight="1" x14ac:dyDescent="0.25"/>
    <row r="509" ht="12.75" hidden="1" customHeight="1" x14ac:dyDescent="0.25"/>
    <row r="510" ht="12.75" hidden="1" customHeight="1" x14ac:dyDescent="0.25"/>
    <row r="511" ht="12.75" hidden="1" customHeight="1" x14ac:dyDescent="0.25"/>
    <row r="512" ht="12.75" hidden="1" customHeight="1" x14ac:dyDescent="0.25"/>
    <row r="513" ht="12.75" hidden="1" customHeight="1" x14ac:dyDescent="0.25"/>
    <row r="514" ht="12.75" hidden="1" customHeight="1" x14ac:dyDescent="0.25"/>
    <row r="515" ht="12.75" hidden="1" customHeight="1" x14ac:dyDescent="0.25"/>
    <row r="516" ht="12.75" hidden="1" customHeight="1" x14ac:dyDescent="0.25"/>
    <row r="517" ht="12.75" hidden="1" customHeight="1" x14ac:dyDescent="0.25"/>
    <row r="518" ht="12.75" hidden="1" customHeight="1" x14ac:dyDescent="0.25"/>
    <row r="519" ht="12.75" hidden="1" customHeight="1" x14ac:dyDescent="0.25"/>
    <row r="520" ht="12.75" hidden="1" customHeight="1" x14ac:dyDescent="0.25"/>
    <row r="521" ht="12.75" hidden="1" customHeight="1" x14ac:dyDescent="0.25"/>
    <row r="522" ht="12.75" hidden="1" customHeight="1" x14ac:dyDescent="0.25"/>
    <row r="523" ht="12.75" hidden="1" customHeight="1" x14ac:dyDescent="0.25"/>
    <row r="524" ht="12.75" hidden="1" customHeight="1" x14ac:dyDescent="0.25"/>
    <row r="525" ht="12.75" hidden="1" customHeight="1" x14ac:dyDescent="0.25"/>
    <row r="526" ht="12.75" hidden="1" customHeight="1" x14ac:dyDescent="0.25"/>
    <row r="527" ht="12.75" hidden="1" customHeight="1" x14ac:dyDescent="0.25"/>
    <row r="528" ht="12.75" hidden="1" customHeight="1" x14ac:dyDescent="0.25"/>
    <row r="529" ht="12.75" hidden="1" customHeight="1" x14ac:dyDescent="0.25"/>
    <row r="530" ht="12.75" hidden="1" customHeight="1" x14ac:dyDescent="0.25"/>
    <row r="531" ht="12.75" hidden="1" customHeight="1" x14ac:dyDescent="0.25"/>
    <row r="532" ht="12.75" hidden="1" customHeight="1" x14ac:dyDescent="0.25"/>
    <row r="533" ht="12.75" hidden="1" customHeight="1" x14ac:dyDescent="0.25"/>
    <row r="534" ht="12.75" hidden="1" customHeight="1" x14ac:dyDescent="0.25"/>
    <row r="535" ht="12.75" hidden="1" customHeight="1" x14ac:dyDescent="0.25"/>
    <row r="536" ht="9" hidden="1" customHeight="1" x14ac:dyDescent="0.25"/>
    <row r="537" ht="12.75" hidden="1" customHeight="1" x14ac:dyDescent="0.25"/>
    <row r="538" ht="12.75" hidden="1" customHeight="1" x14ac:dyDescent="0.25"/>
    <row r="539" ht="12.75" hidden="1" customHeight="1" x14ac:dyDescent="0.25"/>
    <row r="540" ht="12.75" hidden="1" customHeight="1" x14ac:dyDescent="0.25"/>
    <row r="541" ht="12.75" hidden="1" customHeight="1" x14ac:dyDescent="0.25"/>
    <row r="542" ht="12.75" hidden="1" customHeight="1" x14ac:dyDescent="0.25"/>
    <row r="543" ht="12.75" hidden="1" customHeight="1" x14ac:dyDescent="0.25"/>
    <row r="544" ht="12.75" hidden="1" customHeight="1" x14ac:dyDescent="0.25"/>
    <row r="545" ht="12.75" hidden="1" customHeight="1" x14ac:dyDescent="0.25"/>
    <row r="546" ht="12.75" hidden="1" customHeight="1" x14ac:dyDescent="0.25"/>
    <row r="547" ht="12.75" hidden="1" customHeight="1" x14ac:dyDescent="0.25"/>
    <row r="548" ht="12.75" hidden="1" customHeight="1" x14ac:dyDescent="0.25"/>
    <row r="549" ht="12.75" hidden="1" customHeight="1" x14ac:dyDescent="0.25"/>
    <row r="550" ht="12.75" hidden="1" customHeight="1" x14ac:dyDescent="0.25"/>
    <row r="551" ht="12.75" hidden="1" customHeight="1" x14ac:dyDescent="0.25"/>
    <row r="552" ht="12.75" hidden="1" customHeight="1" x14ac:dyDescent="0.25"/>
    <row r="553" ht="12.75" hidden="1" customHeight="1" x14ac:dyDescent="0.25"/>
    <row r="554" ht="12.75" hidden="1" customHeight="1" x14ac:dyDescent="0.25"/>
    <row r="555" ht="12.75" hidden="1" customHeight="1" x14ac:dyDescent="0.25"/>
    <row r="556" ht="12.75" hidden="1" customHeight="1" x14ac:dyDescent="0.25"/>
    <row r="557" ht="12.75" hidden="1" customHeight="1" x14ac:dyDescent="0.25"/>
    <row r="558" ht="12.75" hidden="1" customHeight="1" x14ac:dyDescent="0.25"/>
    <row r="559" ht="12.75" hidden="1" customHeight="1" x14ac:dyDescent="0.25"/>
    <row r="560" ht="12.75" hidden="1" customHeight="1" x14ac:dyDescent="0.25"/>
  </sheetData>
  <sheetProtection algorithmName="SHA-512" hashValue="PICK3GN8RyAedWLRW46hpwWV7ywnWaEUUXbEQAWaSwCabFGQqd2J+2Dfk0MT93S/Z5IRdl6Bd6PCXUvYcRZNNQ==" saltValue="w61mLpGhXgTPc06fGWJ4cg==" spinCount="100000" sheet="1" objects="1" scenarios="1" selectLockedCells="1"/>
  <mergeCells count="36">
    <mergeCell ref="B26:C26"/>
    <mergeCell ref="B28:C28"/>
    <mergeCell ref="B14:C14"/>
    <mergeCell ref="F3:J3"/>
    <mergeCell ref="I5:J5"/>
    <mergeCell ref="B6:C6"/>
    <mergeCell ref="B10:C10"/>
    <mergeCell ref="B11:C11"/>
    <mergeCell ref="D11:F11"/>
    <mergeCell ref="B12:C12"/>
    <mergeCell ref="B13:C13"/>
    <mergeCell ref="B7:I8"/>
    <mergeCell ref="D13:F13"/>
    <mergeCell ref="D14:F14"/>
    <mergeCell ref="B15:C15"/>
    <mergeCell ref="B44:I44"/>
    <mergeCell ref="B40:I40"/>
    <mergeCell ref="B48:I48"/>
    <mergeCell ref="B45:I45"/>
    <mergeCell ref="B33:C33"/>
    <mergeCell ref="J55:K55"/>
    <mergeCell ref="D15:F15"/>
    <mergeCell ref="B16:C16"/>
    <mergeCell ref="B31:C31"/>
    <mergeCell ref="B29:C29"/>
    <mergeCell ref="D16:F16"/>
    <mergeCell ref="D23:E23"/>
    <mergeCell ref="B25:C25"/>
    <mergeCell ref="B30:C30"/>
    <mergeCell ref="B27:C27"/>
    <mergeCell ref="F25:G25"/>
    <mergeCell ref="B35:C35"/>
    <mergeCell ref="B37:I38"/>
    <mergeCell ref="B42:I42"/>
    <mergeCell ref="B34:C34"/>
    <mergeCell ref="B46:I46"/>
  </mergeCells>
  <phoneticPr fontId="5" type="noConversion"/>
  <conditionalFormatting sqref="I9:K9">
    <cfRule type="cellIs" dxfId="32" priority="31" stopIfTrue="1" operator="equal">
      <formula>0</formula>
    </cfRule>
  </conditionalFormatting>
  <conditionalFormatting sqref="D13:F13 G19:H22 D23">
    <cfRule type="cellIs" dxfId="31" priority="32" stopIfTrue="1" operator="equal">
      <formula>0</formula>
    </cfRule>
  </conditionalFormatting>
  <conditionalFormatting sqref="D15:F15">
    <cfRule type="cellIs" dxfId="30" priority="33" stopIfTrue="1" operator="equal">
      <formula>"Sin Participación"</formula>
    </cfRule>
  </conditionalFormatting>
  <conditionalFormatting sqref="D11:F11">
    <cfRule type="expression" dxfId="29" priority="34" stopIfTrue="1">
      <formula>$B$11="Póliza Nueva"</formula>
    </cfRule>
  </conditionalFormatting>
  <conditionalFormatting sqref="D16:F16">
    <cfRule type="cellIs" dxfId="28" priority="35" stopIfTrue="1" operator="notEqual">
      <formula>"-"</formula>
    </cfRule>
  </conditionalFormatting>
  <conditionalFormatting sqref="H21:H22">
    <cfRule type="containsText" dxfId="27" priority="27" operator="containsText" text="S.A">
      <formula>NOT(ISERROR(SEARCH("S.A",H21)))</formula>
    </cfRule>
    <cfRule type="containsText" dxfId="26" priority="28" operator="containsText" text="S.A">
      <formula>NOT(ISERROR(SEARCH("S.A",H21)))</formula>
    </cfRule>
  </conditionalFormatting>
  <conditionalFormatting sqref="B7 J7:K8">
    <cfRule type="containsText" dxfId="25" priority="26" operator="containsText" text="Ingrese el Nombre del Contratante">
      <formula>NOT(ISERROR(SEARCH("Ingrese el Nombre del Contratante",B7)))</formula>
    </cfRule>
  </conditionalFormatting>
  <conditionalFormatting sqref="D23">
    <cfRule type="containsText" dxfId="24" priority="12" operator="containsText" text="EXCLUIDA">
      <formula>NOT(ISERROR(SEARCH("EXCLUIDA",D23)))</formula>
    </cfRule>
    <cfRule type="containsText" dxfId="23" priority="13" operator="containsText" text="S.A">
      <formula>NOT(ISERROR(SEARCH("S.A",D23)))</formula>
    </cfRule>
    <cfRule type="containsText" dxfId="22" priority="14" operator="containsText" text="S.A">
      <formula>NOT(ISERROR(SEARCH("S.A",D23)))</formula>
    </cfRule>
  </conditionalFormatting>
  <conditionalFormatting sqref="D31">
    <cfRule type="cellIs" dxfId="21" priority="6" stopIfTrue="1" operator="equal">
      <formula>0</formula>
    </cfRule>
  </conditionalFormatting>
  <conditionalFormatting sqref="D31">
    <cfRule type="containsText" dxfId="20" priority="4" operator="containsText" text="S.A">
      <formula>NOT(ISERROR(SEARCH("S.A",D31)))</formula>
    </cfRule>
    <cfRule type="containsText" dxfId="19" priority="5" operator="containsText" text="S.A">
      <formula>NOT(ISERROR(SEARCH("S.A",D31)))</formula>
    </cfRule>
  </conditionalFormatting>
  <conditionalFormatting sqref="I2">
    <cfRule type="cellIs" dxfId="18" priority="1" operator="equal">
      <formula>0</formula>
    </cfRule>
  </conditionalFormatting>
  <dataValidations disablePrompts="1" count="4">
    <dataValidation allowBlank="1" showInputMessage="1" showErrorMessage="1" error="VALOR INVALIDO_x000a_" sqref="D16:F16"/>
    <dataValidation allowBlank="1" showInputMessage="1" showErrorMessage="1" error="_x000a_" sqref="D13:F13"/>
    <dataValidation operator="lessThan" allowBlank="1" showInputMessage="1" showErrorMessage="1" error="LA SUMA ASEGURADA MÁXIMA ES DE $200,000" sqref="F19"/>
    <dataValidation operator="lessThanOrEqual" allowBlank="1" showInputMessage="1" showErrorMessage="1" error="LA S.A DEBE SER IGUAL O MENOR A LA DE MUERTE ACCIDENTAL" sqref="F20"/>
  </dataValidations>
  <printOptions horizontalCentered="1"/>
  <pageMargins left="3.937007874015748E-2" right="3.937007874015748E-2" top="0.15748031496062992" bottom="0.15748031496062992" header="0.31496062992125984" footer="0.31496062992125984"/>
  <pageSetup paperSize="9" scale="66" orientation="landscape" horizontalDpi="1200" verticalDpi="1200" r:id="rId1"/>
  <headerFooter alignWithMargins="0"/>
  <ignoredErrors>
    <ignoredError sqref="F34"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 id="{E932547E-711B-4D95-9987-5F5422672539}">
            <xm:f>DATOS!$E$20=0</xm:f>
            <x14:dxf>
              <font>
                <color theme="0"/>
              </font>
              <fill>
                <patternFill>
                  <bgColor theme="0"/>
                </patternFill>
              </fill>
            </x14:dxf>
          </x14:cfRule>
          <xm:sqref>B21:H21</xm:sqref>
        </x14:conditionalFormatting>
        <x14:conditionalFormatting xmlns:xm="http://schemas.microsoft.com/office/excel/2006/main">
          <x14:cfRule type="expression" priority="2" id="{1BF7D028-E904-493A-B448-AF13CA17FEF7}">
            <xm:f>DATOS!$E$16="EXCLUIDA"</xm:f>
            <x14:dxf>
              <font>
                <color theme="9" tint="0.39994506668294322"/>
              </font>
            </x14:dxf>
          </x14:cfRule>
          <xm:sqref>B20:H20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Calculo!$H$27:$H$37</xm:f>
          </x14:formula1>
          <xm:sqref>F34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XFD45"/>
  <sheetViews>
    <sheetView windowProtection="1" showGridLines="0" tabSelected="1" zoomScale="90" zoomScaleNormal="90" workbookViewId="0">
      <selection activeCell="E8" sqref="E8:I8"/>
    </sheetView>
  </sheetViews>
  <sheetFormatPr baseColWidth="10" defaultColWidth="0" defaultRowHeight="12.5" zeroHeight="1" x14ac:dyDescent="0.25"/>
  <cols>
    <col min="1" max="1" width="2.7265625" style="37" customWidth="1"/>
    <col min="2" max="2" width="10.1796875" style="37" customWidth="1"/>
    <col min="3" max="3" width="47.26953125" style="37" bestFit="1" customWidth="1"/>
    <col min="4" max="4" width="13.54296875" style="37" customWidth="1"/>
    <col min="5" max="5" width="18.1796875" style="37" customWidth="1"/>
    <col min="6" max="9" width="22.453125" style="37" customWidth="1"/>
    <col min="10" max="10" width="9.54296875" style="37" customWidth="1"/>
    <col min="11" max="22" width="11.453125" style="81" hidden="1" customWidth="1"/>
    <col min="23" max="16384" width="11.453125" style="37" hidden="1"/>
  </cols>
  <sheetData>
    <row r="1" spans="2:16384" customFormat="1" x14ac:dyDescent="0.25">
      <c r="D1" s="38"/>
      <c r="E1" s="38"/>
      <c r="F1" s="37"/>
      <c r="G1" s="37"/>
      <c r="H1" s="37"/>
      <c r="I1" s="37"/>
      <c r="J1" s="37"/>
      <c r="K1" s="82"/>
      <c r="L1" s="82"/>
      <c r="M1" s="82"/>
      <c r="N1" s="82"/>
      <c r="O1" s="82"/>
      <c r="P1" s="82"/>
      <c r="Q1" s="82"/>
      <c r="R1" s="82"/>
      <c r="S1" s="82"/>
      <c r="T1" s="82"/>
      <c r="U1" s="82"/>
      <c r="V1" s="82"/>
    </row>
    <row r="2" spans="2:16384" customFormat="1" ht="35.25" customHeight="1" x14ac:dyDescent="0.25">
      <c r="D2" s="38"/>
      <c r="E2" s="38"/>
      <c r="F2" s="37"/>
      <c r="G2" s="37"/>
      <c r="H2" s="53" t="s">
        <v>88</v>
      </c>
      <c r="I2" s="63"/>
      <c r="J2" s="37"/>
      <c r="K2" s="82"/>
      <c r="L2" s="82"/>
      <c r="M2" s="82"/>
      <c r="N2" s="82"/>
      <c r="O2" s="82"/>
      <c r="P2" s="82"/>
      <c r="Q2" s="82"/>
      <c r="R2" s="82"/>
      <c r="S2" s="82"/>
      <c r="T2" s="82"/>
      <c r="U2" s="82"/>
      <c r="V2" s="82"/>
    </row>
    <row r="3" spans="2:16384" customFormat="1" ht="26.25" customHeight="1" x14ac:dyDescent="0.25">
      <c r="D3" s="38"/>
      <c r="E3" s="37"/>
      <c r="F3" s="37"/>
      <c r="G3" s="37"/>
      <c r="H3" s="37"/>
      <c r="I3" s="37"/>
      <c r="J3" s="37"/>
      <c r="K3" s="82"/>
      <c r="L3" s="82"/>
      <c r="M3" s="82"/>
      <c r="N3" s="82"/>
      <c r="O3" s="82"/>
      <c r="P3" s="82"/>
      <c r="Q3" s="82"/>
      <c r="R3" s="82"/>
      <c r="S3" s="82"/>
      <c r="T3" s="82"/>
      <c r="U3" s="82"/>
      <c r="V3" s="82"/>
    </row>
    <row r="4" spans="2:16384" customFormat="1" ht="26.25" customHeight="1" x14ac:dyDescent="0.25">
      <c r="B4" s="336" t="s">
        <v>163</v>
      </c>
      <c r="C4" s="336"/>
      <c r="D4" s="336"/>
      <c r="E4" s="336"/>
      <c r="F4" s="336"/>
      <c r="G4" s="336"/>
      <c r="H4" s="336"/>
      <c r="I4" s="336"/>
      <c r="J4" s="37"/>
      <c r="K4" s="82"/>
      <c r="L4" s="82"/>
      <c r="M4" s="82"/>
      <c r="N4" s="82"/>
      <c r="O4" s="82"/>
      <c r="P4" s="82" t="s">
        <v>90</v>
      </c>
      <c r="Q4" s="82" t="s">
        <v>91</v>
      </c>
      <c r="R4" s="82"/>
      <c r="S4" s="82"/>
      <c r="T4" s="82"/>
      <c r="U4" s="82"/>
      <c r="V4" s="82"/>
    </row>
    <row r="5" spans="2:16384" ht="17.25" customHeight="1" x14ac:dyDescent="0.25">
      <c r="D5" s="38"/>
      <c r="E5" s="38"/>
      <c r="F5" s="147"/>
      <c r="P5" s="205">
        <v>10000</v>
      </c>
      <c r="Q5" s="82">
        <v>0</v>
      </c>
    </row>
    <row r="6" spans="2:16384" ht="24.75" customHeight="1" x14ac:dyDescent="0.25">
      <c r="B6" s="53" t="s">
        <v>79</v>
      </c>
      <c r="C6" s="334" t="s">
        <v>92</v>
      </c>
      <c r="D6" s="334"/>
      <c r="E6" s="343" t="s">
        <v>142</v>
      </c>
      <c r="F6" s="344"/>
      <c r="G6" s="344"/>
      <c r="H6" s="344"/>
      <c r="I6" s="345"/>
      <c r="P6" s="205">
        <v>20000</v>
      </c>
      <c r="Q6" s="205">
        <v>5000</v>
      </c>
    </row>
    <row r="7" spans="2:16384" ht="9.75" customHeight="1" x14ac:dyDescent="0.25">
      <c r="B7" s="54"/>
      <c r="C7" s="55"/>
      <c r="D7" s="55"/>
      <c r="E7" s="56"/>
      <c r="F7" s="56"/>
      <c r="G7" s="56"/>
      <c r="H7" s="56"/>
      <c r="I7" s="56"/>
      <c r="P7" s="205">
        <v>30000</v>
      </c>
      <c r="Q7" s="205">
        <v>10000</v>
      </c>
    </row>
    <row r="8" spans="2:16384" ht="24.75" customHeight="1" x14ac:dyDescent="0.25">
      <c r="B8" s="53" t="s">
        <v>80</v>
      </c>
      <c r="C8" s="334" t="s">
        <v>93</v>
      </c>
      <c r="D8" s="335"/>
      <c r="E8" s="337">
        <v>500</v>
      </c>
      <c r="F8" s="338"/>
      <c r="G8" s="338"/>
      <c r="H8" s="338"/>
      <c r="I8" s="339"/>
      <c r="P8" s="205">
        <v>40000</v>
      </c>
      <c r="Q8" s="205">
        <v>15000</v>
      </c>
    </row>
    <row r="9" spans="2:16384" ht="6.75" customHeight="1" x14ac:dyDescent="0.25">
      <c r="P9" s="205">
        <v>50000</v>
      </c>
      <c r="Q9" s="205">
        <v>20000</v>
      </c>
    </row>
    <row r="10" spans="2:16384" ht="24.75" customHeight="1" x14ac:dyDescent="0.25">
      <c r="B10" s="53" t="s">
        <v>81</v>
      </c>
      <c r="C10" s="334" t="s">
        <v>121</v>
      </c>
      <c r="D10" s="335"/>
      <c r="E10" s="337" t="s">
        <v>112</v>
      </c>
      <c r="F10" s="338"/>
      <c r="G10" s="338"/>
      <c r="H10" s="338"/>
      <c r="I10" s="339"/>
      <c r="P10" s="205">
        <v>60000</v>
      </c>
      <c r="Q10" s="205">
        <v>25000</v>
      </c>
    </row>
    <row r="11" spans="2:16384" ht="10.5" customHeight="1" x14ac:dyDescent="0.25">
      <c r="B11" s="53"/>
      <c r="C11" s="53"/>
      <c r="D11" s="53"/>
      <c r="E11" s="53"/>
      <c r="F11" s="53"/>
      <c r="G11" s="53"/>
      <c r="H11" s="53"/>
      <c r="I11" s="53"/>
      <c r="J11" s="53"/>
      <c r="K11" s="53"/>
      <c r="L11" s="53"/>
      <c r="M11" s="53"/>
      <c r="N11" s="53"/>
      <c r="O11" s="53"/>
      <c r="P11" s="205">
        <v>70000</v>
      </c>
      <c r="Q11" s="205">
        <v>30000</v>
      </c>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c r="DR11" s="53"/>
      <c r="DS11" s="53"/>
      <c r="DT11" s="53"/>
      <c r="DU11" s="53"/>
      <c r="DV11" s="53"/>
      <c r="DW11" s="53"/>
      <c r="DX11" s="53"/>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c r="FB11" s="53"/>
      <c r="FC11" s="53"/>
      <c r="FD11" s="53"/>
      <c r="FE11" s="53"/>
      <c r="FF11" s="53"/>
      <c r="FG11" s="53"/>
      <c r="FH11" s="53"/>
      <c r="FI11" s="53"/>
      <c r="FJ11" s="53"/>
      <c r="FK11" s="53"/>
      <c r="FL11" s="53"/>
      <c r="FM11" s="53"/>
      <c r="FN11" s="53"/>
      <c r="FO11" s="53"/>
      <c r="FP11" s="53"/>
      <c r="FQ11" s="53"/>
      <c r="FR11" s="53"/>
      <c r="FS11" s="53"/>
      <c r="FT11" s="53"/>
      <c r="FU11" s="53"/>
      <c r="FV11" s="53"/>
      <c r="FW11" s="53"/>
      <c r="FX11" s="53"/>
      <c r="FY11" s="53"/>
      <c r="FZ11" s="53"/>
      <c r="GA11" s="53"/>
      <c r="GB11" s="53"/>
      <c r="GC11" s="53"/>
      <c r="GD11" s="53"/>
      <c r="GE11" s="53"/>
      <c r="GF11" s="53"/>
      <c r="GG11" s="53"/>
      <c r="GH11" s="53"/>
      <c r="GI11" s="53"/>
      <c r="GJ11" s="53"/>
      <c r="GK11" s="53"/>
      <c r="GL11" s="53"/>
      <c r="GM11" s="53"/>
      <c r="GN11" s="53"/>
      <c r="GO11" s="53"/>
      <c r="GP11" s="53"/>
      <c r="GQ11" s="53"/>
      <c r="GR11" s="53"/>
      <c r="GS11" s="53"/>
      <c r="GT11" s="53"/>
      <c r="GU11" s="53"/>
      <c r="GV11" s="53"/>
      <c r="GW11" s="53"/>
      <c r="GX11" s="53"/>
      <c r="GY11" s="53"/>
      <c r="GZ11" s="53"/>
      <c r="HA11" s="53"/>
      <c r="HB11" s="53"/>
      <c r="HC11" s="53"/>
      <c r="HD11" s="53"/>
      <c r="HE11" s="53"/>
      <c r="HF11" s="53"/>
      <c r="HG11" s="53"/>
      <c r="HH11" s="53"/>
      <c r="HI11" s="53"/>
      <c r="HJ11" s="53"/>
      <c r="HK11" s="53"/>
      <c r="HL11" s="53"/>
      <c r="HM11" s="53"/>
      <c r="HN11" s="53"/>
      <c r="HO11" s="53"/>
      <c r="HP11" s="53"/>
      <c r="HQ11" s="53"/>
      <c r="HR11" s="53"/>
      <c r="HS11" s="53"/>
      <c r="HT11" s="53"/>
      <c r="HU11" s="53"/>
      <c r="HV11" s="53"/>
      <c r="HW11" s="53"/>
      <c r="HX11" s="53"/>
      <c r="HY11" s="53"/>
      <c r="HZ11" s="53"/>
      <c r="IA11" s="53"/>
      <c r="IB11" s="53"/>
      <c r="IC11" s="53"/>
      <c r="ID11" s="53"/>
      <c r="IE11" s="53"/>
      <c r="IF11" s="53"/>
      <c r="IG11" s="53"/>
      <c r="IH11" s="53"/>
      <c r="II11" s="53"/>
      <c r="IJ11" s="53"/>
      <c r="IK11" s="53"/>
      <c r="IL11" s="53"/>
      <c r="IM11" s="53"/>
      <c r="IN11" s="53"/>
      <c r="IO11" s="53"/>
      <c r="IP11" s="53"/>
      <c r="IQ11" s="53"/>
      <c r="IR11" s="53"/>
      <c r="IS11" s="53"/>
      <c r="IT11" s="53"/>
      <c r="IU11" s="53"/>
      <c r="IV11" s="53"/>
      <c r="IW11" s="53"/>
      <c r="IX11" s="53"/>
      <c r="IY11" s="53"/>
      <c r="IZ11" s="53"/>
      <c r="JA11" s="53"/>
      <c r="JB11" s="53"/>
      <c r="JC11" s="53"/>
      <c r="JD11" s="53"/>
      <c r="JE11" s="53"/>
      <c r="JF11" s="53"/>
      <c r="JG11" s="53"/>
      <c r="JH11" s="53"/>
      <c r="JI11" s="53"/>
      <c r="JJ11" s="53"/>
      <c r="JK11" s="53"/>
      <c r="JL11" s="53"/>
      <c r="JM11" s="53"/>
      <c r="JN11" s="53"/>
      <c r="JO11" s="53"/>
      <c r="JP11" s="53"/>
      <c r="JQ11" s="53"/>
      <c r="JR11" s="53"/>
      <c r="JS11" s="53"/>
      <c r="JT11" s="53"/>
      <c r="JU11" s="53"/>
      <c r="JV11" s="53"/>
      <c r="JW11" s="53"/>
      <c r="JX11" s="53"/>
      <c r="JY11" s="53"/>
      <c r="JZ11" s="53"/>
      <c r="KA11" s="53"/>
      <c r="KB11" s="53"/>
      <c r="KC11" s="53"/>
      <c r="KD11" s="53"/>
      <c r="KE11" s="53"/>
      <c r="KF11" s="53"/>
      <c r="KG11" s="53"/>
      <c r="KH11" s="53"/>
      <c r="KI11" s="53"/>
      <c r="KJ11" s="53"/>
      <c r="KK11" s="53"/>
      <c r="KL11" s="53"/>
      <c r="KM11" s="53"/>
      <c r="KN11" s="53"/>
      <c r="KO11" s="53"/>
      <c r="KP11" s="53"/>
      <c r="KQ11" s="53"/>
      <c r="KR11" s="53"/>
      <c r="KS11" s="53"/>
      <c r="KT11" s="53"/>
      <c r="KU11" s="53"/>
      <c r="KV11" s="53"/>
      <c r="KW11" s="53"/>
      <c r="KX11" s="53"/>
      <c r="KY11" s="53"/>
      <c r="KZ11" s="53"/>
      <c r="LA11" s="53"/>
      <c r="LB11" s="53"/>
      <c r="LC11" s="53"/>
      <c r="LD11" s="53"/>
      <c r="LE11" s="53"/>
      <c r="LF11" s="53"/>
      <c r="LG11" s="53"/>
      <c r="LH11" s="53"/>
      <c r="LI11" s="53"/>
      <c r="LJ11" s="53"/>
      <c r="LK11" s="53"/>
      <c r="LL11" s="53"/>
      <c r="LM11" s="53"/>
      <c r="LN11" s="53"/>
      <c r="LO11" s="53"/>
      <c r="LP11" s="53"/>
      <c r="LQ11" s="53"/>
      <c r="LR11" s="53"/>
      <c r="LS11" s="53"/>
      <c r="LT11" s="53"/>
      <c r="LU11" s="53"/>
      <c r="LV11" s="53"/>
      <c r="LW11" s="53"/>
      <c r="LX11" s="53"/>
      <c r="LY11" s="53"/>
      <c r="LZ11" s="53"/>
      <c r="MA11" s="53"/>
      <c r="MB11" s="53"/>
      <c r="MC11" s="53"/>
      <c r="MD11" s="53"/>
      <c r="ME11" s="53"/>
      <c r="MF11" s="53"/>
      <c r="MG11" s="53"/>
      <c r="MH11" s="53"/>
      <c r="MI11" s="53"/>
      <c r="MJ11" s="53"/>
      <c r="MK11" s="53"/>
      <c r="ML11" s="53"/>
      <c r="MM11" s="53"/>
      <c r="MN11" s="53"/>
      <c r="MO11" s="53"/>
      <c r="MP11" s="53"/>
      <c r="MQ11" s="53"/>
      <c r="MR11" s="53"/>
      <c r="MS11" s="53"/>
      <c r="MT11" s="53"/>
      <c r="MU11" s="53"/>
      <c r="MV11" s="53"/>
      <c r="MW11" s="53"/>
      <c r="MX11" s="53"/>
      <c r="MY11" s="53"/>
      <c r="MZ11" s="53"/>
      <c r="NA11" s="53"/>
      <c r="NB11" s="53"/>
      <c r="NC11" s="53"/>
      <c r="ND11" s="53"/>
      <c r="NE11" s="53"/>
      <c r="NF11" s="53"/>
      <c r="NG11" s="53"/>
      <c r="NH11" s="53"/>
      <c r="NI11" s="53"/>
      <c r="NJ11" s="53"/>
      <c r="NK11" s="53"/>
      <c r="NL11" s="53"/>
      <c r="NM11" s="53"/>
      <c r="NN11" s="53"/>
      <c r="NO11" s="53"/>
      <c r="NP11" s="53"/>
      <c r="NQ11" s="53"/>
      <c r="NR11" s="53"/>
      <c r="NS11" s="53"/>
      <c r="NT11" s="53"/>
      <c r="NU11" s="53"/>
      <c r="NV11" s="53"/>
      <c r="NW11" s="53"/>
      <c r="NX11" s="53"/>
      <c r="NY11" s="53"/>
      <c r="NZ11" s="53"/>
      <c r="OA11" s="53"/>
      <c r="OB11" s="53"/>
      <c r="OC11" s="53"/>
      <c r="OD11" s="53"/>
      <c r="OE11" s="53"/>
      <c r="OF11" s="53"/>
      <c r="OG11" s="53"/>
      <c r="OH11" s="53"/>
      <c r="OI11" s="53"/>
      <c r="OJ11" s="53"/>
      <c r="OK11" s="53"/>
      <c r="OL11" s="53"/>
      <c r="OM11" s="53"/>
      <c r="ON11" s="53"/>
      <c r="OO11" s="53"/>
      <c r="OP11" s="53"/>
      <c r="OQ11" s="53"/>
      <c r="OR11" s="53"/>
      <c r="OS11" s="53"/>
      <c r="OT11" s="53"/>
      <c r="OU11" s="53"/>
      <c r="OV11" s="53"/>
      <c r="OW11" s="53"/>
      <c r="OX11" s="53"/>
      <c r="OY11" s="53"/>
      <c r="OZ11" s="53"/>
      <c r="PA11" s="53"/>
      <c r="PB11" s="53"/>
      <c r="PC11" s="53"/>
      <c r="PD11" s="53"/>
      <c r="PE11" s="53"/>
      <c r="PF11" s="53"/>
      <c r="PG11" s="53"/>
      <c r="PH11" s="53"/>
      <c r="PI11" s="53"/>
      <c r="PJ11" s="53"/>
      <c r="PK11" s="53"/>
      <c r="PL11" s="53"/>
      <c r="PM11" s="53"/>
      <c r="PN11" s="53"/>
      <c r="PO11" s="53"/>
      <c r="PP11" s="53"/>
      <c r="PQ11" s="53"/>
      <c r="PR11" s="53"/>
      <c r="PS11" s="53"/>
      <c r="PT11" s="53"/>
      <c r="PU11" s="53"/>
      <c r="PV11" s="53"/>
      <c r="PW11" s="53"/>
      <c r="PX11" s="53"/>
      <c r="PY11" s="53"/>
      <c r="PZ11" s="53"/>
      <c r="QA11" s="53"/>
      <c r="QB11" s="53"/>
      <c r="QC11" s="53"/>
      <c r="QD11" s="53"/>
      <c r="QE11" s="53"/>
      <c r="QF11" s="53"/>
      <c r="QG11" s="53"/>
      <c r="QH11" s="53"/>
      <c r="QI11" s="53"/>
      <c r="QJ11" s="53"/>
      <c r="QK11" s="53"/>
      <c r="QL11" s="53"/>
      <c r="QM11" s="53"/>
      <c r="QN11" s="53"/>
      <c r="QO11" s="53"/>
      <c r="QP11" s="53"/>
      <c r="QQ11" s="53"/>
      <c r="QR11" s="53"/>
      <c r="QS11" s="53"/>
      <c r="QT11" s="53"/>
      <c r="QU11" s="53"/>
      <c r="QV11" s="53"/>
      <c r="QW11" s="53"/>
      <c r="QX11" s="53"/>
      <c r="QY11" s="53"/>
      <c r="QZ11" s="53"/>
      <c r="RA11" s="53"/>
      <c r="RB11" s="53"/>
      <c r="RC11" s="53"/>
      <c r="RD11" s="53"/>
      <c r="RE11" s="53"/>
      <c r="RF11" s="53"/>
      <c r="RG11" s="53"/>
      <c r="RH11" s="53"/>
      <c r="RI11" s="53"/>
      <c r="RJ11" s="53"/>
      <c r="RK11" s="53"/>
      <c r="RL11" s="53"/>
      <c r="RM11" s="53"/>
      <c r="RN11" s="53"/>
      <c r="RO11" s="53"/>
      <c r="RP11" s="53"/>
      <c r="RQ11" s="53"/>
      <c r="RR11" s="53"/>
      <c r="RS11" s="53"/>
      <c r="RT11" s="53"/>
      <c r="RU11" s="53"/>
      <c r="RV11" s="53"/>
      <c r="RW11" s="53"/>
      <c r="RX11" s="53"/>
      <c r="RY11" s="53"/>
      <c r="RZ11" s="53"/>
      <c r="SA11" s="53"/>
      <c r="SB11" s="53"/>
      <c r="SC11" s="53"/>
      <c r="SD11" s="53"/>
      <c r="SE11" s="53"/>
      <c r="SF11" s="53"/>
      <c r="SG11" s="53"/>
      <c r="SH11" s="53"/>
      <c r="SI11" s="53"/>
      <c r="SJ11" s="53"/>
      <c r="SK11" s="53"/>
      <c r="SL11" s="53"/>
      <c r="SM11" s="53"/>
      <c r="SN11" s="53"/>
      <c r="SO11" s="53"/>
      <c r="SP11" s="53"/>
      <c r="SQ11" s="53"/>
      <c r="SR11" s="53"/>
      <c r="SS11" s="53"/>
      <c r="ST11" s="53"/>
      <c r="SU11" s="53"/>
      <c r="SV11" s="53"/>
      <c r="SW11" s="53"/>
      <c r="SX11" s="53"/>
      <c r="SY11" s="53"/>
      <c r="SZ11" s="53"/>
      <c r="TA11" s="53"/>
      <c r="TB11" s="53"/>
      <c r="TC11" s="53"/>
      <c r="TD11" s="53"/>
      <c r="TE11" s="53"/>
      <c r="TF11" s="53"/>
      <c r="TG11" s="53"/>
      <c r="TH11" s="53"/>
      <c r="TI11" s="53"/>
      <c r="TJ11" s="53"/>
      <c r="TK11" s="53"/>
      <c r="TL11" s="53"/>
      <c r="TM11" s="53"/>
      <c r="TN11" s="53"/>
      <c r="TO11" s="53"/>
      <c r="TP11" s="53"/>
      <c r="TQ11" s="53"/>
      <c r="TR11" s="53"/>
      <c r="TS11" s="53"/>
      <c r="TT11" s="53"/>
      <c r="TU11" s="53"/>
      <c r="TV11" s="53"/>
      <c r="TW11" s="53"/>
      <c r="TX11" s="53"/>
      <c r="TY11" s="53"/>
      <c r="TZ11" s="53"/>
      <c r="UA11" s="53"/>
      <c r="UB11" s="53"/>
      <c r="UC11" s="53"/>
      <c r="UD11" s="53"/>
      <c r="UE11" s="53"/>
      <c r="UF11" s="53"/>
      <c r="UG11" s="53"/>
      <c r="UH11" s="53"/>
      <c r="UI11" s="53"/>
      <c r="UJ11" s="53"/>
      <c r="UK11" s="53"/>
      <c r="UL11" s="53"/>
      <c r="UM11" s="53"/>
      <c r="UN11" s="53"/>
      <c r="UO11" s="53"/>
      <c r="UP11" s="53"/>
      <c r="UQ11" s="53"/>
      <c r="UR11" s="53"/>
      <c r="US11" s="53"/>
      <c r="UT11" s="53"/>
      <c r="UU11" s="53"/>
      <c r="UV11" s="53"/>
      <c r="UW11" s="53"/>
      <c r="UX11" s="53"/>
      <c r="UY11" s="53"/>
      <c r="UZ11" s="53"/>
      <c r="VA11" s="53"/>
      <c r="VB11" s="53"/>
      <c r="VC11" s="53"/>
      <c r="VD11" s="53"/>
      <c r="VE11" s="53"/>
      <c r="VF11" s="53"/>
      <c r="VG11" s="53"/>
      <c r="VH11" s="53"/>
      <c r="VI11" s="53"/>
      <c r="VJ11" s="53"/>
      <c r="VK11" s="53"/>
      <c r="VL11" s="53"/>
      <c r="VM11" s="53"/>
      <c r="VN11" s="53"/>
      <c r="VO11" s="53"/>
      <c r="VP11" s="53"/>
      <c r="VQ11" s="53"/>
      <c r="VR11" s="53"/>
      <c r="VS11" s="53"/>
      <c r="VT11" s="53"/>
      <c r="VU11" s="53"/>
      <c r="VV11" s="53"/>
      <c r="VW11" s="53"/>
      <c r="VX11" s="53"/>
      <c r="VY11" s="53"/>
      <c r="VZ11" s="53"/>
      <c r="WA11" s="53"/>
      <c r="WB11" s="53"/>
      <c r="WC11" s="53"/>
      <c r="WD11" s="53"/>
      <c r="WE11" s="53"/>
      <c r="WF11" s="53"/>
      <c r="WG11" s="53"/>
      <c r="WH11" s="53"/>
      <c r="WI11" s="53"/>
      <c r="WJ11" s="53"/>
      <c r="WK11" s="53"/>
      <c r="WL11" s="53"/>
      <c r="WM11" s="53"/>
      <c r="WN11" s="53"/>
      <c r="WO11" s="53"/>
      <c r="WP11" s="53"/>
      <c r="WQ11" s="53"/>
      <c r="WR11" s="53"/>
      <c r="WS11" s="53"/>
      <c r="WT11" s="53"/>
      <c r="WU11" s="53"/>
      <c r="WV11" s="53"/>
      <c r="WW11" s="53"/>
      <c r="WX11" s="53"/>
      <c r="WY11" s="53"/>
      <c r="WZ11" s="53"/>
      <c r="XA11" s="53"/>
      <c r="XB11" s="53"/>
      <c r="XC11" s="53"/>
      <c r="XD11" s="53"/>
      <c r="XE11" s="53"/>
      <c r="XF11" s="53"/>
      <c r="XG11" s="53"/>
      <c r="XH11" s="53"/>
      <c r="XI11" s="53"/>
      <c r="XJ11" s="53"/>
      <c r="XK11" s="53"/>
      <c r="XL11" s="53"/>
      <c r="XM11" s="53"/>
      <c r="XN11" s="53"/>
      <c r="XO11" s="53"/>
      <c r="XP11" s="53"/>
      <c r="XQ11" s="53"/>
      <c r="XR11" s="53"/>
      <c r="XS11" s="53"/>
      <c r="XT11" s="53"/>
      <c r="XU11" s="53"/>
      <c r="XV11" s="53"/>
      <c r="XW11" s="53"/>
      <c r="XX11" s="53"/>
      <c r="XY11" s="53"/>
      <c r="XZ11" s="53"/>
      <c r="YA11" s="53"/>
      <c r="YB11" s="53"/>
      <c r="YC11" s="53"/>
      <c r="YD11" s="53"/>
      <c r="YE11" s="53"/>
      <c r="YF11" s="53"/>
      <c r="YG11" s="53"/>
      <c r="YH11" s="53"/>
      <c r="YI11" s="53"/>
      <c r="YJ11" s="53"/>
      <c r="YK11" s="53"/>
      <c r="YL11" s="53"/>
      <c r="YM11" s="53"/>
      <c r="YN11" s="53"/>
      <c r="YO11" s="53"/>
      <c r="YP11" s="53"/>
      <c r="YQ11" s="53"/>
      <c r="YR11" s="53"/>
      <c r="YS11" s="53"/>
      <c r="YT11" s="53"/>
      <c r="YU11" s="53"/>
      <c r="YV11" s="53"/>
      <c r="YW11" s="53"/>
      <c r="YX11" s="53"/>
      <c r="YY11" s="53"/>
      <c r="YZ11" s="53"/>
      <c r="ZA11" s="53"/>
      <c r="ZB11" s="53"/>
      <c r="ZC11" s="53"/>
      <c r="ZD11" s="53"/>
      <c r="ZE11" s="53"/>
      <c r="ZF11" s="53"/>
      <c r="ZG11" s="53"/>
      <c r="ZH11" s="53"/>
      <c r="ZI11" s="53"/>
      <c r="ZJ11" s="53"/>
      <c r="ZK11" s="53"/>
      <c r="ZL11" s="53"/>
      <c r="ZM11" s="53"/>
      <c r="ZN11" s="53"/>
      <c r="ZO11" s="53"/>
      <c r="ZP11" s="53"/>
      <c r="ZQ11" s="53"/>
      <c r="ZR11" s="53"/>
      <c r="ZS11" s="53"/>
      <c r="ZT11" s="53"/>
      <c r="ZU11" s="53"/>
      <c r="ZV11" s="53"/>
      <c r="ZW11" s="53"/>
      <c r="ZX11" s="53"/>
      <c r="ZY11" s="53"/>
      <c r="ZZ11" s="53"/>
      <c r="AAA11" s="53"/>
      <c r="AAB11" s="53"/>
      <c r="AAC11" s="53"/>
      <c r="AAD11" s="53"/>
      <c r="AAE11" s="53"/>
      <c r="AAF11" s="53"/>
      <c r="AAG11" s="53"/>
      <c r="AAH11" s="53"/>
      <c r="AAI11" s="53"/>
      <c r="AAJ11" s="53"/>
      <c r="AAK11" s="53"/>
      <c r="AAL11" s="53"/>
      <c r="AAM11" s="53"/>
      <c r="AAN11" s="53"/>
      <c r="AAO11" s="53"/>
      <c r="AAP11" s="53"/>
      <c r="AAQ11" s="53"/>
      <c r="AAR11" s="53"/>
      <c r="AAS11" s="53"/>
      <c r="AAT11" s="53"/>
      <c r="AAU11" s="53"/>
      <c r="AAV11" s="53"/>
      <c r="AAW11" s="53"/>
      <c r="AAX11" s="53"/>
      <c r="AAY11" s="53"/>
      <c r="AAZ11" s="53"/>
      <c r="ABA11" s="53"/>
      <c r="ABB11" s="53"/>
      <c r="ABC11" s="53"/>
      <c r="ABD11" s="53"/>
      <c r="ABE11" s="53"/>
      <c r="ABF11" s="53"/>
      <c r="ABG11" s="53"/>
      <c r="ABH11" s="53"/>
      <c r="ABI11" s="53"/>
      <c r="ABJ11" s="53"/>
      <c r="ABK11" s="53"/>
      <c r="ABL11" s="53"/>
      <c r="ABM11" s="53"/>
      <c r="ABN11" s="53"/>
      <c r="ABO11" s="53"/>
      <c r="ABP11" s="53"/>
      <c r="ABQ11" s="53"/>
      <c r="ABR11" s="53"/>
      <c r="ABS11" s="53"/>
      <c r="ABT11" s="53"/>
      <c r="ABU11" s="53"/>
      <c r="ABV11" s="53"/>
      <c r="ABW11" s="53"/>
      <c r="ABX11" s="53"/>
      <c r="ABY11" s="53"/>
      <c r="ABZ11" s="53"/>
      <c r="ACA11" s="53"/>
      <c r="ACB11" s="53"/>
      <c r="ACC11" s="53"/>
      <c r="ACD11" s="53"/>
      <c r="ACE11" s="53"/>
      <c r="ACF11" s="53"/>
      <c r="ACG11" s="53"/>
      <c r="ACH11" s="53"/>
      <c r="ACI11" s="53"/>
      <c r="ACJ11" s="53"/>
      <c r="ACK11" s="53"/>
      <c r="ACL11" s="53"/>
      <c r="ACM11" s="53"/>
      <c r="ACN11" s="53"/>
      <c r="ACO11" s="53"/>
      <c r="ACP11" s="53"/>
      <c r="ACQ11" s="53"/>
      <c r="ACR11" s="53"/>
      <c r="ACS11" s="53"/>
      <c r="ACT11" s="53"/>
      <c r="ACU11" s="53"/>
      <c r="ACV11" s="53"/>
      <c r="ACW11" s="53"/>
      <c r="ACX11" s="53"/>
      <c r="ACY11" s="53"/>
      <c r="ACZ11" s="53"/>
      <c r="ADA11" s="53"/>
      <c r="ADB11" s="53"/>
      <c r="ADC11" s="53"/>
      <c r="ADD11" s="53"/>
      <c r="ADE11" s="53"/>
      <c r="ADF11" s="53"/>
      <c r="ADG11" s="53"/>
      <c r="ADH11" s="53"/>
      <c r="ADI11" s="53"/>
      <c r="ADJ11" s="53"/>
      <c r="ADK11" s="53"/>
      <c r="ADL11" s="53"/>
      <c r="ADM11" s="53"/>
      <c r="ADN11" s="53"/>
      <c r="ADO11" s="53"/>
      <c r="ADP11" s="53"/>
      <c r="ADQ11" s="53"/>
      <c r="ADR11" s="53"/>
      <c r="ADS11" s="53"/>
      <c r="ADT11" s="53"/>
      <c r="ADU11" s="53"/>
      <c r="ADV11" s="53"/>
      <c r="ADW11" s="53"/>
      <c r="ADX11" s="53"/>
      <c r="ADY11" s="53"/>
      <c r="ADZ11" s="53"/>
      <c r="AEA11" s="53"/>
      <c r="AEB11" s="53"/>
      <c r="AEC11" s="53"/>
      <c r="AED11" s="53"/>
      <c r="AEE11" s="53"/>
      <c r="AEF11" s="53"/>
      <c r="AEG11" s="53"/>
      <c r="AEH11" s="53"/>
      <c r="AEI11" s="53"/>
      <c r="AEJ11" s="53"/>
      <c r="AEK11" s="53"/>
      <c r="AEL11" s="53"/>
      <c r="AEM11" s="53"/>
      <c r="AEN11" s="53"/>
      <c r="AEO11" s="53"/>
      <c r="AEP11" s="53"/>
      <c r="AEQ11" s="53"/>
      <c r="AER11" s="53"/>
      <c r="AES11" s="53"/>
      <c r="AET11" s="53"/>
      <c r="AEU11" s="53"/>
      <c r="AEV11" s="53"/>
      <c r="AEW11" s="53"/>
      <c r="AEX11" s="53"/>
      <c r="AEY11" s="53"/>
      <c r="AEZ11" s="53"/>
      <c r="AFA11" s="53"/>
      <c r="AFB11" s="53"/>
      <c r="AFC11" s="53"/>
      <c r="AFD11" s="53"/>
      <c r="AFE11" s="53"/>
      <c r="AFF11" s="53"/>
      <c r="AFG11" s="53"/>
      <c r="AFH11" s="53"/>
      <c r="AFI11" s="53"/>
      <c r="AFJ11" s="53"/>
      <c r="AFK11" s="53"/>
      <c r="AFL11" s="53"/>
      <c r="AFM11" s="53"/>
      <c r="AFN11" s="53"/>
      <c r="AFO11" s="53"/>
      <c r="AFP11" s="53"/>
      <c r="AFQ11" s="53"/>
      <c r="AFR11" s="53"/>
      <c r="AFS11" s="53"/>
      <c r="AFT11" s="53"/>
      <c r="AFU11" s="53"/>
      <c r="AFV11" s="53"/>
      <c r="AFW11" s="53"/>
      <c r="AFX11" s="53"/>
      <c r="AFY11" s="53"/>
      <c r="AFZ11" s="53"/>
      <c r="AGA11" s="53"/>
      <c r="AGB11" s="53"/>
      <c r="AGC11" s="53"/>
      <c r="AGD11" s="53"/>
      <c r="AGE11" s="53"/>
      <c r="AGF11" s="53"/>
      <c r="AGG11" s="53"/>
      <c r="AGH11" s="53"/>
      <c r="AGI11" s="53"/>
      <c r="AGJ11" s="53"/>
      <c r="AGK11" s="53"/>
      <c r="AGL11" s="53"/>
      <c r="AGM11" s="53"/>
      <c r="AGN11" s="53"/>
      <c r="AGO11" s="53"/>
      <c r="AGP11" s="53"/>
      <c r="AGQ11" s="53"/>
      <c r="AGR11" s="53"/>
      <c r="AGS11" s="53"/>
      <c r="AGT11" s="53"/>
      <c r="AGU11" s="53"/>
      <c r="AGV11" s="53"/>
      <c r="AGW11" s="53"/>
      <c r="AGX11" s="53"/>
      <c r="AGY11" s="53"/>
      <c r="AGZ11" s="53"/>
      <c r="AHA11" s="53"/>
      <c r="AHB11" s="53"/>
      <c r="AHC11" s="53"/>
      <c r="AHD11" s="53"/>
      <c r="AHE11" s="53"/>
      <c r="AHF11" s="53"/>
      <c r="AHG11" s="53"/>
      <c r="AHH11" s="53"/>
      <c r="AHI11" s="53"/>
      <c r="AHJ11" s="53"/>
      <c r="AHK11" s="53"/>
      <c r="AHL11" s="53"/>
      <c r="AHM11" s="53"/>
      <c r="AHN11" s="53"/>
      <c r="AHO11" s="53"/>
      <c r="AHP11" s="53"/>
      <c r="AHQ11" s="53"/>
      <c r="AHR11" s="53"/>
      <c r="AHS11" s="53"/>
      <c r="AHT11" s="53"/>
      <c r="AHU11" s="53"/>
      <c r="AHV11" s="53"/>
      <c r="AHW11" s="53"/>
      <c r="AHX11" s="53"/>
      <c r="AHY11" s="53"/>
      <c r="AHZ11" s="53"/>
      <c r="AIA11" s="53"/>
      <c r="AIB11" s="53"/>
      <c r="AIC11" s="53"/>
      <c r="AID11" s="53"/>
      <c r="AIE11" s="53"/>
      <c r="AIF11" s="53"/>
      <c r="AIG11" s="53"/>
      <c r="AIH11" s="53"/>
      <c r="AII11" s="53"/>
      <c r="AIJ11" s="53"/>
      <c r="AIK11" s="53"/>
      <c r="AIL11" s="53"/>
      <c r="AIM11" s="53"/>
      <c r="AIN11" s="53"/>
      <c r="AIO11" s="53"/>
      <c r="AIP11" s="53"/>
      <c r="AIQ11" s="53"/>
      <c r="AIR11" s="53"/>
      <c r="AIS11" s="53"/>
      <c r="AIT11" s="53"/>
      <c r="AIU11" s="53"/>
      <c r="AIV11" s="53"/>
      <c r="AIW11" s="53"/>
      <c r="AIX11" s="53"/>
      <c r="AIY11" s="53"/>
      <c r="AIZ11" s="53"/>
      <c r="AJA11" s="53"/>
      <c r="AJB11" s="53"/>
      <c r="AJC11" s="53"/>
      <c r="AJD11" s="53"/>
      <c r="AJE11" s="53"/>
      <c r="AJF11" s="53"/>
      <c r="AJG11" s="53"/>
      <c r="AJH11" s="53"/>
      <c r="AJI11" s="53"/>
      <c r="AJJ11" s="53"/>
      <c r="AJK11" s="53"/>
      <c r="AJL11" s="53"/>
      <c r="AJM11" s="53"/>
      <c r="AJN11" s="53"/>
      <c r="AJO11" s="53"/>
      <c r="AJP11" s="53"/>
      <c r="AJQ11" s="53"/>
      <c r="AJR11" s="53"/>
      <c r="AJS11" s="53"/>
      <c r="AJT11" s="53"/>
      <c r="AJU11" s="53"/>
      <c r="AJV11" s="53"/>
      <c r="AJW11" s="53"/>
      <c r="AJX11" s="53"/>
      <c r="AJY11" s="53"/>
      <c r="AJZ11" s="53"/>
      <c r="AKA11" s="53"/>
      <c r="AKB11" s="53"/>
      <c r="AKC11" s="53"/>
      <c r="AKD11" s="53"/>
      <c r="AKE11" s="53"/>
      <c r="AKF11" s="53"/>
      <c r="AKG11" s="53"/>
      <c r="AKH11" s="53"/>
      <c r="AKI11" s="53"/>
      <c r="AKJ11" s="53"/>
      <c r="AKK11" s="53"/>
      <c r="AKL11" s="53"/>
      <c r="AKM11" s="53"/>
      <c r="AKN11" s="53"/>
      <c r="AKO11" s="53"/>
      <c r="AKP11" s="53"/>
      <c r="AKQ11" s="53"/>
      <c r="AKR11" s="53"/>
      <c r="AKS11" s="53"/>
      <c r="AKT11" s="53"/>
      <c r="AKU11" s="53"/>
      <c r="AKV11" s="53"/>
      <c r="AKW11" s="53"/>
      <c r="AKX11" s="53"/>
      <c r="AKY11" s="53"/>
      <c r="AKZ11" s="53"/>
      <c r="ALA11" s="53"/>
      <c r="ALB11" s="53"/>
      <c r="ALC11" s="53"/>
      <c r="ALD11" s="53"/>
      <c r="ALE11" s="53"/>
      <c r="ALF11" s="53"/>
      <c r="ALG11" s="53"/>
      <c r="ALH11" s="53"/>
      <c r="ALI11" s="53"/>
      <c r="ALJ11" s="53"/>
      <c r="ALK11" s="53"/>
      <c r="ALL11" s="53"/>
      <c r="ALM11" s="53"/>
      <c r="ALN11" s="53"/>
      <c r="ALO11" s="53"/>
      <c r="ALP11" s="53"/>
      <c r="ALQ11" s="53"/>
      <c r="ALR11" s="53"/>
      <c r="ALS11" s="53"/>
      <c r="ALT11" s="53"/>
      <c r="ALU11" s="53"/>
      <c r="ALV11" s="53"/>
      <c r="ALW11" s="53"/>
      <c r="ALX11" s="53"/>
      <c r="ALY11" s="53"/>
      <c r="ALZ11" s="53"/>
      <c r="AMA11" s="53"/>
      <c r="AMB11" s="53"/>
      <c r="AMC11" s="53"/>
      <c r="AMD11" s="53"/>
      <c r="AME11" s="53"/>
      <c r="AMF11" s="53"/>
      <c r="AMG11" s="53"/>
      <c r="AMH11" s="53"/>
      <c r="AMI11" s="53"/>
      <c r="AMJ11" s="53"/>
      <c r="AMK11" s="53"/>
      <c r="AML11" s="53"/>
      <c r="AMM11" s="53"/>
      <c r="AMN11" s="53"/>
      <c r="AMO11" s="53"/>
      <c r="AMP11" s="53"/>
      <c r="AMQ11" s="53"/>
      <c r="AMR11" s="53"/>
      <c r="AMS11" s="53"/>
      <c r="AMT11" s="53"/>
      <c r="AMU11" s="53"/>
      <c r="AMV11" s="53"/>
      <c r="AMW11" s="53"/>
      <c r="AMX11" s="53"/>
      <c r="AMY11" s="53"/>
      <c r="AMZ11" s="53"/>
      <c r="ANA11" s="53"/>
      <c r="ANB11" s="53"/>
      <c r="ANC11" s="53"/>
      <c r="AND11" s="53"/>
      <c r="ANE11" s="53"/>
      <c r="ANF11" s="53"/>
      <c r="ANG11" s="53"/>
      <c r="ANH11" s="53"/>
      <c r="ANI11" s="53"/>
      <c r="ANJ11" s="53"/>
      <c r="ANK11" s="53"/>
      <c r="ANL11" s="53"/>
      <c r="ANM11" s="53"/>
      <c r="ANN11" s="53"/>
      <c r="ANO11" s="53"/>
      <c r="ANP11" s="53"/>
      <c r="ANQ11" s="53"/>
      <c r="ANR11" s="53"/>
      <c r="ANS11" s="53"/>
      <c r="ANT11" s="53"/>
      <c r="ANU11" s="53"/>
      <c r="ANV11" s="53"/>
      <c r="ANW11" s="53"/>
      <c r="ANX11" s="53"/>
      <c r="ANY11" s="53"/>
      <c r="ANZ11" s="53"/>
      <c r="AOA11" s="53"/>
      <c r="AOB11" s="53"/>
      <c r="AOC11" s="53"/>
      <c r="AOD11" s="53"/>
      <c r="AOE11" s="53"/>
      <c r="AOF11" s="53"/>
      <c r="AOG11" s="53"/>
      <c r="AOH11" s="53"/>
      <c r="AOI11" s="53"/>
      <c r="AOJ11" s="53"/>
      <c r="AOK11" s="53"/>
      <c r="AOL11" s="53"/>
      <c r="AOM11" s="53"/>
      <c r="AON11" s="53"/>
      <c r="AOO11" s="53"/>
      <c r="AOP11" s="53"/>
      <c r="AOQ11" s="53"/>
      <c r="AOR11" s="53"/>
      <c r="AOS11" s="53"/>
      <c r="AOT11" s="53"/>
      <c r="AOU11" s="53"/>
      <c r="AOV11" s="53"/>
      <c r="AOW11" s="53"/>
      <c r="AOX11" s="53"/>
      <c r="AOY11" s="53"/>
      <c r="AOZ11" s="53"/>
      <c r="APA11" s="53"/>
      <c r="APB11" s="53"/>
      <c r="APC11" s="53"/>
      <c r="APD11" s="53"/>
      <c r="APE11" s="53"/>
      <c r="APF11" s="53"/>
      <c r="APG11" s="53"/>
      <c r="APH11" s="53"/>
      <c r="API11" s="53"/>
      <c r="APJ11" s="53"/>
      <c r="APK11" s="53"/>
      <c r="APL11" s="53"/>
      <c r="APM11" s="53"/>
      <c r="APN11" s="53"/>
      <c r="APO11" s="53"/>
      <c r="APP11" s="53"/>
      <c r="APQ11" s="53"/>
      <c r="APR11" s="53"/>
      <c r="APS11" s="53"/>
      <c r="APT11" s="53"/>
      <c r="APU11" s="53"/>
      <c r="APV11" s="53"/>
      <c r="APW11" s="53"/>
      <c r="APX11" s="53"/>
      <c r="APY11" s="53"/>
      <c r="APZ11" s="53"/>
      <c r="AQA11" s="53"/>
      <c r="AQB11" s="53"/>
      <c r="AQC11" s="53"/>
      <c r="AQD11" s="53"/>
      <c r="AQE11" s="53"/>
      <c r="AQF11" s="53"/>
      <c r="AQG11" s="53"/>
      <c r="AQH11" s="53"/>
      <c r="AQI11" s="53"/>
      <c r="AQJ11" s="53"/>
      <c r="AQK11" s="53"/>
      <c r="AQL11" s="53"/>
      <c r="AQM11" s="53"/>
      <c r="AQN11" s="53"/>
      <c r="AQO11" s="53"/>
      <c r="AQP11" s="53"/>
      <c r="AQQ11" s="53"/>
      <c r="AQR11" s="53"/>
      <c r="AQS11" s="53"/>
      <c r="AQT11" s="53"/>
      <c r="AQU11" s="53"/>
      <c r="AQV11" s="53"/>
      <c r="AQW11" s="53"/>
      <c r="AQX11" s="53"/>
      <c r="AQY11" s="53"/>
      <c r="AQZ11" s="53"/>
      <c r="ARA11" s="53"/>
      <c r="ARB11" s="53"/>
      <c r="ARC11" s="53"/>
      <c r="ARD11" s="53"/>
      <c r="ARE11" s="53"/>
      <c r="ARF11" s="53"/>
      <c r="ARG11" s="53"/>
      <c r="ARH11" s="53"/>
      <c r="ARI11" s="53"/>
      <c r="ARJ11" s="53"/>
      <c r="ARK11" s="53"/>
      <c r="ARL11" s="53"/>
      <c r="ARM11" s="53"/>
      <c r="ARN11" s="53"/>
      <c r="ARO11" s="53"/>
      <c r="ARP11" s="53"/>
      <c r="ARQ11" s="53"/>
      <c r="ARR11" s="53"/>
      <c r="ARS11" s="53"/>
      <c r="ART11" s="53"/>
      <c r="ARU11" s="53"/>
      <c r="ARV11" s="53"/>
      <c r="ARW11" s="53"/>
      <c r="ARX11" s="53"/>
      <c r="ARY11" s="53"/>
      <c r="ARZ11" s="53"/>
      <c r="ASA11" s="53"/>
      <c r="ASB11" s="53"/>
      <c r="ASC11" s="53"/>
      <c r="ASD11" s="53"/>
      <c r="ASE11" s="53"/>
      <c r="ASF11" s="53"/>
      <c r="ASG11" s="53"/>
      <c r="ASH11" s="53"/>
      <c r="ASI11" s="53"/>
      <c r="ASJ11" s="53"/>
      <c r="ASK11" s="53"/>
      <c r="ASL11" s="53"/>
      <c r="ASM11" s="53"/>
      <c r="ASN11" s="53"/>
      <c r="ASO11" s="53"/>
      <c r="ASP11" s="53"/>
      <c r="ASQ11" s="53"/>
      <c r="ASR11" s="53"/>
      <c r="ASS11" s="53"/>
      <c r="AST11" s="53"/>
      <c r="ASU11" s="53"/>
      <c r="ASV11" s="53"/>
      <c r="ASW11" s="53"/>
      <c r="ASX11" s="53"/>
      <c r="ASY11" s="53"/>
      <c r="ASZ11" s="53"/>
      <c r="ATA11" s="53"/>
      <c r="ATB11" s="53"/>
      <c r="ATC11" s="53"/>
      <c r="ATD11" s="53"/>
      <c r="ATE11" s="53"/>
      <c r="ATF11" s="53"/>
      <c r="ATG11" s="53"/>
      <c r="ATH11" s="53"/>
      <c r="ATI11" s="53"/>
      <c r="ATJ11" s="53"/>
      <c r="ATK11" s="53"/>
      <c r="ATL11" s="53"/>
      <c r="ATM11" s="53"/>
      <c r="ATN11" s="53"/>
      <c r="ATO11" s="53"/>
      <c r="ATP11" s="53"/>
      <c r="ATQ11" s="53"/>
      <c r="ATR11" s="53"/>
      <c r="ATS11" s="53"/>
      <c r="ATT11" s="53"/>
      <c r="ATU11" s="53"/>
      <c r="ATV11" s="53"/>
      <c r="ATW11" s="53"/>
      <c r="ATX11" s="53"/>
      <c r="ATY11" s="53"/>
      <c r="ATZ11" s="53"/>
      <c r="AUA11" s="53"/>
      <c r="AUB11" s="53"/>
      <c r="AUC11" s="53"/>
      <c r="AUD11" s="53"/>
      <c r="AUE11" s="53"/>
      <c r="AUF11" s="53"/>
      <c r="AUG11" s="53"/>
      <c r="AUH11" s="53"/>
      <c r="AUI11" s="53"/>
      <c r="AUJ11" s="53"/>
      <c r="AUK11" s="53"/>
      <c r="AUL11" s="53"/>
      <c r="AUM11" s="53"/>
      <c r="AUN11" s="53"/>
      <c r="AUO11" s="53"/>
      <c r="AUP11" s="53"/>
      <c r="AUQ11" s="53"/>
      <c r="AUR11" s="53"/>
      <c r="AUS11" s="53"/>
      <c r="AUT11" s="53"/>
      <c r="AUU11" s="53"/>
      <c r="AUV11" s="53"/>
      <c r="AUW11" s="53"/>
      <c r="AUX11" s="53"/>
      <c r="AUY11" s="53"/>
      <c r="AUZ11" s="53"/>
      <c r="AVA11" s="53"/>
      <c r="AVB11" s="53"/>
      <c r="AVC11" s="53"/>
      <c r="AVD11" s="53"/>
      <c r="AVE11" s="53"/>
      <c r="AVF11" s="53"/>
      <c r="AVG11" s="53"/>
      <c r="AVH11" s="53"/>
      <c r="AVI11" s="53"/>
      <c r="AVJ11" s="53"/>
      <c r="AVK11" s="53"/>
      <c r="AVL11" s="53"/>
      <c r="AVM11" s="53"/>
      <c r="AVN11" s="53"/>
      <c r="AVO11" s="53"/>
      <c r="AVP11" s="53"/>
      <c r="AVQ11" s="53"/>
      <c r="AVR11" s="53"/>
      <c r="AVS11" s="53"/>
      <c r="AVT11" s="53"/>
      <c r="AVU11" s="53"/>
      <c r="AVV11" s="53"/>
      <c r="AVW11" s="53"/>
      <c r="AVX11" s="53"/>
      <c r="AVY11" s="53"/>
      <c r="AVZ11" s="53"/>
      <c r="AWA11" s="53"/>
      <c r="AWB11" s="53"/>
      <c r="AWC11" s="53"/>
      <c r="AWD11" s="53"/>
      <c r="AWE11" s="53"/>
      <c r="AWF11" s="53"/>
      <c r="AWG11" s="53"/>
      <c r="AWH11" s="53"/>
      <c r="AWI11" s="53"/>
      <c r="AWJ11" s="53"/>
      <c r="AWK11" s="53"/>
      <c r="AWL11" s="53"/>
      <c r="AWM11" s="53"/>
      <c r="AWN11" s="53"/>
      <c r="AWO11" s="53"/>
      <c r="AWP11" s="53"/>
      <c r="AWQ11" s="53"/>
      <c r="AWR11" s="53"/>
      <c r="AWS11" s="53"/>
      <c r="AWT11" s="53"/>
      <c r="AWU11" s="53"/>
      <c r="AWV11" s="53"/>
      <c r="AWW11" s="53"/>
      <c r="AWX11" s="53"/>
      <c r="AWY11" s="53"/>
      <c r="AWZ11" s="53"/>
      <c r="AXA11" s="53"/>
      <c r="AXB11" s="53"/>
      <c r="AXC11" s="53"/>
      <c r="AXD11" s="53"/>
      <c r="AXE11" s="53"/>
      <c r="AXF11" s="53"/>
      <c r="AXG11" s="53"/>
      <c r="AXH11" s="53"/>
      <c r="AXI11" s="53"/>
      <c r="AXJ11" s="53"/>
      <c r="AXK11" s="53"/>
      <c r="AXL11" s="53"/>
      <c r="AXM11" s="53"/>
      <c r="AXN11" s="53"/>
      <c r="AXO11" s="53"/>
      <c r="AXP11" s="53"/>
      <c r="AXQ11" s="53"/>
      <c r="AXR11" s="53"/>
      <c r="AXS11" s="53"/>
      <c r="AXT11" s="53"/>
      <c r="AXU11" s="53"/>
      <c r="AXV11" s="53"/>
      <c r="AXW11" s="53"/>
      <c r="AXX11" s="53"/>
      <c r="AXY11" s="53"/>
      <c r="AXZ11" s="53"/>
      <c r="AYA11" s="53"/>
      <c r="AYB11" s="53"/>
      <c r="AYC11" s="53"/>
      <c r="AYD11" s="53"/>
      <c r="AYE11" s="53"/>
      <c r="AYF11" s="53"/>
      <c r="AYG11" s="53"/>
      <c r="AYH11" s="53"/>
      <c r="AYI11" s="53"/>
      <c r="AYJ11" s="53"/>
      <c r="AYK11" s="53"/>
      <c r="AYL11" s="53"/>
      <c r="AYM11" s="53"/>
      <c r="AYN11" s="53"/>
      <c r="AYO11" s="53"/>
      <c r="AYP11" s="53"/>
      <c r="AYQ11" s="53"/>
      <c r="AYR11" s="53"/>
      <c r="AYS11" s="53"/>
      <c r="AYT11" s="53"/>
      <c r="AYU11" s="53"/>
      <c r="AYV11" s="53"/>
      <c r="AYW11" s="53"/>
      <c r="AYX11" s="53"/>
      <c r="AYY11" s="53"/>
      <c r="AYZ11" s="53"/>
      <c r="AZA11" s="53"/>
      <c r="AZB11" s="53"/>
      <c r="AZC11" s="53"/>
      <c r="AZD11" s="53"/>
      <c r="AZE11" s="53"/>
      <c r="AZF11" s="53"/>
      <c r="AZG11" s="53"/>
      <c r="AZH11" s="53"/>
      <c r="AZI11" s="53"/>
      <c r="AZJ11" s="53"/>
      <c r="AZK11" s="53"/>
      <c r="AZL11" s="53"/>
      <c r="AZM11" s="53"/>
      <c r="AZN11" s="53"/>
      <c r="AZO11" s="53"/>
      <c r="AZP11" s="53"/>
      <c r="AZQ11" s="53"/>
      <c r="AZR11" s="53"/>
      <c r="AZS11" s="53"/>
      <c r="AZT11" s="53"/>
      <c r="AZU11" s="53"/>
      <c r="AZV11" s="53"/>
      <c r="AZW11" s="53"/>
      <c r="AZX11" s="53"/>
      <c r="AZY11" s="53"/>
      <c r="AZZ11" s="53"/>
      <c r="BAA11" s="53"/>
      <c r="BAB11" s="53"/>
      <c r="BAC11" s="53"/>
      <c r="BAD11" s="53"/>
      <c r="BAE11" s="53"/>
      <c r="BAF11" s="53"/>
      <c r="BAG11" s="53"/>
      <c r="BAH11" s="53"/>
      <c r="BAI11" s="53"/>
      <c r="BAJ11" s="53"/>
      <c r="BAK11" s="53"/>
      <c r="BAL11" s="53"/>
      <c r="BAM11" s="53"/>
      <c r="BAN11" s="53"/>
      <c r="BAO11" s="53"/>
      <c r="BAP11" s="53"/>
      <c r="BAQ11" s="53"/>
      <c r="BAR11" s="53"/>
      <c r="BAS11" s="53"/>
      <c r="BAT11" s="53"/>
      <c r="BAU11" s="53"/>
      <c r="BAV11" s="53"/>
      <c r="BAW11" s="53"/>
      <c r="BAX11" s="53"/>
      <c r="BAY11" s="53"/>
      <c r="BAZ11" s="53"/>
      <c r="BBA11" s="53"/>
      <c r="BBB11" s="53"/>
      <c r="BBC11" s="53"/>
      <c r="BBD11" s="53"/>
      <c r="BBE11" s="53"/>
      <c r="BBF11" s="53"/>
      <c r="BBG11" s="53"/>
      <c r="BBH11" s="53"/>
      <c r="BBI11" s="53"/>
      <c r="BBJ11" s="53"/>
      <c r="BBK11" s="53"/>
      <c r="BBL11" s="53"/>
      <c r="BBM11" s="53"/>
      <c r="BBN11" s="53"/>
      <c r="BBO11" s="53"/>
      <c r="BBP11" s="53"/>
      <c r="BBQ11" s="53"/>
      <c r="BBR11" s="53"/>
      <c r="BBS11" s="53"/>
      <c r="BBT11" s="53"/>
      <c r="BBU11" s="53"/>
      <c r="BBV11" s="53"/>
      <c r="BBW11" s="53"/>
      <c r="BBX11" s="53"/>
      <c r="BBY11" s="53"/>
      <c r="BBZ11" s="53"/>
      <c r="BCA11" s="53"/>
      <c r="BCB11" s="53"/>
      <c r="BCC11" s="53"/>
      <c r="BCD11" s="53"/>
      <c r="BCE11" s="53"/>
      <c r="BCF11" s="53"/>
      <c r="BCG11" s="53"/>
      <c r="BCH11" s="53"/>
      <c r="BCI11" s="53"/>
      <c r="BCJ11" s="53"/>
      <c r="BCK11" s="53"/>
      <c r="BCL11" s="53"/>
      <c r="BCM11" s="53"/>
      <c r="BCN11" s="53"/>
      <c r="BCO11" s="53"/>
      <c r="BCP11" s="53"/>
      <c r="BCQ11" s="53"/>
      <c r="BCR11" s="53"/>
      <c r="BCS11" s="53"/>
      <c r="BCT11" s="53"/>
      <c r="BCU11" s="53"/>
      <c r="BCV11" s="53"/>
      <c r="BCW11" s="53"/>
      <c r="BCX11" s="53"/>
      <c r="BCY11" s="53"/>
      <c r="BCZ11" s="53"/>
      <c r="BDA11" s="53"/>
      <c r="BDB11" s="53"/>
      <c r="BDC11" s="53"/>
      <c r="BDD11" s="53"/>
      <c r="BDE11" s="53"/>
      <c r="BDF11" s="53"/>
      <c r="BDG11" s="53"/>
      <c r="BDH11" s="53"/>
      <c r="BDI11" s="53"/>
      <c r="BDJ11" s="53"/>
      <c r="BDK11" s="53"/>
      <c r="BDL11" s="53"/>
      <c r="BDM11" s="53"/>
      <c r="BDN11" s="53"/>
      <c r="BDO11" s="53"/>
      <c r="BDP11" s="53"/>
      <c r="BDQ11" s="53"/>
      <c r="BDR11" s="53"/>
      <c r="BDS11" s="53"/>
      <c r="BDT11" s="53"/>
      <c r="BDU11" s="53"/>
      <c r="BDV11" s="53"/>
      <c r="BDW11" s="53"/>
      <c r="BDX11" s="53"/>
      <c r="BDY11" s="53"/>
      <c r="BDZ11" s="53"/>
      <c r="BEA11" s="53"/>
      <c r="BEB11" s="53"/>
      <c r="BEC11" s="53"/>
      <c r="BED11" s="53"/>
      <c r="BEE11" s="53"/>
      <c r="BEF11" s="53"/>
      <c r="BEG11" s="53"/>
      <c r="BEH11" s="53"/>
      <c r="BEI11" s="53"/>
      <c r="BEJ11" s="53"/>
      <c r="BEK11" s="53"/>
      <c r="BEL11" s="53"/>
      <c r="BEM11" s="53"/>
      <c r="BEN11" s="53"/>
      <c r="BEO11" s="53"/>
      <c r="BEP11" s="53"/>
      <c r="BEQ11" s="53"/>
      <c r="BER11" s="53"/>
      <c r="BES11" s="53"/>
      <c r="BET11" s="53"/>
      <c r="BEU11" s="53"/>
      <c r="BEV11" s="53"/>
      <c r="BEW11" s="53"/>
      <c r="BEX11" s="53"/>
      <c r="BEY11" s="53"/>
      <c r="BEZ11" s="53"/>
      <c r="BFA11" s="53"/>
      <c r="BFB11" s="53"/>
      <c r="BFC11" s="53"/>
      <c r="BFD11" s="53"/>
      <c r="BFE11" s="53"/>
      <c r="BFF11" s="53"/>
      <c r="BFG11" s="53"/>
      <c r="BFH11" s="53"/>
      <c r="BFI11" s="53"/>
      <c r="BFJ11" s="53"/>
      <c r="BFK11" s="53"/>
      <c r="BFL11" s="53"/>
      <c r="BFM11" s="53"/>
      <c r="BFN11" s="53"/>
      <c r="BFO11" s="53"/>
      <c r="BFP11" s="53"/>
      <c r="BFQ11" s="53"/>
      <c r="BFR11" s="53"/>
      <c r="BFS11" s="53"/>
      <c r="BFT11" s="53"/>
      <c r="BFU11" s="53"/>
      <c r="BFV11" s="53"/>
      <c r="BFW11" s="53"/>
      <c r="BFX11" s="53"/>
      <c r="BFY11" s="53"/>
      <c r="BFZ11" s="53"/>
      <c r="BGA11" s="53"/>
      <c r="BGB11" s="53"/>
      <c r="BGC11" s="53"/>
      <c r="BGD11" s="53"/>
      <c r="BGE11" s="53"/>
      <c r="BGF11" s="53"/>
      <c r="BGG11" s="53"/>
      <c r="BGH11" s="53"/>
      <c r="BGI11" s="53"/>
      <c r="BGJ11" s="53"/>
      <c r="BGK11" s="53"/>
      <c r="BGL11" s="53"/>
      <c r="BGM11" s="53"/>
      <c r="BGN11" s="53"/>
      <c r="BGO11" s="53"/>
      <c r="BGP11" s="53"/>
      <c r="BGQ11" s="53"/>
      <c r="BGR11" s="53"/>
      <c r="BGS11" s="53"/>
      <c r="BGT11" s="53"/>
      <c r="BGU11" s="53"/>
      <c r="BGV11" s="53"/>
      <c r="BGW11" s="53"/>
      <c r="BGX11" s="53"/>
      <c r="BGY11" s="53"/>
      <c r="BGZ11" s="53"/>
      <c r="BHA11" s="53"/>
      <c r="BHB11" s="53"/>
      <c r="BHC11" s="53"/>
      <c r="BHD11" s="53"/>
      <c r="BHE11" s="53"/>
      <c r="BHF11" s="53"/>
      <c r="BHG11" s="53"/>
      <c r="BHH11" s="53"/>
      <c r="BHI11" s="53"/>
      <c r="BHJ11" s="53"/>
      <c r="BHK11" s="53"/>
      <c r="BHL11" s="53"/>
      <c r="BHM11" s="53"/>
      <c r="BHN11" s="53"/>
      <c r="BHO11" s="53"/>
      <c r="BHP11" s="53"/>
      <c r="BHQ11" s="53"/>
      <c r="BHR11" s="53"/>
      <c r="BHS11" s="53"/>
      <c r="BHT11" s="53"/>
      <c r="BHU11" s="53"/>
      <c r="BHV11" s="53"/>
      <c r="BHW11" s="53"/>
      <c r="BHX11" s="53"/>
      <c r="BHY11" s="53"/>
      <c r="BHZ11" s="53"/>
      <c r="BIA11" s="53"/>
      <c r="BIB11" s="53"/>
      <c r="BIC11" s="53"/>
      <c r="BID11" s="53"/>
      <c r="BIE11" s="53"/>
      <c r="BIF11" s="53"/>
      <c r="BIG11" s="53"/>
      <c r="BIH11" s="53"/>
      <c r="BII11" s="53"/>
      <c r="BIJ11" s="53"/>
      <c r="BIK11" s="53"/>
      <c r="BIL11" s="53"/>
      <c r="BIM11" s="53"/>
      <c r="BIN11" s="53"/>
      <c r="BIO11" s="53"/>
      <c r="BIP11" s="53"/>
      <c r="BIQ11" s="53"/>
      <c r="BIR11" s="53"/>
      <c r="BIS11" s="53"/>
      <c r="BIT11" s="53"/>
      <c r="BIU11" s="53"/>
      <c r="BIV11" s="53"/>
      <c r="BIW11" s="53"/>
      <c r="BIX11" s="53"/>
      <c r="BIY11" s="53"/>
      <c r="BIZ11" s="53"/>
      <c r="BJA11" s="53"/>
      <c r="BJB11" s="53"/>
      <c r="BJC11" s="53"/>
      <c r="BJD11" s="53"/>
      <c r="BJE11" s="53"/>
      <c r="BJF11" s="53"/>
      <c r="BJG11" s="53"/>
      <c r="BJH11" s="53"/>
      <c r="BJI11" s="53"/>
      <c r="BJJ11" s="53"/>
      <c r="BJK11" s="53"/>
      <c r="BJL11" s="53"/>
      <c r="BJM11" s="53"/>
      <c r="BJN11" s="53"/>
      <c r="BJO11" s="53"/>
      <c r="BJP11" s="53"/>
      <c r="BJQ11" s="53"/>
      <c r="BJR11" s="53"/>
      <c r="BJS11" s="53"/>
      <c r="BJT11" s="53"/>
      <c r="BJU11" s="53"/>
      <c r="BJV11" s="53"/>
      <c r="BJW11" s="53"/>
      <c r="BJX11" s="53"/>
      <c r="BJY11" s="53"/>
      <c r="BJZ11" s="53"/>
      <c r="BKA11" s="53"/>
      <c r="BKB11" s="53"/>
      <c r="BKC11" s="53"/>
      <c r="BKD11" s="53"/>
      <c r="BKE11" s="53"/>
      <c r="BKF11" s="53"/>
      <c r="BKG11" s="53"/>
      <c r="BKH11" s="53"/>
      <c r="BKI11" s="53"/>
      <c r="BKJ11" s="53"/>
      <c r="BKK11" s="53"/>
      <c r="BKL11" s="53"/>
      <c r="BKM11" s="53"/>
      <c r="BKN11" s="53"/>
      <c r="BKO11" s="53"/>
      <c r="BKP11" s="53"/>
      <c r="BKQ11" s="53"/>
      <c r="BKR11" s="53"/>
      <c r="BKS11" s="53"/>
      <c r="BKT11" s="53"/>
      <c r="BKU11" s="53"/>
      <c r="BKV11" s="53"/>
      <c r="BKW11" s="53"/>
      <c r="BKX11" s="53"/>
      <c r="BKY11" s="53"/>
      <c r="BKZ11" s="53"/>
      <c r="BLA11" s="53"/>
      <c r="BLB11" s="53"/>
      <c r="BLC11" s="53"/>
      <c r="BLD11" s="53"/>
      <c r="BLE11" s="53"/>
      <c r="BLF11" s="53"/>
      <c r="BLG11" s="53"/>
      <c r="BLH11" s="53"/>
      <c r="BLI11" s="53"/>
      <c r="BLJ11" s="53"/>
      <c r="BLK11" s="53"/>
      <c r="BLL11" s="53"/>
      <c r="BLM11" s="53"/>
      <c r="BLN11" s="53"/>
      <c r="BLO11" s="53"/>
      <c r="BLP11" s="53"/>
      <c r="BLQ11" s="53"/>
      <c r="BLR11" s="53"/>
      <c r="BLS11" s="53"/>
      <c r="BLT11" s="53"/>
      <c r="BLU11" s="53"/>
      <c r="BLV11" s="53"/>
      <c r="BLW11" s="53"/>
      <c r="BLX11" s="53"/>
      <c r="BLY11" s="53"/>
      <c r="BLZ11" s="53"/>
      <c r="BMA11" s="53"/>
      <c r="BMB11" s="53"/>
      <c r="BMC11" s="53"/>
      <c r="BMD11" s="53"/>
      <c r="BME11" s="53"/>
      <c r="BMF11" s="53"/>
      <c r="BMG11" s="53"/>
      <c r="BMH11" s="53"/>
      <c r="BMI11" s="53"/>
      <c r="BMJ11" s="53"/>
      <c r="BMK11" s="53"/>
      <c r="BML11" s="53"/>
      <c r="BMM11" s="53"/>
      <c r="BMN11" s="53"/>
      <c r="BMO11" s="53"/>
      <c r="BMP11" s="53"/>
      <c r="BMQ11" s="53"/>
      <c r="BMR11" s="53"/>
      <c r="BMS11" s="53"/>
      <c r="BMT11" s="53"/>
      <c r="BMU11" s="53"/>
      <c r="BMV11" s="53"/>
      <c r="BMW11" s="53"/>
      <c r="BMX11" s="53"/>
      <c r="BMY11" s="53"/>
      <c r="BMZ11" s="53"/>
      <c r="BNA11" s="53"/>
      <c r="BNB11" s="53"/>
      <c r="BNC11" s="53"/>
      <c r="BND11" s="53"/>
      <c r="BNE11" s="53"/>
      <c r="BNF11" s="53"/>
      <c r="BNG11" s="53"/>
      <c r="BNH11" s="53"/>
      <c r="BNI11" s="53"/>
      <c r="BNJ11" s="53"/>
      <c r="BNK11" s="53"/>
      <c r="BNL11" s="53"/>
      <c r="BNM11" s="53"/>
      <c r="BNN11" s="53"/>
      <c r="BNO11" s="53"/>
      <c r="BNP11" s="53"/>
      <c r="BNQ11" s="53"/>
      <c r="BNR11" s="53"/>
      <c r="BNS11" s="53"/>
      <c r="BNT11" s="53"/>
      <c r="BNU11" s="53"/>
      <c r="BNV11" s="53"/>
      <c r="BNW11" s="53"/>
      <c r="BNX11" s="53"/>
      <c r="BNY11" s="53"/>
      <c r="BNZ11" s="53"/>
      <c r="BOA11" s="53"/>
      <c r="BOB11" s="53"/>
      <c r="BOC11" s="53"/>
      <c r="BOD11" s="53"/>
      <c r="BOE11" s="53"/>
      <c r="BOF11" s="53"/>
      <c r="BOG11" s="53"/>
      <c r="BOH11" s="53"/>
      <c r="BOI11" s="53"/>
      <c r="BOJ11" s="53"/>
      <c r="BOK11" s="53"/>
      <c r="BOL11" s="53"/>
      <c r="BOM11" s="53"/>
      <c r="BON11" s="53"/>
      <c r="BOO11" s="53"/>
      <c r="BOP11" s="53"/>
      <c r="BOQ11" s="53"/>
      <c r="BOR11" s="53"/>
      <c r="BOS11" s="53"/>
      <c r="BOT11" s="53"/>
      <c r="BOU11" s="53"/>
      <c r="BOV11" s="53"/>
      <c r="BOW11" s="53"/>
      <c r="BOX11" s="53"/>
      <c r="BOY11" s="53"/>
      <c r="BOZ11" s="53"/>
      <c r="BPA11" s="53"/>
      <c r="BPB11" s="53"/>
      <c r="BPC11" s="53"/>
      <c r="BPD11" s="53"/>
      <c r="BPE11" s="53"/>
      <c r="BPF11" s="53"/>
      <c r="BPG11" s="53"/>
      <c r="BPH11" s="53"/>
      <c r="BPI11" s="53"/>
      <c r="BPJ11" s="53"/>
      <c r="BPK11" s="53"/>
      <c r="BPL11" s="53"/>
      <c r="BPM11" s="53"/>
      <c r="BPN11" s="53"/>
      <c r="BPO11" s="53"/>
      <c r="BPP11" s="53"/>
      <c r="BPQ11" s="53"/>
      <c r="BPR11" s="53"/>
      <c r="BPS11" s="53"/>
      <c r="BPT11" s="53"/>
      <c r="BPU11" s="53"/>
      <c r="BPV11" s="53"/>
      <c r="BPW11" s="53"/>
      <c r="BPX11" s="53"/>
      <c r="BPY11" s="53"/>
      <c r="BPZ11" s="53"/>
      <c r="BQA11" s="53"/>
      <c r="BQB11" s="53"/>
      <c r="BQC11" s="53"/>
      <c r="BQD11" s="53"/>
      <c r="BQE11" s="53"/>
      <c r="BQF11" s="53"/>
      <c r="BQG11" s="53"/>
      <c r="BQH11" s="53"/>
      <c r="BQI11" s="53"/>
      <c r="BQJ11" s="53"/>
      <c r="BQK11" s="53"/>
      <c r="BQL11" s="53"/>
      <c r="BQM11" s="53"/>
      <c r="BQN11" s="53"/>
      <c r="BQO11" s="53"/>
      <c r="BQP11" s="53"/>
      <c r="BQQ11" s="53"/>
      <c r="BQR11" s="53"/>
      <c r="BQS11" s="53"/>
      <c r="BQT11" s="53"/>
      <c r="BQU11" s="53"/>
      <c r="BQV11" s="53"/>
      <c r="BQW11" s="53"/>
      <c r="BQX11" s="53"/>
      <c r="BQY11" s="53"/>
      <c r="BQZ11" s="53"/>
      <c r="BRA11" s="53"/>
      <c r="BRB11" s="53"/>
      <c r="BRC11" s="53"/>
      <c r="BRD11" s="53"/>
      <c r="BRE11" s="53"/>
      <c r="BRF11" s="53"/>
      <c r="BRG11" s="53"/>
      <c r="BRH11" s="53"/>
      <c r="BRI11" s="53"/>
      <c r="BRJ11" s="53"/>
      <c r="BRK11" s="53"/>
      <c r="BRL11" s="53"/>
      <c r="BRM11" s="53"/>
      <c r="BRN11" s="53"/>
      <c r="BRO11" s="53"/>
      <c r="BRP11" s="53"/>
      <c r="BRQ11" s="53"/>
      <c r="BRR11" s="53"/>
      <c r="BRS11" s="53"/>
      <c r="BRT11" s="53"/>
      <c r="BRU11" s="53"/>
      <c r="BRV11" s="53"/>
      <c r="BRW11" s="53"/>
      <c r="BRX11" s="53"/>
      <c r="BRY11" s="53"/>
      <c r="BRZ11" s="53"/>
      <c r="BSA11" s="53"/>
      <c r="BSB11" s="53"/>
      <c r="BSC11" s="53"/>
      <c r="BSD11" s="53"/>
      <c r="BSE11" s="53"/>
      <c r="BSF11" s="53"/>
      <c r="BSG11" s="53"/>
      <c r="BSH11" s="53"/>
      <c r="BSI11" s="53"/>
      <c r="BSJ11" s="53"/>
      <c r="BSK11" s="53"/>
      <c r="BSL11" s="53"/>
      <c r="BSM11" s="53"/>
      <c r="BSN11" s="53"/>
      <c r="BSO11" s="53"/>
      <c r="BSP11" s="53"/>
      <c r="BSQ11" s="53"/>
      <c r="BSR11" s="53"/>
      <c r="BSS11" s="53"/>
      <c r="BST11" s="53"/>
      <c r="BSU11" s="53"/>
      <c r="BSV11" s="53"/>
      <c r="BSW11" s="53"/>
      <c r="BSX11" s="53"/>
      <c r="BSY11" s="53"/>
      <c r="BSZ11" s="53"/>
      <c r="BTA11" s="53"/>
      <c r="BTB11" s="53"/>
      <c r="BTC11" s="53"/>
      <c r="BTD11" s="53"/>
      <c r="BTE11" s="53"/>
      <c r="BTF11" s="53"/>
      <c r="BTG11" s="53"/>
      <c r="BTH11" s="53"/>
      <c r="BTI11" s="53"/>
      <c r="BTJ11" s="53"/>
      <c r="BTK11" s="53"/>
      <c r="BTL11" s="53"/>
      <c r="BTM11" s="53"/>
      <c r="BTN11" s="53"/>
      <c r="BTO11" s="53"/>
      <c r="BTP11" s="53"/>
      <c r="BTQ11" s="53"/>
      <c r="BTR11" s="53"/>
      <c r="BTS11" s="53"/>
      <c r="BTT11" s="53"/>
      <c r="BTU11" s="53"/>
      <c r="BTV11" s="53"/>
      <c r="BTW11" s="53"/>
      <c r="BTX11" s="53"/>
      <c r="BTY11" s="53"/>
      <c r="BTZ11" s="53"/>
      <c r="BUA11" s="53"/>
      <c r="BUB11" s="53"/>
      <c r="BUC11" s="53"/>
      <c r="BUD11" s="53"/>
      <c r="BUE11" s="53"/>
      <c r="BUF11" s="53"/>
      <c r="BUG11" s="53"/>
      <c r="BUH11" s="53"/>
      <c r="BUI11" s="53"/>
      <c r="BUJ11" s="53"/>
      <c r="BUK11" s="53"/>
      <c r="BUL11" s="53"/>
      <c r="BUM11" s="53"/>
      <c r="BUN11" s="53"/>
      <c r="BUO11" s="53"/>
      <c r="BUP11" s="53"/>
      <c r="BUQ11" s="53"/>
      <c r="BUR11" s="53"/>
      <c r="BUS11" s="53"/>
      <c r="BUT11" s="53"/>
      <c r="BUU11" s="53"/>
      <c r="BUV11" s="53"/>
      <c r="BUW11" s="53"/>
      <c r="BUX11" s="53"/>
      <c r="BUY11" s="53"/>
      <c r="BUZ11" s="53"/>
      <c r="BVA11" s="53"/>
      <c r="BVB11" s="53"/>
      <c r="BVC11" s="53"/>
      <c r="BVD11" s="53"/>
      <c r="BVE11" s="53"/>
      <c r="BVF11" s="53"/>
      <c r="BVG11" s="53"/>
      <c r="BVH11" s="53"/>
      <c r="BVI11" s="53"/>
      <c r="BVJ11" s="53"/>
      <c r="BVK11" s="53"/>
      <c r="BVL11" s="53"/>
      <c r="BVM11" s="53"/>
      <c r="BVN11" s="53"/>
      <c r="BVO11" s="53"/>
      <c r="BVP11" s="53"/>
      <c r="BVQ11" s="53"/>
      <c r="BVR11" s="53"/>
      <c r="BVS11" s="53"/>
      <c r="BVT11" s="53"/>
      <c r="BVU11" s="53"/>
      <c r="BVV11" s="53"/>
      <c r="BVW11" s="53"/>
      <c r="BVX11" s="53"/>
      <c r="BVY11" s="53"/>
      <c r="BVZ11" s="53"/>
      <c r="BWA11" s="53"/>
      <c r="BWB11" s="53"/>
      <c r="BWC11" s="53"/>
      <c r="BWD11" s="53"/>
      <c r="BWE11" s="53"/>
      <c r="BWF11" s="53"/>
      <c r="BWG11" s="53"/>
      <c r="BWH11" s="53"/>
      <c r="BWI11" s="53"/>
      <c r="BWJ11" s="53"/>
      <c r="BWK11" s="53"/>
      <c r="BWL11" s="53"/>
      <c r="BWM11" s="53"/>
      <c r="BWN11" s="53"/>
      <c r="BWO11" s="53"/>
      <c r="BWP11" s="53"/>
      <c r="BWQ11" s="53"/>
      <c r="BWR11" s="53"/>
      <c r="BWS11" s="53"/>
      <c r="BWT11" s="53"/>
      <c r="BWU11" s="53"/>
      <c r="BWV11" s="53"/>
      <c r="BWW11" s="53"/>
      <c r="BWX11" s="53"/>
      <c r="BWY11" s="53"/>
      <c r="BWZ11" s="53"/>
      <c r="BXA11" s="53"/>
      <c r="BXB11" s="53"/>
      <c r="BXC11" s="53"/>
      <c r="BXD11" s="53"/>
      <c r="BXE11" s="53"/>
      <c r="BXF11" s="53"/>
      <c r="BXG11" s="53"/>
      <c r="BXH11" s="53"/>
      <c r="BXI11" s="53"/>
      <c r="BXJ11" s="53"/>
      <c r="BXK11" s="53"/>
      <c r="BXL11" s="53"/>
      <c r="BXM11" s="53"/>
      <c r="BXN11" s="53"/>
      <c r="BXO11" s="53"/>
      <c r="BXP11" s="53"/>
      <c r="BXQ11" s="53"/>
      <c r="BXR11" s="53"/>
      <c r="BXS11" s="53"/>
      <c r="BXT11" s="53"/>
      <c r="BXU11" s="53"/>
      <c r="BXV11" s="53"/>
      <c r="BXW11" s="53"/>
      <c r="BXX11" s="53"/>
      <c r="BXY11" s="53"/>
      <c r="BXZ11" s="53"/>
      <c r="BYA11" s="53"/>
      <c r="BYB11" s="53"/>
      <c r="BYC11" s="53"/>
      <c r="BYD11" s="53"/>
      <c r="BYE11" s="53"/>
      <c r="BYF11" s="53"/>
      <c r="BYG11" s="53"/>
      <c r="BYH11" s="53"/>
      <c r="BYI11" s="53"/>
      <c r="BYJ11" s="53"/>
      <c r="BYK11" s="53"/>
      <c r="BYL11" s="53"/>
      <c r="BYM11" s="53"/>
      <c r="BYN11" s="53"/>
      <c r="BYO11" s="53"/>
      <c r="BYP11" s="53"/>
      <c r="BYQ11" s="53"/>
      <c r="BYR11" s="53"/>
      <c r="BYS11" s="53"/>
      <c r="BYT11" s="53"/>
      <c r="BYU11" s="53"/>
      <c r="BYV11" s="53"/>
      <c r="BYW11" s="53"/>
      <c r="BYX11" s="53"/>
      <c r="BYY11" s="53"/>
      <c r="BYZ11" s="53"/>
      <c r="BZA11" s="53"/>
      <c r="BZB11" s="53"/>
      <c r="BZC11" s="53"/>
      <c r="BZD11" s="53"/>
      <c r="BZE11" s="53"/>
      <c r="BZF11" s="53"/>
      <c r="BZG11" s="53"/>
      <c r="BZH11" s="53"/>
      <c r="BZI11" s="53"/>
      <c r="BZJ11" s="53"/>
      <c r="BZK11" s="53"/>
      <c r="BZL11" s="53"/>
      <c r="BZM11" s="53"/>
      <c r="BZN11" s="53"/>
      <c r="BZO11" s="53"/>
      <c r="BZP11" s="53"/>
      <c r="BZQ11" s="53"/>
      <c r="BZR11" s="53"/>
      <c r="BZS11" s="53"/>
      <c r="BZT11" s="53"/>
      <c r="BZU11" s="53"/>
      <c r="BZV11" s="53"/>
      <c r="BZW11" s="53"/>
      <c r="BZX11" s="53"/>
      <c r="BZY11" s="53"/>
      <c r="BZZ11" s="53"/>
      <c r="CAA11" s="53"/>
      <c r="CAB11" s="53"/>
      <c r="CAC11" s="53"/>
      <c r="CAD11" s="53"/>
      <c r="CAE11" s="53"/>
      <c r="CAF11" s="53"/>
      <c r="CAG11" s="53"/>
      <c r="CAH11" s="53"/>
      <c r="CAI11" s="53"/>
      <c r="CAJ11" s="53"/>
      <c r="CAK11" s="53"/>
      <c r="CAL11" s="53"/>
      <c r="CAM11" s="53"/>
      <c r="CAN11" s="53"/>
      <c r="CAO11" s="53"/>
      <c r="CAP11" s="53"/>
      <c r="CAQ11" s="53"/>
      <c r="CAR11" s="53"/>
      <c r="CAS11" s="53"/>
      <c r="CAT11" s="53"/>
      <c r="CAU11" s="53"/>
      <c r="CAV11" s="53"/>
      <c r="CAW11" s="53"/>
      <c r="CAX11" s="53"/>
      <c r="CAY11" s="53"/>
      <c r="CAZ11" s="53"/>
      <c r="CBA11" s="53"/>
      <c r="CBB11" s="53"/>
      <c r="CBC11" s="53"/>
      <c r="CBD11" s="53"/>
      <c r="CBE11" s="53"/>
      <c r="CBF11" s="53"/>
      <c r="CBG11" s="53"/>
      <c r="CBH11" s="53"/>
      <c r="CBI11" s="53"/>
      <c r="CBJ11" s="53"/>
      <c r="CBK11" s="53"/>
      <c r="CBL11" s="53"/>
      <c r="CBM11" s="53"/>
      <c r="CBN11" s="53"/>
      <c r="CBO11" s="53"/>
      <c r="CBP11" s="53"/>
      <c r="CBQ11" s="53"/>
      <c r="CBR11" s="53"/>
      <c r="CBS11" s="53"/>
      <c r="CBT11" s="53"/>
      <c r="CBU11" s="53"/>
      <c r="CBV11" s="53"/>
      <c r="CBW11" s="53"/>
      <c r="CBX11" s="53"/>
      <c r="CBY11" s="53"/>
      <c r="CBZ11" s="53"/>
      <c r="CCA11" s="53"/>
      <c r="CCB11" s="53"/>
      <c r="CCC11" s="53"/>
      <c r="CCD11" s="53"/>
      <c r="CCE11" s="53"/>
      <c r="CCF11" s="53"/>
      <c r="CCG11" s="53"/>
      <c r="CCH11" s="53"/>
      <c r="CCI11" s="53"/>
      <c r="CCJ11" s="53"/>
      <c r="CCK11" s="53"/>
      <c r="CCL11" s="53"/>
      <c r="CCM11" s="53"/>
      <c r="CCN11" s="53"/>
      <c r="CCO11" s="53"/>
      <c r="CCP11" s="53"/>
      <c r="CCQ11" s="53"/>
      <c r="CCR11" s="53"/>
      <c r="CCS11" s="53"/>
      <c r="CCT11" s="53"/>
      <c r="CCU11" s="53"/>
      <c r="CCV11" s="53"/>
      <c r="CCW11" s="53"/>
      <c r="CCX11" s="53"/>
      <c r="CCY11" s="53"/>
      <c r="CCZ11" s="53"/>
      <c r="CDA11" s="53"/>
      <c r="CDB11" s="53"/>
      <c r="CDC11" s="53"/>
      <c r="CDD11" s="53"/>
      <c r="CDE11" s="53"/>
      <c r="CDF11" s="53"/>
      <c r="CDG11" s="53"/>
      <c r="CDH11" s="53"/>
      <c r="CDI11" s="53"/>
      <c r="CDJ11" s="53"/>
      <c r="CDK11" s="53"/>
      <c r="CDL11" s="53"/>
      <c r="CDM11" s="53"/>
      <c r="CDN11" s="53"/>
      <c r="CDO11" s="53"/>
      <c r="CDP11" s="53"/>
      <c r="CDQ11" s="53"/>
      <c r="CDR11" s="53"/>
      <c r="CDS11" s="53"/>
      <c r="CDT11" s="53"/>
      <c r="CDU11" s="53"/>
      <c r="CDV11" s="53"/>
      <c r="CDW11" s="53"/>
      <c r="CDX11" s="53"/>
      <c r="CDY11" s="53"/>
      <c r="CDZ11" s="53"/>
      <c r="CEA11" s="53"/>
      <c r="CEB11" s="53"/>
      <c r="CEC11" s="53"/>
      <c r="CED11" s="53"/>
      <c r="CEE11" s="53"/>
      <c r="CEF11" s="53"/>
      <c r="CEG11" s="53"/>
      <c r="CEH11" s="53"/>
      <c r="CEI11" s="53"/>
      <c r="CEJ11" s="53"/>
      <c r="CEK11" s="53"/>
      <c r="CEL11" s="53"/>
      <c r="CEM11" s="53"/>
      <c r="CEN11" s="53"/>
      <c r="CEO11" s="53"/>
      <c r="CEP11" s="53"/>
      <c r="CEQ11" s="53"/>
      <c r="CER11" s="53"/>
      <c r="CES11" s="53"/>
      <c r="CET11" s="53"/>
      <c r="CEU11" s="53"/>
      <c r="CEV11" s="53"/>
      <c r="CEW11" s="53"/>
      <c r="CEX11" s="53"/>
      <c r="CEY11" s="53"/>
      <c r="CEZ11" s="53"/>
      <c r="CFA11" s="53"/>
      <c r="CFB11" s="53"/>
      <c r="CFC11" s="53"/>
      <c r="CFD11" s="53"/>
      <c r="CFE11" s="53"/>
      <c r="CFF11" s="53"/>
      <c r="CFG11" s="53"/>
      <c r="CFH11" s="53"/>
      <c r="CFI11" s="53"/>
      <c r="CFJ11" s="53"/>
      <c r="CFK11" s="53"/>
      <c r="CFL11" s="53"/>
      <c r="CFM11" s="53"/>
      <c r="CFN11" s="53"/>
      <c r="CFO11" s="53"/>
      <c r="CFP11" s="53"/>
      <c r="CFQ11" s="53"/>
      <c r="CFR11" s="53"/>
      <c r="CFS11" s="53"/>
      <c r="CFT11" s="53"/>
      <c r="CFU11" s="53"/>
      <c r="CFV11" s="53"/>
      <c r="CFW11" s="53"/>
      <c r="CFX11" s="53"/>
      <c r="CFY11" s="53"/>
      <c r="CFZ11" s="53"/>
      <c r="CGA11" s="53"/>
      <c r="CGB11" s="53"/>
      <c r="CGC11" s="53"/>
      <c r="CGD11" s="53"/>
      <c r="CGE11" s="53"/>
      <c r="CGF11" s="53"/>
      <c r="CGG11" s="53"/>
      <c r="CGH11" s="53"/>
      <c r="CGI11" s="53"/>
      <c r="CGJ11" s="53"/>
      <c r="CGK11" s="53"/>
      <c r="CGL11" s="53"/>
      <c r="CGM11" s="53"/>
      <c r="CGN11" s="53"/>
      <c r="CGO11" s="53"/>
      <c r="CGP11" s="53"/>
      <c r="CGQ11" s="53"/>
      <c r="CGR11" s="53"/>
      <c r="CGS11" s="53"/>
      <c r="CGT11" s="53"/>
      <c r="CGU11" s="53"/>
      <c r="CGV11" s="53"/>
      <c r="CGW11" s="53"/>
      <c r="CGX11" s="53"/>
      <c r="CGY11" s="53"/>
      <c r="CGZ11" s="53"/>
      <c r="CHA11" s="53"/>
      <c r="CHB11" s="53"/>
      <c r="CHC11" s="53"/>
      <c r="CHD11" s="53"/>
      <c r="CHE11" s="53"/>
      <c r="CHF11" s="53"/>
      <c r="CHG11" s="53"/>
      <c r="CHH11" s="53"/>
      <c r="CHI11" s="53"/>
      <c r="CHJ11" s="53"/>
      <c r="CHK11" s="53"/>
      <c r="CHL11" s="53"/>
      <c r="CHM11" s="53"/>
      <c r="CHN11" s="53"/>
      <c r="CHO11" s="53"/>
      <c r="CHP11" s="53"/>
      <c r="CHQ11" s="53"/>
      <c r="CHR11" s="53"/>
      <c r="CHS11" s="53"/>
      <c r="CHT11" s="53"/>
      <c r="CHU11" s="53"/>
      <c r="CHV11" s="53"/>
      <c r="CHW11" s="53"/>
      <c r="CHX11" s="53"/>
      <c r="CHY11" s="53"/>
      <c r="CHZ11" s="53"/>
      <c r="CIA11" s="53"/>
      <c r="CIB11" s="53"/>
      <c r="CIC11" s="53"/>
      <c r="CID11" s="53"/>
      <c r="CIE11" s="53"/>
      <c r="CIF11" s="53"/>
      <c r="CIG11" s="53"/>
      <c r="CIH11" s="53"/>
      <c r="CII11" s="53"/>
      <c r="CIJ11" s="53"/>
      <c r="CIK11" s="53"/>
      <c r="CIL11" s="53"/>
      <c r="CIM11" s="53"/>
      <c r="CIN11" s="53"/>
      <c r="CIO11" s="53"/>
      <c r="CIP11" s="53"/>
      <c r="CIQ11" s="53"/>
      <c r="CIR11" s="53"/>
      <c r="CIS11" s="53"/>
      <c r="CIT11" s="53"/>
      <c r="CIU11" s="53"/>
      <c r="CIV11" s="53"/>
      <c r="CIW11" s="53"/>
      <c r="CIX11" s="53"/>
      <c r="CIY11" s="53"/>
      <c r="CIZ11" s="53"/>
      <c r="CJA11" s="53"/>
      <c r="CJB11" s="53"/>
      <c r="CJC11" s="53"/>
      <c r="CJD11" s="53"/>
      <c r="CJE11" s="53"/>
      <c r="CJF11" s="53"/>
      <c r="CJG11" s="53"/>
      <c r="CJH11" s="53"/>
      <c r="CJI11" s="53"/>
      <c r="CJJ11" s="53"/>
      <c r="CJK11" s="53"/>
      <c r="CJL11" s="53"/>
      <c r="CJM11" s="53"/>
      <c r="CJN11" s="53"/>
      <c r="CJO11" s="53"/>
      <c r="CJP11" s="53"/>
      <c r="CJQ11" s="53"/>
      <c r="CJR11" s="53"/>
      <c r="CJS11" s="53"/>
      <c r="CJT11" s="53"/>
      <c r="CJU11" s="53"/>
      <c r="CJV11" s="53"/>
      <c r="CJW11" s="53"/>
      <c r="CJX11" s="53"/>
      <c r="CJY11" s="53"/>
      <c r="CJZ11" s="53"/>
      <c r="CKA11" s="53"/>
      <c r="CKB11" s="53"/>
      <c r="CKC11" s="53"/>
      <c r="CKD11" s="53"/>
      <c r="CKE11" s="53"/>
      <c r="CKF11" s="53"/>
      <c r="CKG11" s="53"/>
      <c r="CKH11" s="53"/>
      <c r="CKI11" s="53"/>
      <c r="CKJ11" s="53"/>
      <c r="CKK11" s="53"/>
      <c r="CKL11" s="53"/>
      <c r="CKM11" s="53"/>
      <c r="CKN11" s="53"/>
      <c r="CKO11" s="53"/>
      <c r="CKP11" s="53"/>
      <c r="CKQ11" s="53"/>
      <c r="CKR11" s="53"/>
      <c r="CKS11" s="53"/>
      <c r="CKT11" s="53"/>
      <c r="CKU11" s="53"/>
      <c r="CKV11" s="53"/>
      <c r="CKW11" s="53"/>
      <c r="CKX11" s="53"/>
      <c r="CKY11" s="53"/>
      <c r="CKZ11" s="53"/>
      <c r="CLA11" s="53"/>
      <c r="CLB11" s="53"/>
      <c r="CLC11" s="53"/>
      <c r="CLD11" s="53"/>
      <c r="CLE11" s="53"/>
      <c r="CLF11" s="53"/>
      <c r="CLG11" s="53"/>
      <c r="CLH11" s="53"/>
      <c r="CLI11" s="53"/>
      <c r="CLJ11" s="53"/>
      <c r="CLK11" s="53"/>
      <c r="CLL11" s="53"/>
      <c r="CLM11" s="53"/>
      <c r="CLN11" s="53"/>
      <c r="CLO11" s="53"/>
      <c r="CLP11" s="53"/>
      <c r="CLQ11" s="53"/>
      <c r="CLR11" s="53"/>
      <c r="CLS11" s="53"/>
      <c r="CLT11" s="53"/>
      <c r="CLU11" s="53"/>
      <c r="CLV11" s="53"/>
      <c r="CLW11" s="53"/>
      <c r="CLX11" s="53"/>
      <c r="CLY11" s="53"/>
      <c r="CLZ11" s="53"/>
      <c r="CMA11" s="53"/>
      <c r="CMB11" s="53"/>
      <c r="CMC11" s="53"/>
      <c r="CMD11" s="53"/>
      <c r="CME11" s="53"/>
      <c r="CMF11" s="53"/>
      <c r="CMG11" s="53"/>
      <c r="CMH11" s="53"/>
      <c r="CMI11" s="53"/>
      <c r="CMJ11" s="53"/>
      <c r="CMK11" s="53"/>
      <c r="CML11" s="53"/>
      <c r="CMM11" s="53"/>
      <c r="CMN11" s="53"/>
      <c r="CMO11" s="53"/>
      <c r="CMP11" s="53"/>
      <c r="CMQ11" s="53"/>
      <c r="CMR11" s="53"/>
      <c r="CMS11" s="53"/>
      <c r="CMT11" s="53"/>
      <c r="CMU11" s="53"/>
      <c r="CMV11" s="53"/>
      <c r="CMW11" s="53"/>
      <c r="CMX11" s="53"/>
      <c r="CMY11" s="53"/>
      <c r="CMZ11" s="53"/>
      <c r="CNA11" s="53"/>
      <c r="CNB11" s="53"/>
      <c r="CNC11" s="53"/>
      <c r="CND11" s="53"/>
      <c r="CNE11" s="53"/>
      <c r="CNF11" s="53"/>
      <c r="CNG11" s="53"/>
      <c r="CNH11" s="53"/>
      <c r="CNI11" s="53"/>
      <c r="CNJ11" s="53"/>
      <c r="CNK11" s="53"/>
      <c r="CNL11" s="53"/>
      <c r="CNM11" s="53"/>
      <c r="CNN11" s="53"/>
      <c r="CNO11" s="53"/>
      <c r="CNP11" s="53"/>
      <c r="CNQ11" s="53"/>
      <c r="CNR11" s="53"/>
      <c r="CNS11" s="53"/>
      <c r="CNT11" s="53"/>
      <c r="CNU11" s="53"/>
      <c r="CNV11" s="53"/>
      <c r="CNW11" s="53"/>
      <c r="CNX11" s="53"/>
      <c r="CNY11" s="53"/>
      <c r="CNZ11" s="53"/>
      <c r="COA11" s="53"/>
      <c r="COB11" s="53"/>
      <c r="COC11" s="53"/>
      <c r="COD11" s="53"/>
      <c r="COE11" s="53"/>
      <c r="COF11" s="53"/>
      <c r="COG11" s="53"/>
      <c r="COH11" s="53"/>
      <c r="COI11" s="53"/>
      <c r="COJ11" s="53"/>
      <c r="COK11" s="53"/>
      <c r="COL11" s="53"/>
      <c r="COM11" s="53"/>
      <c r="CON11" s="53"/>
      <c r="COO11" s="53"/>
      <c r="COP11" s="53"/>
      <c r="COQ11" s="53"/>
      <c r="COR11" s="53"/>
      <c r="COS11" s="53"/>
      <c r="COT11" s="53"/>
      <c r="COU11" s="53"/>
      <c r="COV11" s="53"/>
      <c r="COW11" s="53"/>
      <c r="COX11" s="53"/>
      <c r="COY11" s="53"/>
      <c r="COZ11" s="53"/>
      <c r="CPA11" s="53"/>
      <c r="CPB11" s="53"/>
      <c r="CPC11" s="53"/>
      <c r="CPD11" s="53"/>
      <c r="CPE11" s="53"/>
      <c r="CPF11" s="53"/>
      <c r="CPG11" s="53"/>
      <c r="CPH11" s="53"/>
      <c r="CPI11" s="53"/>
      <c r="CPJ11" s="53"/>
      <c r="CPK11" s="53"/>
      <c r="CPL11" s="53"/>
      <c r="CPM11" s="53"/>
      <c r="CPN11" s="53"/>
      <c r="CPO11" s="53"/>
      <c r="CPP11" s="53"/>
      <c r="CPQ11" s="53"/>
      <c r="CPR11" s="53"/>
      <c r="CPS11" s="53"/>
      <c r="CPT11" s="53"/>
      <c r="CPU11" s="53"/>
      <c r="CPV11" s="53"/>
      <c r="CPW11" s="53"/>
      <c r="CPX11" s="53"/>
      <c r="CPY11" s="53"/>
      <c r="CPZ11" s="53"/>
      <c r="CQA11" s="53"/>
      <c r="CQB11" s="53"/>
      <c r="CQC11" s="53"/>
      <c r="CQD11" s="53"/>
      <c r="CQE11" s="53"/>
      <c r="CQF11" s="53"/>
      <c r="CQG11" s="53"/>
      <c r="CQH11" s="53"/>
      <c r="CQI11" s="53"/>
      <c r="CQJ11" s="53"/>
      <c r="CQK11" s="53"/>
      <c r="CQL11" s="53"/>
      <c r="CQM11" s="53"/>
      <c r="CQN11" s="53"/>
      <c r="CQO11" s="53"/>
      <c r="CQP11" s="53"/>
      <c r="CQQ11" s="53"/>
      <c r="CQR11" s="53"/>
      <c r="CQS11" s="53"/>
      <c r="CQT11" s="53"/>
      <c r="CQU11" s="53"/>
      <c r="CQV11" s="53"/>
      <c r="CQW11" s="53"/>
      <c r="CQX11" s="53"/>
      <c r="CQY11" s="53"/>
      <c r="CQZ11" s="53"/>
      <c r="CRA11" s="53"/>
      <c r="CRB11" s="53"/>
      <c r="CRC11" s="53"/>
      <c r="CRD11" s="53"/>
      <c r="CRE11" s="53"/>
      <c r="CRF11" s="53"/>
      <c r="CRG11" s="53"/>
      <c r="CRH11" s="53"/>
      <c r="CRI11" s="53"/>
      <c r="CRJ11" s="53"/>
      <c r="CRK11" s="53"/>
      <c r="CRL11" s="53"/>
      <c r="CRM11" s="53"/>
      <c r="CRN11" s="53"/>
      <c r="CRO11" s="53"/>
      <c r="CRP11" s="53"/>
      <c r="CRQ11" s="53"/>
      <c r="CRR11" s="53"/>
      <c r="CRS11" s="53"/>
      <c r="CRT11" s="53"/>
      <c r="CRU11" s="53"/>
      <c r="CRV11" s="53"/>
      <c r="CRW11" s="53"/>
      <c r="CRX11" s="53"/>
      <c r="CRY11" s="53"/>
      <c r="CRZ11" s="53"/>
      <c r="CSA11" s="53"/>
      <c r="CSB11" s="53"/>
      <c r="CSC11" s="53"/>
      <c r="CSD11" s="53"/>
      <c r="CSE11" s="53"/>
      <c r="CSF11" s="53"/>
      <c r="CSG11" s="53"/>
      <c r="CSH11" s="53"/>
      <c r="CSI11" s="53"/>
      <c r="CSJ11" s="53"/>
      <c r="CSK11" s="53"/>
      <c r="CSL11" s="53"/>
      <c r="CSM11" s="53"/>
      <c r="CSN11" s="53"/>
      <c r="CSO11" s="53"/>
      <c r="CSP11" s="53"/>
      <c r="CSQ11" s="53"/>
      <c r="CSR11" s="53"/>
      <c r="CSS11" s="53"/>
      <c r="CST11" s="53"/>
      <c r="CSU11" s="53"/>
      <c r="CSV11" s="53"/>
      <c r="CSW11" s="53"/>
      <c r="CSX11" s="53"/>
      <c r="CSY11" s="53"/>
      <c r="CSZ11" s="53"/>
      <c r="CTA11" s="53"/>
      <c r="CTB11" s="53"/>
      <c r="CTC11" s="53"/>
      <c r="CTD11" s="53"/>
      <c r="CTE11" s="53"/>
      <c r="CTF11" s="53"/>
      <c r="CTG11" s="53"/>
      <c r="CTH11" s="53"/>
      <c r="CTI11" s="53"/>
      <c r="CTJ11" s="53"/>
      <c r="CTK11" s="53"/>
      <c r="CTL11" s="53"/>
      <c r="CTM11" s="53"/>
      <c r="CTN11" s="53"/>
      <c r="CTO11" s="53"/>
      <c r="CTP11" s="53"/>
      <c r="CTQ11" s="53"/>
      <c r="CTR11" s="53"/>
      <c r="CTS11" s="53"/>
      <c r="CTT11" s="53"/>
      <c r="CTU11" s="53"/>
      <c r="CTV11" s="53"/>
      <c r="CTW11" s="53"/>
      <c r="CTX11" s="53"/>
      <c r="CTY11" s="53"/>
      <c r="CTZ11" s="53"/>
      <c r="CUA11" s="53"/>
      <c r="CUB11" s="53"/>
      <c r="CUC11" s="53"/>
      <c r="CUD11" s="53"/>
      <c r="CUE11" s="53"/>
      <c r="CUF11" s="53"/>
      <c r="CUG11" s="53"/>
      <c r="CUH11" s="53"/>
      <c r="CUI11" s="53"/>
      <c r="CUJ11" s="53"/>
      <c r="CUK11" s="53"/>
      <c r="CUL11" s="53"/>
      <c r="CUM11" s="53"/>
      <c r="CUN11" s="53"/>
      <c r="CUO11" s="53"/>
      <c r="CUP11" s="53"/>
      <c r="CUQ11" s="53"/>
      <c r="CUR11" s="53"/>
      <c r="CUS11" s="53"/>
      <c r="CUT11" s="53"/>
      <c r="CUU11" s="53"/>
      <c r="CUV11" s="53"/>
      <c r="CUW11" s="53"/>
      <c r="CUX11" s="53"/>
      <c r="CUY11" s="53"/>
      <c r="CUZ11" s="53"/>
      <c r="CVA11" s="53"/>
      <c r="CVB11" s="53"/>
      <c r="CVC11" s="53"/>
      <c r="CVD11" s="53"/>
      <c r="CVE11" s="53"/>
      <c r="CVF11" s="53"/>
      <c r="CVG11" s="53"/>
      <c r="CVH11" s="53"/>
      <c r="CVI11" s="53"/>
      <c r="CVJ11" s="53"/>
      <c r="CVK11" s="53"/>
      <c r="CVL11" s="53"/>
      <c r="CVM11" s="53"/>
      <c r="CVN11" s="53"/>
      <c r="CVO11" s="53"/>
      <c r="CVP11" s="53"/>
      <c r="CVQ11" s="53"/>
      <c r="CVR11" s="53"/>
      <c r="CVS11" s="53"/>
      <c r="CVT11" s="53"/>
      <c r="CVU11" s="53"/>
      <c r="CVV11" s="53"/>
      <c r="CVW11" s="53"/>
      <c r="CVX11" s="53"/>
      <c r="CVY11" s="53"/>
      <c r="CVZ11" s="53"/>
      <c r="CWA11" s="53"/>
      <c r="CWB11" s="53"/>
      <c r="CWC11" s="53"/>
      <c r="CWD11" s="53"/>
      <c r="CWE11" s="53"/>
      <c r="CWF11" s="53"/>
      <c r="CWG11" s="53"/>
      <c r="CWH11" s="53"/>
      <c r="CWI11" s="53"/>
      <c r="CWJ11" s="53"/>
      <c r="CWK11" s="53"/>
      <c r="CWL11" s="53"/>
      <c r="CWM11" s="53"/>
      <c r="CWN11" s="53"/>
      <c r="CWO11" s="53"/>
      <c r="CWP11" s="53"/>
      <c r="CWQ11" s="53"/>
      <c r="CWR11" s="53"/>
      <c r="CWS11" s="53"/>
      <c r="CWT11" s="53"/>
      <c r="CWU11" s="53"/>
      <c r="CWV11" s="53"/>
      <c r="CWW11" s="53"/>
      <c r="CWX11" s="53"/>
      <c r="CWY11" s="53"/>
      <c r="CWZ11" s="53"/>
      <c r="CXA11" s="53"/>
      <c r="CXB11" s="53"/>
      <c r="CXC11" s="53"/>
      <c r="CXD11" s="53"/>
      <c r="CXE11" s="53"/>
      <c r="CXF11" s="53"/>
      <c r="CXG11" s="53"/>
      <c r="CXH11" s="53"/>
      <c r="CXI11" s="53"/>
      <c r="CXJ11" s="53"/>
      <c r="CXK11" s="53"/>
      <c r="CXL11" s="53"/>
      <c r="CXM11" s="53"/>
      <c r="CXN11" s="53"/>
      <c r="CXO11" s="53"/>
      <c r="CXP11" s="53"/>
      <c r="CXQ11" s="53"/>
      <c r="CXR11" s="53"/>
      <c r="CXS11" s="53"/>
      <c r="CXT11" s="53"/>
      <c r="CXU11" s="53"/>
      <c r="CXV11" s="53"/>
      <c r="CXW11" s="53"/>
      <c r="CXX11" s="53"/>
      <c r="CXY11" s="53"/>
      <c r="CXZ11" s="53"/>
      <c r="CYA11" s="53"/>
      <c r="CYB11" s="53"/>
      <c r="CYC11" s="53"/>
      <c r="CYD11" s="53"/>
      <c r="CYE11" s="53"/>
      <c r="CYF11" s="53"/>
      <c r="CYG11" s="53"/>
      <c r="CYH11" s="53"/>
      <c r="CYI11" s="53"/>
      <c r="CYJ11" s="53"/>
      <c r="CYK11" s="53"/>
      <c r="CYL11" s="53"/>
      <c r="CYM11" s="53"/>
      <c r="CYN11" s="53"/>
      <c r="CYO11" s="53"/>
      <c r="CYP11" s="53"/>
      <c r="CYQ11" s="53"/>
      <c r="CYR11" s="53"/>
      <c r="CYS11" s="53"/>
      <c r="CYT11" s="53"/>
      <c r="CYU11" s="53"/>
      <c r="CYV11" s="53"/>
      <c r="CYW11" s="53"/>
      <c r="CYX11" s="53"/>
      <c r="CYY11" s="53"/>
      <c r="CYZ11" s="53"/>
      <c r="CZA11" s="53"/>
      <c r="CZB11" s="53"/>
      <c r="CZC11" s="53"/>
      <c r="CZD11" s="53"/>
      <c r="CZE11" s="53"/>
      <c r="CZF11" s="53"/>
      <c r="CZG11" s="53"/>
      <c r="CZH11" s="53"/>
      <c r="CZI11" s="53"/>
      <c r="CZJ11" s="53"/>
      <c r="CZK11" s="53"/>
      <c r="CZL11" s="53"/>
      <c r="CZM11" s="53"/>
      <c r="CZN11" s="53"/>
      <c r="CZO11" s="53"/>
      <c r="CZP11" s="53"/>
      <c r="CZQ11" s="53"/>
      <c r="CZR11" s="53"/>
      <c r="CZS11" s="53"/>
      <c r="CZT11" s="53"/>
      <c r="CZU11" s="53"/>
      <c r="CZV11" s="53"/>
      <c r="CZW11" s="53"/>
      <c r="CZX11" s="53"/>
      <c r="CZY11" s="53"/>
      <c r="CZZ11" s="53"/>
      <c r="DAA11" s="53"/>
      <c r="DAB11" s="53"/>
      <c r="DAC11" s="53"/>
      <c r="DAD11" s="53"/>
      <c r="DAE11" s="53"/>
      <c r="DAF11" s="53"/>
      <c r="DAG11" s="53"/>
      <c r="DAH11" s="53"/>
      <c r="DAI11" s="53"/>
      <c r="DAJ11" s="53"/>
      <c r="DAK11" s="53"/>
      <c r="DAL11" s="53"/>
      <c r="DAM11" s="53"/>
      <c r="DAN11" s="53"/>
      <c r="DAO11" s="53"/>
      <c r="DAP11" s="53"/>
      <c r="DAQ11" s="53"/>
      <c r="DAR11" s="53"/>
      <c r="DAS11" s="53"/>
      <c r="DAT11" s="53"/>
      <c r="DAU11" s="53"/>
      <c r="DAV11" s="53"/>
      <c r="DAW11" s="53"/>
      <c r="DAX11" s="53"/>
      <c r="DAY11" s="53"/>
      <c r="DAZ11" s="53"/>
      <c r="DBA11" s="53"/>
      <c r="DBB11" s="53"/>
      <c r="DBC11" s="53"/>
      <c r="DBD11" s="53"/>
      <c r="DBE11" s="53"/>
      <c r="DBF11" s="53"/>
      <c r="DBG11" s="53"/>
      <c r="DBH11" s="53"/>
      <c r="DBI11" s="53"/>
      <c r="DBJ11" s="53"/>
      <c r="DBK11" s="53"/>
      <c r="DBL11" s="53"/>
      <c r="DBM11" s="53"/>
      <c r="DBN11" s="53"/>
      <c r="DBO11" s="53"/>
      <c r="DBP11" s="53"/>
      <c r="DBQ11" s="53"/>
      <c r="DBR11" s="53"/>
      <c r="DBS11" s="53"/>
      <c r="DBT11" s="53"/>
      <c r="DBU11" s="53"/>
      <c r="DBV11" s="53"/>
      <c r="DBW11" s="53"/>
      <c r="DBX11" s="53"/>
      <c r="DBY11" s="53"/>
      <c r="DBZ11" s="53"/>
      <c r="DCA11" s="53"/>
      <c r="DCB11" s="53"/>
      <c r="DCC11" s="53"/>
      <c r="DCD11" s="53"/>
      <c r="DCE11" s="53"/>
      <c r="DCF11" s="53"/>
      <c r="DCG11" s="53"/>
      <c r="DCH11" s="53"/>
      <c r="DCI11" s="53"/>
      <c r="DCJ11" s="53"/>
      <c r="DCK11" s="53"/>
      <c r="DCL11" s="53"/>
      <c r="DCM11" s="53"/>
      <c r="DCN11" s="53"/>
      <c r="DCO11" s="53"/>
      <c r="DCP11" s="53"/>
      <c r="DCQ11" s="53"/>
      <c r="DCR11" s="53"/>
      <c r="DCS11" s="53"/>
      <c r="DCT11" s="53"/>
      <c r="DCU11" s="53"/>
      <c r="DCV11" s="53"/>
      <c r="DCW11" s="53"/>
      <c r="DCX11" s="53"/>
      <c r="DCY11" s="53"/>
      <c r="DCZ11" s="53"/>
      <c r="DDA11" s="53"/>
      <c r="DDB11" s="53"/>
      <c r="DDC11" s="53"/>
      <c r="DDD11" s="53"/>
      <c r="DDE11" s="53"/>
      <c r="DDF11" s="53"/>
      <c r="DDG11" s="53"/>
      <c r="DDH11" s="53"/>
      <c r="DDI11" s="53"/>
      <c r="DDJ11" s="53"/>
      <c r="DDK11" s="53"/>
      <c r="DDL11" s="53"/>
      <c r="DDM11" s="53"/>
      <c r="DDN11" s="53"/>
      <c r="DDO11" s="53"/>
      <c r="DDP11" s="53"/>
      <c r="DDQ11" s="53"/>
      <c r="DDR11" s="53"/>
      <c r="DDS11" s="53"/>
      <c r="DDT11" s="53"/>
      <c r="DDU11" s="53"/>
      <c r="DDV11" s="53"/>
      <c r="DDW11" s="53"/>
      <c r="DDX11" s="53"/>
      <c r="DDY11" s="53"/>
      <c r="DDZ11" s="53"/>
      <c r="DEA11" s="53"/>
      <c r="DEB11" s="53"/>
      <c r="DEC11" s="53"/>
      <c r="DED11" s="53"/>
      <c r="DEE11" s="53"/>
      <c r="DEF11" s="53"/>
      <c r="DEG11" s="53"/>
      <c r="DEH11" s="53"/>
      <c r="DEI11" s="53"/>
      <c r="DEJ11" s="53"/>
      <c r="DEK11" s="53"/>
      <c r="DEL11" s="53"/>
      <c r="DEM11" s="53"/>
      <c r="DEN11" s="53"/>
      <c r="DEO11" s="53"/>
      <c r="DEP11" s="53"/>
      <c r="DEQ11" s="53"/>
      <c r="DER11" s="53"/>
      <c r="DES11" s="53"/>
      <c r="DET11" s="53"/>
      <c r="DEU11" s="53"/>
      <c r="DEV11" s="53"/>
      <c r="DEW11" s="53"/>
      <c r="DEX11" s="53"/>
      <c r="DEY11" s="53"/>
      <c r="DEZ11" s="53"/>
      <c r="DFA11" s="53"/>
      <c r="DFB11" s="53"/>
      <c r="DFC11" s="53"/>
      <c r="DFD11" s="53"/>
      <c r="DFE11" s="53"/>
      <c r="DFF11" s="53"/>
      <c r="DFG11" s="53"/>
      <c r="DFH11" s="53"/>
      <c r="DFI11" s="53"/>
      <c r="DFJ11" s="53"/>
      <c r="DFK11" s="53"/>
      <c r="DFL11" s="53"/>
      <c r="DFM11" s="53"/>
      <c r="DFN11" s="53"/>
      <c r="DFO11" s="53"/>
      <c r="DFP11" s="53"/>
      <c r="DFQ11" s="53"/>
      <c r="DFR11" s="53"/>
      <c r="DFS11" s="53"/>
      <c r="DFT11" s="53"/>
      <c r="DFU11" s="53"/>
      <c r="DFV11" s="53"/>
      <c r="DFW11" s="53"/>
      <c r="DFX11" s="53"/>
      <c r="DFY11" s="53"/>
      <c r="DFZ11" s="53"/>
      <c r="DGA11" s="53"/>
      <c r="DGB11" s="53"/>
      <c r="DGC11" s="53"/>
      <c r="DGD11" s="53"/>
      <c r="DGE11" s="53"/>
      <c r="DGF11" s="53"/>
      <c r="DGG11" s="53"/>
      <c r="DGH11" s="53"/>
      <c r="DGI11" s="53"/>
      <c r="DGJ11" s="53"/>
      <c r="DGK11" s="53"/>
      <c r="DGL11" s="53"/>
      <c r="DGM11" s="53"/>
      <c r="DGN11" s="53"/>
      <c r="DGO11" s="53"/>
      <c r="DGP11" s="53"/>
      <c r="DGQ11" s="53"/>
      <c r="DGR11" s="53"/>
      <c r="DGS11" s="53"/>
      <c r="DGT11" s="53"/>
      <c r="DGU11" s="53"/>
      <c r="DGV11" s="53"/>
      <c r="DGW11" s="53"/>
      <c r="DGX11" s="53"/>
      <c r="DGY11" s="53"/>
      <c r="DGZ11" s="53"/>
      <c r="DHA11" s="53"/>
      <c r="DHB11" s="53"/>
      <c r="DHC11" s="53"/>
      <c r="DHD11" s="53"/>
      <c r="DHE11" s="53"/>
      <c r="DHF11" s="53"/>
      <c r="DHG11" s="53"/>
      <c r="DHH11" s="53"/>
      <c r="DHI11" s="53"/>
      <c r="DHJ11" s="53"/>
      <c r="DHK11" s="53"/>
      <c r="DHL11" s="53"/>
      <c r="DHM11" s="53"/>
      <c r="DHN11" s="53"/>
      <c r="DHO11" s="53"/>
      <c r="DHP11" s="53"/>
      <c r="DHQ11" s="53"/>
      <c r="DHR11" s="53"/>
      <c r="DHS11" s="53"/>
      <c r="DHT11" s="53"/>
      <c r="DHU11" s="53"/>
      <c r="DHV11" s="53"/>
      <c r="DHW11" s="53"/>
      <c r="DHX11" s="53"/>
      <c r="DHY11" s="53"/>
      <c r="DHZ11" s="53"/>
      <c r="DIA11" s="53"/>
      <c r="DIB11" s="53"/>
      <c r="DIC11" s="53"/>
      <c r="DID11" s="53"/>
      <c r="DIE11" s="53"/>
      <c r="DIF11" s="53"/>
      <c r="DIG11" s="53"/>
      <c r="DIH11" s="53"/>
      <c r="DII11" s="53"/>
      <c r="DIJ11" s="53"/>
      <c r="DIK11" s="53"/>
      <c r="DIL11" s="53"/>
      <c r="DIM11" s="53"/>
      <c r="DIN11" s="53"/>
      <c r="DIO11" s="53"/>
      <c r="DIP11" s="53"/>
      <c r="DIQ11" s="53"/>
      <c r="DIR11" s="53"/>
      <c r="DIS11" s="53"/>
      <c r="DIT11" s="53"/>
      <c r="DIU11" s="53"/>
      <c r="DIV11" s="53"/>
      <c r="DIW11" s="53"/>
      <c r="DIX11" s="53"/>
      <c r="DIY11" s="53"/>
      <c r="DIZ11" s="53"/>
      <c r="DJA11" s="53"/>
      <c r="DJB11" s="53"/>
      <c r="DJC11" s="53"/>
      <c r="DJD11" s="53"/>
      <c r="DJE11" s="53"/>
      <c r="DJF11" s="53"/>
      <c r="DJG11" s="53"/>
      <c r="DJH11" s="53"/>
      <c r="DJI11" s="53"/>
      <c r="DJJ11" s="53"/>
      <c r="DJK11" s="53"/>
      <c r="DJL11" s="53"/>
      <c r="DJM11" s="53"/>
      <c r="DJN11" s="53"/>
      <c r="DJO11" s="53"/>
      <c r="DJP11" s="53"/>
      <c r="DJQ11" s="53"/>
      <c r="DJR11" s="53"/>
      <c r="DJS11" s="53"/>
      <c r="DJT11" s="53"/>
      <c r="DJU11" s="53"/>
      <c r="DJV11" s="53"/>
      <c r="DJW11" s="53"/>
      <c r="DJX11" s="53"/>
      <c r="DJY11" s="53"/>
      <c r="DJZ11" s="53"/>
      <c r="DKA11" s="53"/>
      <c r="DKB11" s="53"/>
      <c r="DKC11" s="53"/>
      <c r="DKD11" s="53"/>
      <c r="DKE11" s="53"/>
      <c r="DKF11" s="53"/>
      <c r="DKG11" s="53"/>
      <c r="DKH11" s="53"/>
      <c r="DKI11" s="53"/>
      <c r="DKJ11" s="53"/>
      <c r="DKK11" s="53"/>
      <c r="DKL11" s="53"/>
      <c r="DKM11" s="53"/>
      <c r="DKN11" s="53"/>
      <c r="DKO11" s="53"/>
      <c r="DKP11" s="53"/>
      <c r="DKQ11" s="53"/>
      <c r="DKR11" s="53"/>
      <c r="DKS11" s="53"/>
      <c r="DKT11" s="53"/>
      <c r="DKU11" s="53"/>
      <c r="DKV11" s="53"/>
      <c r="DKW11" s="53"/>
      <c r="DKX11" s="53"/>
      <c r="DKY11" s="53"/>
      <c r="DKZ11" s="53"/>
      <c r="DLA11" s="53"/>
      <c r="DLB11" s="53"/>
      <c r="DLC11" s="53"/>
      <c r="DLD11" s="53"/>
      <c r="DLE11" s="53"/>
      <c r="DLF11" s="53"/>
      <c r="DLG11" s="53"/>
      <c r="DLH11" s="53"/>
      <c r="DLI11" s="53"/>
      <c r="DLJ11" s="53"/>
      <c r="DLK11" s="53"/>
      <c r="DLL11" s="53"/>
      <c r="DLM11" s="53"/>
      <c r="DLN11" s="53"/>
      <c r="DLO11" s="53"/>
      <c r="DLP11" s="53"/>
      <c r="DLQ11" s="53"/>
      <c r="DLR11" s="53"/>
      <c r="DLS11" s="53"/>
      <c r="DLT11" s="53"/>
      <c r="DLU11" s="53"/>
      <c r="DLV11" s="53"/>
      <c r="DLW11" s="53"/>
      <c r="DLX11" s="53"/>
      <c r="DLY11" s="53"/>
      <c r="DLZ11" s="53"/>
      <c r="DMA11" s="53"/>
      <c r="DMB11" s="53"/>
      <c r="DMC11" s="53"/>
      <c r="DMD11" s="53"/>
      <c r="DME11" s="53"/>
      <c r="DMF11" s="53"/>
      <c r="DMG11" s="53"/>
      <c r="DMH11" s="53"/>
      <c r="DMI11" s="53"/>
      <c r="DMJ11" s="53"/>
      <c r="DMK11" s="53"/>
      <c r="DML11" s="53"/>
      <c r="DMM11" s="53"/>
      <c r="DMN11" s="53"/>
      <c r="DMO11" s="53"/>
      <c r="DMP11" s="53"/>
      <c r="DMQ11" s="53"/>
      <c r="DMR11" s="53"/>
      <c r="DMS11" s="53"/>
      <c r="DMT11" s="53"/>
      <c r="DMU11" s="53"/>
      <c r="DMV11" s="53"/>
      <c r="DMW11" s="53"/>
      <c r="DMX11" s="53"/>
      <c r="DMY11" s="53"/>
      <c r="DMZ11" s="53"/>
      <c r="DNA11" s="53"/>
      <c r="DNB11" s="53"/>
      <c r="DNC11" s="53"/>
      <c r="DND11" s="53"/>
      <c r="DNE11" s="53"/>
      <c r="DNF11" s="53"/>
      <c r="DNG11" s="53"/>
      <c r="DNH11" s="53"/>
      <c r="DNI11" s="53"/>
      <c r="DNJ11" s="53"/>
      <c r="DNK11" s="53"/>
      <c r="DNL11" s="53"/>
      <c r="DNM11" s="53"/>
      <c r="DNN11" s="53"/>
      <c r="DNO11" s="53"/>
      <c r="DNP11" s="53"/>
      <c r="DNQ11" s="53"/>
      <c r="DNR11" s="53"/>
      <c r="DNS11" s="53"/>
      <c r="DNT11" s="53"/>
      <c r="DNU11" s="53"/>
      <c r="DNV11" s="53"/>
      <c r="DNW11" s="53"/>
      <c r="DNX11" s="53"/>
      <c r="DNY11" s="53"/>
      <c r="DNZ11" s="53"/>
      <c r="DOA11" s="53"/>
      <c r="DOB11" s="53"/>
      <c r="DOC11" s="53"/>
      <c r="DOD11" s="53"/>
      <c r="DOE11" s="53"/>
      <c r="DOF11" s="53"/>
      <c r="DOG11" s="53"/>
      <c r="DOH11" s="53"/>
      <c r="DOI11" s="53"/>
      <c r="DOJ11" s="53"/>
      <c r="DOK11" s="53"/>
      <c r="DOL11" s="53"/>
      <c r="DOM11" s="53"/>
      <c r="DON11" s="53"/>
      <c r="DOO11" s="53"/>
      <c r="DOP11" s="53"/>
      <c r="DOQ11" s="53"/>
      <c r="DOR11" s="53"/>
      <c r="DOS11" s="53"/>
      <c r="DOT11" s="53"/>
      <c r="DOU11" s="53"/>
      <c r="DOV11" s="53"/>
      <c r="DOW11" s="53"/>
      <c r="DOX11" s="53"/>
      <c r="DOY11" s="53"/>
      <c r="DOZ11" s="53"/>
      <c r="DPA11" s="53"/>
      <c r="DPB11" s="53"/>
      <c r="DPC11" s="53"/>
      <c r="DPD11" s="53"/>
      <c r="DPE11" s="53"/>
      <c r="DPF11" s="53"/>
      <c r="DPG11" s="53"/>
      <c r="DPH11" s="53"/>
      <c r="DPI11" s="53"/>
      <c r="DPJ11" s="53"/>
      <c r="DPK11" s="53"/>
      <c r="DPL11" s="53"/>
      <c r="DPM11" s="53"/>
      <c r="DPN11" s="53"/>
      <c r="DPO11" s="53"/>
      <c r="DPP11" s="53"/>
      <c r="DPQ11" s="53"/>
      <c r="DPR11" s="53"/>
      <c r="DPS11" s="53"/>
      <c r="DPT11" s="53"/>
      <c r="DPU11" s="53"/>
      <c r="DPV11" s="53"/>
      <c r="DPW11" s="53"/>
      <c r="DPX11" s="53"/>
      <c r="DPY11" s="53"/>
      <c r="DPZ11" s="53"/>
      <c r="DQA11" s="53"/>
      <c r="DQB11" s="53"/>
      <c r="DQC11" s="53"/>
      <c r="DQD11" s="53"/>
      <c r="DQE11" s="53"/>
      <c r="DQF11" s="53"/>
      <c r="DQG11" s="53"/>
      <c r="DQH11" s="53"/>
      <c r="DQI11" s="53"/>
      <c r="DQJ11" s="53"/>
      <c r="DQK11" s="53"/>
      <c r="DQL11" s="53"/>
      <c r="DQM11" s="53"/>
      <c r="DQN11" s="53"/>
      <c r="DQO11" s="53"/>
      <c r="DQP11" s="53"/>
      <c r="DQQ11" s="53"/>
      <c r="DQR11" s="53"/>
      <c r="DQS11" s="53"/>
      <c r="DQT11" s="53"/>
      <c r="DQU11" s="53"/>
      <c r="DQV11" s="53"/>
      <c r="DQW11" s="53"/>
      <c r="DQX11" s="53"/>
      <c r="DQY11" s="53"/>
      <c r="DQZ11" s="53"/>
      <c r="DRA11" s="53"/>
      <c r="DRB11" s="53"/>
      <c r="DRC11" s="53"/>
      <c r="DRD11" s="53"/>
      <c r="DRE11" s="53"/>
      <c r="DRF11" s="53"/>
      <c r="DRG11" s="53"/>
      <c r="DRH11" s="53"/>
      <c r="DRI11" s="53"/>
      <c r="DRJ11" s="53"/>
      <c r="DRK11" s="53"/>
      <c r="DRL11" s="53"/>
      <c r="DRM11" s="53"/>
      <c r="DRN11" s="53"/>
      <c r="DRO11" s="53"/>
      <c r="DRP11" s="53"/>
      <c r="DRQ11" s="53"/>
      <c r="DRR11" s="53"/>
      <c r="DRS11" s="53"/>
      <c r="DRT11" s="53"/>
      <c r="DRU11" s="53"/>
      <c r="DRV11" s="53"/>
      <c r="DRW11" s="53"/>
      <c r="DRX11" s="53"/>
      <c r="DRY11" s="53"/>
      <c r="DRZ11" s="53"/>
      <c r="DSA11" s="53"/>
      <c r="DSB11" s="53"/>
      <c r="DSC11" s="53"/>
      <c r="DSD11" s="53"/>
      <c r="DSE11" s="53"/>
      <c r="DSF11" s="53"/>
      <c r="DSG11" s="53"/>
      <c r="DSH11" s="53"/>
      <c r="DSI11" s="53"/>
      <c r="DSJ11" s="53"/>
      <c r="DSK11" s="53"/>
      <c r="DSL11" s="53"/>
      <c r="DSM11" s="53"/>
      <c r="DSN11" s="53"/>
      <c r="DSO11" s="53"/>
      <c r="DSP11" s="53"/>
      <c r="DSQ11" s="53"/>
      <c r="DSR11" s="53"/>
      <c r="DSS11" s="53"/>
      <c r="DST11" s="53"/>
      <c r="DSU11" s="53"/>
      <c r="DSV11" s="53"/>
      <c r="DSW11" s="53"/>
      <c r="DSX11" s="53"/>
      <c r="DSY11" s="53"/>
      <c r="DSZ11" s="53"/>
      <c r="DTA11" s="53"/>
      <c r="DTB11" s="53"/>
      <c r="DTC11" s="53"/>
      <c r="DTD11" s="53"/>
      <c r="DTE11" s="53"/>
      <c r="DTF11" s="53"/>
      <c r="DTG11" s="53"/>
      <c r="DTH11" s="53"/>
      <c r="DTI11" s="53"/>
      <c r="DTJ11" s="53"/>
      <c r="DTK11" s="53"/>
      <c r="DTL11" s="53"/>
      <c r="DTM11" s="53"/>
      <c r="DTN11" s="53"/>
      <c r="DTO11" s="53"/>
      <c r="DTP11" s="53"/>
      <c r="DTQ11" s="53"/>
      <c r="DTR11" s="53"/>
      <c r="DTS11" s="53"/>
      <c r="DTT11" s="53"/>
      <c r="DTU11" s="53"/>
      <c r="DTV11" s="53"/>
      <c r="DTW11" s="53"/>
      <c r="DTX11" s="53"/>
      <c r="DTY11" s="53"/>
      <c r="DTZ11" s="53"/>
      <c r="DUA11" s="53"/>
      <c r="DUB11" s="53"/>
      <c r="DUC11" s="53"/>
      <c r="DUD11" s="53"/>
      <c r="DUE11" s="53"/>
      <c r="DUF11" s="53"/>
      <c r="DUG11" s="53"/>
      <c r="DUH11" s="53"/>
      <c r="DUI11" s="53"/>
      <c r="DUJ11" s="53"/>
      <c r="DUK11" s="53"/>
      <c r="DUL11" s="53"/>
      <c r="DUM11" s="53"/>
      <c r="DUN11" s="53"/>
      <c r="DUO11" s="53"/>
      <c r="DUP11" s="53"/>
      <c r="DUQ11" s="53"/>
      <c r="DUR11" s="53"/>
      <c r="DUS11" s="53"/>
      <c r="DUT11" s="53"/>
      <c r="DUU11" s="53"/>
      <c r="DUV11" s="53"/>
      <c r="DUW11" s="53"/>
      <c r="DUX11" s="53"/>
      <c r="DUY11" s="53"/>
      <c r="DUZ11" s="53"/>
      <c r="DVA11" s="53"/>
      <c r="DVB11" s="53"/>
      <c r="DVC11" s="53"/>
      <c r="DVD11" s="53"/>
      <c r="DVE11" s="53"/>
      <c r="DVF11" s="53"/>
      <c r="DVG11" s="53"/>
      <c r="DVH11" s="53"/>
      <c r="DVI11" s="53"/>
      <c r="DVJ11" s="53"/>
      <c r="DVK11" s="53"/>
      <c r="DVL11" s="53"/>
      <c r="DVM11" s="53"/>
      <c r="DVN11" s="53"/>
      <c r="DVO11" s="53"/>
      <c r="DVP11" s="53"/>
      <c r="DVQ11" s="53"/>
      <c r="DVR11" s="53"/>
      <c r="DVS11" s="53"/>
      <c r="DVT11" s="53"/>
      <c r="DVU11" s="53"/>
      <c r="DVV11" s="53"/>
      <c r="DVW11" s="53"/>
      <c r="DVX11" s="53"/>
      <c r="DVY11" s="53"/>
      <c r="DVZ11" s="53"/>
      <c r="DWA11" s="53"/>
      <c r="DWB11" s="53"/>
      <c r="DWC11" s="53"/>
      <c r="DWD11" s="53"/>
      <c r="DWE11" s="53"/>
      <c r="DWF11" s="53"/>
      <c r="DWG11" s="53"/>
      <c r="DWH11" s="53"/>
      <c r="DWI11" s="53"/>
      <c r="DWJ11" s="53"/>
      <c r="DWK11" s="53"/>
      <c r="DWL11" s="53"/>
      <c r="DWM11" s="53"/>
      <c r="DWN11" s="53"/>
      <c r="DWO11" s="53"/>
      <c r="DWP11" s="53"/>
      <c r="DWQ11" s="53"/>
      <c r="DWR11" s="53"/>
      <c r="DWS11" s="53"/>
      <c r="DWT11" s="53"/>
      <c r="DWU11" s="53"/>
      <c r="DWV11" s="53"/>
      <c r="DWW11" s="53"/>
      <c r="DWX11" s="53"/>
      <c r="DWY11" s="53"/>
      <c r="DWZ11" s="53"/>
      <c r="DXA11" s="53"/>
      <c r="DXB11" s="53"/>
      <c r="DXC11" s="53"/>
      <c r="DXD11" s="53"/>
      <c r="DXE11" s="53"/>
      <c r="DXF11" s="53"/>
      <c r="DXG11" s="53"/>
      <c r="DXH11" s="53"/>
      <c r="DXI11" s="53"/>
      <c r="DXJ11" s="53"/>
      <c r="DXK11" s="53"/>
      <c r="DXL11" s="53"/>
      <c r="DXM11" s="53"/>
      <c r="DXN11" s="53"/>
      <c r="DXO11" s="53"/>
      <c r="DXP11" s="53"/>
      <c r="DXQ11" s="53"/>
      <c r="DXR11" s="53"/>
      <c r="DXS11" s="53"/>
      <c r="DXT11" s="53"/>
      <c r="DXU11" s="53"/>
      <c r="DXV11" s="53"/>
      <c r="DXW11" s="53"/>
      <c r="DXX11" s="53"/>
      <c r="DXY11" s="53"/>
      <c r="DXZ11" s="53"/>
      <c r="DYA11" s="53"/>
      <c r="DYB11" s="53"/>
      <c r="DYC11" s="53"/>
      <c r="DYD11" s="53"/>
      <c r="DYE11" s="53"/>
      <c r="DYF11" s="53"/>
      <c r="DYG11" s="53"/>
      <c r="DYH11" s="53"/>
      <c r="DYI11" s="53"/>
      <c r="DYJ11" s="53"/>
      <c r="DYK11" s="53"/>
      <c r="DYL11" s="53"/>
      <c r="DYM11" s="53"/>
      <c r="DYN11" s="53"/>
      <c r="DYO11" s="53"/>
      <c r="DYP11" s="53"/>
      <c r="DYQ11" s="53"/>
      <c r="DYR11" s="53"/>
      <c r="DYS11" s="53"/>
      <c r="DYT11" s="53"/>
      <c r="DYU11" s="53"/>
      <c r="DYV11" s="53"/>
      <c r="DYW11" s="53"/>
      <c r="DYX11" s="53"/>
      <c r="DYY11" s="53"/>
      <c r="DYZ11" s="53"/>
      <c r="DZA11" s="53"/>
      <c r="DZB11" s="53"/>
      <c r="DZC11" s="53"/>
      <c r="DZD11" s="53"/>
      <c r="DZE11" s="53"/>
      <c r="DZF11" s="53"/>
      <c r="DZG11" s="53"/>
      <c r="DZH11" s="53"/>
      <c r="DZI11" s="53"/>
      <c r="DZJ11" s="53"/>
      <c r="DZK11" s="53"/>
      <c r="DZL11" s="53"/>
      <c r="DZM11" s="53"/>
      <c r="DZN11" s="53"/>
      <c r="DZO11" s="53"/>
      <c r="DZP11" s="53"/>
      <c r="DZQ11" s="53"/>
      <c r="DZR11" s="53"/>
      <c r="DZS11" s="53"/>
      <c r="DZT11" s="53"/>
      <c r="DZU11" s="53"/>
      <c r="DZV11" s="53"/>
      <c r="DZW11" s="53"/>
      <c r="DZX11" s="53"/>
      <c r="DZY11" s="53"/>
      <c r="DZZ11" s="53"/>
      <c r="EAA11" s="53"/>
      <c r="EAB11" s="53"/>
      <c r="EAC11" s="53"/>
      <c r="EAD11" s="53"/>
      <c r="EAE11" s="53"/>
      <c r="EAF11" s="53"/>
      <c r="EAG11" s="53"/>
      <c r="EAH11" s="53"/>
      <c r="EAI11" s="53"/>
      <c r="EAJ11" s="53"/>
      <c r="EAK11" s="53"/>
      <c r="EAL11" s="53"/>
      <c r="EAM11" s="53"/>
      <c r="EAN11" s="53"/>
      <c r="EAO11" s="53"/>
      <c r="EAP11" s="53"/>
      <c r="EAQ11" s="53"/>
      <c r="EAR11" s="53"/>
      <c r="EAS11" s="53"/>
      <c r="EAT11" s="53"/>
      <c r="EAU11" s="53"/>
      <c r="EAV11" s="53"/>
      <c r="EAW11" s="53"/>
      <c r="EAX11" s="53"/>
      <c r="EAY11" s="53"/>
      <c r="EAZ11" s="53"/>
      <c r="EBA11" s="53"/>
      <c r="EBB11" s="53"/>
      <c r="EBC11" s="53"/>
      <c r="EBD11" s="53"/>
      <c r="EBE11" s="53"/>
      <c r="EBF11" s="53"/>
      <c r="EBG11" s="53"/>
      <c r="EBH11" s="53"/>
      <c r="EBI11" s="53"/>
      <c r="EBJ11" s="53"/>
      <c r="EBK11" s="53"/>
      <c r="EBL11" s="53"/>
      <c r="EBM11" s="53"/>
      <c r="EBN11" s="53"/>
      <c r="EBO11" s="53"/>
      <c r="EBP11" s="53"/>
      <c r="EBQ11" s="53"/>
      <c r="EBR11" s="53"/>
      <c r="EBS11" s="53"/>
      <c r="EBT11" s="53"/>
      <c r="EBU11" s="53"/>
      <c r="EBV11" s="53"/>
      <c r="EBW11" s="53"/>
      <c r="EBX11" s="53"/>
      <c r="EBY11" s="53"/>
      <c r="EBZ11" s="53"/>
      <c r="ECA11" s="53"/>
      <c r="ECB11" s="53"/>
      <c r="ECC11" s="53"/>
      <c r="ECD11" s="53"/>
      <c r="ECE11" s="53"/>
      <c r="ECF11" s="53"/>
      <c r="ECG11" s="53"/>
      <c r="ECH11" s="53"/>
      <c r="ECI11" s="53"/>
      <c r="ECJ11" s="53"/>
      <c r="ECK11" s="53"/>
      <c r="ECL11" s="53"/>
      <c r="ECM11" s="53"/>
      <c r="ECN11" s="53"/>
      <c r="ECO11" s="53"/>
      <c r="ECP11" s="53"/>
      <c r="ECQ11" s="53"/>
      <c r="ECR11" s="53"/>
      <c r="ECS11" s="53"/>
      <c r="ECT11" s="53"/>
      <c r="ECU11" s="53"/>
      <c r="ECV11" s="53"/>
      <c r="ECW11" s="53"/>
      <c r="ECX11" s="53"/>
      <c r="ECY11" s="53"/>
      <c r="ECZ11" s="53"/>
      <c r="EDA11" s="53"/>
      <c r="EDB11" s="53"/>
      <c r="EDC11" s="53"/>
      <c r="EDD11" s="53"/>
      <c r="EDE11" s="53"/>
      <c r="EDF11" s="53"/>
      <c r="EDG11" s="53"/>
      <c r="EDH11" s="53"/>
      <c r="EDI11" s="53"/>
      <c r="EDJ11" s="53"/>
      <c r="EDK11" s="53"/>
      <c r="EDL11" s="53"/>
      <c r="EDM11" s="53"/>
      <c r="EDN11" s="53"/>
      <c r="EDO11" s="53"/>
      <c r="EDP11" s="53"/>
      <c r="EDQ11" s="53"/>
      <c r="EDR11" s="53"/>
      <c r="EDS11" s="53"/>
      <c r="EDT11" s="53"/>
      <c r="EDU11" s="53"/>
      <c r="EDV11" s="53"/>
      <c r="EDW11" s="53"/>
      <c r="EDX11" s="53"/>
      <c r="EDY11" s="53"/>
      <c r="EDZ11" s="53"/>
      <c r="EEA11" s="53"/>
      <c r="EEB11" s="53"/>
      <c r="EEC11" s="53"/>
      <c r="EED11" s="53"/>
      <c r="EEE11" s="53"/>
      <c r="EEF11" s="53"/>
      <c r="EEG11" s="53"/>
      <c r="EEH11" s="53"/>
      <c r="EEI11" s="53"/>
      <c r="EEJ11" s="53"/>
      <c r="EEK11" s="53"/>
      <c r="EEL11" s="53"/>
      <c r="EEM11" s="53"/>
      <c r="EEN11" s="53"/>
      <c r="EEO11" s="53"/>
      <c r="EEP11" s="53"/>
      <c r="EEQ11" s="53"/>
      <c r="EER11" s="53"/>
      <c r="EES11" s="53"/>
      <c r="EET11" s="53"/>
      <c r="EEU11" s="53"/>
      <c r="EEV11" s="53"/>
      <c r="EEW11" s="53"/>
      <c r="EEX11" s="53"/>
      <c r="EEY11" s="53"/>
      <c r="EEZ11" s="53"/>
      <c r="EFA11" s="53"/>
      <c r="EFB11" s="53"/>
      <c r="EFC11" s="53"/>
      <c r="EFD11" s="53"/>
      <c r="EFE11" s="53"/>
      <c r="EFF11" s="53"/>
      <c r="EFG11" s="53"/>
      <c r="EFH11" s="53"/>
      <c r="EFI11" s="53"/>
      <c r="EFJ11" s="53"/>
      <c r="EFK11" s="53"/>
      <c r="EFL11" s="53"/>
      <c r="EFM11" s="53"/>
      <c r="EFN11" s="53"/>
      <c r="EFO11" s="53"/>
      <c r="EFP11" s="53"/>
      <c r="EFQ11" s="53"/>
      <c r="EFR11" s="53"/>
      <c r="EFS11" s="53"/>
      <c r="EFT11" s="53"/>
      <c r="EFU11" s="53"/>
      <c r="EFV11" s="53"/>
      <c r="EFW11" s="53"/>
      <c r="EFX11" s="53"/>
      <c r="EFY11" s="53"/>
      <c r="EFZ11" s="53"/>
      <c r="EGA11" s="53"/>
      <c r="EGB11" s="53"/>
      <c r="EGC11" s="53"/>
      <c r="EGD11" s="53"/>
      <c r="EGE11" s="53"/>
      <c r="EGF11" s="53"/>
      <c r="EGG11" s="53"/>
      <c r="EGH11" s="53"/>
      <c r="EGI11" s="53"/>
      <c r="EGJ11" s="53"/>
      <c r="EGK11" s="53"/>
      <c r="EGL11" s="53"/>
      <c r="EGM11" s="53"/>
      <c r="EGN11" s="53"/>
      <c r="EGO11" s="53"/>
      <c r="EGP11" s="53"/>
      <c r="EGQ11" s="53"/>
      <c r="EGR11" s="53"/>
      <c r="EGS11" s="53"/>
      <c r="EGT11" s="53"/>
      <c r="EGU11" s="53"/>
      <c r="EGV11" s="53"/>
      <c r="EGW11" s="53"/>
      <c r="EGX11" s="53"/>
      <c r="EGY11" s="53"/>
      <c r="EGZ11" s="53"/>
      <c r="EHA11" s="53"/>
      <c r="EHB11" s="53"/>
      <c r="EHC11" s="53"/>
      <c r="EHD11" s="53"/>
      <c r="EHE11" s="53"/>
      <c r="EHF11" s="53"/>
      <c r="EHG11" s="53"/>
      <c r="EHH11" s="53"/>
      <c r="EHI11" s="53"/>
      <c r="EHJ11" s="53"/>
      <c r="EHK11" s="53"/>
      <c r="EHL11" s="53"/>
      <c r="EHM11" s="53"/>
      <c r="EHN11" s="53"/>
      <c r="EHO11" s="53"/>
      <c r="EHP11" s="53"/>
      <c r="EHQ11" s="53"/>
      <c r="EHR11" s="53"/>
      <c r="EHS11" s="53"/>
      <c r="EHT11" s="53"/>
      <c r="EHU11" s="53"/>
      <c r="EHV11" s="53"/>
      <c r="EHW11" s="53"/>
      <c r="EHX11" s="53"/>
      <c r="EHY11" s="53"/>
      <c r="EHZ11" s="53"/>
      <c r="EIA11" s="53"/>
      <c r="EIB11" s="53"/>
      <c r="EIC11" s="53"/>
      <c r="EID11" s="53"/>
      <c r="EIE11" s="53"/>
      <c r="EIF11" s="53"/>
      <c r="EIG11" s="53"/>
      <c r="EIH11" s="53"/>
      <c r="EII11" s="53"/>
      <c r="EIJ11" s="53"/>
      <c r="EIK11" s="53"/>
      <c r="EIL11" s="53"/>
      <c r="EIM11" s="53"/>
      <c r="EIN11" s="53"/>
      <c r="EIO11" s="53"/>
      <c r="EIP11" s="53"/>
      <c r="EIQ11" s="53"/>
      <c r="EIR11" s="53"/>
      <c r="EIS11" s="53"/>
      <c r="EIT11" s="53"/>
      <c r="EIU11" s="53"/>
      <c r="EIV11" s="53"/>
      <c r="EIW11" s="53"/>
      <c r="EIX11" s="53"/>
      <c r="EIY11" s="53"/>
      <c r="EIZ11" s="53"/>
      <c r="EJA11" s="53"/>
      <c r="EJB11" s="53"/>
      <c r="EJC11" s="53"/>
      <c r="EJD11" s="53"/>
      <c r="EJE11" s="53"/>
      <c r="EJF11" s="53"/>
      <c r="EJG11" s="53"/>
      <c r="EJH11" s="53"/>
      <c r="EJI11" s="53"/>
      <c r="EJJ11" s="53"/>
      <c r="EJK11" s="53"/>
      <c r="EJL11" s="53"/>
      <c r="EJM11" s="53"/>
      <c r="EJN11" s="53"/>
      <c r="EJO11" s="53"/>
      <c r="EJP11" s="53"/>
      <c r="EJQ11" s="53"/>
      <c r="EJR11" s="53"/>
      <c r="EJS11" s="53"/>
      <c r="EJT11" s="53"/>
      <c r="EJU11" s="53"/>
      <c r="EJV11" s="53"/>
      <c r="EJW11" s="53"/>
      <c r="EJX11" s="53"/>
      <c r="EJY11" s="53"/>
      <c r="EJZ11" s="53"/>
      <c r="EKA11" s="53"/>
      <c r="EKB11" s="53"/>
      <c r="EKC11" s="53"/>
      <c r="EKD11" s="53"/>
      <c r="EKE11" s="53"/>
      <c r="EKF11" s="53"/>
      <c r="EKG11" s="53"/>
      <c r="EKH11" s="53"/>
      <c r="EKI11" s="53"/>
      <c r="EKJ11" s="53"/>
      <c r="EKK11" s="53"/>
      <c r="EKL11" s="53"/>
      <c r="EKM11" s="53"/>
      <c r="EKN11" s="53"/>
      <c r="EKO11" s="53"/>
      <c r="EKP11" s="53"/>
      <c r="EKQ11" s="53"/>
      <c r="EKR11" s="53"/>
      <c r="EKS11" s="53"/>
      <c r="EKT11" s="53"/>
      <c r="EKU11" s="53"/>
      <c r="EKV11" s="53"/>
      <c r="EKW11" s="53"/>
      <c r="EKX11" s="53"/>
      <c r="EKY11" s="53"/>
      <c r="EKZ11" s="53"/>
      <c r="ELA11" s="53"/>
      <c r="ELB11" s="53"/>
      <c r="ELC11" s="53"/>
      <c r="ELD11" s="53"/>
      <c r="ELE11" s="53"/>
      <c r="ELF11" s="53"/>
      <c r="ELG11" s="53"/>
      <c r="ELH11" s="53"/>
      <c r="ELI11" s="53"/>
      <c r="ELJ11" s="53"/>
      <c r="ELK11" s="53"/>
      <c r="ELL11" s="53"/>
      <c r="ELM11" s="53"/>
      <c r="ELN11" s="53"/>
      <c r="ELO11" s="53"/>
      <c r="ELP11" s="53"/>
      <c r="ELQ11" s="53"/>
      <c r="ELR11" s="53"/>
      <c r="ELS11" s="53"/>
      <c r="ELT11" s="53"/>
      <c r="ELU11" s="53"/>
      <c r="ELV11" s="53"/>
      <c r="ELW11" s="53"/>
      <c r="ELX11" s="53"/>
      <c r="ELY11" s="53"/>
      <c r="ELZ11" s="53"/>
      <c r="EMA11" s="53"/>
      <c r="EMB11" s="53"/>
      <c r="EMC11" s="53"/>
      <c r="EMD11" s="53"/>
      <c r="EME11" s="53"/>
      <c r="EMF11" s="53"/>
      <c r="EMG11" s="53"/>
      <c r="EMH11" s="53"/>
      <c r="EMI11" s="53"/>
      <c r="EMJ11" s="53"/>
      <c r="EMK11" s="53"/>
      <c r="EML11" s="53"/>
      <c r="EMM11" s="53"/>
      <c r="EMN11" s="53"/>
      <c r="EMO11" s="53"/>
      <c r="EMP11" s="53"/>
      <c r="EMQ11" s="53"/>
      <c r="EMR11" s="53"/>
      <c r="EMS11" s="53"/>
      <c r="EMT11" s="53"/>
      <c r="EMU11" s="53"/>
      <c r="EMV11" s="53"/>
      <c r="EMW11" s="53"/>
      <c r="EMX11" s="53"/>
      <c r="EMY11" s="53"/>
      <c r="EMZ11" s="53"/>
      <c r="ENA11" s="53"/>
      <c r="ENB11" s="53"/>
      <c r="ENC11" s="53"/>
      <c r="END11" s="53"/>
      <c r="ENE11" s="53"/>
      <c r="ENF11" s="53"/>
      <c r="ENG11" s="53"/>
      <c r="ENH11" s="53"/>
      <c r="ENI11" s="53"/>
      <c r="ENJ11" s="53"/>
      <c r="ENK11" s="53"/>
      <c r="ENL11" s="53"/>
      <c r="ENM11" s="53"/>
      <c r="ENN11" s="53"/>
      <c r="ENO11" s="53"/>
      <c r="ENP11" s="53"/>
      <c r="ENQ11" s="53"/>
      <c r="ENR11" s="53"/>
      <c r="ENS11" s="53"/>
      <c r="ENT11" s="53"/>
      <c r="ENU11" s="53"/>
      <c r="ENV11" s="53"/>
      <c r="ENW11" s="53"/>
      <c r="ENX11" s="53"/>
      <c r="ENY11" s="53"/>
      <c r="ENZ11" s="53"/>
      <c r="EOA11" s="53"/>
      <c r="EOB11" s="53"/>
      <c r="EOC11" s="53"/>
      <c r="EOD11" s="53"/>
      <c r="EOE11" s="53"/>
      <c r="EOF11" s="53"/>
      <c r="EOG11" s="53"/>
      <c r="EOH11" s="53"/>
      <c r="EOI11" s="53"/>
      <c r="EOJ11" s="53"/>
      <c r="EOK11" s="53"/>
      <c r="EOL11" s="53"/>
      <c r="EOM11" s="53"/>
      <c r="EON11" s="53"/>
      <c r="EOO11" s="53"/>
      <c r="EOP11" s="53"/>
      <c r="EOQ11" s="53"/>
      <c r="EOR11" s="53"/>
      <c r="EOS11" s="53"/>
      <c r="EOT11" s="53"/>
      <c r="EOU11" s="53"/>
      <c r="EOV11" s="53"/>
      <c r="EOW11" s="53"/>
      <c r="EOX11" s="53"/>
      <c r="EOY11" s="53"/>
      <c r="EOZ11" s="53"/>
      <c r="EPA11" s="53"/>
      <c r="EPB11" s="53"/>
      <c r="EPC11" s="53"/>
      <c r="EPD11" s="53"/>
      <c r="EPE11" s="53"/>
      <c r="EPF11" s="53"/>
      <c r="EPG11" s="53"/>
      <c r="EPH11" s="53"/>
      <c r="EPI11" s="53"/>
      <c r="EPJ11" s="53"/>
      <c r="EPK11" s="53"/>
      <c r="EPL11" s="53"/>
      <c r="EPM11" s="53"/>
      <c r="EPN11" s="53"/>
      <c r="EPO11" s="53"/>
      <c r="EPP11" s="53"/>
      <c r="EPQ11" s="53"/>
      <c r="EPR11" s="53"/>
      <c r="EPS11" s="53"/>
      <c r="EPT11" s="53"/>
      <c r="EPU11" s="53"/>
      <c r="EPV11" s="53"/>
      <c r="EPW11" s="53"/>
      <c r="EPX11" s="53"/>
      <c r="EPY11" s="53"/>
      <c r="EPZ11" s="53"/>
      <c r="EQA11" s="53"/>
      <c r="EQB11" s="53"/>
      <c r="EQC11" s="53"/>
      <c r="EQD11" s="53"/>
      <c r="EQE11" s="53"/>
      <c r="EQF11" s="53"/>
      <c r="EQG11" s="53"/>
      <c r="EQH11" s="53"/>
      <c r="EQI11" s="53"/>
      <c r="EQJ11" s="53"/>
      <c r="EQK11" s="53"/>
      <c r="EQL11" s="53"/>
      <c r="EQM11" s="53"/>
      <c r="EQN11" s="53"/>
      <c r="EQO11" s="53"/>
      <c r="EQP11" s="53"/>
      <c r="EQQ11" s="53"/>
      <c r="EQR11" s="53"/>
      <c r="EQS11" s="53"/>
      <c r="EQT11" s="53"/>
      <c r="EQU11" s="53"/>
      <c r="EQV11" s="53"/>
      <c r="EQW11" s="53"/>
      <c r="EQX11" s="53"/>
      <c r="EQY11" s="53"/>
      <c r="EQZ11" s="53"/>
      <c r="ERA11" s="53"/>
      <c r="ERB11" s="53"/>
      <c r="ERC11" s="53"/>
      <c r="ERD11" s="53"/>
      <c r="ERE11" s="53"/>
      <c r="ERF11" s="53"/>
      <c r="ERG11" s="53"/>
      <c r="ERH11" s="53"/>
      <c r="ERI11" s="53"/>
      <c r="ERJ11" s="53"/>
      <c r="ERK11" s="53"/>
      <c r="ERL11" s="53"/>
      <c r="ERM11" s="53"/>
      <c r="ERN11" s="53"/>
      <c r="ERO11" s="53"/>
      <c r="ERP11" s="53"/>
      <c r="ERQ11" s="53"/>
      <c r="ERR11" s="53"/>
      <c r="ERS11" s="53"/>
      <c r="ERT11" s="53"/>
      <c r="ERU11" s="53"/>
      <c r="ERV11" s="53"/>
      <c r="ERW11" s="53"/>
      <c r="ERX11" s="53"/>
      <c r="ERY11" s="53"/>
      <c r="ERZ11" s="53"/>
      <c r="ESA11" s="53"/>
      <c r="ESB11" s="53"/>
      <c r="ESC11" s="53"/>
      <c r="ESD11" s="53"/>
      <c r="ESE11" s="53"/>
      <c r="ESF11" s="53"/>
      <c r="ESG11" s="53"/>
      <c r="ESH11" s="53"/>
      <c r="ESI11" s="53"/>
      <c r="ESJ11" s="53"/>
      <c r="ESK11" s="53"/>
      <c r="ESL11" s="53"/>
      <c r="ESM11" s="53"/>
      <c r="ESN11" s="53"/>
      <c r="ESO11" s="53"/>
      <c r="ESP11" s="53"/>
      <c r="ESQ11" s="53"/>
      <c r="ESR11" s="53"/>
      <c r="ESS11" s="53"/>
      <c r="EST11" s="53"/>
      <c r="ESU11" s="53"/>
      <c r="ESV11" s="53"/>
      <c r="ESW11" s="53"/>
      <c r="ESX11" s="53"/>
      <c r="ESY11" s="53"/>
      <c r="ESZ11" s="53"/>
      <c r="ETA11" s="53"/>
      <c r="ETB11" s="53"/>
      <c r="ETC11" s="53"/>
      <c r="ETD11" s="53"/>
      <c r="ETE11" s="53"/>
      <c r="ETF11" s="53"/>
      <c r="ETG11" s="53"/>
      <c r="ETH11" s="53"/>
      <c r="ETI11" s="53"/>
      <c r="ETJ11" s="53"/>
      <c r="ETK11" s="53"/>
      <c r="ETL11" s="53"/>
      <c r="ETM11" s="53"/>
      <c r="ETN11" s="53"/>
      <c r="ETO11" s="53"/>
      <c r="ETP11" s="53"/>
      <c r="ETQ11" s="53"/>
      <c r="ETR11" s="53"/>
      <c r="ETS11" s="53"/>
      <c r="ETT11" s="53"/>
      <c r="ETU11" s="53"/>
      <c r="ETV11" s="53"/>
      <c r="ETW11" s="53"/>
      <c r="ETX11" s="53"/>
      <c r="ETY11" s="53"/>
      <c r="ETZ11" s="53"/>
      <c r="EUA11" s="53"/>
      <c r="EUB11" s="53"/>
      <c r="EUC11" s="53"/>
      <c r="EUD11" s="53"/>
      <c r="EUE11" s="53"/>
      <c r="EUF11" s="53"/>
      <c r="EUG11" s="53"/>
      <c r="EUH11" s="53"/>
      <c r="EUI11" s="53"/>
      <c r="EUJ11" s="53"/>
      <c r="EUK11" s="53"/>
      <c r="EUL11" s="53"/>
      <c r="EUM11" s="53"/>
      <c r="EUN11" s="53"/>
      <c r="EUO11" s="53"/>
      <c r="EUP11" s="53"/>
      <c r="EUQ11" s="53"/>
      <c r="EUR11" s="53"/>
      <c r="EUS11" s="53"/>
      <c r="EUT11" s="53"/>
      <c r="EUU11" s="53"/>
      <c r="EUV11" s="53"/>
      <c r="EUW11" s="53"/>
      <c r="EUX11" s="53"/>
      <c r="EUY11" s="53"/>
      <c r="EUZ11" s="53"/>
      <c r="EVA11" s="53"/>
      <c r="EVB11" s="53"/>
      <c r="EVC11" s="53"/>
      <c r="EVD11" s="53"/>
      <c r="EVE11" s="53"/>
      <c r="EVF11" s="53"/>
      <c r="EVG11" s="53"/>
      <c r="EVH11" s="53"/>
      <c r="EVI11" s="53"/>
      <c r="EVJ11" s="53"/>
      <c r="EVK11" s="53"/>
      <c r="EVL11" s="53"/>
      <c r="EVM11" s="53"/>
      <c r="EVN11" s="53"/>
      <c r="EVO11" s="53"/>
      <c r="EVP11" s="53"/>
      <c r="EVQ11" s="53"/>
      <c r="EVR11" s="53"/>
      <c r="EVS11" s="53"/>
      <c r="EVT11" s="53"/>
      <c r="EVU11" s="53"/>
      <c r="EVV11" s="53"/>
      <c r="EVW11" s="53"/>
      <c r="EVX11" s="53"/>
      <c r="EVY11" s="53"/>
      <c r="EVZ11" s="53"/>
      <c r="EWA11" s="53"/>
      <c r="EWB11" s="53"/>
      <c r="EWC11" s="53"/>
      <c r="EWD11" s="53"/>
      <c r="EWE11" s="53"/>
      <c r="EWF11" s="53"/>
      <c r="EWG11" s="53"/>
      <c r="EWH11" s="53"/>
      <c r="EWI11" s="53"/>
      <c r="EWJ11" s="53"/>
      <c r="EWK11" s="53"/>
      <c r="EWL11" s="53"/>
      <c r="EWM11" s="53"/>
      <c r="EWN11" s="53"/>
      <c r="EWO11" s="53"/>
      <c r="EWP11" s="53"/>
      <c r="EWQ11" s="53"/>
      <c r="EWR11" s="53"/>
      <c r="EWS11" s="53"/>
      <c r="EWT11" s="53"/>
      <c r="EWU11" s="53"/>
      <c r="EWV11" s="53"/>
      <c r="EWW11" s="53"/>
      <c r="EWX11" s="53"/>
      <c r="EWY11" s="53"/>
      <c r="EWZ11" s="53"/>
      <c r="EXA11" s="53"/>
      <c r="EXB11" s="53"/>
      <c r="EXC11" s="53"/>
      <c r="EXD11" s="53"/>
      <c r="EXE11" s="53"/>
      <c r="EXF11" s="53"/>
      <c r="EXG11" s="53"/>
      <c r="EXH11" s="53"/>
      <c r="EXI11" s="53"/>
      <c r="EXJ11" s="53"/>
      <c r="EXK11" s="53"/>
      <c r="EXL11" s="53"/>
      <c r="EXM11" s="53"/>
      <c r="EXN11" s="53"/>
      <c r="EXO11" s="53"/>
      <c r="EXP11" s="53"/>
      <c r="EXQ11" s="53"/>
      <c r="EXR11" s="53"/>
      <c r="EXS11" s="53"/>
      <c r="EXT11" s="53"/>
      <c r="EXU11" s="53"/>
      <c r="EXV11" s="53"/>
      <c r="EXW11" s="53"/>
      <c r="EXX11" s="53"/>
      <c r="EXY11" s="53"/>
      <c r="EXZ11" s="53"/>
      <c r="EYA11" s="53"/>
      <c r="EYB11" s="53"/>
      <c r="EYC11" s="53"/>
      <c r="EYD11" s="53"/>
      <c r="EYE11" s="53"/>
      <c r="EYF11" s="53"/>
      <c r="EYG11" s="53"/>
      <c r="EYH11" s="53"/>
      <c r="EYI11" s="53"/>
      <c r="EYJ11" s="53"/>
      <c r="EYK11" s="53"/>
      <c r="EYL11" s="53"/>
      <c r="EYM11" s="53"/>
      <c r="EYN11" s="53"/>
      <c r="EYO11" s="53"/>
      <c r="EYP11" s="53"/>
      <c r="EYQ11" s="53"/>
      <c r="EYR11" s="53"/>
      <c r="EYS11" s="53"/>
      <c r="EYT11" s="53"/>
      <c r="EYU11" s="53"/>
      <c r="EYV11" s="53"/>
      <c r="EYW11" s="53"/>
      <c r="EYX11" s="53"/>
      <c r="EYY11" s="53"/>
      <c r="EYZ11" s="53"/>
      <c r="EZA11" s="53"/>
      <c r="EZB11" s="53"/>
      <c r="EZC11" s="53"/>
      <c r="EZD11" s="53"/>
      <c r="EZE11" s="53"/>
      <c r="EZF11" s="53"/>
      <c r="EZG11" s="53"/>
      <c r="EZH11" s="53"/>
      <c r="EZI11" s="53"/>
      <c r="EZJ11" s="53"/>
      <c r="EZK11" s="53"/>
      <c r="EZL11" s="53"/>
      <c r="EZM11" s="53"/>
      <c r="EZN11" s="53"/>
      <c r="EZO11" s="53"/>
      <c r="EZP11" s="53"/>
      <c r="EZQ11" s="53"/>
      <c r="EZR11" s="53"/>
      <c r="EZS11" s="53"/>
      <c r="EZT11" s="53"/>
      <c r="EZU11" s="53"/>
      <c r="EZV11" s="53"/>
      <c r="EZW11" s="53"/>
      <c r="EZX11" s="53"/>
      <c r="EZY11" s="53"/>
      <c r="EZZ11" s="53"/>
      <c r="FAA11" s="53"/>
      <c r="FAB11" s="53"/>
      <c r="FAC11" s="53"/>
      <c r="FAD11" s="53"/>
      <c r="FAE11" s="53"/>
      <c r="FAF11" s="53"/>
      <c r="FAG11" s="53"/>
      <c r="FAH11" s="53"/>
      <c r="FAI11" s="53"/>
      <c r="FAJ11" s="53"/>
      <c r="FAK11" s="53"/>
      <c r="FAL11" s="53"/>
      <c r="FAM11" s="53"/>
      <c r="FAN11" s="53"/>
      <c r="FAO11" s="53"/>
      <c r="FAP11" s="53"/>
      <c r="FAQ11" s="53"/>
      <c r="FAR11" s="53"/>
      <c r="FAS11" s="53"/>
      <c r="FAT11" s="53"/>
      <c r="FAU11" s="53"/>
      <c r="FAV11" s="53"/>
      <c r="FAW11" s="53"/>
      <c r="FAX11" s="53"/>
      <c r="FAY11" s="53"/>
      <c r="FAZ11" s="53"/>
      <c r="FBA11" s="53"/>
      <c r="FBB11" s="53"/>
      <c r="FBC11" s="53"/>
      <c r="FBD11" s="53"/>
      <c r="FBE11" s="53"/>
      <c r="FBF11" s="53"/>
      <c r="FBG11" s="53"/>
      <c r="FBH11" s="53"/>
      <c r="FBI11" s="53"/>
      <c r="FBJ11" s="53"/>
      <c r="FBK11" s="53"/>
      <c r="FBL11" s="53"/>
      <c r="FBM11" s="53"/>
      <c r="FBN11" s="53"/>
      <c r="FBO11" s="53"/>
      <c r="FBP11" s="53"/>
      <c r="FBQ11" s="53"/>
      <c r="FBR11" s="53"/>
      <c r="FBS11" s="53"/>
      <c r="FBT11" s="53"/>
      <c r="FBU11" s="53"/>
      <c r="FBV11" s="53"/>
      <c r="FBW11" s="53"/>
      <c r="FBX11" s="53"/>
      <c r="FBY11" s="53"/>
      <c r="FBZ11" s="53"/>
      <c r="FCA11" s="53"/>
      <c r="FCB11" s="53"/>
      <c r="FCC11" s="53"/>
      <c r="FCD11" s="53"/>
      <c r="FCE11" s="53"/>
      <c r="FCF11" s="53"/>
      <c r="FCG11" s="53"/>
      <c r="FCH11" s="53"/>
      <c r="FCI11" s="53"/>
      <c r="FCJ11" s="53"/>
      <c r="FCK11" s="53"/>
      <c r="FCL11" s="53"/>
      <c r="FCM11" s="53"/>
      <c r="FCN11" s="53"/>
      <c r="FCO11" s="53"/>
      <c r="FCP11" s="53"/>
      <c r="FCQ11" s="53"/>
      <c r="FCR11" s="53"/>
      <c r="FCS11" s="53"/>
      <c r="FCT11" s="53"/>
      <c r="FCU11" s="53"/>
      <c r="FCV11" s="53"/>
      <c r="FCW11" s="53"/>
      <c r="FCX11" s="53"/>
      <c r="FCY11" s="53"/>
      <c r="FCZ11" s="53"/>
      <c r="FDA11" s="53"/>
      <c r="FDB11" s="53"/>
      <c r="FDC11" s="53"/>
      <c r="FDD11" s="53"/>
      <c r="FDE11" s="53"/>
      <c r="FDF11" s="53"/>
      <c r="FDG11" s="53"/>
      <c r="FDH11" s="53"/>
      <c r="FDI11" s="53"/>
      <c r="FDJ11" s="53"/>
      <c r="FDK11" s="53"/>
      <c r="FDL11" s="53"/>
      <c r="FDM11" s="53"/>
      <c r="FDN11" s="53"/>
      <c r="FDO11" s="53"/>
      <c r="FDP11" s="53"/>
      <c r="FDQ11" s="53"/>
      <c r="FDR11" s="53"/>
      <c r="FDS11" s="53"/>
      <c r="FDT11" s="53"/>
      <c r="FDU11" s="53"/>
      <c r="FDV11" s="53"/>
      <c r="FDW11" s="53"/>
      <c r="FDX11" s="53"/>
      <c r="FDY11" s="53"/>
      <c r="FDZ11" s="53"/>
      <c r="FEA11" s="53"/>
      <c r="FEB11" s="53"/>
      <c r="FEC11" s="53"/>
      <c r="FED11" s="53"/>
      <c r="FEE11" s="53"/>
      <c r="FEF11" s="53"/>
      <c r="FEG11" s="53"/>
      <c r="FEH11" s="53"/>
      <c r="FEI11" s="53"/>
      <c r="FEJ11" s="53"/>
      <c r="FEK11" s="53"/>
      <c r="FEL11" s="53"/>
      <c r="FEM11" s="53"/>
      <c r="FEN11" s="53"/>
      <c r="FEO11" s="53"/>
      <c r="FEP11" s="53"/>
      <c r="FEQ11" s="53"/>
      <c r="FER11" s="53"/>
      <c r="FES11" s="53"/>
      <c r="FET11" s="53"/>
      <c r="FEU11" s="53"/>
      <c r="FEV11" s="53"/>
      <c r="FEW11" s="53"/>
      <c r="FEX11" s="53"/>
      <c r="FEY11" s="53"/>
      <c r="FEZ11" s="53"/>
      <c r="FFA11" s="53"/>
      <c r="FFB11" s="53"/>
      <c r="FFC11" s="53"/>
      <c r="FFD11" s="53"/>
      <c r="FFE11" s="53"/>
      <c r="FFF11" s="53"/>
      <c r="FFG11" s="53"/>
      <c r="FFH11" s="53"/>
      <c r="FFI11" s="53"/>
      <c r="FFJ11" s="53"/>
      <c r="FFK11" s="53"/>
      <c r="FFL11" s="53"/>
      <c r="FFM11" s="53"/>
      <c r="FFN11" s="53"/>
      <c r="FFO11" s="53"/>
      <c r="FFP11" s="53"/>
      <c r="FFQ11" s="53"/>
      <c r="FFR11" s="53"/>
      <c r="FFS11" s="53"/>
      <c r="FFT11" s="53"/>
      <c r="FFU11" s="53"/>
      <c r="FFV11" s="53"/>
      <c r="FFW11" s="53"/>
      <c r="FFX11" s="53"/>
      <c r="FFY11" s="53"/>
      <c r="FFZ11" s="53"/>
      <c r="FGA11" s="53"/>
      <c r="FGB11" s="53"/>
      <c r="FGC11" s="53"/>
      <c r="FGD11" s="53"/>
      <c r="FGE11" s="53"/>
      <c r="FGF11" s="53"/>
      <c r="FGG11" s="53"/>
      <c r="FGH11" s="53"/>
      <c r="FGI11" s="53"/>
      <c r="FGJ11" s="53"/>
      <c r="FGK11" s="53"/>
      <c r="FGL11" s="53"/>
      <c r="FGM11" s="53"/>
      <c r="FGN11" s="53"/>
      <c r="FGO11" s="53"/>
      <c r="FGP11" s="53"/>
      <c r="FGQ11" s="53"/>
      <c r="FGR11" s="53"/>
      <c r="FGS11" s="53"/>
      <c r="FGT11" s="53"/>
      <c r="FGU11" s="53"/>
      <c r="FGV11" s="53"/>
      <c r="FGW11" s="53"/>
      <c r="FGX11" s="53"/>
      <c r="FGY11" s="53"/>
      <c r="FGZ11" s="53"/>
      <c r="FHA11" s="53"/>
      <c r="FHB11" s="53"/>
      <c r="FHC11" s="53"/>
      <c r="FHD11" s="53"/>
      <c r="FHE11" s="53"/>
      <c r="FHF11" s="53"/>
      <c r="FHG11" s="53"/>
      <c r="FHH11" s="53"/>
      <c r="FHI11" s="53"/>
      <c r="FHJ11" s="53"/>
      <c r="FHK11" s="53"/>
      <c r="FHL11" s="53"/>
      <c r="FHM11" s="53"/>
      <c r="FHN11" s="53"/>
      <c r="FHO11" s="53"/>
      <c r="FHP11" s="53"/>
      <c r="FHQ11" s="53"/>
      <c r="FHR11" s="53"/>
      <c r="FHS11" s="53"/>
      <c r="FHT11" s="53"/>
      <c r="FHU11" s="53"/>
      <c r="FHV11" s="53"/>
      <c r="FHW11" s="53"/>
      <c r="FHX11" s="53"/>
      <c r="FHY11" s="53"/>
      <c r="FHZ11" s="53"/>
      <c r="FIA11" s="53"/>
      <c r="FIB11" s="53"/>
      <c r="FIC11" s="53"/>
      <c r="FID11" s="53"/>
      <c r="FIE11" s="53"/>
      <c r="FIF11" s="53"/>
      <c r="FIG11" s="53"/>
      <c r="FIH11" s="53"/>
      <c r="FII11" s="53"/>
      <c r="FIJ11" s="53"/>
      <c r="FIK11" s="53"/>
      <c r="FIL11" s="53"/>
      <c r="FIM11" s="53"/>
      <c r="FIN11" s="53"/>
      <c r="FIO11" s="53"/>
      <c r="FIP11" s="53"/>
      <c r="FIQ11" s="53"/>
      <c r="FIR11" s="53"/>
      <c r="FIS11" s="53"/>
      <c r="FIT11" s="53"/>
      <c r="FIU11" s="53"/>
      <c r="FIV11" s="53"/>
      <c r="FIW11" s="53"/>
      <c r="FIX11" s="53"/>
      <c r="FIY11" s="53"/>
      <c r="FIZ11" s="53"/>
      <c r="FJA11" s="53"/>
      <c r="FJB11" s="53"/>
      <c r="FJC11" s="53"/>
      <c r="FJD11" s="53"/>
      <c r="FJE11" s="53"/>
      <c r="FJF11" s="53"/>
      <c r="FJG11" s="53"/>
      <c r="FJH11" s="53"/>
      <c r="FJI11" s="53"/>
      <c r="FJJ11" s="53"/>
      <c r="FJK11" s="53"/>
      <c r="FJL11" s="53"/>
      <c r="FJM11" s="53"/>
      <c r="FJN11" s="53"/>
      <c r="FJO11" s="53"/>
      <c r="FJP11" s="53"/>
      <c r="FJQ11" s="53"/>
      <c r="FJR11" s="53"/>
      <c r="FJS11" s="53"/>
      <c r="FJT11" s="53"/>
      <c r="FJU11" s="53"/>
      <c r="FJV11" s="53"/>
      <c r="FJW11" s="53"/>
      <c r="FJX11" s="53"/>
      <c r="FJY11" s="53"/>
      <c r="FJZ11" s="53"/>
      <c r="FKA11" s="53"/>
      <c r="FKB11" s="53"/>
      <c r="FKC11" s="53"/>
      <c r="FKD11" s="53"/>
      <c r="FKE11" s="53"/>
      <c r="FKF11" s="53"/>
      <c r="FKG11" s="53"/>
      <c r="FKH11" s="53"/>
      <c r="FKI11" s="53"/>
      <c r="FKJ11" s="53"/>
      <c r="FKK11" s="53"/>
      <c r="FKL11" s="53"/>
      <c r="FKM11" s="53"/>
      <c r="FKN11" s="53"/>
      <c r="FKO11" s="53"/>
      <c r="FKP11" s="53"/>
      <c r="FKQ11" s="53"/>
      <c r="FKR11" s="53"/>
      <c r="FKS11" s="53"/>
      <c r="FKT11" s="53"/>
      <c r="FKU11" s="53"/>
      <c r="FKV11" s="53"/>
      <c r="FKW11" s="53"/>
      <c r="FKX11" s="53"/>
      <c r="FKY11" s="53"/>
      <c r="FKZ11" s="53"/>
      <c r="FLA11" s="53"/>
      <c r="FLB11" s="53"/>
      <c r="FLC11" s="53"/>
      <c r="FLD11" s="53"/>
      <c r="FLE11" s="53"/>
      <c r="FLF11" s="53"/>
      <c r="FLG11" s="53"/>
      <c r="FLH11" s="53"/>
      <c r="FLI11" s="53"/>
      <c r="FLJ11" s="53"/>
      <c r="FLK11" s="53"/>
      <c r="FLL11" s="53"/>
      <c r="FLM11" s="53"/>
      <c r="FLN11" s="53"/>
      <c r="FLO11" s="53"/>
      <c r="FLP11" s="53"/>
      <c r="FLQ11" s="53"/>
      <c r="FLR11" s="53"/>
      <c r="FLS11" s="53"/>
      <c r="FLT11" s="53"/>
      <c r="FLU11" s="53"/>
      <c r="FLV11" s="53"/>
      <c r="FLW11" s="53"/>
      <c r="FLX11" s="53"/>
      <c r="FLY11" s="53"/>
      <c r="FLZ11" s="53"/>
      <c r="FMA11" s="53"/>
      <c r="FMB11" s="53"/>
      <c r="FMC11" s="53"/>
      <c r="FMD11" s="53"/>
      <c r="FME11" s="53"/>
      <c r="FMF11" s="53"/>
      <c r="FMG11" s="53"/>
      <c r="FMH11" s="53"/>
      <c r="FMI11" s="53"/>
      <c r="FMJ11" s="53"/>
      <c r="FMK11" s="53"/>
      <c r="FML11" s="53"/>
      <c r="FMM11" s="53"/>
      <c r="FMN11" s="53"/>
      <c r="FMO11" s="53"/>
      <c r="FMP11" s="53"/>
      <c r="FMQ11" s="53"/>
      <c r="FMR11" s="53"/>
      <c r="FMS11" s="53"/>
      <c r="FMT11" s="53"/>
      <c r="FMU11" s="53"/>
      <c r="FMV11" s="53"/>
      <c r="FMW11" s="53"/>
      <c r="FMX11" s="53"/>
      <c r="FMY11" s="53"/>
      <c r="FMZ11" s="53"/>
      <c r="FNA11" s="53"/>
      <c r="FNB11" s="53"/>
      <c r="FNC11" s="53"/>
      <c r="FND11" s="53"/>
      <c r="FNE11" s="53"/>
      <c r="FNF11" s="53"/>
      <c r="FNG11" s="53"/>
      <c r="FNH11" s="53"/>
      <c r="FNI11" s="53"/>
      <c r="FNJ11" s="53"/>
      <c r="FNK11" s="53"/>
      <c r="FNL11" s="53"/>
      <c r="FNM11" s="53"/>
      <c r="FNN11" s="53"/>
      <c r="FNO11" s="53"/>
      <c r="FNP11" s="53"/>
      <c r="FNQ11" s="53"/>
      <c r="FNR11" s="53"/>
      <c r="FNS11" s="53"/>
      <c r="FNT11" s="53"/>
      <c r="FNU11" s="53"/>
      <c r="FNV11" s="53"/>
      <c r="FNW11" s="53"/>
      <c r="FNX11" s="53"/>
      <c r="FNY11" s="53"/>
      <c r="FNZ11" s="53"/>
      <c r="FOA11" s="53"/>
      <c r="FOB11" s="53"/>
      <c r="FOC11" s="53"/>
      <c r="FOD11" s="53"/>
      <c r="FOE11" s="53"/>
      <c r="FOF11" s="53"/>
      <c r="FOG11" s="53"/>
      <c r="FOH11" s="53"/>
      <c r="FOI11" s="53"/>
      <c r="FOJ11" s="53"/>
      <c r="FOK11" s="53"/>
      <c r="FOL11" s="53"/>
      <c r="FOM11" s="53"/>
      <c r="FON11" s="53"/>
      <c r="FOO11" s="53"/>
      <c r="FOP11" s="53"/>
      <c r="FOQ11" s="53"/>
      <c r="FOR11" s="53"/>
      <c r="FOS11" s="53"/>
      <c r="FOT11" s="53"/>
      <c r="FOU11" s="53"/>
      <c r="FOV11" s="53"/>
      <c r="FOW11" s="53"/>
      <c r="FOX11" s="53"/>
      <c r="FOY11" s="53"/>
      <c r="FOZ11" s="53"/>
      <c r="FPA11" s="53"/>
      <c r="FPB11" s="53"/>
      <c r="FPC11" s="53"/>
      <c r="FPD11" s="53"/>
      <c r="FPE11" s="53"/>
      <c r="FPF11" s="53"/>
      <c r="FPG11" s="53"/>
      <c r="FPH11" s="53"/>
      <c r="FPI11" s="53"/>
      <c r="FPJ11" s="53"/>
      <c r="FPK11" s="53"/>
      <c r="FPL11" s="53"/>
      <c r="FPM11" s="53"/>
      <c r="FPN11" s="53"/>
      <c r="FPO11" s="53"/>
      <c r="FPP11" s="53"/>
      <c r="FPQ11" s="53"/>
      <c r="FPR11" s="53"/>
      <c r="FPS11" s="53"/>
      <c r="FPT11" s="53"/>
      <c r="FPU11" s="53"/>
      <c r="FPV11" s="53"/>
      <c r="FPW11" s="53"/>
      <c r="FPX11" s="53"/>
      <c r="FPY11" s="53"/>
      <c r="FPZ11" s="53"/>
      <c r="FQA11" s="53"/>
      <c r="FQB11" s="53"/>
      <c r="FQC11" s="53"/>
      <c r="FQD11" s="53"/>
      <c r="FQE11" s="53"/>
      <c r="FQF11" s="53"/>
      <c r="FQG11" s="53"/>
      <c r="FQH11" s="53"/>
      <c r="FQI11" s="53"/>
      <c r="FQJ11" s="53"/>
      <c r="FQK11" s="53"/>
      <c r="FQL11" s="53"/>
      <c r="FQM11" s="53"/>
      <c r="FQN11" s="53"/>
      <c r="FQO11" s="53"/>
      <c r="FQP11" s="53"/>
      <c r="FQQ11" s="53"/>
      <c r="FQR11" s="53"/>
      <c r="FQS11" s="53"/>
      <c r="FQT11" s="53"/>
      <c r="FQU11" s="53"/>
      <c r="FQV11" s="53"/>
      <c r="FQW11" s="53"/>
      <c r="FQX11" s="53"/>
      <c r="FQY11" s="53"/>
      <c r="FQZ11" s="53"/>
      <c r="FRA11" s="53"/>
      <c r="FRB11" s="53"/>
      <c r="FRC11" s="53"/>
      <c r="FRD11" s="53"/>
      <c r="FRE11" s="53"/>
      <c r="FRF11" s="53"/>
      <c r="FRG11" s="53"/>
      <c r="FRH11" s="53"/>
      <c r="FRI11" s="53"/>
      <c r="FRJ11" s="53"/>
      <c r="FRK11" s="53"/>
      <c r="FRL11" s="53"/>
      <c r="FRM11" s="53"/>
      <c r="FRN11" s="53"/>
      <c r="FRO11" s="53"/>
      <c r="FRP11" s="53"/>
      <c r="FRQ11" s="53"/>
      <c r="FRR11" s="53"/>
      <c r="FRS11" s="53"/>
      <c r="FRT11" s="53"/>
      <c r="FRU11" s="53"/>
      <c r="FRV11" s="53"/>
      <c r="FRW11" s="53"/>
      <c r="FRX11" s="53"/>
      <c r="FRY11" s="53"/>
      <c r="FRZ11" s="53"/>
      <c r="FSA11" s="53"/>
      <c r="FSB11" s="53"/>
      <c r="FSC11" s="53"/>
      <c r="FSD11" s="53"/>
      <c r="FSE11" s="53"/>
      <c r="FSF11" s="53"/>
      <c r="FSG11" s="53"/>
      <c r="FSH11" s="53"/>
      <c r="FSI11" s="53"/>
      <c r="FSJ11" s="53"/>
      <c r="FSK11" s="53"/>
      <c r="FSL11" s="53"/>
      <c r="FSM11" s="53"/>
      <c r="FSN11" s="53"/>
      <c r="FSO11" s="53"/>
      <c r="FSP11" s="53"/>
      <c r="FSQ11" s="53"/>
      <c r="FSR11" s="53"/>
      <c r="FSS11" s="53"/>
      <c r="FST11" s="53"/>
      <c r="FSU11" s="53"/>
      <c r="FSV11" s="53"/>
      <c r="FSW11" s="53"/>
      <c r="FSX11" s="53"/>
      <c r="FSY11" s="53"/>
      <c r="FSZ11" s="53"/>
      <c r="FTA11" s="53"/>
      <c r="FTB11" s="53"/>
      <c r="FTC11" s="53"/>
      <c r="FTD11" s="53"/>
      <c r="FTE11" s="53"/>
      <c r="FTF11" s="53"/>
      <c r="FTG11" s="53"/>
      <c r="FTH11" s="53"/>
      <c r="FTI11" s="53"/>
      <c r="FTJ11" s="53"/>
      <c r="FTK11" s="53"/>
      <c r="FTL11" s="53"/>
      <c r="FTM11" s="53"/>
      <c r="FTN11" s="53"/>
      <c r="FTO11" s="53"/>
      <c r="FTP11" s="53"/>
      <c r="FTQ11" s="53"/>
      <c r="FTR11" s="53"/>
      <c r="FTS11" s="53"/>
      <c r="FTT11" s="53"/>
      <c r="FTU11" s="53"/>
      <c r="FTV11" s="53"/>
      <c r="FTW11" s="53"/>
      <c r="FTX11" s="53"/>
      <c r="FTY11" s="53"/>
      <c r="FTZ11" s="53"/>
      <c r="FUA11" s="53"/>
      <c r="FUB11" s="53"/>
      <c r="FUC11" s="53"/>
      <c r="FUD11" s="53"/>
      <c r="FUE11" s="53"/>
      <c r="FUF11" s="53"/>
      <c r="FUG11" s="53"/>
      <c r="FUH11" s="53"/>
      <c r="FUI11" s="53"/>
      <c r="FUJ11" s="53"/>
      <c r="FUK11" s="53"/>
      <c r="FUL11" s="53"/>
      <c r="FUM11" s="53"/>
      <c r="FUN11" s="53"/>
      <c r="FUO11" s="53"/>
      <c r="FUP11" s="53"/>
      <c r="FUQ11" s="53"/>
      <c r="FUR11" s="53"/>
      <c r="FUS11" s="53"/>
      <c r="FUT11" s="53"/>
      <c r="FUU11" s="53"/>
      <c r="FUV11" s="53"/>
      <c r="FUW11" s="53"/>
      <c r="FUX11" s="53"/>
      <c r="FUY11" s="53"/>
      <c r="FUZ11" s="53"/>
      <c r="FVA11" s="53"/>
      <c r="FVB11" s="53"/>
      <c r="FVC11" s="53"/>
      <c r="FVD11" s="53"/>
      <c r="FVE11" s="53"/>
      <c r="FVF11" s="53"/>
      <c r="FVG11" s="53"/>
      <c r="FVH11" s="53"/>
      <c r="FVI11" s="53"/>
      <c r="FVJ11" s="53"/>
      <c r="FVK11" s="53"/>
      <c r="FVL11" s="53"/>
      <c r="FVM11" s="53"/>
      <c r="FVN11" s="53"/>
      <c r="FVO11" s="53"/>
      <c r="FVP11" s="53"/>
      <c r="FVQ11" s="53"/>
      <c r="FVR11" s="53"/>
      <c r="FVS11" s="53"/>
      <c r="FVT11" s="53"/>
      <c r="FVU11" s="53"/>
      <c r="FVV11" s="53"/>
      <c r="FVW11" s="53"/>
      <c r="FVX11" s="53"/>
      <c r="FVY11" s="53"/>
      <c r="FVZ11" s="53"/>
      <c r="FWA11" s="53"/>
      <c r="FWB11" s="53"/>
      <c r="FWC11" s="53"/>
      <c r="FWD11" s="53"/>
      <c r="FWE11" s="53"/>
      <c r="FWF11" s="53"/>
      <c r="FWG11" s="53"/>
      <c r="FWH11" s="53"/>
      <c r="FWI11" s="53"/>
      <c r="FWJ11" s="53"/>
      <c r="FWK11" s="53"/>
      <c r="FWL11" s="53"/>
      <c r="FWM11" s="53"/>
      <c r="FWN11" s="53"/>
      <c r="FWO11" s="53"/>
      <c r="FWP11" s="53"/>
      <c r="FWQ11" s="53"/>
      <c r="FWR11" s="53"/>
      <c r="FWS11" s="53"/>
      <c r="FWT11" s="53"/>
      <c r="FWU11" s="53"/>
      <c r="FWV11" s="53"/>
      <c r="FWW11" s="53"/>
      <c r="FWX11" s="53"/>
      <c r="FWY11" s="53"/>
      <c r="FWZ11" s="53"/>
      <c r="FXA11" s="53"/>
      <c r="FXB11" s="53"/>
      <c r="FXC11" s="53"/>
      <c r="FXD11" s="53"/>
      <c r="FXE11" s="53"/>
      <c r="FXF11" s="53"/>
      <c r="FXG11" s="53"/>
      <c r="FXH11" s="53"/>
      <c r="FXI11" s="53"/>
      <c r="FXJ11" s="53"/>
      <c r="FXK11" s="53"/>
      <c r="FXL11" s="53"/>
      <c r="FXM11" s="53"/>
      <c r="FXN11" s="53"/>
      <c r="FXO11" s="53"/>
      <c r="FXP11" s="53"/>
      <c r="FXQ11" s="53"/>
      <c r="FXR11" s="53"/>
      <c r="FXS11" s="53"/>
      <c r="FXT11" s="53"/>
      <c r="FXU11" s="53"/>
      <c r="FXV11" s="53"/>
      <c r="FXW11" s="53"/>
      <c r="FXX11" s="53"/>
      <c r="FXY11" s="53"/>
      <c r="FXZ11" s="53"/>
      <c r="FYA11" s="53"/>
      <c r="FYB11" s="53"/>
      <c r="FYC11" s="53"/>
      <c r="FYD11" s="53"/>
      <c r="FYE11" s="53"/>
      <c r="FYF11" s="53"/>
      <c r="FYG11" s="53"/>
      <c r="FYH11" s="53"/>
      <c r="FYI11" s="53"/>
      <c r="FYJ11" s="53"/>
      <c r="FYK11" s="53"/>
      <c r="FYL11" s="53"/>
      <c r="FYM11" s="53"/>
      <c r="FYN11" s="53"/>
      <c r="FYO11" s="53"/>
      <c r="FYP11" s="53"/>
      <c r="FYQ11" s="53"/>
      <c r="FYR11" s="53"/>
      <c r="FYS11" s="53"/>
      <c r="FYT11" s="53"/>
      <c r="FYU11" s="53"/>
      <c r="FYV11" s="53"/>
      <c r="FYW11" s="53"/>
      <c r="FYX11" s="53"/>
      <c r="FYY11" s="53"/>
      <c r="FYZ11" s="53"/>
      <c r="FZA11" s="53"/>
      <c r="FZB11" s="53"/>
      <c r="FZC11" s="53"/>
      <c r="FZD11" s="53"/>
      <c r="FZE11" s="53"/>
      <c r="FZF11" s="53"/>
      <c r="FZG11" s="53"/>
      <c r="FZH11" s="53"/>
      <c r="FZI11" s="53"/>
      <c r="FZJ11" s="53"/>
      <c r="FZK11" s="53"/>
      <c r="FZL11" s="53"/>
      <c r="FZM11" s="53"/>
      <c r="FZN11" s="53"/>
      <c r="FZO11" s="53"/>
      <c r="FZP11" s="53"/>
      <c r="FZQ11" s="53"/>
      <c r="FZR11" s="53"/>
      <c r="FZS11" s="53"/>
      <c r="FZT11" s="53"/>
      <c r="FZU11" s="53"/>
      <c r="FZV11" s="53"/>
      <c r="FZW11" s="53"/>
      <c r="FZX11" s="53"/>
      <c r="FZY11" s="53"/>
      <c r="FZZ11" s="53"/>
      <c r="GAA11" s="53"/>
      <c r="GAB11" s="53"/>
      <c r="GAC11" s="53"/>
      <c r="GAD11" s="53"/>
      <c r="GAE11" s="53"/>
      <c r="GAF11" s="53"/>
      <c r="GAG11" s="53"/>
      <c r="GAH11" s="53"/>
      <c r="GAI11" s="53"/>
      <c r="GAJ11" s="53"/>
      <c r="GAK11" s="53"/>
      <c r="GAL11" s="53"/>
      <c r="GAM11" s="53"/>
      <c r="GAN11" s="53"/>
      <c r="GAO11" s="53"/>
      <c r="GAP11" s="53"/>
      <c r="GAQ11" s="53"/>
      <c r="GAR11" s="53"/>
      <c r="GAS11" s="53"/>
      <c r="GAT11" s="53"/>
      <c r="GAU11" s="53"/>
      <c r="GAV11" s="53"/>
      <c r="GAW11" s="53"/>
      <c r="GAX11" s="53"/>
      <c r="GAY11" s="53"/>
      <c r="GAZ11" s="53"/>
      <c r="GBA11" s="53"/>
      <c r="GBB11" s="53"/>
      <c r="GBC11" s="53"/>
      <c r="GBD11" s="53"/>
      <c r="GBE11" s="53"/>
      <c r="GBF11" s="53"/>
      <c r="GBG11" s="53"/>
      <c r="GBH11" s="53"/>
      <c r="GBI11" s="53"/>
      <c r="GBJ11" s="53"/>
      <c r="GBK11" s="53"/>
      <c r="GBL11" s="53"/>
      <c r="GBM11" s="53"/>
      <c r="GBN11" s="53"/>
      <c r="GBO11" s="53"/>
      <c r="GBP11" s="53"/>
      <c r="GBQ11" s="53"/>
      <c r="GBR11" s="53"/>
      <c r="GBS11" s="53"/>
      <c r="GBT11" s="53"/>
      <c r="GBU11" s="53"/>
      <c r="GBV11" s="53"/>
      <c r="GBW11" s="53"/>
      <c r="GBX11" s="53"/>
      <c r="GBY11" s="53"/>
      <c r="GBZ11" s="53"/>
      <c r="GCA11" s="53"/>
      <c r="GCB11" s="53"/>
      <c r="GCC11" s="53"/>
      <c r="GCD11" s="53"/>
      <c r="GCE11" s="53"/>
      <c r="GCF11" s="53"/>
      <c r="GCG11" s="53"/>
      <c r="GCH11" s="53"/>
      <c r="GCI11" s="53"/>
      <c r="GCJ11" s="53"/>
      <c r="GCK11" s="53"/>
      <c r="GCL11" s="53"/>
      <c r="GCM11" s="53"/>
      <c r="GCN11" s="53"/>
      <c r="GCO11" s="53"/>
      <c r="GCP11" s="53"/>
      <c r="GCQ11" s="53"/>
      <c r="GCR11" s="53"/>
      <c r="GCS11" s="53"/>
      <c r="GCT11" s="53"/>
      <c r="GCU11" s="53"/>
      <c r="GCV11" s="53"/>
      <c r="GCW11" s="53"/>
      <c r="GCX11" s="53"/>
      <c r="GCY11" s="53"/>
      <c r="GCZ11" s="53"/>
      <c r="GDA11" s="53"/>
      <c r="GDB11" s="53"/>
      <c r="GDC11" s="53"/>
      <c r="GDD11" s="53"/>
      <c r="GDE11" s="53"/>
      <c r="GDF11" s="53"/>
      <c r="GDG11" s="53"/>
      <c r="GDH11" s="53"/>
      <c r="GDI11" s="53"/>
      <c r="GDJ11" s="53"/>
      <c r="GDK11" s="53"/>
      <c r="GDL11" s="53"/>
      <c r="GDM11" s="53"/>
      <c r="GDN11" s="53"/>
      <c r="GDO11" s="53"/>
      <c r="GDP11" s="53"/>
      <c r="GDQ11" s="53"/>
      <c r="GDR11" s="53"/>
      <c r="GDS11" s="53"/>
      <c r="GDT11" s="53"/>
      <c r="GDU11" s="53"/>
      <c r="GDV11" s="53"/>
      <c r="GDW11" s="53"/>
      <c r="GDX11" s="53"/>
      <c r="GDY11" s="53"/>
      <c r="GDZ11" s="53"/>
      <c r="GEA11" s="53"/>
      <c r="GEB11" s="53"/>
      <c r="GEC11" s="53"/>
      <c r="GED11" s="53"/>
      <c r="GEE11" s="53"/>
      <c r="GEF11" s="53"/>
      <c r="GEG11" s="53"/>
      <c r="GEH11" s="53"/>
      <c r="GEI11" s="53"/>
      <c r="GEJ11" s="53"/>
      <c r="GEK11" s="53"/>
      <c r="GEL11" s="53"/>
      <c r="GEM11" s="53"/>
      <c r="GEN11" s="53"/>
      <c r="GEO11" s="53"/>
      <c r="GEP11" s="53"/>
      <c r="GEQ11" s="53"/>
      <c r="GER11" s="53"/>
      <c r="GES11" s="53"/>
      <c r="GET11" s="53"/>
      <c r="GEU11" s="53"/>
      <c r="GEV11" s="53"/>
      <c r="GEW11" s="53"/>
      <c r="GEX11" s="53"/>
      <c r="GEY11" s="53"/>
      <c r="GEZ11" s="53"/>
      <c r="GFA11" s="53"/>
      <c r="GFB11" s="53"/>
      <c r="GFC11" s="53"/>
      <c r="GFD11" s="53"/>
      <c r="GFE11" s="53"/>
      <c r="GFF11" s="53"/>
      <c r="GFG11" s="53"/>
      <c r="GFH11" s="53"/>
      <c r="GFI11" s="53"/>
      <c r="GFJ11" s="53"/>
      <c r="GFK11" s="53"/>
      <c r="GFL11" s="53"/>
      <c r="GFM11" s="53"/>
      <c r="GFN11" s="53"/>
      <c r="GFO11" s="53"/>
      <c r="GFP11" s="53"/>
      <c r="GFQ11" s="53"/>
      <c r="GFR11" s="53"/>
      <c r="GFS11" s="53"/>
      <c r="GFT11" s="53"/>
      <c r="GFU11" s="53"/>
      <c r="GFV11" s="53"/>
      <c r="GFW11" s="53"/>
      <c r="GFX11" s="53"/>
      <c r="GFY11" s="53"/>
      <c r="GFZ11" s="53"/>
      <c r="GGA11" s="53"/>
      <c r="GGB11" s="53"/>
      <c r="GGC11" s="53"/>
      <c r="GGD11" s="53"/>
      <c r="GGE11" s="53"/>
      <c r="GGF11" s="53"/>
      <c r="GGG11" s="53"/>
      <c r="GGH11" s="53"/>
      <c r="GGI11" s="53"/>
      <c r="GGJ11" s="53"/>
      <c r="GGK11" s="53"/>
      <c r="GGL11" s="53"/>
      <c r="GGM11" s="53"/>
      <c r="GGN11" s="53"/>
      <c r="GGO11" s="53"/>
      <c r="GGP11" s="53"/>
      <c r="GGQ11" s="53"/>
      <c r="GGR11" s="53"/>
      <c r="GGS11" s="53"/>
      <c r="GGT11" s="53"/>
      <c r="GGU11" s="53"/>
      <c r="GGV11" s="53"/>
      <c r="GGW11" s="53"/>
      <c r="GGX11" s="53"/>
      <c r="GGY11" s="53"/>
      <c r="GGZ11" s="53"/>
      <c r="GHA11" s="53"/>
      <c r="GHB11" s="53"/>
      <c r="GHC11" s="53"/>
      <c r="GHD11" s="53"/>
      <c r="GHE11" s="53"/>
      <c r="GHF11" s="53"/>
      <c r="GHG11" s="53"/>
      <c r="GHH11" s="53"/>
      <c r="GHI11" s="53"/>
      <c r="GHJ11" s="53"/>
      <c r="GHK11" s="53"/>
      <c r="GHL11" s="53"/>
      <c r="GHM11" s="53"/>
      <c r="GHN11" s="53"/>
      <c r="GHO11" s="53"/>
      <c r="GHP11" s="53"/>
      <c r="GHQ11" s="53"/>
      <c r="GHR11" s="53"/>
      <c r="GHS11" s="53"/>
      <c r="GHT11" s="53"/>
      <c r="GHU11" s="53"/>
      <c r="GHV11" s="53"/>
      <c r="GHW11" s="53"/>
      <c r="GHX11" s="53"/>
      <c r="GHY11" s="53"/>
      <c r="GHZ11" s="53"/>
      <c r="GIA11" s="53"/>
      <c r="GIB11" s="53"/>
      <c r="GIC11" s="53"/>
      <c r="GID11" s="53"/>
      <c r="GIE11" s="53"/>
      <c r="GIF11" s="53"/>
      <c r="GIG11" s="53"/>
      <c r="GIH11" s="53"/>
      <c r="GII11" s="53"/>
      <c r="GIJ11" s="53"/>
      <c r="GIK11" s="53"/>
      <c r="GIL11" s="53"/>
      <c r="GIM11" s="53"/>
      <c r="GIN11" s="53"/>
      <c r="GIO11" s="53"/>
      <c r="GIP11" s="53"/>
      <c r="GIQ11" s="53"/>
      <c r="GIR11" s="53"/>
      <c r="GIS11" s="53"/>
      <c r="GIT11" s="53"/>
      <c r="GIU11" s="53"/>
      <c r="GIV11" s="53"/>
      <c r="GIW11" s="53"/>
      <c r="GIX11" s="53"/>
      <c r="GIY11" s="53"/>
      <c r="GIZ11" s="53"/>
      <c r="GJA11" s="53"/>
      <c r="GJB11" s="53"/>
      <c r="GJC11" s="53"/>
      <c r="GJD11" s="53"/>
      <c r="GJE11" s="53"/>
      <c r="GJF11" s="53"/>
      <c r="GJG11" s="53"/>
      <c r="GJH11" s="53"/>
      <c r="GJI11" s="53"/>
      <c r="GJJ11" s="53"/>
      <c r="GJK11" s="53"/>
      <c r="GJL11" s="53"/>
      <c r="GJM11" s="53"/>
      <c r="GJN11" s="53"/>
      <c r="GJO11" s="53"/>
      <c r="GJP11" s="53"/>
      <c r="GJQ11" s="53"/>
      <c r="GJR11" s="53"/>
      <c r="GJS11" s="53"/>
      <c r="GJT11" s="53"/>
      <c r="GJU11" s="53"/>
      <c r="GJV11" s="53"/>
      <c r="GJW11" s="53"/>
      <c r="GJX11" s="53"/>
      <c r="GJY11" s="53"/>
      <c r="GJZ11" s="53"/>
      <c r="GKA11" s="53"/>
      <c r="GKB11" s="53"/>
      <c r="GKC11" s="53"/>
      <c r="GKD11" s="53"/>
      <c r="GKE11" s="53"/>
      <c r="GKF11" s="53"/>
      <c r="GKG11" s="53"/>
      <c r="GKH11" s="53"/>
      <c r="GKI11" s="53"/>
      <c r="GKJ11" s="53"/>
      <c r="GKK11" s="53"/>
      <c r="GKL11" s="53"/>
      <c r="GKM11" s="53"/>
      <c r="GKN11" s="53"/>
      <c r="GKO11" s="53"/>
      <c r="GKP11" s="53"/>
      <c r="GKQ11" s="53"/>
      <c r="GKR11" s="53"/>
      <c r="GKS11" s="53"/>
      <c r="GKT11" s="53"/>
      <c r="GKU11" s="53"/>
      <c r="GKV11" s="53"/>
      <c r="GKW11" s="53"/>
      <c r="GKX11" s="53"/>
      <c r="GKY11" s="53"/>
      <c r="GKZ11" s="53"/>
      <c r="GLA11" s="53"/>
      <c r="GLB11" s="53"/>
      <c r="GLC11" s="53"/>
      <c r="GLD11" s="53"/>
      <c r="GLE11" s="53"/>
      <c r="GLF11" s="53"/>
      <c r="GLG11" s="53"/>
      <c r="GLH11" s="53"/>
      <c r="GLI11" s="53"/>
      <c r="GLJ11" s="53"/>
      <c r="GLK11" s="53"/>
      <c r="GLL11" s="53"/>
      <c r="GLM11" s="53"/>
      <c r="GLN11" s="53"/>
      <c r="GLO11" s="53"/>
      <c r="GLP11" s="53"/>
      <c r="GLQ11" s="53"/>
      <c r="GLR11" s="53"/>
      <c r="GLS11" s="53"/>
      <c r="GLT11" s="53"/>
      <c r="GLU11" s="53"/>
      <c r="GLV11" s="53"/>
      <c r="GLW11" s="53"/>
      <c r="GLX11" s="53"/>
      <c r="GLY11" s="53"/>
      <c r="GLZ11" s="53"/>
      <c r="GMA11" s="53"/>
      <c r="GMB11" s="53"/>
      <c r="GMC11" s="53"/>
      <c r="GMD11" s="53"/>
      <c r="GME11" s="53"/>
      <c r="GMF11" s="53"/>
      <c r="GMG11" s="53"/>
      <c r="GMH11" s="53"/>
      <c r="GMI11" s="53"/>
      <c r="GMJ11" s="53"/>
      <c r="GMK11" s="53"/>
      <c r="GML11" s="53"/>
      <c r="GMM11" s="53"/>
      <c r="GMN11" s="53"/>
      <c r="GMO11" s="53"/>
      <c r="GMP11" s="53"/>
      <c r="GMQ11" s="53"/>
      <c r="GMR11" s="53"/>
      <c r="GMS11" s="53"/>
      <c r="GMT11" s="53"/>
      <c r="GMU11" s="53"/>
      <c r="GMV11" s="53"/>
      <c r="GMW11" s="53"/>
      <c r="GMX11" s="53"/>
      <c r="GMY11" s="53"/>
      <c r="GMZ11" s="53"/>
      <c r="GNA11" s="53"/>
      <c r="GNB11" s="53"/>
      <c r="GNC11" s="53"/>
      <c r="GND11" s="53"/>
      <c r="GNE11" s="53"/>
      <c r="GNF11" s="53"/>
      <c r="GNG11" s="53"/>
      <c r="GNH11" s="53"/>
      <c r="GNI11" s="53"/>
      <c r="GNJ11" s="53"/>
      <c r="GNK11" s="53"/>
      <c r="GNL11" s="53"/>
      <c r="GNM11" s="53"/>
      <c r="GNN11" s="53"/>
      <c r="GNO11" s="53"/>
      <c r="GNP11" s="53"/>
      <c r="GNQ11" s="53"/>
      <c r="GNR11" s="53"/>
      <c r="GNS11" s="53"/>
      <c r="GNT11" s="53"/>
      <c r="GNU11" s="53"/>
      <c r="GNV11" s="53"/>
      <c r="GNW11" s="53"/>
      <c r="GNX11" s="53"/>
      <c r="GNY11" s="53"/>
      <c r="GNZ11" s="53"/>
      <c r="GOA11" s="53"/>
      <c r="GOB11" s="53"/>
      <c r="GOC11" s="53"/>
      <c r="GOD11" s="53"/>
      <c r="GOE11" s="53"/>
      <c r="GOF11" s="53"/>
      <c r="GOG11" s="53"/>
      <c r="GOH11" s="53"/>
      <c r="GOI11" s="53"/>
      <c r="GOJ11" s="53"/>
      <c r="GOK11" s="53"/>
      <c r="GOL11" s="53"/>
      <c r="GOM11" s="53"/>
      <c r="GON11" s="53"/>
      <c r="GOO11" s="53"/>
      <c r="GOP11" s="53"/>
      <c r="GOQ11" s="53"/>
      <c r="GOR11" s="53"/>
      <c r="GOS11" s="53"/>
      <c r="GOT11" s="53"/>
      <c r="GOU11" s="53"/>
      <c r="GOV11" s="53"/>
      <c r="GOW11" s="53"/>
      <c r="GOX11" s="53"/>
      <c r="GOY11" s="53"/>
      <c r="GOZ11" s="53"/>
      <c r="GPA11" s="53"/>
      <c r="GPB11" s="53"/>
      <c r="GPC11" s="53"/>
      <c r="GPD11" s="53"/>
      <c r="GPE11" s="53"/>
      <c r="GPF11" s="53"/>
      <c r="GPG11" s="53"/>
      <c r="GPH11" s="53"/>
      <c r="GPI11" s="53"/>
      <c r="GPJ11" s="53"/>
      <c r="GPK11" s="53"/>
      <c r="GPL11" s="53"/>
      <c r="GPM11" s="53"/>
      <c r="GPN11" s="53"/>
      <c r="GPO11" s="53"/>
      <c r="GPP11" s="53"/>
      <c r="GPQ11" s="53"/>
      <c r="GPR11" s="53"/>
      <c r="GPS11" s="53"/>
      <c r="GPT11" s="53"/>
      <c r="GPU11" s="53"/>
      <c r="GPV11" s="53"/>
      <c r="GPW11" s="53"/>
      <c r="GPX11" s="53"/>
      <c r="GPY11" s="53"/>
      <c r="GPZ11" s="53"/>
      <c r="GQA11" s="53"/>
      <c r="GQB11" s="53"/>
      <c r="GQC11" s="53"/>
      <c r="GQD11" s="53"/>
      <c r="GQE11" s="53"/>
      <c r="GQF11" s="53"/>
      <c r="GQG11" s="53"/>
      <c r="GQH11" s="53"/>
      <c r="GQI11" s="53"/>
      <c r="GQJ11" s="53"/>
      <c r="GQK11" s="53"/>
      <c r="GQL11" s="53"/>
      <c r="GQM11" s="53"/>
      <c r="GQN11" s="53"/>
      <c r="GQO11" s="53"/>
      <c r="GQP11" s="53"/>
      <c r="GQQ11" s="53"/>
      <c r="GQR11" s="53"/>
      <c r="GQS11" s="53"/>
      <c r="GQT11" s="53"/>
      <c r="GQU11" s="53"/>
      <c r="GQV11" s="53"/>
      <c r="GQW11" s="53"/>
      <c r="GQX11" s="53"/>
      <c r="GQY11" s="53"/>
      <c r="GQZ11" s="53"/>
      <c r="GRA11" s="53"/>
      <c r="GRB11" s="53"/>
      <c r="GRC11" s="53"/>
      <c r="GRD11" s="53"/>
      <c r="GRE11" s="53"/>
      <c r="GRF11" s="53"/>
      <c r="GRG11" s="53"/>
      <c r="GRH11" s="53"/>
      <c r="GRI11" s="53"/>
      <c r="GRJ11" s="53"/>
      <c r="GRK11" s="53"/>
      <c r="GRL11" s="53"/>
      <c r="GRM11" s="53"/>
      <c r="GRN11" s="53"/>
      <c r="GRO11" s="53"/>
      <c r="GRP11" s="53"/>
      <c r="GRQ11" s="53"/>
      <c r="GRR11" s="53"/>
      <c r="GRS11" s="53"/>
      <c r="GRT11" s="53"/>
      <c r="GRU11" s="53"/>
      <c r="GRV11" s="53"/>
      <c r="GRW11" s="53"/>
      <c r="GRX11" s="53"/>
      <c r="GRY11" s="53"/>
      <c r="GRZ11" s="53"/>
      <c r="GSA11" s="53"/>
      <c r="GSB11" s="53"/>
      <c r="GSC11" s="53"/>
      <c r="GSD11" s="53"/>
      <c r="GSE11" s="53"/>
      <c r="GSF11" s="53"/>
      <c r="GSG11" s="53"/>
      <c r="GSH11" s="53"/>
      <c r="GSI11" s="53"/>
      <c r="GSJ11" s="53"/>
      <c r="GSK11" s="53"/>
      <c r="GSL11" s="53"/>
      <c r="GSM11" s="53"/>
      <c r="GSN11" s="53"/>
      <c r="GSO11" s="53"/>
      <c r="GSP11" s="53"/>
      <c r="GSQ11" s="53"/>
      <c r="GSR11" s="53"/>
      <c r="GSS11" s="53"/>
      <c r="GST11" s="53"/>
      <c r="GSU11" s="53"/>
      <c r="GSV11" s="53"/>
      <c r="GSW11" s="53"/>
      <c r="GSX11" s="53"/>
      <c r="GSY11" s="53"/>
      <c r="GSZ11" s="53"/>
      <c r="GTA11" s="53"/>
      <c r="GTB11" s="53"/>
      <c r="GTC11" s="53"/>
      <c r="GTD11" s="53"/>
      <c r="GTE11" s="53"/>
      <c r="GTF11" s="53"/>
      <c r="GTG11" s="53"/>
      <c r="GTH11" s="53"/>
      <c r="GTI11" s="53"/>
      <c r="GTJ11" s="53"/>
      <c r="GTK11" s="53"/>
      <c r="GTL11" s="53"/>
      <c r="GTM11" s="53"/>
      <c r="GTN11" s="53"/>
      <c r="GTO11" s="53"/>
      <c r="GTP11" s="53"/>
      <c r="GTQ11" s="53"/>
      <c r="GTR11" s="53"/>
      <c r="GTS11" s="53"/>
      <c r="GTT11" s="53"/>
      <c r="GTU11" s="53"/>
      <c r="GTV11" s="53"/>
      <c r="GTW11" s="53"/>
      <c r="GTX11" s="53"/>
      <c r="GTY11" s="53"/>
      <c r="GTZ11" s="53"/>
      <c r="GUA11" s="53"/>
      <c r="GUB11" s="53"/>
      <c r="GUC11" s="53"/>
      <c r="GUD11" s="53"/>
      <c r="GUE11" s="53"/>
      <c r="GUF11" s="53"/>
      <c r="GUG11" s="53"/>
      <c r="GUH11" s="53"/>
      <c r="GUI11" s="53"/>
      <c r="GUJ11" s="53"/>
      <c r="GUK11" s="53"/>
      <c r="GUL11" s="53"/>
      <c r="GUM11" s="53"/>
      <c r="GUN11" s="53"/>
      <c r="GUO11" s="53"/>
      <c r="GUP11" s="53"/>
      <c r="GUQ11" s="53"/>
      <c r="GUR11" s="53"/>
      <c r="GUS11" s="53"/>
      <c r="GUT11" s="53"/>
      <c r="GUU11" s="53"/>
      <c r="GUV11" s="53"/>
      <c r="GUW11" s="53"/>
      <c r="GUX11" s="53"/>
      <c r="GUY11" s="53"/>
      <c r="GUZ11" s="53"/>
      <c r="GVA11" s="53"/>
      <c r="GVB11" s="53"/>
      <c r="GVC11" s="53"/>
      <c r="GVD11" s="53"/>
      <c r="GVE11" s="53"/>
      <c r="GVF11" s="53"/>
      <c r="GVG11" s="53"/>
      <c r="GVH11" s="53"/>
      <c r="GVI11" s="53"/>
      <c r="GVJ11" s="53"/>
      <c r="GVK11" s="53"/>
      <c r="GVL11" s="53"/>
      <c r="GVM11" s="53"/>
      <c r="GVN11" s="53"/>
      <c r="GVO11" s="53"/>
      <c r="GVP11" s="53"/>
      <c r="GVQ11" s="53"/>
      <c r="GVR11" s="53"/>
      <c r="GVS11" s="53"/>
      <c r="GVT11" s="53"/>
      <c r="GVU11" s="53"/>
      <c r="GVV11" s="53"/>
      <c r="GVW11" s="53"/>
      <c r="GVX11" s="53"/>
      <c r="GVY11" s="53"/>
      <c r="GVZ11" s="53"/>
      <c r="GWA11" s="53"/>
      <c r="GWB11" s="53"/>
      <c r="GWC11" s="53"/>
      <c r="GWD11" s="53"/>
      <c r="GWE11" s="53"/>
      <c r="GWF11" s="53"/>
      <c r="GWG11" s="53"/>
      <c r="GWH11" s="53"/>
      <c r="GWI11" s="53"/>
      <c r="GWJ11" s="53"/>
      <c r="GWK11" s="53"/>
      <c r="GWL11" s="53"/>
      <c r="GWM11" s="53"/>
      <c r="GWN11" s="53"/>
      <c r="GWO11" s="53"/>
      <c r="GWP11" s="53"/>
      <c r="GWQ11" s="53"/>
      <c r="GWR11" s="53"/>
      <c r="GWS11" s="53"/>
      <c r="GWT11" s="53"/>
      <c r="GWU11" s="53"/>
      <c r="GWV11" s="53"/>
      <c r="GWW11" s="53"/>
      <c r="GWX11" s="53"/>
      <c r="GWY11" s="53"/>
      <c r="GWZ11" s="53"/>
      <c r="GXA11" s="53"/>
      <c r="GXB11" s="53"/>
      <c r="GXC11" s="53"/>
      <c r="GXD11" s="53"/>
      <c r="GXE11" s="53"/>
      <c r="GXF11" s="53"/>
      <c r="GXG11" s="53"/>
      <c r="GXH11" s="53"/>
      <c r="GXI11" s="53"/>
      <c r="GXJ11" s="53"/>
      <c r="GXK11" s="53"/>
      <c r="GXL11" s="53"/>
      <c r="GXM11" s="53"/>
      <c r="GXN11" s="53"/>
      <c r="GXO11" s="53"/>
      <c r="GXP11" s="53"/>
      <c r="GXQ11" s="53"/>
      <c r="GXR11" s="53"/>
      <c r="GXS11" s="53"/>
      <c r="GXT11" s="53"/>
      <c r="GXU11" s="53"/>
      <c r="GXV11" s="53"/>
      <c r="GXW11" s="53"/>
      <c r="GXX11" s="53"/>
      <c r="GXY11" s="53"/>
      <c r="GXZ11" s="53"/>
      <c r="GYA11" s="53"/>
      <c r="GYB11" s="53"/>
      <c r="GYC11" s="53"/>
      <c r="GYD11" s="53"/>
      <c r="GYE11" s="53"/>
      <c r="GYF11" s="53"/>
      <c r="GYG11" s="53"/>
      <c r="GYH11" s="53"/>
      <c r="GYI11" s="53"/>
      <c r="GYJ11" s="53"/>
      <c r="GYK11" s="53"/>
      <c r="GYL11" s="53"/>
      <c r="GYM11" s="53"/>
      <c r="GYN11" s="53"/>
      <c r="GYO11" s="53"/>
      <c r="GYP11" s="53"/>
      <c r="GYQ11" s="53"/>
      <c r="GYR11" s="53"/>
      <c r="GYS11" s="53"/>
      <c r="GYT11" s="53"/>
      <c r="GYU11" s="53"/>
      <c r="GYV11" s="53"/>
      <c r="GYW11" s="53"/>
      <c r="GYX11" s="53"/>
      <c r="GYY11" s="53"/>
      <c r="GYZ11" s="53"/>
      <c r="GZA11" s="53"/>
      <c r="GZB11" s="53"/>
      <c r="GZC11" s="53"/>
      <c r="GZD11" s="53"/>
      <c r="GZE11" s="53"/>
      <c r="GZF11" s="53"/>
      <c r="GZG11" s="53"/>
      <c r="GZH11" s="53"/>
      <c r="GZI11" s="53"/>
      <c r="GZJ11" s="53"/>
      <c r="GZK11" s="53"/>
      <c r="GZL11" s="53"/>
      <c r="GZM11" s="53"/>
      <c r="GZN11" s="53"/>
      <c r="GZO11" s="53"/>
      <c r="GZP11" s="53"/>
      <c r="GZQ11" s="53"/>
      <c r="GZR11" s="53"/>
      <c r="GZS11" s="53"/>
      <c r="GZT11" s="53"/>
      <c r="GZU11" s="53"/>
      <c r="GZV11" s="53"/>
      <c r="GZW11" s="53"/>
      <c r="GZX11" s="53"/>
      <c r="GZY11" s="53"/>
      <c r="GZZ11" s="53"/>
      <c r="HAA11" s="53"/>
      <c r="HAB11" s="53"/>
      <c r="HAC11" s="53"/>
      <c r="HAD11" s="53"/>
      <c r="HAE11" s="53"/>
      <c r="HAF11" s="53"/>
      <c r="HAG11" s="53"/>
      <c r="HAH11" s="53"/>
      <c r="HAI11" s="53"/>
      <c r="HAJ11" s="53"/>
      <c r="HAK11" s="53"/>
      <c r="HAL11" s="53"/>
      <c r="HAM11" s="53"/>
      <c r="HAN11" s="53"/>
      <c r="HAO11" s="53"/>
      <c r="HAP11" s="53"/>
      <c r="HAQ11" s="53"/>
      <c r="HAR11" s="53"/>
      <c r="HAS11" s="53"/>
      <c r="HAT11" s="53"/>
      <c r="HAU11" s="53"/>
      <c r="HAV11" s="53"/>
      <c r="HAW11" s="53"/>
      <c r="HAX11" s="53"/>
      <c r="HAY11" s="53"/>
      <c r="HAZ11" s="53"/>
      <c r="HBA11" s="53"/>
      <c r="HBB11" s="53"/>
      <c r="HBC11" s="53"/>
      <c r="HBD11" s="53"/>
      <c r="HBE11" s="53"/>
      <c r="HBF11" s="53"/>
      <c r="HBG11" s="53"/>
      <c r="HBH11" s="53"/>
      <c r="HBI11" s="53"/>
      <c r="HBJ11" s="53"/>
      <c r="HBK11" s="53"/>
      <c r="HBL11" s="53"/>
      <c r="HBM11" s="53"/>
      <c r="HBN11" s="53"/>
      <c r="HBO11" s="53"/>
      <c r="HBP11" s="53"/>
      <c r="HBQ11" s="53"/>
      <c r="HBR11" s="53"/>
      <c r="HBS11" s="53"/>
      <c r="HBT11" s="53"/>
      <c r="HBU11" s="53"/>
      <c r="HBV11" s="53"/>
      <c r="HBW11" s="53"/>
      <c r="HBX11" s="53"/>
      <c r="HBY11" s="53"/>
      <c r="HBZ11" s="53"/>
      <c r="HCA11" s="53"/>
      <c r="HCB11" s="53"/>
      <c r="HCC11" s="53"/>
      <c r="HCD11" s="53"/>
      <c r="HCE11" s="53"/>
      <c r="HCF11" s="53"/>
      <c r="HCG11" s="53"/>
      <c r="HCH11" s="53"/>
      <c r="HCI11" s="53"/>
      <c r="HCJ11" s="53"/>
      <c r="HCK11" s="53"/>
      <c r="HCL11" s="53"/>
      <c r="HCM11" s="53"/>
      <c r="HCN11" s="53"/>
      <c r="HCO11" s="53"/>
      <c r="HCP11" s="53"/>
      <c r="HCQ11" s="53"/>
      <c r="HCR11" s="53"/>
      <c r="HCS11" s="53"/>
      <c r="HCT11" s="53"/>
      <c r="HCU11" s="53"/>
      <c r="HCV11" s="53"/>
      <c r="HCW11" s="53"/>
      <c r="HCX11" s="53"/>
      <c r="HCY11" s="53"/>
      <c r="HCZ11" s="53"/>
      <c r="HDA11" s="53"/>
      <c r="HDB11" s="53"/>
      <c r="HDC11" s="53"/>
      <c r="HDD11" s="53"/>
      <c r="HDE11" s="53"/>
      <c r="HDF11" s="53"/>
      <c r="HDG11" s="53"/>
      <c r="HDH11" s="53"/>
      <c r="HDI11" s="53"/>
      <c r="HDJ11" s="53"/>
      <c r="HDK11" s="53"/>
      <c r="HDL11" s="53"/>
      <c r="HDM11" s="53"/>
      <c r="HDN11" s="53"/>
      <c r="HDO11" s="53"/>
      <c r="HDP11" s="53"/>
      <c r="HDQ11" s="53"/>
      <c r="HDR11" s="53"/>
      <c r="HDS11" s="53"/>
      <c r="HDT11" s="53"/>
      <c r="HDU11" s="53"/>
      <c r="HDV11" s="53"/>
      <c r="HDW11" s="53"/>
      <c r="HDX11" s="53"/>
      <c r="HDY11" s="53"/>
      <c r="HDZ11" s="53"/>
      <c r="HEA11" s="53"/>
      <c r="HEB11" s="53"/>
      <c r="HEC11" s="53"/>
      <c r="HED11" s="53"/>
      <c r="HEE11" s="53"/>
      <c r="HEF11" s="53"/>
      <c r="HEG11" s="53"/>
      <c r="HEH11" s="53"/>
      <c r="HEI11" s="53"/>
      <c r="HEJ11" s="53"/>
      <c r="HEK11" s="53"/>
      <c r="HEL11" s="53"/>
      <c r="HEM11" s="53"/>
      <c r="HEN11" s="53"/>
      <c r="HEO11" s="53"/>
      <c r="HEP11" s="53"/>
      <c r="HEQ11" s="53"/>
      <c r="HER11" s="53"/>
      <c r="HES11" s="53"/>
      <c r="HET11" s="53"/>
      <c r="HEU11" s="53"/>
      <c r="HEV11" s="53"/>
      <c r="HEW11" s="53"/>
      <c r="HEX11" s="53"/>
      <c r="HEY11" s="53"/>
      <c r="HEZ11" s="53"/>
      <c r="HFA11" s="53"/>
      <c r="HFB11" s="53"/>
      <c r="HFC11" s="53"/>
      <c r="HFD11" s="53"/>
      <c r="HFE11" s="53"/>
      <c r="HFF11" s="53"/>
      <c r="HFG11" s="53"/>
      <c r="HFH11" s="53"/>
      <c r="HFI11" s="53"/>
      <c r="HFJ11" s="53"/>
      <c r="HFK11" s="53"/>
      <c r="HFL11" s="53"/>
      <c r="HFM11" s="53"/>
      <c r="HFN11" s="53"/>
      <c r="HFO11" s="53"/>
      <c r="HFP11" s="53"/>
      <c r="HFQ11" s="53"/>
      <c r="HFR11" s="53"/>
      <c r="HFS11" s="53"/>
      <c r="HFT11" s="53"/>
      <c r="HFU11" s="53"/>
      <c r="HFV11" s="53"/>
      <c r="HFW11" s="53"/>
      <c r="HFX11" s="53"/>
      <c r="HFY11" s="53"/>
      <c r="HFZ11" s="53"/>
      <c r="HGA11" s="53"/>
      <c r="HGB11" s="53"/>
      <c r="HGC11" s="53"/>
      <c r="HGD11" s="53"/>
      <c r="HGE11" s="53"/>
      <c r="HGF11" s="53"/>
      <c r="HGG11" s="53"/>
      <c r="HGH11" s="53"/>
      <c r="HGI11" s="53"/>
      <c r="HGJ11" s="53"/>
      <c r="HGK11" s="53"/>
      <c r="HGL11" s="53"/>
      <c r="HGM11" s="53"/>
      <c r="HGN11" s="53"/>
      <c r="HGO11" s="53"/>
      <c r="HGP11" s="53"/>
      <c r="HGQ11" s="53"/>
      <c r="HGR11" s="53"/>
      <c r="HGS11" s="53"/>
      <c r="HGT11" s="53"/>
      <c r="HGU11" s="53"/>
      <c r="HGV11" s="53"/>
      <c r="HGW11" s="53"/>
      <c r="HGX11" s="53"/>
      <c r="HGY11" s="53"/>
      <c r="HGZ11" s="53"/>
      <c r="HHA11" s="53"/>
      <c r="HHB11" s="53"/>
      <c r="HHC11" s="53"/>
      <c r="HHD11" s="53"/>
      <c r="HHE11" s="53"/>
      <c r="HHF11" s="53"/>
      <c r="HHG11" s="53"/>
      <c r="HHH11" s="53"/>
      <c r="HHI11" s="53"/>
      <c r="HHJ11" s="53"/>
      <c r="HHK11" s="53"/>
      <c r="HHL11" s="53"/>
      <c r="HHM11" s="53"/>
      <c r="HHN11" s="53"/>
      <c r="HHO11" s="53"/>
      <c r="HHP11" s="53"/>
      <c r="HHQ11" s="53"/>
      <c r="HHR11" s="53"/>
      <c r="HHS11" s="53"/>
      <c r="HHT11" s="53"/>
      <c r="HHU11" s="53"/>
      <c r="HHV11" s="53"/>
      <c r="HHW11" s="53"/>
      <c r="HHX11" s="53"/>
      <c r="HHY11" s="53"/>
      <c r="HHZ11" s="53"/>
      <c r="HIA11" s="53"/>
      <c r="HIB11" s="53"/>
      <c r="HIC11" s="53"/>
      <c r="HID11" s="53"/>
      <c r="HIE11" s="53"/>
      <c r="HIF11" s="53"/>
      <c r="HIG11" s="53"/>
      <c r="HIH11" s="53"/>
      <c r="HII11" s="53"/>
      <c r="HIJ11" s="53"/>
      <c r="HIK11" s="53"/>
      <c r="HIL11" s="53"/>
      <c r="HIM11" s="53"/>
      <c r="HIN11" s="53"/>
      <c r="HIO11" s="53"/>
      <c r="HIP11" s="53"/>
      <c r="HIQ11" s="53"/>
      <c r="HIR11" s="53"/>
      <c r="HIS11" s="53"/>
      <c r="HIT11" s="53"/>
      <c r="HIU11" s="53"/>
      <c r="HIV11" s="53"/>
      <c r="HIW11" s="53"/>
      <c r="HIX11" s="53"/>
      <c r="HIY11" s="53"/>
      <c r="HIZ11" s="53"/>
      <c r="HJA11" s="53"/>
      <c r="HJB11" s="53"/>
      <c r="HJC11" s="53"/>
      <c r="HJD11" s="53"/>
      <c r="HJE11" s="53"/>
      <c r="HJF11" s="53"/>
      <c r="HJG11" s="53"/>
      <c r="HJH11" s="53"/>
      <c r="HJI11" s="53"/>
      <c r="HJJ11" s="53"/>
      <c r="HJK11" s="53"/>
      <c r="HJL11" s="53"/>
      <c r="HJM11" s="53"/>
      <c r="HJN11" s="53"/>
      <c r="HJO11" s="53"/>
      <c r="HJP11" s="53"/>
      <c r="HJQ11" s="53"/>
      <c r="HJR11" s="53"/>
      <c r="HJS11" s="53"/>
      <c r="HJT11" s="53"/>
      <c r="HJU11" s="53"/>
      <c r="HJV11" s="53"/>
      <c r="HJW11" s="53"/>
      <c r="HJX11" s="53"/>
      <c r="HJY11" s="53"/>
      <c r="HJZ11" s="53"/>
      <c r="HKA11" s="53"/>
      <c r="HKB11" s="53"/>
      <c r="HKC11" s="53"/>
      <c r="HKD11" s="53"/>
      <c r="HKE11" s="53"/>
      <c r="HKF11" s="53"/>
      <c r="HKG11" s="53"/>
      <c r="HKH11" s="53"/>
      <c r="HKI11" s="53"/>
      <c r="HKJ11" s="53"/>
      <c r="HKK11" s="53"/>
      <c r="HKL11" s="53"/>
      <c r="HKM11" s="53"/>
      <c r="HKN11" s="53"/>
      <c r="HKO11" s="53"/>
      <c r="HKP11" s="53"/>
      <c r="HKQ11" s="53"/>
      <c r="HKR11" s="53"/>
      <c r="HKS11" s="53"/>
      <c r="HKT11" s="53"/>
      <c r="HKU11" s="53"/>
      <c r="HKV11" s="53"/>
      <c r="HKW11" s="53"/>
      <c r="HKX11" s="53"/>
      <c r="HKY11" s="53"/>
      <c r="HKZ11" s="53"/>
      <c r="HLA11" s="53"/>
      <c r="HLB11" s="53"/>
      <c r="HLC11" s="53"/>
      <c r="HLD11" s="53"/>
      <c r="HLE11" s="53"/>
      <c r="HLF11" s="53"/>
      <c r="HLG11" s="53"/>
      <c r="HLH11" s="53"/>
      <c r="HLI11" s="53"/>
      <c r="HLJ11" s="53"/>
      <c r="HLK11" s="53"/>
      <c r="HLL11" s="53"/>
      <c r="HLM11" s="53"/>
      <c r="HLN11" s="53"/>
      <c r="HLO11" s="53"/>
      <c r="HLP11" s="53"/>
      <c r="HLQ11" s="53"/>
      <c r="HLR11" s="53"/>
      <c r="HLS11" s="53"/>
      <c r="HLT11" s="53"/>
      <c r="HLU11" s="53"/>
      <c r="HLV11" s="53"/>
      <c r="HLW11" s="53"/>
      <c r="HLX11" s="53"/>
      <c r="HLY11" s="53"/>
      <c r="HLZ11" s="53"/>
      <c r="HMA11" s="53"/>
      <c r="HMB11" s="53"/>
      <c r="HMC11" s="53"/>
      <c r="HMD11" s="53"/>
      <c r="HME11" s="53"/>
      <c r="HMF11" s="53"/>
      <c r="HMG11" s="53"/>
      <c r="HMH11" s="53"/>
      <c r="HMI11" s="53"/>
      <c r="HMJ11" s="53"/>
      <c r="HMK11" s="53"/>
      <c r="HML11" s="53"/>
      <c r="HMM11" s="53"/>
      <c r="HMN11" s="53"/>
      <c r="HMO11" s="53"/>
      <c r="HMP11" s="53"/>
      <c r="HMQ11" s="53"/>
      <c r="HMR11" s="53"/>
      <c r="HMS11" s="53"/>
      <c r="HMT11" s="53"/>
      <c r="HMU11" s="53"/>
      <c r="HMV11" s="53"/>
      <c r="HMW11" s="53"/>
      <c r="HMX11" s="53"/>
      <c r="HMY11" s="53"/>
      <c r="HMZ11" s="53"/>
      <c r="HNA11" s="53"/>
      <c r="HNB11" s="53"/>
      <c r="HNC11" s="53"/>
      <c r="HND11" s="53"/>
      <c r="HNE11" s="53"/>
      <c r="HNF11" s="53"/>
      <c r="HNG11" s="53"/>
      <c r="HNH11" s="53"/>
      <c r="HNI11" s="53"/>
      <c r="HNJ11" s="53"/>
      <c r="HNK11" s="53"/>
      <c r="HNL11" s="53"/>
      <c r="HNM11" s="53"/>
      <c r="HNN11" s="53"/>
      <c r="HNO11" s="53"/>
      <c r="HNP11" s="53"/>
      <c r="HNQ11" s="53"/>
      <c r="HNR11" s="53"/>
      <c r="HNS11" s="53"/>
      <c r="HNT11" s="53"/>
      <c r="HNU11" s="53"/>
      <c r="HNV11" s="53"/>
      <c r="HNW11" s="53"/>
      <c r="HNX11" s="53"/>
      <c r="HNY11" s="53"/>
      <c r="HNZ11" s="53"/>
      <c r="HOA11" s="53"/>
      <c r="HOB11" s="53"/>
      <c r="HOC11" s="53"/>
      <c r="HOD11" s="53"/>
      <c r="HOE11" s="53"/>
      <c r="HOF11" s="53"/>
      <c r="HOG11" s="53"/>
      <c r="HOH11" s="53"/>
      <c r="HOI11" s="53"/>
      <c r="HOJ11" s="53"/>
      <c r="HOK11" s="53"/>
      <c r="HOL11" s="53"/>
      <c r="HOM11" s="53"/>
      <c r="HON11" s="53"/>
      <c r="HOO11" s="53"/>
      <c r="HOP11" s="53"/>
      <c r="HOQ11" s="53"/>
      <c r="HOR11" s="53"/>
      <c r="HOS11" s="53"/>
      <c r="HOT11" s="53"/>
      <c r="HOU11" s="53"/>
      <c r="HOV11" s="53"/>
      <c r="HOW11" s="53"/>
      <c r="HOX11" s="53"/>
      <c r="HOY11" s="53"/>
      <c r="HOZ11" s="53"/>
      <c r="HPA11" s="53"/>
      <c r="HPB11" s="53"/>
      <c r="HPC11" s="53"/>
      <c r="HPD11" s="53"/>
      <c r="HPE11" s="53"/>
      <c r="HPF11" s="53"/>
      <c r="HPG11" s="53"/>
      <c r="HPH11" s="53"/>
      <c r="HPI11" s="53"/>
      <c r="HPJ11" s="53"/>
      <c r="HPK11" s="53"/>
      <c r="HPL11" s="53"/>
      <c r="HPM11" s="53"/>
      <c r="HPN11" s="53"/>
      <c r="HPO11" s="53"/>
      <c r="HPP11" s="53"/>
      <c r="HPQ11" s="53"/>
      <c r="HPR11" s="53"/>
      <c r="HPS11" s="53"/>
      <c r="HPT11" s="53"/>
      <c r="HPU11" s="53"/>
      <c r="HPV11" s="53"/>
      <c r="HPW11" s="53"/>
      <c r="HPX11" s="53"/>
      <c r="HPY11" s="53"/>
      <c r="HPZ11" s="53"/>
      <c r="HQA11" s="53"/>
      <c r="HQB11" s="53"/>
      <c r="HQC11" s="53"/>
      <c r="HQD11" s="53"/>
      <c r="HQE11" s="53"/>
      <c r="HQF11" s="53"/>
      <c r="HQG11" s="53"/>
      <c r="HQH11" s="53"/>
      <c r="HQI11" s="53"/>
      <c r="HQJ11" s="53"/>
      <c r="HQK11" s="53"/>
      <c r="HQL11" s="53"/>
      <c r="HQM11" s="53"/>
      <c r="HQN11" s="53"/>
      <c r="HQO11" s="53"/>
      <c r="HQP11" s="53"/>
      <c r="HQQ11" s="53"/>
      <c r="HQR11" s="53"/>
      <c r="HQS11" s="53"/>
      <c r="HQT11" s="53"/>
      <c r="HQU11" s="53"/>
      <c r="HQV11" s="53"/>
      <c r="HQW11" s="53"/>
      <c r="HQX11" s="53"/>
      <c r="HQY11" s="53"/>
      <c r="HQZ11" s="53"/>
      <c r="HRA11" s="53"/>
      <c r="HRB11" s="53"/>
      <c r="HRC11" s="53"/>
      <c r="HRD11" s="53"/>
      <c r="HRE11" s="53"/>
      <c r="HRF11" s="53"/>
      <c r="HRG11" s="53"/>
      <c r="HRH11" s="53"/>
      <c r="HRI11" s="53"/>
      <c r="HRJ11" s="53"/>
      <c r="HRK11" s="53"/>
      <c r="HRL11" s="53"/>
      <c r="HRM11" s="53"/>
      <c r="HRN11" s="53"/>
      <c r="HRO11" s="53"/>
      <c r="HRP11" s="53"/>
      <c r="HRQ11" s="53"/>
      <c r="HRR11" s="53"/>
      <c r="HRS11" s="53"/>
      <c r="HRT11" s="53"/>
      <c r="HRU11" s="53"/>
      <c r="HRV11" s="53"/>
      <c r="HRW11" s="53"/>
      <c r="HRX11" s="53"/>
      <c r="HRY11" s="53"/>
      <c r="HRZ11" s="53"/>
      <c r="HSA11" s="53"/>
      <c r="HSB11" s="53"/>
      <c r="HSC11" s="53"/>
      <c r="HSD11" s="53"/>
      <c r="HSE11" s="53"/>
      <c r="HSF11" s="53"/>
      <c r="HSG11" s="53"/>
      <c r="HSH11" s="53"/>
      <c r="HSI11" s="53"/>
      <c r="HSJ11" s="53"/>
      <c r="HSK11" s="53"/>
      <c r="HSL11" s="53"/>
      <c r="HSM11" s="53"/>
      <c r="HSN11" s="53"/>
      <c r="HSO11" s="53"/>
      <c r="HSP11" s="53"/>
      <c r="HSQ11" s="53"/>
      <c r="HSR11" s="53"/>
      <c r="HSS11" s="53"/>
      <c r="HST11" s="53"/>
      <c r="HSU11" s="53"/>
      <c r="HSV11" s="53"/>
      <c r="HSW11" s="53"/>
      <c r="HSX11" s="53"/>
      <c r="HSY11" s="53"/>
      <c r="HSZ11" s="53"/>
      <c r="HTA11" s="53"/>
      <c r="HTB11" s="53"/>
      <c r="HTC11" s="53"/>
      <c r="HTD11" s="53"/>
      <c r="HTE11" s="53"/>
      <c r="HTF11" s="53"/>
      <c r="HTG11" s="53"/>
      <c r="HTH11" s="53"/>
      <c r="HTI11" s="53"/>
      <c r="HTJ11" s="53"/>
      <c r="HTK11" s="53"/>
      <c r="HTL11" s="53"/>
      <c r="HTM11" s="53"/>
      <c r="HTN11" s="53"/>
      <c r="HTO11" s="53"/>
      <c r="HTP11" s="53"/>
      <c r="HTQ11" s="53"/>
      <c r="HTR11" s="53"/>
      <c r="HTS11" s="53"/>
      <c r="HTT11" s="53"/>
      <c r="HTU11" s="53"/>
      <c r="HTV11" s="53"/>
      <c r="HTW11" s="53"/>
      <c r="HTX11" s="53"/>
      <c r="HTY11" s="53"/>
      <c r="HTZ11" s="53"/>
      <c r="HUA11" s="53"/>
      <c r="HUB11" s="53"/>
      <c r="HUC11" s="53"/>
      <c r="HUD11" s="53"/>
      <c r="HUE11" s="53"/>
      <c r="HUF11" s="53"/>
      <c r="HUG11" s="53"/>
      <c r="HUH11" s="53"/>
      <c r="HUI11" s="53"/>
      <c r="HUJ11" s="53"/>
      <c r="HUK11" s="53"/>
      <c r="HUL11" s="53"/>
      <c r="HUM11" s="53"/>
      <c r="HUN11" s="53"/>
      <c r="HUO11" s="53"/>
      <c r="HUP11" s="53"/>
      <c r="HUQ11" s="53"/>
      <c r="HUR11" s="53"/>
      <c r="HUS11" s="53"/>
      <c r="HUT11" s="53"/>
      <c r="HUU11" s="53"/>
      <c r="HUV11" s="53"/>
      <c r="HUW11" s="53"/>
      <c r="HUX11" s="53"/>
      <c r="HUY11" s="53"/>
      <c r="HUZ11" s="53"/>
      <c r="HVA11" s="53"/>
      <c r="HVB11" s="53"/>
      <c r="HVC11" s="53"/>
      <c r="HVD11" s="53"/>
      <c r="HVE11" s="53"/>
      <c r="HVF11" s="53"/>
      <c r="HVG11" s="53"/>
      <c r="HVH11" s="53"/>
      <c r="HVI11" s="53"/>
      <c r="HVJ11" s="53"/>
      <c r="HVK11" s="53"/>
      <c r="HVL11" s="53"/>
      <c r="HVM11" s="53"/>
      <c r="HVN11" s="53"/>
      <c r="HVO11" s="53"/>
      <c r="HVP11" s="53"/>
      <c r="HVQ11" s="53"/>
      <c r="HVR11" s="53"/>
      <c r="HVS11" s="53"/>
      <c r="HVT11" s="53"/>
      <c r="HVU11" s="53"/>
      <c r="HVV11" s="53"/>
      <c r="HVW11" s="53"/>
      <c r="HVX11" s="53"/>
      <c r="HVY11" s="53"/>
      <c r="HVZ11" s="53"/>
      <c r="HWA11" s="53"/>
      <c r="HWB11" s="53"/>
      <c r="HWC11" s="53"/>
      <c r="HWD11" s="53"/>
      <c r="HWE11" s="53"/>
      <c r="HWF11" s="53"/>
      <c r="HWG11" s="53"/>
      <c r="HWH11" s="53"/>
      <c r="HWI11" s="53"/>
      <c r="HWJ11" s="53"/>
      <c r="HWK11" s="53"/>
      <c r="HWL11" s="53"/>
      <c r="HWM11" s="53"/>
      <c r="HWN11" s="53"/>
      <c r="HWO11" s="53"/>
      <c r="HWP11" s="53"/>
      <c r="HWQ11" s="53"/>
      <c r="HWR11" s="53"/>
      <c r="HWS11" s="53"/>
      <c r="HWT11" s="53"/>
      <c r="HWU11" s="53"/>
      <c r="HWV11" s="53"/>
      <c r="HWW11" s="53"/>
      <c r="HWX11" s="53"/>
      <c r="HWY11" s="53"/>
      <c r="HWZ11" s="53"/>
      <c r="HXA11" s="53"/>
      <c r="HXB11" s="53"/>
      <c r="HXC11" s="53"/>
      <c r="HXD11" s="53"/>
      <c r="HXE11" s="53"/>
      <c r="HXF11" s="53"/>
      <c r="HXG11" s="53"/>
      <c r="HXH11" s="53"/>
      <c r="HXI11" s="53"/>
      <c r="HXJ11" s="53"/>
      <c r="HXK11" s="53"/>
      <c r="HXL11" s="53"/>
      <c r="HXM11" s="53"/>
      <c r="HXN11" s="53"/>
      <c r="HXO11" s="53"/>
      <c r="HXP11" s="53"/>
      <c r="HXQ11" s="53"/>
      <c r="HXR11" s="53"/>
      <c r="HXS11" s="53"/>
      <c r="HXT11" s="53"/>
      <c r="HXU11" s="53"/>
      <c r="HXV11" s="53"/>
      <c r="HXW11" s="53"/>
      <c r="HXX11" s="53"/>
      <c r="HXY11" s="53"/>
      <c r="HXZ11" s="53"/>
      <c r="HYA11" s="53"/>
      <c r="HYB11" s="53"/>
      <c r="HYC11" s="53"/>
      <c r="HYD11" s="53"/>
      <c r="HYE11" s="53"/>
      <c r="HYF11" s="53"/>
      <c r="HYG11" s="53"/>
      <c r="HYH11" s="53"/>
      <c r="HYI11" s="53"/>
      <c r="HYJ11" s="53"/>
      <c r="HYK11" s="53"/>
      <c r="HYL11" s="53"/>
      <c r="HYM11" s="53"/>
      <c r="HYN11" s="53"/>
      <c r="HYO11" s="53"/>
      <c r="HYP11" s="53"/>
      <c r="HYQ11" s="53"/>
      <c r="HYR11" s="53"/>
      <c r="HYS11" s="53"/>
      <c r="HYT11" s="53"/>
      <c r="HYU11" s="53"/>
      <c r="HYV11" s="53"/>
      <c r="HYW11" s="53"/>
      <c r="HYX11" s="53"/>
      <c r="HYY11" s="53"/>
      <c r="HYZ11" s="53"/>
      <c r="HZA11" s="53"/>
      <c r="HZB11" s="53"/>
      <c r="HZC11" s="53"/>
      <c r="HZD11" s="53"/>
      <c r="HZE11" s="53"/>
      <c r="HZF11" s="53"/>
      <c r="HZG11" s="53"/>
      <c r="HZH11" s="53"/>
      <c r="HZI11" s="53"/>
      <c r="HZJ11" s="53"/>
      <c r="HZK11" s="53"/>
      <c r="HZL11" s="53"/>
      <c r="HZM11" s="53"/>
      <c r="HZN11" s="53"/>
      <c r="HZO11" s="53"/>
      <c r="HZP11" s="53"/>
      <c r="HZQ11" s="53"/>
      <c r="HZR11" s="53"/>
      <c r="HZS11" s="53"/>
      <c r="HZT11" s="53"/>
      <c r="HZU11" s="53"/>
      <c r="HZV11" s="53"/>
      <c r="HZW11" s="53"/>
      <c r="HZX11" s="53"/>
      <c r="HZY11" s="53"/>
      <c r="HZZ11" s="53"/>
      <c r="IAA11" s="53"/>
      <c r="IAB11" s="53"/>
      <c r="IAC11" s="53"/>
      <c r="IAD11" s="53"/>
      <c r="IAE11" s="53"/>
      <c r="IAF11" s="53"/>
      <c r="IAG11" s="53"/>
      <c r="IAH11" s="53"/>
      <c r="IAI11" s="53"/>
      <c r="IAJ11" s="53"/>
      <c r="IAK11" s="53"/>
      <c r="IAL11" s="53"/>
      <c r="IAM11" s="53"/>
      <c r="IAN11" s="53"/>
      <c r="IAO11" s="53"/>
      <c r="IAP11" s="53"/>
      <c r="IAQ11" s="53"/>
      <c r="IAR11" s="53"/>
      <c r="IAS11" s="53"/>
      <c r="IAT11" s="53"/>
      <c r="IAU11" s="53"/>
      <c r="IAV11" s="53"/>
      <c r="IAW11" s="53"/>
      <c r="IAX11" s="53"/>
      <c r="IAY11" s="53"/>
      <c r="IAZ11" s="53"/>
      <c r="IBA11" s="53"/>
      <c r="IBB11" s="53"/>
      <c r="IBC11" s="53"/>
      <c r="IBD11" s="53"/>
      <c r="IBE11" s="53"/>
      <c r="IBF11" s="53"/>
      <c r="IBG11" s="53"/>
      <c r="IBH11" s="53"/>
      <c r="IBI11" s="53"/>
      <c r="IBJ11" s="53"/>
      <c r="IBK11" s="53"/>
      <c r="IBL11" s="53"/>
      <c r="IBM11" s="53"/>
      <c r="IBN11" s="53"/>
      <c r="IBO11" s="53"/>
      <c r="IBP11" s="53"/>
      <c r="IBQ11" s="53"/>
      <c r="IBR11" s="53"/>
      <c r="IBS11" s="53"/>
      <c r="IBT11" s="53"/>
      <c r="IBU11" s="53"/>
      <c r="IBV11" s="53"/>
      <c r="IBW11" s="53"/>
      <c r="IBX11" s="53"/>
      <c r="IBY11" s="53"/>
      <c r="IBZ11" s="53"/>
      <c r="ICA11" s="53"/>
      <c r="ICB11" s="53"/>
      <c r="ICC11" s="53"/>
      <c r="ICD11" s="53"/>
      <c r="ICE11" s="53"/>
      <c r="ICF11" s="53"/>
      <c r="ICG11" s="53"/>
      <c r="ICH11" s="53"/>
      <c r="ICI11" s="53"/>
      <c r="ICJ11" s="53"/>
      <c r="ICK11" s="53"/>
      <c r="ICL11" s="53"/>
      <c r="ICM11" s="53"/>
      <c r="ICN11" s="53"/>
      <c r="ICO11" s="53"/>
      <c r="ICP11" s="53"/>
      <c r="ICQ11" s="53"/>
      <c r="ICR11" s="53"/>
      <c r="ICS11" s="53"/>
      <c r="ICT11" s="53"/>
      <c r="ICU11" s="53"/>
      <c r="ICV11" s="53"/>
      <c r="ICW11" s="53"/>
      <c r="ICX11" s="53"/>
      <c r="ICY11" s="53"/>
      <c r="ICZ11" s="53"/>
      <c r="IDA11" s="53"/>
      <c r="IDB11" s="53"/>
      <c r="IDC11" s="53"/>
      <c r="IDD11" s="53"/>
      <c r="IDE11" s="53"/>
      <c r="IDF11" s="53"/>
      <c r="IDG11" s="53"/>
      <c r="IDH11" s="53"/>
      <c r="IDI11" s="53"/>
      <c r="IDJ11" s="53"/>
      <c r="IDK11" s="53"/>
      <c r="IDL11" s="53"/>
      <c r="IDM11" s="53"/>
      <c r="IDN11" s="53"/>
      <c r="IDO11" s="53"/>
      <c r="IDP11" s="53"/>
      <c r="IDQ11" s="53"/>
      <c r="IDR11" s="53"/>
      <c r="IDS11" s="53"/>
      <c r="IDT11" s="53"/>
      <c r="IDU11" s="53"/>
      <c r="IDV11" s="53"/>
      <c r="IDW11" s="53"/>
      <c r="IDX11" s="53"/>
      <c r="IDY11" s="53"/>
      <c r="IDZ11" s="53"/>
      <c r="IEA11" s="53"/>
      <c r="IEB11" s="53"/>
      <c r="IEC11" s="53"/>
      <c r="IED11" s="53"/>
      <c r="IEE11" s="53"/>
      <c r="IEF11" s="53"/>
      <c r="IEG11" s="53"/>
      <c r="IEH11" s="53"/>
      <c r="IEI11" s="53"/>
      <c r="IEJ11" s="53"/>
      <c r="IEK11" s="53"/>
      <c r="IEL11" s="53"/>
      <c r="IEM11" s="53"/>
      <c r="IEN11" s="53"/>
      <c r="IEO11" s="53"/>
      <c r="IEP11" s="53"/>
      <c r="IEQ11" s="53"/>
      <c r="IER11" s="53"/>
      <c r="IES11" s="53"/>
      <c r="IET11" s="53"/>
      <c r="IEU11" s="53"/>
      <c r="IEV11" s="53"/>
      <c r="IEW11" s="53"/>
      <c r="IEX11" s="53"/>
      <c r="IEY11" s="53"/>
      <c r="IEZ11" s="53"/>
      <c r="IFA11" s="53"/>
      <c r="IFB11" s="53"/>
      <c r="IFC11" s="53"/>
      <c r="IFD11" s="53"/>
      <c r="IFE11" s="53"/>
      <c r="IFF11" s="53"/>
      <c r="IFG11" s="53"/>
      <c r="IFH11" s="53"/>
      <c r="IFI11" s="53"/>
      <c r="IFJ11" s="53"/>
      <c r="IFK11" s="53"/>
      <c r="IFL11" s="53"/>
      <c r="IFM11" s="53"/>
      <c r="IFN11" s="53"/>
      <c r="IFO11" s="53"/>
      <c r="IFP11" s="53"/>
      <c r="IFQ11" s="53"/>
      <c r="IFR11" s="53"/>
      <c r="IFS11" s="53"/>
      <c r="IFT11" s="53"/>
      <c r="IFU11" s="53"/>
      <c r="IFV11" s="53"/>
      <c r="IFW11" s="53"/>
      <c r="IFX11" s="53"/>
      <c r="IFY11" s="53"/>
      <c r="IFZ11" s="53"/>
      <c r="IGA11" s="53"/>
      <c r="IGB11" s="53"/>
      <c r="IGC11" s="53"/>
      <c r="IGD11" s="53"/>
      <c r="IGE11" s="53"/>
      <c r="IGF11" s="53"/>
      <c r="IGG11" s="53"/>
      <c r="IGH11" s="53"/>
      <c r="IGI11" s="53"/>
      <c r="IGJ11" s="53"/>
      <c r="IGK11" s="53"/>
      <c r="IGL11" s="53"/>
      <c r="IGM11" s="53"/>
      <c r="IGN11" s="53"/>
      <c r="IGO11" s="53"/>
      <c r="IGP11" s="53"/>
      <c r="IGQ11" s="53"/>
      <c r="IGR11" s="53"/>
      <c r="IGS11" s="53"/>
      <c r="IGT11" s="53"/>
      <c r="IGU11" s="53"/>
      <c r="IGV11" s="53"/>
      <c r="IGW11" s="53"/>
      <c r="IGX11" s="53"/>
      <c r="IGY11" s="53"/>
      <c r="IGZ11" s="53"/>
      <c r="IHA11" s="53"/>
      <c r="IHB11" s="53"/>
      <c r="IHC11" s="53"/>
      <c r="IHD11" s="53"/>
      <c r="IHE11" s="53"/>
      <c r="IHF11" s="53"/>
      <c r="IHG11" s="53"/>
      <c r="IHH11" s="53"/>
      <c r="IHI11" s="53"/>
      <c r="IHJ11" s="53"/>
      <c r="IHK11" s="53"/>
      <c r="IHL11" s="53"/>
      <c r="IHM11" s="53"/>
      <c r="IHN11" s="53"/>
      <c r="IHO11" s="53"/>
      <c r="IHP11" s="53"/>
      <c r="IHQ11" s="53"/>
      <c r="IHR11" s="53"/>
      <c r="IHS11" s="53"/>
      <c r="IHT11" s="53"/>
      <c r="IHU11" s="53"/>
      <c r="IHV11" s="53"/>
      <c r="IHW11" s="53"/>
      <c r="IHX11" s="53"/>
      <c r="IHY11" s="53"/>
      <c r="IHZ11" s="53"/>
      <c r="IIA11" s="53"/>
      <c r="IIB11" s="53"/>
      <c r="IIC11" s="53"/>
      <c r="IID11" s="53"/>
      <c r="IIE11" s="53"/>
      <c r="IIF11" s="53"/>
      <c r="IIG11" s="53"/>
      <c r="IIH11" s="53"/>
      <c r="III11" s="53"/>
      <c r="IIJ11" s="53"/>
      <c r="IIK11" s="53"/>
      <c r="IIL11" s="53"/>
      <c r="IIM11" s="53"/>
      <c r="IIN11" s="53"/>
      <c r="IIO11" s="53"/>
      <c r="IIP11" s="53"/>
      <c r="IIQ11" s="53"/>
      <c r="IIR11" s="53"/>
      <c r="IIS11" s="53"/>
      <c r="IIT11" s="53"/>
      <c r="IIU11" s="53"/>
      <c r="IIV11" s="53"/>
      <c r="IIW11" s="53"/>
      <c r="IIX11" s="53"/>
      <c r="IIY11" s="53"/>
      <c r="IIZ11" s="53"/>
      <c r="IJA11" s="53"/>
      <c r="IJB11" s="53"/>
      <c r="IJC11" s="53"/>
      <c r="IJD11" s="53"/>
      <c r="IJE11" s="53"/>
      <c r="IJF11" s="53"/>
      <c r="IJG11" s="53"/>
      <c r="IJH11" s="53"/>
      <c r="IJI11" s="53"/>
      <c r="IJJ11" s="53"/>
      <c r="IJK11" s="53"/>
      <c r="IJL11" s="53"/>
      <c r="IJM11" s="53"/>
      <c r="IJN11" s="53"/>
      <c r="IJO11" s="53"/>
      <c r="IJP11" s="53"/>
      <c r="IJQ11" s="53"/>
      <c r="IJR11" s="53"/>
      <c r="IJS11" s="53"/>
      <c r="IJT11" s="53"/>
      <c r="IJU11" s="53"/>
      <c r="IJV11" s="53"/>
      <c r="IJW11" s="53"/>
      <c r="IJX11" s="53"/>
      <c r="IJY11" s="53"/>
      <c r="IJZ11" s="53"/>
      <c r="IKA11" s="53"/>
      <c r="IKB11" s="53"/>
      <c r="IKC11" s="53"/>
      <c r="IKD11" s="53"/>
      <c r="IKE11" s="53"/>
      <c r="IKF11" s="53"/>
      <c r="IKG11" s="53"/>
      <c r="IKH11" s="53"/>
      <c r="IKI11" s="53"/>
      <c r="IKJ11" s="53"/>
      <c r="IKK11" s="53"/>
      <c r="IKL11" s="53"/>
      <c r="IKM11" s="53"/>
      <c r="IKN11" s="53"/>
      <c r="IKO11" s="53"/>
      <c r="IKP11" s="53"/>
      <c r="IKQ11" s="53"/>
      <c r="IKR11" s="53"/>
      <c r="IKS11" s="53"/>
      <c r="IKT11" s="53"/>
      <c r="IKU11" s="53"/>
      <c r="IKV11" s="53"/>
      <c r="IKW11" s="53"/>
      <c r="IKX11" s="53"/>
      <c r="IKY11" s="53"/>
      <c r="IKZ11" s="53"/>
      <c r="ILA11" s="53"/>
      <c r="ILB11" s="53"/>
      <c r="ILC11" s="53"/>
      <c r="ILD11" s="53"/>
      <c r="ILE11" s="53"/>
      <c r="ILF11" s="53"/>
      <c r="ILG11" s="53"/>
      <c r="ILH11" s="53"/>
      <c r="ILI11" s="53"/>
      <c r="ILJ11" s="53"/>
      <c r="ILK11" s="53"/>
      <c r="ILL11" s="53"/>
      <c r="ILM11" s="53"/>
      <c r="ILN11" s="53"/>
      <c r="ILO11" s="53"/>
      <c r="ILP11" s="53"/>
      <c r="ILQ11" s="53"/>
      <c r="ILR11" s="53"/>
      <c r="ILS11" s="53"/>
      <c r="ILT11" s="53"/>
      <c r="ILU11" s="53"/>
      <c r="ILV11" s="53"/>
      <c r="ILW11" s="53"/>
      <c r="ILX11" s="53"/>
      <c r="ILY11" s="53"/>
      <c r="ILZ11" s="53"/>
      <c r="IMA11" s="53"/>
      <c r="IMB11" s="53"/>
      <c r="IMC11" s="53"/>
      <c r="IMD11" s="53"/>
      <c r="IME11" s="53"/>
      <c r="IMF11" s="53"/>
      <c r="IMG11" s="53"/>
      <c r="IMH11" s="53"/>
      <c r="IMI11" s="53"/>
      <c r="IMJ11" s="53"/>
      <c r="IMK11" s="53"/>
      <c r="IML11" s="53"/>
      <c r="IMM11" s="53"/>
      <c r="IMN11" s="53"/>
      <c r="IMO11" s="53"/>
      <c r="IMP11" s="53"/>
      <c r="IMQ11" s="53"/>
      <c r="IMR11" s="53"/>
      <c r="IMS11" s="53"/>
      <c r="IMT11" s="53"/>
      <c r="IMU11" s="53"/>
      <c r="IMV11" s="53"/>
      <c r="IMW11" s="53"/>
      <c r="IMX11" s="53"/>
      <c r="IMY11" s="53"/>
      <c r="IMZ11" s="53"/>
      <c r="INA11" s="53"/>
      <c r="INB11" s="53"/>
      <c r="INC11" s="53"/>
      <c r="IND11" s="53"/>
      <c r="INE11" s="53"/>
      <c r="INF11" s="53"/>
      <c r="ING11" s="53"/>
      <c r="INH11" s="53"/>
      <c r="INI11" s="53"/>
      <c r="INJ11" s="53"/>
      <c r="INK11" s="53"/>
      <c r="INL11" s="53"/>
      <c r="INM11" s="53"/>
      <c r="INN11" s="53"/>
      <c r="INO11" s="53"/>
      <c r="INP11" s="53"/>
      <c r="INQ11" s="53"/>
      <c r="INR11" s="53"/>
      <c r="INS11" s="53"/>
      <c r="INT11" s="53"/>
      <c r="INU11" s="53"/>
      <c r="INV11" s="53"/>
      <c r="INW11" s="53"/>
      <c r="INX11" s="53"/>
      <c r="INY11" s="53"/>
      <c r="INZ11" s="53"/>
      <c r="IOA11" s="53"/>
      <c r="IOB11" s="53"/>
      <c r="IOC11" s="53"/>
      <c r="IOD11" s="53"/>
      <c r="IOE11" s="53"/>
      <c r="IOF11" s="53"/>
      <c r="IOG11" s="53"/>
      <c r="IOH11" s="53"/>
      <c r="IOI11" s="53"/>
      <c r="IOJ11" s="53"/>
      <c r="IOK11" s="53"/>
      <c r="IOL11" s="53"/>
      <c r="IOM11" s="53"/>
      <c r="ION11" s="53"/>
      <c r="IOO11" s="53"/>
      <c r="IOP11" s="53"/>
      <c r="IOQ11" s="53"/>
      <c r="IOR11" s="53"/>
      <c r="IOS11" s="53"/>
      <c r="IOT11" s="53"/>
      <c r="IOU11" s="53"/>
      <c r="IOV11" s="53"/>
      <c r="IOW11" s="53"/>
      <c r="IOX11" s="53"/>
      <c r="IOY11" s="53"/>
      <c r="IOZ11" s="53"/>
      <c r="IPA11" s="53"/>
      <c r="IPB11" s="53"/>
      <c r="IPC11" s="53"/>
      <c r="IPD11" s="53"/>
      <c r="IPE11" s="53"/>
      <c r="IPF11" s="53"/>
      <c r="IPG11" s="53"/>
      <c r="IPH11" s="53"/>
      <c r="IPI11" s="53"/>
      <c r="IPJ11" s="53"/>
      <c r="IPK11" s="53"/>
      <c r="IPL11" s="53"/>
      <c r="IPM11" s="53"/>
      <c r="IPN11" s="53"/>
      <c r="IPO11" s="53"/>
      <c r="IPP11" s="53"/>
      <c r="IPQ11" s="53"/>
      <c r="IPR11" s="53"/>
      <c r="IPS11" s="53"/>
      <c r="IPT11" s="53"/>
      <c r="IPU11" s="53"/>
      <c r="IPV11" s="53"/>
      <c r="IPW11" s="53"/>
      <c r="IPX11" s="53"/>
      <c r="IPY11" s="53"/>
      <c r="IPZ11" s="53"/>
      <c r="IQA11" s="53"/>
      <c r="IQB11" s="53"/>
      <c r="IQC11" s="53"/>
      <c r="IQD11" s="53"/>
      <c r="IQE11" s="53"/>
      <c r="IQF11" s="53"/>
      <c r="IQG11" s="53"/>
      <c r="IQH11" s="53"/>
      <c r="IQI11" s="53"/>
      <c r="IQJ11" s="53"/>
      <c r="IQK11" s="53"/>
      <c r="IQL11" s="53"/>
      <c r="IQM11" s="53"/>
      <c r="IQN11" s="53"/>
      <c r="IQO11" s="53"/>
      <c r="IQP11" s="53"/>
      <c r="IQQ11" s="53"/>
      <c r="IQR11" s="53"/>
      <c r="IQS11" s="53"/>
      <c r="IQT11" s="53"/>
      <c r="IQU11" s="53"/>
      <c r="IQV11" s="53"/>
      <c r="IQW11" s="53"/>
      <c r="IQX11" s="53"/>
      <c r="IQY11" s="53"/>
      <c r="IQZ11" s="53"/>
      <c r="IRA11" s="53"/>
      <c r="IRB11" s="53"/>
      <c r="IRC11" s="53"/>
      <c r="IRD11" s="53"/>
      <c r="IRE11" s="53"/>
      <c r="IRF11" s="53"/>
      <c r="IRG11" s="53"/>
      <c r="IRH11" s="53"/>
      <c r="IRI11" s="53"/>
      <c r="IRJ11" s="53"/>
      <c r="IRK11" s="53"/>
      <c r="IRL11" s="53"/>
      <c r="IRM11" s="53"/>
      <c r="IRN11" s="53"/>
      <c r="IRO11" s="53"/>
      <c r="IRP11" s="53"/>
      <c r="IRQ11" s="53"/>
      <c r="IRR11" s="53"/>
      <c r="IRS11" s="53"/>
      <c r="IRT11" s="53"/>
      <c r="IRU11" s="53"/>
      <c r="IRV11" s="53"/>
      <c r="IRW11" s="53"/>
      <c r="IRX11" s="53"/>
      <c r="IRY11" s="53"/>
      <c r="IRZ11" s="53"/>
      <c r="ISA11" s="53"/>
      <c r="ISB11" s="53"/>
      <c r="ISC11" s="53"/>
      <c r="ISD11" s="53"/>
      <c r="ISE11" s="53"/>
      <c r="ISF11" s="53"/>
      <c r="ISG11" s="53"/>
      <c r="ISH11" s="53"/>
      <c r="ISI11" s="53"/>
      <c r="ISJ11" s="53"/>
      <c r="ISK11" s="53"/>
      <c r="ISL11" s="53"/>
      <c r="ISM11" s="53"/>
      <c r="ISN11" s="53"/>
      <c r="ISO11" s="53"/>
      <c r="ISP11" s="53"/>
      <c r="ISQ11" s="53"/>
      <c r="ISR11" s="53"/>
      <c r="ISS11" s="53"/>
      <c r="IST11" s="53"/>
      <c r="ISU11" s="53"/>
      <c r="ISV11" s="53"/>
      <c r="ISW11" s="53"/>
      <c r="ISX11" s="53"/>
      <c r="ISY11" s="53"/>
      <c r="ISZ11" s="53"/>
      <c r="ITA11" s="53"/>
      <c r="ITB11" s="53"/>
      <c r="ITC11" s="53"/>
      <c r="ITD11" s="53"/>
      <c r="ITE11" s="53"/>
      <c r="ITF11" s="53"/>
      <c r="ITG11" s="53"/>
      <c r="ITH11" s="53"/>
      <c r="ITI11" s="53"/>
      <c r="ITJ11" s="53"/>
      <c r="ITK11" s="53"/>
      <c r="ITL11" s="53"/>
      <c r="ITM11" s="53"/>
      <c r="ITN11" s="53"/>
      <c r="ITO11" s="53"/>
      <c r="ITP11" s="53"/>
      <c r="ITQ11" s="53"/>
      <c r="ITR11" s="53"/>
      <c r="ITS11" s="53"/>
      <c r="ITT11" s="53"/>
      <c r="ITU11" s="53"/>
      <c r="ITV11" s="53"/>
      <c r="ITW11" s="53"/>
      <c r="ITX11" s="53"/>
      <c r="ITY11" s="53"/>
      <c r="ITZ11" s="53"/>
      <c r="IUA11" s="53"/>
      <c r="IUB11" s="53"/>
      <c r="IUC11" s="53"/>
      <c r="IUD11" s="53"/>
      <c r="IUE11" s="53"/>
      <c r="IUF11" s="53"/>
      <c r="IUG11" s="53"/>
      <c r="IUH11" s="53"/>
      <c r="IUI11" s="53"/>
      <c r="IUJ11" s="53"/>
      <c r="IUK11" s="53"/>
      <c r="IUL11" s="53"/>
      <c r="IUM11" s="53"/>
      <c r="IUN11" s="53"/>
      <c r="IUO11" s="53"/>
      <c r="IUP11" s="53"/>
      <c r="IUQ11" s="53"/>
      <c r="IUR11" s="53"/>
      <c r="IUS11" s="53"/>
      <c r="IUT11" s="53"/>
      <c r="IUU11" s="53"/>
      <c r="IUV11" s="53"/>
      <c r="IUW11" s="53"/>
      <c r="IUX11" s="53"/>
      <c r="IUY11" s="53"/>
      <c r="IUZ11" s="53"/>
      <c r="IVA11" s="53"/>
      <c r="IVB11" s="53"/>
      <c r="IVC11" s="53"/>
      <c r="IVD11" s="53"/>
      <c r="IVE11" s="53"/>
      <c r="IVF11" s="53"/>
      <c r="IVG11" s="53"/>
      <c r="IVH11" s="53"/>
      <c r="IVI11" s="53"/>
      <c r="IVJ11" s="53"/>
      <c r="IVK11" s="53"/>
      <c r="IVL11" s="53"/>
      <c r="IVM11" s="53"/>
      <c r="IVN11" s="53"/>
      <c r="IVO11" s="53"/>
      <c r="IVP11" s="53"/>
      <c r="IVQ11" s="53"/>
      <c r="IVR11" s="53"/>
      <c r="IVS11" s="53"/>
      <c r="IVT11" s="53"/>
      <c r="IVU11" s="53"/>
      <c r="IVV11" s="53"/>
      <c r="IVW11" s="53"/>
      <c r="IVX11" s="53"/>
      <c r="IVY11" s="53"/>
      <c r="IVZ11" s="53"/>
      <c r="IWA11" s="53"/>
      <c r="IWB11" s="53"/>
      <c r="IWC11" s="53"/>
      <c r="IWD11" s="53"/>
      <c r="IWE11" s="53"/>
      <c r="IWF11" s="53"/>
      <c r="IWG11" s="53"/>
      <c r="IWH11" s="53"/>
      <c r="IWI11" s="53"/>
      <c r="IWJ11" s="53"/>
      <c r="IWK11" s="53"/>
      <c r="IWL11" s="53"/>
      <c r="IWM11" s="53"/>
      <c r="IWN11" s="53"/>
      <c r="IWO11" s="53"/>
      <c r="IWP11" s="53"/>
      <c r="IWQ11" s="53"/>
      <c r="IWR11" s="53"/>
      <c r="IWS11" s="53"/>
      <c r="IWT11" s="53"/>
      <c r="IWU11" s="53"/>
      <c r="IWV11" s="53"/>
      <c r="IWW11" s="53"/>
      <c r="IWX11" s="53"/>
      <c r="IWY11" s="53"/>
      <c r="IWZ11" s="53"/>
      <c r="IXA11" s="53"/>
      <c r="IXB11" s="53"/>
      <c r="IXC11" s="53"/>
      <c r="IXD11" s="53"/>
      <c r="IXE11" s="53"/>
      <c r="IXF11" s="53"/>
      <c r="IXG11" s="53"/>
      <c r="IXH11" s="53"/>
      <c r="IXI11" s="53"/>
      <c r="IXJ11" s="53"/>
      <c r="IXK11" s="53"/>
      <c r="IXL11" s="53"/>
      <c r="IXM11" s="53"/>
      <c r="IXN11" s="53"/>
      <c r="IXO11" s="53"/>
      <c r="IXP11" s="53"/>
      <c r="IXQ11" s="53"/>
      <c r="IXR11" s="53"/>
      <c r="IXS11" s="53"/>
      <c r="IXT11" s="53"/>
      <c r="IXU11" s="53"/>
      <c r="IXV11" s="53"/>
      <c r="IXW11" s="53"/>
      <c r="IXX11" s="53"/>
      <c r="IXY11" s="53"/>
      <c r="IXZ11" s="53"/>
      <c r="IYA11" s="53"/>
      <c r="IYB11" s="53"/>
      <c r="IYC11" s="53"/>
      <c r="IYD11" s="53"/>
      <c r="IYE11" s="53"/>
      <c r="IYF11" s="53"/>
      <c r="IYG11" s="53"/>
      <c r="IYH11" s="53"/>
      <c r="IYI11" s="53"/>
      <c r="IYJ11" s="53"/>
      <c r="IYK11" s="53"/>
      <c r="IYL11" s="53"/>
      <c r="IYM11" s="53"/>
      <c r="IYN11" s="53"/>
      <c r="IYO11" s="53"/>
      <c r="IYP11" s="53"/>
      <c r="IYQ11" s="53"/>
      <c r="IYR11" s="53"/>
      <c r="IYS11" s="53"/>
      <c r="IYT11" s="53"/>
      <c r="IYU11" s="53"/>
      <c r="IYV11" s="53"/>
      <c r="IYW11" s="53"/>
      <c r="IYX11" s="53"/>
      <c r="IYY11" s="53"/>
      <c r="IYZ11" s="53"/>
      <c r="IZA11" s="53"/>
      <c r="IZB11" s="53"/>
      <c r="IZC11" s="53"/>
      <c r="IZD11" s="53"/>
      <c r="IZE11" s="53"/>
      <c r="IZF11" s="53"/>
      <c r="IZG11" s="53"/>
      <c r="IZH11" s="53"/>
      <c r="IZI11" s="53"/>
      <c r="IZJ11" s="53"/>
      <c r="IZK11" s="53"/>
      <c r="IZL11" s="53"/>
      <c r="IZM11" s="53"/>
      <c r="IZN11" s="53"/>
      <c r="IZO11" s="53"/>
      <c r="IZP11" s="53"/>
      <c r="IZQ11" s="53"/>
      <c r="IZR11" s="53"/>
      <c r="IZS11" s="53"/>
      <c r="IZT11" s="53"/>
      <c r="IZU11" s="53"/>
      <c r="IZV11" s="53"/>
      <c r="IZW11" s="53"/>
      <c r="IZX11" s="53"/>
      <c r="IZY11" s="53"/>
      <c r="IZZ11" s="53"/>
      <c r="JAA11" s="53"/>
      <c r="JAB11" s="53"/>
      <c r="JAC11" s="53"/>
      <c r="JAD11" s="53"/>
      <c r="JAE11" s="53"/>
      <c r="JAF11" s="53"/>
      <c r="JAG11" s="53"/>
      <c r="JAH11" s="53"/>
      <c r="JAI11" s="53"/>
      <c r="JAJ11" s="53"/>
      <c r="JAK11" s="53"/>
      <c r="JAL11" s="53"/>
      <c r="JAM11" s="53"/>
      <c r="JAN11" s="53"/>
      <c r="JAO11" s="53"/>
      <c r="JAP11" s="53"/>
      <c r="JAQ11" s="53"/>
      <c r="JAR11" s="53"/>
      <c r="JAS11" s="53"/>
      <c r="JAT11" s="53"/>
      <c r="JAU11" s="53"/>
      <c r="JAV11" s="53"/>
      <c r="JAW11" s="53"/>
      <c r="JAX11" s="53"/>
      <c r="JAY11" s="53"/>
      <c r="JAZ11" s="53"/>
      <c r="JBA11" s="53"/>
      <c r="JBB11" s="53"/>
      <c r="JBC11" s="53"/>
      <c r="JBD11" s="53"/>
      <c r="JBE11" s="53"/>
      <c r="JBF11" s="53"/>
      <c r="JBG11" s="53"/>
      <c r="JBH11" s="53"/>
      <c r="JBI11" s="53"/>
      <c r="JBJ11" s="53"/>
      <c r="JBK11" s="53"/>
      <c r="JBL11" s="53"/>
      <c r="JBM11" s="53"/>
      <c r="JBN11" s="53"/>
      <c r="JBO11" s="53"/>
      <c r="JBP11" s="53"/>
      <c r="JBQ11" s="53"/>
      <c r="JBR11" s="53"/>
      <c r="JBS11" s="53"/>
      <c r="JBT11" s="53"/>
      <c r="JBU11" s="53"/>
      <c r="JBV11" s="53"/>
      <c r="JBW11" s="53"/>
      <c r="JBX11" s="53"/>
      <c r="JBY11" s="53"/>
      <c r="JBZ11" s="53"/>
      <c r="JCA11" s="53"/>
      <c r="JCB11" s="53"/>
      <c r="JCC11" s="53"/>
      <c r="JCD11" s="53"/>
      <c r="JCE11" s="53"/>
      <c r="JCF11" s="53"/>
      <c r="JCG11" s="53"/>
      <c r="JCH11" s="53"/>
      <c r="JCI11" s="53"/>
      <c r="JCJ11" s="53"/>
      <c r="JCK11" s="53"/>
      <c r="JCL11" s="53"/>
      <c r="JCM11" s="53"/>
      <c r="JCN11" s="53"/>
      <c r="JCO11" s="53"/>
      <c r="JCP11" s="53"/>
      <c r="JCQ11" s="53"/>
      <c r="JCR11" s="53"/>
      <c r="JCS11" s="53"/>
      <c r="JCT11" s="53"/>
      <c r="JCU11" s="53"/>
      <c r="JCV11" s="53"/>
      <c r="JCW11" s="53"/>
      <c r="JCX11" s="53"/>
      <c r="JCY11" s="53"/>
      <c r="JCZ11" s="53"/>
      <c r="JDA11" s="53"/>
      <c r="JDB11" s="53"/>
      <c r="JDC11" s="53"/>
      <c r="JDD11" s="53"/>
      <c r="JDE11" s="53"/>
      <c r="JDF11" s="53"/>
      <c r="JDG11" s="53"/>
      <c r="JDH11" s="53"/>
      <c r="JDI11" s="53"/>
      <c r="JDJ11" s="53"/>
      <c r="JDK11" s="53"/>
      <c r="JDL11" s="53"/>
      <c r="JDM11" s="53"/>
      <c r="JDN11" s="53"/>
      <c r="JDO11" s="53"/>
      <c r="JDP11" s="53"/>
      <c r="JDQ11" s="53"/>
      <c r="JDR11" s="53"/>
      <c r="JDS11" s="53"/>
      <c r="JDT11" s="53"/>
      <c r="JDU11" s="53"/>
      <c r="JDV11" s="53"/>
      <c r="JDW11" s="53"/>
      <c r="JDX11" s="53"/>
      <c r="JDY11" s="53"/>
      <c r="JDZ11" s="53"/>
      <c r="JEA11" s="53"/>
      <c r="JEB11" s="53"/>
      <c r="JEC11" s="53"/>
      <c r="JED11" s="53"/>
      <c r="JEE11" s="53"/>
      <c r="JEF11" s="53"/>
      <c r="JEG11" s="53"/>
      <c r="JEH11" s="53"/>
      <c r="JEI11" s="53"/>
      <c r="JEJ11" s="53"/>
      <c r="JEK11" s="53"/>
      <c r="JEL11" s="53"/>
      <c r="JEM11" s="53"/>
      <c r="JEN11" s="53"/>
      <c r="JEO11" s="53"/>
      <c r="JEP11" s="53"/>
      <c r="JEQ11" s="53"/>
      <c r="JER11" s="53"/>
      <c r="JES11" s="53"/>
      <c r="JET11" s="53"/>
      <c r="JEU11" s="53"/>
      <c r="JEV11" s="53"/>
      <c r="JEW11" s="53"/>
      <c r="JEX11" s="53"/>
      <c r="JEY11" s="53"/>
      <c r="JEZ11" s="53"/>
      <c r="JFA11" s="53"/>
      <c r="JFB11" s="53"/>
      <c r="JFC11" s="53"/>
      <c r="JFD11" s="53"/>
      <c r="JFE11" s="53"/>
      <c r="JFF11" s="53"/>
      <c r="JFG11" s="53"/>
      <c r="JFH11" s="53"/>
      <c r="JFI11" s="53"/>
      <c r="JFJ11" s="53"/>
      <c r="JFK11" s="53"/>
      <c r="JFL11" s="53"/>
      <c r="JFM11" s="53"/>
      <c r="JFN11" s="53"/>
      <c r="JFO11" s="53"/>
      <c r="JFP11" s="53"/>
      <c r="JFQ11" s="53"/>
      <c r="JFR11" s="53"/>
      <c r="JFS11" s="53"/>
      <c r="JFT11" s="53"/>
      <c r="JFU11" s="53"/>
      <c r="JFV11" s="53"/>
      <c r="JFW11" s="53"/>
      <c r="JFX11" s="53"/>
      <c r="JFY11" s="53"/>
      <c r="JFZ11" s="53"/>
      <c r="JGA11" s="53"/>
      <c r="JGB11" s="53"/>
      <c r="JGC11" s="53"/>
      <c r="JGD11" s="53"/>
      <c r="JGE11" s="53"/>
      <c r="JGF11" s="53"/>
      <c r="JGG11" s="53"/>
      <c r="JGH11" s="53"/>
      <c r="JGI11" s="53"/>
      <c r="JGJ11" s="53"/>
      <c r="JGK11" s="53"/>
      <c r="JGL11" s="53"/>
      <c r="JGM11" s="53"/>
      <c r="JGN11" s="53"/>
      <c r="JGO11" s="53"/>
      <c r="JGP11" s="53"/>
      <c r="JGQ11" s="53"/>
      <c r="JGR11" s="53"/>
      <c r="JGS11" s="53"/>
      <c r="JGT11" s="53"/>
      <c r="JGU11" s="53"/>
      <c r="JGV11" s="53"/>
      <c r="JGW11" s="53"/>
      <c r="JGX11" s="53"/>
      <c r="JGY11" s="53"/>
      <c r="JGZ11" s="53"/>
      <c r="JHA11" s="53"/>
      <c r="JHB11" s="53"/>
      <c r="JHC11" s="53"/>
      <c r="JHD11" s="53"/>
      <c r="JHE11" s="53"/>
      <c r="JHF11" s="53"/>
      <c r="JHG11" s="53"/>
      <c r="JHH11" s="53"/>
      <c r="JHI11" s="53"/>
      <c r="JHJ11" s="53"/>
      <c r="JHK11" s="53"/>
      <c r="JHL11" s="53"/>
      <c r="JHM11" s="53"/>
      <c r="JHN11" s="53"/>
      <c r="JHO11" s="53"/>
      <c r="JHP11" s="53"/>
      <c r="JHQ11" s="53"/>
      <c r="JHR11" s="53"/>
      <c r="JHS11" s="53"/>
      <c r="JHT11" s="53"/>
      <c r="JHU11" s="53"/>
      <c r="JHV11" s="53"/>
      <c r="JHW11" s="53"/>
      <c r="JHX11" s="53"/>
      <c r="JHY11" s="53"/>
      <c r="JHZ11" s="53"/>
      <c r="JIA11" s="53"/>
      <c r="JIB11" s="53"/>
      <c r="JIC11" s="53"/>
      <c r="JID11" s="53"/>
      <c r="JIE11" s="53"/>
      <c r="JIF11" s="53"/>
      <c r="JIG11" s="53"/>
      <c r="JIH11" s="53"/>
      <c r="JII11" s="53"/>
      <c r="JIJ11" s="53"/>
      <c r="JIK11" s="53"/>
      <c r="JIL11" s="53"/>
      <c r="JIM11" s="53"/>
      <c r="JIN11" s="53"/>
      <c r="JIO11" s="53"/>
      <c r="JIP11" s="53"/>
      <c r="JIQ11" s="53"/>
      <c r="JIR11" s="53"/>
      <c r="JIS11" s="53"/>
      <c r="JIT11" s="53"/>
      <c r="JIU11" s="53"/>
      <c r="JIV11" s="53"/>
      <c r="JIW11" s="53"/>
      <c r="JIX11" s="53"/>
      <c r="JIY11" s="53"/>
      <c r="JIZ11" s="53"/>
      <c r="JJA11" s="53"/>
      <c r="JJB11" s="53"/>
      <c r="JJC11" s="53"/>
      <c r="JJD11" s="53"/>
      <c r="JJE11" s="53"/>
      <c r="JJF11" s="53"/>
      <c r="JJG11" s="53"/>
      <c r="JJH11" s="53"/>
      <c r="JJI11" s="53"/>
      <c r="JJJ11" s="53"/>
      <c r="JJK11" s="53"/>
      <c r="JJL11" s="53"/>
      <c r="JJM11" s="53"/>
      <c r="JJN11" s="53"/>
      <c r="JJO11" s="53"/>
      <c r="JJP11" s="53"/>
      <c r="JJQ11" s="53"/>
      <c r="JJR11" s="53"/>
      <c r="JJS11" s="53"/>
      <c r="JJT11" s="53"/>
      <c r="JJU11" s="53"/>
      <c r="JJV11" s="53"/>
      <c r="JJW11" s="53"/>
      <c r="JJX11" s="53"/>
      <c r="JJY11" s="53"/>
      <c r="JJZ11" s="53"/>
      <c r="JKA11" s="53"/>
      <c r="JKB11" s="53"/>
      <c r="JKC11" s="53"/>
      <c r="JKD11" s="53"/>
      <c r="JKE11" s="53"/>
      <c r="JKF11" s="53"/>
      <c r="JKG11" s="53"/>
      <c r="JKH11" s="53"/>
      <c r="JKI11" s="53"/>
      <c r="JKJ11" s="53"/>
      <c r="JKK11" s="53"/>
      <c r="JKL11" s="53"/>
      <c r="JKM11" s="53"/>
      <c r="JKN11" s="53"/>
      <c r="JKO11" s="53"/>
      <c r="JKP11" s="53"/>
      <c r="JKQ11" s="53"/>
      <c r="JKR11" s="53"/>
      <c r="JKS11" s="53"/>
      <c r="JKT11" s="53"/>
      <c r="JKU11" s="53"/>
      <c r="JKV11" s="53"/>
      <c r="JKW11" s="53"/>
      <c r="JKX11" s="53"/>
      <c r="JKY11" s="53"/>
      <c r="JKZ11" s="53"/>
      <c r="JLA11" s="53"/>
      <c r="JLB11" s="53"/>
      <c r="JLC11" s="53"/>
      <c r="JLD11" s="53"/>
      <c r="JLE11" s="53"/>
      <c r="JLF11" s="53"/>
      <c r="JLG11" s="53"/>
      <c r="JLH11" s="53"/>
      <c r="JLI11" s="53"/>
      <c r="JLJ11" s="53"/>
      <c r="JLK11" s="53"/>
      <c r="JLL11" s="53"/>
      <c r="JLM11" s="53"/>
      <c r="JLN11" s="53"/>
      <c r="JLO11" s="53"/>
      <c r="JLP11" s="53"/>
      <c r="JLQ11" s="53"/>
      <c r="JLR11" s="53"/>
      <c r="JLS11" s="53"/>
      <c r="JLT11" s="53"/>
      <c r="JLU11" s="53"/>
      <c r="JLV11" s="53"/>
      <c r="JLW11" s="53"/>
      <c r="JLX11" s="53"/>
      <c r="JLY11" s="53"/>
      <c r="JLZ11" s="53"/>
      <c r="JMA11" s="53"/>
      <c r="JMB11" s="53"/>
      <c r="JMC11" s="53"/>
      <c r="JMD11" s="53"/>
      <c r="JME11" s="53"/>
      <c r="JMF11" s="53"/>
      <c r="JMG11" s="53"/>
      <c r="JMH11" s="53"/>
      <c r="JMI11" s="53"/>
      <c r="JMJ11" s="53"/>
      <c r="JMK11" s="53"/>
      <c r="JML11" s="53"/>
      <c r="JMM11" s="53"/>
      <c r="JMN11" s="53"/>
      <c r="JMO11" s="53"/>
      <c r="JMP11" s="53"/>
      <c r="JMQ11" s="53"/>
      <c r="JMR11" s="53"/>
      <c r="JMS11" s="53"/>
      <c r="JMT11" s="53"/>
      <c r="JMU11" s="53"/>
      <c r="JMV11" s="53"/>
      <c r="JMW11" s="53"/>
      <c r="JMX11" s="53"/>
      <c r="JMY11" s="53"/>
      <c r="JMZ11" s="53"/>
      <c r="JNA11" s="53"/>
      <c r="JNB11" s="53"/>
      <c r="JNC11" s="53"/>
      <c r="JND11" s="53"/>
      <c r="JNE11" s="53"/>
      <c r="JNF11" s="53"/>
      <c r="JNG11" s="53"/>
      <c r="JNH11" s="53"/>
      <c r="JNI11" s="53"/>
      <c r="JNJ11" s="53"/>
      <c r="JNK11" s="53"/>
      <c r="JNL11" s="53"/>
      <c r="JNM11" s="53"/>
      <c r="JNN11" s="53"/>
      <c r="JNO11" s="53"/>
      <c r="JNP11" s="53"/>
      <c r="JNQ11" s="53"/>
      <c r="JNR11" s="53"/>
      <c r="JNS11" s="53"/>
      <c r="JNT11" s="53"/>
      <c r="JNU11" s="53"/>
      <c r="JNV11" s="53"/>
      <c r="JNW11" s="53"/>
      <c r="JNX11" s="53"/>
      <c r="JNY11" s="53"/>
      <c r="JNZ11" s="53"/>
      <c r="JOA11" s="53"/>
      <c r="JOB11" s="53"/>
      <c r="JOC11" s="53"/>
      <c r="JOD11" s="53"/>
      <c r="JOE11" s="53"/>
      <c r="JOF11" s="53"/>
      <c r="JOG11" s="53"/>
      <c r="JOH11" s="53"/>
      <c r="JOI11" s="53"/>
      <c r="JOJ11" s="53"/>
      <c r="JOK11" s="53"/>
      <c r="JOL11" s="53"/>
      <c r="JOM11" s="53"/>
      <c r="JON11" s="53"/>
      <c r="JOO11" s="53"/>
      <c r="JOP11" s="53"/>
      <c r="JOQ11" s="53"/>
      <c r="JOR11" s="53"/>
      <c r="JOS11" s="53"/>
      <c r="JOT11" s="53"/>
      <c r="JOU11" s="53"/>
      <c r="JOV11" s="53"/>
      <c r="JOW11" s="53"/>
      <c r="JOX11" s="53"/>
      <c r="JOY11" s="53"/>
      <c r="JOZ11" s="53"/>
      <c r="JPA11" s="53"/>
      <c r="JPB11" s="53"/>
      <c r="JPC11" s="53"/>
      <c r="JPD11" s="53"/>
      <c r="JPE11" s="53"/>
      <c r="JPF11" s="53"/>
      <c r="JPG11" s="53"/>
      <c r="JPH11" s="53"/>
      <c r="JPI11" s="53"/>
      <c r="JPJ11" s="53"/>
      <c r="JPK11" s="53"/>
      <c r="JPL11" s="53"/>
      <c r="JPM11" s="53"/>
      <c r="JPN11" s="53"/>
      <c r="JPO11" s="53"/>
      <c r="JPP11" s="53"/>
      <c r="JPQ11" s="53"/>
      <c r="JPR11" s="53"/>
      <c r="JPS11" s="53"/>
      <c r="JPT11" s="53"/>
      <c r="JPU11" s="53"/>
      <c r="JPV11" s="53"/>
      <c r="JPW11" s="53"/>
      <c r="JPX11" s="53"/>
      <c r="JPY11" s="53"/>
      <c r="JPZ11" s="53"/>
      <c r="JQA11" s="53"/>
      <c r="JQB11" s="53"/>
      <c r="JQC11" s="53"/>
      <c r="JQD11" s="53"/>
      <c r="JQE11" s="53"/>
      <c r="JQF11" s="53"/>
      <c r="JQG11" s="53"/>
      <c r="JQH11" s="53"/>
      <c r="JQI11" s="53"/>
      <c r="JQJ11" s="53"/>
      <c r="JQK11" s="53"/>
      <c r="JQL11" s="53"/>
      <c r="JQM11" s="53"/>
      <c r="JQN11" s="53"/>
      <c r="JQO11" s="53"/>
      <c r="JQP11" s="53"/>
      <c r="JQQ11" s="53"/>
      <c r="JQR11" s="53"/>
      <c r="JQS11" s="53"/>
      <c r="JQT11" s="53"/>
      <c r="JQU11" s="53"/>
      <c r="JQV11" s="53"/>
      <c r="JQW11" s="53"/>
      <c r="JQX11" s="53"/>
      <c r="JQY11" s="53"/>
      <c r="JQZ11" s="53"/>
      <c r="JRA11" s="53"/>
      <c r="JRB11" s="53"/>
      <c r="JRC11" s="53"/>
      <c r="JRD11" s="53"/>
      <c r="JRE11" s="53"/>
      <c r="JRF11" s="53"/>
      <c r="JRG11" s="53"/>
      <c r="JRH11" s="53"/>
      <c r="JRI11" s="53"/>
      <c r="JRJ11" s="53"/>
      <c r="JRK11" s="53"/>
      <c r="JRL11" s="53"/>
      <c r="JRM11" s="53"/>
      <c r="JRN11" s="53"/>
      <c r="JRO11" s="53"/>
      <c r="JRP11" s="53"/>
      <c r="JRQ11" s="53"/>
      <c r="JRR11" s="53"/>
      <c r="JRS11" s="53"/>
      <c r="JRT11" s="53"/>
      <c r="JRU11" s="53"/>
      <c r="JRV11" s="53"/>
      <c r="JRW11" s="53"/>
      <c r="JRX11" s="53"/>
      <c r="JRY11" s="53"/>
      <c r="JRZ11" s="53"/>
      <c r="JSA11" s="53"/>
      <c r="JSB11" s="53"/>
      <c r="JSC11" s="53"/>
      <c r="JSD11" s="53"/>
      <c r="JSE11" s="53"/>
      <c r="JSF11" s="53"/>
      <c r="JSG11" s="53"/>
      <c r="JSH11" s="53"/>
      <c r="JSI11" s="53"/>
      <c r="JSJ11" s="53"/>
      <c r="JSK11" s="53"/>
      <c r="JSL11" s="53"/>
      <c r="JSM11" s="53"/>
      <c r="JSN11" s="53"/>
      <c r="JSO11" s="53"/>
      <c r="JSP11" s="53"/>
      <c r="JSQ11" s="53"/>
      <c r="JSR11" s="53"/>
      <c r="JSS11" s="53"/>
      <c r="JST11" s="53"/>
      <c r="JSU11" s="53"/>
      <c r="JSV11" s="53"/>
      <c r="JSW11" s="53"/>
      <c r="JSX11" s="53"/>
      <c r="JSY11" s="53"/>
      <c r="JSZ11" s="53"/>
      <c r="JTA11" s="53"/>
      <c r="JTB11" s="53"/>
      <c r="JTC11" s="53"/>
      <c r="JTD11" s="53"/>
      <c r="JTE11" s="53"/>
      <c r="JTF11" s="53"/>
      <c r="JTG11" s="53"/>
      <c r="JTH11" s="53"/>
      <c r="JTI11" s="53"/>
      <c r="JTJ11" s="53"/>
      <c r="JTK11" s="53"/>
      <c r="JTL11" s="53"/>
      <c r="JTM11" s="53"/>
      <c r="JTN11" s="53"/>
      <c r="JTO11" s="53"/>
      <c r="JTP11" s="53"/>
      <c r="JTQ11" s="53"/>
      <c r="JTR11" s="53"/>
      <c r="JTS11" s="53"/>
      <c r="JTT11" s="53"/>
      <c r="JTU11" s="53"/>
      <c r="JTV11" s="53"/>
      <c r="JTW11" s="53"/>
      <c r="JTX11" s="53"/>
      <c r="JTY11" s="53"/>
      <c r="JTZ11" s="53"/>
      <c r="JUA11" s="53"/>
      <c r="JUB11" s="53"/>
      <c r="JUC11" s="53"/>
      <c r="JUD11" s="53"/>
      <c r="JUE11" s="53"/>
      <c r="JUF11" s="53"/>
      <c r="JUG11" s="53"/>
      <c r="JUH11" s="53"/>
      <c r="JUI11" s="53"/>
      <c r="JUJ11" s="53"/>
      <c r="JUK11" s="53"/>
      <c r="JUL11" s="53"/>
      <c r="JUM11" s="53"/>
      <c r="JUN11" s="53"/>
      <c r="JUO11" s="53"/>
      <c r="JUP11" s="53"/>
      <c r="JUQ11" s="53"/>
      <c r="JUR11" s="53"/>
      <c r="JUS11" s="53"/>
      <c r="JUT11" s="53"/>
      <c r="JUU11" s="53"/>
      <c r="JUV11" s="53"/>
      <c r="JUW11" s="53"/>
      <c r="JUX11" s="53"/>
      <c r="JUY11" s="53"/>
      <c r="JUZ11" s="53"/>
      <c r="JVA11" s="53"/>
      <c r="JVB11" s="53"/>
      <c r="JVC11" s="53"/>
      <c r="JVD11" s="53"/>
      <c r="JVE11" s="53"/>
      <c r="JVF11" s="53"/>
      <c r="JVG11" s="53"/>
      <c r="JVH11" s="53"/>
      <c r="JVI11" s="53"/>
      <c r="JVJ11" s="53"/>
      <c r="JVK11" s="53"/>
      <c r="JVL11" s="53"/>
      <c r="JVM11" s="53"/>
      <c r="JVN11" s="53"/>
      <c r="JVO11" s="53"/>
      <c r="JVP11" s="53"/>
      <c r="JVQ11" s="53"/>
      <c r="JVR11" s="53"/>
      <c r="JVS11" s="53"/>
      <c r="JVT11" s="53"/>
      <c r="JVU11" s="53"/>
      <c r="JVV11" s="53"/>
      <c r="JVW11" s="53"/>
      <c r="JVX11" s="53"/>
      <c r="JVY11" s="53"/>
      <c r="JVZ11" s="53"/>
      <c r="JWA11" s="53"/>
      <c r="JWB11" s="53"/>
      <c r="JWC11" s="53"/>
      <c r="JWD11" s="53"/>
      <c r="JWE11" s="53"/>
      <c r="JWF11" s="53"/>
      <c r="JWG11" s="53"/>
      <c r="JWH11" s="53"/>
      <c r="JWI11" s="53"/>
      <c r="JWJ11" s="53"/>
      <c r="JWK11" s="53"/>
      <c r="JWL11" s="53"/>
      <c r="JWM11" s="53"/>
      <c r="JWN11" s="53"/>
      <c r="JWO11" s="53"/>
      <c r="JWP11" s="53"/>
      <c r="JWQ11" s="53"/>
      <c r="JWR11" s="53"/>
      <c r="JWS11" s="53"/>
      <c r="JWT11" s="53"/>
      <c r="JWU11" s="53"/>
      <c r="JWV11" s="53"/>
      <c r="JWW11" s="53"/>
      <c r="JWX11" s="53"/>
      <c r="JWY11" s="53"/>
      <c r="JWZ11" s="53"/>
      <c r="JXA11" s="53"/>
      <c r="JXB11" s="53"/>
      <c r="JXC11" s="53"/>
      <c r="JXD11" s="53"/>
      <c r="JXE11" s="53"/>
      <c r="JXF11" s="53"/>
      <c r="JXG11" s="53"/>
      <c r="JXH11" s="53"/>
      <c r="JXI11" s="53"/>
      <c r="JXJ11" s="53"/>
      <c r="JXK11" s="53"/>
      <c r="JXL11" s="53"/>
      <c r="JXM11" s="53"/>
      <c r="JXN11" s="53"/>
      <c r="JXO11" s="53"/>
      <c r="JXP11" s="53"/>
      <c r="JXQ11" s="53"/>
      <c r="JXR11" s="53"/>
      <c r="JXS11" s="53"/>
      <c r="JXT11" s="53"/>
      <c r="JXU11" s="53"/>
      <c r="JXV11" s="53"/>
      <c r="JXW11" s="53"/>
      <c r="JXX11" s="53"/>
      <c r="JXY11" s="53"/>
      <c r="JXZ11" s="53"/>
      <c r="JYA11" s="53"/>
      <c r="JYB11" s="53"/>
      <c r="JYC11" s="53"/>
      <c r="JYD11" s="53"/>
      <c r="JYE11" s="53"/>
      <c r="JYF11" s="53"/>
      <c r="JYG11" s="53"/>
      <c r="JYH11" s="53"/>
      <c r="JYI11" s="53"/>
      <c r="JYJ11" s="53"/>
      <c r="JYK11" s="53"/>
      <c r="JYL11" s="53"/>
      <c r="JYM11" s="53"/>
      <c r="JYN11" s="53"/>
      <c r="JYO11" s="53"/>
      <c r="JYP11" s="53"/>
      <c r="JYQ11" s="53"/>
      <c r="JYR11" s="53"/>
      <c r="JYS11" s="53"/>
      <c r="JYT11" s="53"/>
      <c r="JYU11" s="53"/>
      <c r="JYV11" s="53"/>
      <c r="JYW11" s="53"/>
      <c r="JYX11" s="53"/>
      <c r="JYY11" s="53"/>
      <c r="JYZ11" s="53"/>
      <c r="JZA11" s="53"/>
      <c r="JZB11" s="53"/>
      <c r="JZC11" s="53"/>
      <c r="JZD11" s="53"/>
      <c r="JZE11" s="53"/>
      <c r="JZF11" s="53"/>
      <c r="JZG11" s="53"/>
      <c r="JZH11" s="53"/>
      <c r="JZI11" s="53"/>
      <c r="JZJ11" s="53"/>
      <c r="JZK11" s="53"/>
      <c r="JZL11" s="53"/>
      <c r="JZM11" s="53"/>
      <c r="JZN11" s="53"/>
      <c r="JZO11" s="53"/>
      <c r="JZP11" s="53"/>
      <c r="JZQ11" s="53"/>
      <c r="JZR11" s="53"/>
      <c r="JZS11" s="53"/>
      <c r="JZT11" s="53"/>
      <c r="JZU11" s="53"/>
      <c r="JZV11" s="53"/>
      <c r="JZW11" s="53"/>
      <c r="JZX11" s="53"/>
      <c r="JZY11" s="53"/>
      <c r="JZZ11" s="53"/>
      <c r="KAA11" s="53"/>
      <c r="KAB11" s="53"/>
      <c r="KAC11" s="53"/>
      <c r="KAD11" s="53"/>
      <c r="KAE11" s="53"/>
      <c r="KAF11" s="53"/>
      <c r="KAG11" s="53"/>
      <c r="KAH11" s="53"/>
      <c r="KAI11" s="53"/>
      <c r="KAJ11" s="53"/>
      <c r="KAK11" s="53"/>
      <c r="KAL11" s="53"/>
      <c r="KAM11" s="53"/>
      <c r="KAN11" s="53"/>
      <c r="KAO11" s="53"/>
      <c r="KAP11" s="53"/>
      <c r="KAQ11" s="53"/>
      <c r="KAR11" s="53"/>
      <c r="KAS11" s="53"/>
      <c r="KAT11" s="53"/>
      <c r="KAU11" s="53"/>
      <c r="KAV11" s="53"/>
      <c r="KAW11" s="53"/>
      <c r="KAX11" s="53"/>
      <c r="KAY11" s="53"/>
      <c r="KAZ11" s="53"/>
      <c r="KBA11" s="53"/>
      <c r="KBB11" s="53"/>
      <c r="KBC11" s="53"/>
      <c r="KBD11" s="53"/>
      <c r="KBE11" s="53"/>
      <c r="KBF11" s="53"/>
      <c r="KBG11" s="53"/>
      <c r="KBH11" s="53"/>
      <c r="KBI11" s="53"/>
      <c r="KBJ11" s="53"/>
      <c r="KBK11" s="53"/>
      <c r="KBL11" s="53"/>
      <c r="KBM11" s="53"/>
      <c r="KBN11" s="53"/>
      <c r="KBO11" s="53"/>
      <c r="KBP11" s="53"/>
      <c r="KBQ11" s="53"/>
      <c r="KBR11" s="53"/>
      <c r="KBS11" s="53"/>
      <c r="KBT11" s="53"/>
      <c r="KBU11" s="53"/>
      <c r="KBV11" s="53"/>
      <c r="KBW11" s="53"/>
      <c r="KBX11" s="53"/>
      <c r="KBY11" s="53"/>
      <c r="KBZ11" s="53"/>
      <c r="KCA11" s="53"/>
      <c r="KCB11" s="53"/>
      <c r="KCC11" s="53"/>
      <c r="KCD11" s="53"/>
      <c r="KCE11" s="53"/>
      <c r="KCF11" s="53"/>
      <c r="KCG11" s="53"/>
      <c r="KCH11" s="53"/>
      <c r="KCI11" s="53"/>
      <c r="KCJ11" s="53"/>
      <c r="KCK11" s="53"/>
      <c r="KCL11" s="53"/>
      <c r="KCM11" s="53"/>
      <c r="KCN11" s="53"/>
      <c r="KCO11" s="53"/>
      <c r="KCP11" s="53"/>
      <c r="KCQ11" s="53"/>
      <c r="KCR11" s="53"/>
      <c r="KCS11" s="53"/>
      <c r="KCT11" s="53"/>
      <c r="KCU11" s="53"/>
      <c r="KCV11" s="53"/>
      <c r="KCW11" s="53"/>
      <c r="KCX11" s="53"/>
      <c r="KCY11" s="53"/>
      <c r="KCZ11" s="53"/>
      <c r="KDA11" s="53"/>
      <c r="KDB11" s="53"/>
      <c r="KDC11" s="53"/>
      <c r="KDD11" s="53"/>
      <c r="KDE11" s="53"/>
      <c r="KDF11" s="53"/>
      <c r="KDG11" s="53"/>
      <c r="KDH11" s="53"/>
      <c r="KDI11" s="53"/>
      <c r="KDJ11" s="53"/>
      <c r="KDK11" s="53"/>
      <c r="KDL11" s="53"/>
      <c r="KDM11" s="53"/>
      <c r="KDN11" s="53"/>
      <c r="KDO11" s="53"/>
      <c r="KDP11" s="53"/>
      <c r="KDQ11" s="53"/>
      <c r="KDR11" s="53"/>
      <c r="KDS11" s="53"/>
      <c r="KDT11" s="53"/>
      <c r="KDU11" s="53"/>
      <c r="KDV11" s="53"/>
      <c r="KDW11" s="53"/>
      <c r="KDX11" s="53"/>
      <c r="KDY11" s="53"/>
      <c r="KDZ11" s="53"/>
      <c r="KEA11" s="53"/>
      <c r="KEB11" s="53"/>
      <c r="KEC11" s="53"/>
      <c r="KED11" s="53"/>
      <c r="KEE11" s="53"/>
      <c r="KEF11" s="53"/>
      <c r="KEG11" s="53"/>
      <c r="KEH11" s="53"/>
      <c r="KEI11" s="53"/>
      <c r="KEJ11" s="53"/>
      <c r="KEK11" s="53"/>
      <c r="KEL11" s="53"/>
      <c r="KEM11" s="53"/>
      <c r="KEN11" s="53"/>
      <c r="KEO11" s="53"/>
      <c r="KEP11" s="53"/>
      <c r="KEQ11" s="53"/>
      <c r="KER11" s="53"/>
      <c r="KES11" s="53"/>
      <c r="KET11" s="53"/>
      <c r="KEU11" s="53"/>
      <c r="KEV11" s="53"/>
      <c r="KEW11" s="53"/>
      <c r="KEX11" s="53"/>
      <c r="KEY11" s="53"/>
      <c r="KEZ11" s="53"/>
      <c r="KFA11" s="53"/>
      <c r="KFB11" s="53"/>
      <c r="KFC11" s="53"/>
      <c r="KFD11" s="53"/>
      <c r="KFE11" s="53"/>
      <c r="KFF11" s="53"/>
      <c r="KFG11" s="53"/>
      <c r="KFH11" s="53"/>
      <c r="KFI11" s="53"/>
      <c r="KFJ11" s="53"/>
      <c r="KFK11" s="53"/>
      <c r="KFL11" s="53"/>
      <c r="KFM11" s="53"/>
      <c r="KFN11" s="53"/>
      <c r="KFO11" s="53"/>
      <c r="KFP11" s="53"/>
      <c r="KFQ11" s="53"/>
      <c r="KFR11" s="53"/>
      <c r="KFS11" s="53"/>
      <c r="KFT11" s="53"/>
      <c r="KFU11" s="53"/>
      <c r="KFV11" s="53"/>
      <c r="KFW11" s="53"/>
      <c r="KFX11" s="53"/>
      <c r="KFY11" s="53"/>
      <c r="KFZ11" s="53"/>
      <c r="KGA11" s="53"/>
      <c r="KGB11" s="53"/>
      <c r="KGC11" s="53"/>
      <c r="KGD11" s="53"/>
      <c r="KGE11" s="53"/>
      <c r="KGF11" s="53"/>
      <c r="KGG11" s="53"/>
      <c r="KGH11" s="53"/>
      <c r="KGI11" s="53"/>
      <c r="KGJ11" s="53"/>
      <c r="KGK11" s="53"/>
      <c r="KGL11" s="53"/>
      <c r="KGM11" s="53"/>
      <c r="KGN11" s="53"/>
      <c r="KGO11" s="53"/>
      <c r="KGP11" s="53"/>
      <c r="KGQ11" s="53"/>
      <c r="KGR11" s="53"/>
      <c r="KGS11" s="53"/>
      <c r="KGT11" s="53"/>
      <c r="KGU11" s="53"/>
      <c r="KGV11" s="53"/>
      <c r="KGW11" s="53"/>
      <c r="KGX11" s="53"/>
      <c r="KGY11" s="53"/>
      <c r="KGZ11" s="53"/>
      <c r="KHA11" s="53"/>
      <c r="KHB11" s="53"/>
      <c r="KHC11" s="53"/>
      <c r="KHD11" s="53"/>
      <c r="KHE11" s="53"/>
      <c r="KHF11" s="53"/>
      <c r="KHG11" s="53"/>
      <c r="KHH11" s="53"/>
      <c r="KHI11" s="53"/>
      <c r="KHJ11" s="53"/>
      <c r="KHK11" s="53"/>
      <c r="KHL11" s="53"/>
      <c r="KHM11" s="53"/>
      <c r="KHN11" s="53"/>
      <c r="KHO11" s="53"/>
      <c r="KHP11" s="53"/>
      <c r="KHQ11" s="53"/>
      <c r="KHR11" s="53"/>
      <c r="KHS11" s="53"/>
      <c r="KHT11" s="53"/>
      <c r="KHU11" s="53"/>
      <c r="KHV11" s="53"/>
      <c r="KHW11" s="53"/>
      <c r="KHX11" s="53"/>
      <c r="KHY11" s="53"/>
      <c r="KHZ11" s="53"/>
      <c r="KIA11" s="53"/>
      <c r="KIB11" s="53"/>
      <c r="KIC11" s="53"/>
      <c r="KID11" s="53"/>
      <c r="KIE11" s="53"/>
      <c r="KIF11" s="53"/>
      <c r="KIG11" s="53"/>
      <c r="KIH11" s="53"/>
      <c r="KII11" s="53"/>
      <c r="KIJ11" s="53"/>
      <c r="KIK11" s="53"/>
      <c r="KIL11" s="53"/>
      <c r="KIM11" s="53"/>
      <c r="KIN11" s="53"/>
      <c r="KIO11" s="53"/>
      <c r="KIP11" s="53"/>
      <c r="KIQ11" s="53"/>
      <c r="KIR11" s="53"/>
      <c r="KIS11" s="53"/>
      <c r="KIT11" s="53"/>
      <c r="KIU11" s="53"/>
      <c r="KIV11" s="53"/>
      <c r="KIW11" s="53"/>
      <c r="KIX11" s="53"/>
      <c r="KIY11" s="53"/>
      <c r="KIZ11" s="53"/>
      <c r="KJA11" s="53"/>
      <c r="KJB11" s="53"/>
      <c r="KJC11" s="53"/>
      <c r="KJD11" s="53"/>
      <c r="KJE11" s="53"/>
      <c r="KJF11" s="53"/>
      <c r="KJG11" s="53"/>
      <c r="KJH11" s="53"/>
      <c r="KJI11" s="53"/>
      <c r="KJJ11" s="53"/>
      <c r="KJK11" s="53"/>
      <c r="KJL11" s="53"/>
      <c r="KJM11" s="53"/>
      <c r="KJN11" s="53"/>
      <c r="KJO11" s="53"/>
      <c r="KJP11" s="53"/>
      <c r="KJQ11" s="53"/>
      <c r="KJR11" s="53"/>
      <c r="KJS11" s="53"/>
      <c r="KJT11" s="53"/>
      <c r="KJU11" s="53"/>
      <c r="KJV11" s="53"/>
      <c r="KJW11" s="53"/>
      <c r="KJX11" s="53"/>
      <c r="KJY11" s="53"/>
      <c r="KJZ11" s="53"/>
      <c r="KKA11" s="53"/>
      <c r="KKB11" s="53"/>
      <c r="KKC11" s="53"/>
      <c r="KKD11" s="53"/>
      <c r="KKE11" s="53"/>
      <c r="KKF11" s="53"/>
      <c r="KKG11" s="53"/>
      <c r="KKH11" s="53"/>
      <c r="KKI11" s="53"/>
      <c r="KKJ11" s="53"/>
      <c r="KKK11" s="53"/>
      <c r="KKL11" s="53"/>
      <c r="KKM11" s="53"/>
      <c r="KKN11" s="53"/>
      <c r="KKO11" s="53"/>
      <c r="KKP11" s="53"/>
      <c r="KKQ11" s="53"/>
      <c r="KKR11" s="53"/>
      <c r="KKS11" s="53"/>
      <c r="KKT11" s="53"/>
      <c r="KKU11" s="53"/>
      <c r="KKV11" s="53"/>
      <c r="KKW11" s="53"/>
      <c r="KKX11" s="53"/>
      <c r="KKY11" s="53"/>
      <c r="KKZ11" s="53"/>
      <c r="KLA11" s="53"/>
      <c r="KLB11" s="53"/>
      <c r="KLC11" s="53"/>
      <c r="KLD11" s="53"/>
      <c r="KLE11" s="53"/>
      <c r="KLF11" s="53"/>
      <c r="KLG11" s="53"/>
      <c r="KLH11" s="53"/>
      <c r="KLI11" s="53"/>
      <c r="KLJ11" s="53"/>
      <c r="KLK11" s="53"/>
      <c r="KLL11" s="53"/>
      <c r="KLM11" s="53"/>
      <c r="KLN11" s="53"/>
      <c r="KLO11" s="53"/>
      <c r="KLP11" s="53"/>
      <c r="KLQ11" s="53"/>
      <c r="KLR11" s="53"/>
      <c r="KLS11" s="53"/>
      <c r="KLT11" s="53"/>
      <c r="KLU11" s="53"/>
      <c r="KLV11" s="53"/>
      <c r="KLW11" s="53"/>
      <c r="KLX11" s="53"/>
      <c r="KLY11" s="53"/>
      <c r="KLZ11" s="53"/>
      <c r="KMA11" s="53"/>
      <c r="KMB11" s="53"/>
      <c r="KMC11" s="53"/>
      <c r="KMD11" s="53"/>
      <c r="KME11" s="53"/>
      <c r="KMF11" s="53"/>
      <c r="KMG11" s="53"/>
      <c r="KMH11" s="53"/>
      <c r="KMI11" s="53"/>
      <c r="KMJ11" s="53"/>
      <c r="KMK11" s="53"/>
      <c r="KML11" s="53"/>
      <c r="KMM11" s="53"/>
      <c r="KMN11" s="53"/>
      <c r="KMO11" s="53"/>
      <c r="KMP11" s="53"/>
      <c r="KMQ11" s="53"/>
      <c r="KMR11" s="53"/>
      <c r="KMS11" s="53"/>
      <c r="KMT11" s="53"/>
      <c r="KMU11" s="53"/>
      <c r="KMV11" s="53"/>
      <c r="KMW11" s="53"/>
      <c r="KMX11" s="53"/>
      <c r="KMY11" s="53"/>
      <c r="KMZ11" s="53"/>
      <c r="KNA11" s="53"/>
      <c r="KNB11" s="53"/>
      <c r="KNC11" s="53"/>
      <c r="KND11" s="53"/>
      <c r="KNE11" s="53"/>
      <c r="KNF11" s="53"/>
      <c r="KNG11" s="53"/>
      <c r="KNH11" s="53"/>
      <c r="KNI11" s="53"/>
      <c r="KNJ11" s="53"/>
      <c r="KNK11" s="53"/>
      <c r="KNL11" s="53"/>
      <c r="KNM11" s="53"/>
      <c r="KNN11" s="53"/>
      <c r="KNO11" s="53"/>
      <c r="KNP11" s="53"/>
      <c r="KNQ11" s="53"/>
      <c r="KNR11" s="53"/>
      <c r="KNS11" s="53"/>
      <c r="KNT11" s="53"/>
      <c r="KNU11" s="53"/>
      <c r="KNV11" s="53"/>
      <c r="KNW11" s="53"/>
      <c r="KNX11" s="53"/>
      <c r="KNY11" s="53"/>
      <c r="KNZ11" s="53"/>
      <c r="KOA11" s="53"/>
      <c r="KOB11" s="53"/>
      <c r="KOC11" s="53"/>
      <c r="KOD11" s="53"/>
      <c r="KOE11" s="53"/>
      <c r="KOF11" s="53"/>
      <c r="KOG11" s="53"/>
      <c r="KOH11" s="53"/>
      <c r="KOI11" s="53"/>
      <c r="KOJ11" s="53"/>
      <c r="KOK11" s="53"/>
      <c r="KOL11" s="53"/>
      <c r="KOM11" s="53"/>
      <c r="KON11" s="53"/>
      <c r="KOO11" s="53"/>
      <c r="KOP11" s="53"/>
      <c r="KOQ11" s="53"/>
      <c r="KOR11" s="53"/>
      <c r="KOS11" s="53"/>
      <c r="KOT11" s="53"/>
      <c r="KOU11" s="53"/>
      <c r="KOV11" s="53"/>
      <c r="KOW11" s="53"/>
      <c r="KOX11" s="53"/>
      <c r="KOY11" s="53"/>
      <c r="KOZ11" s="53"/>
      <c r="KPA11" s="53"/>
      <c r="KPB11" s="53"/>
      <c r="KPC11" s="53"/>
      <c r="KPD11" s="53"/>
      <c r="KPE11" s="53"/>
      <c r="KPF11" s="53"/>
      <c r="KPG11" s="53"/>
      <c r="KPH11" s="53"/>
      <c r="KPI11" s="53"/>
      <c r="KPJ11" s="53"/>
      <c r="KPK11" s="53"/>
      <c r="KPL11" s="53"/>
      <c r="KPM11" s="53"/>
      <c r="KPN11" s="53"/>
      <c r="KPO11" s="53"/>
      <c r="KPP11" s="53"/>
      <c r="KPQ11" s="53"/>
      <c r="KPR11" s="53"/>
      <c r="KPS11" s="53"/>
      <c r="KPT11" s="53"/>
      <c r="KPU11" s="53"/>
      <c r="KPV11" s="53"/>
      <c r="KPW11" s="53"/>
      <c r="KPX11" s="53"/>
      <c r="KPY11" s="53"/>
      <c r="KPZ11" s="53"/>
      <c r="KQA11" s="53"/>
      <c r="KQB11" s="53"/>
      <c r="KQC11" s="53"/>
      <c r="KQD11" s="53"/>
      <c r="KQE11" s="53"/>
      <c r="KQF11" s="53"/>
      <c r="KQG11" s="53"/>
      <c r="KQH11" s="53"/>
      <c r="KQI11" s="53"/>
      <c r="KQJ11" s="53"/>
      <c r="KQK11" s="53"/>
      <c r="KQL11" s="53"/>
      <c r="KQM11" s="53"/>
      <c r="KQN11" s="53"/>
      <c r="KQO11" s="53"/>
      <c r="KQP11" s="53"/>
      <c r="KQQ11" s="53"/>
      <c r="KQR11" s="53"/>
      <c r="KQS11" s="53"/>
      <c r="KQT11" s="53"/>
      <c r="KQU11" s="53"/>
      <c r="KQV11" s="53"/>
      <c r="KQW11" s="53"/>
      <c r="KQX11" s="53"/>
      <c r="KQY11" s="53"/>
      <c r="KQZ11" s="53"/>
      <c r="KRA11" s="53"/>
      <c r="KRB11" s="53"/>
      <c r="KRC11" s="53"/>
      <c r="KRD11" s="53"/>
      <c r="KRE11" s="53"/>
      <c r="KRF11" s="53"/>
      <c r="KRG11" s="53"/>
      <c r="KRH11" s="53"/>
      <c r="KRI11" s="53"/>
      <c r="KRJ11" s="53"/>
      <c r="KRK11" s="53"/>
      <c r="KRL11" s="53"/>
      <c r="KRM11" s="53"/>
      <c r="KRN11" s="53"/>
      <c r="KRO11" s="53"/>
      <c r="KRP11" s="53"/>
      <c r="KRQ11" s="53"/>
      <c r="KRR11" s="53"/>
      <c r="KRS11" s="53"/>
      <c r="KRT11" s="53"/>
      <c r="KRU11" s="53"/>
      <c r="KRV11" s="53"/>
      <c r="KRW11" s="53"/>
      <c r="KRX11" s="53"/>
      <c r="KRY11" s="53"/>
      <c r="KRZ11" s="53"/>
      <c r="KSA11" s="53"/>
      <c r="KSB11" s="53"/>
      <c r="KSC11" s="53"/>
      <c r="KSD11" s="53"/>
      <c r="KSE11" s="53"/>
      <c r="KSF11" s="53"/>
      <c r="KSG11" s="53"/>
      <c r="KSH11" s="53"/>
      <c r="KSI11" s="53"/>
      <c r="KSJ11" s="53"/>
      <c r="KSK11" s="53"/>
      <c r="KSL11" s="53"/>
      <c r="KSM11" s="53"/>
      <c r="KSN11" s="53"/>
      <c r="KSO11" s="53"/>
      <c r="KSP11" s="53"/>
      <c r="KSQ11" s="53"/>
      <c r="KSR11" s="53"/>
      <c r="KSS11" s="53"/>
      <c r="KST11" s="53"/>
      <c r="KSU11" s="53"/>
      <c r="KSV11" s="53"/>
      <c r="KSW11" s="53"/>
      <c r="KSX11" s="53"/>
      <c r="KSY11" s="53"/>
      <c r="KSZ11" s="53"/>
      <c r="KTA11" s="53"/>
      <c r="KTB11" s="53"/>
      <c r="KTC11" s="53"/>
      <c r="KTD11" s="53"/>
      <c r="KTE11" s="53"/>
      <c r="KTF11" s="53"/>
      <c r="KTG11" s="53"/>
      <c r="KTH11" s="53"/>
      <c r="KTI11" s="53"/>
      <c r="KTJ11" s="53"/>
      <c r="KTK11" s="53"/>
      <c r="KTL11" s="53"/>
      <c r="KTM11" s="53"/>
      <c r="KTN11" s="53"/>
      <c r="KTO11" s="53"/>
      <c r="KTP11" s="53"/>
      <c r="KTQ11" s="53"/>
      <c r="KTR11" s="53"/>
      <c r="KTS11" s="53"/>
      <c r="KTT11" s="53"/>
      <c r="KTU11" s="53"/>
      <c r="KTV11" s="53"/>
      <c r="KTW11" s="53"/>
      <c r="KTX11" s="53"/>
      <c r="KTY11" s="53"/>
      <c r="KTZ11" s="53"/>
      <c r="KUA11" s="53"/>
      <c r="KUB11" s="53"/>
      <c r="KUC11" s="53"/>
      <c r="KUD11" s="53"/>
      <c r="KUE11" s="53"/>
      <c r="KUF11" s="53"/>
      <c r="KUG11" s="53"/>
      <c r="KUH11" s="53"/>
      <c r="KUI11" s="53"/>
      <c r="KUJ11" s="53"/>
      <c r="KUK11" s="53"/>
      <c r="KUL11" s="53"/>
      <c r="KUM11" s="53"/>
      <c r="KUN11" s="53"/>
      <c r="KUO11" s="53"/>
      <c r="KUP11" s="53"/>
      <c r="KUQ11" s="53"/>
      <c r="KUR11" s="53"/>
      <c r="KUS11" s="53"/>
      <c r="KUT11" s="53"/>
      <c r="KUU11" s="53"/>
      <c r="KUV11" s="53"/>
      <c r="KUW11" s="53"/>
      <c r="KUX11" s="53"/>
      <c r="KUY11" s="53"/>
      <c r="KUZ11" s="53"/>
      <c r="KVA11" s="53"/>
      <c r="KVB11" s="53"/>
      <c r="KVC11" s="53"/>
      <c r="KVD11" s="53"/>
      <c r="KVE11" s="53"/>
      <c r="KVF11" s="53"/>
      <c r="KVG11" s="53"/>
      <c r="KVH11" s="53"/>
      <c r="KVI11" s="53"/>
      <c r="KVJ11" s="53"/>
      <c r="KVK11" s="53"/>
      <c r="KVL11" s="53"/>
      <c r="KVM11" s="53"/>
      <c r="KVN11" s="53"/>
      <c r="KVO11" s="53"/>
      <c r="KVP11" s="53"/>
      <c r="KVQ11" s="53"/>
      <c r="KVR11" s="53"/>
      <c r="KVS11" s="53"/>
      <c r="KVT11" s="53"/>
      <c r="KVU11" s="53"/>
      <c r="KVV11" s="53"/>
      <c r="KVW11" s="53"/>
      <c r="KVX11" s="53"/>
      <c r="KVY11" s="53"/>
      <c r="KVZ11" s="53"/>
      <c r="KWA11" s="53"/>
      <c r="KWB11" s="53"/>
      <c r="KWC11" s="53"/>
      <c r="KWD11" s="53"/>
      <c r="KWE11" s="53"/>
      <c r="KWF11" s="53"/>
      <c r="KWG11" s="53"/>
      <c r="KWH11" s="53"/>
      <c r="KWI11" s="53"/>
      <c r="KWJ11" s="53"/>
      <c r="KWK11" s="53"/>
      <c r="KWL11" s="53"/>
      <c r="KWM11" s="53"/>
      <c r="KWN11" s="53"/>
      <c r="KWO11" s="53"/>
      <c r="KWP11" s="53"/>
      <c r="KWQ11" s="53"/>
      <c r="KWR11" s="53"/>
      <c r="KWS11" s="53"/>
      <c r="KWT11" s="53"/>
      <c r="KWU11" s="53"/>
      <c r="KWV11" s="53"/>
      <c r="KWW11" s="53"/>
      <c r="KWX11" s="53"/>
      <c r="KWY11" s="53"/>
      <c r="KWZ11" s="53"/>
      <c r="KXA11" s="53"/>
      <c r="KXB11" s="53"/>
      <c r="KXC11" s="53"/>
      <c r="KXD11" s="53"/>
      <c r="KXE11" s="53"/>
      <c r="KXF11" s="53"/>
      <c r="KXG11" s="53"/>
      <c r="KXH11" s="53"/>
      <c r="KXI11" s="53"/>
      <c r="KXJ11" s="53"/>
      <c r="KXK11" s="53"/>
      <c r="KXL11" s="53"/>
      <c r="KXM11" s="53"/>
      <c r="KXN11" s="53"/>
      <c r="KXO11" s="53"/>
      <c r="KXP11" s="53"/>
      <c r="KXQ11" s="53"/>
      <c r="KXR11" s="53"/>
      <c r="KXS11" s="53"/>
      <c r="KXT11" s="53"/>
      <c r="KXU11" s="53"/>
      <c r="KXV11" s="53"/>
      <c r="KXW11" s="53"/>
      <c r="KXX11" s="53"/>
      <c r="KXY11" s="53"/>
      <c r="KXZ11" s="53"/>
      <c r="KYA11" s="53"/>
      <c r="KYB11" s="53"/>
      <c r="KYC11" s="53"/>
      <c r="KYD11" s="53"/>
      <c r="KYE11" s="53"/>
      <c r="KYF11" s="53"/>
      <c r="KYG11" s="53"/>
      <c r="KYH11" s="53"/>
      <c r="KYI11" s="53"/>
      <c r="KYJ11" s="53"/>
      <c r="KYK11" s="53"/>
      <c r="KYL11" s="53"/>
      <c r="KYM11" s="53"/>
      <c r="KYN11" s="53"/>
      <c r="KYO11" s="53"/>
      <c r="KYP11" s="53"/>
      <c r="KYQ11" s="53"/>
      <c r="KYR11" s="53"/>
      <c r="KYS11" s="53"/>
      <c r="KYT11" s="53"/>
      <c r="KYU11" s="53"/>
      <c r="KYV11" s="53"/>
      <c r="KYW11" s="53"/>
      <c r="KYX11" s="53"/>
      <c r="KYY11" s="53"/>
      <c r="KYZ11" s="53"/>
      <c r="KZA11" s="53"/>
      <c r="KZB11" s="53"/>
      <c r="KZC11" s="53"/>
      <c r="KZD11" s="53"/>
      <c r="KZE11" s="53"/>
      <c r="KZF11" s="53"/>
      <c r="KZG11" s="53"/>
      <c r="KZH11" s="53"/>
      <c r="KZI11" s="53"/>
      <c r="KZJ11" s="53"/>
      <c r="KZK11" s="53"/>
      <c r="KZL11" s="53"/>
      <c r="KZM11" s="53"/>
      <c r="KZN11" s="53"/>
      <c r="KZO11" s="53"/>
      <c r="KZP11" s="53"/>
      <c r="KZQ11" s="53"/>
      <c r="KZR11" s="53"/>
      <c r="KZS11" s="53"/>
      <c r="KZT11" s="53"/>
      <c r="KZU11" s="53"/>
      <c r="KZV11" s="53"/>
      <c r="KZW11" s="53"/>
      <c r="KZX11" s="53"/>
      <c r="KZY11" s="53"/>
      <c r="KZZ11" s="53"/>
      <c r="LAA11" s="53"/>
      <c r="LAB11" s="53"/>
      <c r="LAC11" s="53"/>
      <c r="LAD11" s="53"/>
      <c r="LAE11" s="53"/>
      <c r="LAF11" s="53"/>
      <c r="LAG11" s="53"/>
      <c r="LAH11" s="53"/>
      <c r="LAI11" s="53"/>
      <c r="LAJ11" s="53"/>
      <c r="LAK11" s="53"/>
      <c r="LAL11" s="53"/>
      <c r="LAM11" s="53"/>
      <c r="LAN11" s="53"/>
      <c r="LAO11" s="53"/>
      <c r="LAP11" s="53"/>
      <c r="LAQ11" s="53"/>
      <c r="LAR11" s="53"/>
      <c r="LAS11" s="53"/>
      <c r="LAT11" s="53"/>
      <c r="LAU11" s="53"/>
      <c r="LAV11" s="53"/>
      <c r="LAW11" s="53"/>
      <c r="LAX11" s="53"/>
      <c r="LAY11" s="53"/>
      <c r="LAZ11" s="53"/>
      <c r="LBA11" s="53"/>
      <c r="LBB11" s="53"/>
      <c r="LBC11" s="53"/>
      <c r="LBD11" s="53"/>
      <c r="LBE11" s="53"/>
      <c r="LBF11" s="53"/>
      <c r="LBG11" s="53"/>
      <c r="LBH11" s="53"/>
      <c r="LBI11" s="53"/>
      <c r="LBJ11" s="53"/>
      <c r="LBK11" s="53"/>
      <c r="LBL11" s="53"/>
      <c r="LBM11" s="53"/>
      <c r="LBN11" s="53"/>
      <c r="LBO11" s="53"/>
      <c r="LBP11" s="53"/>
      <c r="LBQ11" s="53"/>
      <c r="LBR11" s="53"/>
      <c r="LBS11" s="53"/>
      <c r="LBT11" s="53"/>
      <c r="LBU11" s="53"/>
      <c r="LBV11" s="53"/>
      <c r="LBW11" s="53"/>
      <c r="LBX11" s="53"/>
      <c r="LBY11" s="53"/>
      <c r="LBZ11" s="53"/>
      <c r="LCA11" s="53"/>
      <c r="LCB11" s="53"/>
      <c r="LCC11" s="53"/>
      <c r="LCD11" s="53"/>
      <c r="LCE11" s="53"/>
      <c r="LCF11" s="53"/>
      <c r="LCG11" s="53"/>
      <c r="LCH11" s="53"/>
      <c r="LCI11" s="53"/>
      <c r="LCJ11" s="53"/>
      <c r="LCK11" s="53"/>
      <c r="LCL11" s="53"/>
      <c r="LCM11" s="53"/>
      <c r="LCN11" s="53"/>
      <c r="LCO11" s="53"/>
      <c r="LCP11" s="53"/>
      <c r="LCQ11" s="53"/>
      <c r="LCR11" s="53"/>
      <c r="LCS11" s="53"/>
      <c r="LCT11" s="53"/>
      <c r="LCU11" s="53"/>
      <c r="LCV11" s="53"/>
      <c r="LCW11" s="53"/>
      <c r="LCX11" s="53"/>
      <c r="LCY11" s="53"/>
      <c r="LCZ11" s="53"/>
      <c r="LDA11" s="53"/>
      <c r="LDB11" s="53"/>
      <c r="LDC11" s="53"/>
      <c r="LDD11" s="53"/>
      <c r="LDE11" s="53"/>
      <c r="LDF11" s="53"/>
      <c r="LDG11" s="53"/>
      <c r="LDH11" s="53"/>
      <c r="LDI11" s="53"/>
      <c r="LDJ11" s="53"/>
      <c r="LDK11" s="53"/>
      <c r="LDL11" s="53"/>
      <c r="LDM11" s="53"/>
      <c r="LDN11" s="53"/>
      <c r="LDO11" s="53"/>
      <c r="LDP11" s="53"/>
      <c r="LDQ11" s="53"/>
      <c r="LDR11" s="53"/>
      <c r="LDS11" s="53"/>
      <c r="LDT11" s="53"/>
      <c r="LDU11" s="53"/>
      <c r="LDV11" s="53"/>
      <c r="LDW11" s="53"/>
      <c r="LDX11" s="53"/>
      <c r="LDY11" s="53"/>
      <c r="LDZ11" s="53"/>
      <c r="LEA11" s="53"/>
      <c r="LEB11" s="53"/>
      <c r="LEC11" s="53"/>
      <c r="LED11" s="53"/>
      <c r="LEE11" s="53"/>
      <c r="LEF11" s="53"/>
      <c r="LEG11" s="53"/>
      <c r="LEH11" s="53"/>
      <c r="LEI11" s="53"/>
      <c r="LEJ11" s="53"/>
      <c r="LEK11" s="53"/>
      <c r="LEL11" s="53"/>
      <c r="LEM11" s="53"/>
      <c r="LEN11" s="53"/>
      <c r="LEO11" s="53"/>
      <c r="LEP11" s="53"/>
      <c r="LEQ11" s="53"/>
      <c r="LER11" s="53"/>
      <c r="LES11" s="53"/>
      <c r="LET11" s="53"/>
      <c r="LEU11" s="53"/>
      <c r="LEV11" s="53"/>
      <c r="LEW11" s="53"/>
      <c r="LEX11" s="53"/>
      <c r="LEY11" s="53"/>
      <c r="LEZ11" s="53"/>
      <c r="LFA11" s="53"/>
      <c r="LFB11" s="53"/>
      <c r="LFC11" s="53"/>
      <c r="LFD11" s="53"/>
      <c r="LFE11" s="53"/>
      <c r="LFF11" s="53"/>
      <c r="LFG11" s="53"/>
      <c r="LFH11" s="53"/>
      <c r="LFI11" s="53"/>
      <c r="LFJ11" s="53"/>
      <c r="LFK11" s="53"/>
      <c r="LFL11" s="53"/>
      <c r="LFM11" s="53"/>
      <c r="LFN11" s="53"/>
      <c r="LFO11" s="53"/>
      <c r="LFP11" s="53"/>
      <c r="LFQ11" s="53"/>
      <c r="LFR11" s="53"/>
      <c r="LFS11" s="53"/>
      <c r="LFT11" s="53"/>
      <c r="LFU11" s="53"/>
      <c r="LFV11" s="53"/>
      <c r="LFW11" s="53"/>
      <c r="LFX11" s="53"/>
      <c r="LFY11" s="53"/>
      <c r="LFZ11" s="53"/>
      <c r="LGA11" s="53"/>
      <c r="LGB11" s="53"/>
      <c r="LGC11" s="53"/>
      <c r="LGD11" s="53"/>
      <c r="LGE11" s="53"/>
      <c r="LGF11" s="53"/>
      <c r="LGG11" s="53"/>
      <c r="LGH11" s="53"/>
      <c r="LGI11" s="53"/>
      <c r="LGJ11" s="53"/>
      <c r="LGK11" s="53"/>
      <c r="LGL11" s="53"/>
      <c r="LGM11" s="53"/>
      <c r="LGN11" s="53"/>
      <c r="LGO11" s="53"/>
      <c r="LGP11" s="53"/>
      <c r="LGQ11" s="53"/>
      <c r="LGR11" s="53"/>
      <c r="LGS11" s="53"/>
      <c r="LGT11" s="53"/>
      <c r="LGU11" s="53"/>
      <c r="LGV11" s="53"/>
      <c r="LGW11" s="53"/>
      <c r="LGX11" s="53"/>
      <c r="LGY11" s="53"/>
      <c r="LGZ11" s="53"/>
      <c r="LHA11" s="53"/>
      <c r="LHB11" s="53"/>
      <c r="LHC11" s="53"/>
      <c r="LHD11" s="53"/>
      <c r="LHE11" s="53"/>
      <c r="LHF11" s="53"/>
      <c r="LHG11" s="53"/>
      <c r="LHH11" s="53"/>
      <c r="LHI11" s="53"/>
      <c r="LHJ11" s="53"/>
      <c r="LHK11" s="53"/>
      <c r="LHL11" s="53"/>
      <c r="LHM11" s="53"/>
      <c r="LHN11" s="53"/>
      <c r="LHO11" s="53"/>
      <c r="LHP11" s="53"/>
      <c r="LHQ11" s="53"/>
      <c r="LHR11" s="53"/>
      <c r="LHS11" s="53"/>
      <c r="LHT11" s="53"/>
      <c r="LHU11" s="53"/>
      <c r="LHV11" s="53"/>
      <c r="LHW11" s="53"/>
      <c r="LHX11" s="53"/>
      <c r="LHY11" s="53"/>
      <c r="LHZ11" s="53"/>
      <c r="LIA11" s="53"/>
      <c r="LIB11" s="53"/>
      <c r="LIC11" s="53"/>
      <c r="LID11" s="53"/>
      <c r="LIE11" s="53"/>
      <c r="LIF11" s="53"/>
      <c r="LIG11" s="53"/>
      <c r="LIH11" s="53"/>
      <c r="LII11" s="53"/>
      <c r="LIJ11" s="53"/>
      <c r="LIK11" s="53"/>
      <c r="LIL11" s="53"/>
      <c r="LIM11" s="53"/>
      <c r="LIN11" s="53"/>
      <c r="LIO11" s="53"/>
      <c r="LIP11" s="53"/>
      <c r="LIQ11" s="53"/>
      <c r="LIR11" s="53"/>
      <c r="LIS11" s="53"/>
      <c r="LIT11" s="53"/>
      <c r="LIU11" s="53"/>
      <c r="LIV11" s="53"/>
      <c r="LIW11" s="53"/>
      <c r="LIX11" s="53"/>
      <c r="LIY11" s="53"/>
      <c r="LIZ11" s="53"/>
      <c r="LJA11" s="53"/>
      <c r="LJB11" s="53"/>
      <c r="LJC11" s="53"/>
      <c r="LJD11" s="53"/>
      <c r="LJE11" s="53"/>
      <c r="LJF11" s="53"/>
      <c r="LJG11" s="53"/>
      <c r="LJH11" s="53"/>
      <c r="LJI11" s="53"/>
      <c r="LJJ11" s="53"/>
      <c r="LJK11" s="53"/>
      <c r="LJL11" s="53"/>
      <c r="LJM11" s="53"/>
      <c r="LJN11" s="53"/>
      <c r="LJO11" s="53"/>
      <c r="LJP11" s="53"/>
      <c r="LJQ11" s="53"/>
      <c r="LJR11" s="53"/>
      <c r="LJS11" s="53"/>
      <c r="LJT11" s="53"/>
      <c r="LJU11" s="53"/>
      <c r="LJV11" s="53"/>
      <c r="LJW11" s="53"/>
      <c r="LJX11" s="53"/>
      <c r="LJY11" s="53"/>
      <c r="LJZ11" s="53"/>
      <c r="LKA11" s="53"/>
      <c r="LKB11" s="53"/>
      <c r="LKC11" s="53"/>
      <c r="LKD11" s="53"/>
      <c r="LKE11" s="53"/>
      <c r="LKF11" s="53"/>
      <c r="LKG11" s="53"/>
      <c r="LKH11" s="53"/>
      <c r="LKI11" s="53"/>
      <c r="LKJ11" s="53"/>
      <c r="LKK11" s="53"/>
      <c r="LKL11" s="53"/>
      <c r="LKM11" s="53"/>
      <c r="LKN11" s="53"/>
      <c r="LKO11" s="53"/>
      <c r="LKP11" s="53"/>
      <c r="LKQ11" s="53"/>
      <c r="LKR11" s="53"/>
      <c r="LKS11" s="53"/>
      <c r="LKT11" s="53"/>
      <c r="LKU11" s="53"/>
      <c r="LKV11" s="53"/>
      <c r="LKW11" s="53"/>
      <c r="LKX11" s="53"/>
      <c r="LKY11" s="53"/>
      <c r="LKZ11" s="53"/>
      <c r="LLA11" s="53"/>
      <c r="LLB11" s="53"/>
      <c r="LLC11" s="53"/>
      <c r="LLD11" s="53"/>
      <c r="LLE11" s="53"/>
      <c r="LLF11" s="53"/>
      <c r="LLG11" s="53"/>
      <c r="LLH11" s="53"/>
      <c r="LLI11" s="53"/>
      <c r="LLJ11" s="53"/>
      <c r="LLK11" s="53"/>
      <c r="LLL11" s="53"/>
      <c r="LLM11" s="53"/>
      <c r="LLN11" s="53"/>
      <c r="LLO11" s="53"/>
      <c r="LLP11" s="53"/>
      <c r="LLQ11" s="53"/>
      <c r="LLR11" s="53"/>
      <c r="LLS11" s="53"/>
      <c r="LLT11" s="53"/>
      <c r="LLU11" s="53"/>
      <c r="LLV11" s="53"/>
      <c r="LLW11" s="53"/>
      <c r="LLX11" s="53"/>
      <c r="LLY11" s="53"/>
      <c r="LLZ11" s="53"/>
      <c r="LMA11" s="53"/>
      <c r="LMB11" s="53"/>
      <c r="LMC11" s="53"/>
      <c r="LMD11" s="53"/>
      <c r="LME11" s="53"/>
      <c r="LMF11" s="53"/>
      <c r="LMG11" s="53"/>
      <c r="LMH11" s="53"/>
      <c r="LMI11" s="53"/>
      <c r="LMJ11" s="53"/>
      <c r="LMK11" s="53"/>
      <c r="LML11" s="53"/>
      <c r="LMM11" s="53"/>
      <c r="LMN11" s="53"/>
      <c r="LMO11" s="53"/>
      <c r="LMP11" s="53"/>
      <c r="LMQ11" s="53"/>
      <c r="LMR11" s="53"/>
      <c r="LMS11" s="53"/>
      <c r="LMT11" s="53"/>
      <c r="LMU11" s="53"/>
      <c r="LMV11" s="53"/>
      <c r="LMW11" s="53"/>
      <c r="LMX11" s="53"/>
      <c r="LMY11" s="53"/>
      <c r="LMZ11" s="53"/>
      <c r="LNA11" s="53"/>
      <c r="LNB11" s="53"/>
      <c r="LNC11" s="53"/>
      <c r="LND11" s="53"/>
      <c r="LNE11" s="53"/>
      <c r="LNF11" s="53"/>
      <c r="LNG11" s="53"/>
      <c r="LNH11" s="53"/>
      <c r="LNI11" s="53"/>
      <c r="LNJ11" s="53"/>
      <c r="LNK11" s="53"/>
      <c r="LNL11" s="53"/>
      <c r="LNM11" s="53"/>
      <c r="LNN11" s="53"/>
      <c r="LNO11" s="53"/>
      <c r="LNP11" s="53"/>
      <c r="LNQ11" s="53"/>
      <c r="LNR11" s="53"/>
      <c r="LNS11" s="53"/>
      <c r="LNT11" s="53"/>
      <c r="LNU11" s="53"/>
      <c r="LNV11" s="53"/>
      <c r="LNW11" s="53"/>
      <c r="LNX11" s="53"/>
      <c r="LNY11" s="53"/>
      <c r="LNZ11" s="53"/>
      <c r="LOA11" s="53"/>
      <c r="LOB11" s="53"/>
      <c r="LOC11" s="53"/>
      <c r="LOD11" s="53"/>
      <c r="LOE11" s="53"/>
      <c r="LOF11" s="53"/>
      <c r="LOG11" s="53"/>
      <c r="LOH11" s="53"/>
      <c r="LOI11" s="53"/>
      <c r="LOJ11" s="53"/>
      <c r="LOK11" s="53"/>
      <c r="LOL11" s="53"/>
      <c r="LOM11" s="53"/>
      <c r="LON11" s="53"/>
      <c r="LOO11" s="53"/>
      <c r="LOP11" s="53"/>
      <c r="LOQ11" s="53"/>
      <c r="LOR11" s="53"/>
      <c r="LOS11" s="53"/>
      <c r="LOT11" s="53"/>
      <c r="LOU11" s="53"/>
      <c r="LOV11" s="53"/>
      <c r="LOW11" s="53"/>
      <c r="LOX11" s="53"/>
      <c r="LOY11" s="53"/>
      <c r="LOZ11" s="53"/>
      <c r="LPA11" s="53"/>
      <c r="LPB11" s="53"/>
      <c r="LPC11" s="53"/>
      <c r="LPD11" s="53"/>
      <c r="LPE11" s="53"/>
      <c r="LPF11" s="53"/>
      <c r="LPG11" s="53"/>
      <c r="LPH11" s="53"/>
      <c r="LPI11" s="53"/>
      <c r="LPJ11" s="53"/>
      <c r="LPK11" s="53"/>
      <c r="LPL11" s="53"/>
      <c r="LPM11" s="53"/>
      <c r="LPN11" s="53"/>
      <c r="LPO11" s="53"/>
      <c r="LPP11" s="53"/>
      <c r="LPQ11" s="53"/>
      <c r="LPR11" s="53"/>
      <c r="LPS11" s="53"/>
      <c r="LPT11" s="53"/>
      <c r="LPU11" s="53"/>
      <c r="LPV11" s="53"/>
      <c r="LPW11" s="53"/>
      <c r="LPX11" s="53"/>
      <c r="LPY11" s="53"/>
      <c r="LPZ11" s="53"/>
      <c r="LQA11" s="53"/>
      <c r="LQB11" s="53"/>
      <c r="LQC11" s="53"/>
      <c r="LQD11" s="53"/>
      <c r="LQE11" s="53"/>
      <c r="LQF11" s="53"/>
      <c r="LQG11" s="53"/>
      <c r="LQH11" s="53"/>
      <c r="LQI11" s="53"/>
      <c r="LQJ11" s="53"/>
      <c r="LQK11" s="53"/>
      <c r="LQL11" s="53"/>
      <c r="LQM11" s="53"/>
      <c r="LQN11" s="53"/>
      <c r="LQO11" s="53"/>
      <c r="LQP11" s="53"/>
      <c r="LQQ11" s="53"/>
      <c r="LQR11" s="53"/>
      <c r="LQS11" s="53"/>
      <c r="LQT11" s="53"/>
      <c r="LQU11" s="53"/>
      <c r="LQV11" s="53"/>
      <c r="LQW11" s="53"/>
      <c r="LQX11" s="53"/>
      <c r="LQY11" s="53"/>
      <c r="LQZ11" s="53"/>
      <c r="LRA11" s="53"/>
      <c r="LRB11" s="53"/>
      <c r="LRC11" s="53"/>
      <c r="LRD11" s="53"/>
      <c r="LRE11" s="53"/>
      <c r="LRF11" s="53"/>
      <c r="LRG11" s="53"/>
      <c r="LRH11" s="53"/>
      <c r="LRI11" s="53"/>
      <c r="LRJ11" s="53"/>
      <c r="LRK11" s="53"/>
      <c r="LRL11" s="53"/>
      <c r="LRM11" s="53"/>
      <c r="LRN11" s="53"/>
      <c r="LRO11" s="53"/>
      <c r="LRP11" s="53"/>
      <c r="LRQ11" s="53"/>
      <c r="LRR11" s="53"/>
      <c r="LRS11" s="53"/>
      <c r="LRT11" s="53"/>
      <c r="LRU11" s="53"/>
      <c r="LRV11" s="53"/>
      <c r="LRW11" s="53"/>
      <c r="LRX11" s="53"/>
      <c r="LRY11" s="53"/>
      <c r="LRZ11" s="53"/>
      <c r="LSA11" s="53"/>
      <c r="LSB11" s="53"/>
      <c r="LSC11" s="53"/>
      <c r="LSD11" s="53"/>
      <c r="LSE11" s="53"/>
      <c r="LSF11" s="53"/>
      <c r="LSG11" s="53"/>
      <c r="LSH11" s="53"/>
      <c r="LSI11" s="53"/>
      <c r="LSJ11" s="53"/>
      <c r="LSK11" s="53"/>
      <c r="LSL11" s="53"/>
      <c r="LSM11" s="53"/>
      <c r="LSN11" s="53"/>
      <c r="LSO11" s="53"/>
      <c r="LSP11" s="53"/>
      <c r="LSQ11" s="53"/>
      <c r="LSR11" s="53"/>
      <c r="LSS11" s="53"/>
      <c r="LST11" s="53"/>
      <c r="LSU11" s="53"/>
      <c r="LSV11" s="53"/>
      <c r="LSW11" s="53"/>
      <c r="LSX11" s="53"/>
      <c r="LSY11" s="53"/>
      <c r="LSZ11" s="53"/>
      <c r="LTA11" s="53"/>
      <c r="LTB11" s="53"/>
      <c r="LTC11" s="53"/>
      <c r="LTD11" s="53"/>
      <c r="LTE11" s="53"/>
      <c r="LTF11" s="53"/>
      <c r="LTG11" s="53"/>
      <c r="LTH11" s="53"/>
      <c r="LTI11" s="53"/>
      <c r="LTJ11" s="53"/>
      <c r="LTK11" s="53"/>
      <c r="LTL11" s="53"/>
      <c r="LTM11" s="53"/>
      <c r="LTN11" s="53"/>
      <c r="LTO11" s="53"/>
      <c r="LTP11" s="53"/>
      <c r="LTQ11" s="53"/>
      <c r="LTR11" s="53"/>
      <c r="LTS11" s="53"/>
      <c r="LTT11" s="53"/>
      <c r="LTU11" s="53"/>
      <c r="LTV11" s="53"/>
      <c r="LTW11" s="53"/>
      <c r="LTX11" s="53"/>
      <c r="LTY11" s="53"/>
      <c r="LTZ11" s="53"/>
      <c r="LUA11" s="53"/>
      <c r="LUB11" s="53"/>
      <c r="LUC11" s="53"/>
      <c r="LUD11" s="53"/>
      <c r="LUE11" s="53"/>
      <c r="LUF11" s="53"/>
      <c r="LUG11" s="53"/>
      <c r="LUH11" s="53"/>
      <c r="LUI11" s="53"/>
      <c r="LUJ11" s="53"/>
      <c r="LUK11" s="53"/>
      <c r="LUL11" s="53"/>
      <c r="LUM11" s="53"/>
      <c r="LUN11" s="53"/>
      <c r="LUO11" s="53"/>
      <c r="LUP11" s="53"/>
      <c r="LUQ11" s="53"/>
      <c r="LUR11" s="53"/>
      <c r="LUS11" s="53"/>
      <c r="LUT11" s="53"/>
      <c r="LUU11" s="53"/>
      <c r="LUV11" s="53"/>
      <c r="LUW11" s="53"/>
      <c r="LUX11" s="53"/>
      <c r="LUY11" s="53"/>
      <c r="LUZ11" s="53"/>
      <c r="LVA11" s="53"/>
      <c r="LVB11" s="53"/>
      <c r="LVC11" s="53"/>
      <c r="LVD11" s="53"/>
      <c r="LVE11" s="53"/>
      <c r="LVF11" s="53"/>
      <c r="LVG11" s="53"/>
      <c r="LVH11" s="53"/>
      <c r="LVI11" s="53"/>
      <c r="LVJ11" s="53"/>
      <c r="LVK11" s="53"/>
      <c r="LVL11" s="53"/>
      <c r="LVM11" s="53"/>
      <c r="LVN11" s="53"/>
      <c r="LVO11" s="53"/>
      <c r="LVP11" s="53"/>
      <c r="LVQ11" s="53"/>
      <c r="LVR11" s="53"/>
      <c r="LVS11" s="53"/>
      <c r="LVT11" s="53"/>
      <c r="LVU11" s="53"/>
      <c r="LVV11" s="53"/>
      <c r="LVW11" s="53"/>
      <c r="LVX11" s="53"/>
      <c r="LVY11" s="53"/>
      <c r="LVZ11" s="53"/>
      <c r="LWA11" s="53"/>
      <c r="LWB11" s="53"/>
      <c r="LWC11" s="53"/>
      <c r="LWD11" s="53"/>
      <c r="LWE11" s="53"/>
      <c r="LWF11" s="53"/>
      <c r="LWG11" s="53"/>
      <c r="LWH11" s="53"/>
      <c r="LWI11" s="53"/>
      <c r="LWJ11" s="53"/>
      <c r="LWK11" s="53"/>
      <c r="LWL11" s="53"/>
      <c r="LWM11" s="53"/>
      <c r="LWN11" s="53"/>
      <c r="LWO11" s="53"/>
      <c r="LWP11" s="53"/>
      <c r="LWQ11" s="53"/>
      <c r="LWR11" s="53"/>
      <c r="LWS11" s="53"/>
      <c r="LWT11" s="53"/>
      <c r="LWU11" s="53"/>
      <c r="LWV11" s="53"/>
      <c r="LWW11" s="53"/>
      <c r="LWX11" s="53"/>
      <c r="LWY11" s="53"/>
      <c r="LWZ11" s="53"/>
      <c r="LXA11" s="53"/>
      <c r="LXB11" s="53"/>
      <c r="LXC11" s="53"/>
      <c r="LXD11" s="53"/>
      <c r="LXE11" s="53"/>
      <c r="LXF11" s="53"/>
      <c r="LXG11" s="53"/>
      <c r="LXH11" s="53"/>
      <c r="LXI11" s="53"/>
      <c r="LXJ11" s="53"/>
      <c r="LXK11" s="53"/>
      <c r="LXL11" s="53"/>
      <c r="LXM11" s="53"/>
      <c r="LXN11" s="53"/>
      <c r="LXO11" s="53"/>
      <c r="LXP11" s="53"/>
      <c r="LXQ11" s="53"/>
      <c r="LXR11" s="53"/>
      <c r="LXS11" s="53"/>
      <c r="LXT11" s="53"/>
      <c r="LXU11" s="53"/>
      <c r="LXV11" s="53"/>
      <c r="LXW11" s="53"/>
      <c r="LXX11" s="53"/>
      <c r="LXY11" s="53"/>
      <c r="LXZ11" s="53"/>
      <c r="LYA11" s="53"/>
      <c r="LYB11" s="53"/>
      <c r="LYC11" s="53"/>
      <c r="LYD11" s="53"/>
      <c r="LYE11" s="53"/>
      <c r="LYF11" s="53"/>
      <c r="LYG11" s="53"/>
      <c r="LYH11" s="53"/>
      <c r="LYI11" s="53"/>
      <c r="LYJ11" s="53"/>
      <c r="LYK11" s="53"/>
      <c r="LYL11" s="53"/>
      <c r="LYM11" s="53"/>
      <c r="LYN11" s="53"/>
      <c r="LYO11" s="53"/>
      <c r="LYP11" s="53"/>
      <c r="LYQ11" s="53"/>
      <c r="LYR11" s="53"/>
      <c r="LYS11" s="53"/>
      <c r="LYT11" s="53"/>
      <c r="LYU11" s="53"/>
      <c r="LYV11" s="53"/>
      <c r="LYW11" s="53"/>
      <c r="LYX11" s="53"/>
      <c r="LYY11" s="53"/>
      <c r="LYZ11" s="53"/>
      <c r="LZA11" s="53"/>
      <c r="LZB11" s="53"/>
      <c r="LZC11" s="53"/>
      <c r="LZD11" s="53"/>
      <c r="LZE11" s="53"/>
      <c r="LZF11" s="53"/>
      <c r="LZG11" s="53"/>
      <c r="LZH11" s="53"/>
      <c r="LZI11" s="53"/>
      <c r="LZJ11" s="53"/>
      <c r="LZK11" s="53"/>
      <c r="LZL11" s="53"/>
      <c r="LZM11" s="53"/>
      <c r="LZN11" s="53"/>
      <c r="LZO11" s="53"/>
      <c r="LZP11" s="53"/>
      <c r="LZQ11" s="53"/>
      <c r="LZR11" s="53"/>
      <c r="LZS11" s="53"/>
      <c r="LZT11" s="53"/>
      <c r="LZU11" s="53"/>
      <c r="LZV11" s="53"/>
      <c r="LZW11" s="53"/>
      <c r="LZX11" s="53"/>
      <c r="LZY11" s="53"/>
      <c r="LZZ11" s="53"/>
      <c r="MAA11" s="53"/>
      <c r="MAB11" s="53"/>
      <c r="MAC11" s="53"/>
      <c r="MAD11" s="53"/>
      <c r="MAE11" s="53"/>
      <c r="MAF11" s="53"/>
      <c r="MAG11" s="53"/>
      <c r="MAH11" s="53"/>
      <c r="MAI11" s="53"/>
      <c r="MAJ11" s="53"/>
      <c r="MAK11" s="53"/>
      <c r="MAL11" s="53"/>
      <c r="MAM11" s="53"/>
      <c r="MAN11" s="53"/>
      <c r="MAO11" s="53"/>
      <c r="MAP11" s="53"/>
      <c r="MAQ11" s="53"/>
      <c r="MAR11" s="53"/>
      <c r="MAS11" s="53"/>
      <c r="MAT11" s="53"/>
      <c r="MAU11" s="53"/>
      <c r="MAV11" s="53"/>
      <c r="MAW11" s="53"/>
      <c r="MAX11" s="53"/>
      <c r="MAY11" s="53"/>
      <c r="MAZ11" s="53"/>
      <c r="MBA11" s="53"/>
      <c r="MBB11" s="53"/>
      <c r="MBC11" s="53"/>
      <c r="MBD11" s="53"/>
      <c r="MBE11" s="53"/>
      <c r="MBF11" s="53"/>
      <c r="MBG11" s="53"/>
      <c r="MBH11" s="53"/>
      <c r="MBI11" s="53"/>
      <c r="MBJ11" s="53"/>
      <c r="MBK11" s="53"/>
      <c r="MBL11" s="53"/>
      <c r="MBM11" s="53"/>
      <c r="MBN11" s="53"/>
      <c r="MBO11" s="53"/>
      <c r="MBP11" s="53"/>
      <c r="MBQ11" s="53"/>
      <c r="MBR11" s="53"/>
      <c r="MBS11" s="53"/>
      <c r="MBT11" s="53"/>
      <c r="MBU11" s="53"/>
      <c r="MBV11" s="53"/>
      <c r="MBW11" s="53"/>
      <c r="MBX11" s="53"/>
      <c r="MBY11" s="53"/>
      <c r="MBZ11" s="53"/>
      <c r="MCA11" s="53"/>
      <c r="MCB11" s="53"/>
      <c r="MCC11" s="53"/>
      <c r="MCD11" s="53"/>
      <c r="MCE11" s="53"/>
      <c r="MCF11" s="53"/>
      <c r="MCG11" s="53"/>
      <c r="MCH11" s="53"/>
      <c r="MCI11" s="53"/>
      <c r="MCJ11" s="53"/>
      <c r="MCK11" s="53"/>
      <c r="MCL11" s="53"/>
      <c r="MCM11" s="53"/>
      <c r="MCN11" s="53"/>
      <c r="MCO11" s="53"/>
      <c r="MCP11" s="53"/>
      <c r="MCQ11" s="53"/>
      <c r="MCR11" s="53"/>
      <c r="MCS11" s="53"/>
      <c r="MCT11" s="53"/>
      <c r="MCU11" s="53"/>
      <c r="MCV11" s="53"/>
      <c r="MCW11" s="53"/>
      <c r="MCX11" s="53"/>
      <c r="MCY11" s="53"/>
      <c r="MCZ11" s="53"/>
      <c r="MDA11" s="53"/>
      <c r="MDB11" s="53"/>
      <c r="MDC11" s="53"/>
      <c r="MDD11" s="53"/>
      <c r="MDE11" s="53"/>
      <c r="MDF11" s="53"/>
      <c r="MDG11" s="53"/>
      <c r="MDH11" s="53"/>
      <c r="MDI11" s="53"/>
      <c r="MDJ11" s="53"/>
      <c r="MDK11" s="53"/>
      <c r="MDL11" s="53"/>
      <c r="MDM11" s="53"/>
      <c r="MDN11" s="53"/>
      <c r="MDO11" s="53"/>
      <c r="MDP11" s="53"/>
      <c r="MDQ11" s="53"/>
      <c r="MDR11" s="53"/>
      <c r="MDS11" s="53"/>
      <c r="MDT11" s="53"/>
      <c r="MDU11" s="53"/>
      <c r="MDV11" s="53"/>
      <c r="MDW11" s="53"/>
      <c r="MDX11" s="53"/>
      <c r="MDY11" s="53"/>
      <c r="MDZ11" s="53"/>
      <c r="MEA11" s="53"/>
      <c r="MEB11" s="53"/>
      <c r="MEC11" s="53"/>
      <c r="MED11" s="53"/>
      <c r="MEE11" s="53"/>
      <c r="MEF11" s="53"/>
      <c r="MEG11" s="53"/>
      <c r="MEH11" s="53"/>
      <c r="MEI11" s="53"/>
      <c r="MEJ11" s="53"/>
      <c r="MEK11" s="53"/>
      <c r="MEL11" s="53"/>
      <c r="MEM11" s="53"/>
      <c r="MEN11" s="53"/>
      <c r="MEO11" s="53"/>
      <c r="MEP11" s="53"/>
      <c r="MEQ11" s="53"/>
      <c r="MER11" s="53"/>
      <c r="MES11" s="53"/>
      <c r="MET11" s="53"/>
      <c r="MEU11" s="53"/>
      <c r="MEV11" s="53"/>
      <c r="MEW11" s="53"/>
      <c r="MEX11" s="53"/>
      <c r="MEY11" s="53"/>
      <c r="MEZ11" s="53"/>
      <c r="MFA11" s="53"/>
      <c r="MFB11" s="53"/>
      <c r="MFC11" s="53"/>
      <c r="MFD11" s="53"/>
      <c r="MFE11" s="53"/>
      <c r="MFF11" s="53"/>
      <c r="MFG11" s="53"/>
      <c r="MFH11" s="53"/>
      <c r="MFI11" s="53"/>
      <c r="MFJ11" s="53"/>
      <c r="MFK11" s="53"/>
      <c r="MFL11" s="53"/>
      <c r="MFM11" s="53"/>
      <c r="MFN11" s="53"/>
      <c r="MFO11" s="53"/>
      <c r="MFP11" s="53"/>
      <c r="MFQ11" s="53"/>
      <c r="MFR11" s="53"/>
      <c r="MFS11" s="53"/>
      <c r="MFT11" s="53"/>
      <c r="MFU11" s="53"/>
      <c r="MFV11" s="53"/>
      <c r="MFW11" s="53"/>
      <c r="MFX11" s="53"/>
      <c r="MFY11" s="53"/>
      <c r="MFZ11" s="53"/>
      <c r="MGA11" s="53"/>
      <c r="MGB11" s="53"/>
      <c r="MGC11" s="53"/>
      <c r="MGD11" s="53"/>
      <c r="MGE11" s="53"/>
      <c r="MGF11" s="53"/>
      <c r="MGG11" s="53"/>
      <c r="MGH11" s="53"/>
      <c r="MGI11" s="53"/>
      <c r="MGJ11" s="53"/>
      <c r="MGK11" s="53"/>
      <c r="MGL11" s="53"/>
      <c r="MGM11" s="53"/>
      <c r="MGN11" s="53"/>
      <c r="MGO11" s="53"/>
      <c r="MGP11" s="53"/>
      <c r="MGQ11" s="53"/>
      <c r="MGR11" s="53"/>
      <c r="MGS11" s="53"/>
      <c r="MGT11" s="53"/>
      <c r="MGU11" s="53"/>
      <c r="MGV11" s="53"/>
      <c r="MGW11" s="53"/>
      <c r="MGX11" s="53"/>
      <c r="MGY11" s="53"/>
      <c r="MGZ11" s="53"/>
      <c r="MHA11" s="53"/>
      <c r="MHB11" s="53"/>
      <c r="MHC11" s="53"/>
      <c r="MHD11" s="53"/>
      <c r="MHE11" s="53"/>
      <c r="MHF11" s="53"/>
      <c r="MHG11" s="53"/>
      <c r="MHH11" s="53"/>
      <c r="MHI11" s="53"/>
      <c r="MHJ11" s="53"/>
      <c r="MHK11" s="53"/>
      <c r="MHL11" s="53"/>
      <c r="MHM11" s="53"/>
      <c r="MHN11" s="53"/>
      <c r="MHO11" s="53"/>
      <c r="MHP11" s="53"/>
      <c r="MHQ11" s="53"/>
      <c r="MHR11" s="53"/>
      <c r="MHS11" s="53"/>
      <c r="MHT11" s="53"/>
      <c r="MHU11" s="53"/>
      <c r="MHV11" s="53"/>
      <c r="MHW11" s="53"/>
      <c r="MHX11" s="53"/>
      <c r="MHY11" s="53"/>
      <c r="MHZ11" s="53"/>
      <c r="MIA11" s="53"/>
      <c r="MIB11" s="53"/>
      <c r="MIC11" s="53"/>
      <c r="MID11" s="53"/>
      <c r="MIE11" s="53"/>
      <c r="MIF11" s="53"/>
      <c r="MIG11" s="53"/>
      <c r="MIH11" s="53"/>
      <c r="MII11" s="53"/>
      <c r="MIJ11" s="53"/>
      <c r="MIK11" s="53"/>
      <c r="MIL11" s="53"/>
      <c r="MIM11" s="53"/>
      <c r="MIN11" s="53"/>
      <c r="MIO11" s="53"/>
      <c r="MIP11" s="53"/>
      <c r="MIQ11" s="53"/>
      <c r="MIR11" s="53"/>
      <c r="MIS11" s="53"/>
      <c r="MIT11" s="53"/>
      <c r="MIU11" s="53"/>
      <c r="MIV11" s="53"/>
      <c r="MIW11" s="53"/>
      <c r="MIX11" s="53"/>
      <c r="MIY11" s="53"/>
      <c r="MIZ11" s="53"/>
      <c r="MJA11" s="53"/>
      <c r="MJB11" s="53"/>
      <c r="MJC11" s="53"/>
      <c r="MJD11" s="53"/>
      <c r="MJE11" s="53"/>
      <c r="MJF11" s="53"/>
      <c r="MJG11" s="53"/>
      <c r="MJH11" s="53"/>
      <c r="MJI11" s="53"/>
      <c r="MJJ11" s="53"/>
      <c r="MJK11" s="53"/>
      <c r="MJL11" s="53"/>
      <c r="MJM11" s="53"/>
      <c r="MJN11" s="53"/>
      <c r="MJO11" s="53"/>
      <c r="MJP11" s="53"/>
      <c r="MJQ11" s="53"/>
      <c r="MJR11" s="53"/>
      <c r="MJS11" s="53"/>
      <c r="MJT11" s="53"/>
      <c r="MJU11" s="53"/>
      <c r="MJV11" s="53"/>
      <c r="MJW11" s="53"/>
      <c r="MJX11" s="53"/>
      <c r="MJY11" s="53"/>
      <c r="MJZ11" s="53"/>
      <c r="MKA11" s="53"/>
      <c r="MKB11" s="53"/>
      <c r="MKC11" s="53"/>
      <c r="MKD11" s="53"/>
      <c r="MKE11" s="53"/>
      <c r="MKF11" s="53"/>
      <c r="MKG11" s="53"/>
      <c r="MKH11" s="53"/>
      <c r="MKI11" s="53"/>
      <c r="MKJ11" s="53"/>
      <c r="MKK11" s="53"/>
      <c r="MKL11" s="53"/>
      <c r="MKM11" s="53"/>
      <c r="MKN11" s="53"/>
      <c r="MKO11" s="53"/>
      <c r="MKP11" s="53"/>
      <c r="MKQ11" s="53"/>
      <c r="MKR11" s="53"/>
      <c r="MKS11" s="53"/>
      <c r="MKT11" s="53"/>
      <c r="MKU11" s="53"/>
      <c r="MKV11" s="53"/>
      <c r="MKW11" s="53"/>
      <c r="MKX11" s="53"/>
      <c r="MKY11" s="53"/>
      <c r="MKZ11" s="53"/>
      <c r="MLA11" s="53"/>
      <c r="MLB11" s="53"/>
      <c r="MLC11" s="53"/>
      <c r="MLD11" s="53"/>
      <c r="MLE11" s="53"/>
      <c r="MLF11" s="53"/>
      <c r="MLG11" s="53"/>
      <c r="MLH11" s="53"/>
      <c r="MLI11" s="53"/>
      <c r="MLJ11" s="53"/>
      <c r="MLK11" s="53"/>
      <c r="MLL11" s="53"/>
      <c r="MLM11" s="53"/>
      <c r="MLN11" s="53"/>
      <c r="MLO11" s="53"/>
      <c r="MLP11" s="53"/>
      <c r="MLQ11" s="53"/>
      <c r="MLR11" s="53"/>
      <c r="MLS11" s="53"/>
      <c r="MLT11" s="53"/>
      <c r="MLU11" s="53"/>
      <c r="MLV11" s="53"/>
      <c r="MLW11" s="53"/>
      <c r="MLX11" s="53"/>
      <c r="MLY11" s="53"/>
      <c r="MLZ11" s="53"/>
      <c r="MMA11" s="53"/>
      <c r="MMB11" s="53"/>
      <c r="MMC11" s="53"/>
      <c r="MMD11" s="53"/>
      <c r="MME11" s="53"/>
      <c r="MMF11" s="53"/>
      <c r="MMG11" s="53"/>
      <c r="MMH11" s="53"/>
      <c r="MMI11" s="53"/>
      <c r="MMJ11" s="53"/>
      <c r="MMK11" s="53"/>
      <c r="MML11" s="53"/>
      <c r="MMM11" s="53"/>
      <c r="MMN11" s="53"/>
      <c r="MMO11" s="53"/>
      <c r="MMP11" s="53"/>
      <c r="MMQ11" s="53"/>
      <c r="MMR11" s="53"/>
      <c r="MMS11" s="53"/>
      <c r="MMT11" s="53"/>
      <c r="MMU11" s="53"/>
      <c r="MMV11" s="53"/>
      <c r="MMW11" s="53"/>
      <c r="MMX11" s="53"/>
      <c r="MMY11" s="53"/>
      <c r="MMZ11" s="53"/>
      <c r="MNA11" s="53"/>
      <c r="MNB11" s="53"/>
      <c r="MNC11" s="53"/>
      <c r="MND11" s="53"/>
      <c r="MNE11" s="53"/>
      <c r="MNF11" s="53"/>
      <c r="MNG11" s="53"/>
      <c r="MNH11" s="53"/>
      <c r="MNI11" s="53"/>
      <c r="MNJ11" s="53"/>
      <c r="MNK11" s="53"/>
      <c r="MNL11" s="53"/>
      <c r="MNM11" s="53"/>
      <c r="MNN11" s="53"/>
      <c r="MNO11" s="53"/>
      <c r="MNP11" s="53"/>
      <c r="MNQ11" s="53"/>
      <c r="MNR11" s="53"/>
      <c r="MNS11" s="53"/>
      <c r="MNT11" s="53"/>
      <c r="MNU11" s="53"/>
      <c r="MNV11" s="53"/>
      <c r="MNW11" s="53"/>
      <c r="MNX11" s="53"/>
      <c r="MNY11" s="53"/>
      <c r="MNZ11" s="53"/>
      <c r="MOA11" s="53"/>
      <c r="MOB11" s="53"/>
      <c r="MOC11" s="53"/>
      <c r="MOD11" s="53"/>
      <c r="MOE11" s="53"/>
      <c r="MOF11" s="53"/>
      <c r="MOG11" s="53"/>
      <c r="MOH11" s="53"/>
      <c r="MOI11" s="53"/>
      <c r="MOJ11" s="53"/>
      <c r="MOK11" s="53"/>
      <c r="MOL11" s="53"/>
      <c r="MOM11" s="53"/>
      <c r="MON11" s="53"/>
      <c r="MOO11" s="53"/>
      <c r="MOP11" s="53"/>
      <c r="MOQ11" s="53"/>
      <c r="MOR11" s="53"/>
      <c r="MOS11" s="53"/>
      <c r="MOT11" s="53"/>
      <c r="MOU11" s="53"/>
      <c r="MOV11" s="53"/>
      <c r="MOW11" s="53"/>
      <c r="MOX11" s="53"/>
      <c r="MOY11" s="53"/>
      <c r="MOZ11" s="53"/>
      <c r="MPA11" s="53"/>
      <c r="MPB11" s="53"/>
      <c r="MPC11" s="53"/>
      <c r="MPD11" s="53"/>
      <c r="MPE11" s="53"/>
      <c r="MPF11" s="53"/>
      <c r="MPG11" s="53"/>
      <c r="MPH11" s="53"/>
      <c r="MPI11" s="53"/>
      <c r="MPJ11" s="53"/>
      <c r="MPK11" s="53"/>
      <c r="MPL11" s="53"/>
      <c r="MPM11" s="53"/>
      <c r="MPN11" s="53"/>
      <c r="MPO11" s="53"/>
      <c r="MPP11" s="53"/>
      <c r="MPQ11" s="53"/>
      <c r="MPR11" s="53"/>
      <c r="MPS11" s="53"/>
      <c r="MPT11" s="53"/>
      <c r="MPU11" s="53"/>
      <c r="MPV11" s="53"/>
      <c r="MPW11" s="53"/>
      <c r="MPX11" s="53"/>
      <c r="MPY11" s="53"/>
      <c r="MPZ11" s="53"/>
      <c r="MQA11" s="53"/>
      <c r="MQB11" s="53"/>
      <c r="MQC11" s="53"/>
      <c r="MQD11" s="53"/>
      <c r="MQE11" s="53"/>
      <c r="MQF11" s="53"/>
      <c r="MQG11" s="53"/>
      <c r="MQH11" s="53"/>
      <c r="MQI11" s="53"/>
      <c r="MQJ11" s="53"/>
      <c r="MQK11" s="53"/>
      <c r="MQL11" s="53"/>
      <c r="MQM11" s="53"/>
      <c r="MQN11" s="53"/>
      <c r="MQO11" s="53"/>
      <c r="MQP11" s="53"/>
      <c r="MQQ11" s="53"/>
      <c r="MQR11" s="53"/>
      <c r="MQS11" s="53"/>
      <c r="MQT11" s="53"/>
      <c r="MQU11" s="53"/>
      <c r="MQV11" s="53"/>
      <c r="MQW11" s="53"/>
      <c r="MQX11" s="53"/>
      <c r="MQY11" s="53"/>
      <c r="MQZ11" s="53"/>
      <c r="MRA11" s="53"/>
      <c r="MRB11" s="53"/>
      <c r="MRC11" s="53"/>
      <c r="MRD11" s="53"/>
      <c r="MRE11" s="53"/>
      <c r="MRF11" s="53"/>
      <c r="MRG11" s="53"/>
      <c r="MRH11" s="53"/>
      <c r="MRI11" s="53"/>
      <c r="MRJ11" s="53"/>
      <c r="MRK11" s="53"/>
      <c r="MRL11" s="53"/>
      <c r="MRM11" s="53"/>
      <c r="MRN11" s="53"/>
      <c r="MRO11" s="53"/>
      <c r="MRP11" s="53"/>
      <c r="MRQ11" s="53"/>
      <c r="MRR11" s="53"/>
      <c r="MRS11" s="53"/>
      <c r="MRT11" s="53"/>
      <c r="MRU11" s="53"/>
      <c r="MRV11" s="53"/>
      <c r="MRW11" s="53"/>
      <c r="MRX11" s="53"/>
      <c r="MRY11" s="53"/>
      <c r="MRZ11" s="53"/>
      <c r="MSA11" s="53"/>
      <c r="MSB11" s="53"/>
      <c r="MSC11" s="53"/>
      <c r="MSD11" s="53"/>
      <c r="MSE11" s="53"/>
      <c r="MSF11" s="53"/>
      <c r="MSG11" s="53"/>
      <c r="MSH11" s="53"/>
      <c r="MSI11" s="53"/>
      <c r="MSJ11" s="53"/>
      <c r="MSK11" s="53"/>
      <c r="MSL11" s="53"/>
      <c r="MSM11" s="53"/>
      <c r="MSN11" s="53"/>
      <c r="MSO11" s="53"/>
      <c r="MSP11" s="53"/>
      <c r="MSQ11" s="53"/>
      <c r="MSR11" s="53"/>
      <c r="MSS11" s="53"/>
      <c r="MST11" s="53"/>
      <c r="MSU11" s="53"/>
      <c r="MSV11" s="53"/>
      <c r="MSW11" s="53"/>
      <c r="MSX11" s="53"/>
      <c r="MSY11" s="53"/>
      <c r="MSZ11" s="53"/>
      <c r="MTA11" s="53"/>
      <c r="MTB11" s="53"/>
      <c r="MTC11" s="53"/>
      <c r="MTD11" s="53"/>
      <c r="MTE11" s="53"/>
      <c r="MTF11" s="53"/>
      <c r="MTG11" s="53"/>
      <c r="MTH11" s="53"/>
      <c r="MTI11" s="53"/>
      <c r="MTJ11" s="53"/>
      <c r="MTK11" s="53"/>
      <c r="MTL11" s="53"/>
      <c r="MTM11" s="53"/>
      <c r="MTN11" s="53"/>
      <c r="MTO11" s="53"/>
      <c r="MTP11" s="53"/>
      <c r="MTQ11" s="53"/>
      <c r="MTR11" s="53"/>
      <c r="MTS11" s="53"/>
      <c r="MTT11" s="53"/>
      <c r="MTU11" s="53"/>
      <c r="MTV11" s="53"/>
      <c r="MTW11" s="53"/>
      <c r="MTX11" s="53"/>
      <c r="MTY11" s="53"/>
      <c r="MTZ11" s="53"/>
      <c r="MUA11" s="53"/>
      <c r="MUB11" s="53"/>
      <c r="MUC11" s="53"/>
      <c r="MUD11" s="53"/>
      <c r="MUE11" s="53"/>
      <c r="MUF11" s="53"/>
      <c r="MUG11" s="53"/>
      <c r="MUH11" s="53"/>
      <c r="MUI11" s="53"/>
      <c r="MUJ11" s="53"/>
      <c r="MUK11" s="53"/>
      <c r="MUL11" s="53"/>
      <c r="MUM11" s="53"/>
      <c r="MUN11" s="53"/>
      <c r="MUO11" s="53"/>
      <c r="MUP11" s="53"/>
      <c r="MUQ11" s="53"/>
      <c r="MUR11" s="53"/>
      <c r="MUS11" s="53"/>
      <c r="MUT11" s="53"/>
      <c r="MUU11" s="53"/>
      <c r="MUV11" s="53"/>
      <c r="MUW11" s="53"/>
      <c r="MUX11" s="53"/>
      <c r="MUY11" s="53"/>
      <c r="MUZ11" s="53"/>
      <c r="MVA11" s="53"/>
      <c r="MVB11" s="53"/>
      <c r="MVC11" s="53"/>
      <c r="MVD11" s="53"/>
      <c r="MVE11" s="53"/>
      <c r="MVF11" s="53"/>
      <c r="MVG11" s="53"/>
      <c r="MVH11" s="53"/>
      <c r="MVI11" s="53"/>
      <c r="MVJ11" s="53"/>
      <c r="MVK11" s="53"/>
      <c r="MVL11" s="53"/>
      <c r="MVM11" s="53"/>
      <c r="MVN11" s="53"/>
      <c r="MVO11" s="53"/>
      <c r="MVP11" s="53"/>
      <c r="MVQ11" s="53"/>
      <c r="MVR11" s="53"/>
      <c r="MVS11" s="53"/>
      <c r="MVT11" s="53"/>
      <c r="MVU11" s="53"/>
      <c r="MVV11" s="53"/>
      <c r="MVW11" s="53"/>
      <c r="MVX11" s="53"/>
      <c r="MVY11" s="53"/>
      <c r="MVZ11" s="53"/>
      <c r="MWA11" s="53"/>
      <c r="MWB11" s="53"/>
      <c r="MWC11" s="53"/>
      <c r="MWD11" s="53"/>
      <c r="MWE11" s="53"/>
      <c r="MWF11" s="53"/>
      <c r="MWG11" s="53"/>
      <c r="MWH11" s="53"/>
      <c r="MWI11" s="53"/>
      <c r="MWJ11" s="53"/>
      <c r="MWK11" s="53"/>
      <c r="MWL11" s="53"/>
      <c r="MWM11" s="53"/>
      <c r="MWN11" s="53"/>
      <c r="MWO11" s="53"/>
      <c r="MWP11" s="53"/>
      <c r="MWQ11" s="53"/>
      <c r="MWR11" s="53"/>
      <c r="MWS11" s="53"/>
      <c r="MWT11" s="53"/>
      <c r="MWU11" s="53"/>
      <c r="MWV11" s="53"/>
      <c r="MWW11" s="53"/>
      <c r="MWX11" s="53"/>
      <c r="MWY11" s="53"/>
      <c r="MWZ11" s="53"/>
      <c r="MXA11" s="53"/>
      <c r="MXB11" s="53"/>
      <c r="MXC11" s="53"/>
      <c r="MXD11" s="53"/>
      <c r="MXE11" s="53"/>
      <c r="MXF11" s="53"/>
      <c r="MXG11" s="53"/>
      <c r="MXH11" s="53"/>
      <c r="MXI11" s="53"/>
      <c r="MXJ11" s="53"/>
      <c r="MXK11" s="53"/>
      <c r="MXL11" s="53"/>
      <c r="MXM11" s="53"/>
      <c r="MXN11" s="53"/>
      <c r="MXO11" s="53"/>
      <c r="MXP11" s="53"/>
      <c r="MXQ11" s="53"/>
      <c r="MXR11" s="53"/>
      <c r="MXS11" s="53"/>
      <c r="MXT11" s="53"/>
      <c r="MXU11" s="53"/>
      <c r="MXV11" s="53"/>
      <c r="MXW11" s="53"/>
      <c r="MXX11" s="53"/>
      <c r="MXY11" s="53"/>
      <c r="MXZ11" s="53"/>
      <c r="MYA11" s="53"/>
      <c r="MYB11" s="53"/>
      <c r="MYC11" s="53"/>
      <c r="MYD11" s="53"/>
      <c r="MYE11" s="53"/>
      <c r="MYF11" s="53"/>
      <c r="MYG11" s="53"/>
      <c r="MYH11" s="53"/>
      <c r="MYI11" s="53"/>
      <c r="MYJ11" s="53"/>
      <c r="MYK11" s="53"/>
      <c r="MYL11" s="53"/>
      <c r="MYM11" s="53"/>
      <c r="MYN11" s="53"/>
      <c r="MYO11" s="53"/>
      <c r="MYP11" s="53"/>
      <c r="MYQ11" s="53"/>
      <c r="MYR11" s="53"/>
      <c r="MYS11" s="53"/>
      <c r="MYT11" s="53"/>
      <c r="MYU11" s="53"/>
      <c r="MYV11" s="53"/>
      <c r="MYW11" s="53"/>
      <c r="MYX11" s="53"/>
      <c r="MYY11" s="53"/>
      <c r="MYZ11" s="53"/>
      <c r="MZA11" s="53"/>
      <c r="MZB11" s="53"/>
      <c r="MZC11" s="53"/>
      <c r="MZD11" s="53"/>
      <c r="MZE11" s="53"/>
      <c r="MZF11" s="53"/>
      <c r="MZG11" s="53"/>
      <c r="MZH11" s="53"/>
      <c r="MZI11" s="53"/>
      <c r="MZJ11" s="53"/>
      <c r="MZK11" s="53"/>
      <c r="MZL11" s="53"/>
      <c r="MZM11" s="53"/>
      <c r="MZN11" s="53"/>
      <c r="MZO11" s="53"/>
      <c r="MZP11" s="53"/>
      <c r="MZQ11" s="53"/>
      <c r="MZR11" s="53"/>
      <c r="MZS11" s="53"/>
      <c r="MZT11" s="53"/>
      <c r="MZU11" s="53"/>
      <c r="MZV11" s="53"/>
      <c r="MZW11" s="53"/>
      <c r="MZX11" s="53"/>
      <c r="MZY11" s="53"/>
      <c r="MZZ11" s="53"/>
      <c r="NAA11" s="53"/>
      <c r="NAB11" s="53"/>
      <c r="NAC11" s="53"/>
      <c r="NAD11" s="53"/>
      <c r="NAE11" s="53"/>
      <c r="NAF11" s="53"/>
      <c r="NAG11" s="53"/>
      <c r="NAH11" s="53"/>
      <c r="NAI11" s="53"/>
      <c r="NAJ11" s="53"/>
      <c r="NAK11" s="53"/>
      <c r="NAL11" s="53"/>
      <c r="NAM11" s="53"/>
      <c r="NAN11" s="53"/>
      <c r="NAO11" s="53"/>
      <c r="NAP11" s="53"/>
      <c r="NAQ11" s="53"/>
      <c r="NAR11" s="53"/>
      <c r="NAS11" s="53"/>
      <c r="NAT11" s="53"/>
      <c r="NAU11" s="53"/>
      <c r="NAV11" s="53"/>
      <c r="NAW11" s="53"/>
      <c r="NAX11" s="53"/>
      <c r="NAY11" s="53"/>
      <c r="NAZ11" s="53"/>
      <c r="NBA11" s="53"/>
      <c r="NBB11" s="53"/>
      <c r="NBC11" s="53"/>
      <c r="NBD11" s="53"/>
      <c r="NBE11" s="53"/>
      <c r="NBF11" s="53"/>
      <c r="NBG11" s="53"/>
      <c r="NBH11" s="53"/>
      <c r="NBI11" s="53"/>
      <c r="NBJ11" s="53"/>
      <c r="NBK11" s="53"/>
      <c r="NBL11" s="53"/>
      <c r="NBM11" s="53"/>
      <c r="NBN11" s="53"/>
      <c r="NBO11" s="53"/>
      <c r="NBP11" s="53"/>
      <c r="NBQ11" s="53"/>
      <c r="NBR11" s="53"/>
      <c r="NBS11" s="53"/>
      <c r="NBT11" s="53"/>
      <c r="NBU11" s="53"/>
      <c r="NBV11" s="53"/>
      <c r="NBW11" s="53"/>
      <c r="NBX11" s="53"/>
      <c r="NBY11" s="53"/>
      <c r="NBZ11" s="53"/>
      <c r="NCA11" s="53"/>
      <c r="NCB11" s="53"/>
      <c r="NCC11" s="53"/>
      <c r="NCD11" s="53"/>
      <c r="NCE11" s="53"/>
      <c r="NCF11" s="53"/>
      <c r="NCG11" s="53"/>
      <c r="NCH11" s="53"/>
      <c r="NCI11" s="53"/>
      <c r="NCJ11" s="53"/>
      <c r="NCK11" s="53"/>
      <c r="NCL11" s="53"/>
      <c r="NCM11" s="53"/>
      <c r="NCN11" s="53"/>
      <c r="NCO11" s="53"/>
      <c r="NCP11" s="53"/>
      <c r="NCQ11" s="53"/>
      <c r="NCR11" s="53"/>
      <c r="NCS11" s="53"/>
      <c r="NCT11" s="53"/>
      <c r="NCU11" s="53"/>
      <c r="NCV11" s="53"/>
      <c r="NCW11" s="53"/>
      <c r="NCX11" s="53"/>
      <c r="NCY11" s="53"/>
      <c r="NCZ11" s="53"/>
      <c r="NDA11" s="53"/>
      <c r="NDB11" s="53"/>
      <c r="NDC11" s="53"/>
      <c r="NDD11" s="53"/>
      <c r="NDE11" s="53"/>
      <c r="NDF11" s="53"/>
      <c r="NDG11" s="53"/>
      <c r="NDH11" s="53"/>
      <c r="NDI11" s="53"/>
      <c r="NDJ11" s="53"/>
      <c r="NDK11" s="53"/>
      <c r="NDL11" s="53"/>
      <c r="NDM11" s="53"/>
      <c r="NDN11" s="53"/>
      <c r="NDO11" s="53"/>
      <c r="NDP11" s="53"/>
      <c r="NDQ11" s="53"/>
      <c r="NDR11" s="53"/>
      <c r="NDS11" s="53"/>
      <c r="NDT11" s="53"/>
      <c r="NDU11" s="53"/>
      <c r="NDV11" s="53"/>
      <c r="NDW11" s="53"/>
      <c r="NDX11" s="53"/>
      <c r="NDY11" s="53"/>
      <c r="NDZ11" s="53"/>
      <c r="NEA11" s="53"/>
      <c r="NEB11" s="53"/>
      <c r="NEC11" s="53"/>
      <c r="NED11" s="53"/>
      <c r="NEE11" s="53"/>
      <c r="NEF11" s="53"/>
      <c r="NEG11" s="53"/>
      <c r="NEH11" s="53"/>
      <c r="NEI11" s="53"/>
      <c r="NEJ11" s="53"/>
      <c r="NEK11" s="53"/>
      <c r="NEL11" s="53"/>
      <c r="NEM11" s="53"/>
      <c r="NEN11" s="53"/>
      <c r="NEO11" s="53"/>
      <c r="NEP11" s="53"/>
      <c r="NEQ11" s="53"/>
      <c r="NER11" s="53"/>
      <c r="NES11" s="53"/>
      <c r="NET11" s="53"/>
      <c r="NEU11" s="53"/>
      <c r="NEV11" s="53"/>
      <c r="NEW11" s="53"/>
      <c r="NEX11" s="53"/>
      <c r="NEY11" s="53"/>
      <c r="NEZ11" s="53"/>
      <c r="NFA11" s="53"/>
      <c r="NFB11" s="53"/>
      <c r="NFC11" s="53"/>
      <c r="NFD11" s="53"/>
      <c r="NFE11" s="53"/>
      <c r="NFF11" s="53"/>
      <c r="NFG11" s="53"/>
      <c r="NFH11" s="53"/>
      <c r="NFI11" s="53"/>
      <c r="NFJ11" s="53"/>
      <c r="NFK11" s="53"/>
      <c r="NFL11" s="53"/>
      <c r="NFM11" s="53"/>
      <c r="NFN11" s="53"/>
      <c r="NFO11" s="53"/>
      <c r="NFP11" s="53"/>
      <c r="NFQ11" s="53"/>
      <c r="NFR11" s="53"/>
      <c r="NFS11" s="53"/>
      <c r="NFT11" s="53"/>
      <c r="NFU11" s="53"/>
      <c r="NFV11" s="53"/>
      <c r="NFW11" s="53"/>
      <c r="NFX11" s="53"/>
      <c r="NFY11" s="53"/>
      <c r="NFZ11" s="53"/>
      <c r="NGA11" s="53"/>
      <c r="NGB11" s="53"/>
      <c r="NGC11" s="53"/>
      <c r="NGD11" s="53"/>
      <c r="NGE11" s="53"/>
      <c r="NGF11" s="53"/>
      <c r="NGG11" s="53"/>
      <c r="NGH11" s="53"/>
      <c r="NGI11" s="53"/>
      <c r="NGJ11" s="53"/>
      <c r="NGK11" s="53"/>
      <c r="NGL11" s="53"/>
      <c r="NGM11" s="53"/>
      <c r="NGN11" s="53"/>
      <c r="NGO11" s="53"/>
      <c r="NGP11" s="53"/>
      <c r="NGQ11" s="53"/>
      <c r="NGR11" s="53"/>
      <c r="NGS11" s="53"/>
      <c r="NGT11" s="53"/>
      <c r="NGU11" s="53"/>
      <c r="NGV11" s="53"/>
      <c r="NGW11" s="53"/>
      <c r="NGX11" s="53"/>
      <c r="NGY11" s="53"/>
      <c r="NGZ11" s="53"/>
      <c r="NHA11" s="53"/>
      <c r="NHB11" s="53"/>
      <c r="NHC11" s="53"/>
      <c r="NHD11" s="53"/>
      <c r="NHE11" s="53"/>
      <c r="NHF11" s="53"/>
      <c r="NHG11" s="53"/>
      <c r="NHH11" s="53"/>
      <c r="NHI11" s="53"/>
      <c r="NHJ11" s="53"/>
      <c r="NHK11" s="53"/>
      <c r="NHL11" s="53"/>
      <c r="NHM11" s="53"/>
      <c r="NHN11" s="53"/>
      <c r="NHO11" s="53"/>
      <c r="NHP11" s="53"/>
      <c r="NHQ11" s="53"/>
      <c r="NHR11" s="53"/>
      <c r="NHS11" s="53"/>
      <c r="NHT11" s="53"/>
      <c r="NHU11" s="53"/>
      <c r="NHV11" s="53"/>
      <c r="NHW11" s="53"/>
      <c r="NHX11" s="53"/>
      <c r="NHY11" s="53"/>
      <c r="NHZ11" s="53"/>
      <c r="NIA11" s="53"/>
      <c r="NIB11" s="53"/>
      <c r="NIC11" s="53"/>
      <c r="NID11" s="53"/>
      <c r="NIE11" s="53"/>
      <c r="NIF11" s="53"/>
      <c r="NIG11" s="53"/>
      <c r="NIH11" s="53"/>
      <c r="NII11" s="53"/>
      <c r="NIJ11" s="53"/>
      <c r="NIK11" s="53"/>
      <c r="NIL11" s="53"/>
      <c r="NIM11" s="53"/>
      <c r="NIN11" s="53"/>
      <c r="NIO11" s="53"/>
      <c r="NIP11" s="53"/>
      <c r="NIQ11" s="53"/>
      <c r="NIR11" s="53"/>
      <c r="NIS11" s="53"/>
      <c r="NIT11" s="53"/>
      <c r="NIU11" s="53"/>
      <c r="NIV11" s="53"/>
      <c r="NIW11" s="53"/>
      <c r="NIX11" s="53"/>
      <c r="NIY11" s="53"/>
      <c r="NIZ11" s="53"/>
      <c r="NJA11" s="53"/>
      <c r="NJB11" s="53"/>
      <c r="NJC11" s="53"/>
      <c r="NJD11" s="53"/>
      <c r="NJE11" s="53"/>
      <c r="NJF11" s="53"/>
      <c r="NJG11" s="53"/>
      <c r="NJH11" s="53"/>
      <c r="NJI11" s="53"/>
      <c r="NJJ11" s="53"/>
      <c r="NJK11" s="53"/>
      <c r="NJL11" s="53"/>
      <c r="NJM11" s="53"/>
      <c r="NJN11" s="53"/>
      <c r="NJO11" s="53"/>
      <c r="NJP11" s="53"/>
      <c r="NJQ11" s="53"/>
      <c r="NJR11" s="53"/>
      <c r="NJS11" s="53"/>
      <c r="NJT11" s="53"/>
      <c r="NJU11" s="53"/>
      <c r="NJV11" s="53"/>
      <c r="NJW11" s="53"/>
      <c r="NJX11" s="53"/>
      <c r="NJY11" s="53"/>
      <c r="NJZ11" s="53"/>
      <c r="NKA11" s="53"/>
      <c r="NKB11" s="53"/>
      <c r="NKC11" s="53"/>
      <c r="NKD11" s="53"/>
      <c r="NKE11" s="53"/>
      <c r="NKF11" s="53"/>
      <c r="NKG11" s="53"/>
      <c r="NKH11" s="53"/>
      <c r="NKI11" s="53"/>
      <c r="NKJ11" s="53"/>
      <c r="NKK11" s="53"/>
      <c r="NKL11" s="53"/>
      <c r="NKM11" s="53"/>
      <c r="NKN11" s="53"/>
      <c r="NKO11" s="53"/>
      <c r="NKP11" s="53"/>
      <c r="NKQ11" s="53"/>
      <c r="NKR11" s="53"/>
      <c r="NKS11" s="53"/>
      <c r="NKT11" s="53"/>
      <c r="NKU11" s="53"/>
      <c r="NKV11" s="53"/>
      <c r="NKW11" s="53"/>
      <c r="NKX11" s="53"/>
      <c r="NKY11" s="53"/>
      <c r="NKZ11" s="53"/>
      <c r="NLA11" s="53"/>
      <c r="NLB11" s="53"/>
      <c r="NLC11" s="53"/>
      <c r="NLD11" s="53"/>
      <c r="NLE11" s="53"/>
      <c r="NLF11" s="53"/>
      <c r="NLG11" s="53"/>
      <c r="NLH11" s="53"/>
      <c r="NLI11" s="53"/>
      <c r="NLJ11" s="53"/>
      <c r="NLK11" s="53"/>
      <c r="NLL11" s="53"/>
      <c r="NLM11" s="53"/>
      <c r="NLN11" s="53"/>
      <c r="NLO11" s="53"/>
      <c r="NLP11" s="53"/>
      <c r="NLQ11" s="53"/>
      <c r="NLR11" s="53"/>
      <c r="NLS11" s="53"/>
      <c r="NLT11" s="53"/>
      <c r="NLU11" s="53"/>
      <c r="NLV11" s="53"/>
      <c r="NLW11" s="53"/>
      <c r="NLX11" s="53"/>
      <c r="NLY11" s="53"/>
      <c r="NLZ11" s="53"/>
      <c r="NMA11" s="53"/>
      <c r="NMB11" s="53"/>
      <c r="NMC11" s="53"/>
      <c r="NMD11" s="53"/>
      <c r="NME11" s="53"/>
      <c r="NMF11" s="53"/>
      <c r="NMG11" s="53"/>
      <c r="NMH11" s="53"/>
      <c r="NMI11" s="53"/>
      <c r="NMJ11" s="53"/>
      <c r="NMK11" s="53"/>
      <c r="NML11" s="53"/>
      <c r="NMM11" s="53"/>
      <c r="NMN11" s="53"/>
      <c r="NMO11" s="53"/>
      <c r="NMP11" s="53"/>
      <c r="NMQ11" s="53"/>
      <c r="NMR11" s="53"/>
      <c r="NMS11" s="53"/>
      <c r="NMT11" s="53"/>
      <c r="NMU11" s="53"/>
      <c r="NMV11" s="53"/>
      <c r="NMW11" s="53"/>
      <c r="NMX11" s="53"/>
      <c r="NMY11" s="53"/>
      <c r="NMZ11" s="53"/>
      <c r="NNA11" s="53"/>
      <c r="NNB11" s="53"/>
      <c r="NNC11" s="53"/>
      <c r="NND11" s="53"/>
      <c r="NNE11" s="53"/>
      <c r="NNF11" s="53"/>
      <c r="NNG11" s="53"/>
      <c r="NNH11" s="53"/>
      <c r="NNI11" s="53"/>
      <c r="NNJ11" s="53"/>
      <c r="NNK11" s="53"/>
      <c r="NNL11" s="53"/>
      <c r="NNM11" s="53"/>
      <c r="NNN11" s="53"/>
      <c r="NNO11" s="53"/>
      <c r="NNP11" s="53"/>
      <c r="NNQ11" s="53"/>
      <c r="NNR11" s="53"/>
      <c r="NNS11" s="53"/>
      <c r="NNT11" s="53"/>
      <c r="NNU11" s="53"/>
      <c r="NNV11" s="53"/>
      <c r="NNW11" s="53"/>
      <c r="NNX11" s="53"/>
      <c r="NNY11" s="53"/>
      <c r="NNZ11" s="53"/>
      <c r="NOA11" s="53"/>
      <c r="NOB11" s="53"/>
      <c r="NOC11" s="53"/>
      <c r="NOD11" s="53"/>
      <c r="NOE11" s="53"/>
      <c r="NOF11" s="53"/>
      <c r="NOG11" s="53"/>
      <c r="NOH11" s="53"/>
      <c r="NOI11" s="53"/>
      <c r="NOJ11" s="53"/>
      <c r="NOK11" s="53"/>
      <c r="NOL11" s="53"/>
      <c r="NOM11" s="53"/>
      <c r="NON11" s="53"/>
      <c r="NOO11" s="53"/>
      <c r="NOP11" s="53"/>
      <c r="NOQ11" s="53"/>
      <c r="NOR11" s="53"/>
      <c r="NOS11" s="53"/>
      <c r="NOT11" s="53"/>
      <c r="NOU11" s="53"/>
      <c r="NOV11" s="53"/>
      <c r="NOW11" s="53"/>
      <c r="NOX11" s="53"/>
      <c r="NOY11" s="53"/>
      <c r="NOZ11" s="53"/>
      <c r="NPA11" s="53"/>
      <c r="NPB11" s="53"/>
      <c r="NPC11" s="53"/>
      <c r="NPD11" s="53"/>
      <c r="NPE11" s="53"/>
      <c r="NPF11" s="53"/>
      <c r="NPG11" s="53"/>
      <c r="NPH11" s="53"/>
      <c r="NPI11" s="53"/>
      <c r="NPJ11" s="53"/>
      <c r="NPK11" s="53"/>
      <c r="NPL11" s="53"/>
      <c r="NPM11" s="53"/>
      <c r="NPN11" s="53"/>
      <c r="NPO11" s="53"/>
      <c r="NPP11" s="53"/>
      <c r="NPQ11" s="53"/>
      <c r="NPR11" s="53"/>
      <c r="NPS11" s="53"/>
      <c r="NPT11" s="53"/>
      <c r="NPU11" s="53"/>
      <c r="NPV11" s="53"/>
      <c r="NPW11" s="53"/>
      <c r="NPX11" s="53"/>
      <c r="NPY11" s="53"/>
      <c r="NPZ11" s="53"/>
      <c r="NQA11" s="53"/>
      <c r="NQB11" s="53"/>
      <c r="NQC11" s="53"/>
      <c r="NQD11" s="53"/>
      <c r="NQE11" s="53"/>
      <c r="NQF11" s="53"/>
      <c r="NQG11" s="53"/>
      <c r="NQH11" s="53"/>
      <c r="NQI11" s="53"/>
      <c r="NQJ11" s="53"/>
      <c r="NQK11" s="53"/>
      <c r="NQL11" s="53"/>
      <c r="NQM11" s="53"/>
      <c r="NQN11" s="53"/>
      <c r="NQO11" s="53"/>
      <c r="NQP11" s="53"/>
      <c r="NQQ11" s="53"/>
      <c r="NQR11" s="53"/>
      <c r="NQS11" s="53"/>
      <c r="NQT11" s="53"/>
      <c r="NQU11" s="53"/>
      <c r="NQV11" s="53"/>
      <c r="NQW11" s="53"/>
      <c r="NQX11" s="53"/>
      <c r="NQY11" s="53"/>
      <c r="NQZ11" s="53"/>
      <c r="NRA11" s="53"/>
      <c r="NRB11" s="53"/>
      <c r="NRC11" s="53"/>
      <c r="NRD11" s="53"/>
      <c r="NRE11" s="53"/>
      <c r="NRF11" s="53"/>
      <c r="NRG11" s="53"/>
      <c r="NRH11" s="53"/>
      <c r="NRI11" s="53"/>
      <c r="NRJ11" s="53"/>
      <c r="NRK11" s="53"/>
      <c r="NRL11" s="53"/>
      <c r="NRM11" s="53"/>
      <c r="NRN11" s="53"/>
      <c r="NRO11" s="53"/>
      <c r="NRP11" s="53"/>
      <c r="NRQ11" s="53"/>
      <c r="NRR11" s="53"/>
      <c r="NRS11" s="53"/>
      <c r="NRT11" s="53"/>
      <c r="NRU11" s="53"/>
      <c r="NRV11" s="53"/>
      <c r="NRW11" s="53"/>
      <c r="NRX11" s="53"/>
      <c r="NRY11" s="53"/>
      <c r="NRZ11" s="53"/>
      <c r="NSA11" s="53"/>
      <c r="NSB11" s="53"/>
      <c r="NSC11" s="53"/>
      <c r="NSD11" s="53"/>
      <c r="NSE11" s="53"/>
      <c r="NSF11" s="53"/>
      <c r="NSG11" s="53"/>
      <c r="NSH11" s="53"/>
      <c r="NSI11" s="53"/>
      <c r="NSJ11" s="53"/>
      <c r="NSK11" s="53"/>
      <c r="NSL11" s="53"/>
      <c r="NSM11" s="53"/>
      <c r="NSN11" s="53"/>
      <c r="NSO11" s="53"/>
      <c r="NSP11" s="53"/>
      <c r="NSQ11" s="53"/>
      <c r="NSR11" s="53"/>
      <c r="NSS11" s="53"/>
      <c r="NST11" s="53"/>
      <c r="NSU11" s="53"/>
      <c r="NSV11" s="53"/>
      <c r="NSW11" s="53"/>
      <c r="NSX11" s="53"/>
      <c r="NSY11" s="53"/>
      <c r="NSZ11" s="53"/>
      <c r="NTA11" s="53"/>
      <c r="NTB11" s="53"/>
      <c r="NTC11" s="53"/>
      <c r="NTD11" s="53"/>
      <c r="NTE11" s="53"/>
      <c r="NTF11" s="53"/>
      <c r="NTG11" s="53"/>
      <c r="NTH11" s="53"/>
      <c r="NTI11" s="53"/>
      <c r="NTJ11" s="53"/>
      <c r="NTK11" s="53"/>
      <c r="NTL11" s="53"/>
      <c r="NTM11" s="53"/>
      <c r="NTN11" s="53"/>
      <c r="NTO11" s="53"/>
      <c r="NTP11" s="53"/>
      <c r="NTQ11" s="53"/>
      <c r="NTR11" s="53"/>
      <c r="NTS11" s="53"/>
      <c r="NTT11" s="53"/>
      <c r="NTU11" s="53"/>
      <c r="NTV11" s="53"/>
      <c r="NTW11" s="53"/>
      <c r="NTX11" s="53"/>
      <c r="NTY11" s="53"/>
      <c r="NTZ11" s="53"/>
      <c r="NUA11" s="53"/>
      <c r="NUB11" s="53"/>
      <c r="NUC11" s="53"/>
      <c r="NUD11" s="53"/>
      <c r="NUE11" s="53"/>
      <c r="NUF11" s="53"/>
      <c r="NUG11" s="53"/>
      <c r="NUH11" s="53"/>
      <c r="NUI11" s="53"/>
      <c r="NUJ11" s="53"/>
      <c r="NUK11" s="53"/>
      <c r="NUL11" s="53"/>
      <c r="NUM11" s="53"/>
      <c r="NUN11" s="53"/>
      <c r="NUO11" s="53"/>
      <c r="NUP11" s="53"/>
      <c r="NUQ11" s="53"/>
      <c r="NUR11" s="53"/>
      <c r="NUS11" s="53"/>
      <c r="NUT11" s="53"/>
      <c r="NUU11" s="53"/>
      <c r="NUV11" s="53"/>
      <c r="NUW11" s="53"/>
      <c r="NUX11" s="53"/>
      <c r="NUY11" s="53"/>
      <c r="NUZ11" s="53"/>
      <c r="NVA11" s="53"/>
      <c r="NVB11" s="53"/>
      <c r="NVC11" s="53"/>
      <c r="NVD11" s="53"/>
      <c r="NVE11" s="53"/>
      <c r="NVF11" s="53"/>
      <c r="NVG11" s="53"/>
      <c r="NVH11" s="53"/>
      <c r="NVI11" s="53"/>
      <c r="NVJ11" s="53"/>
      <c r="NVK11" s="53"/>
      <c r="NVL11" s="53"/>
      <c r="NVM11" s="53"/>
      <c r="NVN11" s="53"/>
      <c r="NVO11" s="53"/>
      <c r="NVP11" s="53"/>
      <c r="NVQ11" s="53"/>
      <c r="NVR11" s="53"/>
      <c r="NVS11" s="53"/>
      <c r="NVT11" s="53"/>
      <c r="NVU11" s="53"/>
      <c r="NVV11" s="53"/>
      <c r="NVW11" s="53"/>
      <c r="NVX11" s="53"/>
      <c r="NVY11" s="53"/>
      <c r="NVZ11" s="53"/>
      <c r="NWA11" s="53"/>
      <c r="NWB11" s="53"/>
      <c r="NWC11" s="53"/>
      <c r="NWD11" s="53"/>
      <c r="NWE11" s="53"/>
      <c r="NWF11" s="53"/>
      <c r="NWG11" s="53"/>
      <c r="NWH11" s="53"/>
      <c r="NWI11" s="53"/>
      <c r="NWJ11" s="53"/>
      <c r="NWK11" s="53"/>
      <c r="NWL11" s="53"/>
      <c r="NWM11" s="53"/>
      <c r="NWN11" s="53"/>
      <c r="NWO11" s="53"/>
      <c r="NWP11" s="53"/>
      <c r="NWQ11" s="53"/>
      <c r="NWR11" s="53"/>
      <c r="NWS11" s="53"/>
      <c r="NWT11" s="53"/>
      <c r="NWU11" s="53"/>
      <c r="NWV11" s="53"/>
      <c r="NWW11" s="53"/>
      <c r="NWX11" s="53"/>
      <c r="NWY11" s="53"/>
      <c r="NWZ11" s="53"/>
      <c r="NXA11" s="53"/>
      <c r="NXB11" s="53"/>
      <c r="NXC11" s="53"/>
      <c r="NXD11" s="53"/>
      <c r="NXE11" s="53"/>
      <c r="NXF11" s="53"/>
      <c r="NXG11" s="53"/>
      <c r="NXH11" s="53"/>
      <c r="NXI11" s="53"/>
      <c r="NXJ11" s="53"/>
      <c r="NXK11" s="53"/>
      <c r="NXL11" s="53"/>
      <c r="NXM11" s="53"/>
      <c r="NXN11" s="53"/>
      <c r="NXO11" s="53"/>
      <c r="NXP11" s="53"/>
      <c r="NXQ11" s="53"/>
      <c r="NXR11" s="53"/>
      <c r="NXS11" s="53"/>
      <c r="NXT11" s="53"/>
      <c r="NXU11" s="53"/>
      <c r="NXV11" s="53"/>
      <c r="NXW11" s="53"/>
      <c r="NXX11" s="53"/>
      <c r="NXY11" s="53"/>
      <c r="NXZ11" s="53"/>
      <c r="NYA11" s="53"/>
      <c r="NYB11" s="53"/>
      <c r="NYC11" s="53"/>
      <c r="NYD11" s="53"/>
      <c r="NYE11" s="53"/>
      <c r="NYF11" s="53"/>
      <c r="NYG11" s="53"/>
      <c r="NYH11" s="53"/>
      <c r="NYI11" s="53"/>
      <c r="NYJ11" s="53"/>
      <c r="NYK11" s="53"/>
      <c r="NYL11" s="53"/>
      <c r="NYM11" s="53"/>
      <c r="NYN11" s="53"/>
      <c r="NYO11" s="53"/>
      <c r="NYP11" s="53"/>
      <c r="NYQ11" s="53"/>
      <c r="NYR11" s="53"/>
      <c r="NYS11" s="53"/>
      <c r="NYT11" s="53"/>
      <c r="NYU11" s="53"/>
      <c r="NYV11" s="53"/>
      <c r="NYW11" s="53"/>
      <c r="NYX11" s="53"/>
      <c r="NYY11" s="53"/>
      <c r="NYZ11" s="53"/>
      <c r="NZA11" s="53"/>
      <c r="NZB11" s="53"/>
      <c r="NZC11" s="53"/>
      <c r="NZD11" s="53"/>
      <c r="NZE11" s="53"/>
      <c r="NZF11" s="53"/>
      <c r="NZG11" s="53"/>
      <c r="NZH11" s="53"/>
      <c r="NZI11" s="53"/>
      <c r="NZJ11" s="53"/>
      <c r="NZK11" s="53"/>
      <c r="NZL11" s="53"/>
      <c r="NZM11" s="53"/>
      <c r="NZN11" s="53"/>
      <c r="NZO11" s="53"/>
      <c r="NZP11" s="53"/>
      <c r="NZQ11" s="53"/>
      <c r="NZR11" s="53"/>
      <c r="NZS11" s="53"/>
      <c r="NZT11" s="53"/>
      <c r="NZU11" s="53"/>
      <c r="NZV11" s="53"/>
      <c r="NZW11" s="53"/>
      <c r="NZX11" s="53"/>
      <c r="NZY11" s="53"/>
      <c r="NZZ11" s="53"/>
      <c r="OAA11" s="53"/>
      <c r="OAB11" s="53"/>
      <c r="OAC11" s="53"/>
      <c r="OAD11" s="53"/>
      <c r="OAE11" s="53"/>
      <c r="OAF11" s="53"/>
      <c r="OAG11" s="53"/>
      <c r="OAH11" s="53"/>
      <c r="OAI11" s="53"/>
      <c r="OAJ11" s="53"/>
      <c r="OAK11" s="53"/>
      <c r="OAL11" s="53"/>
      <c r="OAM11" s="53"/>
      <c r="OAN11" s="53"/>
      <c r="OAO11" s="53"/>
      <c r="OAP11" s="53"/>
      <c r="OAQ11" s="53"/>
      <c r="OAR11" s="53"/>
      <c r="OAS11" s="53"/>
      <c r="OAT11" s="53"/>
      <c r="OAU11" s="53"/>
      <c r="OAV11" s="53"/>
      <c r="OAW11" s="53"/>
      <c r="OAX11" s="53"/>
      <c r="OAY11" s="53"/>
      <c r="OAZ11" s="53"/>
      <c r="OBA11" s="53"/>
      <c r="OBB11" s="53"/>
      <c r="OBC11" s="53"/>
      <c r="OBD11" s="53"/>
      <c r="OBE11" s="53"/>
      <c r="OBF11" s="53"/>
      <c r="OBG11" s="53"/>
      <c r="OBH11" s="53"/>
      <c r="OBI11" s="53"/>
      <c r="OBJ11" s="53"/>
      <c r="OBK11" s="53"/>
      <c r="OBL11" s="53"/>
      <c r="OBM11" s="53"/>
      <c r="OBN11" s="53"/>
      <c r="OBO11" s="53"/>
      <c r="OBP11" s="53"/>
      <c r="OBQ11" s="53"/>
      <c r="OBR11" s="53"/>
      <c r="OBS11" s="53"/>
      <c r="OBT11" s="53"/>
      <c r="OBU11" s="53"/>
      <c r="OBV11" s="53"/>
      <c r="OBW11" s="53"/>
      <c r="OBX11" s="53"/>
      <c r="OBY11" s="53"/>
      <c r="OBZ11" s="53"/>
      <c r="OCA11" s="53"/>
      <c r="OCB11" s="53"/>
      <c r="OCC11" s="53"/>
      <c r="OCD11" s="53"/>
      <c r="OCE11" s="53"/>
      <c r="OCF11" s="53"/>
      <c r="OCG11" s="53"/>
      <c r="OCH11" s="53"/>
      <c r="OCI11" s="53"/>
      <c r="OCJ11" s="53"/>
      <c r="OCK11" s="53"/>
      <c r="OCL11" s="53"/>
      <c r="OCM11" s="53"/>
      <c r="OCN11" s="53"/>
      <c r="OCO11" s="53"/>
      <c r="OCP11" s="53"/>
      <c r="OCQ11" s="53"/>
      <c r="OCR11" s="53"/>
      <c r="OCS11" s="53"/>
      <c r="OCT11" s="53"/>
      <c r="OCU11" s="53"/>
      <c r="OCV11" s="53"/>
      <c r="OCW11" s="53"/>
      <c r="OCX11" s="53"/>
      <c r="OCY11" s="53"/>
      <c r="OCZ11" s="53"/>
      <c r="ODA11" s="53"/>
      <c r="ODB11" s="53"/>
      <c r="ODC11" s="53"/>
      <c r="ODD11" s="53"/>
      <c r="ODE11" s="53"/>
      <c r="ODF11" s="53"/>
      <c r="ODG11" s="53"/>
      <c r="ODH11" s="53"/>
      <c r="ODI11" s="53"/>
      <c r="ODJ11" s="53"/>
      <c r="ODK11" s="53"/>
      <c r="ODL11" s="53"/>
      <c r="ODM11" s="53"/>
      <c r="ODN11" s="53"/>
      <c r="ODO11" s="53"/>
      <c r="ODP11" s="53"/>
      <c r="ODQ11" s="53"/>
      <c r="ODR11" s="53"/>
      <c r="ODS11" s="53"/>
      <c r="ODT11" s="53"/>
      <c r="ODU11" s="53"/>
      <c r="ODV11" s="53"/>
      <c r="ODW11" s="53"/>
      <c r="ODX11" s="53"/>
      <c r="ODY11" s="53"/>
      <c r="ODZ11" s="53"/>
      <c r="OEA11" s="53"/>
      <c r="OEB11" s="53"/>
      <c r="OEC11" s="53"/>
      <c r="OED11" s="53"/>
      <c r="OEE11" s="53"/>
      <c r="OEF11" s="53"/>
      <c r="OEG11" s="53"/>
      <c r="OEH11" s="53"/>
      <c r="OEI11" s="53"/>
      <c r="OEJ11" s="53"/>
      <c r="OEK11" s="53"/>
      <c r="OEL11" s="53"/>
      <c r="OEM11" s="53"/>
      <c r="OEN11" s="53"/>
      <c r="OEO11" s="53"/>
      <c r="OEP11" s="53"/>
      <c r="OEQ11" s="53"/>
      <c r="OER11" s="53"/>
      <c r="OES11" s="53"/>
      <c r="OET11" s="53"/>
      <c r="OEU11" s="53"/>
      <c r="OEV11" s="53"/>
      <c r="OEW11" s="53"/>
      <c r="OEX11" s="53"/>
      <c r="OEY11" s="53"/>
      <c r="OEZ11" s="53"/>
      <c r="OFA11" s="53"/>
      <c r="OFB11" s="53"/>
      <c r="OFC11" s="53"/>
      <c r="OFD11" s="53"/>
      <c r="OFE11" s="53"/>
      <c r="OFF11" s="53"/>
      <c r="OFG11" s="53"/>
      <c r="OFH11" s="53"/>
      <c r="OFI11" s="53"/>
      <c r="OFJ11" s="53"/>
      <c r="OFK11" s="53"/>
      <c r="OFL11" s="53"/>
      <c r="OFM11" s="53"/>
      <c r="OFN11" s="53"/>
      <c r="OFO11" s="53"/>
      <c r="OFP11" s="53"/>
      <c r="OFQ11" s="53"/>
      <c r="OFR11" s="53"/>
      <c r="OFS11" s="53"/>
      <c r="OFT11" s="53"/>
      <c r="OFU11" s="53"/>
      <c r="OFV11" s="53"/>
      <c r="OFW11" s="53"/>
      <c r="OFX11" s="53"/>
      <c r="OFY11" s="53"/>
      <c r="OFZ11" s="53"/>
      <c r="OGA11" s="53"/>
      <c r="OGB11" s="53"/>
      <c r="OGC11" s="53"/>
      <c r="OGD11" s="53"/>
      <c r="OGE11" s="53"/>
      <c r="OGF11" s="53"/>
      <c r="OGG11" s="53"/>
      <c r="OGH11" s="53"/>
      <c r="OGI11" s="53"/>
      <c r="OGJ11" s="53"/>
      <c r="OGK11" s="53"/>
      <c r="OGL11" s="53"/>
      <c r="OGM11" s="53"/>
      <c r="OGN11" s="53"/>
      <c r="OGO11" s="53"/>
      <c r="OGP11" s="53"/>
      <c r="OGQ11" s="53"/>
      <c r="OGR11" s="53"/>
      <c r="OGS11" s="53"/>
      <c r="OGT11" s="53"/>
      <c r="OGU11" s="53"/>
      <c r="OGV11" s="53"/>
      <c r="OGW11" s="53"/>
      <c r="OGX11" s="53"/>
      <c r="OGY11" s="53"/>
      <c r="OGZ11" s="53"/>
      <c r="OHA11" s="53"/>
      <c r="OHB11" s="53"/>
      <c r="OHC11" s="53"/>
      <c r="OHD11" s="53"/>
      <c r="OHE11" s="53"/>
      <c r="OHF11" s="53"/>
      <c r="OHG11" s="53"/>
      <c r="OHH11" s="53"/>
      <c r="OHI11" s="53"/>
      <c r="OHJ11" s="53"/>
      <c r="OHK11" s="53"/>
      <c r="OHL11" s="53"/>
      <c r="OHM11" s="53"/>
      <c r="OHN11" s="53"/>
      <c r="OHO11" s="53"/>
      <c r="OHP11" s="53"/>
      <c r="OHQ11" s="53"/>
      <c r="OHR11" s="53"/>
      <c r="OHS11" s="53"/>
      <c r="OHT11" s="53"/>
      <c r="OHU11" s="53"/>
      <c r="OHV11" s="53"/>
      <c r="OHW11" s="53"/>
      <c r="OHX11" s="53"/>
      <c r="OHY11" s="53"/>
      <c r="OHZ11" s="53"/>
      <c r="OIA11" s="53"/>
      <c r="OIB11" s="53"/>
      <c r="OIC11" s="53"/>
      <c r="OID11" s="53"/>
      <c r="OIE11" s="53"/>
      <c r="OIF11" s="53"/>
      <c r="OIG11" s="53"/>
      <c r="OIH11" s="53"/>
      <c r="OII11" s="53"/>
      <c r="OIJ11" s="53"/>
      <c r="OIK11" s="53"/>
      <c r="OIL11" s="53"/>
      <c r="OIM11" s="53"/>
      <c r="OIN11" s="53"/>
      <c r="OIO11" s="53"/>
      <c r="OIP11" s="53"/>
      <c r="OIQ11" s="53"/>
      <c r="OIR11" s="53"/>
      <c r="OIS11" s="53"/>
      <c r="OIT11" s="53"/>
      <c r="OIU11" s="53"/>
      <c r="OIV11" s="53"/>
      <c r="OIW11" s="53"/>
      <c r="OIX11" s="53"/>
      <c r="OIY11" s="53"/>
      <c r="OIZ11" s="53"/>
      <c r="OJA11" s="53"/>
      <c r="OJB11" s="53"/>
      <c r="OJC11" s="53"/>
      <c r="OJD11" s="53"/>
      <c r="OJE11" s="53"/>
      <c r="OJF11" s="53"/>
      <c r="OJG11" s="53"/>
      <c r="OJH11" s="53"/>
      <c r="OJI11" s="53"/>
      <c r="OJJ11" s="53"/>
      <c r="OJK11" s="53"/>
      <c r="OJL11" s="53"/>
      <c r="OJM11" s="53"/>
      <c r="OJN11" s="53"/>
      <c r="OJO11" s="53"/>
      <c r="OJP11" s="53"/>
      <c r="OJQ11" s="53"/>
      <c r="OJR11" s="53"/>
      <c r="OJS11" s="53"/>
      <c r="OJT11" s="53"/>
      <c r="OJU11" s="53"/>
      <c r="OJV11" s="53"/>
      <c r="OJW11" s="53"/>
      <c r="OJX11" s="53"/>
      <c r="OJY11" s="53"/>
      <c r="OJZ11" s="53"/>
      <c r="OKA11" s="53"/>
      <c r="OKB11" s="53"/>
      <c r="OKC11" s="53"/>
      <c r="OKD11" s="53"/>
      <c r="OKE11" s="53"/>
      <c r="OKF11" s="53"/>
      <c r="OKG11" s="53"/>
      <c r="OKH11" s="53"/>
      <c r="OKI11" s="53"/>
      <c r="OKJ11" s="53"/>
      <c r="OKK11" s="53"/>
      <c r="OKL11" s="53"/>
      <c r="OKM11" s="53"/>
      <c r="OKN11" s="53"/>
      <c r="OKO11" s="53"/>
      <c r="OKP11" s="53"/>
      <c r="OKQ11" s="53"/>
      <c r="OKR11" s="53"/>
      <c r="OKS11" s="53"/>
      <c r="OKT11" s="53"/>
      <c r="OKU11" s="53"/>
      <c r="OKV11" s="53"/>
      <c r="OKW11" s="53"/>
      <c r="OKX11" s="53"/>
      <c r="OKY11" s="53"/>
      <c r="OKZ11" s="53"/>
      <c r="OLA11" s="53"/>
      <c r="OLB11" s="53"/>
      <c r="OLC11" s="53"/>
      <c r="OLD11" s="53"/>
      <c r="OLE11" s="53"/>
      <c r="OLF11" s="53"/>
      <c r="OLG11" s="53"/>
      <c r="OLH11" s="53"/>
      <c r="OLI11" s="53"/>
      <c r="OLJ11" s="53"/>
      <c r="OLK11" s="53"/>
      <c r="OLL11" s="53"/>
      <c r="OLM11" s="53"/>
      <c r="OLN11" s="53"/>
      <c r="OLO11" s="53"/>
      <c r="OLP11" s="53"/>
      <c r="OLQ11" s="53"/>
      <c r="OLR11" s="53"/>
      <c r="OLS11" s="53"/>
      <c r="OLT11" s="53"/>
      <c r="OLU11" s="53"/>
      <c r="OLV11" s="53"/>
      <c r="OLW11" s="53"/>
      <c r="OLX11" s="53"/>
      <c r="OLY11" s="53"/>
      <c r="OLZ11" s="53"/>
      <c r="OMA11" s="53"/>
      <c r="OMB11" s="53"/>
      <c r="OMC11" s="53"/>
      <c r="OMD11" s="53"/>
      <c r="OME11" s="53"/>
      <c r="OMF11" s="53"/>
      <c r="OMG11" s="53"/>
      <c r="OMH11" s="53"/>
      <c r="OMI11" s="53"/>
      <c r="OMJ11" s="53"/>
      <c r="OMK11" s="53"/>
      <c r="OML11" s="53"/>
      <c r="OMM11" s="53"/>
      <c r="OMN11" s="53"/>
      <c r="OMO11" s="53"/>
      <c r="OMP11" s="53"/>
      <c r="OMQ11" s="53"/>
      <c r="OMR11" s="53"/>
      <c r="OMS11" s="53"/>
      <c r="OMT11" s="53"/>
      <c r="OMU11" s="53"/>
      <c r="OMV11" s="53"/>
      <c r="OMW11" s="53"/>
      <c r="OMX11" s="53"/>
      <c r="OMY11" s="53"/>
      <c r="OMZ11" s="53"/>
      <c r="ONA11" s="53"/>
      <c r="ONB11" s="53"/>
      <c r="ONC11" s="53"/>
      <c r="OND11" s="53"/>
      <c r="ONE11" s="53"/>
      <c r="ONF11" s="53"/>
      <c r="ONG11" s="53"/>
      <c r="ONH11" s="53"/>
      <c r="ONI11" s="53"/>
      <c r="ONJ11" s="53"/>
      <c r="ONK11" s="53"/>
      <c r="ONL11" s="53"/>
      <c r="ONM11" s="53"/>
      <c r="ONN11" s="53"/>
      <c r="ONO11" s="53"/>
      <c r="ONP11" s="53"/>
      <c r="ONQ11" s="53"/>
      <c r="ONR11" s="53"/>
      <c r="ONS11" s="53"/>
      <c r="ONT11" s="53"/>
      <c r="ONU11" s="53"/>
      <c r="ONV11" s="53"/>
      <c r="ONW11" s="53"/>
      <c r="ONX11" s="53"/>
      <c r="ONY11" s="53"/>
      <c r="ONZ11" s="53"/>
      <c r="OOA11" s="53"/>
      <c r="OOB11" s="53"/>
      <c r="OOC11" s="53"/>
      <c r="OOD11" s="53"/>
      <c r="OOE11" s="53"/>
      <c r="OOF11" s="53"/>
      <c r="OOG11" s="53"/>
      <c r="OOH11" s="53"/>
      <c r="OOI11" s="53"/>
      <c r="OOJ11" s="53"/>
      <c r="OOK11" s="53"/>
      <c r="OOL11" s="53"/>
      <c r="OOM11" s="53"/>
      <c r="OON11" s="53"/>
      <c r="OOO11" s="53"/>
      <c r="OOP11" s="53"/>
      <c r="OOQ11" s="53"/>
      <c r="OOR11" s="53"/>
      <c r="OOS11" s="53"/>
      <c r="OOT11" s="53"/>
      <c r="OOU11" s="53"/>
      <c r="OOV11" s="53"/>
      <c r="OOW11" s="53"/>
      <c r="OOX11" s="53"/>
      <c r="OOY11" s="53"/>
      <c r="OOZ11" s="53"/>
      <c r="OPA11" s="53"/>
      <c r="OPB11" s="53"/>
      <c r="OPC11" s="53"/>
      <c r="OPD11" s="53"/>
      <c r="OPE11" s="53"/>
      <c r="OPF11" s="53"/>
      <c r="OPG11" s="53"/>
      <c r="OPH11" s="53"/>
      <c r="OPI11" s="53"/>
      <c r="OPJ11" s="53"/>
      <c r="OPK11" s="53"/>
      <c r="OPL11" s="53"/>
      <c r="OPM11" s="53"/>
      <c r="OPN11" s="53"/>
      <c r="OPO11" s="53"/>
      <c r="OPP11" s="53"/>
      <c r="OPQ11" s="53"/>
      <c r="OPR11" s="53"/>
      <c r="OPS11" s="53"/>
      <c r="OPT11" s="53"/>
      <c r="OPU11" s="53"/>
      <c r="OPV11" s="53"/>
      <c r="OPW11" s="53"/>
      <c r="OPX11" s="53"/>
      <c r="OPY11" s="53"/>
      <c r="OPZ11" s="53"/>
      <c r="OQA11" s="53"/>
      <c r="OQB11" s="53"/>
      <c r="OQC11" s="53"/>
      <c r="OQD11" s="53"/>
      <c r="OQE11" s="53"/>
      <c r="OQF11" s="53"/>
      <c r="OQG11" s="53"/>
      <c r="OQH11" s="53"/>
      <c r="OQI11" s="53"/>
      <c r="OQJ11" s="53"/>
      <c r="OQK11" s="53"/>
      <c r="OQL11" s="53"/>
      <c r="OQM11" s="53"/>
      <c r="OQN11" s="53"/>
      <c r="OQO11" s="53"/>
      <c r="OQP11" s="53"/>
      <c r="OQQ11" s="53"/>
      <c r="OQR11" s="53"/>
      <c r="OQS11" s="53"/>
      <c r="OQT11" s="53"/>
      <c r="OQU11" s="53"/>
      <c r="OQV11" s="53"/>
      <c r="OQW11" s="53"/>
      <c r="OQX11" s="53"/>
      <c r="OQY11" s="53"/>
      <c r="OQZ11" s="53"/>
      <c r="ORA11" s="53"/>
      <c r="ORB11" s="53"/>
      <c r="ORC11" s="53"/>
      <c r="ORD11" s="53"/>
      <c r="ORE11" s="53"/>
      <c r="ORF11" s="53"/>
      <c r="ORG11" s="53"/>
      <c r="ORH11" s="53"/>
      <c r="ORI11" s="53"/>
      <c r="ORJ11" s="53"/>
      <c r="ORK11" s="53"/>
      <c r="ORL11" s="53"/>
      <c r="ORM11" s="53"/>
      <c r="ORN11" s="53"/>
      <c r="ORO11" s="53"/>
      <c r="ORP11" s="53"/>
      <c r="ORQ11" s="53"/>
      <c r="ORR11" s="53"/>
      <c r="ORS11" s="53"/>
      <c r="ORT11" s="53"/>
      <c r="ORU11" s="53"/>
      <c r="ORV11" s="53"/>
      <c r="ORW11" s="53"/>
      <c r="ORX11" s="53"/>
      <c r="ORY11" s="53"/>
      <c r="ORZ11" s="53"/>
      <c r="OSA11" s="53"/>
      <c r="OSB11" s="53"/>
      <c r="OSC11" s="53"/>
      <c r="OSD11" s="53"/>
      <c r="OSE11" s="53"/>
      <c r="OSF11" s="53"/>
      <c r="OSG11" s="53"/>
      <c r="OSH11" s="53"/>
      <c r="OSI11" s="53"/>
      <c r="OSJ11" s="53"/>
      <c r="OSK11" s="53"/>
      <c r="OSL11" s="53"/>
      <c r="OSM11" s="53"/>
      <c r="OSN11" s="53"/>
      <c r="OSO11" s="53"/>
      <c r="OSP11" s="53"/>
      <c r="OSQ11" s="53"/>
      <c r="OSR11" s="53"/>
      <c r="OSS11" s="53"/>
      <c r="OST11" s="53"/>
      <c r="OSU11" s="53"/>
      <c r="OSV11" s="53"/>
      <c r="OSW11" s="53"/>
      <c r="OSX11" s="53"/>
      <c r="OSY11" s="53"/>
      <c r="OSZ11" s="53"/>
      <c r="OTA11" s="53"/>
      <c r="OTB11" s="53"/>
      <c r="OTC11" s="53"/>
      <c r="OTD11" s="53"/>
      <c r="OTE11" s="53"/>
      <c r="OTF11" s="53"/>
      <c r="OTG11" s="53"/>
      <c r="OTH11" s="53"/>
      <c r="OTI11" s="53"/>
      <c r="OTJ11" s="53"/>
      <c r="OTK11" s="53"/>
      <c r="OTL11" s="53"/>
      <c r="OTM11" s="53"/>
      <c r="OTN11" s="53"/>
      <c r="OTO11" s="53"/>
      <c r="OTP11" s="53"/>
      <c r="OTQ11" s="53"/>
      <c r="OTR11" s="53"/>
      <c r="OTS11" s="53"/>
      <c r="OTT11" s="53"/>
      <c r="OTU11" s="53"/>
      <c r="OTV11" s="53"/>
      <c r="OTW11" s="53"/>
      <c r="OTX11" s="53"/>
      <c r="OTY11" s="53"/>
      <c r="OTZ11" s="53"/>
      <c r="OUA11" s="53"/>
      <c r="OUB11" s="53"/>
      <c r="OUC11" s="53"/>
      <c r="OUD11" s="53"/>
      <c r="OUE11" s="53"/>
      <c r="OUF11" s="53"/>
      <c r="OUG11" s="53"/>
      <c r="OUH11" s="53"/>
      <c r="OUI11" s="53"/>
      <c r="OUJ11" s="53"/>
      <c r="OUK11" s="53"/>
      <c r="OUL11" s="53"/>
      <c r="OUM11" s="53"/>
      <c r="OUN11" s="53"/>
      <c r="OUO11" s="53"/>
      <c r="OUP11" s="53"/>
      <c r="OUQ11" s="53"/>
      <c r="OUR11" s="53"/>
      <c r="OUS11" s="53"/>
      <c r="OUT11" s="53"/>
      <c r="OUU11" s="53"/>
      <c r="OUV11" s="53"/>
      <c r="OUW11" s="53"/>
      <c r="OUX11" s="53"/>
      <c r="OUY11" s="53"/>
      <c r="OUZ11" s="53"/>
      <c r="OVA11" s="53"/>
      <c r="OVB11" s="53"/>
      <c r="OVC11" s="53"/>
      <c r="OVD11" s="53"/>
      <c r="OVE11" s="53"/>
      <c r="OVF11" s="53"/>
      <c r="OVG11" s="53"/>
      <c r="OVH11" s="53"/>
      <c r="OVI11" s="53"/>
      <c r="OVJ11" s="53"/>
      <c r="OVK11" s="53"/>
      <c r="OVL11" s="53"/>
      <c r="OVM11" s="53"/>
      <c r="OVN11" s="53"/>
      <c r="OVO11" s="53"/>
      <c r="OVP11" s="53"/>
      <c r="OVQ11" s="53"/>
      <c r="OVR11" s="53"/>
      <c r="OVS11" s="53"/>
      <c r="OVT11" s="53"/>
      <c r="OVU11" s="53"/>
      <c r="OVV11" s="53"/>
      <c r="OVW11" s="53"/>
      <c r="OVX11" s="53"/>
      <c r="OVY11" s="53"/>
      <c r="OVZ11" s="53"/>
      <c r="OWA11" s="53"/>
      <c r="OWB11" s="53"/>
      <c r="OWC11" s="53"/>
      <c r="OWD11" s="53"/>
      <c r="OWE11" s="53"/>
      <c r="OWF11" s="53"/>
      <c r="OWG11" s="53"/>
      <c r="OWH11" s="53"/>
      <c r="OWI11" s="53"/>
      <c r="OWJ11" s="53"/>
      <c r="OWK11" s="53"/>
      <c r="OWL11" s="53"/>
      <c r="OWM11" s="53"/>
      <c r="OWN11" s="53"/>
      <c r="OWO11" s="53"/>
      <c r="OWP11" s="53"/>
      <c r="OWQ11" s="53"/>
      <c r="OWR11" s="53"/>
      <c r="OWS11" s="53"/>
      <c r="OWT11" s="53"/>
      <c r="OWU11" s="53"/>
      <c r="OWV11" s="53"/>
      <c r="OWW11" s="53"/>
      <c r="OWX11" s="53"/>
      <c r="OWY11" s="53"/>
      <c r="OWZ11" s="53"/>
      <c r="OXA11" s="53"/>
      <c r="OXB11" s="53"/>
      <c r="OXC11" s="53"/>
      <c r="OXD11" s="53"/>
      <c r="OXE11" s="53"/>
      <c r="OXF11" s="53"/>
      <c r="OXG11" s="53"/>
      <c r="OXH11" s="53"/>
      <c r="OXI11" s="53"/>
      <c r="OXJ11" s="53"/>
      <c r="OXK11" s="53"/>
      <c r="OXL11" s="53"/>
      <c r="OXM11" s="53"/>
      <c r="OXN11" s="53"/>
      <c r="OXO11" s="53"/>
      <c r="OXP11" s="53"/>
      <c r="OXQ11" s="53"/>
      <c r="OXR11" s="53"/>
      <c r="OXS11" s="53"/>
      <c r="OXT11" s="53"/>
      <c r="OXU11" s="53"/>
      <c r="OXV11" s="53"/>
      <c r="OXW11" s="53"/>
      <c r="OXX11" s="53"/>
      <c r="OXY11" s="53"/>
      <c r="OXZ11" s="53"/>
      <c r="OYA11" s="53"/>
      <c r="OYB11" s="53"/>
      <c r="OYC11" s="53"/>
      <c r="OYD11" s="53"/>
      <c r="OYE11" s="53"/>
      <c r="OYF11" s="53"/>
      <c r="OYG11" s="53"/>
      <c r="OYH11" s="53"/>
      <c r="OYI11" s="53"/>
      <c r="OYJ11" s="53"/>
      <c r="OYK11" s="53"/>
      <c r="OYL11" s="53"/>
      <c r="OYM11" s="53"/>
      <c r="OYN11" s="53"/>
      <c r="OYO11" s="53"/>
      <c r="OYP11" s="53"/>
      <c r="OYQ11" s="53"/>
      <c r="OYR11" s="53"/>
      <c r="OYS11" s="53"/>
      <c r="OYT11" s="53"/>
      <c r="OYU11" s="53"/>
      <c r="OYV11" s="53"/>
      <c r="OYW11" s="53"/>
      <c r="OYX11" s="53"/>
      <c r="OYY11" s="53"/>
      <c r="OYZ11" s="53"/>
      <c r="OZA11" s="53"/>
      <c r="OZB11" s="53"/>
      <c r="OZC11" s="53"/>
      <c r="OZD11" s="53"/>
      <c r="OZE11" s="53"/>
      <c r="OZF11" s="53"/>
      <c r="OZG11" s="53"/>
      <c r="OZH11" s="53"/>
      <c r="OZI11" s="53"/>
      <c r="OZJ11" s="53"/>
      <c r="OZK11" s="53"/>
      <c r="OZL11" s="53"/>
      <c r="OZM11" s="53"/>
      <c r="OZN11" s="53"/>
      <c r="OZO11" s="53"/>
      <c r="OZP11" s="53"/>
      <c r="OZQ11" s="53"/>
      <c r="OZR11" s="53"/>
      <c r="OZS11" s="53"/>
      <c r="OZT11" s="53"/>
      <c r="OZU11" s="53"/>
      <c r="OZV11" s="53"/>
      <c r="OZW11" s="53"/>
      <c r="OZX11" s="53"/>
      <c r="OZY11" s="53"/>
      <c r="OZZ11" s="53"/>
      <c r="PAA11" s="53"/>
      <c r="PAB11" s="53"/>
      <c r="PAC11" s="53"/>
      <c r="PAD11" s="53"/>
      <c r="PAE11" s="53"/>
      <c r="PAF11" s="53"/>
      <c r="PAG11" s="53"/>
      <c r="PAH11" s="53"/>
      <c r="PAI11" s="53"/>
      <c r="PAJ11" s="53"/>
      <c r="PAK11" s="53"/>
      <c r="PAL11" s="53"/>
      <c r="PAM11" s="53"/>
      <c r="PAN11" s="53"/>
      <c r="PAO11" s="53"/>
      <c r="PAP11" s="53"/>
      <c r="PAQ11" s="53"/>
      <c r="PAR11" s="53"/>
      <c r="PAS11" s="53"/>
      <c r="PAT11" s="53"/>
      <c r="PAU11" s="53"/>
      <c r="PAV11" s="53"/>
      <c r="PAW11" s="53"/>
      <c r="PAX11" s="53"/>
      <c r="PAY11" s="53"/>
      <c r="PAZ11" s="53"/>
      <c r="PBA11" s="53"/>
      <c r="PBB11" s="53"/>
      <c r="PBC11" s="53"/>
      <c r="PBD11" s="53"/>
      <c r="PBE11" s="53"/>
      <c r="PBF11" s="53"/>
      <c r="PBG11" s="53"/>
      <c r="PBH11" s="53"/>
      <c r="PBI11" s="53"/>
      <c r="PBJ11" s="53"/>
      <c r="PBK11" s="53"/>
      <c r="PBL11" s="53"/>
      <c r="PBM11" s="53"/>
      <c r="PBN11" s="53"/>
      <c r="PBO11" s="53"/>
      <c r="PBP11" s="53"/>
      <c r="PBQ11" s="53"/>
      <c r="PBR11" s="53"/>
      <c r="PBS11" s="53"/>
      <c r="PBT11" s="53"/>
      <c r="PBU11" s="53"/>
      <c r="PBV11" s="53"/>
      <c r="PBW11" s="53"/>
      <c r="PBX11" s="53"/>
      <c r="PBY11" s="53"/>
      <c r="PBZ11" s="53"/>
      <c r="PCA11" s="53"/>
      <c r="PCB11" s="53"/>
      <c r="PCC11" s="53"/>
      <c r="PCD11" s="53"/>
      <c r="PCE11" s="53"/>
      <c r="PCF11" s="53"/>
      <c r="PCG11" s="53"/>
      <c r="PCH11" s="53"/>
      <c r="PCI11" s="53"/>
      <c r="PCJ11" s="53"/>
      <c r="PCK11" s="53"/>
      <c r="PCL11" s="53"/>
      <c r="PCM11" s="53"/>
      <c r="PCN11" s="53"/>
      <c r="PCO11" s="53"/>
      <c r="PCP11" s="53"/>
      <c r="PCQ11" s="53"/>
      <c r="PCR11" s="53"/>
      <c r="PCS11" s="53"/>
      <c r="PCT11" s="53"/>
      <c r="PCU11" s="53"/>
      <c r="PCV11" s="53"/>
      <c r="PCW11" s="53"/>
      <c r="PCX11" s="53"/>
      <c r="PCY11" s="53"/>
      <c r="PCZ11" s="53"/>
      <c r="PDA11" s="53"/>
      <c r="PDB11" s="53"/>
      <c r="PDC11" s="53"/>
      <c r="PDD11" s="53"/>
      <c r="PDE11" s="53"/>
      <c r="PDF11" s="53"/>
      <c r="PDG11" s="53"/>
      <c r="PDH11" s="53"/>
      <c r="PDI11" s="53"/>
      <c r="PDJ11" s="53"/>
      <c r="PDK11" s="53"/>
      <c r="PDL11" s="53"/>
      <c r="PDM11" s="53"/>
      <c r="PDN11" s="53"/>
      <c r="PDO11" s="53"/>
      <c r="PDP11" s="53"/>
      <c r="PDQ11" s="53"/>
      <c r="PDR11" s="53"/>
      <c r="PDS11" s="53"/>
      <c r="PDT11" s="53"/>
      <c r="PDU11" s="53"/>
      <c r="PDV11" s="53"/>
      <c r="PDW11" s="53"/>
      <c r="PDX11" s="53"/>
      <c r="PDY11" s="53"/>
      <c r="PDZ11" s="53"/>
      <c r="PEA11" s="53"/>
      <c r="PEB11" s="53"/>
      <c r="PEC11" s="53"/>
      <c r="PED11" s="53"/>
      <c r="PEE11" s="53"/>
      <c r="PEF11" s="53"/>
      <c r="PEG11" s="53"/>
      <c r="PEH11" s="53"/>
      <c r="PEI11" s="53"/>
      <c r="PEJ11" s="53"/>
      <c r="PEK11" s="53"/>
      <c r="PEL11" s="53"/>
      <c r="PEM11" s="53"/>
      <c r="PEN11" s="53"/>
      <c r="PEO11" s="53"/>
      <c r="PEP11" s="53"/>
      <c r="PEQ11" s="53"/>
      <c r="PER11" s="53"/>
      <c r="PES11" s="53"/>
      <c r="PET11" s="53"/>
      <c r="PEU11" s="53"/>
      <c r="PEV11" s="53"/>
      <c r="PEW11" s="53"/>
      <c r="PEX11" s="53"/>
      <c r="PEY11" s="53"/>
      <c r="PEZ11" s="53"/>
      <c r="PFA11" s="53"/>
      <c r="PFB11" s="53"/>
      <c r="PFC11" s="53"/>
      <c r="PFD11" s="53"/>
      <c r="PFE11" s="53"/>
      <c r="PFF11" s="53"/>
      <c r="PFG11" s="53"/>
      <c r="PFH11" s="53"/>
      <c r="PFI11" s="53"/>
      <c r="PFJ11" s="53"/>
      <c r="PFK11" s="53"/>
      <c r="PFL11" s="53"/>
      <c r="PFM11" s="53"/>
      <c r="PFN11" s="53"/>
      <c r="PFO11" s="53"/>
      <c r="PFP11" s="53"/>
      <c r="PFQ11" s="53"/>
      <c r="PFR11" s="53"/>
      <c r="PFS11" s="53"/>
      <c r="PFT11" s="53"/>
      <c r="PFU11" s="53"/>
      <c r="PFV11" s="53"/>
      <c r="PFW11" s="53"/>
      <c r="PFX11" s="53"/>
      <c r="PFY11" s="53"/>
      <c r="PFZ11" s="53"/>
      <c r="PGA11" s="53"/>
      <c r="PGB11" s="53"/>
      <c r="PGC11" s="53"/>
      <c r="PGD11" s="53"/>
      <c r="PGE11" s="53"/>
      <c r="PGF11" s="53"/>
      <c r="PGG11" s="53"/>
      <c r="PGH11" s="53"/>
      <c r="PGI11" s="53"/>
      <c r="PGJ11" s="53"/>
      <c r="PGK11" s="53"/>
      <c r="PGL11" s="53"/>
      <c r="PGM11" s="53"/>
      <c r="PGN11" s="53"/>
      <c r="PGO11" s="53"/>
      <c r="PGP11" s="53"/>
      <c r="PGQ11" s="53"/>
      <c r="PGR11" s="53"/>
      <c r="PGS11" s="53"/>
      <c r="PGT11" s="53"/>
      <c r="PGU11" s="53"/>
      <c r="PGV11" s="53"/>
      <c r="PGW11" s="53"/>
      <c r="PGX11" s="53"/>
      <c r="PGY11" s="53"/>
      <c r="PGZ11" s="53"/>
      <c r="PHA11" s="53"/>
      <c r="PHB11" s="53"/>
      <c r="PHC11" s="53"/>
      <c r="PHD11" s="53"/>
      <c r="PHE11" s="53"/>
      <c r="PHF11" s="53"/>
      <c r="PHG11" s="53"/>
      <c r="PHH11" s="53"/>
      <c r="PHI11" s="53"/>
      <c r="PHJ11" s="53"/>
      <c r="PHK11" s="53"/>
      <c r="PHL11" s="53"/>
      <c r="PHM11" s="53"/>
      <c r="PHN11" s="53"/>
      <c r="PHO11" s="53"/>
      <c r="PHP11" s="53"/>
      <c r="PHQ11" s="53"/>
      <c r="PHR11" s="53"/>
      <c r="PHS11" s="53"/>
      <c r="PHT11" s="53"/>
      <c r="PHU11" s="53"/>
      <c r="PHV11" s="53"/>
      <c r="PHW11" s="53"/>
      <c r="PHX11" s="53"/>
      <c r="PHY11" s="53"/>
      <c r="PHZ11" s="53"/>
      <c r="PIA11" s="53"/>
      <c r="PIB11" s="53"/>
      <c r="PIC11" s="53"/>
      <c r="PID11" s="53"/>
      <c r="PIE11" s="53"/>
      <c r="PIF11" s="53"/>
      <c r="PIG11" s="53"/>
      <c r="PIH11" s="53"/>
      <c r="PII11" s="53"/>
      <c r="PIJ11" s="53"/>
      <c r="PIK11" s="53"/>
      <c r="PIL11" s="53"/>
      <c r="PIM11" s="53"/>
      <c r="PIN11" s="53"/>
      <c r="PIO11" s="53"/>
      <c r="PIP11" s="53"/>
      <c r="PIQ11" s="53"/>
      <c r="PIR11" s="53"/>
      <c r="PIS11" s="53"/>
      <c r="PIT11" s="53"/>
      <c r="PIU11" s="53"/>
      <c r="PIV11" s="53"/>
      <c r="PIW11" s="53"/>
      <c r="PIX11" s="53"/>
      <c r="PIY11" s="53"/>
      <c r="PIZ11" s="53"/>
      <c r="PJA11" s="53"/>
      <c r="PJB11" s="53"/>
      <c r="PJC11" s="53"/>
      <c r="PJD11" s="53"/>
      <c r="PJE11" s="53"/>
      <c r="PJF11" s="53"/>
      <c r="PJG11" s="53"/>
      <c r="PJH11" s="53"/>
      <c r="PJI11" s="53"/>
      <c r="PJJ11" s="53"/>
      <c r="PJK11" s="53"/>
      <c r="PJL11" s="53"/>
      <c r="PJM11" s="53"/>
      <c r="PJN11" s="53"/>
      <c r="PJO11" s="53"/>
      <c r="PJP11" s="53"/>
      <c r="PJQ11" s="53"/>
      <c r="PJR11" s="53"/>
      <c r="PJS11" s="53"/>
      <c r="PJT11" s="53"/>
      <c r="PJU11" s="53"/>
      <c r="PJV11" s="53"/>
      <c r="PJW11" s="53"/>
      <c r="PJX11" s="53"/>
      <c r="PJY11" s="53"/>
      <c r="PJZ11" s="53"/>
      <c r="PKA11" s="53"/>
      <c r="PKB11" s="53"/>
      <c r="PKC11" s="53"/>
      <c r="PKD11" s="53"/>
      <c r="PKE11" s="53"/>
      <c r="PKF11" s="53"/>
      <c r="PKG11" s="53"/>
      <c r="PKH11" s="53"/>
      <c r="PKI11" s="53"/>
      <c r="PKJ11" s="53"/>
      <c r="PKK11" s="53"/>
      <c r="PKL11" s="53"/>
      <c r="PKM11" s="53"/>
      <c r="PKN11" s="53"/>
      <c r="PKO11" s="53"/>
      <c r="PKP11" s="53"/>
      <c r="PKQ11" s="53"/>
      <c r="PKR11" s="53"/>
      <c r="PKS11" s="53"/>
      <c r="PKT11" s="53"/>
      <c r="PKU11" s="53"/>
      <c r="PKV11" s="53"/>
      <c r="PKW11" s="53"/>
      <c r="PKX11" s="53"/>
      <c r="PKY11" s="53"/>
      <c r="PKZ11" s="53"/>
      <c r="PLA11" s="53"/>
      <c r="PLB11" s="53"/>
      <c r="PLC11" s="53"/>
      <c r="PLD11" s="53"/>
      <c r="PLE11" s="53"/>
      <c r="PLF11" s="53"/>
      <c r="PLG11" s="53"/>
      <c r="PLH11" s="53"/>
      <c r="PLI11" s="53"/>
      <c r="PLJ11" s="53"/>
      <c r="PLK11" s="53"/>
      <c r="PLL11" s="53"/>
      <c r="PLM11" s="53"/>
      <c r="PLN11" s="53"/>
      <c r="PLO11" s="53"/>
      <c r="PLP11" s="53"/>
      <c r="PLQ11" s="53"/>
      <c r="PLR11" s="53"/>
      <c r="PLS11" s="53"/>
      <c r="PLT11" s="53"/>
      <c r="PLU11" s="53"/>
      <c r="PLV11" s="53"/>
      <c r="PLW11" s="53"/>
      <c r="PLX11" s="53"/>
      <c r="PLY11" s="53"/>
      <c r="PLZ11" s="53"/>
      <c r="PMA11" s="53"/>
      <c r="PMB11" s="53"/>
      <c r="PMC11" s="53"/>
      <c r="PMD11" s="53"/>
      <c r="PME11" s="53"/>
      <c r="PMF11" s="53"/>
      <c r="PMG11" s="53"/>
      <c r="PMH11" s="53"/>
      <c r="PMI11" s="53"/>
      <c r="PMJ11" s="53"/>
      <c r="PMK11" s="53"/>
      <c r="PML11" s="53"/>
      <c r="PMM11" s="53"/>
      <c r="PMN11" s="53"/>
      <c r="PMO11" s="53"/>
      <c r="PMP11" s="53"/>
      <c r="PMQ11" s="53"/>
      <c r="PMR11" s="53"/>
      <c r="PMS11" s="53"/>
      <c r="PMT11" s="53"/>
      <c r="PMU11" s="53"/>
      <c r="PMV11" s="53"/>
      <c r="PMW11" s="53"/>
      <c r="PMX11" s="53"/>
      <c r="PMY11" s="53"/>
      <c r="PMZ11" s="53"/>
      <c r="PNA11" s="53"/>
      <c r="PNB11" s="53"/>
      <c r="PNC11" s="53"/>
      <c r="PND11" s="53"/>
      <c r="PNE11" s="53"/>
      <c r="PNF11" s="53"/>
      <c r="PNG11" s="53"/>
      <c r="PNH11" s="53"/>
      <c r="PNI11" s="53"/>
      <c r="PNJ11" s="53"/>
      <c r="PNK11" s="53"/>
      <c r="PNL11" s="53"/>
      <c r="PNM11" s="53"/>
      <c r="PNN11" s="53"/>
      <c r="PNO11" s="53"/>
      <c r="PNP11" s="53"/>
      <c r="PNQ11" s="53"/>
      <c r="PNR11" s="53"/>
      <c r="PNS11" s="53"/>
      <c r="PNT11" s="53"/>
      <c r="PNU11" s="53"/>
      <c r="PNV11" s="53"/>
      <c r="PNW11" s="53"/>
      <c r="PNX11" s="53"/>
      <c r="PNY11" s="53"/>
      <c r="PNZ11" s="53"/>
      <c r="POA11" s="53"/>
      <c r="POB11" s="53"/>
      <c r="POC11" s="53"/>
      <c r="POD11" s="53"/>
      <c r="POE11" s="53"/>
      <c r="POF11" s="53"/>
      <c r="POG11" s="53"/>
      <c r="POH11" s="53"/>
      <c r="POI11" s="53"/>
      <c r="POJ11" s="53"/>
      <c r="POK11" s="53"/>
      <c r="POL11" s="53"/>
      <c r="POM11" s="53"/>
      <c r="PON11" s="53"/>
      <c r="POO11" s="53"/>
      <c r="POP11" s="53"/>
      <c r="POQ11" s="53"/>
      <c r="POR11" s="53"/>
      <c r="POS11" s="53"/>
      <c r="POT11" s="53"/>
      <c r="POU11" s="53"/>
      <c r="POV11" s="53"/>
      <c r="POW11" s="53"/>
      <c r="POX11" s="53"/>
      <c r="POY11" s="53"/>
      <c r="POZ11" s="53"/>
      <c r="PPA11" s="53"/>
      <c r="PPB11" s="53"/>
      <c r="PPC11" s="53"/>
      <c r="PPD11" s="53"/>
      <c r="PPE11" s="53"/>
      <c r="PPF11" s="53"/>
      <c r="PPG11" s="53"/>
      <c r="PPH11" s="53"/>
      <c r="PPI11" s="53"/>
      <c r="PPJ11" s="53"/>
      <c r="PPK11" s="53"/>
      <c r="PPL11" s="53"/>
      <c r="PPM11" s="53"/>
      <c r="PPN11" s="53"/>
      <c r="PPO11" s="53"/>
      <c r="PPP11" s="53"/>
      <c r="PPQ11" s="53"/>
      <c r="PPR11" s="53"/>
      <c r="PPS11" s="53"/>
      <c r="PPT11" s="53"/>
      <c r="PPU11" s="53"/>
      <c r="PPV11" s="53"/>
      <c r="PPW11" s="53"/>
      <c r="PPX11" s="53"/>
      <c r="PPY11" s="53"/>
      <c r="PPZ11" s="53"/>
      <c r="PQA11" s="53"/>
      <c r="PQB11" s="53"/>
      <c r="PQC11" s="53"/>
      <c r="PQD11" s="53"/>
      <c r="PQE11" s="53"/>
      <c r="PQF11" s="53"/>
      <c r="PQG11" s="53"/>
      <c r="PQH11" s="53"/>
      <c r="PQI11" s="53"/>
      <c r="PQJ11" s="53"/>
      <c r="PQK11" s="53"/>
      <c r="PQL11" s="53"/>
      <c r="PQM11" s="53"/>
      <c r="PQN11" s="53"/>
      <c r="PQO11" s="53"/>
      <c r="PQP11" s="53"/>
      <c r="PQQ11" s="53"/>
      <c r="PQR11" s="53"/>
      <c r="PQS11" s="53"/>
      <c r="PQT11" s="53"/>
      <c r="PQU11" s="53"/>
      <c r="PQV11" s="53"/>
      <c r="PQW11" s="53"/>
      <c r="PQX11" s="53"/>
      <c r="PQY11" s="53"/>
      <c r="PQZ11" s="53"/>
      <c r="PRA11" s="53"/>
      <c r="PRB11" s="53"/>
      <c r="PRC11" s="53"/>
      <c r="PRD11" s="53"/>
      <c r="PRE11" s="53"/>
      <c r="PRF11" s="53"/>
      <c r="PRG11" s="53"/>
      <c r="PRH11" s="53"/>
      <c r="PRI11" s="53"/>
      <c r="PRJ11" s="53"/>
      <c r="PRK11" s="53"/>
      <c r="PRL11" s="53"/>
      <c r="PRM11" s="53"/>
      <c r="PRN11" s="53"/>
      <c r="PRO11" s="53"/>
      <c r="PRP11" s="53"/>
      <c r="PRQ11" s="53"/>
      <c r="PRR11" s="53"/>
      <c r="PRS11" s="53"/>
      <c r="PRT11" s="53"/>
      <c r="PRU11" s="53"/>
      <c r="PRV11" s="53"/>
      <c r="PRW11" s="53"/>
      <c r="PRX11" s="53"/>
      <c r="PRY11" s="53"/>
      <c r="PRZ11" s="53"/>
      <c r="PSA11" s="53"/>
      <c r="PSB11" s="53"/>
      <c r="PSC11" s="53"/>
      <c r="PSD11" s="53"/>
      <c r="PSE11" s="53"/>
      <c r="PSF11" s="53"/>
      <c r="PSG11" s="53"/>
      <c r="PSH11" s="53"/>
      <c r="PSI11" s="53"/>
      <c r="PSJ11" s="53"/>
      <c r="PSK11" s="53"/>
      <c r="PSL11" s="53"/>
      <c r="PSM11" s="53"/>
      <c r="PSN11" s="53"/>
      <c r="PSO11" s="53"/>
      <c r="PSP11" s="53"/>
      <c r="PSQ11" s="53"/>
      <c r="PSR11" s="53"/>
      <c r="PSS11" s="53"/>
      <c r="PST11" s="53"/>
      <c r="PSU11" s="53"/>
      <c r="PSV11" s="53"/>
      <c r="PSW11" s="53"/>
      <c r="PSX11" s="53"/>
      <c r="PSY11" s="53"/>
      <c r="PSZ11" s="53"/>
      <c r="PTA11" s="53"/>
      <c r="PTB11" s="53"/>
      <c r="PTC11" s="53"/>
      <c r="PTD11" s="53"/>
      <c r="PTE11" s="53"/>
      <c r="PTF11" s="53"/>
      <c r="PTG11" s="53"/>
      <c r="PTH11" s="53"/>
      <c r="PTI11" s="53"/>
      <c r="PTJ11" s="53"/>
      <c r="PTK11" s="53"/>
      <c r="PTL11" s="53"/>
      <c r="PTM11" s="53"/>
      <c r="PTN11" s="53"/>
      <c r="PTO11" s="53"/>
      <c r="PTP11" s="53"/>
      <c r="PTQ11" s="53"/>
      <c r="PTR11" s="53"/>
      <c r="PTS11" s="53"/>
      <c r="PTT11" s="53"/>
      <c r="PTU11" s="53"/>
      <c r="PTV11" s="53"/>
      <c r="PTW11" s="53"/>
      <c r="PTX11" s="53"/>
      <c r="PTY11" s="53"/>
      <c r="PTZ11" s="53"/>
      <c r="PUA11" s="53"/>
      <c r="PUB11" s="53"/>
      <c r="PUC11" s="53"/>
      <c r="PUD11" s="53"/>
      <c r="PUE11" s="53"/>
      <c r="PUF11" s="53"/>
      <c r="PUG11" s="53"/>
      <c r="PUH11" s="53"/>
      <c r="PUI11" s="53"/>
      <c r="PUJ11" s="53"/>
      <c r="PUK11" s="53"/>
      <c r="PUL11" s="53"/>
      <c r="PUM11" s="53"/>
      <c r="PUN11" s="53"/>
      <c r="PUO11" s="53"/>
      <c r="PUP11" s="53"/>
      <c r="PUQ11" s="53"/>
      <c r="PUR11" s="53"/>
      <c r="PUS11" s="53"/>
      <c r="PUT11" s="53"/>
      <c r="PUU11" s="53"/>
      <c r="PUV11" s="53"/>
      <c r="PUW11" s="53"/>
      <c r="PUX11" s="53"/>
      <c r="PUY11" s="53"/>
      <c r="PUZ11" s="53"/>
      <c r="PVA11" s="53"/>
      <c r="PVB11" s="53"/>
      <c r="PVC11" s="53"/>
      <c r="PVD11" s="53"/>
      <c r="PVE11" s="53"/>
      <c r="PVF11" s="53"/>
      <c r="PVG11" s="53"/>
      <c r="PVH11" s="53"/>
      <c r="PVI11" s="53"/>
      <c r="PVJ11" s="53"/>
      <c r="PVK11" s="53"/>
      <c r="PVL11" s="53"/>
      <c r="PVM11" s="53"/>
      <c r="PVN11" s="53"/>
      <c r="PVO11" s="53"/>
      <c r="PVP11" s="53"/>
      <c r="PVQ11" s="53"/>
      <c r="PVR11" s="53"/>
      <c r="PVS11" s="53"/>
      <c r="PVT11" s="53"/>
      <c r="PVU11" s="53"/>
      <c r="PVV11" s="53"/>
      <c r="PVW11" s="53"/>
      <c r="PVX11" s="53"/>
      <c r="PVY11" s="53"/>
      <c r="PVZ11" s="53"/>
      <c r="PWA11" s="53"/>
      <c r="PWB11" s="53"/>
      <c r="PWC11" s="53"/>
      <c r="PWD11" s="53"/>
      <c r="PWE11" s="53"/>
      <c r="PWF11" s="53"/>
      <c r="PWG11" s="53"/>
      <c r="PWH11" s="53"/>
      <c r="PWI11" s="53"/>
      <c r="PWJ11" s="53"/>
      <c r="PWK11" s="53"/>
      <c r="PWL11" s="53"/>
      <c r="PWM11" s="53"/>
      <c r="PWN11" s="53"/>
      <c r="PWO11" s="53"/>
      <c r="PWP11" s="53"/>
      <c r="PWQ11" s="53"/>
      <c r="PWR11" s="53"/>
      <c r="PWS11" s="53"/>
      <c r="PWT11" s="53"/>
      <c r="PWU11" s="53"/>
      <c r="PWV11" s="53"/>
      <c r="PWW11" s="53"/>
      <c r="PWX11" s="53"/>
      <c r="PWY11" s="53"/>
      <c r="PWZ11" s="53"/>
      <c r="PXA11" s="53"/>
      <c r="PXB11" s="53"/>
      <c r="PXC11" s="53"/>
      <c r="PXD11" s="53"/>
      <c r="PXE11" s="53"/>
      <c r="PXF11" s="53"/>
      <c r="PXG11" s="53"/>
      <c r="PXH11" s="53"/>
      <c r="PXI11" s="53"/>
      <c r="PXJ11" s="53"/>
      <c r="PXK11" s="53"/>
      <c r="PXL11" s="53"/>
      <c r="PXM11" s="53"/>
      <c r="PXN11" s="53"/>
      <c r="PXO11" s="53"/>
      <c r="PXP11" s="53"/>
      <c r="PXQ11" s="53"/>
      <c r="PXR11" s="53"/>
      <c r="PXS11" s="53"/>
      <c r="PXT11" s="53"/>
      <c r="PXU11" s="53"/>
      <c r="PXV11" s="53"/>
      <c r="PXW11" s="53"/>
      <c r="PXX11" s="53"/>
      <c r="PXY11" s="53"/>
      <c r="PXZ11" s="53"/>
      <c r="PYA11" s="53"/>
      <c r="PYB11" s="53"/>
      <c r="PYC11" s="53"/>
      <c r="PYD11" s="53"/>
      <c r="PYE11" s="53"/>
      <c r="PYF11" s="53"/>
      <c r="PYG11" s="53"/>
      <c r="PYH11" s="53"/>
      <c r="PYI11" s="53"/>
      <c r="PYJ11" s="53"/>
      <c r="PYK11" s="53"/>
      <c r="PYL11" s="53"/>
      <c r="PYM11" s="53"/>
      <c r="PYN11" s="53"/>
      <c r="PYO11" s="53"/>
      <c r="PYP11" s="53"/>
      <c r="PYQ11" s="53"/>
      <c r="PYR11" s="53"/>
      <c r="PYS11" s="53"/>
      <c r="PYT11" s="53"/>
      <c r="PYU11" s="53"/>
      <c r="PYV11" s="53"/>
      <c r="PYW11" s="53"/>
      <c r="PYX11" s="53"/>
      <c r="PYY11" s="53"/>
      <c r="PYZ11" s="53"/>
      <c r="PZA11" s="53"/>
      <c r="PZB11" s="53"/>
      <c r="PZC11" s="53"/>
      <c r="PZD11" s="53"/>
      <c r="PZE11" s="53"/>
      <c r="PZF11" s="53"/>
      <c r="PZG11" s="53"/>
      <c r="PZH11" s="53"/>
      <c r="PZI11" s="53"/>
      <c r="PZJ11" s="53"/>
      <c r="PZK11" s="53"/>
      <c r="PZL11" s="53"/>
      <c r="PZM11" s="53"/>
      <c r="PZN11" s="53"/>
      <c r="PZO11" s="53"/>
      <c r="PZP11" s="53"/>
      <c r="PZQ11" s="53"/>
      <c r="PZR11" s="53"/>
      <c r="PZS11" s="53"/>
      <c r="PZT11" s="53"/>
      <c r="PZU11" s="53"/>
      <c r="PZV11" s="53"/>
      <c r="PZW11" s="53"/>
      <c r="PZX11" s="53"/>
      <c r="PZY11" s="53"/>
      <c r="PZZ11" s="53"/>
      <c r="QAA11" s="53"/>
      <c r="QAB11" s="53"/>
      <c r="QAC11" s="53"/>
      <c r="QAD11" s="53"/>
      <c r="QAE11" s="53"/>
      <c r="QAF11" s="53"/>
      <c r="QAG11" s="53"/>
      <c r="QAH11" s="53"/>
      <c r="QAI11" s="53"/>
      <c r="QAJ11" s="53"/>
      <c r="QAK11" s="53"/>
      <c r="QAL11" s="53"/>
      <c r="QAM11" s="53"/>
      <c r="QAN11" s="53"/>
      <c r="QAO11" s="53"/>
      <c r="QAP11" s="53"/>
      <c r="QAQ11" s="53"/>
      <c r="QAR11" s="53"/>
      <c r="QAS11" s="53"/>
      <c r="QAT11" s="53"/>
      <c r="QAU11" s="53"/>
      <c r="QAV11" s="53"/>
      <c r="QAW11" s="53"/>
      <c r="QAX11" s="53"/>
      <c r="QAY11" s="53"/>
      <c r="QAZ11" s="53"/>
      <c r="QBA11" s="53"/>
      <c r="QBB11" s="53"/>
      <c r="QBC11" s="53"/>
      <c r="QBD11" s="53"/>
      <c r="QBE11" s="53"/>
      <c r="QBF11" s="53"/>
      <c r="QBG11" s="53"/>
      <c r="QBH11" s="53"/>
      <c r="QBI11" s="53"/>
      <c r="QBJ11" s="53"/>
      <c r="QBK11" s="53"/>
      <c r="QBL11" s="53"/>
      <c r="QBM11" s="53"/>
      <c r="QBN11" s="53"/>
      <c r="QBO11" s="53"/>
      <c r="QBP11" s="53"/>
      <c r="QBQ11" s="53"/>
      <c r="QBR11" s="53"/>
      <c r="QBS11" s="53"/>
      <c r="QBT11" s="53"/>
      <c r="QBU11" s="53"/>
      <c r="QBV11" s="53"/>
      <c r="QBW11" s="53"/>
      <c r="QBX11" s="53"/>
      <c r="QBY11" s="53"/>
      <c r="QBZ11" s="53"/>
      <c r="QCA11" s="53"/>
      <c r="QCB11" s="53"/>
      <c r="QCC11" s="53"/>
      <c r="QCD11" s="53"/>
      <c r="QCE11" s="53"/>
      <c r="QCF11" s="53"/>
      <c r="QCG11" s="53"/>
      <c r="QCH11" s="53"/>
      <c r="QCI11" s="53"/>
      <c r="QCJ11" s="53"/>
      <c r="QCK11" s="53"/>
      <c r="QCL11" s="53"/>
      <c r="QCM11" s="53"/>
      <c r="QCN11" s="53"/>
      <c r="QCO11" s="53"/>
      <c r="QCP11" s="53"/>
      <c r="QCQ11" s="53"/>
      <c r="QCR11" s="53"/>
      <c r="QCS11" s="53"/>
      <c r="QCT11" s="53"/>
      <c r="QCU11" s="53"/>
      <c r="QCV11" s="53"/>
      <c r="QCW11" s="53"/>
      <c r="QCX11" s="53"/>
      <c r="QCY11" s="53"/>
      <c r="QCZ11" s="53"/>
      <c r="QDA11" s="53"/>
      <c r="QDB11" s="53"/>
      <c r="QDC11" s="53"/>
      <c r="QDD11" s="53"/>
      <c r="QDE11" s="53"/>
      <c r="QDF11" s="53"/>
      <c r="QDG11" s="53"/>
      <c r="QDH11" s="53"/>
      <c r="QDI11" s="53"/>
      <c r="QDJ11" s="53"/>
      <c r="QDK11" s="53"/>
      <c r="QDL11" s="53"/>
      <c r="QDM11" s="53"/>
      <c r="QDN11" s="53"/>
      <c r="QDO11" s="53"/>
      <c r="QDP11" s="53"/>
      <c r="QDQ11" s="53"/>
      <c r="QDR11" s="53"/>
      <c r="QDS11" s="53"/>
      <c r="QDT11" s="53"/>
      <c r="QDU11" s="53"/>
      <c r="QDV11" s="53"/>
      <c r="QDW11" s="53"/>
      <c r="QDX11" s="53"/>
      <c r="QDY11" s="53"/>
      <c r="QDZ11" s="53"/>
      <c r="QEA11" s="53"/>
      <c r="QEB11" s="53"/>
      <c r="QEC11" s="53"/>
      <c r="QED11" s="53"/>
      <c r="QEE11" s="53"/>
      <c r="QEF11" s="53"/>
      <c r="QEG11" s="53"/>
      <c r="QEH11" s="53"/>
      <c r="QEI11" s="53"/>
      <c r="QEJ11" s="53"/>
      <c r="QEK11" s="53"/>
      <c r="QEL11" s="53"/>
      <c r="QEM11" s="53"/>
      <c r="QEN11" s="53"/>
      <c r="QEO11" s="53"/>
      <c r="QEP11" s="53"/>
      <c r="QEQ11" s="53"/>
      <c r="QER11" s="53"/>
      <c r="QES11" s="53"/>
      <c r="QET11" s="53"/>
      <c r="QEU11" s="53"/>
      <c r="QEV11" s="53"/>
      <c r="QEW11" s="53"/>
      <c r="QEX11" s="53"/>
      <c r="QEY11" s="53"/>
      <c r="QEZ11" s="53"/>
      <c r="QFA11" s="53"/>
      <c r="QFB11" s="53"/>
      <c r="QFC11" s="53"/>
      <c r="QFD11" s="53"/>
      <c r="QFE11" s="53"/>
      <c r="QFF11" s="53"/>
      <c r="QFG11" s="53"/>
      <c r="QFH11" s="53"/>
      <c r="QFI11" s="53"/>
      <c r="QFJ11" s="53"/>
      <c r="QFK11" s="53"/>
      <c r="QFL11" s="53"/>
      <c r="QFM11" s="53"/>
      <c r="QFN11" s="53"/>
      <c r="QFO11" s="53"/>
      <c r="QFP11" s="53"/>
      <c r="QFQ11" s="53"/>
      <c r="QFR11" s="53"/>
      <c r="QFS11" s="53"/>
      <c r="QFT11" s="53"/>
      <c r="QFU11" s="53"/>
      <c r="QFV11" s="53"/>
      <c r="QFW11" s="53"/>
      <c r="QFX11" s="53"/>
      <c r="QFY11" s="53"/>
      <c r="QFZ11" s="53"/>
      <c r="QGA11" s="53"/>
      <c r="QGB11" s="53"/>
      <c r="QGC11" s="53"/>
      <c r="QGD11" s="53"/>
      <c r="QGE11" s="53"/>
      <c r="QGF11" s="53"/>
      <c r="QGG11" s="53"/>
      <c r="QGH11" s="53"/>
      <c r="QGI11" s="53"/>
      <c r="QGJ11" s="53"/>
      <c r="QGK11" s="53"/>
      <c r="QGL11" s="53"/>
      <c r="QGM11" s="53"/>
      <c r="QGN11" s="53"/>
      <c r="QGO11" s="53"/>
      <c r="QGP11" s="53"/>
      <c r="QGQ11" s="53"/>
      <c r="QGR11" s="53"/>
      <c r="QGS11" s="53"/>
      <c r="QGT11" s="53"/>
      <c r="QGU11" s="53"/>
      <c r="QGV11" s="53"/>
      <c r="QGW11" s="53"/>
      <c r="QGX11" s="53"/>
      <c r="QGY11" s="53"/>
      <c r="QGZ11" s="53"/>
      <c r="QHA11" s="53"/>
      <c r="QHB11" s="53"/>
      <c r="QHC11" s="53"/>
      <c r="QHD11" s="53"/>
      <c r="QHE11" s="53"/>
      <c r="QHF11" s="53"/>
      <c r="QHG11" s="53"/>
      <c r="QHH11" s="53"/>
      <c r="QHI11" s="53"/>
      <c r="QHJ11" s="53"/>
      <c r="QHK11" s="53"/>
      <c r="QHL11" s="53"/>
      <c r="QHM11" s="53"/>
      <c r="QHN11" s="53"/>
      <c r="QHO11" s="53"/>
      <c r="QHP11" s="53"/>
      <c r="QHQ11" s="53"/>
      <c r="QHR11" s="53"/>
      <c r="QHS11" s="53"/>
      <c r="QHT11" s="53"/>
      <c r="QHU11" s="53"/>
      <c r="QHV11" s="53"/>
      <c r="QHW11" s="53"/>
      <c r="QHX11" s="53"/>
      <c r="QHY11" s="53"/>
      <c r="QHZ11" s="53"/>
      <c r="QIA11" s="53"/>
      <c r="QIB11" s="53"/>
      <c r="QIC11" s="53"/>
      <c r="QID11" s="53"/>
      <c r="QIE11" s="53"/>
      <c r="QIF11" s="53"/>
      <c r="QIG11" s="53"/>
      <c r="QIH11" s="53"/>
      <c r="QII11" s="53"/>
      <c r="QIJ11" s="53"/>
      <c r="QIK11" s="53"/>
      <c r="QIL11" s="53"/>
      <c r="QIM11" s="53"/>
      <c r="QIN11" s="53"/>
      <c r="QIO11" s="53"/>
      <c r="QIP11" s="53"/>
      <c r="QIQ11" s="53"/>
      <c r="QIR11" s="53"/>
      <c r="QIS11" s="53"/>
      <c r="QIT11" s="53"/>
      <c r="QIU11" s="53"/>
      <c r="QIV11" s="53"/>
      <c r="QIW11" s="53"/>
      <c r="QIX11" s="53"/>
      <c r="QIY11" s="53"/>
      <c r="QIZ11" s="53"/>
      <c r="QJA11" s="53"/>
      <c r="QJB11" s="53"/>
      <c r="QJC11" s="53"/>
      <c r="QJD11" s="53"/>
      <c r="QJE11" s="53"/>
      <c r="QJF11" s="53"/>
      <c r="QJG11" s="53"/>
      <c r="QJH11" s="53"/>
      <c r="QJI11" s="53"/>
      <c r="QJJ11" s="53"/>
      <c r="QJK11" s="53"/>
      <c r="QJL11" s="53"/>
      <c r="QJM11" s="53"/>
      <c r="QJN11" s="53"/>
      <c r="QJO11" s="53"/>
      <c r="QJP11" s="53"/>
      <c r="QJQ11" s="53"/>
      <c r="QJR11" s="53"/>
      <c r="QJS11" s="53"/>
      <c r="QJT11" s="53"/>
      <c r="QJU11" s="53"/>
      <c r="QJV11" s="53"/>
      <c r="QJW11" s="53"/>
      <c r="QJX11" s="53"/>
      <c r="QJY11" s="53"/>
      <c r="QJZ11" s="53"/>
      <c r="QKA11" s="53"/>
      <c r="QKB11" s="53"/>
      <c r="QKC11" s="53"/>
      <c r="QKD11" s="53"/>
      <c r="QKE11" s="53"/>
      <c r="QKF11" s="53"/>
      <c r="QKG11" s="53"/>
      <c r="QKH11" s="53"/>
      <c r="QKI11" s="53"/>
      <c r="QKJ11" s="53"/>
      <c r="QKK11" s="53"/>
      <c r="QKL11" s="53"/>
      <c r="QKM11" s="53"/>
      <c r="QKN11" s="53"/>
      <c r="QKO11" s="53"/>
      <c r="QKP11" s="53"/>
      <c r="QKQ11" s="53"/>
      <c r="QKR11" s="53"/>
      <c r="QKS11" s="53"/>
      <c r="QKT11" s="53"/>
      <c r="QKU11" s="53"/>
      <c r="QKV11" s="53"/>
      <c r="QKW11" s="53"/>
      <c r="QKX11" s="53"/>
      <c r="QKY11" s="53"/>
      <c r="QKZ11" s="53"/>
      <c r="QLA11" s="53"/>
      <c r="QLB11" s="53"/>
      <c r="QLC11" s="53"/>
      <c r="QLD11" s="53"/>
      <c r="QLE11" s="53"/>
      <c r="QLF11" s="53"/>
      <c r="QLG11" s="53"/>
      <c r="QLH11" s="53"/>
      <c r="QLI11" s="53"/>
      <c r="QLJ11" s="53"/>
      <c r="QLK11" s="53"/>
      <c r="QLL11" s="53"/>
      <c r="QLM11" s="53"/>
      <c r="QLN11" s="53"/>
      <c r="QLO11" s="53"/>
      <c r="QLP11" s="53"/>
      <c r="QLQ11" s="53"/>
      <c r="QLR11" s="53"/>
      <c r="QLS11" s="53"/>
      <c r="QLT11" s="53"/>
      <c r="QLU11" s="53"/>
      <c r="QLV11" s="53"/>
      <c r="QLW11" s="53"/>
      <c r="QLX11" s="53"/>
      <c r="QLY11" s="53"/>
      <c r="QLZ11" s="53"/>
      <c r="QMA11" s="53"/>
      <c r="QMB11" s="53"/>
      <c r="QMC11" s="53"/>
      <c r="QMD11" s="53"/>
      <c r="QME11" s="53"/>
      <c r="QMF11" s="53"/>
      <c r="QMG11" s="53"/>
      <c r="QMH11" s="53"/>
      <c r="QMI11" s="53"/>
      <c r="QMJ11" s="53"/>
      <c r="QMK11" s="53"/>
      <c r="QML11" s="53"/>
      <c r="QMM11" s="53"/>
      <c r="QMN11" s="53"/>
      <c r="QMO11" s="53"/>
      <c r="QMP11" s="53"/>
      <c r="QMQ11" s="53"/>
      <c r="QMR11" s="53"/>
      <c r="QMS11" s="53"/>
      <c r="QMT11" s="53"/>
      <c r="QMU11" s="53"/>
      <c r="QMV11" s="53"/>
      <c r="QMW11" s="53"/>
      <c r="QMX11" s="53"/>
      <c r="QMY11" s="53"/>
      <c r="QMZ11" s="53"/>
      <c r="QNA11" s="53"/>
      <c r="QNB11" s="53"/>
      <c r="QNC11" s="53"/>
      <c r="QND11" s="53"/>
      <c r="QNE11" s="53"/>
      <c r="QNF11" s="53"/>
      <c r="QNG11" s="53"/>
      <c r="QNH11" s="53"/>
      <c r="QNI11" s="53"/>
      <c r="QNJ11" s="53"/>
      <c r="QNK11" s="53"/>
      <c r="QNL11" s="53"/>
      <c r="QNM11" s="53"/>
      <c r="QNN11" s="53"/>
      <c r="QNO11" s="53"/>
      <c r="QNP11" s="53"/>
      <c r="QNQ11" s="53"/>
      <c r="QNR11" s="53"/>
      <c r="QNS11" s="53"/>
      <c r="QNT11" s="53"/>
      <c r="QNU11" s="53"/>
      <c r="QNV11" s="53"/>
      <c r="QNW11" s="53"/>
      <c r="QNX11" s="53"/>
      <c r="QNY11" s="53"/>
      <c r="QNZ11" s="53"/>
      <c r="QOA11" s="53"/>
      <c r="QOB11" s="53"/>
      <c r="QOC11" s="53"/>
      <c r="QOD11" s="53"/>
      <c r="QOE11" s="53"/>
      <c r="QOF11" s="53"/>
      <c r="QOG11" s="53"/>
      <c r="QOH11" s="53"/>
      <c r="QOI11" s="53"/>
      <c r="QOJ11" s="53"/>
      <c r="QOK11" s="53"/>
      <c r="QOL11" s="53"/>
      <c r="QOM11" s="53"/>
      <c r="QON11" s="53"/>
      <c r="QOO11" s="53"/>
      <c r="QOP11" s="53"/>
      <c r="QOQ11" s="53"/>
      <c r="QOR11" s="53"/>
      <c r="QOS11" s="53"/>
      <c r="QOT11" s="53"/>
      <c r="QOU11" s="53"/>
      <c r="QOV11" s="53"/>
      <c r="QOW11" s="53"/>
      <c r="QOX11" s="53"/>
      <c r="QOY11" s="53"/>
      <c r="QOZ11" s="53"/>
      <c r="QPA11" s="53"/>
      <c r="QPB11" s="53"/>
      <c r="QPC11" s="53"/>
      <c r="QPD11" s="53"/>
      <c r="QPE11" s="53"/>
      <c r="QPF11" s="53"/>
      <c r="QPG11" s="53"/>
      <c r="QPH11" s="53"/>
      <c r="QPI11" s="53"/>
      <c r="QPJ11" s="53"/>
      <c r="QPK11" s="53"/>
      <c r="QPL11" s="53"/>
      <c r="QPM11" s="53"/>
      <c r="QPN11" s="53"/>
      <c r="QPO11" s="53"/>
      <c r="QPP11" s="53"/>
      <c r="QPQ11" s="53"/>
      <c r="QPR11" s="53"/>
      <c r="QPS11" s="53"/>
      <c r="QPT11" s="53"/>
      <c r="QPU11" s="53"/>
      <c r="QPV11" s="53"/>
      <c r="QPW11" s="53"/>
      <c r="QPX11" s="53"/>
      <c r="QPY11" s="53"/>
      <c r="QPZ11" s="53"/>
      <c r="QQA11" s="53"/>
      <c r="QQB11" s="53"/>
      <c r="QQC11" s="53"/>
      <c r="QQD11" s="53"/>
      <c r="QQE11" s="53"/>
      <c r="QQF11" s="53"/>
      <c r="QQG11" s="53"/>
      <c r="QQH11" s="53"/>
      <c r="QQI11" s="53"/>
      <c r="QQJ11" s="53"/>
      <c r="QQK11" s="53"/>
      <c r="QQL11" s="53"/>
      <c r="QQM11" s="53"/>
      <c r="QQN11" s="53"/>
      <c r="QQO11" s="53"/>
      <c r="QQP11" s="53"/>
      <c r="QQQ11" s="53"/>
      <c r="QQR11" s="53"/>
      <c r="QQS11" s="53"/>
      <c r="QQT11" s="53"/>
      <c r="QQU11" s="53"/>
      <c r="QQV11" s="53"/>
      <c r="QQW11" s="53"/>
      <c r="QQX11" s="53"/>
      <c r="QQY11" s="53"/>
      <c r="QQZ11" s="53"/>
      <c r="QRA11" s="53"/>
      <c r="QRB11" s="53"/>
      <c r="QRC11" s="53"/>
      <c r="QRD11" s="53"/>
      <c r="QRE11" s="53"/>
      <c r="QRF11" s="53"/>
      <c r="QRG11" s="53"/>
      <c r="QRH11" s="53"/>
      <c r="QRI11" s="53"/>
      <c r="QRJ11" s="53"/>
      <c r="QRK11" s="53"/>
      <c r="QRL11" s="53"/>
      <c r="QRM11" s="53"/>
      <c r="QRN11" s="53"/>
      <c r="QRO11" s="53"/>
      <c r="QRP11" s="53"/>
      <c r="QRQ11" s="53"/>
      <c r="QRR11" s="53"/>
      <c r="QRS11" s="53"/>
      <c r="QRT11" s="53"/>
      <c r="QRU11" s="53"/>
      <c r="QRV11" s="53"/>
      <c r="QRW11" s="53"/>
      <c r="QRX11" s="53"/>
      <c r="QRY11" s="53"/>
      <c r="QRZ11" s="53"/>
      <c r="QSA11" s="53"/>
      <c r="QSB11" s="53"/>
      <c r="QSC11" s="53"/>
      <c r="QSD11" s="53"/>
      <c r="QSE11" s="53"/>
      <c r="QSF11" s="53"/>
      <c r="QSG11" s="53"/>
      <c r="QSH11" s="53"/>
      <c r="QSI11" s="53"/>
      <c r="QSJ11" s="53"/>
      <c r="QSK11" s="53"/>
      <c r="QSL11" s="53"/>
      <c r="QSM11" s="53"/>
      <c r="QSN11" s="53"/>
      <c r="QSO11" s="53"/>
      <c r="QSP11" s="53"/>
      <c r="QSQ11" s="53"/>
      <c r="QSR11" s="53"/>
      <c r="QSS11" s="53"/>
      <c r="QST11" s="53"/>
      <c r="QSU11" s="53"/>
      <c r="QSV11" s="53"/>
      <c r="QSW11" s="53"/>
      <c r="QSX11" s="53"/>
      <c r="QSY11" s="53"/>
      <c r="QSZ11" s="53"/>
      <c r="QTA11" s="53"/>
      <c r="QTB11" s="53"/>
      <c r="QTC11" s="53"/>
      <c r="QTD11" s="53"/>
      <c r="QTE11" s="53"/>
      <c r="QTF11" s="53"/>
      <c r="QTG11" s="53"/>
      <c r="QTH11" s="53"/>
      <c r="QTI11" s="53"/>
      <c r="QTJ11" s="53"/>
      <c r="QTK11" s="53"/>
      <c r="QTL11" s="53"/>
      <c r="QTM11" s="53"/>
      <c r="QTN11" s="53"/>
      <c r="QTO11" s="53"/>
      <c r="QTP11" s="53"/>
      <c r="QTQ11" s="53"/>
      <c r="QTR11" s="53"/>
      <c r="QTS11" s="53"/>
      <c r="QTT11" s="53"/>
      <c r="QTU11" s="53"/>
      <c r="QTV11" s="53"/>
      <c r="QTW11" s="53"/>
      <c r="QTX11" s="53"/>
      <c r="QTY11" s="53"/>
      <c r="QTZ11" s="53"/>
      <c r="QUA11" s="53"/>
      <c r="QUB11" s="53"/>
      <c r="QUC11" s="53"/>
      <c r="QUD11" s="53"/>
      <c r="QUE11" s="53"/>
      <c r="QUF11" s="53"/>
      <c r="QUG11" s="53"/>
      <c r="QUH11" s="53"/>
      <c r="QUI11" s="53"/>
      <c r="QUJ11" s="53"/>
      <c r="QUK11" s="53"/>
      <c r="QUL11" s="53"/>
      <c r="QUM11" s="53"/>
      <c r="QUN11" s="53"/>
      <c r="QUO11" s="53"/>
      <c r="QUP11" s="53"/>
      <c r="QUQ11" s="53"/>
      <c r="QUR11" s="53"/>
      <c r="QUS11" s="53"/>
      <c r="QUT11" s="53"/>
      <c r="QUU11" s="53"/>
      <c r="QUV11" s="53"/>
      <c r="QUW11" s="53"/>
      <c r="QUX11" s="53"/>
      <c r="QUY11" s="53"/>
      <c r="QUZ11" s="53"/>
      <c r="QVA11" s="53"/>
      <c r="QVB11" s="53"/>
      <c r="QVC11" s="53"/>
      <c r="QVD11" s="53"/>
      <c r="QVE11" s="53"/>
      <c r="QVF11" s="53"/>
      <c r="QVG11" s="53"/>
      <c r="QVH11" s="53"/>
      <c r="QVI11" s="53"/>
      <c r="QVJ11" s="53"/>
      <c r="QVK11" s="53"/>
      <c r="QVL11" s="53"/>
      <c r="QVM11" s="53"/>
      <c r="QVN11" s="53"/>
      <c r="QVO11" s="53"/>
      <c r="QVP11" s="53"/>
      <c r="QVQ11" s="53"/>
      <c r="QVR11" s="53"/>
      <c r="QVS11" s="53"/>
      <c r="QVT11" s="53"/>
      <c r="QVU11" s="53"/>
      <c r="QVV11" s="53"/>
      <c r="QVW11" s="53"/>
      <c r="QVX11" s="53"/>
      <c r="QVY11" s="53"/>
      <c r="QVZ11" s="53"/>
      <c r="QWA11" s="53"/>
      <c r="QWB11" s="53"/>
      <c r="QWC11" s="53"/>
      <c r="QWD11" s="53"/>
      <c r="QWE11" s="53"/>
      <c r="QWF11" s="53"/>
      <c r="QWG11" s="53"/>
      <c r="QWH11" s="53"/>
      <c r="QWI11" s="53"/>
      <c r="QWJ11" s="53"/>
      <c r="QWK11" s="53"/>
      <c r="QWL11" s="53"/>
      <c r="QWM11" s="53"/>
      <c r="QWN11" s="53"/>
      <c r="QWO11" s="53"/>
      <c r="QWP11" s="53"/>
      <c r="QWQ11" s="53"/>
      <c r="QWR11" s="53"/>
      <c r="QWS11" s="53"/>
      <c r="QWT11" s="53"/>
      <c r="QWU11" s="53"/>
      <c r="QWV11" s="53"/>
      <c r="QWW11" s="53"/>
      <c r="QWX11" s="53"/>
      <c r="QWY11" s="53"/>
      <c r="QWZ11" s="53"/>
      <c r="QXA11" s="53"/>
      <c r="QXB11" s="53"/>
      <c r="QXC11" s="53"/>
      <c r="QXD11" s="53"/>
      <c r="QXE11" s="53"/>
      <c r="QXF11" s="53"/>
      <c r="QXG11" s="53"/>
      <c r="QXH11" s="53"/>
      <c r="QXI11" s="53"/>
      <c r="QXJ11" s="53"/>
      <c r="QXK11" s="53"/>
      <c r="QXL11" s="53"/>
      <c r="QXM11" s="53"/>
      <c r="QXN11" s="53"/>
      <c r="QXO11" s="53"/>
      <c r="QXP11" s="53"/>
      <c r="QXQ11" s="53"/>
      <c r="QXR11" s="53"/>
      <c r="QXS11" s="53"/>
      <c r="QXT11" s="53"/>
      <c r="QXU11" s="53"/>
      <c r="QXV11" s="53"/>
      <c r="QXW11" s="53"/>
      <c r="QXX11" s="53"/>
      <c r="QXY11" s="53"/>
      <c r="QXZ11" s="53"/>
      <c r="QYA11" s="53"/>
      <c r="QYB11" s="53"/>
      <c r="QYC11" s="53"/>
      <c r="QYD11" s="53"/>
      <c r="QYE11" s="53"/>
      <c r="QYF11" s="53"/>
      <c r="QYG11" s="53"/>
      <c r="QYH11" s="53"/>
      <c r="QYI11" s="53"/>
      <c r="QYJ11" s="53"/>
      <c r="QYK11" s="53"/>
      <c r="QYL11" s="53"/>
      <c r="QYM11" s="53"/>
      <c r="QYN11" s="53"/>
      <c r="QYO11" s="53"/>
      <c r="QYP11" s="53"/>
      <c r="QYQ11" s="53"/>
      <c r="QYR11" s="53"/>
      <c r="QYS11" s="53"/>
      <c r="QYT11" s="53"/>
      <c r="QYU11" s="53"/>
      <c r="QYV11" s="53"/>
      <c r="QYW11" s="53"/>
      <c r="QYX11" s="53"/>
      <c r="QYY11" s="53"/>
      <c r="QYZ11" s="53"/>
      <c r="QZA11" s="53"/>
      <c r="QZB11" s="53"/>
      <c r="QZC11" s="53"/>
      <c r="QZD11" s="53"/>
      <c r="QZE11" s="53"/>
      <c r="QZF11" s="53"/>
      <c r="QZG11" s="53"/>
      <c r="QZH11" s="53"/>
      <c r="QZI11" s="53"/>
      <c r="QZJ11" s="53"/>
      <c r="QZK11" s="53"/>
      <c r="QZL11" s="53"/>
      <c r="QZM11" s="53"/>
      <c r="QZN11" s="53"/>
      <c r="QZO11" s="53"/>
      <c r="QZP11" s="53"/>
      <c r="QZQ11" s="53"/>
      <c r="QZR11" s="53"/>
      <c r="QZS11" s="53"/>
      <c r="QZT11" s="53"/>
      <c r="QZU11" s="53"/>
      <c r="QZV11" s="53"/>
      <c r="QZW11" s="53"/>
      <c r="QZX11" s="53"/>
      <c r="QZY11" s="53"/>
      <c r="QZZ11" s="53"/>
      <c r="RAA11" s="53"/>
      <c r="RAB11" s="53"/>
      <c r="RAC11" s="53"/>
      <c r="RAD11" s="53"/>
      <c r="RAE11" s="53"/>
      <c r="RAF11" s="53"/>
      <c r="RAG11" s="53"/>
      <c r="RAH11" s="53"/>
      <c r="RAI11" s="53"/>
      <c r="RAJ11" s="53"/>
      <c r="RAK11" s="53"/>
      <c r="RAL11" s="53"/>
      <c r="RAM11" s="53"/>
      <c r="RAN11" s="53"/>
      <c r="RAO11" s="53"/>
      <c r="RAP11" s="53"/>
      <c r="RAQ11" s="53"/>
      <c r="RAR11" s="53"/>
      <c r="RAS11" s="53"/>
      <c r="RAT11" s="53"/>
      <c r="RAU11" s="53"/>
      <c r="RAV11" s="53"/>
      <c r="RAW11" s="53"/>
      <c r="RAX11" s="53"/>
      <c r="RAY11" s="53"/>
      <c r="RAZ11" s="53"/>
      <c r="RBA11" s="53"/>
      <c r="RBB11" s="53"/>
      <c r="RBC11" s="53"/>
      <c r="RBD11" s="53"/>
      <c r="RBE11" s="53"/>
      <c r="RBF11" s="53"/>
      <c r="RBG11" s="53"/>
      <c r="RBH11" s="53"/>
      <c r="RBI11" s="53"/>
      <c r="RBJ11" s="53"/>
      <c r="RBK11" s="53"/>
      <c r="RBL11" s="53"/>
      <c r="RBM11" s="53"/>
      <c r="RBN11" s="53"/>
      <c r="RBO11" s="53"/>
      <c r="RBP11" s="53"/>
      <c r="RBQ11" s="53"/>
      <c r="RBR11" s="53"/>
      <c r="RBS11" s="53"/>
      <c r="RBT11" s="53"/>
      <c r="RBU11" s="53"/>
      <c r="RBV11" s="53"/>
      <c r="RBW11" s="53"/>
      <c r="RBX11" s="53"/>
      <c r="RBY11" s="53"/>
      <c r="RBZ11" s="53"/>
      <c r="RCA11" s="53"/>
      <c r="RCB11" s="53"/>
      <c r="RCC11" s="53"/>
      <c r="RCD11" s="53"/>
      <c r="RCE11" s="53"/>
      <c r="RCF11" s="53"/>
      <c r="RCG11" s="53"/>
      <c r="RCH11" s="53"/>
      <c r="RCI11" s="53"/>
      <c r="RCJ11" s="53"/>
      <c r="RCK11" s="53"/>
      <c r="RCL11" s="53"/>
      <c r="RCM11" s="53"/>
      <c r="RCN11" s="53"/>
      <c r="RCO11" s="53"/>
      <c r="RCP11" s="53"/>
      <c r="RCQ11" s="53"/>
      <c r="RCR11" s="53"/>
      <c r="RCS11" s="53"/>
      <c r="RCT11" s="53"/>
      <c r="RCU11" s="53"/>
      <c r="RCV11" s="53"/>
      <c r="RCW11" s="53"/>
      <c r="RCX11" s="53"/>
      <c r="RCY11" s="53"/>
      <c r="RCZ11" s="53"/>
      <c r="RDA11" s="53"/>
      <c r="RDB11" s="53"/>
      <c r="RDC11" s="53"/>
      <c r="RDD11" s="53"/>
      <c r="RDE11" s="53"/>
      <c r="RDF11" s="53"/>
      <c r="RDG11" s="53"/>
      <c r="RDH11" s="53"/>
      <c r="RDI11" s="53"/>
      <c r="RDJ11" s="53"/>
      <c r="RDK11" s="53"/>
      <c r="RDL11" s="53"/>
      <c r="RDM11" s="53"/>
      <c r="RDN11" s="53"/>
      <c r="RDO11" s="53"/>
      <c r="RDP11" s="53"/>
      <c r="RDQ11" s="53"/>
      <c r="RDR11" s="53"/>
      <c r="RDS11" s="53"/>
      <c r="RDT11" s="53"/>
      <c r="RDU11" s="53"/>
      <c r="RDV11" s="53"/>
      <c r="RDW11" s="53"/>
      <c r="RDX11" s="53"/>
      <c r="RDY11" s="53"/>
      <c r="RDZ11" s="53"/>
      <c r="REA11" s="53"/>
      <c r="REB11" s="53"/>
      <c r="REC11" s="53"/>
      <c r="RED11" s="53"/>
      <c r="REE11" s="53"/>
      <c r="REF11" s="53"/>
      <c r="REG11" s="53"/>
      <c r="REH11" s="53"/>
      <c r="REI11" s="53"/>
      <c r="REJ11" s="53"/>
      <c r="REK11" s="53"/>
      <c r="REL11" s="53"/>
      <c r="REM11" s="53"/>
      <c r="REN11" s="53"/>
      <c r="REO11" s="53"/>
      <c r="REP11" s="53"/>
      <c r="REQ11" s="53"/>
      <c r="RER11" s="53"/>
      <c r="RES11" s="53"/>
      <c r="RET11" s="53"/>
      <c r="REU11" s="53"/>
      <c r="REV11" s="53"/>
      <c r="REW11" s="53"/>
      <c r="REX11" s="53"/>
      <c r="REY11" s="53"/>
      <c r="REZ11" s="53"/>
      <c r="RFA11" s="53"/>
      <c r="RFB11" s="53"/>
      <c r="RFC11" s="53"/>
      <c r="RFD11" s="53"/>
      <c r="RFE11" s="53"/>
      <c r="RFF11" s="53"/>
      <c r="RFG11" s="53"/>
      <c r="RFH11" s="53"/>
      <c r="RFI11" s="53"/>
      <c r="RFJ11" s="53"/>
      <c r="RFK11" s="53"/>
      <c r="RFL11" s="53"/>
      <c r="RFM11" s="53"/>
      <c r="RFN11" s="53"/>
      <c r="RFO11" s="53"/>
      <c r="RFP11" s="53"/>
      <c r="RFQ11" s="53"/>
      <c r="RFR11" s="53"/>
      <c r="RFS11" s="53"/>
      <c r="RFT11" s="53"/>
      <c r="RFU11" s="53"/>
      <c r="RFV11" s="53"/>
      <c r="RFW11" s="53"/>
      <c r="RFX11" s="53"/>
      <c r="RFY11" s="53"/>
      <c r="RFZ11" s="53"/>
      <c r="RGA11" s="53"/>
      <c r="RGB11" s="53"/>
      <c r="RGC11" s="53"/>
      <c r="RGD11" s="53"/>
      <c r="RGE11" s="53"/>
      <c r="RGF11" s="53"/>
      <c r="RGG11" s="53"/>
      <c r="RGH11" s="53"/>
      <c r="RGI11" s="53"/>
      <c r="RGJ11" s="53"/>
      <c r="RGK11" s="53"/>
      <c r="RGL11" s="53"/>
      <c r="RGM11" s="53"/>
      <c r="RGN11" s="53"/>
      <c r="RGO11" s="53"/>
      <c r="RGP11" s="53"/>
      <c r="RGQ11" s="53"/>
      <c r="RGR11" s="53"/>
      <c r="RGS11" s="53"/>
      <c r="RGT11" s="53"/>
      <c r="RGU11" s="53"/>
      <c r="RGV11" s="53"/>
      <c r="RGW11" s="53"/>
      <c r="RGX11" s="53"/>
      <c r="RGY11" s="53"/>
      <c r="RGZ11" s="53"/>
      <c r="RHA11" s="53"/>
      <c r="RHB11" s="53"/>
      <c r="RHC11" s="53"/>
      <c r="RHD11" s="53"/>
      <c r="RHE11" s="53"/>
      <c r="RHF11" s="53"/>
      <c r="RHG11" s="53"/>
      <c r="RHH11" s="53"/>
      <c r="RHI11" s="53"/>
      <c r="RHJ11" s="53"/>
      <c r="RHK11" s="53"/>
      <c r="RHL11" s="53"/>
      <c r="RHM11" s="53"/>
      <c r="RHN11" s="53"/>
      <c r="RHO11" s="53"/>
      <c r="RHP11" s="53"/>
      <c r="RHQ11" s="53"/>
      <c r="RHR11" s="53"/>
      <c r="RHS11" s="53"/>
      <c r="RHT11" s="53"/>
      <c r="RHU11" s="53"/>
      <c r="RHV11" s="53"/>
      <c r="RHW11" s="53"/>
      <c r="RHX11" s="53"/>
      <c r="RHY11" s="53"/>
      <c r="RHZ11" s="53"/>
      <c r="RIA11" s="53"/>
      <c r="RIB11" s="53"/>
      <c r="RIC11" s="53"/>
      <c r="RID11" s="53"/>
      <c r="RIE11" s="53"/>
      <c r="RIF11" s="53"/>
      <c r="RIG11" s="53"/>
      <c r="RIH11" s="53"/>
      <c r="RII11" s="53"/>
      <c r="RIJ11" s="53"/>
      <c r="RIK11" s="53"/>
      <c r="RIL11" s="53"/>
      <c r="RIM11" s="53"/>
      <c r="RIN11" s="53"/>
      <c r="RIO11" s="53"/>
      <c r="RIP11" s="53"/>
      <c r="RIQ11" s="53"/>
      <c r="RIR11" s="53"/>
      <c r="RIS11" s="53"/>
      <c r="RIT11" s="53"/>
      <c r="RIU11" s="53"/>
      <c r="RIV11" s="53"/>
      <c r="RIW11" s="53"/>
      <c r="RIX11" s="53"/>
      <c r="RIY11" s="53"/>
      <c r="RIZ11" s="53"/>
      <c r="RJA11" s="53"/>
      <c r="RJB11" s="53"/>
      <c r="RJC11" s="53"/>
      <c r="RJD11" s="53"/>
      <c r="RJE11" s="53"/>
      <c r="RJF11" s="53"/>
      <c r="RJG11" s="53"/>
      <c r="RJH11" s="53"/>
      <c r="RJI11" s="53"/>
      <c r="RJJ11" s="53"/>
      <c r="RJK11" s="53"/>
      <c r="RJL11" s="53"/>
      <c r="RJM11" s="53"/>
      <c r="RJN11" s="53"/>
      <c r="RJO11" s="53"/>
      <c r="RJP11" s="53"/>
      <c r="RJQ11" s="53"/>
      <c r="RJR11" s="53"/>
      <c r="RJS11" s="53"/>
      <c r="RJT11" s="53"/>
      <c r="RJU11" s="53"/>
      <c r="RJV11" s="53"/>
      <c r="RJW11" s="53"/>
      <c r="RJX11" s="53"/>
      <c r="RJY11" s="53"/>
      <c r="RJZ11" s="53"/>
      <c r="RKA11" s="53"/>
      <c r="RKB11" s="53"/>
      <c r="RKC11" s="53"/>
      <c r="RKD11" s="53"/>
      <c r="RKE11" s="53"/>
      <c r="RKF11" s="53"/>
      <c r="RKG11" s="53"/>
      <c r="RKH11" s="53"/>
      <c r="RKI11" s="53"/>
      <c r="RKJ11" s="53"/>
      <c r="RKK11" s="53"/>
      <c r="RKL11" s="53"/>
      <c r="RKM11" s="53"/>
      <c r="RKN11" s="53"/>
      <c r="RKO11" s="53"/>
      <c r="RKP11" s="53"/>
      <c r="RKQ11" s="53"/>
      <c r="RKR11" s="53"/>
      <c r="RKS11" s="53"/>
      <c r="RKT11" s="53"/>
      <c r="RKU11" s="53"/>
      <c r="RKV11" s="53"/>
      <c r="RKW11" s="53"/>
      <c r="RKX11" s="53"/>
      <c r="RKY11" s="53"/>
      <c r="RKZ11" s="53"/>
      <c r="RLA11" s="53"/>
      <c r="RLB11" s="53"/>
      <c r="RLC11" s="53"/>
      <c r="RLD11" s="53"/>
      <c r="RLE11" s="53"/>
      <c r="RLF11" s="53"/>
      <c r="RLG11" s="53"/>
      <c r="RLH11" s="53"/>
      <c r="RLI11" s="53"/>
      <c r="RLJ11" s="53"/>
      <c r="RLK11" s="53"/>
      <c r="RLL11" s="53"/>
      <c r="RLM11" s="53"/>
      <c r="RLN11" s="53"/>
      <c r="RLO11" s="53"/>
      <c r="RLP11" s="53"/>
      <c r="RLQ11" s="53"/>
      <c r="RLR11" s="53"/>
      <c r="RLS11" s="53"/>
      <c r="RLT11" s="53"/>
      <c r="RLU11" s="53"/>
      <c r="RLV11" s="53"/>
      <c r="RLW11" s="53"/>
      <c r="RLX11" s="53"/>
      <c r="RLY11" s="53"/>
      <c r="RLZ11" s="53"/>
      <c r="RMA11" s="53"/>
      <c r="RMB11" s="53"/>
      <c r="RMC11" s="53"/>
      <c r="RMD11" s="53"/>
      <c r="RME11" s="53"/>
      <c r="RMF11" s="53"/>
      <c r="RMG11" s="53"/>
      <c r="RMH11" s="53"/>
      <c r="RMI11" s="53"/>
      <c r="RMJ11" s="53"/>
      <c r="RMK11" s="53"/>
      <c r="RML11" s="53"/>
      <c r="RMM11" s="53"/>
      <c r="RMN11" s="53"/>
      <c r="RMO11" s="53"/>
      <c r="RMP11" s="53"/>
      <c r="RMQ11" s="53"/>
      <c r="RMR11" s="53"/>
      <c r="RMS11" s="53"/>
      <c r="RMT11" s="53"/>
      <c r="RMU11" s="53"/>
      <c r="RMV11" s="53"/>
      <c r="RMW11" s="53"/>
      <c r="RMX11" s="53"/>
      <c r="RMY11" s="53"/>
      <c r="RMZ11" s="53"/>
      <c r="RNA11" s="53"/>
      <c r="RNB11" s="53"/>
      <c r="RNC11" s="53"/>
      <c r="RND11" s="53"/>
      <c r="RNE11" s="53"/>
      <c r="RNF11" s="53"/>
      <c r="RNG11" s="53"/>
      <c r="RNH11" s="53"/>
      <c r="RNI11" s="53"/>
      <c r="RNJ11" s="53"/>
      <c r="RNK11" s="53"/>
      <c r="RNL11" s="53"/>
      <c r="RNM11" s="53"/>
      <c r="RNN11" s="53"/>
      <c r="RNO11" s="53"/>
      <c r="RNP11" s="53"/>
      <c r="RNQ11" s="53"/>
      <c r="RNR11" s="53"/>
      <c r="RNS11" s="53"/>
      <c r="RNT11" s="53"/>
      <c r="RNU11" s="53"/>
      <c r="RNV11" s="53"/>
      <c r="RNW11" s="53"/>
      <c r="RNX11" s="53"/>
      <c r="RNY11" s="53"/>
      <c r="RNZ11" s="53"/>
      <c r="ROA11" s="53"/>
      <c r="ROB11" s="53"/>
      <c r="ROC11" s="53"/>
      <c r="ROD11" s="53"/>
      <c r="ROE11" s="53"/>
      <c r="ROF11" s="53"/>
      <c r="ROG11" s="53"/>
      <c r="ROH11" s="53"/>
      <c r="ROI11" s="53"/>
      <c r="ROJ11" s="53"/>
      <c r="ROK11" s="53"/>
      <c r="ROL11" s="53"/>
      <c r="ROM11" s="53"/>
      <c r="RON11" s="53"/>
      <c r="ROO11" s="53"/>
      <c r="ROP11" s="53"/>
      <c r="ROQ11" s="53"/>
      <c r="ROR11" s="53"/>
      <c r="ROS11" s="53"/>
      <c r="ROT11" s="53"/>
      <c r="ROU11" s="53"/>
      <c r="ROV11" s="53"/>
      <c r="ROW11" s="53"/>
      <c r="ROX11" s="53"/>
      <c r="ROY11" s="53"/>
      <c r="ROZ11" s="53"/>
      <c r="RPA11" s="53"/>
      <c r="RPB11" s="53"/>
      <c r="RPC11" s="53"/>
      <c r="RPD11" s="53"/>
      <c r="RPE11" s="53"/>
      <c r="RPF11" s="53"/>
      <c r="RPG11" s="53"/>
      <c r="RPH11" s="53"/>
      <c r="RPI11" s="53"/>
      <c r="RPJ11" s="53"/>
      <c r="RPK11" s="53"/>
      <c r="RPL11" s="53"/>
      <c r="RPM11" s="53"/>
      <c r="RPN11" s="53"/>
      <c r="RPO11" s="53"/>
      <c r="RPP11" s="53"/>
      <c r="RPQ11" s="53"/>
      <c r="RPR11" s="53"/>
      <c r="RPS11" s="53"/>
      <c r="RPT11" s="53"/>
      <c r="RPU11" s="53"/>
      <c r="RPV11" s="53"/>
      <c r="RPW11" s="53"/>
      <c r="RPX11" s="53"/>
      <c r="RPY11" s="53"/>
      <c r="RPZ11" s="53"/>
      <c r="RQA11" s="53"/>
      <c r="RQB11" s="53"/>
      <c r="RQC11" s="53"/>
      <c r="RQD11" s="53"/>
      <c r="RQE11" s="53"/>
      <c r="RQF11" s="53"/>
      <c r="RQG11" s="53"/>
      <c r="RQH11" s="53"/>
      <c r="RQI11" s="53"/>
      <c r="RQJ11" s="53"/>
      <c r="RQK11" s="53"/>
      <c r="RQL11" s="53"/>
      <c r="RQM11" s="53"/>
      <c r="RQN11" s="53"/>
      <c r="RQO11" s="53"/>
      <c r="RQP11" s="53"/>
      <c r="RQQ11" s="53"/>
      <c r="RQR11" s="53"/>
      <c r="RQS11" s="53"/>
      <c r="RQT11" s="53"/>
      <c r="RQU11" s="53"/>
      <c r="RQV11" s="53"/>
      <c r="RQW11" s="53"/>
      <c r="RQX11" s="53"/>
      <c r="RQY11" s="53"/>
      <c r="RQZ11" s="53"/>
      <c r="RRA11" s="53"/>
      <c r="RRB11" s="53"/>
      <c r="RRC11" s="53"/>
      <c r="RRD11" s="53"/>
      <c r="RRE11" s="53"/>
      <c r="RRF11" s="53"/>
      <c r="RRG11" s="53"/>
      <c r="RRH11" s="53"/>
      <c r="RRI11" s="53"/>
      <c r="RRJ11" s="53"/>
      <c r="RRK11" s="53"/>
      <c r="RRL11" s="53"/>
      <c r="RRM11" s="53"/>
      <c r="RRN11" s="53"/>
      <c r="RRO11" s="53"/>
      <c r="RRP11" s="53"/>
      <c r="RRQ11" s="53"/>
      <c r="RRR11" s="53"/>
      <c r="RRS11" s="53"/>
      <c r="RRT11" s="53"/>
      <c r="RRU11" s="53"/>
      <c r="RRV11" s="53"/>
      <c r="RRW11" s="53"/>
      <c r="RRX11" s="53"/>
      <c r="RRY11" s="53"/>
      <c r="RRZ11" s="53"/>
      <c r="RSA11" s="53"/>
      <c r="RSB11" s="53"/>
      <c r="RSC11" s="53"/>
      <c r="RSD11" s="53"/>
      <c r="RSE11" s="53"/>
      <c r="RSF11" s="53"/>
      <c r="RSG11" s="53"/>
      <c r="RSH11" s="53"/>
      <c r="RSI11" s="53"/>
      <c r="RSJ11" s="53"/>
      <c r="RSK11" s="53"/>
      <c r="RSL11" s="53"/>
      <c r="RSM11" s="53"/>
      <c r="RSN11" s="53"/>
      <c r="RSO11" s="53"/>
      <c r="RSP11" s="53"/>
      <c r="RSQ11" s="53"/>
      <c r="RSR11" s="53"/>
      <c r="RSS11" s="53"/>
      <c r="RST11" s="53"/>
      <c r="RSU11" s="53"/>
      <c r="RSV11" s="53"/>
      <c r="RSW11" s="53"/>
      <c r="RSX11" s="53"/>
      <c r="RSY11" s="53"/>
      <c r="RSZ11" s="53"/>
      <c r="RTA11" s="53"/>
      <c r="RTB11" s="53"/>
      <c r="RTC11" s="53"/>
      <c r="RTD11" s="53"/>
      <c r="RTE11" s="53"/>
      <c r="RTF11" s="53"/>
      <c r="RTG11" s="53"/>
      <c r="RTH11" s="53"/>
      <c r="RTI11" s="53"/>
      <c r="RTJ11" s="53"/>
      <c r="RTK11" s="53"/>
      <c r="RTL11" s="53"/>
      <c r="RTM11" s="53"/>
      <c r="RTN11" s="53"/>
      <c r="RTO11" s="53"/>
      <c r="RTP11" s="53"/>
      <c r="RTQ11" s="53"/>
      <c r="RTR11" s="53"/>
      <c r="RTS11" s="53"/>
      <c r="RTT11" s="53"/>
      <c r="RTU11" s="53"/>
      <c r="RTV11" s="53"/>
      <c r="RTW11" s="53"/>
      <c r="RTX11" s="53"/>
      <c r="RTY11" s="53"/>
      <c r="RTZ11" s="53"/>
      <c r="RUA11" s="53"/>
      <c r="RUB11" s="53"/>
      <c r="RUC11" s="53"/>
      <c r="RUD11" s="53"/>
      <c r="RUE11" s="53"/>
      <c r="RUF11" s="53"/>
      <c r="RUG11" s="53"/>
      <c r="RUH11" s="53"/>
      <c r="RUI11" s="53"/>
      <c r="RUJ11" s="53"/>
      <c r="RUK11" s="53"/>
      <c r="RUL11" s="53"/>
      <c r="RUM11" s="53"/>
      <c r="RUN11" s="53"/>
      <c r="RUO11" s="53"/>
      <c r="RUP11" s="53"/>
      <c r="RUQ11" s="53"/>
      <c r="RUR11" s="53"/>
      <c r="RUS11" s="53"/>
      <c r="RUT11" s="53"/>
      <c r="RUU11" s="53"/>
      <c r="RUV11" s="53"/>
      <c r="RUW11" s="53"/>
      <c r="RUX11" s="53"/>
      <c r="RUY11" s="53"/>
      <c r="RUZ11" s="53"/>
      <c r="RVA11" s="53"/>
      <c r="RVB11" s="53"/>
      <c r="RVC11" s="53"/>
      <c r="RVD11" s="53"/>
      <c r="RVE11" s="53"/>
      <c r="RVF11" s="53"/>
      <c r="RVG11" s="53"/>
      <c r="RVH11" s="53"/>
      <c r="RVI11" s="53"/>
      <c r="RVJ11" s="53"/>
      <c r="RVK11" s="53"/>
      <c r="RVL11" s="53"/>
      <c r="RVM11" s="53"/>
      <c r="RVN11" s="53"/>
      <c r="RVO11" s="53"/>
      <c r="RVP11" s="53"/>
      <c r="RVQ11" s="53"/>
      <c r="RVR11" s="53"/>
      <c r="RVS11" s="53"/>
      <c r="RVT11" s="53"/>
      <c r="RVU11" s="53"/>
      <c r="RVV11" s="53"/>
      <c r="RVW11" s="53"/>
      <c r="RVX11" s="53"/>
      <c r="RVY11" s="53"/>
      <c r="RVZ11" s="53"/>
      <c r="RWA11" s="53"/>
      <c r="RWB11" s="53"/>
      <c r="RWC11" s="53"/>
      <c r="RWD11" s="53"/>
      <c r="RWE11" s="53"/>
      <c r="RWF11" s="53"/>
      <c r="RWG11" s="53"/>
      <c r="RWH11" s="53"/>
      <c r="RWI11" s="53"/>
      <c r="RWJ11" s="53"/>
      <c r="RWK11" s="53"/>
      <c r="RWL11" s="53"/>
      <c r="RWM11" s="53"/>
      <c r="RWN11" s="53"/>
      <c r="RWO11" s="53"/>
      <c r="RWP11" s="53"/>
      <c r="RWQ11" s="53"/>
      <c r="RWR11" s="53"/>
      <c r="RWS11" s="53"/>
      <c r="RWT11" s="53"/>
      <c r="RWU11" s="53"/>
      <c r="RWV11" s="53"/>
      <c r="RWW11" s="53"/>
      <c r="RWX11" s="53"/>
      <c r="RWY11" s="53"/>
      <c r="RWZ11" s="53"/>
      <c r="RXA11" s="53"/>
      <c r="RXB11" s="53"/>
      <c r="RXC11" s="53"/>
      <c r="RXD11" s="53"/>
      <c r="RXE11" s="53"/>
      <c r="RXF11" s="53"/>
      <c r="RXG11" s="53"/>
      <c r="RXH11" s="53"/>
      <c r="RXI11" s="53"/>
      <c r="RXJ11" s="53"/>
      <c r="RXK11" s="53"/>
      <c r="RXL11" s="53"/>
      <c r="RXM11" s="53"/>
      <c r="RXN11" s="53"/>
      <c r="RXO11" s="53"/>
      <c r="RXP11" s="53"/>
      <c r="RXQ11" s="53"/>
      <c r="RXR11" s="53"/>
      <c r="RXS11" s="53"/>
      <c r="RXT11" s="53"/>
      <c r="RXU11" s="53"/>
      <c r="RXV11" s="53"/>
      <c r="RXW11" s="53"/>
      <c r="RXX11" s="53"/>
      <c r="RXY11" s="53"/>
      <c r="RXZ11" s="53"/>
      <c r="RYA11" s="53"/>
      <c r="RYB11" s="53"/>
      <c r="RYC11" s="53"/>
      <c r="RYD11" s="53"/>
      <c r="RYE11" s="53"/>
      <c r="RYF11" s="53"/>
      <c r="RYG11" s="53"/>
      <c r="RYH11" s="53"/>
      <c r="RYI11" s="53"/>
      <c r="RYJ11" s="53"/>
      <c r="RYK11" s="53"/>
      <c r="RYL11" s="53"/>
      <c r="RYM11" s="53"/>
      <c r="RYN11" s="53"/>
      <c r="RYO11" s="53"/>
      <c r="RYP11" s="53"/>
      <c r="RYQ11" s="53"/>
      <c r="RYR11" s="53"/>
      <c r="RYS11" s="53"/>
      <c r="RYT11" s="53"/>
      <c r="RYU11" s="53"/>
      <c r="RYV11" s="53"/>
      <c r="RYW11" s="53"/>
      <c r="RYX11" s="53"/>
      <c r="RYY11" s="53"/>
      <c r="RYZ11" s="53"/>
      <c r="RZA11" s="53"/>
      <c r="RZB11" s="53"/>
      <c r="RZC11" s="53"/>
      <c r="RZD11" s="53"/>
      <c r="RZE11" s="53"/>
      <c r="RZF11" s="53"/>
      <c r="RZG11" s="53"/>
      <c r="RZH11" s="53"/>
      <c r="RZI11" s="53"/>
      <c r="RZJ11" s="53"/>
      <c r="RZK11" s="53"/>
      <c r="RZL11" s="53"/>
      <c r="RZM11" s="53"/>
      <c r="RZN11" s="53"/>
      <c r="RZO11" s="53"/>
      <c r="RZP11" s="53"/>
      <c r="RZQ11" s="53"/>
      <c r="RZR11" s="53"/>
      <c r="RZS11" s="53"/>
      <c r="RZT11" s="53"/>
      <c r="RZU11" s="53"/>
      <c r="RZV11" s="53"/>
      <c r="RZW11" s="53"/>
      <c r="RZX11" s="53"/>
      <c r="RZY11" s="53"/>
      <c r="RZZ11" s="53"/>
      <c r="SAA11" s="53"/>
      <c r="SAB11" s="53"/>
      <c r="SAC11" s="53"/>
      <c r="SAD11" s="53"/>
      <c r="SAE11" s="53"/>
      <c r="SAF11" s="53"/>
      <c r="SAG11" s="53"/>
      <c r="SAH11" s="53"/>
      <c r="SAI11" s="53"/>
      <c r="SAJ11" s="53"/>
      <c r="SAK11" s="53"/>
      <c r="SAL11" s="53"/>
      <c r="SAM11" s="53"/>
      <c r="SAN11" s="53"/>
      <c r="SAO11" s="53"/>
      <c r="SAP11" s="53"/>
      <c r="SAQ11" s="53"/>
      <c r="SAR11" s="53"/>
      <c r="SAS11" s="53"/>
      <c r="SAT11" s="53"/>
      <c r="SAU11" s="53"/>
      <c r="SAV11" s="53"/>
      <c r="SAW11" s="53"/>
      <c r="SAX11" s="53"/>
      <c r="SAY11" s="53"/>
      <c r="SAZ11" s="53"/>
      <c r="SBA11" s="53"/>
      <c r="SBB11" s="53"/>
      <c r="SBC11" s="53"/>
      <c r="SBD11" s="53"/>
      <c r="SBE11" s="53"/>
      <c r="SBF11" s="53"/>
      <c r="SBG11" s="53"/>
      <c r="SBH11" s="53"/>
      <c r="SBI11" s="53"/>
      <c r="SBJ11" s="53"/>
      <c r="SBK11" s="53"/>
      <c r="SBL11" s="53"/>
      <c r="SBM11" s="53"/>
      <c r="SBN11" s="53"/>
      <c r="SBO11" s="53"/>
      <c r="SBP11" s="53"/>
      <c r="SBQ11" s="53"/>
      <c r="SBR11" s="53"/>
      <c r="SBS11" s="53"/>
      <c r="SBT11" s="53"/>
      <c r="SBU11" s="53"/>
      <c r="SBV11" s="53"/>
      <c r="SBW11" s="53"/>
      <c r="SBX11" s="53"/>
      <c r="SBY11" s="53"/>
      <c r="SBZ11" s="53"/>
      <c r="SCA11" s="53"/>
      <c r="SCB11" s="53"/>
      <c r="SCC11" s="53"/>
      <c r="SCD11" s="53"/>
      <c r="SCE11" s="53"/>
      <c r="SCF11" s="53"/>
      <c r="SCG11" s="53"/>
      <c r="SCH11" s="53"/>
      <c r="SCI11" s="53"/>
      <c r="SCJ11" s="53"/>
      <c r="SCK11" s="53"/>
      <c r="SCL11" s="53"/>
      <c r="SCM11" s="53"/>
      <c r="SCN11" s="53"/>
      <c r="SCO11" s="53"/>
      <c r="SCP11" s="53"/>
      <c r="SCQ11" s="53"/>
      <c r="SCR11" s="53"/>
      <c r="SCS11" s="53"/>
      <c r="SCT11" s="53"/>
      <c r="SCU11" s="53"/>
      <c r="SCV11" s="53"/>
      <c r="SCW11" s="53"/>
      <c r="SCX11" s="53"/>
      <c r="SCY11" s="53"/>
      <c r="SCZ11" s="53"/>
      <c r="SDA11" s="53"/>
      <c r="SDB11" s="53"/>
      <c r="SDC11" s="53"/>
      <c r="SDD11" s="53"/>
      <c r="SDE11" s="53"/>
      <c r="SDF11" s="53"/>
      <c r="SDG11" s="53"/>
      <c r="SDH11" s="53"/>
      <c r="SDI11" s="53"/>
      <c r="SDJ11" s="53"/>
      <c r="SDK11" s="53"/>
      <c r="SDL11" s="53"/>
      <c r="SDM11" s="53"/>
      <c r="SDN11" s="53"/>
      <c r="SDO11" s="53"/>
      <c r="SDP11" s="53"/>
      <c r="SDQ11" s="53"/>
      <c r="SDR11" s="53"/>
      <c r="SDS11" s="53"/>
      <c r="SDT11" s="53"/>
      <c r="SDU11" s="53"/>
      <c r="SDV11" s="53"/>
      <c r="SDW11" s="53"/>
      <c r="SDX11" s="53"/>
      <c r="SDY11" s="53"/>
      <c r="SDZ11" s="53"/>
      <c r="SEA11" s="53"/>
      <c r="SEB11" s="53"/>
      <c r="SEC11" s="53"/>
      <c r="SED11" s="53"/>
      <c r="SEE11" s="53"/>
      <c r="SEF11" s="53"/>
      <c r="SEG11" s="53"/>
      <c r="SEH11" s="53"/>
      <c r="SEI11" s="53"/>
      <c r="SEJ11" s="53"/>
      <c r="SEK11" s="53"/>
      <c r="SEL11" s="53"/>
      <c r="SEM11" s="53"/>
      <c r="SEN11" s="53"/>
      <c r="SEO11" s="53"/>
      <c r="SEP11" s="53"/>
      <c r="SEQ11" s="53"/>
      <c r="SER11" s="53"/>
      <c r="SES11" s="53"/>
      <c r="SET11" s="53"/>
      <c r="SEU11" s="53"/>
      <c r="SEV11" s="53"/>
      <c r="SEW11" s="53"/>
      <c r="SEX11" s="53"/>
      <c r="SEY11" s="53"/>
      <c r="SEZ11" s="53"/>
      <c r="SFA11" s="53"/>
      <c r="SFB11" s="53"/>
      <c r="SFC11" s="53"/>
      <c r="SFD11" s="53"/>
      <c r="SFE11" s="53"/>
      <c r="SFF11" s="53"/>
      <c r="SFG11" s="53"/>
      <c r="SFH11" s="53"/>
      <c r="SFI11" s="53"/>
      <c r="SFJ11" s="53"/>
      <c r="SFK11" s="53"/>
      <c r="SFL11" s="53"/>
      <c r="SFM11" s="53"/>
      <c r="SFN11" s="53"/>
      <c r="SFO11" s="53"/>
      <c r="SFP11" s="53"/>
      <c r="SFQ11" s="53"/>
      <c r="SFR11" s="53"/>
      <c r="SFS11" s="53"/>
      <c r="SFT11" s="53"/>
      <c r="SFU11" s="53"/>
      <c r="SFV11" s="53"/>
      <c r="SFW11" s="53"/>
      <c r="SFX11" s="53"/>
      <c r="SFY11" s="53"/>
      <c r="SFZ11" s="53"/>
      <c r="SGA11" s="53"/>
      <c r="SGB11" s="53"/>
      <c r="SGC11" s="53"/>
      <c r="SGD11" s="53"/>
      <c r="SGE11" s="53"/>
      <c r="SGF11" s="53"/>
      <c r="SGG11" s="53"/>
      <c r="SGH11" s="53"/>
      <c r="SGI11" s="53"/>
      <c r="SGJ11" s="53"/>
      <c r="SGK11" s="53"/>
      <c r="SGL11" s="53"/>
      <c r="SGM11" s="53"/>
      <c r="SGN11" s="53"/>
      <c r="SGO11" s="53"/>
      <c r="SGP11" s="53"/>
      <c r="SGQ11" s="53"/>
      <c r="SGR11" s="53"/>
      <c r="SGS11" s="53"/>
      <c r="SGT11" s="53"/>
      <c r="SGU11" s="53"/>
      <c r="SGV11" s="53"/>
      <c r="SGW11" s="53"/>
      <c r="SGX11" s="53"/>
      <c r="SGY11" s="53"/>
      <c r="SGZ11" s="53"/>
      <c r="SHA11" s="53"/>
      <c r="SHB11" s="53"/>
      <c r="SHC11" s="53"/>
      <c r="SHD11" s="53"/>
      <c r="SHE11" s="53"/>
      <c r="SHF11" s="53"/>
      <c r="SHG11" s="53"/>
      <c r="SHH11" s="53"/>
      <c r="SHI11" s="53"/>
      <c r="SHJ11" s="53"/>
      <c r="SHK11" s="53"/>
      <c r="SHL11" s="53"/>
      <c r="SHM11" s="53"/>
      <c r="SHN11" s="53"/>
      <c r="SHO11" s="53"/>
      <c r="SHP11" s="53"/>
      <c r="SHQ11" s="53"/>
      <c r="SHR11" s="53"/>
      <c r="SHS11" s="53"/>
      <c r="SHT11" s="53"/>
      <c r="SHU11" s="53"/>
      <c r="SHV11" s="53"/>
      <c r="SHW11" s="53"/>
      <c r="SHX11" s="53"/>
      <c r="SHY11" s="53"/>
      <c r="SHZ11" s="53"/>
      <c r="SIA11" s="53"/>
      <c r="SIB11" s="53"/>
      <c r="SIC11" s="53"/>
      <c r="SID11" s="53"/>
      <c r="SIE11" s="53"/>
      <c r="SIF11" s="53"/>
      <c r="SIG11" s="53"/>
      <c r="SIH11" s="53"/>
      <c r="SII11" s="53"/>
      <c r="SIJ11" s="53"/>
      <c r="SIK11" s="53"/>
      <c r="SIL11" s="53"/>
      <c r="SIM11" s="53"/>
      <c r="SIN11" s="53"/>
      <c r="SIO11" s="53"/>
      <c r="SIP11" s="53"/>
      <c r="SIQ11" s="53"/>
      <c r="SIR11" s="53"/>
      <c r="SIS11" s="53"/>
      <c r="SIT11" s="53"/>
      <c r="SIU11" s="53"/>
      <c r="SIV11" s="53"/>
      <c r="SIW11" s="53"/>
      <c r="SIX11" s="53"/>
      <c r="SIY11" s="53"/>
      <c r="SIZ11" s="53"/>
      <c r="SJA11" s="53"/>
      <c r="SJB11" s="53"/>
      <c r="SJC11" s="53"/>
      <c r="SJD11" s="53"/>
      <c r="SJE11" s="53"/>
      <c r="SJF11" s="53"/>
      <c r="SJG11" s="53"/>
      <c r="SJH11" s="53"/>
      <c r="SJI11" s="53"/>
      <c r="SJJ11" s="53"/>
      <c r="SJK11" s="53"/>
      <c r="SJL11" s="53"/>
      <c r="SJM11" s="53"/>
      <c r="SJN11" s="53"/>
      <c r="SJO11" s="53"/>
      <c r="SJP11" s="53"/>
      <c r="SJQ11" s="53"/>
      <c r="SJR11" s="53"/>
      <c r="SJS11" s="53"/>
      <c r="SJT11" s="53"/>
      <c r="SJU11" s="53"/>
      <c r="SJV11" s="53"/>
      <c r="SJW11" s="53"/>
      <c r="SJX11" s="53"/>
      <c r="SJY11" s="53"/>
      <c r="SJZ11" s="53"/>
      <c r="SKA11" s="53"/>
      <c r="SKB11" s="53"/>
      <c r="SKC11" s="53"/>
      <c r="SKD11" s="53"/>
      <c r="SKE11" s="53"/>
      <c r="SKF11" s="53"/>
      <c r="SKG11" s="53"/>
      <c r="SKH11" s="53"/>
      <c r="SKI11" s="53"/>
      <c r="SKJ11" s="53"/>
      <c r="SKK11" s="53"/>
      <c r="SKL11" s="53"/>
      <c r="SKM11" s="53"/>
      <c r="SKN11" s="53"/>
      <c r="SKO11" s="53"/>
      <c r="SKP11" s="53"/>
      <c r="SKQ11" s="53"/>
      <c r="SKR11" s="53"/>
      <c r="SKS11" s="53"/>
      <c r="SKT11" s="53"/>
      <c r="SKU11" s="53"/>
      <c r="SKV11" s="53"/>
      <c r="SKW11" s="53"/>
      <c r="SKX11" s="53"/>
      <c r="SKY11" s="53"/>
      <c r="SKZ11" s="53"/>
      <c r="SLA11" s="53"/>
      <c r="SLB11" s="53"/>
      <c r="SLC11" s="53"/>
      <c r="SLD11" s="53"/>
      <c r="SLE11" s="53"/>
      <c r="SLF11" s="53"/>
      <c r="SLG11" s="53"/>
      <c r="SLH11" s="53"/>
      <c r="SLI11" s="53"/>
      <c r="SLJ11" s="53"/>
      <c r="SLK11" s="53"/>
      <c r="SLL11" s="53"/>
      <c r="SLM11" s="53"/>
      <c r="SLN11" s="53"/>
      <c r="SLO11" s="53"/>
      <c r="SLP11" s="53"/>
      <c r="SLQ11" s="53"/>
      <c r="SLR11" s="53"/>
      <c r="SLS11" s="53"/>
      <c r="SLT11" s="53"/>
      <c r="SLU11" s="53"/>
      <c r="SLV11" s="53"/>
      <c r="SLW11" s="53"/>
      <c r="SLX11" s="53"/>
      <c r="SLY11" s="53"/>
      <c r="SLZ11" s="53"/>
      <c r="SMA11" s="53"/>
      <c r="SMB11" s="53"/>
      <c r="SMC11" s="53"/>
      <c r="SMD11" s="53"/>
      <c r="SME11" s="53"/>
      <c r="SMF11" s="53"/>
      <c r="SMG11" s="53"/>
      <c r="SMH11" s="53"/>
      <c r="SMI11" s="53"/>
      <c r="SMJ11" s="53"/>
      <c r="SMK11" s="53"/>
      <c r="SML11" s="53"/>
      <c r="SMM11" s="53"/>
      <c r="SMN11" s="53"/>
      <c r="SMO11" s="53"/>
      <c r="SMP11" s="53"/>
      <c r="SMQ11" s="53"/>
      <c r="SMR11" s="53"/>
      <c r="SMS11" s="53"/>
      <c r="SMT11" s="53"/>
      <c r="SMU11" s="53"/>
      <c r="SMV11" s="53"/>
      <c r="SMW11" s="53"/>
      <c r="SMX11" s="53"/>
      <c r="SMY11" s="53"/>
      <c r="SMZ11" s="53"/>
      <c r="SNA11" s="53"/>
      <c r="SNB11" s="53"/>
      <c r="SNC11" s="53"/>
      <c r="SND11" s="53"/>
      <c r="SNE11" s="53"/>
      <c r="SNF11" s="53"/>
      <c r="SNG11" s="53"/>
      <c r="SNH11" s="53"/>
      <c r="SNI11" s="53"/>
      <c r="SNJ11" s="53"/>
      <c r="SNK11" s="53"/>
      <c r="SNL11" s="53"/>
      <c r="SNM11" s="53"/>
      <c r="SNN11" s="53"/>
      <c r="SNO11" s="53"/>
      <c r="SNP11" s="53"/>
      <c r="SNQ11" s="53"/>
      <c r="SNR11" s="53"/>
      <c r="SNS11" s="53"/>
      <c r="SNT11" s="53"/>
      <c r="SNU11" s="53"/>
      <c r="SNV11" s="53"/>
      <c r="SNW11" s="53"/>
      <c r="SNX11" s="53"/>
      <c r="SNY11" s="53"/>
      <c r="SNZ11" s="53"/>
      <c r="SOA11" s="53"/>
      <c r="SOB11" s="53"/>
      <c r="SOC11" s="53"/>
      <c r="SOD11" s="53"/>
      <c r="SOE11" s="53"/>
      <c r="SOF11" s="53"/>
      <c r="SOG11" s="53"/>
      <c r="SOH11" s="53"/>
      <c r="SOI11" s="53"/>
      <c r="SOJ11" s="53"/>
      <c r="SOK11" s="53"/>
      <c r="SOL11" s="53"/>
      <c r="SOM11" s="53"/>
      <c r="SON11" s="53"/>
      <c r="SOO11" s="53"/>
      <c r="SOP11" s="53"/>
      <c r="SOQ11" s="53"/>
      <c r="SOR11" s="53"/>
      <c r="SOS11" s="53"/>
      <c r="SOT11" s="53"/>
      <c r="SOU11" s="53"/>
      <c r="SOV11" s="53"/>
      <c r="SOW11" s="53"/>
      <c r="SOX11" s="53"/>
      <c r="SOY11" s="53"/>
      <c r="SOZ11" s="53"/>
      <c r="SPA11" s="53"/>
      <c r="SPB11" s="53"/>
      <c r="SPC11" s="53"/>
      <c r="SPD11" s="53"/>
      <c r="SPE11" s="53"/>
      <c r="SPF11" s="53"/>
      <c r="SPG11" s="53"/>
      <c r="SPH11" s="53"/>
      <c r="SPI11" s="53"/>
      <c r="SPJ11" s="53"/>
      <c r="SPK11" s="53"/>
      <c r="SPL11" s="53"/>
      <c r="SPM11" s="53"/>
      <c r="SPN11" s="53"/>
      <c r="SPO11" s="53"/>
      <c r="SPP11" s="53"/>
      <c r="SPQ11" s="53"/>
      <c r="SPR11" s="53"/>
      <c r="SPS11" s="53"/>
      <c r="SPT11" s="53"/>
      <c r="SPU11" s="53"/>
      <c r="SPV11" s="53"/>
      <c r="SPW11" s="53"/>
      <c r="SPX11" s="53"/>
      <c r="SPY11" s="53"/>
      <c r="SPZ11" s="53"/>
      <c r="SQA11" s="53"/>
      <c r="SQB11" s="53"/>
      <c r="SQC11" s="53"/>
      <c r="SQD11" s="53"/>
      <c r="SQE11" s="53"/>
      <c r="SQF11" s="53"/>
      <c r="SQG11" s="53"/>
      <c r="SQH11" s="53"/>
      <c r="SQI11" s="53"/>
      <c r="SQJ11" s="53"/>
      <c r="SQK11" s="53"/>
      <c r="SQL11" s="53"/>
      <c r="SQM11" s="53"/>
      <c r="SQN11" s="53"/>
      <c r="SQO11" s="53"/>
      <c r="SQP11" s="53"/>
      <c r="SQQ11" s="53"/>
      <c r="SQR11" s="53"/>
      <c r="SQS11" s="53"/>
      <c r="SQT11" s="53"/>
      <c r="SQU11" s="53"/>
      <c r="SQV11" s="53"/>
      <c r="SQW11" s="53"/>
      <c r="SQX11" s="53"/>
      <c r="SQY11" s="53"/>
      <c r="SQZ11" s="53"/>
      <c r="SRA11" s="53"/>
      <c r="SRB11" s="53"/>
      <c r="SRC11" s="53"/>
      <c r="SRD11" s="53"/>
      <c r="SRE11" s="53"/>
      <c r="SRF11" s="53"/>
      <c r="SRG11" s="53"/>
      <c r="SRH11" s="53"/>
      <c r="SRI11" s="53"/>
      <c r="SRJ11" s="53"/>
      <c r="SRK11" s="53"/>
      <c r="SRL11" s="53"/>
      <c r="SRM11" s="53"/>
      <c r="SRN11" s="53"/>
      <c r="SRO11" s="53"/>
      <c r="SRP11" s="53"/>
      <c r="SRQ11" s="53"/>
      <c r="SRR11" s="53"/>
      <c r="SRS11" s="53"/>
      <c r="SRT11" s="53"/>
      <c r="SRU11" s="53"/>
      <c r="SRV11" s="53"/>
      <c r="SRW11" s="53"/>
      <c r="SRX11" s="53"/>
      <c r="SRY11" s="53"/>
      <c r="SRZ11" s="53"/>
      <c r="SSA11" s="53"/>
      <c r="SSB11" s="53"/>
      <c r="SSC11" s="53"/>
      <c r="SSD11" s="53"/>
      <c r="SSE11" s="53"/>
      <c r="SSF11" s="53"/>
      <c r="SSG11" s="53"/>
      <c r="SSH11" s="53"/>
      <c r="SSI11" s="53"/>
      <c r="SSJ11" s="53"/>
      <c r="SSK11" s="53"/>
      <c r="SSL11" s="53"/>
      <c r="SSM11" s="53"/>
      <c r="SSN11" s="53"/>
      <c r="SSO11" s="53"/>
      <c r="SSP11" s="53"/>
      <c r="SSQ11" s="53"/>
      <c r="SSR11" s="53"/>
      <c r="SSS11" s="53"/>
      <c r="SST11" s="53"/>
      <c r="SSU11" s="53"/>
      <c r="SSV11" s="53"/>
      <c r="SSW11" s="53"/>
      <c r="SSX11" s="53"/>
      <c r="SSY11" s="53"/>
      <c r="SSZ11" s="53"/>
      <c r="STA11" s="53"/>
      <c r="STB11" s="53"/>
      <c r="STC11" s="53"/>
      <c r="STD11" s="53"/>
      <c r="STE11" s="53"/>
      <c r="STF11" s="53"/>
      <c r="STG11" s="53"/>
      <c r="STH11" s="53"/>
      <c r="STI11" s="53"/>
      <c r="STJ11" s="53"/>
      <c r="STK11" s="53"/>
      <c r="STL11" s="53"/>
      <c r="STM11" s="53"/>
      <c r="STN11" s="53"/>
      <c r="STO11" s="53"/>
      <c r="STP11" s="53"/>
      <c r="STQ11" s="53"/>
      <c r="STR11" s="53"/>
      <c r="STS11" s="53"/>
      <c r="STT11" s="53"/>
      <c r="STU11" s="53"/>
      <c r="STV11" s="53"/>
      <c r="STW11" s="53"/>
      <c r="STX11" s="53"/>
      <c r="STY11" s="53"/>
      <c r="STZ11" s="53"/>
      <c r="SUA11" s="53"/>
      <c r="SUB11" s="53"/>
      <c r="SUC11" s="53"/>
      <c r="SUD11" s="53"/>
      <c r="SUE11" s="53"/>
      <c r="SUF11" s="53"/>
      <c r="SUG11" s="53"/>
      <c r="SUH11" s="53"/>
      <c r="SUI11" s="53"/>
      <c r="SUJ11" s="53"/>
      <c r="SUK11" s="53"/>
      <c r="SUL11" s="53"/>
      <c r="SUM11" s="53"/>
      <c r="SUN11" s="53"/>
      <c r="SUO11" s="53"/>
      <c r="SUP11" s="53"/>
      <c r="SUQ11" s="53"/>
      <c r="SUR11" s="53"/>
      <c r="SUS11" s="53"/>
      <c r="SUT11" s="53"/>
      <c r="SUU11" s="53"/>
      <c r="SUV11" s="53"/>
      <c r="SUW11" s="53"/>
      <c r="SUX11" s="53"/>
      <c r="SUY11" s="53"/>
      <c r="SUZ11" s="53"/>
      <c r="SVA11" s="53"/>
      <c r="SVB11" s="53"/>
      <c r="SVC11" s="53"/>
      <c r="SVD11" s="53"/>
      <c r="SVE11" s="53"/>
      <c r="SVF11" s="53"/>
      <c r="SVG11" s="53"/>
      <c r="SVH11" s="53"/>
      <c r="SVI11" s="53"/>
      <c r="SVJ11" s="53"/>
      <c r="SVK11" s="53"/>
      <c r="SVL11" s="53"/>
      <c r="SVM11" s="53"/>
      <c r="SVN11" s="53"/>
      <c r="SVO11" s="53"/>
      <c r="SVP11" s="53"/>
      <c r="SVQ11" s="53"/>
      <c r="SVR11" s="53"/>
      <c r="SVS11" s="53"/>
      <c r="SVT11" s="53"/>
      <c r="SVU11" s="53"/>
      <c r="SVV11" s="53"/>
      <c r="SVW11" s="53"/>
      <c r="SVX11" s="53"/>
      <c r="SVY11" s="53"/>
      <c r="SVZ11" s="53"/>
      <c r="SWA11" s="53"/>
      <c r="SWB11" s="53"/>
      <c r="SWC11" s="53"/>
      <c r="SWD11" s="53"/>
      <c r="SWE11" s="53"/>
      <c r="SWF11" s="53"/>
      <c r="SWG11" s="53"/>
      <c r="SWH11" s="53"/>
      <c r="SWI11" s="53"/>
      <c r="SWJ11" s="53"/>
      <c r="SWK11" s="53"/>
      <c r="SWL11" s="53"/>
      <c r="SWM11" s="53"/>
      <c r="SWN11" s="53"/>
      <c r="SWO11" s="53"/>
      <c r="SWP11" s="53"/>
      <c r="SWQ11" s="53"/>
      <c r="SWR11" s="53"/>
      <c r="SWS11" s="53"/>
      <c r="SWT11" s="53"/>
      <c r="SWU11" s="53"/>
      <c r="SWV11" s="53"/>
      <c r="SWW11" s="53"/>
      <c r="SWX11" s="53"/>
      <c r="SWY11" s="53"/>
      <c r="SWZ11" s="53"/>
      <c r="SXA11" s="53"/>
      <c r="SXB11" s="53"/>
      <c r="SXC11" s="53"/>
      <c r="SXD11" s="53"/>
      <c r="SXE11" s="53"/>
      <c r="SXF11" s="53"/>
      <c r="SXG11" s="53"/>
      <c r="SXH11" s="53"/>
      <c r="SXI11" s="53"/>
      <c r="SXJ11" s="53"/>
      <c r="SXK11" s="53"/>
      <c r="SXL11" s="53"/>
      <c r="SXM11" s="53"/>
      <c r="SXN11" s="53"/>
      <c r="SXO11" s="53"/>
      <c r="SXP11" s="53"/>
      <c r="SXQ11" s="53"/>
      <c r="SXR11" s="53"/>
      <c r="SXS11" s="53"/>
      <c r="SXT11" s="53"/>
      <c r="SXU11" s="53"/>
      <c r="SXV11" s="53"/>
      <c r="SXW11" s="53"/>
      <c r="SXX11" s="53"/>
      <c r="SXY11" s="53"/>
      <c r="SXZ11" s="53"/>
      <c r="SYA11" s="53"/>
      <c r="SYB11" s="53"/>
      <c r="SYC11" s="53"/>
      <c r="SYD11" s="53"/>
      <c r="SYE11" s="53"/>
      <c r="SYF11" s="53"/>
      <c r="SYG11" s="53"/>
      <c r="SYH11" s="53"/>
      <c r="SYI11" s="53"/>
      <c r="SYJ11" s="53"/>
      <c r="SYK11" s="53"/>
      <c r="SYL11" s="53"/>
      <c r="SYM11" s="53"/>
      <c r="SYN11" s="53"/>
      <c r="SYO11" s="53"/>
      <c r="SYP11" s="53"/>
      <c r="SYQ11" s="53"/>
      <c r="SYR11" s="53"/>
      <c r="SYS11" s="53"/>
      <c r="SYT11" s="53"/>
      <c r="SYU11" s="53"/>
      <c r="SYV11" s="53"/>
      <c r="SYW11" s="53"/>
      <c r="SYX11" s="53"/>
      <c r="SYY11" s="53"/>
      <c r="SYZ11" s="53"/>
      <c r="SZA11" s="53"/>
      <c r="SZB11" s="53"/>
      <c r="SZC11" s="53"/>
      <c r="SZD11" s="53"/>
      <c r="SZE11" s="53"/>
      <c r="SZF11" s="53"/>
      <c r="SZG11" s="53"/>
      <c r="SZH11" s="53"/>
      <c r="SZI11" s="53"/>
      <c r="SZJ11" s="53"/>
      <c r="SZK11" s="53"/>
      <c r="SZL11" s="53"/>
      <c r="SZM11" s="53"/>
      <c r="SZN11" s="53"/>
      <c r="SZO11" s="53"/>
      <c r="SZP11" s="53"/>
      <c r="SZQ11" s="53"/>
      <c r="SZR11" s="53"/>
      <c r="SZS11" s="53"/>
      <c r="SZT11" s="53"/>
      <c r="SZU11" s="53"/>
      <c r="SZV11" s="53"/>
      <c r="SZW11" s="53"/>
      <c r="SZX11" s="53"/>
      <c r="SZY11" s="53"/>
      <c r="SZZ11" s="53"/>
      <c r="TAA11" s="53"/>
      <c r="TAB11" s="53"/>
      <c r="TAC11" s="53"/>
      <c r="TAD11" s="53"/>
      <c r="TAE11" s="53"/>
      <c r="TAF11" s="53"/>
      <c r="TAG11" s="53"/>
      <c r="TAH11" s="53"/>
      <c r="TAI11" s="53"/>
      <c r="TAJ11" s="53"/>
      <c r="TAK11" s="53"/>
      <c r="TAL11" s="53"/>
      <c r="TAM11" s="53"/>
      <c r="TAN11" s="53"/>
      <c r="TAO11" s="53"/>
      <c r="TAP11" s="53"/>
      <c r="TAQ11" s="53"/>
      <c r="TAR11" s="53"/>
      <c r="TAS11" s="53"/>
      <c r="TAT11" s="53"/>
      <c r="TAU11" s="53"/>
      <c r="TAV11" s="53"/>
      <c r="TAW11" s="53"/>
      <c r="TAX11" s="53"/>
      <c r="TAY11" s="53"/>
      <c r="TAZ11" s="53"/>
      <c r="TBA11" s="53"/>
      <c r="TBB11" s="53"/>
      <c r="TBC11" s="53"/>
      <c r="TBD11" s="53"/>
      <c r="TBE11" s="53"/>
      <c r="TBF11" s="53"/>
      <c r="TBG11" s="53"/>
      <c r="TBH11" s="53"/>
      <c r="TBI11" s="53"/>
      <c r="TBJ11" s="53"/>
      <c r="TBK11" s="53"/>
      <c r="TBL11" s="53"/>
      <c r="TBM11" s="53"/>
      <c r="TBN11" s="53"/>
      <c r="TBO11" s="53"/>
      <c r="TBP11" s="53"/>
      <c r="TBQ11" s="53"/>
      <c r="TBR11" s="53"/>
      <c r="TBS11" s="53"/>
      <c r="TBT11" s="53"/>
      <c r="TBU11" s="53"/>
      <c r="TBV11" s="53"/>
      <c r="TBW11" s="53"/>
      <c r="TBX11" s="53"/>
      <c r="TBY11" s="53"/>
      <c r="TBZ11" s="53"/>
      <c r="TCA11" s="53"/>
      <c r="TCB11" s="53"/>
      <c r="TCC11" s="53"/>
      <c r="TCD11" s="53"/>
      <c r="TCE11" s="53"/>
      <c r="TCF11" s="53"/>
      <c r="TCG11" s="53"/>
      <c r="TCH11" s="53"/>
      <c r="TCI11" s="53"/>
      <c r="TCJ11" s="53"/>
      <c r="TCK11" s="53"/>
      <c r="TCL11" s="53"/>
      <c r="TCM11" s="53"/>
      <c r="TCN11" s="53"/>
      <c r="TCO11" s="53"/>
      <c r="TCP11" s="53"/>
      <c r="TCQ11" s="53"/>
      <c r="TCR11" s="53"/>
      <c r="TCS11" s="53"/>
      <c r="TCT11" s="53"/>
      <c r="TCU11" s="53"/>
      <c r="TCV11" s="53"/>
      <c r="TCW11" s="53"/>
      <c r="TCX11" s="53"/>
      <c r="TCY11" s="53"/>
      <c r="TCZ11" s="53"/>
      <c r="TDA11" s="53"/>
      <c r="TDB11" s="53"/>
      <c r="TDC11" s="53"/>
      <c r="TDD11" s="53"/>
      <c r="TDE11" s="53"/>
      <c r="TDF11" s="53"/>
      <c r="TDG11" s="53"/>
      <c r="TDH11" s="53"/>
      <c r="TDI11" s="53"/>
      <c r="TDJ11" s="53"/>
      <c r="TDK11" s="53"/>
      <c r="TDL11" s="53"/>
      <c r="TDM11" s="53"/>
      <c r="TDN11" s="53"/>
      <c r="TDO11" s="53"/>
      <c r="TDP11" s="53"/>
      <c r="TDQ11" s="53"/>
      <c r="TDR11" s="53"/>
      <c r="TDS11" s="53"/>
      <c r="TDT11" s="53"/>
      <c r="TDU11" s="53"/>
      <c r="TDV11" s="53"/>
      <c r="TDW11" s="53"/>
      <c r="TDX11" s="53"/>
      <c r="TDY11" s="53"/>
      <c r="TDZ11" s="53"/>
      <c r="TEA11" s="53"/>
      <c r="TEB11" s="53"/>
      <c r="TEC11" s="53"/>
      <c r="TED11" s="53"/>
      <c r="TEE11" s="53"/>
      <c r="TEF11" s="53"/>
      <c r="TEG11" s="53"/>
      <c r="TEH11" s="53"/>
      <c r="TEI11" s="53"/>
      <c r="TEJ11" s="53"/>
      <c r="TEK11" s="53"/>
      <c r="TEL11" s="53"/>
      <c r="TEM11" s="53"/>
      <c r="TEN11" s="53"/>
      <c r="TEO11" s="53"/>
      <c r="TEP11" s="53"/>
      <c r="TEQ11" s="53"/>
      <c r="TER11" s="53"/>
      <c r="TES11" s="53"/>
      <c r="TET11" s="53"/>
      <c r="TEU11" s="53"/>
      <c r="TEV11" s="53"/>
      <c r="TEW11" s="53"/>
      <c r="TEX11" s="53"/>
      <c r="TEY11" s="53"/>
      <c r="TEZ11" s="53"/>
      <c r="TFA11" s="53"/>
      <c r="TFB11" s="53"/>
      <c r="TFC11" s="53"/>
      <c r="TFD11" s="53"/>
      <c r="TFE11" s="53"/>
      <c r="TFF11" s="53"/>
      <c r="TFG11" s="53"/>
      <c r="TFH11" s="53"/>
      <c r="TFI11" s="53"/>
      <c r="TFJ11" s="53"/>
      <c r="TFK11" s="53"/>
      <c r="TFL11" s="53"/>
      <c r="TFM11" s="53"/>
      <c r="TFN11" s="53"/>
      <c r="TFO11" s="53"/>
      <c r="TFP11" s="53"/>
      <c r="TFQ11" s="53"/>
      <c r="TFR11" s="53"/>
      <c r="TFS11" s="53"/>
      <c r="TFT11" s="53"/>
      <c r="TFU11" s="53"/>
      <c r="TFV11" s="53"/>
      <c r="TFW11" s="53"/>
      <c r="TFX11" s="53"/>
      <c r="TFY11" s="53"/>
      <c r="TFZ11" s="53"/>
      <c r="TGA11" s="53"/>
      <c r="TGB11" s="53"/>
      <c r="TGC11" s="53"/>
      <c r="TGD11" s="53"/>
      <c r="TGE11" s="53"/>
      <c r="TGF11" s="53"/>
      <c r="TGG11" s="53"/>
      <c r="TGH11" s="53"/>
      <c r="TGI11" s="53"/>
      <c r="TGJ11" s="53"/>
      <c r="TGK11" s="53"/>
      <c r="TGL11" s="53"/>
      <c r="TGM11" s="53"/>
      <c r="TGN11" s="53"/>
      <c r="TGO11" s="53"/>
      <c r="TGP11" s="53"/>
      <c r="TGQ11" s="53"/>
      <c r="TGR11" s="53"/>
      <c r="TGS11" s="53"/>
      <c r="TGT11" s="53"/>
      <c r="TGU11" s="53"/>
      <c r="TGV11" s="53"/>
      <c r="TGW11" s="53"/>
      <c r="TGX11" s="53"/>
      <c r="TGY11" s="53"/>
      <c r="TGZ11" s="53"/>
      <c r="THA11" s="53"/>
      <c r="THB11" s="53"/>
      <c r="THC11" s="53"/>
      <c r="THD11" s="53"/>
      <c r="THE11" s="53"/>
      <c r="THF11" s="53"/>
      <c r="THG11" s="53"/>
      <c r="THH11" s="53"/>
      <c r="THI11" s="53"/>
      <c r="THJ11" s="53"/>
      <c r="THK11" s="53"/>
      <c r="THL11" s="53"/>
      <c r="THM11" s="53"/>
      <c r="THN11" s="53"/>
      <c r="THO11" s="53"/>
      <c r="THP11" s="53"/>
      <c r="THQ11" s="53"/>
      <c r="THR11" s="53"/>
      <c r="THS11" s="53"/>
      <c r="THT11" s="53"/>
      <c r="THU11" s="53"/>
      <c r="THV11" s="53"/>
      <c r="THW11" s="53"/>
      <c r="THX11" s="53"/>
      <c r="THY11" s="53"/>
      <c r="THZ11" s="53"/>
      <c r="TIA11" s="53"/>
      <c r="TIB11" s="53"/>
      <c r="TIC11" s="53"/>
      <c r="TID11" s="53"/>
      <c r="TIE11" s="53"/>
      <c r="TIF11" s="53"/>
      <c r="TIG11" s="53"/>
      <c r="TIH11" s="53"/>
      <c r="TII11" s="53"/>
      <c r="TIJ11" s="53"/>
      <c r="TIK11" s="53"/>
      <c r="TIL11" s="53"/>
      <c r="TIM11" s="53"/>
      <c r="TIN11" s="53"/>
      <c r="TIO11" s="53"/>
      <c r="TIP11" s="53"/>
      <c r="TIQ11" s="53"/>
      <c r="TIR11" s="53"/>
      <c r="TIS11" s="53"/>
      <c r="TIT11" s="53"/>
      <c r="TIU11" s="53"/>
      <c r="TIV11" s="53"/>
      <c r="TIW11" s="53"/>
      <c r="TIX11" s="53"/>
      <c r="TIY11" s="53"/>
      <c r="TIZ11" s="53"/>
      <c r="TJA11" s="53"/>
      <c r="TJB11" s="53"/>
      <c r="TJC11" s="53"/>
      <c r="TJD11" s="53"/>
      <c r="TJE11" s="53"/>
      <c r="TJF11" s="53"/>
      <c r="TJG11" s="53"/>
      <c r="TJH11" s="53"/>
      <c r="TJI11" s="53"/>
      <c r="TJJ11" s="53"/>
      <c r="TJK11" s="53"/>
      <c r="TJL11" s="53"/>
      <c r="TJM11" s="53"/>
      <c r="TJN11" s="53"/>
      <c r="TJO11" s="53"/>
      <c r="TJP11" s="53"/>
      <c r="TJQ11" s="53"/>
      <c r="TJR11" s="53"/>
      <c r="TJS11" s="53"/>
      <c r="TJT11" s="53"/>
      <c r="TJU11" s="53"/>
      <c r="TJV11" s="53"/>
      <c r="TJW11" s="53"/>
      <c r="TJX11" s="53"/>
      <c r="TJY11" s="53"/>
      <c r="TJZ11" s="53"/>
      <c r="TKA11" s="53"/>
      <c r="TKB11" s="53"/>
      <c r="TKC11" s="53"/>
      <c r="TKD11" s="53"/>
      <c r="TKE11" s="53"/>
      <c r="TKF11" s="53"/>
      <c r="TKG11" s="53"/>
      <c r="TKH11" s="53"/>
      <c r="TKI11" s="53"/>
      <c r="TKJ11" s="53"/>
      <c r="TKK11" s="53"/>
      <c r="TKL11" s="53"/>
      <c r="TKM11" s="53"/>
      <c r="TKN11" s="53"/>
      <c r="TKO11" s="53"/>
      <c r="TKP11" s="53"/>
      <c r="TKQ11" s="53"/>
      <c r="TKR11" s="53"/>
      <c r="TKS11" s="53"/>
      <c r="TKT11" s="53"/>
      <c r="TKU11" s="53"/>
      <c r="TKV11" s="53"/>
      <c r="TKW11" s="53"/>
      <c r="TKX11" s="53"/>
      <c r="TKY11" s="53"/>
      <c r="TKZ11" s="53"/>
      <c r="TLA11" s="53"/>
      <c r="TLB11" s="53"/>
      <c r="TLC11" s="53"/>
      <c r="TLD11" s="53"/>
      <c r="TLE11" s="53"/>
      <c r="TLF11" s="53"/>
      <c r="TLG11" s="53"/>
      <c r="TLH11" s="53"/>
      <c r="TLI11" s="53"/>
      <c r="TLJ11" s="53"/>
      <c r="TLK11" s="53"/>
      <c r="TLL11" s="53"/>
      <c r="TLM11" s="53"/>
      <c r="TLN11" s="53"/>
      <c r="TLO11" s="53"/>
      <c r="TLP11" s="53"/>
      <c r="TLQ11" s="53"/>
      <c r="TLR11" s="53"/>
      <c r="TLS11" s="53"/>
      <c r="TLT11" s="53"/>
      <c r="TLU11" s="53"/>
      <c r="TLV11" s="53"/>
      <c r="TLW11" s="53"/>
      <c r="TLX11" s="53"/>
      <c r="TLY11" s="53"/>
      <c r="TLZ11" s="53"/>
      <c r="TMA11" s="53"/>
      <c r="TMB11" s="53"/>
      <c r="TMC11" s="53"/>
      <c r="TMD11" s="53"/>
      <c r="TME11" s="53"/>
      <c r="TMF11" s="53"/>
      <c r="TMG11" s="53"/>
      <c r="TMH11" s="53"/>
      <c r="TMI11" s="53"/>
      <c r="TMJ11" s="53"/>
      <c r="TMK11" s="53"/>
      <c r="TML11" s="53"/>
      <c r="TMM11" s="53"/>
      <c r="TMN11" s="53"/>
      <c r="TMO11" s="53"/>
      <c r="TMP11" s="53"/>
      <c r="TMQ11" s="53"/>
      <c r="TMR11" s="53"/>
      <c r="TMS11" s="53"/>
      <c r="TMT11" s="53"/>
      <c r="TMU11" s="53"/>
      <c r="TMV11" s="53"/>
      <c r="TMW11" s="53"/>
      <c r="TMX11" s="53"/>
      <c r="TMY11" s="53"/>
      <c r="TMZ11" s="53"/>
      <c r="TNA11" s="53"/>
      <c r="TNB11" s="53"/>
      <c r="TNC11" s="53"/>
      <c r="TND11" s="53"/>
      <c r="TNE11" s="53"/>
      <c r="TNF11" s="53"/>
      <c r="TNG11" s="53"/>
      <c r="TNH11" s="53"/>
      <c r="TNI11" s="53"/>
      <c r="TNJ11" s="53"/>
      <c r="TNK11" s="53"/>
      <c r="TNL11" s="53"/>
      <c r="TNM11" s="53"/>
      <c r="TNN11" s="53"/>
      <c r="TNO11" s="53"/>
      <c r="TNP11" s="53"/>
      <c r="TNQ11" s="53"/>
      <c r="TNR11" s="53"/>
      <c r="TNS11" s="53"/>
      <c r="TNT11" s="53"/>
      <c r="TNU11" s="53"/>
      <c r="TNV11" s="53"/>
      <c r="TNW11" s="53"/>
      <c r="TNX11" s="53"/>
      <c r="TNY11" s="53"/>
      <c r="TNZ11" s="53"/>
      <c r="TOA11" s="53"/>
      <c r="TOB11" s="53"/>
      <c r="TOC11" s="53"/>
      <c r="TOD11" s="53"/>
      <c r="TOE11" s="53"/>
      <c r="TOF11" s="53"/>
      <c r="TOG11" s="53"/>
      <c r="TOH11" s="53"/>
      <c r="TOI11" s="53"/>
      <c r="TOJ11" s="53"/>
      <c r="TOK11" s="53"/>
      <c r="TOL11" s="53"/>
      <c r="TOM11" s="53"/>
      <c r="TON11" s="53"/>
      <c r="TOO11" s="53"/>
      <c r="TOP11" s="53"/>
      <c r="TOQ11" s="53"/>
      <c r="TOR11" s="53"/>
      <c r="TOS11" s="53"/>
      <c r="TOT11" s="53"/>
      <c r="TOU11" s="53"/>
      <c r="TOV11" s="53"/>
      <c r="TOW11" s="53"/>
      <c r="TOX11" s="53"/>
      <c r="TOY11" s="53"/>
      <c r="TOZ11" s="53"/>
      <c r="TPA11" s="53"/>
      <c r="TPB11" s="53"/>
      <c r="TPC11" s="53"/>
      <c r="TPD11" s="53"/>
      <c r="TPE11" s="53"/>
      <c r="TPF11" s="53"/>
      <c r="TPG11" s="53"/>
      <c r="TPH11" s="53"/>
      <c r="TPI11" s="53"/>
      <c r="TPJ11" s="53"/>
      <c r="TPK11" s="53"/>
      <c r="TPL11" s="53"/>
      <c r="TPM11" s="53"/>
      <c r="TPN11" s="53"/>
      <c r="TPO11" s="53"/>
      <c r="TPP11" s="53"/>
      <c r="TPQ11" s="53"/>
      <c r="TPR11" s="53"/>
      <c r="TPS11" s="53"/>
      <c r="TPT11" s="53"/>
      <c r="TPU11" s="53"/>
      <c r="TPV11" s="53"/>
      <c r="TPW11" s="53"/>
      <c r="TPX11" s="53"/>
      <c r="TPY11" s="53"/>
      <c r="TPZ11" s="53"/>
      <c r="TQA11" s="53"/>
      <c r="TQB11" s="53"/>
      <c r="TQC11" s="53"/>
      <c r="TQD11" s="53"/>
      <c r="TQE11" s="53"/>
      <c r="TQF11" s="53"/>
      <c r="TQG11" s="53"/>
      <c r="TQH11" s="53"/>
      <c r="TQI11" s="53"/>
      <c r="TQJ11" s="53"/>
      <c r="TQK11" s="53"/>
      <c r="TQL11" s="53"/>
      <c r="TQM11" s="53"/>
      <c r="TQN11" s="53"/>
      <c r="TQO11" s="53"/>
      <c r="TQP11" s="53"/>
      <c r="TQQ11" s="53"/>
      <c r="TQR11" s="53"/>
      <c r="TQS11" s="53"/>
      <c r="TQT11" s="53"/>
      <c r="TQU11" s="53"/>
      <c r="TQV11" s="53"/>
      <c r="TQW11" s="53"/>
      <c r="TQX11" s="53"/>
      <c r="TQY11" s="53"/>
      <c r="TQZ11" s="53"/>
      <c r="TRA11" s="53"/>
      <c r="TRB11" s="53"/>
      <c r="TRC11" s="53"/>
      <c r="TRD11" s="53"/>
      <c r="TRE11" s="53"/>
      <c r="TRF11" s="53"/>
      <c r="TRG11" s="53"/>
      <c r="TRH11" s="53"/>
      <c r="TRI11" s="53"/>
      <c r="TRJ11" s="53"/>
      <c r="TRK11" s="53"/>
      <c r="TRL11" s="53"/>
      <c r="TRM11" s="53"/>
      <c r="TRN11" s="53"/>
      <c r="TRO11" s="53"/>
      <c r="TRP11" s="53"/>
      <c r="TRQ11" s="53"/>
      <c r="TRR11" s="53"/>
      <c r="TRS11" s="53"/>
      <c r="TRT11" s="53"/>
      <c r="TRU11" s="53"/>
      <c r="TRV11" s="53"/>
      <c r="TRW11" s="53"/>
      <c r="TRX11" s="53"/>
      <c r="TRY11" s="53"/>
      <c r="TRZ11" s="53"/>
      <c r="TSA11" s="53"/>
      <c r="TSB11" s="53"/>
      <c r="TSC11" s="53"/>
      <c r="TSD11" s="53"/>
      <c r="TSE11" s="53"/>
      <c r="TSF11" s="53"/>
      <c r="TSG11" s="53"/>
      <c r="TSH11" s="53"/>
      <c r="TSI11" s="53"/>
      <c r="TSJ11" s="53"/>
      <c r="TSK11" s="53"/>
      <c r="TSL11" s="53"/>
      <c r="TSM11" s="53"/>
      <c r="TSN11" s="53"/>
      <c r="TSO11" s="53"/>
      <c r="TSP11" s="53"/>
      <c r="TSQ11" s="53"/>
      <c r="TSR11" s="53"/>
      <c r="TSS11" s="53"/>
      <c r="TST11" s="53"/>
      <c r="TSU11" s="53"/>
      <c r="TSV11" s="53"/>
      <c r="TSW11" s="53"/>
      <c r="TSX11" s="53"/>
      <c r="TSY11" s="53"/>
      <c r="TSZ11" s="53"/>
      <c r="TTA11" s="53"/>
      <c r="TTB11" s="53"/>
      <c r="TTC11" s="53"/>
      <c r="TTD11" s="53"/>
      <c r="TTE11" s="53"/>
      <c r="TTF11" s="53"/>
      <c r="TTG11" s="53"/>
      <c r="TTH11" s="53"/>
      <c r="TTI11" s="53"/>
      <c r="TTJ11" s="53"/>
      <c r="TTK11" s="53"/>
      <c r="TTL11" s="53"/>
      <c r="TTM11" s="53"/>
      <c r="TTN11" s="53"/>
      <c r="TTO11" s="53"/>
      <c r="TTP11" s="53"/>
      <c r="TTQ11" s="53"/>
      <c r="TTR11" s="53"/>
      <c r="TTS11" s="53"/>
      <c r="TTT11" s="53"/>
      <c r="TTU11" s="53"/>
      <c r="TTV11" s="53"/>
      <c r="TTW11" s="53"/>
      <c r="TTX11" s="53"/>
      <c r="TTY11" s="53"/>
      <c r="TTZ11" s="53"/>
      <c r="TUA11" s="53"/>
      <c r="TUB11" s="53"/>
      <c r="TUC11" s="53"/>
      <c r="TUD11" s="53"/>
      <c r="TUE11" s="53"/>
      <c r="TUF11" s="53"/>
      <c r="TUG11" s="53"/>
      <c r="TUH11" s="53"/>
      <c r="TUI11" s="53"/>
      <c r="TUJ11" s="53"/>
      <c r="TUK11" s="53"/>
      <c r="TUL11" s="53"/>
      <c r="TUM11" s="53"/>
      <c r="TUN11" s="53"/>
      <c r="TUO11" s="53"/>
      <c r="TUP11" s="53"/>
      <c r="TUQ11" s="53"/>
      <c r="TUR11" s="53"/>
      <c r="TUS11" s="53"/>
      <c r="TUT11" s="53"/>
      <c r="TUU11" s="53"/>
      <c r="TUV11" s="53"/>
      <c r="TUW11" s="53"/>
      <c r="TUX11" s="53"/>
      <c r="TUY11" s="53"/>
      <c r="TUZ11" s="53"/>
      <c r="TVA11" s="53"/>
      <c r="TVB11" s="53"/>
      <c r="TVC11" s="53"/>
      <c r="TVD11" s="53"/>
      <c r="TVE11" s="53"/>
      <c r="TVF11" s="53"/>
      <c r="TVG11" s="53"/>
      <c r="TVH11" s="53"/>
      <c r="TVI11" s="53"/>
      <c r="TVJ11" s="53"/>
      <c r="TVK11" s="53"/>
      <c r="TVL11" s="53"/>
      <c r="TVM11" s="53"/>
      <c r="TVN11" s="53"/>
      <c r="TVO11" s="53"/>
      <c r="TVP11" s="53"/>
      <c r="TVQ11" s="53"/>
      <c r="TVR11" s="53"/>
      <c r="TVS11" s="53"/>
      <c r="TVT11" s="53"/>
      <c r="TVU11" s="53"/>
      <c r="TVV11" s="53"/>
      <c r="TVW11" s="53"/>
      <c r="TVX11" s="53"/>
      <c r="TVY11" s="53"/>
      <c r="TVZ11" s="53"/>
      <c r="TWA11" s="53"/>
      <c r="TWB11" s="53"/>
      <c r="TWC11" s="53"/>
      <c r="TWD11" s="53"/>
      <c r="TWE11" s="53"/>
      <c r="TWF11" s="53"/>
      <c r="TWG11" s="53"/>
      <c r="TWH11" s="53"/>
      <c r="TWI11" s="53"/>
      <c r="TWJ11" s="53"/>
      <c r="TWK11" s="53"/>
      <c r="TWL11" s="53"/>
      <c r="TWM11" s="53"/>
      <c r="TWN11" s="53"/>
      <c r="TWO11" s="53"/>
      <c r="TWP11" s="53"/>
      <c r="TWQ11" s="53"/>
      <c r="TWR11" s="53"/>
      <c r="TWS11" s="53"/>
      <c r="TWT11" s="53"/>
      <c r="TWU11" s="53"/>
      <c r="TWV11" s="53"/>
      <c r="TWW11" s="53"/>
      <c r="TWX11" s="53"/>
      <c r="TWY11" s="53"/>
      <c r="TWZ11" s="53"/>
      <c r="TXA11" s="53"/>
      <c r="TXB11" s="53"/>
      <c r="TXC11" s="53"/>
      <c r="TXD11" s="53"/>
      <c r="TXE11" s="53"/>
      <c r="TXF11" s="53"/>
      <c r="TXG11" s="53"/>
      <c r="TXH11" s="53"/>
      <c r="TXI11" s="53"/>
      <c r="TXJ11" s="53"/>
      <c r="TXK11" s="53"/>
      <c r="TXL11" s="53"/>
      <c r="TXM11" s="53"/>
      <c r="TXN11" s="53"/>
      <c r="TXO11" s="53"/>
      <c r="TXP11" s="53"/>
      <c r="TXQ11" s="53"/>
      <c r="TXR11" s="53"/>
      <c r="TXS11" s="53"/>
      <c r="TXT11" s="53"/>
      <c r="TXU11" s="53"/>
      <c r="TXV11" s="53"/>
      <c r="TXW11" s="53"/>
      <c r="TXX11" s="53"/>
      <c r="TXY11" s="53"/>
      <c r="TXZ11" s="53"/>
      <c r="TYA11" s="53"/>
      <c r="TYB11" s="53"/>
      <c r="TYC11" s="53"/>
      <c r="TYD11" s="53"/>
      <c r="TYE11" s="53"/>
      <c r="TYF11" s="53"/>
      <c r="TYG11" s="53"/>
      <c r="TYH11" s="53"/>
      <c r="TYI11" s="53"/>
      <c r="TYJ11" s="53"/>
      <c r="TYK11" s="53"/>
      <c r="TYL11" s="53"/>
      <c r="TYM11" s="53"/>
      <c r="TYN11" s="53"/>
      <c r="TYO11" s="53"/>
      <c r="TYP11" s="53"/>
      <c r="TYQ11" s="53"/>
      <c r="TYR11" s="53"/>
      <c r="TYS11" s="53"/>
      <c r="TYT11" s="53"/>
      <c r="TYU11" s="53"/>
      <c r="TYV11" s="53"/>
      <c r="TYW11" s="53"/>
      <c r="TYX11" s="53"/>
      <c r="TYY11" s="53"/>
      <c r="TYZ11" s="53"/>
      <c r="TZA11" s="53"/>
      <c r="TZB11" s="53"/>
      <c r="TZC11" s="53"/>
      <c r="TZD11" s="53"/>
      <c r="TZE11" s="53"/>
      <c r="TZF11" s="53"/>
      <c r="TZG11" s="53"/>
      <c r="TZH11" s="53"/>
      <c r="TZI11" s="53"/>
      <c r="TZJ11" s="53"/>
      <c r="TZK11" s="53"/>
      <c r="TZL11" s="53"/>
      <c r="TZM11" s="53"/>
      <c r="TZN11" s="53"/>
      <c r="TZO11" s="53"/>
      <c r="TZP11" s="53"/>
      <c r="TZQ11" s="53"/>
      <c r="TZR11" s="53"/>
      <c r="TZS11" s="53"/>
      <c r="TZT11" s="53"/>
      <c r="TZU11" s="53"/>
      <c r="TZV11" s="53"/>
      <c r="TZW11" s="53"/>
      <c r="TZX11" s="53"/>
      <c r="TZY11" s="53"/>
      <c r="TZZ11" s="53"/>
      <c r="UAA11" s="53"/>
      <c r="UAB11" s="53"/>
      <c r="UAC11" s="53"/>
      <c r="UAD11" s="53"/>
      <c r="UAE11" s="53"/>
      <c r="UAF11" s="53"/>
      <c r="UAG11" s="53"/>
      <c r="UAH11" s="53"/>
      <c r="UAI11" s="53"/>
      <c r="UAJ11" s="53"/>
      <c r="UAK11" s="53"/>
      <c r="UAL11" s="53"/>
      <c r="UAM11" s="53"/>
      <c r="UAN11" s="53"/>
      <c r="UAO11" s="53"/>
      <c r="UAP11" s="53"/>
      <c r="UAQ11" s="53"/>
      <c r="UAR11" s="53"/>
      <c r="UAS11" s="53"/>
      <c r="UAT11" s="53"/>
      <c r="UAU11" s="53"/>
      <c r="UAV11" s="53"/>
      <c r="UAW11" s="53"/>
      <c r="UAX11" s="53"/>
      <c r="UAY11" s="53"/>
      <c r="UAZ11" s="53"/>
      <c r="UBA11" s="53"/>
      <c r="UBB11" s="53"/>
      <c r="UBC11" s="53"/>
      <c r="UBD11" s="53"/>
      <c r="UBE11" s="53"/>
      <c r="UBF11" s="53"/>
      <c r="UBG11" s="53"/>
      <c r="UBH11" s="53"/>
      <c r="UBI11" s="53"/>
      <c r="UBJ11" s="53"/>
      <c r="UBK11" s="53"/>
      <c r="UBL11" s="53"/>
      <c r="UBM11" s="53"/>
      <c r="UBN11" s="53"/>
      <c r="UBO11" s="53"/>
      <c r="UBP11" s="53"/>
      <c r="UBQ11" s="53"/>
      <c r="UBR11" s="53"/>
      <c r="UBS11" s="53"/>
      <c r="UBT11" s="53"/>
      <c r="UBU11" s="53"/>
      <c r="UBV11" s="53"/>
      <c r="UBW11" s="53"/>
      <c r="UBX11" s="53"/>
      <c r="UBY11" s="53"/>
      <c r="UBZ11" s="53"/>
      <c r="UCA11" s="53"/>
      <c r="UCB11" s="53"/>
      <c r="UCC11" s="53"/>
      <c r="UCD11" s="53"/>
      <c r="UCE11" s="53"/>
      <c r="UCF11" s="53"/>
      <c r="UCG11" s="53"/>
      <c r="UCH11" s="53"/>
      <c r="UCI11" s="53"/>
      <c r="UCJ11" s="53"/>
      <c r="UCK11" s="53"/>
      <c r="UCL11" s="53"/>
      <c r="UCM11" s="53"/>
      <c r="UCN11" s="53"/>
      <c r="UCO11" s="53"/>
      <c r="UCP11" s="53"/>
      <c r="UCQ11" s="53"/>
      <c r="UCR11" s="53"/>
      <c r="UCS11" s="53"/>
      <c r="UCT11" s="53"/>
      <c r="UCU11" s="53"/>
      <c r="UCV11" s="53"/>
      <c r="UCW11" s="53"/>
      <c r="UCX11" s="53"/>
      <c r="UCY11" s="53"/>
      <c r="UCZ11" s="53"/>
      <c r="UDA11" s="53"/>
      <c r="UDB11" s="53"/>
      <c r="UDC11" s="53"/>
      <c r="UDD11" s="53"/>
      <c r="UDE11" s="53"/>
      <c r="UDF11" s="53"/>
      <c r="UDG11" s="53"/>
      <c r="UDH11" s="53"/>
      <c r="UDI11" s="53"/>
      <c r="UDJ11" s="53"/>
      <c r="UDK11" s="53"/>
      <c r="UDL11" s="53"/>
      <c r="UDM11" s="53"/>
      <c r="UDN11" s="53"/>
      <c r="UDO11" s="53"/>
      <c r="UDP11" s="53"/>
      <c r="UDQ11" s="53"/>
      <c r="UDR11" s="53"/>
      <c r="UDS11" s="53"/>
      <c r="UDT11" s="53"/>
      <c r="UDU11" s="53"/>
      <c r="UDV11" s="53"/>
      <c r="UDW11" s="53"/>
      <c r="UDX11" s="53"/>
      <c r="UDY11" s="53"/>
      <c r="UDZ11" s="53"/>
      <c r="UEA11" s="53"/>
      <c r="UEB11" s="53"/>
      <c r="UEC11" s="53"/>
      <c r="UED11" s="53"/>
      <c r="UEE11" s="53"/>
      <c r="UEF11" s="53"/>
      <c r="UEG11" s="53"/>
      <c r="UEH11" s="53"/>
      <c r="UEI11" s="53"/>
      <c r="UEJ11" s="53"/>
      <c r="UEK11" s="53"/>
      <c r="UEL11" s="53"/>
      <c r="UEM11" s="53"/>
      <c r="UEN11" s="53"/>
      <c r="UEO11" s="53"/>
      <c r="UEP11" s="53"/>
      <c r="UEQ11" s="53"/>
      <c r="UER11" s="53"/>
      <c r="UES11" s="53"/>
      <c r="UET11" s="53"/>
      <c r="UEU11" s="53"/>
      <c r="UEV11" s="53"/>
      <c r="UEW11" s="53"/>
      <c r="UEX11" s="53"/>
      <c r="UEY11" s="53"/>
      <c r="UEZ11" s="53"/>
      <c r="UFA11" s="53"/>
      <c r="UFB11" s="53"/>
      <c r="UFC11" s="53"/>
      <c r="UFD11" s="53"/>
      <c r="UFE11" s="53"/>
      <c r="UFF11" s="53"/>
      <c r="UFG11" s="53"/>
      <c r="UFH11" s="53"/>
      <c r="UFI11" s="53"/>
      <c r="UFJ11" s="53"/>
      <c r="UFK11" s="53"/>
      <c r="UFL11" s="53"/>
      <c r="UFM11" s="53"/>
      <c r="UFN11" s="53"/>
      <c r="UFO11" s="53"/>
      <c r="UFP11" s="53"/>
      <c r="UFQ11" s="53"/>
      <c r="UFR11" s="53"/>
      <c r="UFS11" s="53"/>
      <c r="UFT11" s="53"/>
      <c r="UFU11" s="53"/>
      <c r="UFV11" s="53"/>
      <c r="UFW11" s="53"/>
      <c r="UFX11" s="53"/>
      <c r="UFY11" s="53"/>
      <c r="UFZ11" s="53"/>
      <c r="UGA11" s="53"/>
      <c r="UGB11" s="53"/>
      <c r="UGC11" s="53"/>
      <c r="UGD11" s="53"/>
      <c r="UGE11" s="53"/>
      <c r="UGF11" s="53"/>
      <c r="UGG11" s="53"/>
      <c r="UGH11" s="53"/>
      <c r="UGI11" s="53"/>
      <c r="UGJ11" s="53"/>
      <c r="UGK11" s="53"/>
      <c r="UGL11" s="53"/>
      <c r="UGM11" s="53"/>
      <c r="UGN11" s="53"/>
      <c r="UGO11" s="53"/>
      <c r="UGP11" s="53"/>
      <c r="UGQ11" s="53"/>
      <c r="UGR11" s="53"/>
      <c r="UGS11" s="53"/>
      <c r="UGT11" s="53"/>
      <c r="UGU11" s="53"/>
      <c r="UGV11" s="53"/>
      <c r="UGW11" s="53"/>
      <c r="UGX11" s="53"/>
      <c r="UGY11" s="53"/>
      <c r="UGZ11" s="53"/>
      <c r="UHA11" s="53"/>
      <c r="UHB11" s="53"/>
      <c r="UHC11" s="53"/>
      <c r="UHD11" s="53"/>
      <c r="UHE11" s="53"/>
      <c r="UHF11" s="53"/>
      <c r="UHG11" s="53"/>
      <c r="UHH11" s="53"/>
      <c r="UHI11" s="53"/>
      <c r="UHJ11" s="53"/>
      <c r="UHK11" s="53"/>
      <c r="UHL11" s="53"/>
      <c r="UHM11" s="53"/>
      <c r="UHN11" s="53"/>
      <c r="UHO11" s="53"/>
      <c r="UHP11" s="53"/>
      <c r="UHQ11" s="53"/>
      <c r="UHR11" s="53"/>
      <c r="UHS11" s="53"/>
      <c r="UHT11" s="53"/>
      <c r="UHU11" s="53"/>
      <c r="UHV11" s="53"/>
      <c r="UHW11" s="53"/>
      <c r="UHX11" s="53"/>
      <c r="UHY11" s="53"/>
      <c r="UHZ11" s="53"/>
      <c r="UIA11" s="53"/>
      <c r="UIB11" s="53"/>
      <c r="UIC11" s="53"/>
      <c r="UID11" s="53"/>
      <c r="UIE11" s="53"/>
      <c r="UIF11" s="53"/>
      <c r="UIG11" s="53"/>
      <c r="UIH11" s="53"/>
      <c r="UII11" s="53"/>
      <c r="UIJ11" s="53"/>
      <c r="UIK11" s="53"/>
      <c r="UIL11" s="53"/>
      <c r="UIM11" s="53"/>
      <c r="UIN11" s="53"/>
      <c r="UIO11" s="53"/>
      <c r="UIP11" s="53"/>
      <c r="UIQ11" s="53"/>
      <c r="UIR11" s="53"/>
      <c r="UIS11" s="53"/>
      <c r="UIT11" s="53"/>
      <c r="UIU11" s="53"/>
      <c r="UIV11" s="53"/>
      <c r="UIW11" s="53"/>
      <c r="UIX11" s="53"/>
      <c r="UIY11" s="53"/>
      <c r="UIZ11" s="53"/>
      <c r="UJA11" s="53"/>
      <c r="UJB11" s="53"/>
      <c r="UJC11" s="53"/>
      <c r="UJD11" s="53"/>
      <c r="UJE11" s="53"/>
      <c r="UJF11" s="53"/>
      <c r="UJG11" s="53"/>
      <c r="UJH11" s="53"/>
      <c r="UJI11" s="53"/>
      <c r="UJJ11" s="53"/>
      <c r="UJK11" s="53"/>
      <c r="UJL11" s="53"/>
      <c r="UJM11" s="53"/>
      <c r="UJN11" s="53"/>
      <c r="UJO11" s="53"/>
      <c r="UJP11" s="53"/>
      <c r="UJQ11" s="53"/>
      <c r="UJR11" s="53"/>
      <c r="UJS11" s="53"/>
      <c r="UJT11" s="53"/>
      <c r="UJU11" s="53"/>
      <c r="UJV11" s="53"/>
      <c r="UJW11" s="53"/>
      <c r="UJX11" s="53"/>
      <c r="UJY11" s="53"/>
      <c r="UJZ11" s="53"/>
      <c r="UKA11" s="53"/>
      <c r="UKB11" s="53"/>
      <c r="UKC11" s="53"/>
      <c r="UKD11" s="53"/>
      <c r="UKE11" s="53"/>
      <c r="UKF11" s="53"/>
      <c r="UKG11" s="53"/>
      <c r="UKH11" s="53"/>
      <c r="UKI11" s="53"/>
      <c r="UKJ11" s="53"/>
      <c r="UKK11" s="53"/>
      <c r="UKL11" s="53"/>
      <c r="UKM11" s="53"/>
      <c r="UKN11" s="53"/>
      <c r="UKO11" s="53"/>
      <c r="UKP11" s="53"/>
      <c r="UKQ11" s="53"/>
      <c r="UKR11" s="53"/>
      <c r="UKS11" s="53"/>
      <c r="UKT11" s="53"/>
      <c r="UKU11" s="53"/>
      <c r="UKV11" s="53"/>
      <c r="UKW11" s="53"/>
      <c r="UKX11" s="53"/>
      <c r="UKY11" s="53"/>
      <c r="UKZ11" s="53"/>
      <c r="ULA11" s="53"/>
      <c r="ULB11" s="53"/>
      <c r="ULC11" s="53"/>
      <c r="ULD11" s="53"/>
      <c r="ULE11" s="53"/>
      <c r="ULF11" s="53"/>
      <c r="ULG11" s="53"/>
      <c r="ULH11" s="53"/>
      <c r="ULI11" s="53"/>
      <c r="ULJ11" s="53"/>
      <c r="ULK11" s="53"/>
      <c r="ULL11" s="53"/>
      <c r="ULM11" s="53"/>
      <c r="ULN11" s="53"/>
      <c r="ULO11" s="53"/>
      <c r="ULP11" s="53"/>
      <c r="ULQ11" s="53"/>
      <c r="ULR11" s="53"/>
      <c r="ULS11" s="53"/>
      <c r="ULT11" s="53"/>
      <c r="ULU11" s="53"/>
      <c r="ULV11" s="53"/>
      <c r="ULW11" s="53"/>
      <c r="ULX11" s="53"/>
      <c r="ULY11" s="53"/>
      <c r="ULZ11" s="53"/>
      <c r="UMA11" s="53"/>
      <c r="UMB11" s="53"/>
      <c r="UMC11" s="53"/>
      <c r="UMD11" s="53"/>
      <c r="UME11" s="53"/>
      <c r="UMF11" s="53"/>
      <c r="UMG11" s="53"/>
      <c r="UMH11" s="53"/>
      <c r="UMI11" s="53"/>
      <c r="UMJ11" s="53"/>
      <c r="UMK11" s="53"/>
      <c r="UML11" s="53"/>
      <c r="UMM11" s="53"/>
      <c r="UMN11" s="53"/>
      <c r="UMO11" s="53"/>
      <c r="UMP11" s="53"/>
      <c r="UMQ11" s="53"/>
      <c r="UMR11" s="53"/>
      <c r="UMS11" s="53"/>
      <c r="UMT11" s="53"/>
      <c r="UMU11" s="53"/>
      <c r="UMV11" s="53"/>
      <c r="UMW11" s="53"/>
      <c r="UMX11" s="53"/>
      <c r="UMY11" s="53"/>
      <c r="UMZ11" s="53"/>
      <c r="UNA11" s="53"/>
      <c r="UNB11" s="53"/>
      <c r="UNC11" s="53"/>
      <c r="UND11" s="53"/>
      <c r="UNE11" s="53"/>
      <c r="UNF11" s="53"/>
      <c r="UNG11" s="53"/>
      <c r="UNH11" s="53"/>
      <c r="UNI11" s="53"/>
      <c r="UNJ11" s="53"/>
      <c r="UNK11" s="53"/>
      <c r="UNL11" s="53"/>
      <c r="UNM11" s="53"/>
      <c r="UNN11" s="53"/>
      <c r="UNO11" s="53"/>
      <c r="UNP11" s="53"/>
      <c r="UNQ11" s="53"/>
      <c r="UNR11" s="53"/>
      <c r="UNS11" s="53"/>
      <c r="UNT11" s="53"/>
      <c r="UNU11" s="53"/>
      <c r="UNV11" s="53"/>
      <c r="UNW11" s="53"/>
      <c r="UNX11" s="53"/>
      <c r="UNY11" s="53"/>
      <c r="UNZ11" s="53"/>
      <c r="UOA11" s="53"/>
      <c r="UOB11" s="53"/>
      <c r="UOC11" s="53"/>
      <c r="UOD11" s="53"/>
      <c r="UOE11" s="53"/>
      <c r="UOF11" s="53"/>
      <c r="UOG11" s="53"/>
      <c r="UOH11" s="53"/>
      <c r="UOI11" s="53"/>
      <c r="UOJ11" s="53"/>
      <c r="UOK11" s="53"/>
      <c r="UOL11" s="53"/>
      <c r="UOM11" s="53"/>
      <c r="UON11" s="53"/>
      <c r="UOO11" s="53"/>
      <c r="UOP11" s="53"/>
      <c r="UOQ11" s="53"/>
      <c r="UOR11" s="53"/>
      <c r="UOS11" s="53"/>
      <c r="UOT11" s="53"/>
      <c r="UOU11" s="53"/>
      <c r="UOV11" s="53"/>
      <c r="UOW11" s="53"/>
      <c r="UOX11" s="53"/>
      <c r="UOY11" s="53"/>
      <c r="UOZ11" s="53"/>
      <c r="UPA11" s="53"/>
      <c r="UPB11" s="53"/>
      <c r="UPC11" s="53"/>
      <c r="UPD11" s="53"/>
      <c r="UPE11" s="53"/>
      <c r="UPF11" s="53"/>
      <c r="UPG11" s="53"/>
      <c r="UPH11" s="53"/>
      <c r="UPI11" s="53"/>
      <c r="UPJ11" s="53"/>
      <c r="UPK11" s="53"/>
      <c r="UPL11" s="53"/>
      <c r="UPM11" s="53"/>
      <c r="UPN11" s="53"/>
      <c r="UPO11" s="53"/>
      <c r="UPP11" s="53"/>
      <c r="UPQ11" s="53"/>
      <c r="UPR11" s="53"/>
      <c r="UPS11" s="53"/>
      <c r="UPT11" s="53"/>
      <c r="UPU11" s="53"/>
      <c r="UPV11" s="53"/>
      <c r="UPW11" s="53"/>
      <c r="UPX11" s="53"/>
      <c r="UPY11" s="53"/>
      <c r="UPZ11" s="53"/>
      <c r="UQA11" s="53"/>
      <c r="UQB11" s="53"/>
      <c r="UQC11" s="53"/>
      <c r="UQD11" s="53"/>
      <c r="UQE11" s="53"/>
      <c r="UQF11" s="53"/>
      <c r="UQG11" s="53"/>
      <c r="UQH11" s="53"/>
      <c r="UQI11" s="53"/>
      <c r="UQJ11" s="53"/>
      <c r="UQK11" s="53"/>
      <c r="UQL11" s="53"/>
      <c r="UQM11" s="53"/>
      <c r="UQN11" s="53"/>
      <c r="UQO11" s="53"/>
      <c r="UQP11" s="53"/>
      <c r="UQQ11" s="53"/>
      <c r="UQR11" s="53"/>
      <c r="UQS11" s="53"/>
      <c r="UQT11" s="53"/>
      <c r="UQU11" s="53"/>
      <c r="UQV11" s="53"/>
      <c r="UQW11" s="53"/>
      <c r="UQX11" s="53"/>
      <c r="UQY11" s="53"/>
      <c r="UQZ11" s="53"/>
      <c r="URA11" s="53"/>
      <c r="URB11" s="53"/>
      <c r="URC11" s="53"/>
      <c r="URD11" s="53"/>
      <c r="URE11" s="53"/>
      <c r="URF11" s="53"/>
      <c r="URG11" s="53"/>
      <c r="URH11" s="53"/>
      <c r="URI11" s="53"/>
      <c r="URJ11" s="53"/>
      <c r="URK11" s="53"/>
      <c r="URL11" s="53"/>
      <c r="URM11" s="53"/>
      <c r="URN11" s="53"/>
      <c r="URO11" s="53"/>
      <c r="URP11" s="53"/>
      <c r="URQ11" s="53"/>
      <c r="URR11" s="53"/>
      <c r="URS11" s="53"/>
      <c r="URT11" s="53"/>
      <c r="URU11" s="53"/>
      <c r="URV11" s="53"/>
      <c r="URW11" s="53"/>
      <c r="URX11" s="53"/>
      <c r="URY11" s="53"/>
      <c r="URZ11" s="53"/>
      <c r="USA11" s="53"/>
      <c r="USB11" s="53"/>
      <c r="USC11" s="53"/>
      <c r="USD11" s="53"/>
      <c r="USE11" s="53"/>
      <c r="USF11" s="53"/>
      <c r="USG11" s="53"/>
      <c r="USH11" s="53"/>
      <c r="USI11" s="53"/>
      <c r="USJ11" s="53"/>
      <c r="USK11" s="53"/>
      <c r="USL11" s="53"/>
      <c r="USM11" s="53"/>
      <c r="USN11" s="53"/>
      <c r="USO11" s="53"/>
      <c r="USP11" s="53"/>
      <c r="USQ11" s="53"/>
      <c r="USR11" s="53"/>
      <c r="USS11" s="53"/>
      <c r="UST11" s="53"/>
      <c r="USU11" s="53"/>
      <c r="USV11" s="53"/>
      <c r="USW11" s="53"/>
      <c r="USX11" s="53"/>
      <c r="USY11" s="53"/>
      <c r="USZ11" s="53"/>
      <c r="UTA11" s="53"/>
      <c r="UTB11" s="53"/>
      <c r="UTC11" s="53"/>
      <c r="UTD11" s="53"/>
      <c r="UTE11" s="53"/>
      <c r="UTF11" s="53"/>
      <c r="UTG11" s="53"/>
      <c r="UTH11" s="53"/>
      <c r="UTI11" s="53"/>
      <c r="UTJ11" s="53"/>
      <c r="UTK11" s="53"/>
      <c r="UTL11" s="53"/>
      <c r="UTM11" s="53"/>
      <c r="UTN11" s="53"/>
      <c r="UTO11" s="53"/>
      <c r="UTP11" s="53"/>
      <c r="UTQ11" s="53"/>
      <c r="UTR11" s="53"/>
      <c r="UTS11" s="53"/>
      <c r="UTT11" s="53"/>
      <c r="UTU11" s="53"/>
      <c r="UTV11" s="53"/>
      <c r="UTW11" s="53"/>
      <c r="UTX11" s="53"/>
      <c r="UTY11" s="53"/>
      <c r="UTZ11" s="53"/>
      <c r="UUA11" s="53"/>
      <c r="UUB11" s="53"/>
      <c r="UUC11" s="53"/>
      <c r="UUD11" s="53"/>
      <c r="UUE11" s="53"/>
      <c r="UUF11" s="53"/>
      <c r="UUG11" s="53"/>
      <c r="UUH11" s="53"/>
      <c r="UUI11" s="53"/>
      <c r="UUJ11" s="53"/>
      <c r="UUK11" s="53"/>
      <c r="UUL11" s="53"/>
      <c r="UUM11" s="53"/>
      <c r="UUN11" s="53"/>
      <c r="UUO11" s="53"/>
      <c r="UUP11" s="53"/>
      <c r="UUQ11" s="53"/>
      <c r="UUR11" s="53"/>
      <c r="UUS11" s="53"/>
      <c r="UUT11" s="53"/>
      <c r="UUU11" s="53"/>
      <c r="UUV11" s="53"/>
      <c r="UUW11" s="53"/>
      <c r="UUX11" s="53"/>
      <c r="UUY11" s="53"/>
      <c r="UUZ11" s="53"/>
      <c r="UVA11" s="53"/>
      <c r="UVB11" s="53"/>
      <c r="UVC11" s="53"/>
      <c r="UVD11" s="53"/>
      <c r="UVE11" s="53"/>
      <c r="UVF11" s="53"/>
      <c r="UVG11" s="53"/>
      <c r="UVH11" s="53"/>
      <c r="UVI11" s="53"/>
      <c r="UVJ11" s="53"/>
      <c r="UVK11" s="53"/>
      <c r="UVL11" s="53"/>
      <c r="UVM11" s="53"/>
      <c r="UVN11" s="53"/>
      <c r="UVO11" s="53"/>
      <c r="UVP11" s="53"/>
      <c r="UVQ11" s="53"/>
      <c r="UVR11" s="53"/>
      <c r="UVS11" s="53"/>
      <c r="UVT11" s="53"/>
      <c r="UVU11" s="53"/>
      <c r="UVV11" s="53"/>
      <c r="UVW11" s="53"/>
      <c r="UVX11" s="53"/>
      <c r="UVY11" s="53"/>
      <c r="UVZ11" s="53"/>
      <c r="UWA11" s="53"/>
      <c r="UWB11" s="53"/>
      <c r="UWC11" s="53"/>
      <c r="UWD11" s="53"/>
      <c r="UWE11" s="53"/>
      <c r="UWF11" s="53"/>
      <c r="UWG11" s="53"/>
      <c r="UWH11" s="53"/>
      <c r="UWI11" s="53"/>
      <c r="UWJ11" s="53"/>
      <c r="UWK11" s="53"/>
      <c r="UWL11" s="53"/>
      <c r="UWM11" s="53"/>
      <c r="UWN11" s="53"/>
      <c r="UWO11" s="53"/>
      <c r="UWP11" s="53"/>
      <c r="UWQ11" s="53"/>
      <c r="UWR11" s="53"/>
      <c r="UWS11" s="53"/>
      <c r="UWT11" s="53"/>
      <c r="UWU11" s="53"/>
      <c r="UWV11" s="53"/>
      <c r="UWW11" s="53"/>
      <c r="UWX11" s="53"/>
      <c r="UWY11" s="53"/>
      <c r="UWZ11" s="53"/>
      <c r="UXA11" s="53"/>
      <c r="UXB11" s="53"/>
      <c r="UXC11" s="53"/>
      <c r="UXD11" s="53"/>
      <c r="UXE11" s="53"/>
      <c r="UXF11" s="53"/>
      <c r="UXG11" s="53"/>
      <c r="UXH11" s="53"/>
      <c r="UXI11" s="53"/>
      <c r="UXJ11" s="53"/>
      <c r="UXK11" s="53"/>
      <c r="UXL11" s="53"/>
      <c r="UXM11" s="53"/>
      <c r="UXN11" s="53"/>
      <c r="UXO11" s="53"/>
      <c r="UXP11" s="53"/>
      <c r="UXQ11" s="53"/>
      <c r="UXR11" s="53"/>
      <c r="UXS11" s="53"/>
      <c r="UXT11" s="53"/>
      <c r="UXU11" s="53"/>
      <c r="UXV11" s="53"/>
      <c r="UXW11" s="53"/>
      <c r="UXX11" s="53"/>
      <c r="UXY11" s="53"/>
      <c r="UXZ11" s="53"/>
      <c r="UYA11" s="53"/>
      <c r="UYB11" s="53"/>
      <c r="UYC11" s="53"/>
      <c r="UYD11" s="53"/>
      <c r="UYE11" s="53"/>
      <c r="UYF11" s="53"/>
      <c r="UYG11" s="53"/>
      <c r="UYH11" s="53"/>
      <c r="UYI11" s="53"/>
      <c r="UYJ11" s="53"/>
      <c r="UYK11" s="53"/>
      <c r="UYL11" s="53"/>
      <c r="UYM11" s="53"/>
      <c r="UYN11" s="53"/>
      <c r="UYO11" s="53"/>
      <c r="UYP11" s="53"/>
      <c r="UYQ11" s="53"/>
      <c r="UYR11" s="53"/>
      <c r="UYS11" s="53"/>
      <c r="UYT11" s="53"/>
      <c r="UYU11" s="53"/>
      <c r="UYV11" s="53"/>
      <c r="UYW11" s="53"/>
      <c r="UYX11" s="53"/>
      <c r="UYY11" s="53"/>
      <c r="UYZ11" s="53"/>
      <c r="UZA11" s="53"/>
      <c r="UZB11" s="53"/>
      <c r="UZC11" s="53"/>
      <c r="UZD11" s="53"/>
      <c r="UZE11" s="53"/>
      <c r="UZF11" s="53"/>
      <c r="UZG11" s="53"/>
      <c r="UZH11" s="53"/>
      <c r="UZI11" s="53"/>
      <c r="UZJ11" s="53"/>
      <c r="UZK11" s="53"/>
      <c r="UZL11" s="53"/>
      <c r="UZM11" s="53"/>
      <c r="UZN11" s="53"/>
      <c r="UZO11" s="53"/>
      <c r="UZP11" s="53"/>
      <c r="UZQ11" s="53"/>
      <c r="UZR11" s="53"/>
      <c r="UZS11" s="53"/>
      <c r="UZT11" s="53"/>
      <c r="UZU11" s="53"/>
      <c r="UZV11" s="53"/>
      <c r="UZW11" s="53"/>
      <c r="UZX11" s="53"/>
      <c r="UZY11" s="53"/>
      <c r="UZZ11" s="53"/>
      <c r="VAA11" s="53"/>
      <c r="VAB11" s="53"/>
      <c r="VAC11" s="53"/>
      <c r="VAD11" s="53"/>
      <c r="VAE11" s="53"/>
      <c r="VAF11" s="53"/>
      <c r="VAG11" s="53"/>
      <c r="VAH11" s="53"/>
      <c r="VAI11" s="53"/>
      <c r="VAJ11" s="53"/>
      <c r="VAK11" s="53"/>
      <c r="VAL11" s="53"/>
      <c r="VAM11" s="53"/>
      <c r="VAN11" s="53"/>
      <c r="VAO11" s="53"/>
      <c r="VAP11" s="53"/>
      <c r="VAQ11" s="53"/>
      <c r="VAR11" s="53"/>
      <c r="VAS11" s="53"/>
      <c r="VAT11" s="53"/>
      <c r="VAU11" s="53"/>
      <c r="VAV11" s="53"/>
      <c r="VAW11" s="53"/>
      <c r="VAX11" s="53"/>
      <c r="VAY11" s="53"/>
      <c r="VAZ11" s="53"/>
      <c r="VBA11" s="53"/>
      <c r="VBB11" s="53"/>
      <c r="VBC11" s="53"/>
      <c r="VBD11" s="53"/>
      <c r="VBE11" s="53"/>
      <c r="VBF11" s="53"/>
      <c r="VBG11" s="53"/>
      <c r="VBH11" s="53"/>
      <c r="VBI11" s="53"/>
      <c r="VBJ11" s="53"/>
      <c r="VBK11" s="53"/>
      <c r="VBL11" s="53"/>
      <c r="VBM11" s="53"/>
      <c r="VBN11" s="53"/>
      <c r="VBO11" s="53"/>
      <c r="VBP11" s="53"/>
      <c r="VBQ11" s="53"/>
      <c r="VBR11" s="53"/>
      <c r="VBS11" s="53"/>
      <c r="VBT11" s="53"/>
      <c r="VBU11" s="53"/>
      <c r="VBV11" s="53"/>
      <c r="VBW11" s="53"/>
      <c r="VBX11" s="53"/>
      <c r="VBY11" s="53"/>
      <c r="VBZ11" s="53"/>
      <c r="VCA11" s="53"/>
      <c r="VCB11" s="53"/>
      <c r="VCC11" s="53"/>
      <c r="VCD11" s="53"/>
      <c r="VCE11" s="53"/>
      <c r="VCF11" s="53"/>
      <c r="VCG11" s="53"/>
      <c r="VCH11" s="53"/>
      <c r="VCI11" s="53"/>
      <c r="VCJ11" s="53"/>
      <c r="VCK11" s="53"/>
      <c r="VCL11" s="53"/>
      <c r="VCM11" s="53"/>
      <c r="VCN11" s="53"/>
      <c r="VCO11" s="53"/>
      <c r="VCP11" s="53"/>
      <c r="VCQ11" s="53"/>
      <c r="VCR11" s="53"/>
      <c r="VCS11" s="53"/>
      <c r="VCT11" s="53"/>
      <c r="VCU11" s="53"/>
      <c r="VCV11" s="53"/>
      <c r="VCW11" s="53"/>
      <c r="VCX11" s="53"/>
      <c r="VCY11" s="53"/>
      <c r="VCZ11" s="53"/>
      <c r="VDA11" s="53"/>
      <c r="VDB11" s="53"/>
      <c r="VDC11" s="53"/>
      <c r="VDD11" s="53"/>
      <c r="VDE11" s="53"/>
      <c r="VDF11" s="53"/>
      <c r="VDG11" s="53"/>
      <c r="VDH11" s="53"/>
      <c r="VDI11" s="53"/>
      <c r="VDJ11" s="53"/>
      <c r="VDK11" s="53"/>
      <c r="VDL11" s="53"/>
      <c r="VDM11" s="53"/>
      <c r="VDN11" s="53"/>
      <c r="VDO11" s="53"/>
      <c r="VDP11" s="53"/>
      <c r="VDQ11" s="53"/>
      <c r="VDR11" s="53"/>
      <c r="VDS11" s="53"/>
      <c r="VDT11" s="53"/>
      <c r="VDU11" s="53"/>
      <c r="VDV11" s="53"/>
      <c r="VDW11" s="53"/>
      <c r="VDX11" s="53"/>
      <c r="VDY11" s="53"/>
      <c r="VDZ11" s="53"/>
      <c r="VEA11" s="53"/>
      <c r="VEB11" s="53"/>
      <c r="VEC11" s="53"/>
      <c r="VED11" s="53"/>
      <c r="VEE11" s="53"/>
      <c r="VEF11" s="53"/>
      <c r="VEG11" s="53"/>
      <c r="VEH11" s="53"/>
      <c r="VEI11" s="53"/>
      <c r="VEJ11" s="53"/>
      <c r="VEK11" s="53"/>
      <c r="VEL11" s="53"/>
      <c r="VEM11" s="53"/>
      <c r="VEN11" s="53"/>
      <c r="VEO11" s="53"/>
      <c r="VEP11" s="53"/>
      <c r="VEQ11" s="53"/>
      <c r="VER11" s="53"/>
      <c r="VES11" s="53"/>
      <c r="VET11" s="53"/>
      <c r="VEU11" s="53"/>
      <c r="VEV11" s="53"/>
      <c r="VEW11" s="53"/>
      <c r="VEX11" s="53"/>
      <c r="VEY11" s="53"/>
      <c r="VEZ11" s="53"/>
      <c r="VFA11" s="53"/>
      <c r="VFB11" s="53"/>
      <c r="VFC11" s="53"/>
      <c r="VFD11" s="53"/>
      <c r="VFE11" s="53"/>
      <c r="VFF11" s="53"/>
      <c r="VFG11" s="53"/>
      <c r="VFH11" s="53"/>
      <c r="VFI11" s="53"/>
      <c r="VFJ11" s="53"/>
      <c r="VFK11" s="53"/>
      <c r="VFL11" s="53"/>
      <c r="VFM11" s="53"/>
      <c r="VFN11" s="53"/>
      <c r="VFO11" s="53"/>
      <c r="VFP11" s="53"/>
      <c r="VFQ11" s="53"/>
      <c r="VFR11" s="53"/>
      <c r="VFS11" s="53"/>
      <c r="VFT11" s="53"/>
      <c r="VFU11" s="53"/>
      <c r="VFV11" s="53"/>
      <c r="VFW11" s="53"/>
      <c r="VFX11" s="53"/>
      <c r="VFY11" s="53"/>
      <c r="VFZ11" s="53"/>
      <c r="VGA11" s="53"/>
      <c r="VGB11" s="53"/>
      <c r="VGC11" s="53"/>
      <c r="VGD11" s="53"/>
      <c r="VGE11" s="53"/>
      <c r="VGF11" s="53"/>
      <c r="VGG11" s="53"/>
      <c r="VGH11" s="53"/>
      <c r="VGI11" s="53"/>
      <c r="VGJ11" s="53"/>
      <c r="VGK11" s="53"/>
      <c r="VGL11" s="53"/>
      <c r="VGM11" s="53"/>
      <c r="VGN11" s="53"/>
      <c r="VGO11" s="53"/>
      <c r="VGP11" s="53"/>
      <c r="VGQ11" s="53"/>
      <c r="VGR11" s="53"/>
      <c r="VGS11" s="53"/>
      <c r="VGT11" s="53"/>
      <c r="VGU11" s="53"/>
      <c r="VGV11" s="53"/>
      <c r="VGW11" s="53"/>
      <c r="VGX11" s="53"/>
      <c r="VGY11" s="53"/>
      <c r="VGZ11" s="53"/>
      <c r="VHA11" s="53"/>
      <c r="VHB11" s="53"/>
      <c r="VHC11" s="53"/>
      <c r="VHD11" s="53"/>
      <c r="VHE11" s="53"/>
      <c r="VHF11" s="53"/>
      <c r="VHG11" s="53"/>
      <c r="VHH11" s="53"/>
      <c r="VHI11" s="53"/>
      <c r="VHJ11" s="53"/>
      <c r="VHK11" s="53"/>
      <c r="VHL11" s="53"/>
      <c r="VHM11" s="53"/>
      <c r="VHN11" s="53"/>
      <c r="VHO11" s="53"/>
      <c r="VHP11" s="53"/>
      <c r="VHQ11" s="53"/>
      <c r="VHR11" s="53"/>
      <c r="VHS11" s="53"/>
      <c r="VHT11" s="53"/>
      <c r="VHU11" s="53"/>
      <c r="VHV11" s="53"/>
      <c r="VHW11" s="53"/>
      <c r="VHX11" s="53"/>
      <c r="VHY11" s="53"/>
      <c r="VHZ11" s="53"/>
      <c r="VIA11" s="53"/>
      <c r="VIB11" s="53"/>
      <c r="VIC11" s="53"/>
      <c r="VID11" s="53"/>
      <c r="VIE11" s="53"/>
      <c r="VIF11" s="53"/>
      <c r="VIG11" s="53"/>
      <c r="VIH11" s="53"/>
      <c r="VII11" s="53"/>
      <c r="VIJ11" s="53"/>
      <c r="VIK11" s="53"/>
      <c r="VIL11" s="53"/>
      <c r="VIM11" s="53"/>
      <c r="VIN11" s="53"/>
      <c r="VIO11" s="53"/>
      <c r="VIP11" s="53"/>
      <c r="VIQ11" s="53"/>
      <c r="VIR11" s="53"/>
      <c r="VIS11" s="53"/>
      <c r="VIT11" s="53"/>
      <c r="VIU11" s="53"/>
      <c r="VIV11" s="53"/>
      <c r="VIW11" s="53"/>
      <c r="VIX11" s="53"/>
      <c r="VIY11" s="53"/>
      <c r="VIZ11" s="53"/>
      <c r="VJA11" s="53"/>
      <c r="VJB11" s="53"/>
      <c r="VJC11" s="53"/>
      <c r="VJD11" s="53"/>
      <c r="VJE11" s="53"/>
      <c r="VJF11" s="53"/>
      <c r="VJG11" s="53"/>
      <c r="VJH11" s="53"/>
      <c r="VJI11" s="53"/>
      <c r="VJJ11" s="53"/>
      <c r="VJK11" s="53"/>
      <c r="VJL11" s="53"/>
      <c r="VJM11" s="53"/>
      <c r="VJN11" s="53"/>
      <c r="VJO11" s="53"/>
      <c r="VJP11" s="53"/>
      <c r="VJQ11" s="53"/>
      <c r="VJR11" s="53"/>
      <c r="VJS11" s="53"/>
      <c r="VJT11" s="53"/>
      <c r="VJU11" s="53"/>
      <c r="VJV11" s="53"/>
      <c r="VJW11" s="53"/>
      <c r="VJX11" s="53"/>
      <c r="VJY11" s="53"/>
      <c r="VJZ11" s="53"/>
      <c r="VKA11" s="53"/>
      <c r="VKB11" s="53"/>
      <c r="VKC11" s="53"/>
      <c r="VKD11" s="53"/>
      <c r="VKE11" s="53"/>
      <c r="VKF11" s="53"/>
      <c r="VKG11" s="53"/>
      <c r="VKH11" s="53"/>
      <c r="VKI11" s="53"/>
      <c r="VKJ11" s="53"/>
      <c r="VKK11" s="53"/>
      <c r="VKL11" s="53"/>
      <c r="VKM11" s="53"/>
      <c r="VKN11" s="53"/>
      <c r="VKO11" s="53"/>
      <c r="VKP11" s="53"/>
      <c r="VKQ11" s="53"/>
      <c r="VKR11" s="53"/>
      <c r="VKS11" s="53"/>
      <c r="VKT11" s="53"/>
      <c r="VKU11" s="53"/>
      <c r="VKV11" s="53"/>
      <c r="VKW11" s="53"/>
      <c r="VKX11" s="53"/>
      <c r="VKY11" s="53"/>
      <c r="VKZ11" s="53"/>
      <c r="VLA11" s="53"/>
      <c r="VLB11" s="53"/>
      <c r="VLC11" s="53"/>
      <c r="VLD11" s="53"/>
      <c r="VLE11" s="53"/>
      <c r="VLF11" s="53"/>
      <c r="VLG11" s="53"/>
      <c r="VLH11" s="53"/>
      <c r="VLI11" s="53"/>
      <c r="VLJ11" s="53"/>
      <c r="VLK11" s="53"/>
      <c r="VLL11" s="53"/>
      <c r="VLM11" s="53"/>
      <c r="VLN11" s="53"/>
      <c r="VLO11" s="53"/>
      <c r="VLP11" s="53"/>
      <c r="VLQ11" s="53"/>
      <c r="VLR11" s="53"/>
      <c r="VLS11" s="53"/>
      <c r="VLT11" s="53"/>
      <c r="VLU11" s="53"/>
      <c r="VLV11" s="53"/>
      <c r="VLW11" s="53"/>
      <c r="VLX11" s="53"/>
      <c r="VLY11" s="53"/>
      <c r="VLZ11" s="53"/>
      <c r="VMA11" s="53"/>
      <c r="VMB11" s="53"/>
      <c r="VMC11" s="53"/>
      <c r="VMD11" s="53"/>
      <c r="VME11" s="53"/>
      <c r="VMF11" s="53"/>
      <c r="VMG11" s="53"/>
      <c r="VMH11" s="53"/>
      <c r="VMI11" s="53"/>
      <c r="VMJ11" s="53"/>
      <c r="VMK11" s="53"/>
      <c r="VML11" s="53"/>
      <c r="VMM11" s="53"/>
      <c r="VMN11" s="53"/>
      <c r="VMO11" s="53"/>
      <c r="VMP11" s="53"/>
      <c r="VMQ11" s="53"/>
      <c r="VMR11" s="53"/>
      <c r="VMS11" s="53"/>
      <c r="VMT11" s="53"/>
      <c r="VMU11" s="53"/>
      <c r="VMV11" s="53"/>
      <c r="VMW11" s="53"/>
      <c r="VMX11" s="53"/>
      <c r="VMY11" s="53"/>
      <c r="VMZ11" s="53"/>
      <c r="VNA11" s="53"/>
      <c r="VNB11" s="53"/>
      <c r="VNC11" s="53"/>
      <c r="VND11" s="53"/>
      <c r="VNE11" s="53"/>
      <c r="VNF11" s="53"/>
      <c r="VNG11" s="53"/>
      <c r="VNH11" s="53"/>
      <c r="VNI11" s="53"/>
      <c r="VNJ11" s="53"/>
      <c r="VNK11" s="53"/>
      <c r="VNL11" s="53"/>
      <c r="VNM11" s="53"/>
      <c r="VNN11" s="53"/>
      <c r="VNO11" s="53"/>
      <c r="VNP11" s="53"/>
      <c r="VNQ11" s="53"/>
      <c r="VNR11" s="53"/>
      <c r="VNS11" s="53"/>
      <c r="VNT11" s="53"/>
      <c r="VNU11" s="53"/>
      <c r="VNV11" s="53"/>
      <c r="VNW11" s="53"/>
      <c r="VNX11" s="53"/>
      <c r="VNY11" s="53"/>
      <c r="VNZ11" s="53"/>
      <c r="VOA11" s="53"/>
      <c r="VOB11" s="53"/>
      <c r="VOC11" s="53"/>
      <c r="VOD11" s="53"/>
      <c r="VOE11" s="53"/>
      <c r="VOF11" s="53"/>
      <c r="VOG11" s="53"/>
      <c r="VOH11" s="53"/>
      <c r="VOI11" s="53"/>
      <c r="VOJ11" s="53"/>
      <c r="VOK11" s="53"/>
      <c r="VOL11" s="53"/>
      <c r="VOM11" s="53"/>
      <c r="VON11" s="53"/>
      <c r="VOO11" s="53"/>
      <c r="VOP11" s="53"/>
      <c r="VOQ11" s="53"/>
      <c r="VOR11" s="53"/>
      <c r="VOS11" s="53"/>
      <c r="VOT11" s="53"/>
      <c r="VOU11" s="53"/>
      <c r="VOV11" s="53"/>
      <c r="VOW11" s="53"/>
      <c r="VOX11" s="53"/>
      <c r="VOY11" s="53"/>
      <c r="VOZ11" s="53"/>
      <c r="VPA11" s="53"/>
      <c r="VPB11" s="53"/>
      <c r="VPC11" s="53"/>
      <c r="VPD11" s="53"/>
      <c r="VPE11" s="53"/>
      <c r="VPF11" s="53"/>
      <c r="VPG11" s="53"/>
      <c r="VPH11" s="53"/>
      <c r="VPI11" s="53"/>
      <c r="VPJ11" s="53"/>
      <c r="VPK11" s="53"/>
      <c r="VPL11" s="53"/>
      <c r="VPM11" s="53"/>
      <c r="VPN11" s="53"/>
      <c r="VPO11" s="53"/>
      <c r="VPP11" s="53"/>
      <c r="VPQ11" s="53"/>
      <c r="VPR11" s="53"/>
      <c r="VPS11" s="53"/>
      <c r="VPT11" s="53"/>
      <c r="VPU11" s="53"/>
      <c r="VPV11" s="53"/>
      <c r="VPW11" s="53"/>
      <c r="VPX11" s="53"/>
      <c r="VPY11" s="53"/>
      <c r="VPZ11" s="53"/>
      <c r="VQA11" s="53"/>
      <c r="VQB11" s="53"/>
      <c r="VQC11" s="53"/>
      <c r="VQD11" s="53"/>
      <c r="VQE11" s="53"/>
      <c r="VQF11" s="53"/>
      <c r="VQG11" s="53"/>
      <c r="VQH11" s="53"/>
      <c r="VQI11" s="53"/>
      <c r="VQJ11" s="53"/>
      <c r="VQK11" s="53"/>
      <c r="VQL11" s="53"/>
      <c r="VQM11" s="53"/>
      <c r="VQN11" s="53"/>
      <c r="VQO11" s="53"/>
      <c r="VQP11" s="53"/>
      <c r="VQQ11" s="53"/>
      <c r="VQR11" s="53"/>
      <c r="VQS11" s="53"/>
      <c r="VQT11" s="53"/>
      <c r="VQU11" s="53"/>
      <c r="VQV11" s="53"/>
      <c r="VQW11" s="53"/>
      <c r="VQX11" s="53"/>
      <c r="VQY11" s="53"/>
      <c r="VQZ11" s="53"/>
      <c r="VRA11" s="53"/>
      <c r="VRB11" s="53"/>
      <c r="VRC11" s="53"/>
      <c r="VRD11" s="53"/>
      <c r="VRE11" s="53"/>
      <c r="VRF11" s="53"/>
      <c r="VRG11" s="53"/>
      <c r="VRH11" s="53"/>
      <c r="VRI11" s="53"/>
      <c r="VRJ11" s="53"/>
      <c r="VRK11" s="53"/>
      <c r="VRL11" s="53"/>
      <c r="VRM11" s="53"/>
      <c r="VRN11" s="53"/>
      <c r="VRO11" s="53"/>
      <c r="VRP11" s="53"/>
      <c r="VRQ11" s="53"/>
      <c r="VRR11" s="53"/>
      <c r="VRS11" s="53"/>
      <c r="VRT11" s="53"/>
      <c r="VRU11" s="53"/>
      <c r="VRV11" s="53"/>
      <c r="VRW11" s="53"/>
      <c r="VRX11" s="53"/>
      <c r="VRY11" s="53"/>
      <c r="VRZ11" s="53"/>
      <c r="VSA11" s="53"/>
      <c r="VSB11" s="53"/>
      <c r="VSC11" s="53"/>
      <c r="VSD11" s="53"/>
      <c r="VSE11" s="53"/>
      <c r="VSF11" s="53"/>
      <c r="VSG11" s="53"/>
      <c r="VSH11" s="53"/>
      <c r="VSI11" s="53"/>
      <c r="VSJ11" s="53"/>
      <c r="VSK11" s="53"/>
      <c r="VSL11" s="53"/>
      <c r="VSM11" s="53"/>
      <c r="VSN11" s="53"/>
      <c r="VSO11" s="53"/>
      <c r="VSP11" s="53"/>
      <c r="VSQ11" s="53"/>
      <c r="VSR11" s="53"/>
      <c r="VSS11" s="53"/>
      <c r="VST11" s="53"/>
      <c r="VSU11" s="53"/>
      <c r="VSV11" s="53"/>
      <c r="VSW11" s="53"/>
      <c r="VSX11" s="53"/>
      <c r="VSY11" s="53"/>
      <c r="VSZ11" s="53"/>
      <c r="VTA11" s="53"/>
      <c r="VTB11" s="53"/>
      <c r="VTC11" s="53"/>
      <c r="VTD11" s="53"/>
      <c r="VTE11" s="53"/>
      <c r="VTF11" s="53"/>
      <c r="VTG11" s="53"/>
      <c r="VTH11" s="53"/>
      <c r="VTI11" s="53"/>
      <c r="VTJ11" s="53"/>
      <c r="VTK11" s="53"/>
      <c r="VTL11" s="53"/>
      <c r="VTM11" s="53"/>
      <c r="VTN11" s="53"/>
      <c r="VTO11" s="53"/>
      <c r="VTP11" s="53"/>
      <c r="VTQ11" s="53"/>
      <c r="VTR11" s="53"/>
      <c r="VTS11" s="53"/>
      <c r="VTT11" s="53"/>
      <c r="VTU11" s="53"/>
      <c r="VTV11" s="53"/>
      <c r="VTW11" s="53"/>
      <c r="VTX11" s="53"/>
      <c r="VTY11" s="53"/>
      <c r="VTZ11" s="53"/>
      <c r="VUA11" s="53"/>
      <c r="VUB11" s="53"/>
      <c r="VUC11" s="53"/>
      <c r="VUD11" s="53"/>
      <c r="VUE11" s="53"/>
      <c r="VUF11" s="53"/>
      <c r="VUG11" s="53"/>
      <c r="VUH11" s="53"/>
      <c r="VUI11" s="53"/>
      <c r="VUJ11" s="53"/>
      <c r="VUK11" s="53"/>
      <c r="VUL11" s="53"/>
      <c r="VUM11" s="53"/>
      <c r="VUN11" s="53"/>
      <c r="VUO11" s="53"/>
      <c r="VUP11" s="53"/>
      <c r="VUQ11" s="53"/>
      <c r="VUR11" s="53"/>
      <c r="VUS11" s="53"/>
      <c r="VUT11" s="53"/>
      <c r="VUU11" s="53"/>
      <c r="VUV11" s="53"/>
      <c r="VUW11" s="53"/>
      <c r="VUX11" s="53"/>
      <c r="VUY11" s="53"/>
      <c r="VUZ11" s="53"/>
      <c r="VVA11" s="53"/>
      <c r="VVB11" s="53"/>
      <c r="VVC11" s="53"/>
      <c r="VVD11" s="53"/>
      <c r="VVE11" s="53"/>
      <c r="VVF11" s="53"/>
      <c r="VVG11" s="53"/>
      <c r="VVH11" s="53"/>
      <c r="VVI11" s="53"/>
      <c r="VVJ11" s="53"/>
      <c r="VVK11" s="53"/>
      <c r="VVL11" s="53"/>
      <c r="VVM11" s="53"/>
      <c r="VVN11" s="53"/>
      <c r="VVO11" s="53"/>
      <c r="VVP11" s="53"/>
      <c r="VVQ11" s="53"/>
      <c r="VVR11" s="53"/>
      <c r="VVS11" s="53"/>
      <c r="VVT11" s="53"/>
      <c r="VVU11" s="53"/>
      <c r="VVV11" s="53"/>
      <c r="VVW11" s="53"/>
      <c r="VVX11" s="53"/>
      <c r="VVY11" s="53"/>
      <c r="VVZ11" s="53"/>
      <c r="VWA11" s="53"/>
      <c r="VWB11" s="53"/>
      <c r="VWC11" s="53"/>
      <c r="VWD11" s="53"/>
      <c r="VWE11" s="53"/>
      <c r="VWF11" s="53"/>
      <c r="VWG11" s="53"/>
      <c r="VWH11" s="53"/>
      <c r="VWI11" s="53"/>
      <c r="VWJ11" s="53"/>
      <c r="VWK11" s="53"/>
      <c r="VWL11" s="53"/>
      <c r="VWM11" s="53"/>
      <c r="VWN11" s="53"/>
      <c r="VWO11" s="53"/>
      <c r="VWP11" s="53"/>
      <c r="VWQ11" s="53"/>
      <c r="VWR11" s="53"/>
      <c r="VWS11" s="53"/>
      <c r="VWT11" s="53"/>
      <c r="VWU11" s="53"/>
      <c r="VWV11" s="53"/>
      <c r="VWW11" s="53"/>
      <c r="VWX11" s="53"/>
      <c r="VWY11" s="53"/>
      <c r="VWZ11" s="53"/>
      <c r="VXA11" s="53"/>
      <c r="VXB11" s="53"/>
      <c r="VXC11" s="53"/>
      <c r="VXD11" s="53"/>
      <c r="VXE11" s="53"/>
      <c r="VXF11" s="53"/>
      <c r="VXG11" s="53"/>
      <c r="VXH11" s="53"/>
      <c r="VXI11" s="53"/>
      <c r="VXJ11" s="53"/>
      <c r="VXK11" s="53"/>
      <c r="VXL11" s="53"/>
      <c r="VXM11" s="53"/>
      <c r="VXN11" s="53"/>
      <c r="VXO11" s="53"/>
      <c r="VXP11" s="53"/>
      <c r="VXQ11" s="53"/>
      <c r="VXR11" s="53"/>
      <c r="VXS11" s="53"/>
      <c r="VXT11" s="53"/>
      <c r="VXU11" s="53"/>
      <c r="VXV11" s="53"/>
      <c r="VXW11" s="53"/>
      <c r="VXX11" s="53"/>
      <c r="VXY11" s="53"/>
      <c r="VXZ11" s="53"/>
      <c r="VYA11" s="53"/>
      <c r="VYB11" s="53"/>
      <c r="VYC11" s="53"/>
      <c r="VYD11" s="53"/>
      <c r="VYE11" s="53"/>
      <c r="VYF11" s="53"/>
      <c r="VYG11" s="53"/>
      <c r="VYH11" s="53"/>
      <c r="VYI11" s="53"/>
      <c r="VYJ11" s="53"/>
      <c r="VYK11" s="53"/>
      <c r="VYL11" s="53"/>
      <c r="VYM11" s="53"/>
      <c r="VYN11" s="53"/>
      <c r="VYO11" s="53"/>
      <c r="VYP11" s="53"/>
      <c r="VYQ11" s="53"/>
      <c r="VYR11" s="53"/>
      <c r="VYS11" s="53"/>
      <c r="VYT11" s="53"/>
      <c r="VYU11" s="53"/>
      <c r="VYV11" s="53"/>
      <c r="VYW11" s="53"/>
      <c r="VYX11" s="53"/>
      <c r="VYY11" s="53"/>
      <c r="VYZ11" s="53"/>
      <c r="VZA11" s="53"/>
      <c r="VZB11" s="53"/>
      <c r="VZC11" s="53"/>
      <c r="VZD11" s="53"/>
      <c r="VZE11" s="53"/>
      <c r="VZF11" s="53"/>
      <c r="VZG11" s="53"/>
      <c r="VZH11" s="53"/>
      <c r="VZI11" s="53"/>
      <c r="VZJ11" s="53"/>
      <c r="VZK11" s="53"/>
      <c r="VZL11" s="53"/>
      <c r="VZM11" s="53"/>
      <c r="VZN11" s="53"/>
      <c r="VZO11" s="53"/>
      <c r="VZP11" s="53"/>
      <c r="VZQ11" s="53"/>
      <c r="VZR11" s="53"/>
      <c r="VZS11" s="53"/>
      <c r="VZT11" s="53"/>
      <c r="VZU11" s="53"/>
      <c r="VZV11" s="53"/>
      <c r="VZW11" s="53"/>
      <c r="VZX11" s="53"/>
      <c r="VZY11" s="53"/>
      <c r="VZZ11" s="53"/>
      <c r="WAA11" s="53"/>
      <c r="WAB11" s="53"/>
      <c r="WAC11" s="53"/>
      <c r="WAD11" s="53"/>
      <c r="WAE11" s="53"/>
      <c r="WAF11" s="53"/>
      <c r="WAG11" s="53"/>
      <c r="WAH11" s="53"/>
      <c r="WAI11" s="53"/>
      <c r="WAJ11" s="53"/>
      <c r="WAK11" s="53"/>
      <c r="WAL11" s="53"/>
      <c r="WAM11" s="53"/>
      <c r="WAN11" s="53"/>
      <c r="WAO11" s="53"/>
      <c r="WAP11" s="53"/>
      <c r="WAQ11" s="53"/>
      <c r="WAR11" s="53"/>
      <c r="WAS11" s="53"/>
      <c r="WAT11" s="53"/>
      <c r="WAU11" s="53"/>
      <c r="WAV11" s="53"/>
      <c r="WAW11" s="53"/>
      <c r="WAX11" s="53"/>
      <c r="WAY11" s="53"/>
      <c r="WAZ11" s="53"/>
      <c r="WBA11" s="53"/>
      <c r="WBB11" s="53"/>
      <c r="WBC11" s="53"/>
      <c r="WBD11" s="53"/>
      <c r="WBE11" s="53"/>
      <c r="WBF11" s="53"/>
      <c r="WBG11" s="53"/>
      <c r="WBH11" s="53"/>
      <c r="WBI11" s="53"/>
      <c r="WBJ11" s="53"/>
      <c r="WBK11" s="53"/>
      <c r="WBL11" s="53"/>
      <c r="WBM11" s="53"/>
      <c r="WBN11" s="53"/>
      <c r="WBO11" s="53"/>
      <c r="WBP11" s="53"/>
      <c r="WBQ11" s="53"/>
      <c r="WBR11" s="53"/>
      <c r="WBS11" s="53"/>
      <c r="WBT11" s="53"/>
      <c r="WBU11" s="53"/>
      <c r="WBV11" s="53"/>
      <c r="WBW11" s="53"/>
      <c r="WBX11" s="53"/>
      <c r="WBY11" s="53"/>
      <c r="WBZ11" s="53"/>
      <c r="WCA11" s="53"/>
      <c r="WCB11" s="53"/>
      <c r="WCC11" s="53"/>
      <c r="WCD11" s="53"/>
      <c r="WCE11" s="53"/>
      <c r="WCF11" s="53"/>
      <c r="WCG11" s="53"/>
      <c r="WCH11" s="53"/>
      <c r="WCI11" s="53"/>
      <c r="WCJ11" s="53"/>
      <c r="WCK11" s="53"/>
      <c r="WCL11" s="53"/>
      <c r="WCM11" s="53"/>
      <c r="WCN11" s="53"/>
      <c r="WCO11" s="53"/>
      <c r="WCP11" s="53"/>
      <c r="WCQ11" s="53"/>
      <c r="WCR11" s="53"/>
      <c r="WCS11" s="53"/>
      <c r="WCT11" s="53"/>
      <c r="WCU11" s="53"/>
      <c r="WCV11" s="53"/>
      <c r="WCW11" s="53"/>
      <c r="WCX11" s="53"/>
      <c r="WCY11" s="53"/>
      <c r="WCZ11" s="53"/>
      <c r="WDA11" s="53"/>
      <c r="WDB11" s="53"/>
      <c r="WDC11" s="53"/>
      <c r="WDD11" s="53"/>
      <c r="WDE11" s="53"/>
      <c r="WDF11" s="53"/>
      <c r="WDG11" s="53"/>
      <c r="WDH11" s="53"/>
      <c r="WDI11" s="53"/>
      <c r="WDJ11" s="53"/>
      <c r="WDK11" s="53"/>
      <c r="WDL11" s="53"/>
      <c r="WDM11" s="53"/>
      <c r="WDN11" s="53"/>
      <c r="WDO11" s="53"/>
      <c r="WDP11" s="53"/>
      <c r="WDQ11" s="53"/>
      <c r="WDR11" s="53"/>
      <c r="WDS11" s="53"/>
      <c r="WDT11" s="53"/>
      <c r="WDU11" s="53"/>
      <c r="WDV11" s="53"/>
      <c r="WDW11" s="53"/>
      <c r="WDX11" s="53"/>
      <c r="WDY11" s="53"/>
      <c r="WDZ11" s="53"/>
      <c r="WEA11" s="53"/>
      <c r="WEB11" s="53"/>
      <c r="WEC11" s="53"/>
      <c r="WED11" s="53"/>
      <c r="WEE11" s="53"/>
      <c r="WEF11" s="53"/>
      <c r="WEG11" s="53"/>
      <c r="WEH11" s="53"/>
      <c r="WEI11" s="53"/>
      <c r="WEJ11" s="53"/>
      <c r="WEK11" s="53"/>
      <c r="WEL11" s="53"/>
      <c r="WEM11" s="53"/>
      <c r="WEN11" s="53"/>
      <c r="WEO11" s="53"/>
      <c r="WEP11" s="53"/>
      <c r="WEQ11" s="53"/>
      <c r="WER11" s="53"/>
      <c r="WES11" s="53"/>
      <c r="WET11" s="53"/>
      <c r="WEU11" s="53"/>
      <c r="WEV11" s="53"/>
      <c r="WEW11" s="53"/>
      <c r="WEX11" s="53"/>
      <c r="WEY11" s="53"/>
      <c r="WEZ11" s="53"/>
      <c r="WFA11" s="53"/>
      <c r="WFB11" s="53"/>
      <c r="WFC11" s="53"/>
      <c r="WFD11" s="53"/>
      <c r="WFE11" s="53"/>
      <c r="WFF11" s="53"/>
      <c r="WFG11" s="53"/>
      <c r="WFH11" s="53"/>
      <c r="WFI11" s="53"/>
      <c r="WFJ11" s="53"/>
      <c r="WFK11" s="53"/>
      <c r="WFL11" s="53"/>
      <c r="WFM11" s="53"/>
      <c r="WFN11" s="53"/>
      <c r="WFO11" s="53"/>
      <c r="WFP11" s="53"/>
      <c r="WFQ11" s="53"/>
      <c r="WFR11" s="53"/>
      <c r="WFS11" s="53"/>
      <c r="WFT11" s="53"/>
      <c r="WFU11" s="53"/>
      <c r="WFV11" s="53"/>
      <c r="WFW11" s="53"/>
      <c r="WFX11" s="53"/>
      <c r="WFY11" s="53"/>
      <c r="WFZ11" s="53"/>
      <c r="WGA11" s="53"/>
      <c r="WGB11" s="53"/>
      <c r="WGC11" s="53"/>
      <c r="WGD11" s="53"/>
      <c r="WGE11" s="53"/>
      <c r="WGF11" s="53"/>
      <c r="WGG11" s="53"/>
      <c r="WGH11" s="53"/>
      <c r="WGI11" s="53"/>
      <c r="WGJ11" s="53"/>
      <c r="WGK11" s="53"/>
      <c r="WGL11" s="53"/>
      <c r="WGM11" s="53"/>
      <c r="WGN11" s="53"/>
      <c r="WGO11" s="53"/>
      <c r="WGP11" s="53"/>
      <c r="WGQ11" s="53"/>
      <c r="WGR11" s="53"/>
      <c r="WGS11" s="53"/>
      <c r="WGT11" s="53"/>
      <c r="WGU11" s="53"/>
      <c r="WGV11" s="53"/>
      <c r="WGW11" s="53"/>
      <c r="WGX11" s="53"/>
      <c r="WGY11" s="53"/>
      <c r="WGZ11" s="53"/>
      <c r="WHA11" s="53"/>
      <c r="WHB11" s="53"/>
      <c r="WHC11" s="53"/>
      <c r="WHD11" s="53"/>
      <c r="WHE11" s="53"/>
      <c r="WHF11" s="53"/>
      <c r="WHG11" s="53"/>
      <c r="WHH11" s="53"/>
      <c r="WHI11" s="53"/>
      <c r="WHJ11" s="53"/>
      <c r="WHK11" s="53"/>
      <c r="WHL11" s="53"/>
      <c r="WHM11" s="53"/>
      <c r="WHN11" s="53"/>
      <c r="WHO11" s="53"/>
      <c r="WHP11" s="53"/>
      <c r="WHQ11" s="53"/>
      <c r="WHR11" s="53"/>
      <c r="WHS11" s="53"/>
      <c r="WHT11" s="53"/>
      <c r="WHU11" s="53"/>
      <c r="WHV11" s="53"/>
      <c r="WHW11" s="53"/>
      <c r="WHX11" s="53"/>
      <c r="WHY11" s="53"/>
      <c r="WHZ11" s="53"/>
      <c r="WIA11" s="53"/>
      <c r="WIB11" s="53"/>
      <c r="WIC11" s="53"/>
      <c r="WID11" s="53"/>
      <c r="WIE11" s="53"/>
      <c r="WIF11" s="53"/>
      <c r="WIG11" s="53"/>
      <c r="WIH11" s="53"/>
      <c r="WII11" s="53"/>
      <c r="WIJ11" s="53"/>
      <c r="WIK11" s="53"/>
      <c r="WIL11" s="53"/>
      <c r="WIM11" s="53"/>
      <c r="WIN11" s="53"/>
      <c r="WIO11" s="53"/>
      <c r="WIP11" s="53"/>
      <c r="WIQ11" s="53"/>
      <c r="WIR11" s="53"/>
      <c r="WIS11" s="53"/>
      <c r="WIT11" s="53"/>
      <c r="WIU11" s="53"/>
      <c r="WIV11" s="53"/>
      <c r="WIW11" s="53"/>
      <c r="WIX11" s="53"/>
      <c r="WIY11" s="53"/>
      <c r="WIZ11" s="53"/>
      <c r="WJA11" s="53"/>
      <c r="WJB11" s="53"/>
      <c r="WJC11" s="53"/>
      <c r="WJD11" s="53"/>
      <c r="WJE11" s="53"/>
      <c r="WJF11" s="53"/>
      <c r="WJG11" s="53"/>
      <c r="WJH11" s="53"/>
      <c r="WJI11" s="53"/>
      <c r="WJJ11" s="53"/>
      <c r="WJK11" s="53"/>
      <c r="WJL11" s="53"/>
      <c r="WJM11" s="53"/>
      <c r="WJN11" s="53"/>
      <c r="WJO11" s="53"/>
      <c r="WJP11" s="53"/>
      <c r="WJQ11" s="53"/>
      <c r="WJR11" s="53"/>
      <c r="WJS11" s="53"/>
      <c r="WJT11" s="53"/>
      <c r="WJU11" s="53"/>
      <c r="WJV11" s="53"/>
      <c r="WJW11" s="53"/>
      <c r="WJX11" s="53"/>
      <c r="WJY11" s="53"/>
      <c r="WJZ11" s="53"/>
      <c r="WKA11" s="53"/>
      <c r="WKB11" s="53"/>
      <c r="WKC11" s="53"/>
      <c r="WKD11" s="53"/>
      <c r="WKE11" s="53"/>
      <c r="WKF11" s="53"/>
      <c r="WKG11" s="53"/>
      <c r="WKH11" s="53"/>
      <c r="WKI11" s="53"/>
      <c r="WKJ11" s="53"/>
      <c r="WKK11" s="53"/>
      <c r="WKL11" s="53"/>
      <c r="WKM11" s="53"/>
      <c r="WKN11" s="53"/>
      <c r="WKO11" s="53"/>
      <c r="WKP11" s="53"/>
      <c r="WKQ11" s="53"/>
      <c r="WKR11" s="53"/>
      <c r="WKS11" s="53"/>
      <c r="WKT11" s="53"/>
      <c r="WKU11" s="53"/>
      <c r="WKV11" s="53"/>
      <c r="WKW11" s="53"/>
      <c r="WKX11" s="53"/>
      <c r="WKY11" s="53"/>
      <c r="WKZ11" s="53"/>
      <c r="WLA11" s="53"/>
      <c r="WLB11" s="53"/>
      <c r="WLC11" s="53"/>
      <c r="WLD11" s="53"/>
      <c r="WLE11" s="53"/>
      <c r="WLF11" s="53"/>
      <c r="WLG11" s="53"/>
      <c r="WLH11" s="53"/>
      <c r="WLI11" s="53"/>
      <c r="WLJ11" s="53"/>
      <c r="WLK11" s="53"/>
      <c r="WLL11" s="53"/>
      <c r="WLM11" s="53"/>
      <c r="WLN11" s="53"/>
      <c r="WLO11" s="53"/>
      <c r="WLP11" s="53"/>
      <c r="WLQ11" s="53"/>
      <c r="WLR11" s="53"/>
      <c r="WLS11" s="53"/>
      <c r="WLT11" s="53"/>
      <c r="WLU11" s="53"/>
      <c r="WLV11" s="53"/>
      <c r="WLW11" s="53"/>
      <c r="WLX11" s="53"/>
      <c r="WLY11" s="53"/>
      <c r="WLZ11" s="53"/>
      <c r="WMA11" s="53"/>
      <c r="WMB11" s="53"/>
      <c r="WMC11" s="53"/>
      <c r="WMD11" s="53"/>
      <c r="WME11" s="53"/>
      <c r="WMF11" s="53"/>
      <c r="WMG11" s="53"/>
      <c r="WMH11" s="53"/>
      <c r="WMI11" s="53"/>
      <c r="WMJ11" s="53"/>
      <c r="WMK11" s="53"/>
      <c r="WML11" s="53"/>
      <c r="WMM11" s="53"/>
      <c r="WMN11" s="53"/>
      <c r="WMO11" s="53"/>
      <c r="WMP11" s="53"/>
      <c r="WMQ11" s="53"/>
      <c r="WMR11" s="53"/>
      <c r="WMS11" s="53"/>
      <c r="WMT11" s="53"/>
      <c r="WMU11" s="53"/>
      <c r="WMV11" s="53"/>
      <c r="WMW11" s="53"/>
      <c r="WMX11" s="53"/>
      <c r="WMY11" s="53"/>
      <c r="WMZ11" s="53"/>
      <c r="WNA11" s="53"/>
      <c r="WNB11" s="53"/>
      <c r="WNC11" s="53"/>
      <c r="WND11" s="53"/>
      <c r="WNE11" s="53"/>
      <c r="WNF11" s="53"/>
      <c r="WNG11" s="53"/>
      <c r="WNH11" s="53"/>
      <c r="WNI11" s="53"/>
      <c r="WNJ11" s="53"/>
      <c r="WNK11" s="53"/>
      <c r="WNL11" s="53"/>
      <c r="WNM11" s="53"/>
      <c r="WNN11" s="53"/>
      <c r="WNO11" s="53"/>
      <c r="WNP11" s="53"/>
      <c r="WNQ11" s="53"/>
      <c r="WNR11" s="53"/>
      <c r="WNS11" s="53"/>
      <c r="WNT11" s="53"/>
      <c r="WNU11" s="53"/>
      <c r="WNV11" s="53"/>
      <c r="WNW11" s="53"/>
      <c r="WNX11" s="53"/>
      <c r="WNY11" s="53"/>
      <c r="WNZ11" s="53"/>
      <c r="WOA11" s="53"/>
      <c r="WOB11" s="53"/>
      <c r="WOC11" s="53"/>
      <c r="WOD11" s="53"/>
      <c r="WOE11" s="53"/>
      <c r="WOF11" s="53"/>
      <c r="WOG11" s="53"/>
      <c r="WOH11" s="53"/>
      <c r="WOI11" s="53"/>
      <c r="WOJ11" s="53"/>
      <c r="WOK11" s="53"/>
      <c r="WOL11" s="53"/>
      <c r="WOM11" s="53"/>
      <c r="WON11" s="53"/>
      <c r="WOO11" s="53"/>
      <c r="WOP11" s="53"/>
      <c r="WOQ11" s="53"/>
      <c r="WOR11" s="53"/>
      <c r="WOS11" s="53"/>
      <c r="WOT11" s="53"/>
      <c r="WOU11" s="53"/>
      <c r="WOV11" s="53"/>
      <c r="WOW11" s="53"/>
      <c r="WOX11" s="53"/>
      <c r="WOY11" s="53"/>
      <c r="WOZ11" s="53"/>
      <c r="WPA11" s="53"/>
      <c r="WPB11" s="53"/>
      <c r="WPC11" s="53"/>
      <c r="WPD11" s="53"/>
      <c r="WPE11" s="53"/>
      <c r="WPF11" s="53"/>
      <c r="WPG11" s="53"/>
      <c r="WPH11" s="53"/>
      <c r="WPI11" s="53"/>
      <c r="WPJ11" s="53"/>
      <c r="WPK11" s="53"/>
      <c r="WPL11" s="53"/>
      <c r="WPM11" s="53"/>
      <c r="WPN11" s="53"/>
      <c r="WPO11" s="53"/>
      <c r="WPP11" s="53"/>
      <c r="WPQ11" s="53"/>
      <c r="WPR11" s="53"/>
      <c r="WPS11" s="53"/>
      <c r="WPT11" s="53"/>
      <c r="WPU11" s="53"/>
      <c r="WPV11" s="53"/>
      <c r="WPW11" s="53"/>
      <c r="WPX11" s="53"/>
      <c r="WPY11" s="53"/>
      <c r="WPZ11" s="53"/>
      <c r="WQA11" s="53"/>
      <c r="WQB11" s="53"/>
      <c r="WQC11" s="53"/>
      <c r="WQD11" s="53"/>
      <c r="WQE11" s="53"/>
      <c r="WQF11" s="53"/>
      <c r="WQG11" s="53"/>
      <c r="WQH11" s="53"/>
      <c r="WQI11" s="53"/>
      <c r="WQJ11" s="53"/>
      <c r="WQK11" s="53"/>
      <c r="WQL11" s="53"/>
      <c r="WQM11" s="53"/>
      <c r="WQN11" s="53"/>
      <c r="WQO11" s="53"/>
      <c r="WQP11" s="53"/>
      <c r="WQQ11" s="53"/>
      <c r="WQR11" s="53"/>
      <c r="WQS11" s="53"/>
      <c r="WQT11" s="53"/>
      <c r="WQU11" s="53"/>
      <c r="WQV11" s="53"/>
      <c r="WQW11" s="53"/>
      <c r="WQX11" s="53"/>
      <c r="WQY11" s="53"/>
      <c r="WQZ11" s="53"/>
      <c r="WRA11" s="53"/>
      <c r="WRB11" s="53"/>
      <c r="WRC11" s="53"/>
      <c r="WRD11" s="53"/>
      <c r="WRE11" s="53"/>
      <c r="WRF11" s="53"/>
      <c r="WRG11" s="53"/>
      <c r="WRH11" s="53"/>
      <c r="WRI11" s="53"/>
      <c r="WRJ11" s="53"/>
      <c r="WRK11" s="53"/>
      <c r="WRL11" s="53"/>
      <c r="WRM11" s="53"/>
      <c r="WRN11" s="53"/>
      <c r="WRO11" s="53"/>
      <c r="WRP11" s="53"/>
      <c r="WRQ11" s="53"/>
      <c r="WRR11" s="53"/>
      <c r="WRS11" s="53"/>
      <c r="WRT11" s="53"/>
      <c r="WRU11" s="53"/>
      <c r="WRV11" s="53"/>
      <c r="WRW11" s="53"/>
      <c r="WRX11" s="53"/>
      <c r="WRY11" s="53"/>
      <c r="WRZ11" s="53"/>
      <c r="WSA11" s="53"/>
      <c r="WSB11" s="53"/>
      <c r="WSC11" s="53"/>
      <c r="WSD11" s="53"/>
      <c r="WSE11" s="53"/>
      <c r="WSF11" s="53"/>
      <c r="WSG11" s="53"/>
      <c r="WSH11" s="53"/>
      <c r="WSI11" s="53"/>
      <c r="WSJ11" s="53"/>
      <c r="WSK11" s="53"/>
      <c r="WSL11" s="53"/>
      <c r="WSM11" s="53"/>
      <c r="WSN11" s="53"/>
      <c r="WSO11" s="53"/>
      <c r="WSP11" s="53"/>
      <c r="WSQ11" s="53"/>
      <c r="WSR11" s="53"/>
      <c r="WSS11" s="53"/>
      <c r="WST11" s="53"/>
      <c r="WSU11" s="53"/>
      <c r="WSV11" s="53"/>
      <c r="WSW11" s="53"/>
      <c r="WSX11" s="53"/>
      <c r="WSY11" s="53"/>
      <c r="WSZ11" s="53"/>
      <c r="WTA11" s="53"/>
      <c r="WTB11" s="53"/>
      <c r="WTC11" s="53"/>
      <c r="WTD11" s="53"/>
      <c r="WTE11" s="53"/>
      <c r="WTF11" s="53"/>
      <c r="WTG11" s="53"/>
      <c r="WTH11" s="53"/>
      <c r="WTI11" s="53"/>
      <c r="WTJ11" s="53"/>
      <c r="WTK11" s="53"/>
      <c r="WTL11" s="53"/>
      <c r="WTM11" s="53"/>
      <c r="WTN11" s="53"/>
      <c r="WTO11" s="53"/>
      <c r="WTP11" s="53"/>
      <c r="WTQ11" s="53"/>
      <c r="WTR11" s="53"/>
      <c r="WTS11" s="53"/>
      <c r="WTT11" s="53"/>
      <c r="WTU11" s="53"/>
      <c r="WTV11" s="53"/>
      <c r="WTW11" s="53"/>
      <c r="WTX11" s="53"/>
      <c r="WTY11" s="53"/>
      <c r="WTZ11" s="53"/>
      <c r="WUA11" s="53"/>
      <c r="WUB11" s="53"/>
      <c r="WUC11" s="53"/>
      <c r="WUD11" s="53"/>
      <c r="WUE11" s="53"/>
      <c r="WUF11" s="53"/>
      <c r="WUG11" s="53"/>
      <c r="WUH11" s="53"/>
      <c r="WUI11" s="53"/>
      <c r="WUJ11" s="53"/>
      <c r="WUK11" s="53"/>
      <c r="WUL11" s="53"/>
      <c r="WUM11" s="53"/>
      <c r="WUN11" s="53"/>
      <c r="WUO11" s="53"/>
      <c r="WUP11" s="53"/>
      <c r="WUQ11" s="53"/>
      <c r="WUR11" s="53"/>
      <c r="WUS11" s="53"/>
      <c r="WUT11" s="53"/>
      <c r="WUU11" s="53"/>
      <c r="WUV11" s="53"/>
      <c r="WUW11" s="53"/>
      <c r="WUX11" s="53"/>
      <c r="WUY11" s="53"/>
      <c r="WUZ11" s="53"/>
      <c r="WVA11" s="53"/>
      <c r="WVB11" s="53"/>
      <c r="WVC11" s="53"/>
      <c r="WVD11" s="53"/>
      <c r="WVE11" s="53"/>
      <c r="WVF11" s="53"/>
      <c r="WVG11" s="53"/>
      <c r="WVH11" s="53"/>
      <c r="WVI11" s="53"/>
      <c r="WVJ11" s="53"/>
      <c r="WVK11" s="53"/>
      <c r="WVL11" s="53"/>
      <c r="WVM11" s="53"/>
      <c r="WVN11" s="53"/>
      <c r="WVO11" s="53"/>
      <c r="WVP11" s="53"/>
      <c r="WVQ11" s="53"/>
      <c r="WVR11" s="53"/>
      <c r="WVS11" s="53"/>
      <c r="WVT11" s="53"/>
      <c r="WVU11" s="53"/>
      <c r="WVV11" s="53"/>
      <c r="WVW11" s="53"/>
      <c r="WVX11" s="53"/>
      <c r="WVY11" s="53"/>
      <c r="WVZ11" s="53"/>
      <c r="WWA11" s="53"/>
      <c r="WWB11" s="53"/>
      <c r="WWC11" s="53"/>
      <c r="WWD11" s="53"/>
      <c r="WWE11" s="53"/>
      <c r="WWF11" s="53"/>
      <c r="WWG11" s="53"/>
      <c r="WWH11" s="53"/>
      <c r="WWI11" s="53"/>
      <c r="WWJ11" s="53"/>
      <c r="WWK11" s="53"/>
      <c r="WWL11" s="53"/>
      <c r="WWM11" s="53"/>
      <c r="WWN11" s="53"/>
      <c r="WWO11" s="53"/>
      <c r="WWP11" s="53"/>
      <c r="WWQ11" s="53"/>
      <c r="WWR11" s="53"/>
      <c r="WWS11" s="53"/>
      <c r="WWT11" s="53"/>
      <c r="WWU11" s="53"/>
      <c r="WWV11" s="53"/>
      <c r="WWW11" s="53"/>
      <c r="WWX11" s="53"/>
      <c r="WWY11" s="53"/>
      <c r="WWZ11" s="53"/>
      <c r="WXA11" s="53"/>
      <c r="WXB11" s="53"/>
      <c r="WXC11" s="53"/>
      <c r="WXD11" s="53"/>
      <c r="WXE11" s="53"/>
      <c r="WXF11" s="53"/>
      <c r="WXG11" s="53"/>
      <c r="WXH11" s="53"/>
      <c r="WXI11" s="53"/>
      <c r="WXJ11" s="53"/>
      <c r="WXK11" s="53"/>
      <c r="WXL11" s="53"/>
      <c r="WXM11" s="53"/>
      <c r="WXN11" s="53"/>
      <c r="WXO11" s="53"/>
      <c r="WXP11" s="53"/>
      <c r="WXQ11" s="53"/>
      <c r="WXR11" s="53"/>
      <c r="WXS11" s="53"/>
      <c r="WXT11" s="53"/>
      <c r="WXU11" s="53"/>
      <c r="WXV11" s="53"/>
      <c r="WXW11" s="53"/>
      <c r="WXX11" s="53"/>
      <c r="WXY11" s="53"/>
      <c r="WXZ11" s="53"/>
      <c r="WYA11" s="53"/>
      <c r="WYB11" s="53"/>
      <c r="WYC11" s="53"/>
      <c r="WYD11" s="53"/>
      <c r="WYE11" s="53"/>
      <c r="WYF11" s="53"/>
      <c r="WYG11" s="53"/>
      <c r="WYH11" s="53"/>
      <c r="WYI11" s="53"/>
      <c r="WYJ11" s="53"/>
      <c r="WYK11" s="53"/>
      <c r="WYL11" s="53"/>
      <c r="WYM11" s="53"/>
      <c r="WYN11" s="53"/>
      <c r="WYO11" s="53"/>
      <c r="WYP11" s="53"/>
      <c r="WYQ11" s="53"/>
      <c r="WYR11" s="53"/>
      <c r="WYS11" s="53"/>
      <c r="WYT11" s="53"/>
      <c r="WYU11" s="53"/>
      <c r="WYV11" s="53"/>
      <c r="WYW11" s="53"/>
      <c r="WYX11" s="53"/>
      <c r="WYY11" s="53"/>
      <c r="WYZ11" s="53"/>
      <c r="WZA11" s="53"/>
      <c r="WZB11" s="53"/>
      <c r="WZC11" s="53"/>
      <c r="WZD11" s="53"/>
      <c r="WZE11" s="53"/>
      <c r="WZF11" s="53"/>
      <c r="WZG11" s="53"/>
      <c r="WZH11" s="53"/>
      <c r="WZI11" s="53"/>
      <c r="WZJ11" s="53"/>
      <c r="WZK11" s="53"/>
      <c r="WZL11" s="53"/>
      <c r="WZM11" s="53"/>
      <c r="WZN11" s="53"/>
      <c r="WZO11" s="53"/>
      <c r="WZP11" s="53"/>
      <c r="WZQ11" s="53"/>
      <c r="WZR11" s="53"/>
      <c r="WZS11" s="53"/>
      <c r="WZT11" s="53"/>
      <c r="WZU11" s="53"/>
      <c r="WZV11" s="53"/>
      <c r="WZW11" s="53"/>
      <c r="WZX11" s="53"/>
      <c r="WZY11" s="53"/>
      <c r="WZZ11" s="53"/>
      <c r="XAA11" s="53"/>
      <c r="XAB11" s="53"/>
      <c r="XAC11" s="53"/>
      <c r="XAD11" s="53"/>
      <c r="XAE11" s="53"/>
      <c r="XAF11" s="53"/>
      <c r="XAG11" s="53"/>
      <c r="XAH11" s="53"/>
      <c r="XAI11" s="53"/>
      <c r="XAJ11" s="53"/>
      <c r="XAK11" s="53"/>
      <c r="XAL11" s="53"/>
      <c r="XAM11" s="53"/>
      <c r="XAN11" s="53"/>
      <c r="XAO11" s="53"/>
      <c r="XAP11" s="53"/>
      <c r="XAQ11" s="53"/>
      <c r="XAR11" s="53"/>
      <c r="XAS11" s="53"/>
      <c r="XAT11" s="53"/>
      <c r="XAU11" s="53"/>
      <c r="XAV11" s="53"/>
      <c r="XAW11" s="53"/>
      <c r="XAX11" s="53"/>
      <c r="XAY11" s="53"/>
      <c r="XAZ11" s="53"/>
      <c r="XBA11" s="53"/>
      <c r="XBB11" s="53"/>
      <c r="XBC11" s="53"/>
      <c r="XBD11" s="53"/>
      <c r="XBE11" s="53"/>
      <c r="XBF11" s="53"/>
      <c r="XBG11" s="53"/>
      <c r="XBH11" s="53"/>
      <c r="XBI11" s="53"/>
      <c r="XBJ11" s="53"/>
      <c r="XBK11" s="53"/>
      <c r="XBL11" s="53"/>
      <c r="XBM11" s="53"/>
      <c r="XBN11" s="53"/>
      <c r="XBO11" s="53"/>
      <c r="XBP11" s="53"/>
      <c r="XBQ11" s="53"/>
      <c r="XBR11" s="53"/>
      <c r="XBS11" s="53"/>
      <c r="XBT11" s="53"/>
      <c r="XBU11" s="53"/>
      <c r="XBV11" s="53"/>
      <c r="XBW11" s="53"/>
      <c r="XBX11" s="53"/>
      <c r="XBY11" s="53"/>
      <c r="XBZ11" s="53"/>
      <c r="XCA11" s="53"/>
      <c r="XCB11" s="53"/>
      <c r="XCC11" s="53"/>
      <c r="XCD11" s="53"/>
      <c r="XCE11" s="53"/>
      <c r="XCF11" s="53"/>
      <c r="XCG11" s="53"/>
      <c r="XCH11" s="53"/>
      <c r="XCI11" s="53"/>
      <c r="XCJ11" s="53"/>
      <c r="XCK11" s="53"/>
      <c r="XCL11" s="53"/>
      <c r="XCM11" s="53"/>
      <c r="XCN11" s="53"/>
      <c r="XCO11" s="53"/>
      <c r="XCP11" s="53"/>
      <c r="XCQ11" s="53"/>
      <c r="XCR11" s="53"/>
      <c r="XCS11" s="53"/>
      <c r="XCT11" s="53"/>
      <c r="XCU11" s="53"/>
      <c r="XCV11" s="53"/>
      <c r="XCW11" s="53"/>
      <c r="XCX11" s="53"/>
      <c r="XCY11" s="53"/>
      <c r="XCZ11" s="53"/>
      <c r="XDA11" s="53"/>
      <c r="XDB11" s="53"/>
      <c r="XDC11" s="53"/>
      <c r="XDD11" s="53"/>
      <c r="XDE11" s="53"/>
      <c r="XDF11" s="53"/>
      <c r="XDG11" s="53"/>
      <c r="XDH11" s="53"/>
      <c r="XDI11" s="53"/>
      <c r="XDJ11" s="53"/>
      <c r="XDK11" s="53"/>
      <c r="XDL11" s="53"/>
      <c r="XDM11" s="53"/>
      <c r="XDN11" s="53"/>
      <c r="XDO11" s="53"/>
      <c r="XDP11" s="53"/>
      <c r="XDQ11" s="53"/>
      <c r="XDR11" s="53"/>
      <c r="XDS11" s="53"/>
      <c r="XDT11" s="53"/>
      <c r="XDU11" s="53"/>
      <c r="XDV11" s="53"/>
      <c r="XDW11" s="53"/>
      <c r="XDX11" s="53"/>
      <c r="XDY11" s="53"/>
      <c r="XDZ11" s="53"/>
      <c r="XEA11" s="53"/>
      <c r="XEB11" s="53"/>
      <c r="XEC11" s="53"/>
      <c r="XED11" s="53"/>
      <c r="XEE11" s="53"/>
      <c r="XEF11" s="53"/>
      <c r="XEG11" s="53"/>
      <c r="XEH11" s="53"/>
      <c r="XEI11" s="53"/>
      <c r="XEJ11" s="53"/>
      <c r="XEK11" s="53"/>
      <c r="XEL11" s="53"/>
      <c r="XEM11" s="53"/>
      <c r="XEN11" s="53"/>
      <c r="XEO11" s="53"/>
      <c r="XEP11" s="53"/>
      <c r="XEQ11" s="53"/>
      <c r="XER11" s="53"/>
      <c r="XES11" s="53"/>
      <c r="XET11" s="53"/>
      <c r="XEU11" s="53"/>
      <c r="XEV11" s="53"/>
      <c r="XEW11" s="53"/>
      <c r="XEX11" s="53"/>
      <c r="XEY11" s="53"/>
      <c r="XEZ11" s="53"/>
      <c r="XFA11" s="53"/>
      <c r="XFB11" s="53"/>
      <c r="XFC11" s="53"/>
      <c r="XFD11" s="53"/>
    </row>
    <row r="12" spans="2:16384" ht="24.75" customHeight="1" x14ac:dyDescent="0.25">
      <c r="B12" s="53" t="s">
        <v>116</v>
      </c>
      <c r="C12" s="334" t="s">
        <v>122</v>
      </c>
      <c r="D12" s="335"/>
      <c r="E12" s="346">
        <v>44378</v>
      </c>
      <c r="F12" s="347"/>
      <c r="G12" s="347"/>
      <c r="H12" s="347"/>
      <c r="I12" s="348"/>
      <c r="P12" s="205">
        <v>80000</v>
      </c>
      <c r="Q12" s="205">
        <v>35000</v>
      </c>
    </row>
    <row r="13" spans="2:16384" ht="9.75" customHeight="1" x14ac:dyDescent="0.25">
      <c r="B13" s="53"/>
      <c r="C13" s="55"/>
      <c r="D13" s="55"/>
      <c r="E13" s="57"/>
      <c r="F13" s="57"/>
      <c r="G13" s="57"/>
      <c r="H13" s="57"/>
      <c r="I13" s="57"/>
      <c r="P13" s="205">
        <v>90000</v>
      </c>
      <c r="Q13" s="205">
        <v>40000</v>
      </c>
    </row>
    <row r="14" spans="2:16384" ht="36" customHeight="1" x14ac:dyDescent="0.25">
      <c r="B14" s="53" t="s">
        <v>82</v>
      </c>
      <c r="C14" s="330" t="s">
        <v>94</v>
      </c>
      <c r="D14" s="330"/>
      <c r="E14" s="349">
        <v>200000</v>
      </c>
      <c r="F14" s="350"/>
      <c r="G14" s="350"/>
      <c r="H14" s="350"/>
      <c r="I14" s="351"/>
      <c r="P14" s="205">
        <v>100000</v>
      </c>
      <c r="Q14" s="205">
        <v>45000</v>
      </c>
    </row>
    <row r="15" spans="2:16384" ht="9.75" customHeight="1" x14ac:dyDescent="0.25">
      <c r="B15" s="53"/>
      <c r="C15" s="58"/>
      <c r="D15" s="58"/>
      <c r="E15" s="59"/>
      <c r="F15" s="59"/>
      <c r="G15" s="59"/>
      <c r="H15" s="59"/>
      <c r="I15" s="59"/>
      <c r="P15" s="205">
        <v>110000</v>
      </c>
      <c r="Q15" s="205">
        <v>50000</v>
      </c>
    </row>
    <row r="16" spans="2:16384" ht="37.5" customHeight="1" x14ac:dyDescent="0.25">
      <c r="B16" s="53" t="s">
        <v>117</v>
      </c>
      <c r="C16" s="330" t="s">
        <v>155</v>
      </c>
      <c r="D16" s="330"/>
      <c r="E16" s="331" t="s">
        <v>161</v>
      </c>
      <c r="F16" s="332"/>
      <c r="G16" s="332"/>
      <c r="H16" s="332"/>
      <c r="I16" s="333"/>
      <c r="P16" s="205">
        <v>120000</v>
      </c>
      <c r="Q16" s="205">
        <v>55000</v>
      </c>
    </row>
    <row r="17" spans="2:17" ht="12.75" customHeight="1" x14ac:dyDescent="0.25">
      <c r="B17" s="53"/>
      <c r="C17" s="253"/>
      <c r="D17" s="253"/>
      <c r="E17" s="59"/>
      <c r="F17" s="59"/>
      <c r="G17" s="59"/>
      <c r="H17" s="59"/>
      <c r="I17" s="59"/>
      <c r="P17" s="205">
        <v>130000</v>
      </c>
      <c r="Q17" s="205">
        <v>60000</v>
      </c>
    </row>
    <row r="18" spans="2:17" ht="36" customHeight="1" x14ac:dyDescent="0.25">
      <c r="B18" s="53" t="s">
        <v>156</v>
      </c>
      <c r="C18" s="330" t="s">
        <v>95</v>
      </c>
      <c r="D18" s="330"/>
      <c r="E18" s="352">
        <f>IF(E16="EXCLUIDA",0,IF($E$14="SUMA ASEGURADA MUERTE ACCIDENTAL","SUMA ASEGURADA PARA PÉRDIDAS ORGÁNICAS",$E$14))</f>
        <v>200000</v>
      </c>
      <c r="F18" s="353"/>
      <c r="G18" s="353"/>
      <c r="H18" s="353"/>
      <c r="I18" s="354"/>
      <c r="P18" s="205">
        <v>140000</v>
      </c>
      <c r="Q18" s="205">
        <v>100000</v>
      </c>
    </row>
    <row r="19" spans="2:17" ht="9.75" customHeight="1" x14ac:dyDescent="0.25">
      <c r="B19" s="53"/>
      <c r="C19" s="58"/>
      <c r="D19" s="58"/>
      <c r="E19" s="59"/>
      <c r="F19" s="56"/>
      <c r="G19" s="56"/>
      <c r="H19" s="56"/>
      <c r="I19" s="56"/>
      <c r="P19" s="205">
        <v>150000</v>
      </c>
      <c r="Q19" s="205"/>
    </row>
    <row r="20" spans="2:17" ht="46.5" customHeight="1" x14ac:dyDescent="0.25">
      <c r="B20" s="53" t="s">
        <v>118</v>
      </c>
      <c r="C20" s="330" t="str">
        <f>IF(Presentación!$F$21="S.A. INVALIDA","LA SUMA ASEGURADA DE LA COBERTURA DE REEMBOLSO DE G.M. NO DEBE SER MAYOR AL 50% DE LA S.A. DE LA COBERTURA DE MUERTE ACCIDENTAL","*Especifique la Suma Asegurada para Cobertura de Reembolso de Gastos Médicos por Accidente")</f>
        <v>*Especifique la Suma Asegurada para Cobertura de Reembolso de Gastos Médicos por Accidente</v>
      </c>
      <c r="D20" s="330"/>
      <c r="E20" s="349">
        <v>25000</v>
      </c>
      <c r="F20" s="350"/>
      <c r="G20" s="350"/>
      <c r="H20" s="350"/>
      <c r="I20" s="351"/>
      <c r="P20" s="205">
        <v>160000</v>
      </c>
    </row>
    <row r="21" spans="2:17" ht="9.75" customHeight="1" x14ac:dyDescent="0.25">
      <c r="B21" s="53"/>
      <c r="C21" s="58"/>
      <c r="D21" s="58"/>
      <c r="E21" s="56"/>
      <c r="F21" s="56"/>
      <c r="G21" s="56"/>
      <c r="H21" s="56"/>
      <c r="I21" s="56"/>
      <c r="P21" s="205">
        <v>170000</v>
      </c>
    </row>
    <row r="22" spans="2:17" ht="36" customHeight="1" x14ac:dyDescent="0.25">
      <c r="B22" s="53" t="s">
        <v>119</v>
      </c>
      <c r="C22" s="330" t="s">
        <v>96</v>
      </c>
      <c r="D22" s="330"/>
      <c r="E22" s="355">
        <v>100</v>
      </c>
      <c r="F22" s="356"/>
      <c r="G22" s="356"/>
      <c r="H22" s="356"/>
      <c r="I22" s="357"/>
      <c r="P22" s="205">
        <v>180000</v>
      </c>
    </row>
    <row r="23" spans="2:17" ht="9.75" customHeight="1" x14ac:dyDescent="0.25">
      <c r="B23" s="53"/>
      <c r="C23" s="55"/>
      <c r="D23" s="55"/>
      <c r="E23" s="60"/>
      <c r="F23" s="60"/>
      <c r="G23" s="60"/>
      <c r="H23" s="60"/>
      <c r="I23" s="60"/>
      <c r="P23" s="205">
        <v>190000</v>
      </c>
    </row>
    <row r="24" spans="2:17" ht="24.75" customHeight="1" x14ac:dyDescent="0.25">
      <c r="B24" s="53" t="s">
        <v>157</v>
      </c>
      <c r="C24" s="334" t="s">
        <v>97</v>
      </c>
      <c r="D24" s="334"/>
      <c r="E24" s="343">
        <v>211</v>
      </c>
      <c r="F24" s="344"/>
      <c r="G24" s="344"/>
      <c r="H24" s="344"/>
      <c r="I24" s="345"/>
      <c r="P24" s="205">
        <v>200000</v>
      </c>
    </row>
    <row r="25" spans="2:17" ht="9.75" customHeight="1" x14ac:dyDescent="0.25">
      <c r="B25" s="53"/>
      <c r="C25" s="55"/>
      <c r="D25" s="55"/>
      <c r="E25" s="56"/>
      <c r="F25" s="56"/>
      <c r="G25" s="56"/>
      <c r="H25" s="56"/>
      <c r="I25" s="56"/>
      <c r="P25" s="205"/>
    </row>
    <row r="26" spans="2:17" ht="24.75" customHeight="1" x14ac:dyDescent="0.25">
      <c r="B26" s="53" t="s">
        <v>120</v>
      </c>
      <c r="C26" s="334" t="s">
        <v>98</v>
      </c>
      <c r="D26" s="334"/>
      <c r="E26" s="343" t="s">
        <v>143</v>
      </c>
      <c r="F26" s="344"/>
      <c r="G26" s="344"/>
      <c r="H26" s="344"/>
      <c r="I26" s="345"/>
    </row>
    <row r="27" spans="2:17" ht="9.75" customHeight="1" x14ac:dyDescent="0.25">
      <c r="D27" s="38"/>
      <c r="E27" s="38"/>
    </row>
    <row r="28" spans="2:17" ht="37.5" hidden="1" customHeight="1" x14ac:dyDescent="0.25">
      <c r="B28" s="53" t="s">
        <v>120</v>
      </c>
      <c r="C28" s="330" t="s">
        <v>110</v>
      </c>
      <c r="D28" s="358"/>
      <c r="E28" s="343" t="s">
        <v>140</v>
      </c>
      <c r="F28" s="344"/>
      <c r="G28" s="344"/>
      <c r="H28" s="344"/>
      <c r="I28" s="345"/>
    </row>
    <row r="29" spans="2:17" ht="13.5" customHeight="1" thickBot="1" x14ac:dyDescent="0.3">
      <c r="B29" s="53"/>
      <c r="C29" s="230"/>
      <c r="D29" s="232"/>
      <c r="E29" s="233"/>
      <c r="F29" s="243"/>
      <c r="G29" s="243"/>
      <c r="H29" s="243"/>
      <c r="I29" s="243"/>
    </row>
    <row r="30" spans="2:17" ht="19.5" hidden="1" customHeight="1" thickBot="1" x14ac:dyDescent="0.35">
      <c r="B30" s="53" t="s">
        <v>149</v>
      </c>
      <c r="C30" s="234" t="s">
        <v>144</v>
      </c>
      <c r="D30" s="235" t="s">
        <v>147</v>
      </c>
      <c r="E30" s="236" t="s">
        <v>148</v>
      </c>
      <c r="F30" s="243"/>
      <c r="G30" s="243"/>
      <c r="H30" s="243"/>
      <c r="I30" s="243"/>
    </row>
    <row r="31" spans="2:17" ht="15.5" hidden="1" x14ac:dyDescent="0.25">
      <c r="B31" s="53"/>
      <c r="C31" s="240" t="s">
        <v>145</v>
      </c>
      <c r="D31" s="244">
        <v>0.2</v>
      </c>
      <c r="E31" s="237">
        <v>0</v>
      </c>
      <c r="F31" s="243"/>
      <c r="G31" s="243"/>
      <c r="H31" s="243"/>
      <c r="I31" s="243"/>
    </row>
    <row r="32" spans="2:17" ht="16" hidden="1" thickBot="1" x14ac:dyDescent="0.3">
      <c r="B32" s="53"/>
      <c r="C32" s="241" t="s">
        <v>146</v>
      </c>
      <c r="D32" s="246">
        <v>0.1</v>
      </c>
      <c r="E32" s="238"/>
      <c r="F32" s="243"/>
      <c r="G32" s="243"/>
      <c r="H32" s="243"/>
      <c r="I32" s="243"/>
    </row>
    <row r="33" spans="1:10" ht="16" thickBot="1" x14ac:dyDescent="0.35">
      <c r="B33" s="53" t="s">
        <v>149</v>
      </c>
      <c r="C33" s="234" t="s">
        <v>144</v>
      </c>
      <c r="D33" s="236" t="s">
        <v>147</v>
      </c>
      <c r="E33" s="257"/>
      <c r="F33" s="243"/>
      <c r="G33" s="243"/>
      <c r="H33" s="243"/>
      <c r="I33" s="243"/>
    </row>
    <row r="34" spans="1:10" ht="15.5" x14ac:dyDescent="0.25">
      <c r="B34" s="53"/>
      <c r="C34" s="258" t="s">
        <v>145</v>
      </c>
      <c r="D34" s="259">
        <v>0.2</v>
      </c>
      <c r="E34" s="257"/>
      <c r="F34" s="243"/>
      <c r="G34" s="243"/>
      <c r="H34" s="243"/>
      <c r="I34" s="243"/>
    </row>
    <row r="35" spans="1:10" ht="16" thickBot="1" x14ac:dyDescent="0.3">
      <c r="B35" s="53"/>
      <c r="C35" s="260" t="s">
        <v>33</v>
      </c>
      <c r="D35" s="261" t="s">
        <v>34</v>
      </c>
      <c r="E35" s="257"/>
      <c r="F35" s="243"/>
      <c r="G35" s="243"/>
      <c r="H35" s="243"/>
      <c r="I35" s="243"/>
    </row>
    <row r="36" spans="1:10" ht="12.75" customHeight="1" thickBot="1" x14ac:dyDescent="0.3">
      <c r="B36" s="263">
        <f>IF(D35="SI",10%,0%)</f>
        <v>0.1</v>
      </c>
    </row>
    <row r="37" spans="1:10" ht="43.5" customHeight="1" thickBot="1" x14ac:dyDescent="0.3">
      <c r="B37" s="53"/>
      <c r="C37" s="340" t="str">
        <f>IF(Calculo!O13=1,"*DATOS REQUERIDOS PARA GENERAR PROPUESTA",IF(C20="LA SUMA ASEGURADA DE LA COBERTURA DE REEMBOLSO DE G.M. NO DEBE SER MAYOR AL 50% DE LA S.A. DE LA COBERTURA DE MUERTE ACCIDENTAL","LA S.A. DE REEMBOLSO DE G.M. POR ACCIDENTE NO ES VALIDA","LA PROPUESTA ESTA LISTA PARA SU IMPRESION EN PDF"))</f>
        <v>LA PROPUESTA ESTA LISTA PARA SU IMPRESION EN PDF</v>
      </c>
      <c r="D37" s="341"/>
      <c r="E37" s="341"/>
      <c r="F37" s="341"/>
      <c r="G37" s="341"/>
      <c r="H37" s="341"/>
      <c r="I37" s="342"/>
    </row>
    <row r="38" spans="1:10" ht="13" x14ac:dyDescent="0.25">
      <c r="B38" s="53"/>
    </row>
    <row r="39" spans="1:10" ht="26.25" customHeight="1" x14ac:dyDescent="0.25">
      <c r="B39" s="53"/>
      <c r="C39" s="148"/>
      <c r="D39" s="148"/>
      <c r="E39" s="148"/>
      <c r="F39" s="148"/>
      <c r="G39" s="148"/>
      <c r="H39" s="148"/>
      <c r="I39" s="148"/>
    </row>
    <row r="40" spans="1:10" ht="39.75" customHeight="1" x14ac:dyDescent="0.25">
      <c r="A40" s="61"/>
      <c r="B40" s="61"/>
      <c r="C40" s="61"/>
      <c r="D40" s="62"/>
      <c r="E40" s="62"/>
      <c r="F40" s="61"/>
      <c r="G40" s="61"/>
      <c r="H40" s="61"/>
      <c r="I40" s="61"/>
      <c r="J40" s="61"/>
    </row>
    <row r="41" spans="1:10" hidden="1" x14ac:dyDescent="0.25"/>
    <row r="42" spans="1:10" hidden="1" x14ac:dyDescent="0.25"/>
    <row r="43" spans="1:10" x14ac:dyDescent="0.25"/>
    <row r="44" spans="1:10" x14ac:dyDescent="0.25"/>
    <row r="45" spans="1:10" hidden="1" x14ac:dyDescent="0.25"/>
  </sheetData>
  <sheetProtection algorithmName="SHA-512" hashValue="k9zBBI7oqCkN82quHq6AN2bsvHESXzZ/B69OgpqJ6TiQBknqqfs7jvM9HhU4Iw5ZhW/j5rzHKPPTV848ZBM6ow==" saltValue="jb+CJbuMGjqSU3rLVFbd4g==" spinCount="100000" sheet="1" objects="1" scenarios="1" selectLockedCells="1"/>
  <mergeCells count="26">
    <mergeCell ref="C37:I37"/>
    <mergeCell ref="E6:I6"/>
    <mergeCell ref="E12:I12"/>
    <mergeCell ref="E14:I14"/>
    <mergeCell ref="E18:I18"/>
    <mergeCell ref="E20:I20"/>
    <mergeCell ref="C22:D22"/>
    <mergeCell ref="C24:D24"/>
    <mergeCell ref="C26:D26"/>
    <mergeCell ref="E22:I22"/>
    <mergeCell ref="E24:I24"/>
    <mergeCell ref="E26:I26"/>
    <mergeCell ref="C28:D28"/>
    <mergeCell ref="E28:I28"/>
    <mergeCell ref="C20:D20"/>
    <mergeCell ref="C18:D18"/>
    <mergeCell ref="B4:I4"/>
    <mergeCell ref="C8:D8"/>
    <mergeCell ref="E8:I8"/>
    <mergeCell ref="C10:D10"/>
    <mergeCell ref="E10:I10"/>
    <mergeCell ref="C16:D16"/>
    <mergeCell ref="E16:I16"/>
    <mergeCell ref="C14:D14"/>
    <mergeCell ref="C12:D12"/>
    <mergeCell ref="C6:D6"/>
  </mergeCells>
  <conditionalFormatting sqref="E6:I7">
    <cfRule type="containsText" dxfId="15" priority="21" operator="containsText" text="NOMBRE DEL CONTRATANTE">
      <formula>NOT(ISERROR(SEARCH("NOMBRE DEL CONTRATANTE",E6)))</formula>
    </cfRule>
  </conditionalFormatting>
  <conditionalFormatting sqref="B12:I12">
    <cfRule type="expression" dxfId="14" priority="3">
      <formula>$E$10="Ciclo Escolar"</formula>
    </cfRule>
  </conditionalFormatting>
  <conditionalFormatting sqref="E14:I14">
    <cfRule type="containsText" dxfId="13" priority="19" operator="containsText" text="SUMA ASEGURADA MUERTE ACCIDENTAL">
      <formula>NOT(ISERROR(SEARCH("SUMA ASEGURADA MUERTE ACCIDENTAL",E14)))</formula>
    </cfRule>
  </conditionalFormatting>
  <conditionalFormatting sqref="E18:I18">
    <cfRule type="containsText" dxfId="12" priority="18" operator="containsText" text="SUMA ASEGURADA PARA PÉRDIDAS ORGÁNICAS">
      <formula>NOT(ISERROR(SEARCH("SUMA ASEGURADA PARA PÉRDIDAS ORGÁNICAS",E18)))</formula>
    </cfRule>
  </conditionalFormatting>
  <conditionalFormatting sqref="E20:I20">
    <cfRule type="containsText" dxfId="11" priority="17" operator="containsText" text="SUMA ASEGURADA REEMBOLSO DE GASTOS MÉDICOS POR ACCIDENTE">
      <formula>NOT(ISERROR(SEARCH("SUMA ASEGURADA REEMBOLSO DE GASTOS MÉDICOS POR ACCIDENTE",E20)))</formula>
    </cfRule>
  </conditionalFormatting>
  <conditionalFormatting sqref="E24:I24">
    <cfRule type="containsText" dxfId="10" priority="16" operator="containsText" text="NUMERO DE AGENTE">
      <formula>NOT(ISERROR(SEARCH("NUMERO DE AGENTE",E24)))</formula>
    </cfRule>
  </conditionalFormatting>
  <conditionalFormatting sqref="E26:I26 F30:I35">
    <cfRule type="containsText" dxfId="9" priority="15" operator="containsText" text="NOMBRE DEL AGENTE">
      <formula>NOT(ISERROR(SEARCH("NOMBRE DEL AGENTE",E26)))</formula>
    </cfRule>
  </conditionalFormatting>
  <conditionalFormatting sqref="C20:D20">
    <cfRule type="containsText" dxfId="8" priority="11" operator="containsText" text="LA SUMA ASEGURADA DE LA COBERTURA DE REEMBOLSO DE G.M. NO DEBE SER MAYOR AL 50% DE LA S.A. DE LA COBERTURA DE MUERTE ACCIDENTAL">
      <formula>NOT(ISERROR(SEARCH("LA SUMA ASEGURADA DE LA COBERTURA DE REEMBOLSO DE G.M. NO DEBE SER MAYOR AL 50% DE LA S.A. DE LA COBERTURA DE MUERTE ACCIDENTAL",C20)))</formula>
    </cfRule>
  </conditionalFormatting>
  <conditionalFormatting sqref="C39:I39 C37:I37">
    <cfRule type="containsText" dxfId="7" priority="10" operator="containsText" text="LA PROPUESTA ESTA LISTA PARA SU IMPRESION EN PDF">
      <formula>NOT(ISERROR(SEARCH("LA PROPUESTA ESTA LISTA PARA SU IMPRESION EN PDF",C37)))</formula>
    </cfRule>
  </conditionalFormatting>
  <conditionalFormatting sqref="E6:I6">
    <cfRule type="containsBlanks" dxfId="6" priority="9">
      <formula>LEN(TRIM(E6))=0</formula>
    </cfRule>
  </conditionalFormatting>
  <conditionalFormatting sqref="I2">
    <cfRule type="cellIs" dxfId="5" priority="8" operator="equal">
      <formula>0</formula>
    </cfRule>
  </conditionalFormatting>
  <conditionalFormatting sqref="E28:I29">
    <cfRule type="containsText" dxfId="4" priority="7" operator="containsText" text="NOMBRE DEL AGENTE">
      <formula>NOT(ISERROR(SEARCH("NOMBRE DEL AGENTE",E28)))</formula>
    </cfRule>
  </conditionalFormatting>
  <conditionalFormatting sqref="E8:I8">
    <cfRule type="containsText" dxfId="3" priority="6" operator="containsText" text="NUMERO DE ALUMNOS">
      <formula>NOT(ISERROR(SEARCH("NUMERO DE ALUMNOS",E8)))</formula>
    </cfRule>
  </conditionalFormatting>
  <conditionalFormatting sqref="E10:I10">
    <cfRule type="containsText" dxfId="2" priority="5" operator="containsText" text="NUMERO DE ALUMNOS">
      <formula>NOT(ISERROR(SEARCH("NUMERO DE ALUMNOS",E10)))</formula>
    </cfRule>
  </conditionalFormatting>
  <conditionalFormatting sqref="E22:I22">
    <cfRule type="expression" dxfId="1" priority="2">
      <formula>$E$20=0</formula>
    </cfRule>
  </conditionalFormatting>
  <conditionalFormatting sqref="E16:I16">
    <cfRule type="containsText" dxfId="0" priority="1" operator="containsText" text="SUMA ASEGURADA PARA PÉRDIDAS ORGÁNICAS">
      <formula>NOT(ISERROR(SEARCH("SUMA ASEGURADA PARA PÉRDIDAS ORGÁNICAS",E16)))</formula>
    </cfRule>
  </conditionalFormatting>
  <dataValidations xWindow="324" yWindow="381" count="12">
    <dataValidation allowBlank="1" showInputMessage="1" showErrorMessage="1" errorTitle="S.A. REEMBOLSO DE G.M. POR ACC." error="LA SUMA ASEGURADA PARA ESTA COBERTURA NO DEBERA SER MAYOR AL 50% DE LA SUMA ASEGURADA DE LA COBERTURA DE MUERTE ACCIDENTAL." sqref="E21"/>
    <dataValidation type="whole" allowBlank="1" showInputMessage="1" showErrorMessage="1" errorTitle="S.A. MUERTE ACCIDENTAL" error="LA SUMA ASEGURADA DEBERA SER DE ENTRE $10,000 Y HASTA $200,000" sqref="E15:I15 E17:I17">
      <formula1>10000</formula1>
      <formula2>200000</formula2>
    </dataValidation>
    <dataValidation type="whole" allowBlank="1" showInputMessage="1" showErrorMessage="1" errorTitle="NUMERO DE ALUMNOS" error="EL NÚMERO DE PARTICIPANTES DEBE SER ENRE 10 Y 500" sqref="E13:I13">
      <formula1>10</formula1>
      <formula2>500</formula2>
    </dataValidation>
    <dataValidation type="list" allowBlank="1" showInputMessage="1" showErrorMessage="1" sqref="F23:I23">
      <formula1>"100,200,300,400,500,600,700,750,800,900,1000,1500,2000"</formula1>
    </dataValidation>
    <dataValidation type="whole" allowBlank="1" showInputMessage="1" showErrorMessage="1" errorTitle="NUMERO DE ALUMNOS" error="EL NÚMERO DE PARTICIPANTES DEBE SER ENRE 10 Y 999" sqref="E8:I8">
      <formula1>10</formula1>
      <formula2>999</formula2>
    </dataValidation>
    <dataValidation type="whole" operator="greaterThan" allowBlank="1" showInputMessage="1" showErrorMessage="1" errorTitle="NUMERO DE AGENTE" error="LA INFORMACIÓN A INGRESAR DEBE ESTAR COMPUESTA UNICAMENTE POR NUMEROS." sqref="E24:I24">
      <formula1>0</formula1>
    </dataValidation>
    <dataValidation type="list" allowBlank="1" showInputMessage="1" showErrorMessage="1" sqref="E28:I28">
      <formula1>"SI,NO"</formula1>
    </dataValidation>
    <dataValidation type="date" showInputMessage="1" showErrorMessage="1" errorTitle="ERROR" error="Fecha inicial debe ser vigente para el cotizador" prompt="INTRODUZCA DD/MM/AAAA" sqref="E12:I12">
      <formula1>44378</formula1>
      <formula2>44743</formula2>
    </dataValidation>
    <dataValidation type="list" allowBlank="1" showInputMessage="1" showErrorMessage="1" sqref="E16:I16">
      <formula1>"A,B,EXCLUIDA"</formula1>
    </dataValidation>
    <dataValidation type="list" allowBlank="1" showInputMessage="1" showErrorMessage="1" errorTitle="S.A. REEMBOLSO DE G.M. POR ACC." error="LA SUMA ASEGURADA INGRESADA NO ES VALIDA, SELECCIONAR LA OPCION DESEADA EN LA LISTA DESPLEGABLE DE ESTE CAMPO." sqref="E20:I20">
      <formula1>$Q$5:$Q$18</formula1>
    </dataValidation>
    <dataValidation type="list" allowBlank="1" showInputMessage="1" showErrorMessage="1" errorTitle="S.A. MUERTE ACCIDENTAL" error="LA SUMA ASEGURADA INGRESADA NO ES VALIDA, SELECCIONAR LA OPCION DESEADA EN LA LISTA DESPLEGABLE DE ESTE CAMPO." sqref="E14:I14">
      <formula1>$P$5:$P$24</formula1>
    </dataValidation>
    <dataValidation type="list" allowBlank="1" showInputMessage="1" showErrorMessage="1" errorTitle="ERROR" error="DE 0% hasta 10%_x000a_" sqref="D35">
      <formula1>"SI,NO"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xWindow="324" yWindow="381" count="7">
        <x14:dataValidation type="list" allowBlank="1" showInputMessage="1" showErrorMessage="1">
          <x14:formula1>
            <xm:f>TAR!$Q$14:$Q$26</xm:f>
          </x14:formula1>
          <xm:sqref>E22:I22</xm:sqref>
        </x14:dataValidation>
        <x14:dataValidation type="list" allowBlank="1" showInputMessage="1" showErrorMessage="1" errorTitle="NUMERO DE ALUMNOS" error="EL NÚMERO DE PARTICIPANTES DEBE SER ENRE 10 Y 999">
          <x14:formula1>
            <xm:f>TAR!$F$4:$F$6</xm:f>
          </x14:formula1>
          <xm:sqref>E10:I10</xm:sqref>
        </x14:dataValidation>
        <x14:dataValidation type="list" allowBlank="1" showInputMessage="1" showErrorMessage="1" errorTitle="S.A. REEMBOLSO DE G.M. POR ACC." error="LA SUMA ASEGURADA PARA ESTA COBERTURA NO DEBERA SER MAYOR AL 50% DE LA SUMA ASEGURADA DE LA COBERTURA DE MUERTE ACCIDENTAL.">
          <x14:formula1>
            <xm:f>Calculo!$N$15:$N$76</xm:f>
          </x14:formula1>
          <xm:sqref>F21:I21</xm:sqref>
        </x14:dataValidation>
        <x14:dataValidation type="list" allowBlank="1" showInputMessage="1" showErrorMessage="1">
          <x14:formula1>
            <xm:f>Calculo!$H$27:$H$37</xm:f>
          </x14:formula1>
          <xm:sqref>E31</xm:sqref>
        </x14:dataValidation>
        <x14:dataValidation type="list" allowBlank="1" showInputMessage="1" showErrorMessage="1" errorTitle="ERROR" error="LA COMISIÓN MAXIMA ES 20%_x000a_">
          <x14:formula1>
            <xm:f>Hoja1!$A$1:$A$21</xm:f>
          </x14:formula1>
          <xm:sqref>D31</xm:sqref>
        </x14:dataValidation>
        <x14:dataValidation type="list" allowBlank="1" showInputMessage="1" showErrorMessage="1" errorTitle="ERROR" error="DE 0% hasta 10%_x000a_">
          <x14:formula1>
            <xm:f>Hoja1!$B$1:$B$11</xm:f>
          </x14:formula1>
          <xm:sqref>D32</xm:sqref>
        </x14:dataValidation>
        <x14:dataValidation type="list" allowBlank="1" showInputMessage="1" showErrorMessage="1">
          <x14:formula1>
            <xm:f>Hoja1!$A$1:$A$21</xm:f>
          </x14:formula1>
          <xm:sqref>D34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
  <sheetViews>
    <sheetView windowProtection="1" workbookViewId="0"/>
  </sheetViews>
  <sheetFormatPr baseColWidth="10" defaultRowHeight="12.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
  <sheetViews>
    <sheetView windowProtection="1" workbookViewId="0"/>
  </sheetViews>
  <sheetFormatPr baseColWidth="10" defaultRowHeight="12.5" x14ac:dyDescent="0.25"/>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
  <sheetViews>
    <sheetView windowProtection="1" workbookViewId="0">
      <selection activeCell="B1" sqref="B1"/>
    </sheetView>
  </sheetViews>
  <sheetFormatPr baseColWidth="10" defaultRowHeight="12.5" x14ac:dyDescent="0.25"/>
  <sheetData>
    <row r="1" spans="1:2" x14ac:dyDescent="0.25">
      <c r="A1" s="245">
        <v>0</v>
      </c>
      <c r="B1" s="245">
        <v>0</v>
      </c>
    </row>
    <row r="2" spans="1:2" x14ac:dyDescent="0.25">
      <c r="A2" s="245">
        <v>0.01</v>
      </c>
      <c r="B2" s="245">
        <v>0.01</v>
      </c>
    </row>
    <row r="3" spans="1:2" x14ac:dyDescent="0.25">
      <c r="A3" s="245">
        <v>0.02</v>
      </c>
      <c r="B3" s="245">
        <v>0.02</v>
      </c>
    </row>
    <row r="4" spans="1:2" x14ac:dyDescent="0.25">
      <c r="A4" s="245">
        <v>0.03</v>
      </c>
      <c r="B4" s="245">
        <v>0.03</v>
      </c>
    </row>
    <row r="5" spans="1:2" x14ac:dyDescent="0.25">
      <c r="A5" s="245">
        <v>0.04</v>
      </c>
      <c r="B5" s="245">
        <v>0.04</v>
      </c>
    </row>
    <row r="6" spans="1:2" x14ac:dyDescent="0.25">
      <c r="A6" s="245">
        <v>0.05</v>
      </c>
      <c r="B6" s="245">
        <v>0.05</v>
      </c>
    </row>
    <row r="7" spans="1:2" x14ac:dyDescent="0.25">
      <c r="A7" s="245">
        <v>0.06</v>
      </c>
      <c r="B7" s="245">
        <v>0.06</v>
      </c>
    </row>
    <row r="8" spans="1:2" x14ac:dyDescent="0.25">
      <c r="A8" s="245">
        <v>7.0000000000000007E-2</v>
      </c>
      <c r="B8" s="245">
        <v>7.0000000000000007E-2</v>
      </c>
    </row>
    <row r="9" spans="1:2" x14ac:dyDescent="0.25">
      <c r="A9" s="245">
        <v>0.08</v>
      </c>
      <c r="B9" s="245">
        <v>0.08</v>
      </c>
    </row>
    <row r="10" spans="1:2" x14ac:dyDescent="0.25">
      <c r="A10" s="245">
        <v>0.09</v>
      </c>
      <c r="B10" s="245">
        <v>0.09</v>
      </c>
    </row>
    <row r="11" spans="1:2" x14ac:dyDescent="0.25">
      <c r="A11" s="245">
        <v>0.1</v>
      </c>
      <c r="B11" s="245">
        <v>0.1</v>
      </c>
    </row>
    <row r="12" spans="1:2" x14ac:dyDescent="0.25">
      <c r="A12" s="245">
        <v>0.11</v>
      </c>
    </row>
    <row r="13" spans="1:2" x14ac:dyDescent="0.25">
      <c r="A13" s="245">
        <v>0.12</v>
      </c>
    </row>
    <row r="14" spans="1:2" x14ac:dyDescent="0.25">
      <c r="A14" s="245">
        <v>0.13</v>
      </c>
    </row>
    <row r="15" spans="1:2" x14ac:dyDescent="0.25">
      <c r="A15" s="245">
        <v>0.14000000000000001</v>
      </c>
    </row>
    <row r="16" spans="1:2" x14ac:dyDescent="0.25">
      <c r="A16" s="245">
        <v>0.15</v>
      </c>
    </row>
    <row r="17" spans="1:1" x14ac:dyDescent="0.25">
      <c r="A17" s="245">
        <v>0.16</v>
      </c>
    </row>
    <row r="18" spans="1:1" x14ac:dyDescent="0.25">
      <c r="A18" s="245">
        <v>0.17</v>
      </c>
    </row>
    <row r="19" spans="1:1" x14ac:dyDescent="0.25">
      <c r="A19" s="245">
        <v>0.18</v>
      </c>
    </row>
    <row r="20" spans="1:1" x14ac:dyDescent="0.25">
      <c r="A20" s="245">
        <v>0.19</v>
      </c>
    </row>
    <row r="21" spans="1:1" x14ac:dyDescent="0.25">
      <c r="A21" s="245">
        <v>0.2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FA4A0300BD9EA43A97510F28A3A1029" ma:contentTypeVersion="11" ma:contentTypeDescription="Create a new document." ma:contentTypeScope="" ma:versionID="7d3ec8e4363e896cf1524a2cb6bcd6de">
  <xsd:schema xmlns:xsd="http://www.w3.org/2001/XMLSchema" xmlns:xs="http://www.w3.org/2001/XMLSchema" xmlns:p="http://schemas.microsoft.com/office/2006/metadata/properties" xmlns:ns3="a124eb5e-16e5-45cb-ab7c-f739cb788207" xmlns:ns4="ed445762-71cc-474f-a71b-e75345d36a40" targetNamespace="http://schemas.microsoft.com/office/2006/metadata/properties" ma:root="true" ma:fieldsID="dfe9ffbaac04abfd74d7617c8871843a" ns3:_="" ns4:_="">
    <xsd:import namespace="a124eb5e-16e5-45cb-ab7c-f739cb788207"/>
    <xsd:import namespace="ed445762-71cc-474f-a71b-e75345d36a40"/>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24eb5e-16e5-45cb-ab7c-f739cb7882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d445762-71cc-474f-a71b-e75345d36a40"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B4214D4-5AD2-4A2F-8BD8-64B020AE19A4}">
  <ds:schemaRefs>
    <ds:schemaRef ds:uri="http://schemas.microsoft.com/office/infopath/2007/PartnerControls"/>
    <ds:schemaRef ds:uri="http://purl.org/dc/dcmitype/"/>
    <ds:schemaRef ds:uri="a124eb5e-16e5-45cb-ab7c-f739cb788207"/>
    <ds:schemaRef ds:uri="http://schemas.microsoft.com/office/2006/documentManagement/types"/>
    <ds:schemaRef ds:uri="http://www.w3.org/XML/1998/namespace"/>
    <ds:schemaRef ds:uri="http://schemas.openxmlformats.org/package/2006/metadata/core-properties"/>
    <ds:schemaRef ds:uri="ed445762-71cc-474f-a71b-e75345d36a40"/>
    <ds:schemaRef ds:uri="http://schemas.microsoft.com/office/2006/metadata/properties"/>
    <ds:schemaRef ds:uri="http://purl.org/dc/terms/"/>
    <ds:schemaRef ds:uri="http://purl.org/dc/elements/1.1/"/>
  </ds:schemaRefs>
</ds:datastoreItem>
</file>

<file path=customXml/itemProps2.xml><?xml version="1.0" encoding="utf-8"?>
<ds:datastoreItem xmlns:ds="http://schemas.openxmlformats.org/officeDocument/2006/customXml" ds:itemID="{F79B77AE-B710-4DC3-9D69-4EA92E0A63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24eb5e-16e5-45cb-ab7c-f739cb788207"/>
    <ds:schemaRef ds:uri="ed445762-71cc-474f-a71b-e75345d36a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FD94A37-F5FC-4170-96F8-921A2DDDFD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7</vt:i4>
      </vt:variant>
    </vt:vector>
  </HeadingPairs>
  <TitlesOfParts>
    <vt:vector size="14" baseType="lpstr">
      <vt:lpstr>TAR</vt:lpstr>
      <vt:lpstr>Calculo</vt:lpstr>
      <vt:lpstr>Presentación</vt:lpstr>
      <vt:lpstr>DATOS</vt:lpstr>
      <vt:lpstr>OT</vt:lpstr>
      <vt:lpstr>Sin</vt:lpstr>
      <vt:lpstr>Hoja1</vt:lpstr>
      <vt:lpstr>Presentación!Área_de_impresión</vt:lpstr>
      <vt:lpstr>GSTS1</vt:lpstr>
      <vt:lpstr>PNETA</vt:lpstr>
      <vt:lpstr>PNMA</vt:lpstr>
      <vt:lpstr>PNPO</vt:lpstr>
      <vt:lpstr>PNRGM</vt:lpstr>
      <vt:lpstr>Presentación!Print_Area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Eduardo Flores Arevalo</dc:creator>
  <cp:lastModifiedBy>JESSICA FARIAS</cp:lastModifiedBy>
  <cp:lastPrinted>2019-06-11T16:02:45Z</cp:lastPrinted>
  <dcterms:created xsi:type="dcterms:W3CDTF">2011-06-20T16:54:35Z</dcterms:created>
  <dcterms:modified xsi:type="dcterms:W3CDTF">2021-08-31T23:44:43Z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0x010100CFA4A0300BD9EA43A97510F28A3A1029</vt:lpwstr>
  </property>
</Properties>
</file>