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showInkAnnotation="0" codeName="ThisWorkbook"/>
  <mc:AlternateContent xmlns:mc="http://schemas.openxmlformats.org/markup-compatibility/2006">
    <mc:Choice Requires="x15">
      <x15ac:absPath xmlns:x15ac="http://schemas.microsoft.com/office/spreadsheetml/2010/11/ac" url="C:\Users\ADMIN\Desktop\GASTOS MEDICOS\"/>
    </mc:Choice>
  </mc:AlternateContent>
  <workbookProtection workbookAlgorithmName="SHA-512" workbookHashValue="RDjPWAEUfWtgKUq/z4u4Ljx3ie2chNMEM3iVL5dPsEw9yrA9Ki5oEp4J0b3z0skzPzKPwdHehUpls2wfVorG0w==" workbookSaltValue="uKnLaRqog2cFPu8NFz+A6w==" workbookSpinCount="100000" lockStructure="1"/>
  <bookViews>
    <workbookView xWindow="0" yWindow="0" windowWidth="19200" windowHeight="6730" tabRatio="617" firstSheet="3" activeTab="3"/>
  </bookViews>
  <sheets>
    <sheet name="IMPRESION AGENTE" sheetId="16" state="hidden" r:id="rId1"/>
    <sheet name="COTIZACION" sheetId="13" state="hidden" r:id="rId2"/>
    <sheet name="FACTORES" sheetId="21" state="hidden" r:id="rId3"/>
    <sheet name="Cotizador" sheetId="18" r:id="rId4"/>
    <sheet name="ACTIVIDADES AMIS" sheetId="23" state="hidden" r:id="rId5"/>
    <sheet name="Instrucciones" sheetId="19" state="hidden" r:id="rId6"/>
    <sheet name="IMPRESION CONTRATANTE" sheetId="25" r:id="rId7"/>
    <sheet name="Profesiones" sheetId="24" state="hidden" r:id="rId8"/>
  </sheets>
  <definedNames>
    <definedName name="_" localSheetId="6">#REF!</definedName>
    <definedName name="_">#REF!</definedName>
    <definedName name="_xlnm._FilterDatabase" localSheetId="1" hidden="1">COTIZACION!$B$4:$G$16</definedName>
    <definedName name="_xlnm._FilterDatabase" localSheetId="7" hidden="1">Profesiones!$A$1:$B$343</definedName>
    <definedName name="_xlnm.Print_Area" localSheetId="3">Cotizador!$A$1:$K$34</definedName>
    <definedName name="_xlnm.Print_Area" localSheetId="0">'IMPRESION AGENTE'!$A$1:$M$56</definedName>
    <definedName name="_xlnm.Print_Area" localSheetId="6">'IMPRESION CONTRATANTE'!$A$1:$M$57</definedName>
    <definedName name="DESPLAZÁNDOSE_CON_MUCHA_FRECUENCIA">'ACTIVIDADES AMIS'!$BE$4:$BE$5</definedName>
    <definedName name="EN_LUGARES_FIJOS">'ACTIVIDADES AMIS'!$BF$4:$BF$10</definedName>
    <definedName name="Lugar">'ACTIVIDADES AMIS'!$BB$3:$BB$4</definedName>
  </definedNames>
  <calcPr calcId="15251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F35" i="16" l="1"/>
  <c r="C58" i="16" s="1"/>
  <c r="D36" i="13" l="1"/>
  <c r="E40" i="25"/>
  <c r="F29" i="25" l="1"/>
  <c r="E29" i="25"/>
  <c r="D29" i="25"/>
  <c r="C29" i="25"/>
  <c r="F28" i="25"/>
  <c r="E28" i="25"/>
  <c r="D28" i="25"/>
  <c r="C28" i="25"/>
  <c r="F27" i="25"/>
  <c r="E27" i="25"/>
  <c r="D27" i="25"/>
  <c r="C27" i="25"/>
  <c r="F26" i="25"/>
  <c r="E26" i="25"/>
  <c r="D26" i="25"/>
  <c r="C26" i="25"/>
  <c r="F25" i="25"/>
  <c r="E25" i="25"/>
  <c r="D25" i="25"/>
  <c r="C25" i="25"/>
  <c r="F24" i="25"/>
  <c r="E24" i="25"/>
  <c r="D24" i="25"/>
  <c r="C24" i="25"/>
  <c r="F23" i="25"/>
  <c r="E23" i="25"/>
  <c r="D23" i="25"/>
  <c r="C23" i="25"/>
  <c r="R18" i="21" l="1"/>
  <c r="R17" i="21"/>
  <c r="R16" i="21"/>
  <c r="R15" i="21"/>
  <c r="R14" i="21"/>
  <c r="R13" i="21"/>
  <c r="R12" i="21"/>
  <c r="R11" i="21"/>
  <c r="R10" i="21"/>
  <c r="R9" i="21"/>
  <c r="R8" i="21"/>
  <c r="R7" i="21"/>
  <c r="R6" i="21"/>
  <c r="R5" i="21"/>
  <c r="R4" i="21"/>
  <c r="R3" i="21"/>
  <c r="R2" i="21"/>
  <c r="B10" i="16" l="1"/>
  <c r="B10" i="25"/>
  <c r="J30" i="25"/>
  <c r="J30" i="16"/>
  <c r="J34" i="16"/>
  <c r="J34" i="25"/>
  <c r="A177" i="25" l="1"/>
  <c r="B43" i="25"/>
  <c r="B42" i="25"/>
  <c r="B41" i="25"/>
  <c r="B40" i="25"/>
  <c r="D37" i="25"/>
  <c r="F22" i="25"/>
  <c r="E22" i="25"/>
  <c r="D22" i="25"/>
  <c r="C22" i="25"/>
  <c r="J16" i="25"/>
  <c r="K16" i="25" s="1"/>
  <c r="J15" i="25"/>
  <c r="K15" i="25" s="1"/>
  <c r="C14" i="25"/>
  <c r="J13" i="25"/>
  <c r="K13" i="25" s="1"/>
  <c r="B9" i="25"/>
  <c r="K6" i="25"/>
  <c r="F34" i="16" l="1"/>
  <c r="E43" i="13"/>
  <c r="C14" i="16" l="1"/>
  <c r="AC2" i="21" l="1"/>
  <c r="AB2" i="21"/>
  <c r="AA2" i="21"/>
  <c r="Z2" i="21"/>
  <c r="I29" i="16"/>
  <c r="I28" i="16"/>
  <c r="I27" i="16"/>
  <c r="I26" i="16"/>
  <c r="I25" i="16"/>
  <c r="I24" i="16"/>
  <c r="I23" i="16"/>
  <c r="I22" i="16"/>
  <c r="F29" i="16"/>
  <c r="E29" i="16"/>
  <c r="D29" i="16"/>
  <c r="C29" i="16"/>
  <c r="B29" i="16"/>
  <c r="G29" i="16" s="1"/>
  <c r="F28" i="16"/>
  <c r="E28" i="16"/>
  <c r="D28" i="16"/>
  <c r="C28" i="16"/>
  <c r="B28" i="16"/>
  <c r="G28" i="16" s="1"/>
  <c r="F27" i="16"/>
  <c r="E27" i="16"/>
  <c r="D27" i="16"/>
  <c r="C27" i="16"/>
  <c r="B27" i="16"/>
  <c r="G27" i="16" s="1"/>
  <c r="F26" i="16"/>
  <c r="E26" i="16"/>
  <c r="D26" i="16"/>
  <c r="C26" i="16"/>
  <c r="B26" i="16"/>
  <c r="G26" i="16" s="1"/>
  <c r="F25" i="16"/>
  <c r="E25" i="16"/>
  <c r="D25" i="16"/>
  <c r="C25" i="16"/>
  <c r="B25" i="16"/>
  <c r="G25" i="16" s="1"/>
  <c r="F24" i="16"/>
  <c r="E24" i="16"/>
  <c r="D24" i="16"/>
  <c r="C24" i="16"/>
  <c r="B24" i="16"/>
  <c r="G24" i="16" s="1"/>
  <c r="F23" i="16"/>
  <c r="E23" i="16"/>
  <c r="D23" i="16"/>
  <c r="C23" i="16"/>
  <c r="B23" i="16"/>
  <c r="G23" i="16" s="1"/>
  <c r="B22" i="16"/>
  <c r="G22" i="16" s="1"/>
  <c r="E8" i="13" l="1"/>
  <c r="H29" i="16"/>
  <c r="H28" i="16"/>
  <c r="H27" i="16"/>
  <c r="H26" i="16"/>
  <c r="H25" i="16"/>
  <c r="H22" i="16"/>
  <c r="H24" i="16"/>
  <c r="H23" i="16"/>
  <c r="J15" i="16"/>
  <c r="B19" i="13"/>
  <c r="F19" i="13" s="1"/>
  <c r="B18" i="13"/>
  <c r="J16" i="16"/>
  <c r="K16" i="16" s="1"/>
  <c r="D37" i="16"/>
  <c r="H24" i="13"/>
  <c r="H27" i="13"/>
  <c r="J14" i="16" l="1"/>
  <c r="J14" i="25"/>
  <c r="K14" i="25" s="1"/>
  <c r="AA5" i="21"/>
  <c r="Z5" i="21"/>
  <c r="AC5" i="21"/>
  <c r="AB5" i="21"/>
  <c r="AB4" i="21"/>
  <c r="AB3" i="21"/>
  <c r="AA4" i="21"/>
  <c r="AA3" i="21"/>
  <c r="Z4" i="21"/>
  <c r="Z3" i="21"/>
  <c r="AC4" i="21"/>
  <c r="Y4" i="21"/>
  <c r="AC3" i="21"/>
  <c r="J29" i="16"/>
  <c r="K29" i="16" s="1"/>
  <c r="L29" i="16" s="1"/>
  <c r="L29" i="25" s="1"/>
  <c r="J28" i="16"/>
  <c r="K28" i="16" s="1"/>
  <c r="L28" i="16" s="1"/>
  <c r="L28" i="25" s="1"/>
  <c r="J27" i="16"/>
  <c r="K27" i="16" s="1"/>
  <c r="L27" i="16" s="1"/>
  <c r="L27" i="25" s="1"/>
  <c r="J26" i="16"/>
  <c r="K26" i="16" s="1"/>
  <c r="L26" i="16" s="1"/>
  <c r="L26" i="25" s="1"/>
  <c r="J25" i="16"/>
  <c r="K25" i="16" s="1"/>
  <c r="L25" i="16" s="1"/>
  <c r="L25" i="25" s="1"/>
  <c r="J24" i="16"/>
  <c r="K24" i="16" s="1"/>
  <c r="L24" i="16" s="1"/>
  <c r="L24" i="25" s="1"/>
  <c r="J23" i="16"/>
  <c r="K23" i="16" s="1"/>
  <c r="L23" i="16" s="1"/>
  <c r="L23" i="25" s="1"/>
  <c r="F22" i="16"/>
  <c r="E22" i="16"/>
  <c r="D22" i="16"/>
  <c r="C22" i="16"/>
  <c r="J22" i="16"/>
  <c r="K22" i="16" s="1"/>
  <c r="J13" i="16"/>
  <c r="K13" i="16" s="1"/>
  <c r="V7" i="21"/>
  <c r="W7" i="21" l="1"/>
  <c r="X7" i="21" s="1"/>
  <c r="Y7" i="21" l="1"/>
  <c r="H25" i="13"/>
  <c r="H26" i="13"/>
  <c r="Z7" i="21" l="1"/>
  <c r="B366" i="21"/>
  <c r="E19" i="21"/>
  <c r="F19" i="21" s="1"/>
  <c r="E18" i="21"/>
  <c r="F18" i="21" s="1"/>
  <c r="E17" i="21"/>
  <c r="F17" i="21" s="1"/>
  <c r="E16" i="21"/>
  <c r="F16" i="21" s="1"/>
  <c r="E15" i="21"/>
  <c r="F15" i="21" s="1"/>
  <c r="E14" i="21"/>
  <c r="F14" i="21" s="1"/>
  <c r="E13" i="21"/>
  <c r="F13" i="21" s="1"/>
  <c r="E12" i="21"/>
  <c r="F12" i="21" s="1"/>
  <c r="E11" i="21"/>
  <c r="F11" i="21" s="1"/>
  <c r="E10" i="21"/>
  <c r="F10" i="21" s="1"/>
  <c r="E9" i="21"/>
  <c r="F9" i="21" s="1"/>
  <c r="E8" i="21"/>
  <c r="F8" i="21" s="1"/>
  <c r="E7" i="21"/>
  <c r="F7" i="21" s="1"/>
  <c r="E6" i="21"/>
  <c r="F6" i="21" s="1"/>
  <c r="E5" i="21"/>
  <c r="F5" i="21" s="1"/>
  <c r="E4" i="21"/>
  <c r="F4" i="21" s="1"/>
  <c r="E3" i="21"/>
  <c r="F3" i="21" s="1"/>
  <c r="E2" i="21"/>
  <c r="F2" i="21" s="1"/>
  <c r="A4" i="21"/>
  <c r="A5" i="21" s="1"/>
  <c r="A6" i="21" s="1"/>
  <c r="A7" i="21" s="1"/>
  <c r="A8" i="21" s="1"/>
  <c r="A9" i="21" s="1"/>
  <c r="A10" i="21" s="1"/>
  <c r="A11" i="21" s="1"/>
  <c r="A12" i="21" s="1"/>
  <c r="A13" i="21" s="1"/>
  <c r="A14" i="21" s="1"/>
  <c r="A15" i="21" s="1"/>
  <c r="A16" i="21" s="1"/>
  <c r="A17" i="21" s="1"/>
  <c r="A18" i="21" s="1"/>
  <c r="A19" i="21" s="1"/>
  <c r="A20" i="21" s="1"/>
  <c r="A21" i="21" s="1"/>
  <c r="A22" i="21" s="1"/>
  <c r="A23" i="21" s="1"/>
  <c r="A24" i="21" s="1"/>
  <c r="A25" i="21" s="1"/>
  <c r="A26" i="21" s="1"/>
  <c r="A27" i="21" s="1"/>
  <c r="A28" i="21" s="1"/>
  <c r="A29" i="21" s="1"/>
  <c r="A30" i="21" s="1"/>
  <c r="A31" i="21" s="1"/>
  <c r="A32" i="21" s="1"/>
  <c r="A33" i="21" s="1"/>
  <c r="A34" i="21" s="1"/>
  <c r="A35" i="21" s="1"/>
  <c r="A36" i="21" s="1"/>
  <c r="A37" i="21" s="1"/>
  <c r="A38" i="21" s="1"/>
  <c r="A39" i="21" s="1"/>
  <c r="A40" i="21" s="1"/>
  <c r="A41" i="21" s="1"/>
  <c r="A42" i="21" s="1"/>
  <c r="A43" i="21" s="1"/>
  <c r="A44" i="21" s="1"/>
  <c r="A45" i="21" s="1"/>
  <c r="A46" i="21" s="1"/>
  <c r="A47" i="21" s="1"/>
  <c r="A48" i="21" s="1"/>
  <c r="A49" i="21" s="1"/>
  <c r="A50" i="21" s="1"/>
  <c r="A51" i="21" s="1"/>
  <c r="A52" i="21" s="1"/>
  <c r="A53" i="21" s="1"/>
  <c r="A54" i="21" s="1"/>
  <c r="A55" i="21" s="1"/>
  <c r="A56" i="21" s="1"/>
  <c r="A57" i="21" s="1"/>
  <c r="A58" i="21" s="1"/>
  <c r="A59" i="21" s="1"/>
  <c r="A60" i="21" s="1"/>
  <c r="A61" i="21" s="1"/>
  <c r="A62" i="21" s="1"/>
  <c r="A63" i="21" s="1"/>
  <c r="A64" i="21" s="1"/>
  <c r="A65" i="21" s="1"/>
  <c r="A66" i="21" s="1"/>
  <c r="A67" i="21" s="1"/>
  <c r="A68" i="21" s="1"/>
  <c r="A69" i="21" s="1"/>
  <c r="A70" i="21" s="1"/>
  <c r="A71" i="21" s="1"/>
  <c r="A72" i="21" s="1"/>
  <c r="A73" i="21" s="1"/>
  <c r="A74" i="21" s="1"/>
  <c r="A75" i="21" s="1"/>
  <c r="A76" i="21" s="1"/>
  <c r="A77" i="21" s="1"/>
  <c r="A78" i="21" s="1"/>
  <c r="A79" i="21" s="1"/>
  <c r="A80" i="21" s="1"/>
  <c r="A81" i="21" s="1"/>
  <c r="A82" i="21" s="1"/>
  <c r="A83" i="21" s="1"/>
  <c r="A84" i="21" s="1"/>
  <c r="A85" i="21" s="1"/>
  <c r="A86" i="21" s="1"/>
  <c r="A87" i="21" s="1"/>
  <c r="A88" i="21" s="1"/>
  <c r="A89" i="21" s="1"/>
  <c r="A90" i="21" s="1"/>
  <c r="A91" i="21" s="1"/>
  <c r="A92" i="21" s="1"/>
  <c r="A93" i="21" s="1"/>
  <c r="A94" i="21" s="1"/>
  <c r="A95" i="21" s="1"/>
  <c r="A96" i="21" s="1"/>
  <c r="A97" i="21" s="1"/>
  <c r="A98" i="21" s="1"/>
  <c r="A99" i="21" s="1"/>
  <c r="A100" i="21" s="1"/>
  <c r="A101" i="21" s="1"/>
  <c r="A102" i="21" s="1"/>
  <c r="A103" i="21" s="1"/>
  <c r="A104" i="21" s="1"/>
  <c r="A105" i="21" s="1"/>
  <c r="A106" i="21" s="1"/>
  <c r="A107" i="21" s="1"/>
  <c r="A108" i="21" s="1"/>
  <c r="A109" i="21" s="1"/>
  <c r="A110" i="21" s="1"/>
  <c r="A111" i="21" s="1"/>
  <c r="A112" i="21" s="1"/>
  <c r="A113" i="21" s="1"/>
  <c r="A114" i="21" s="1"/>
  <c r="A115" i="21" s="1"/>
  <c r="A116" i="21" s="1"/>
  <c r="A117" i="21" s="1"/>
  <c r="A118" i="21" s="1"/>
  <c r="A119" i="21" s="1"/>
  <c r="A120" i="21" s="1"/>
  <c r="A121" i="21" s="1"/>
  <c r="A122" i="21" s="1"/>
  <c r="A123" i="21" s="1"/>
  <c r="A124" i="21" s="1"/>
  <c r="A125" i="21" s="1"/>
  <c r="A126" i="21" s="1"/>
  <c r="A127" i="21" s="1"/>
  <c r="A128" i="21" s="1"/>
  <c r="A129" i="21" s="1"/>
  <c r="A130" i="21" s="1"/>
  <c r="A131" i="21" s="1"/>
  <c r="A132" i="21" s="1"/>
  <c r="A133" i="21" s="1"/>
  <c r="A134" i="21" s="1"/>
  <c r="A135" i="21" s="1"/>
  <c r="A136" i="21" s="1"/>
  <c r="A137" i="21" s="1"/>
  <c r="A138" i="21" s="1"/>
  <c r="A139" i="21" s="1"/>
  <c r="A140" i="21" s="1"/>
  <c r="A141" i="21" s="1"/>
  <c r="A142" i="21" s="1"/>
  <c r="A143" i="21" s="1"/>
  <c r="A144" i="21" s="1"/>
  <c r="A145" i="21" s="1"/>
  <c r="A146" i="21" s="1"/>
  <c r="A147" i="21" s="1"/>
  <c r="A148" i="21" s="1"/>
  <c r="A149" i="21" s="1"/>
  <c r="A150" i="21" s="1"/>
  <c r="A151" i="21" s="1"/>
  <c r="A152" i="21" s="1"/>
  <c r="A153" i="21" s="1"/>
  <c r="A154" i="21" s="1"/>
  <c r="A155" i="21" s="1"/>
  <c r="A156" i="21" s="1"/>
  <c r="A157" i="21" s="1"/>
  <c r="A158" i="21" s="1"/>
  <c r="A159" i="21" s="1"/>
  <c r="A160" i="21" s="1"/>
  <c r="A161" i="21" s="1"/>
  <c r="A162" i="21" s="1"/>
  <c r="A163" i="21" s="1"/>
  <c r="A164" i="21" s="1"/>
  <c r="A165" i="21" s="1"/>
  <c r="A166" i="21" s="1"/>
  <c r="A167" i="21" s="1"/>
  <c r="A168" i="21" s="1"/>
  <c r="A169" i="21" s="1"/>
  <c r="A170" i="21" s="1"/>
  <c r="A171" i="21" s="1"/>
  <c r="A172" i="21" s="1"/>
  <c r="A173" i="21" s="1"/>
  <c r="A174" i="21" s="1"/>
  <c r="A175" i="21" s="1"/>
  <c r="A176" i="21" s="1"/>
  <c r="A177" i="21" s="1"/>
  <c r="A178" i="21" s="1"/>
  <c r="A179" i="21" s="1"/>
  <c r="A180" i="21" s="1"/>
  <c r="A181" i="21" s="1"/>
  <c r="A182" i="21" s="1"/>
  <c r="A183" i="21" s="1"/>
  <c r="A184" i="21" s="1"/>
  <c r="A185" i="21" s="1"/>
  <c r="A186" i="21" s="1"/>
  <c r="A187" i="21" s="1"/>
  <c r="A188" i="21" s="1"/>
  <c r="A189" i="21" s="1"/>
  <c r="A190" i="21" s="1"/>
  <c r="A191" i="21" s="1"/>
  <c r="A192" i="21" s="1"/>
  <c r="A193" i="21" s="1"/>
  <c r="A194" i="21" s="1"/>
  <c r="A195" i="21" s="1"/>
  <c r="A196" i="21" s="1"/>
  <c r="A197" i="21" s="1"/>
  <c r="A198" i="21" s="1"/>
  <c r="A199" i="21" s="1"/>
  <c r="A200" i="21" s="1"/>
  <c r="A201" i="21" s="1"/>
  <c r="A202" i="21" s="1"/>
  <c r="A203" i="21" s="1"/>
  <c r="A204" i="21" s="1"/>
  <c r="A205" i="21" s="1"/>
  <c r="A206" i="21" s="1"/>
  <c r="A207" i="21" s="1"/>
  <c r="A208" i="21" s="1"/>
  <c r="A209" i="21" s="1"/>
  <c r="A210" i="21" s="1"/>
  <c r="A211" i="21" s="1"/>
  <c r="A212" i="21" s="1"/>
  <c r="A213" i="21" s="1"/>
  <c r="A214" i="21" s="1"/>
  <c r="A215" i="21" s="1"/>
  <c r="A216" i="21" s="1"/>
  <c r="A217" i="21" s="1"/>
  <c r="A218" i="21" s="1"/>
  <c r="A219" i="21" s="1"/>
  <c r="A220" i="21" s="1"/>
  <c r="A221" i="21" s="1"/>
  <c r="A222" i="21" s="1"/>
  <c r="A223" i="21" s="1"/>
  <c r="A224" i="21" s="1"/>
  <c r="A225" i="21" s="1"/>
  <c r="A226" i="21" s="1"/>
  <c r="A227" i="21" s="1"/>
  <c r="A228" i="21" s="1"/>
  <c r="A229" i="21" s="1"/>
  <c r="A230" i="21" s="1"/>
  <c r="A231" i="21" s="1"/>
  <c r="A232" i="21" s="1"/>
  <c r="A233" i="21" s="1"/>
  <c r="A234" i="21" s="1"/>
  <c r="A235" i="21" s="1"/>
  <c r="A236" i="21" s="1"/>
  <c r="A237" i="21" s="1"/>
  <c r="A238" i="21" s="1"/>
  <c r="A239" i="21" s="1"/>
  <c r="A240" i="21" s="1"/>
  <c r="A241" i="21" s="1"/>
  <c r="A242" i="21" s="1"/>
  <c r="A243" i="21" s="1"/>
  <c r="A244" i="21" s="1"/>
  <c r="A245" i="21" s="1"/>
  <c r="A246" i="21" s="1"/>
  <c r="A247" i="21" s="1"/>
  <c r="A248" i="21" s="1"/>
  <c r="A249" i="21" s="1"/>
  <c r="A250" i="21" s="1"/>
  <c r="A251" i="21" s="1"/>
  <c r="A252" i="21" s="1"/>
  <c r="A253" i="21" s="1"/>
  <c r="A254" i="21" s="1"/>
  <c r="A255" i="21" s="1"/>
  <c r="A256" i="21" s="1"/>
  <c r="A257" i="21" s="1"/>
  <c r="A258" i="21" s="1"/>
  <c r="A259" i="21" s="1"/>
  <c r="A260" i="21" s="1"/>
  <c r="A261" i="21" s="1"/>
  <c r="A262" i="21" s="1"/>
  <c r="A263" i="21" s="1"/>
  <c r="A264" i="21" s="1"/>
  <c r="A265" i="21" s="1"/>
  <c r="A266" i="21" s="1"/>
  <c r="A267" i="21" s="1"/>
  <c r="A268" i="21" s="1"/>
  <c r="A269" i="21" s="1"/>
  <c r="A270" i="21" s="1"/>
  <c r="A271" i="21" s="1"/>
  <c r="A272" i="21" s="1"/>
  <c r="A273" i="21" s="1"/>
  <c r="A274" i="21" s="1"/>
  <c r="A275" i="21" s="1"/>
  <c r="A276" i="21" s="1"/>
  <c r="A277" i="21" s="1"/>
  <c r="A278" i="21" s="1"/>
  <c r="A279" i="21" s="1"/>
  <c r="A280" i="21" s="1"/>
  <c r="A281" i="21" s="1"/>
  <c r="A282" i="21" s="1"/>
  <c r="A283" i="21" s="1"/>
  <c r="A284" i="21" s="1"/>
  <c r="A285" i="21" s="1"/>
  <c r="A286" i="21" s="1"/>
  <c r="A287" i="21" s="1"/>
  <c r="A288" i="21" s="1"/>
  <c r="A289" i="21" s="1"/>
  <c r="A290" i="21" s="1"/>
  <c r="A291" i="21" s="1"/>
  <c r="A292" i="21" s="1"/>
  <c r="A293" i="21" s="1"/>
  <c r="A294" i="21" s="1"/>
  <c r="A295" i="21" s="1"/>
  <c r="A296" i="21" s="1"/>
  <c r="A297" i="21" s="1"/>
  <c r="A298" i="21" s="1"/>
  <c r="A299" i="21" s="1"/>
  <c r="A300" i="21" s="1"/>
  <c r="A301" i="21" s="1"/>
  <c r="A302" i="21" s="1"/>
  <c r="A303" i="21" s="1"/>
  <c r="A304" i="21" s="1"/>
  <c r="A305" i="21" s="1"/>
  <c r="A306" i="21" s="1"/>
  <c r="A307" i="21" s="1"/>
  <c r="A308" i="21" s="1"/>
  <c r="A309" i="21" s="1"/>
  <c r="A310" i="21" s="1"/>
  <c r="A311" i="21" s="1"/>
  <c r="A312" i="21" s="1"/>
  <c r="A313" i="21" s="1"/>
  <c r="A314" i="21" s="1"/>
  <c r="A315" i="21" s="1"/>
  <c r="A316" i="21" s="1"/>
  <c r="A317" i="21" s="1"/>
  <c r="A318" i="21" s="1"/>
  <c r="A319" i="21" s="1"/>
  <c r="A320" i="21" s="1"/>
  <c r="A321" i="21" s="1"/>
  <c r="A322" i="21" s="1"/>
  <c r="A323" i="21" s="1"/>
  <c r="A324" i="21" s="1"/>
  <c r="A325" i="21" s="1"/>
  <c r="A326" i="21" s="1"/>
  <c r="A327" i="21" s="1"/>
  <c r="A328" i="21" s="1"/>
  <c r="A329" i="21" s="1"/>
  <c r="A330" i="21" s="1"/>
  <c r="A331" i="21" s="1"/>
  <c r="A332" i="21" s="1"/>
  <c r="A333" i="21" s="1"/>
  <c r="A334" i="21" s="1"/>
  <c r="A335" i="21" s="1"/>
  <c r="A336" i="21" s="1"/>
  <c r="A337" i="21" s="1"/>
  <c r="A338" i="21" s="1"/>
  <c r="A339" i="21" s="1"/>
  <c r="A340" i="21" s="1"/>
  <c r="A341" i="21" s="1"/>
  <c r="A342" i="21" s="1"/>
  <c r="A343" i="21" s="1"/>
  <c r="A344" i="21" s="1"/>
  <c r="A345" i="21" s="1"/>
  <c r="A346" i="21" s="1"/>
  <c r="A347" i="21" s="1"/>
  <c r="A348" i="21" s="1"/>
  <c r="A349" i="21" s="1"/>
  <c r="A350" i="21" s="1"/>
  <c r="A351" i="21" s="1"/>
  <c r="A352" i="21" s="1"/>
  <c r="A353" i="21" s="1"/>
  <c r="A354" i="21" s="1"/>
  <c r="A355" i="21" s="1"/>
  <c r="A356" i="21" s="1"/>
  <c r="A357" i="21" s="1"/>
  <c r="A358" i="21" s="1"/>
  <c r="A359" i="21" s="1"/>
  <c r="A360" i="21" s="1"/>
  <c r="A361" i="21" s="1"/>
  <c r="A362" i="21" s="1"/>
  <c r="A363" i="21" s="1"/>
  <c r="A364" i="21" s="1"/>
  <c r="A365" i="21" s="1"/>
  <c r="A366" i="21" s="1"/>
  <c r="H1" i="21" l="1"/>
  <c r="H2" i="21"/>
  <c r="V8" i="21"/>
  <c r="W8" i="21" s="1"/>
  <c r="X8" i="21" s="1"/>
  <c r="Y8" i="21" s="1"/>
  <c r="Z8" i="21" s="1"/>
  <c r="AA8" i="21" s="1"/>
  <c r="AB8" i="21" s="1"/>
  <c r="AC8" i="21" s="1"/>
  <c r="AA7" i="21"/>
  <c r="H31" i="13"/>
  <c r="H30" i="13"/>
  <c r="H29" i="13"/>
  <c r="H28" i="13"/>
  <c r="D21" i="13" l="1"/>
  <c r="AB7" i="21"/>
  <c r="AC7" i="21" l="1"/>
  <c r="K14" i="16"/>
  <c r="B3" i="21" l="1"/>
  <c r="B9" i="16"/>
  <c r="K15" i="16" l="1"/>
  <c r="J21" i="21"/>
  <c r="K40" i="21" l="1"/>
  <c r="M31" i="21"/>
  <c r="V4" i="21" s="1"/>
  <c r="M33" i="21"/>
  <c r="M35" i="21"/>
  <c r="M37" i="21"/>
  <c r="K32" i="21"/>
  <c r="K36" i="21"/>
  <c r="K38" i="21"/>
  <c r="N31" i="21"/>
  <c r="N33" i="21"/>
  <c r="N35" i="21"/>
  <c r="N37" i="21"/>
  <c r="K34" i="21"/>
  <c r="M39" i="21"/>
  <c r="O31" i="21"/>
  <c r="L32" i="21"/>
  <c r="O33" i="21"/>
  <c r="L34" i="21"/>
  <c r="O35" i="21"/>
  <c r="L36" i="21"/>
  <c r="O37" i="21"/>
  <c r="L38" i="21"/>
  <c r="O40" i="21"/>
  <c r="N40" i="21"/>
  <c r="M40" i="21"/>
  <c r="K31" i="21"/>
  <c r="M32" i="21"/>
  <c r="N32" i="21"/>
  <c r="K33" i="21"/>
  <c r="M34" i="21"/>
  <c r="N34" i="21"/>
  <c r="K35" i="21"/>
  <c r="M36" i="21"/>
  <c r="N36" i="21"/>
  <c r="K37" i="21"/>
  <c r="M38" i="21"/>
  <c r="N38" i="21"/>
  <c r="K39" i="21"/>
  <c r="L40" i="21"/>
  <c r="O39" i="21"/>
  <c r="L31" i="21"/>
  <c r="W3" i="21" s="1"/>
  <c r="O32" i="21"/>
  <c r="L33" i="21"/>
  <c r="O34" i="21"/>
  <c r="L35" i="21"/>
  <c r="O36" i="21"/>
  <c r="L37" i="21"/>
  <c r="O38" i="21"/>
  <c r="L39" i="21"/>
  <c r="N39" i="21"/>
  <c r="X4" i="21" l="1"/>
  <c r="W4" i="21"/>
  <c r="W2" i="21"/>
  <c r="V3" i="21"/>
  <c r="V2" i="21"/>
  <c r="V5" i="21"/>
  <c r="W5" i="21"/>
  <c r="X3" i="21"/>
  <c r="Y3" i="21"/>
  <c r="X5" i="21"/>
  <c r="Y5" i="21"/>
  <c r="X2" i="21"/>
  <c r="Y2" i="21"/>
  <c r="E5" i="13" l="1"/>
  <c r="A42" i="13"/>
  <c r="A41" i="13"/>
  <c r="A40" i="13"/>
  <c r="F20" i="13" l="1"/>
  <c r="B43" i="16"/>
  <c r="B42" i="16"/>
  <c r="F16" i="13" l="1"/>
  <c r="I7" i="19"/>
  <c r="B41" i="16" l="1"/>
  <c r="A22" i="16"/>
  <c r="A23" i="16"/>
  <c r="B40" i="16"/>
  <c r="K6" i="16"/>
  <c r="A175" i="16"/>
  <c r="A29" i="16" l="1"/>
  <c r="A25" i="16"/>
  <c r="A28" i="16"/>
  <c r="A26" i="16"/>
  <c r="A27" i="16"/>
  <c r="A24" i="16"/>
  <c r="A54" i="16" l="1"/>
  <c r="B4" i="21" l="1"/>
  <c r="B132" i="21"/>
  <c r="B217" i="21"/>
  <c r="B234" i="21"/>
  <c r="B49" i="21"/>
  <c r="B255" i="21"/>
  <c r="B345" i="21"/>
  <c r="B205" i="21"/>
  <c r="B303" i="21"/>
  <c r="B301" i="21"/>
  <c r="B263" i="21"/>
  <c r="B72" i="21"/>
  <c r="B198" i="21"/>
  <c r="B315" i="21"/>
  <c r="B233" i="21"/>
  <c r="B5" i="21"/>
  <c r="B226" i="21"/>
  <c r="B14" i="21"/>
  <c r="B59" i="21"/>
  <c r="B279" i="21"/>
  <c r="B340" i="21"/>
  <c r="B326" i="21"/>
  <c r="B310" i="21"/>
  <c r="B318" i="21"/>
  <c r="B202" i="21"/>
  <c r="B57" i="21"/>
  <c r="B71" i="21"/>
  <c r="B16" i="21"/>
  <c r="B216" i="21"/>
  <c r="B129" i="21"/>
  <c r="B82" i="21"/>
  <c r="B223" i="21"/>
  <c r="B47" i="21"/>
  <c r="B140" i="21"/>
  <c r="B94" i="21"/>
  <c r="B260" i="21"/>
  <c r="B23" i="21"/>
  <c r="B86" i="21"/>
  <c r="B293" i="21"/>
  <c r="B179" i="21"/>
  <c r="B146" i="21"/>
  <c r="B178" i="21"/>
  <c r="B245" i="21"/>
  <c r="B262" i="21"/>
  <c r="B338" i="21"/>
  <c r="B79" i="21"/>
  <c r="B68" i="21"/>
  <c r="B306" i="21"/>
  <c r="B214" i="21"/>
  <c r="B316" i="21"/>
  <c r="B258" i="21"/>
  <c r="B148" i="21"/>
  <c r="B120" i="21"/>
  <c r="B210" i="21"/>
  <c r="B109" i="21"/>
  <c r="B227" i="21"/>
  <c r="B177" i="21"/>
  <c r="B176" i="21"/>
  <c r="B357" i="21"/>
  <c r="B48" i="21"/>
  <c r="B115" i="21"/>
  <c r="B85" i="21"/>
  <c r="B280" i="21"/>
  <c r="B174" i="21"/>
  <c r="B8" i="21"/>
  <c r="B20" i="21"/>
  <c r="B15" i="21"/>
  <c r="B100" i="21"/>
  <c r="B110" i="21"/>
  <c r="B168" i="21"/>
  <c r="B42" i="21"/>
  <c r="B93" i="21"/>
  <c r="B273" i="21"/>
  <c r="B307" i="21"/>
  <c r="B87" i="21"/>
  <c r="B312" i="21"/>
  <c r="B56" i="21"/>
  <c r="B156" i="21"/>
  <c r="B190" i="21"/>
  <c r="B220" i="21"/>
  <c r="B271" i="21"/>
  <c r="B284" i="21"/>
  <c r="B103" i="21"/>
  <c r="B211" i="21"/>
  <c r="B181" i="21"/>
  <c r="B19" i="21"/>
  <c r="B222" i="21"/>
  <c r="B149" i="21"/>
  <c r="B349" i="21"/>
  <c r="B131" i="21"/>
  <c r="B239" i="21"/>
  <c r="B151" i="21"/>
  <c r="B339" i="21"/>
  <c r="B343" i="21"/>
  <c r="B274" i="21"/>
  <c r="B114" i="21"/>
  <c r="B364" i="21"/>
  <c r="B269" i="21"/>
  <c r="B243" i="21"/>
  <c r="B252" i="21"/>
  <c r="B206" i="21"/>
  <c r="B194" i="21"/>
  <c r="B297" i="21"/>
  <c r="B136" i="21"/>
  <c r="B267" i="21"/>
  <c r="B300" i="21"/>
  <c r="B22" i="21"/>
  <c r="B313" i="21"/>
  <c r="B321" i="21"/>
  <c r="B281" i="21"/>
  <c r="B203" i="21"/>
  <c r="B91" i="21"/>
  <c r="B81" i="21"/>
  <c r="B123" i="21"/>
  <c r="B73" i="21"/>
  <c r="B207" i="21"/>
  <c r="B75" i="21"/>
  <c r="B212" i="21"/>
  <c r="B282" i="21"/>
  <c r="B195" i="21"/>
  <c r="B135" i="21"/>
  <c r="B34" i="21"/>
  <c r="B231" i="21"/>
  <c r="B197" i="21"/>
  <c r="B209" i="21"/>
  <c r="B27" i="21"/>
  <c r="B9" i="21"/>
  <c r="B44" i="21"/>
  <c r="B259" i="21"/>
  <c r="B142" i="21"/>
  <c r="B138" i="21"/>
  <c r="B84" i="21"/>
  <c r="B362" i="21"/>
  <c r="B104" i="21"/>
  <c r="B322" i="21"/>
  <c r="B45" i="21"/>
  <c r="B169" i="21"/>
  <c r="B102" i="21"/>
  <c r="B204" i="21"/>
  <c r="B99" i="21"/>
  <c r="B7" i="21"/>
  <c r="B246" i="21"/>
  <c r="B208" i="21"/>
  <c r="B325" i="21"/>
  <c r="B147" i="21"/>
  <c r="B354" i="21"/>
  <c r="B52" i="21"/>
  <c r="B365" i="21"/>
  <c r="B188" i="21"/>
  <c r="B92" i="21"/>
  <c r="B97" i="21"/>
  <c r="B184" i="21"/>
  <c r="B291" i="21"/>
  <c r="B58" i="21"/>
  <c r="B150" i="21"/>
  <c r="B329" i="21"/>
  <c r="B240" i="21"/>
  <c r="B38" i="21"/>
  <c r="B283" i="21"/>
  <c r="B351" i="21"/>
  <c r="B299" i="21"/>
  <c r="B335" i="21"/>
  <c r="B265" i="21"/>
  <c r="B143" i="21"/>
  <c r="B344" i="21"/>
  <c r="B185" i="21"/>
  <c r="B12" i="21"/>
  <c r="B232" i="21"/>
  <c r="B302" i="21"/>
  <c r="B270" i="21"/>
  <c r="B164" i="21"/>
  <c r="B64" i="21"/>
  <c r="B247" i="21"/>
  <c r="B95" i="21"/>
  <c r="B286" i="21"/>
  <c r="B25" i="21"/>
  <c r="B175" i="21"/>
  <c r="B248" i="21"/>
  <c r="B201" i="21"/>
  <c r="B36" i="21"/>
  <c r="B342" i="21"/>
  <c r="B159" i="21"/>
  <c r="B241" i="21"/>
  <c r="B250" i="21"/>
  <c r="B160" i="21"/>
  <c r="B332" i="21"/>
  <c r="B254" i="21"/>
  <c r="B125" i="21"/>
  <c r="B35" i="21"/>
  <c r="B189" i="21"/>
  <c r="B277" i="21"/>
  <c r="B308" i="21"/>
  <c r="B62" i="21"/>
  <c r="B65" i="21"/>
  <c r="B257" i="21"/>
  <c r="B61" i="21"/>
  <c r="B126" i="21"/>
  <c r="B111" i="21"/>
  <c r="B98" i="21"/>
  <c r="B171" i="21"/>
  <c r="B80" i="21"/>
  <c r="B324" i="21"/>
  <c r="B41" i="21"/>
  <c r="B26" i="21"/>
  <c r="B101" i="21"/>
  <c r="B24" i="21"/>
  <c r="B289" i="21"/>
  <c r="B278" i="21"/>
  <c r="B341" i="21"/>
  <c r="B69" i="21"/>
  <c r="B356" i="21"/>
  <c r="B162" i="21"/>
  <c r="B31" i="21"/>
  <c r="B30" i="21"/>
  <c r="B261" i="21"/>
  <c r="B355" i="21"/>
  <c r="B182" i="21"/>
  <c r="B54" i="21"/>
  <c r="B157" i="21"/>
  <c r="B320" i="21"/>
  <c r="B228" i="21"/>
  <c r="B113" i="21"/>
  <c r="B215" i="21"/>
  <c r="B268" i="21"/>
  <c r="B32" i="21"/>
  <c r="B83" i="21"/>
  <c r="B221" i="21"/>
  <c r="B70" i="21"/>
  <c r="B275" i="21"/>
  <c r="B235" i="21"/>
  <c r="B107" i="21"/>
  <c r="B167" i="21"/>
  <c r="B333" i="21"/>
  <c r="B305" i="21"/>
  <c r="B63" i="21"/>
  <c r="B118" i="21"/>
  <c r="B213" i="21"/>
  <c r="B331" i="21"/>
  <c r="B139" i="21"/>
  <c r="B337" i="21"/>
  <c r="B76" i="21"/>
  <c r="B294" i="21"/>
  <c r="B158" i="21"/>
  <c r="B166" i="21"/>
  <c r="B350" i="21"/>
  <c r="B304" i="21"/>
  <c r="B18" i="21"/>
  <c r="B122" i="21"/>
  <c r="B46" i="21"/>
  <c r="B155" i="21"/>
  <c r="B225" i="21"/>
  <c r="B74" i="21"/>
  <c r="B352" i="21"/>
  <c r="B43" i="21"/>
  <c r="B249" i="21"/>
  <c r="B347" i="21"/>
  <c r="B66" i="21"/>
  <c r="B192" i="21"/>
  <c r="B328" i="21"/>
  <c r="B251" i="21"/>
  <c r="B327" i="21"/>
  <c r="B353" i="21"/>
  <c r="B187" i="21"/>
  <c r="B141" i="21"/>
  <c r="B229" i="21"/>
  <c r="B186" i="21"/>
  <c r="B121" i="21"/>
  <c r="B183" i="21"/>
  <c r="B89" i="21"/>
  <c r="B290" i="21"/>
  <c r="B153" i="21"/>
  <c r="B13" i="21"/>
  <c r="B193" i="21"/>
  <c r="B77" i="21"/>
  <c r="B39" i="21"/>
  <c r="B108" i="21"/>
  <c r="B90" i="21"/>
  <c r="B256" i="21"/>
  <c r="B165" i="21"/>
  <c r="B172" i="21"/>
  <c r="B199" i="21"/>
  <c r="B163" i="21"/>
  <c r="B10" i="21"/>
  <c r="B154" i="21"/>
  <c r="B272" i="21"/>
  <c r="B145" i="21"/>
  <c r="B33" i="21"/>
  <c r="B230" i="21"/>
  <c r="B330" i="21"/>
  <c r="B266" i="21"/>
  <c r="B11" i="21"/>
  <c r="B191" i="21"/>
  <c r="B112" i="21"/>
  <c r="B224" i="21"/>
  <c r="B6" i="21"/>
  <c r="B292" i="21"/>
  <c r="B106" i="21"/>
  <c r="B96" i="21"/>
  <c r="B37" i="21"/>
  <c r="B116" i="21"/>
  <c r="B218" i="21"/>
  <c r="B237" i="21"/>
  <c r="B323" i="21"/>
  <c r="B88" i="21"/>
  <c r="B309" i="21"/>
  <c r="B128" i="21"/>
  <c r="B295" i="21"/>
  <c r="B288" i="21"/>
  <c r="B134" i="21"/>
  <c r="B17" i="21"/>
  <c r="B242" i="21"/>
  <c r="B346" i="21"/>
  <c r="B358" i="21"/>
  <c r="B360" i="21"/>
  <c r="B348" i="21"/>
  <c r="B53" i="21"/>
  <c r="B361" i="21"/>
  <c r="B21" i="21"/>
  <c r="B264" i="21"/>
  <c r="B253" i="21"/>
  <c r="B137" i="21"/>
  <c r="B78" i="21"/>
  <c r="B127" i="21"/>
  <c r="B363" i="21"/>
  <c r="B319" i="21"/>
  <c r="B29" i="21"/>
  <c r="B152" i="21"/>
  <c r="B287" i="21"/>
  <c r="B130" i="21"/>
  <c r="B196" i="21"/>
  <c r="B317" i="21"/>
  <c r="B67" i="21"/>
  <c r="B236" i="21"/>
  <c r="B276" i="21"/>
  <c r="B51" i="21"/>
  <c r="B296" i="21"/>
  <c r="B359" i="21"/>
  <c r="B161" i="21"/>
  <c r="B334" i="21"/>
  <c r="B200" i="21"/>
  <c r="B285" i="21"/>
  <c r="B244" i="21"/>
  <c r="B60" i="21"/>
  <c r="B311" i="21"/>
  <c r="B336" i="21"/>
  <c r="B124" i="21"/>
  <c r="B173" i="21"/>
  <c r="B50" i="21"/>
  <c r="B314" i="21"/>
  <c r="B117" i="21"/>
  <c r="B40" i="21"/>
  <c r="B55" i="21"/>
  <c r="B28" i="21"/>
  <c r="B298" i="21"/>
  <c r="B119" i="21"/>
  <c r="B238" i="21"/>
  <c r="B144" i="21"/>
  <c r="B180" i="21"/>
  <c r="B219" i="21"/>
  <c r="B170" i="21"/>
  <c r="B105" i="21"/>
  <c r="B133" i="21"/>
  <c r="V6" i="21" l="1"/>
  <c r="A2" i="21"/>
  <c r="V12" i="21" l="1"/>
  <c r="V13" i="21"/>
  <c r="V14" i="21"/>
  <c r="V15" i="21"/>
  <c r="W6" i="21"/>
  <c r="W13" i="21" s="1"/>
  <c r="W15" i="21" l="1"/>
  <c r="W12" i="21"/>
  <c r="W14" i="21"/>
  <c r="V16" i="21"/>
  <c r="L22" i="16" s="1"/>
  <c r="X6" i="21"/>
  <c r="X13" i="21" s="1"/>
  <c r="L22" i="25" l="1"/>
  <c r="L30" i="16"/>
  <c r="L30" i="25" s="1"/>
  <c r="X12" i="21"/>
  <c r="X14" i="21"/>
  <c r="W16" i="21"/>
  <c r="X15" i="21"/>
  <c r="Y6" i="21"/>
  <c r="Y13" i="21" s="1"/>
  <c r="Y14" i="21" l="1"/>
  <c r="Y15" i="21"/>
  <c r="Y12" i="21"/>
  <c r="X16" i="21"/>
  <c r="Z6" i="21"/>
  <c r="Z13" i="21" s="1"/>
  <c r="Y16" i="21" l="1"/>
  <c r="Z12" i="21"/>
  <c r="Z14" i="21"/>
  <c r="Z15" i="21"/>
  <c r="AA6" i="21"/>
  <c r="AA13" i="21" s="1"/>
  <c r="Z16" i="21" l="1"/>
  <c r="AA14" i="21"/>
  <c r="AA12" i="21"/>
  <c r="AA15" i="21"/>
  <c r="AB6" i="21"/>
  <c r="AB13" i="21" s="1"/>
  <c r="AA16" i="21" l="1"/>
  <c r="AB14" i="21"/>
  <c r="AB12" i="21"/>
  <c r="AB15" i="21"/>
  <c r="AC6" i="21"/>
  <c r="AC13" i="21" s="1"/>
  <c r="AB16" i="21" l="1"/>
  <c r="AC12" i="21"/>
  <c r="AC14" i="21"/>
  <c r="AC15" i="21"/>
  <c r="AC16" i="21" l="1"/>
  <c r="L31" i="16"/>
  <c r="L32" i="16" l="1"/>
  <c r="L32" i="25" s="1"/>
  <c r="L31" i="25"/>
  <c r="L33" i="16" l="1"/>
  <c r="L34" i="16" s="1"/>
  <c r="L34" i="25" l="1"/>
  <c r="D40" i="16"/>
  <c r="C36" i="13" s="1"/>
  <c r="L33" i="25"/>
  <c r="I29" i="25"/>
  <c r="I25" i="25"/>
  <c r="B24" i="25"/>
  <c r="B27" i="25"/>
  <c r="I28" i="25"/>
  <c r="I24" i="25"/>
  <c r="B26" i="25"/>
  <c r="I27" i="25"/>
  <c r="I23" i="25"/>
  <c r="I26" i="25"/>
  <c r="B29" i="25"/>
  <c r="B25" i="25"/>
  <c r="B28" i="25"/>
  <c r="B23" i="25"/>
  <c r="F40" i="16" l="1"/>
  <c r="D40" i="25"/>
  <c r="H29" i="25"/>
  <c r="G29" i="25"/>
  <c r="H25" i="25"/>
  <c r="G25" i="25"/>
  <c r="J27" i="25"/>
  <c r="K27" i="25" s="1"/>
  <c r="A27" i="25"/>
  <c r="H27" i="25"/>
  <c r="G27" i="25"/>
  <c r="H26" i="25"/>
  <c r="G26" i="25"/>
  <c r="H23" i="25"/>
  <c r="G23" i="25"/>
  <c r="J26" i="25"/>
  <c r="K26" i="25" s="1"/>
  <c r="A26" i="25"/>
  <c r="J24" i="25"/>
  <c r="K24" i="25" s="1"/>
  <c r="A24" i="25"/>
  <c r="J25" i="25"/>
  <c r="K25" i="25" s="1"/>
  <c r="A25" i="25"/>
  <c r="H24" i="25"/>
  <c r="G24" i="25"/>
  <c r="H28" i="25"/>
  <c r="G28" i="25"/>
  <c r="J23" i="25"/>
  <c r="K23" i="25" s="1"/>
  <c r="A23" i="25"/>
  <c r="J28" i="25"/>
  <c r="K28" i="25" s="1"/>
  <c r="A28" i="25"/>
  <c r="J29" i="25"/>
  <c r="K29" i="25" s="1"/>
  <c r="A29" i="25"/>
  <c r="E36" i="13" l="1"/>
  <c r="I22" i="25" s="1"/>
  <c r="E42" i="16"/>
  <c r="D43" i="16"/>
  <c r="C39" i="13" s="1"/>
  <c r="D42" i="16"/>
  <c r="C38" i="13" s="1"/>
  <c r="E43" i="16"/>
  <c r="E41" i="16"/>
  <c r="E41" i="25" s="1"/>
  <c r="D41" i="16"/>
  <c r="C37" i="13" s="1"/>
  <c r="B22" i="25"/>
  <c r="F40" i="25"/>
  <c r="D42" i="25" l="1"/>
  <c r="D37" i="13"/>
  <c r="H22" i="25"/>
  <c r="G22" i="25"/>
  <c r="E43" i="25"/>
  <c r="D39" i="13"/>
  <c r="E42" i="25"/>
  <c r="D38" i="13"/>
  <c r="A22" i="25"/>
  <c r="A57" i="25" s="1"/>
  <c r="J22" i="25"/>
  <c r="K22" i="25" s="1"/>
  <c r="F43" i="16"/>
  <c r="D43" i="25"/>
  <c r="D41" i="25"/>
  <c r="F41" i="16"/>
  <c r="F42" i="16"/>
  <c r="F41" i="25" l="1"/>
  <c r="E37" i="13"/>
  <c r="F42" i="25"/>
  <c r="E38" i="13"/>
  <c r="F43" i="25"/>
  <c r="E39" i="13"/>
</calcChain>
</file>

<file path=xl/sharedStrings.xml><?xml version="1.0" encoding="utf-8"?>
<sst xmlns="http://schemas.openxmlformats.org/spreadsheetml/2006/main" count="3843" uniqueCount="731">
  <si>
    <t>EDAD</t>
  </si>
  <si>
    <t>IVA</t>
  </si>
  <si>
    <t>CUADRO DE COBERTURAS</t>
  </si>
  <si>
    <t>-</t>
  </si>
  <si>
    <t>Edad</t>
  </si>
  <si>
    <t>PARTICIPANTES</t>
  </si>
  <si>
    <t>Nombre</t>
  </si>
  <si>
    <t>Sexo</t>
  </si>
  <si>
    <t>Parentesco</t>
  </si>
  <si>
    <t>Derecho de Póliza</t>
  </si>
  <si>
    <t>Subtotal</t>
  </si>
  <si>
    <t>I.V.A.</t>
  </si>
  <si>
    <t>NOMBRE</t>
  </si>
  <si>
    <t>ANUAL</t>
  </si>
  <si>
    <t>SEMESTRAL</t>
  </si>
  <si>
    <t>FP</t>
  </si>
  <si>
    <t>Notas:</t>
  </si>
  <si>
    <t>DATOS DE LA PÓLIZA</t>
  </si>
  <si>
    <t>Titular</t>
  </si>
  <si>
    <t>INSTRUCCIONES</t>
  </si>
  <si>
    <t>RECARGOS POR PAGO FRACCIONADO</t>
  </si>
  <si>
    <t>TRIMESTRAL</t>
  </si>
  <si>
    <t>MENSUAL</t>
  </si>
  <si>
    <t>FAVOR de Verificar si estos factores son los vigentes</t>
  </si>
  <si>
    <t xml:space="preserve">IVA </t>
  </si>
  <si>
    <t xml:space="preserve"> ¡Estamos seguros, te será de gran utilidad!</t>
  </si>
  <si>
    <r>
      <rPr>
        <b/>
        <sz val="10"/>
        <color rgb="FFC00000"/>
        <rFont val="Tahoma"/>
        <family val="2"/>
      </rPr>
      <t xml:space="preserve">Seguros Banorte </t>
    </r>
    <r>
      <rPr>
        <sz val="10"/>
        <rFont val="Tahoma"/>
        <family val="2"/>
      </rPr>
      <t xml:space="preserve">elaboró para ti esta herramienta de sencilla utilización de la que . . . </t>
    </r>
  </si>
  <si>
    <t>*Este producto cuenta con exclusiones y limitaciones, las cuales pueden ser consultadas en las Condiciones Generales del producto en la página</t>
  </si>
  <si>
    <t xml:space="preserve">   www.segurosbanorte.com.mx</t>
  </si>
  <si>
    <t>%</t>
  </si>
  <si>
    <t>Factor</t>
  </si>
  <si>
    <t>Tipo de Cotización</t>
  </si>
  <si>
    <t>Prima Neta 
Anual</t>
  </si>
  <si>
    <t>Agente</t>
  </si>
  <si>
    <t>SEXO</t>
  </si>
  <si>
    <t>ASEGURADO</t>
  </si>
  <si>
    <t>Forma de Pago</t>
  </si>
  <si>
    <t>Primer Recibo</t>
  </si>
  <si>
    <t>Recibos Subsecuentes</t>
  </si>
  <si>
    <t>Total</t>
  </si>
  <si>
    <t>AGENTE</t>
  </si>
  <si>
    <t>Ded.</t>
  </si>
  <si>
    <t>Prima de riesgo</t>
  </si>
  <si>
    <t>Días</t>
  </si>
  <si>
    <t>% Prima</t>
  </si>
  <si>
    <t>D</t>
  </si>
  <si>
    <t>B</t>
  </si>
  <si>
    <t>Individual</t>
  </si>
  <si>
    <t>E</t>
  </si>
  <si>
    <t>C</t>
  </si>
  <si>
    <t>CV</t>
  </si>
  <si>
    <t>N</t>
  </si>
  <si>
    <t>MA</t>
  </si>
  <si>
    <t>POA</t>
  </si>
  <si>
    <t>POB</t>
  </si>
  <si>
    <t>IDH</t>
  </si>
  <si>
    <t>RGM</t>
  </si>
  <si>
    <t>A</t>
  </si>
  <si>
    <t>F</t>
  </si>
  <si>
    <t>G</t>
  </si>
  <si>
    <t>H</t>
  </si>
  <si>
    <t>I</t>
  </si>
  <si>
    <t>J</t>
  </si>
  <si>
    <t>Concepto</t>
  </si>
  <si>
    <t>Indiv.</t>
  </si>
  <si>
    <t>DERECHO DE POLIZA</t>
  </si>
  <si>
    <t>Gastos de Administración</t>
  </si>
  <si>
    <t>Comisión del Agente</t>
  </si>
  <si>
    <t>INDIVIDUAL / FAMILIAR</t>
  </si>
  <si>
    <t>Bonos y Concursos</t>
  </si>
  <si>
    <t>Utilidad</t>
  </si>
  <si>
    <t>Prima de tarifa</t>
  </si>
  <si>
    <t>S.A.</t>
  </si>
  <si>
    <t>R.G.M</t>
  </si>
  <si>
    <t>CLAVE</t>
  </si>
  <si>
    <t>PERDIDAS ORGANICAS TIPO A</t>
  </si>
  <si>
    <t>PERDIDAS ORGANICAS TIPO B</t>
  </si>
  <si>
    <t>INDEMNIZACION DIARIA POR HOSPITALIZACION</t>
  </si>
  <si>
    <t>REEMBOLSO DE GASTOS MEDICOS POR ACCIDENTE</t>
  </si>
  <si>
    <t>Deducible</t>
  </si>
  <si>
    <t>Cónyuge</t>
  </si>
  <si>
    <t>N/A</t>
  </si>
  <si>
    <t>Muerte Accidental</t>
  </si>
  <si>
    <t>COBERTURAS OPCIONALES</t>
  </si>
  <si>
    <t>Factor a Aplicar</t>
  </si>
  <si>
    <t>Tipo de Riesgo</t>
  </si>
  <si>
    <r>
      <rPr>
        <sz val="12"/>
        <rFont val="Arial"/>
        <family val="2"/>
      </rPr>
      <t>ABARROTERO</t>
    </r>
  </si>
  <si>
    <r>
      <rPr>
        <sz val="12"/>
        <rFont val="Arial"/>
        <family val="2"/>
      </rPr>
      <t>B</t>
    </r>
  </si>
  <si>
    <r>
      <rPr>
        <sz val="12"/>
        <rFont val="Arial"/>
        <family val="2"/>
      </rPr>
      <t>C</t>
    </r>
  </si>
  <si>
    <r>
      <rPr>
        <sz val="12"/>
        <rFont val="Arial"/>
        <family val="2"/>
      </rPr>
      <t>A</t>
    </r>
  </si>
  <si>
    <r>
      <rPr>
        <sz val="12"/>
        <rFont val="Arial"/>
        <family val="2"/>
      </rPr>
      <t>-</t>
    </r>
  </si>
  <si>
    <r>
      <rPr>
        <sz val="12"/>
        <rFont val="Arial"/>
        <family val="2"/>
      </rPr>
      <t>ABOGADO</t>
    </r>
  </si>
  <si>
    <r>
      <rPr>
        <sz val="12"/>
        <rFont val="Arial"/>
        <family val="2"/>
      </rPr>
      <t>ACTUARIO</t>
    </r>
  </si>
  <si>
    <r>
      <rPr>
        <sz val="12"/>
        <rFont val="Arial"/>
        <family val="2"/>
      </rPr>
      <t>AGENTE DE COMPRAS</t>
    </r>
  </si>
  <si>
    <r>
      <rPr>
        <sz val="12"/>
        <rFont val="Arial"/>
        <family val="2"/>
      </rPr>
      <t>AGENTE SECRETO</t>
    </r>
  </si>
  <si>
    <r>
      <rPr>
        <sz val="12"/>
        <rFont val="Arial"/>
        <family val="2"/>
      </rPr>
      <t>H</t>
    </r>
  </si>
  <si>
    <r>
      <rPr>
        <sz val="12"/>
        <rFont val="Arial"/>
        <family val="2"/>
      </rPr>
      <t>AGENTE DE VENTAS</t>
    </r>
  </si>
  <si>
    <r>
      <rPr>
        <sz val="12"/>
        <rFont val="Arial"/>
        <family val="2"/>
      </rPr>
      <t>AGRICULTOR</t>
    </r>
  </si>
  <si>
    <r>
      <rPr>
        <sz val="12"/>
        <rFont val="Arial"/>
        <family val="2"/>
      </rPr>
      <t>D</t>
    </r>
  </si>
  <si>
    <r>
      <rPr>
        <sz val="12"/>
        <rFont val="Arial"/>
        <family val="2"/>
      </rPr>
      <t>AJUSTADOR DE SEGUROS</t>
    </r>
  </si>
  <si>
    <r>
      <rPr>
        <sz val="12"/>
        <rFont val="Arial"/>
        <family val="2"/>
      </rPr>
      <t>ALBAÑIL</t>
    </r>
  </si>
  <si>
    <r>
      <rPr>
        <sz val="12"/>
        <rFont val="Arial"/>
        <family val="2"/>
      </rPr>
      <t>F</t>
    </r>
  </si>
  <si>
    <r>
      <rPr>
        <sz val="12"/>
        <rFont val="Arial"/>
        <family val="2"/>
      </rPr>
      <t>G</t>
    </r>
  </si>
  <si>
    <r>
      <rPr>
        <sz val="12"/>
        <rFont val="Arial"/>
        <family val="2"/>
      </rPr>
      <t>ALCALDE</t>
    </r>
  </si>
  <si>
    <r>
      <rPr>
        <sz val="12"/>
        <rFont val="Arial"/>
        <family val="2"/>
      </rPr>
      <t>ALFARERO</t>
    </r>
  </si>
  <si>
    <r>
      <rPr>
        <sz val="12"/>
        <rFont val="Arial"/>
        <family val="2"/>
      </rPr>
      <t>E</t>
    </r>
  </si>
  <si>
    <r>
      <rPr>
        <sz val="12"/>
        <rFont val="Arial"/>
        <family val="2"/>
      </rPr>
      <t>ALIJADOR</t>
    </r>
  </si>
  <si>
    <r>
      <rPr>
        <sz val="12"/>
        <rFont val="Arial"/>
        <family val="2"/>
      </rPr>
      <t>ALPINISTA PROFESIONAL</t>
    </r>
  </si>
  <si>
    <r>
      <rPr>
        <sz val="12"/>
        <rFont val="Arial"/>
        <family val="2"/>
      </rPr>
      <t>I</t>
    </r>
  </si>
  <si>
    <r>
      <rPr>
        <sz val="12"/>
        <rFont val="Arial"/>
        <family val="2"/>
      </rPr>
      <t>AMA DE CASA</t>
    </r>
  </si>
  <si>
    <r>
      <rPr>
        <sz val="12"/>
        <rFont val="Arial"/>
        <family val="2"/>
      </rPr>
      <t>ANESTESIÓLOGO</t>
    </r>
  </si>
  <si>
    <r>
      <rPr>
        <sz val="12"/>
        <rFont val="Arial"/>
        <family val="2"/>
      </rPr>
      <t>ANTICUARIO</t>
    </r>
  </si>
  <si>
    <r>
      <rPr>
        <sz val="12"/>
        <rFont val="Arial"/>
        <family val="2"/>
      </rPr>
      <t>APARADORISTA</t>
    </r>
  </si>
  <si>
    <r>
      <rPr>
        <sz val="12"/>
        <rFont val="Arial"/>
        <family val="2"/>
      </rPr>
      <t>APICULTOR</t>
    </r>
  </si>
  <si>
    <r>
      <rPr>
        <sz val="12"/>
        <rFont val="Arial"/>
        <family val="2"/>
      </rPr>
      <t>ARBITRO</t>
    </r>
  </si>
  <si>
    <r>
      <rPr>
        <sz val="12"/>
        <rFont val="Arial"/>
        <family val="2"/>
      </rPr>
      <t>ARCHIVISTA</t>
    </r>
  </si>
  <si>
    <r>
      <rPr>
        <sz val="12"/>
        <rFont val="Arial"/>
        <family val="2"/>
      </rPr>
      <t>ARQUITECTO</t>
    </r>
  </si>
  <si>
    <r>
      <rPr>
        <sz val="12"/>
        <rFont val="Arial"/>
        <family val="2"/>
      </rPr>
      <t>ARTESANO</t>
    </r>
  </si>
  <si>
    <r>
      <rPr>
        <sz val="12"/>
        <rFont val="Arial"/>
        <family val="2"/>
      </rPr>
      <t>ARTISTA, radio,TV,cine y teatro (Extras consideración individual)</t>
    </r>
  </si>
  <si>
    <r>
      <rPr>
        <sz val="12"/>
        <rFont val="Arial"/>
        <family val="2"/>
      </rPr>
      <t>ARREGLISTA (MÚSICA)</t>
    </r>
  </si>
  <si>
    <r>
      <rPr>
        <sz val="12"/>
        <rFont val="Arial"/>
        <family val="2"/>
      </rPr>
      <t>AUDITOR</t>
    </r>
  </si>
  <si>
    <r>
      <rPr>
        <sz val="12"/>
        <rFont val="Arial"/>
        <family val="2"/>
      </rPr>
      <t>AVICULTOR</t>
    </r>
  </si>
  <si>
    <r>
      <rPr>
        <sz val="12"/>
        <rFont val="Arial"/>
        <family val="2"/>
      </rPr>
      <t>BACTERIÓLOGO</t>
    </r>
  </si>
  <si>
    <r>
      <rPr>
        <sz val="12"/>
        <rFont val="Arial"/>
        <family val="2"/>
      </rPr>
      <t>BAILARÍN</t>
    </r>
  </si>
  <si>
    <r>
      <rPr>
        <sz val="12"/>
        <rFont val="Arial"/>
        <family val="2"/>
      </rPr>
      <t>BANDERILLERO</t>
    </r>
  </si>
  <si>
    <r>
      <rPr>
        <sz val="12"/>
        <rFont val="Arial"/>
        <family val="2"/>
      </rPr>
      <t>J</t>
    </r>
  </si>
  <si>
    <r>
      <rPr>
        <sz val="12"/>
        <rFont val="Arial"/>
        <family val="2"/>
      </rPr>
      <t>BANQUERO</t>
    </r>
  </si>
  <si>
    <r>
      <rPr>
        <sz val="12"/>
        <rFont val="Arial"/>
        <family val="2"/>
      </rPr>
      <t>BEISBOLISTA PROFESIONAL</t>
    </r>
  </si>
  <si>
    <r>
      <rPr>
        <sz val="12"/>
        <rFont val="Arial"/>
        <family val="2"/>
      </rPr>
      <t>BIBLIOTECARIO</t>
    </r>
  </si>
  <si>
    <r>
      <rPr>
        <sz val="12"/>
        <rFont val="Arial"/>
        <family val="2"/>
      </rPr>
      <t>BIÓLOGO</t>
    </r>
  </si>
  <si>
    <r>
      <rPr>
        <sz val="12"/>
        <rFont val="Arial"/>
        <family val="2"/>
      </rPr>
      <t>BODEGUERO</t>
    </r>
  </si>
  <si>
    <r>
      <rPr>
        <sz val="12"/>
        <rFont val="Arial"/>
        <family val="2"/>
      </rPr>
      <t>BOMBERO</t>
    </r>
  </si>
  <si>
    <r>
      <rPr>
        <sz val="12"/>
        <rFont val="Arial"/>
        <family val="2"/>
      </rPr>
      <t>BOTÁNICO</t>
    </r>
  </si>
  <si>
    <r>
      <rPr>
        <sz val="12"/>
        <rFont val="Arial"/>
        <family val="2"/>
      </rPr>
      <t xml:space="preserve">BOXEADOR PROFESIONAL
</t>
    </r>
    <r>
      <rPr>
        <sz val="12"/>
        <rFont val="Arial"/>
        <family val="2"/>
      </rPr>
      <t>Consideración Individual</t>
    </r>
  </si>
  <si>
    <r>
      <rPr>
        <sz val="12"/>
        <rFont val="Arial"/>
        <family val="2"/>
      </rPr>
      <t xml:space="preserve">BUZO PROFESIONAL
</t>
    </r>
    <r>
      <rPr>
        <sz val="12"/>
        <rFont val="Arial"/>
        <family val="2"/>
      </rPr>
      <t>Consideración Individual</t>
    </r>
  </si>
  <si>
    <r>
      <rPr>
        <sz val="12"/>
        <rFont val="Arial"/>
        <family val="2"/>
      </rPr>
      <t>CAJERO</t>
    </r>
  </si>
  <si>
    <r>
      <rPr>
        <sz val="12"/>
        <rFont val="Arial"/>
        <family val="2"/>
      </rPr>
      <t>CAJISTA</t>
    </r>
  </si>
  <si>
    <r>
      <rPr>
        <sz val="12"/>
        <rFont val="Arial"/>
        <family val="2"/>
      </rPr>
      <t>CANTINERO</t>
    </r>
  </si>
  <si>
    <r>
      <rPr>
        <sz val="12"/>
        <rFont val="Arial"/>
        <family val="2"/>
      </rPr>
      <t>CARPINTERO</t>
    </r>
  </si>
  <si>
    <r>
      <rPr>
        <sz val="12"/>
        <rFont val="Arial"/>
        <family val="2"/>
      </rPr>
      <t>CARTERO</t>
    </r>
  </si>
  <si>
    <r>
      <rPr>
        <sz val="12"/>
        <rFont val="Arial"/>
        <family val="2"/>
      </rPr>
      <t>CAZADOR PROFESIONAL</t>
    </r>
  </si>
  <si>
    <r>
      <rPr>
        <sz val="12"/>
        <rFont val="Arial"/>
        <family val="2"/>
      </rPr>
      <t>CELADOR</t>
    </r>
  </si>
  <si>
    <r>
      <rPr>
        <sz val="12"/>
        <rFont val="Arial"/>
        <family val="2"/>
      </rPr>
      <t>CERRAJERO</t>
    </r>
  </si>
  <si>
    <r>
      <rPr>
        <sz val="12"/>
        <rFont val="Arial"/>
        <family val="2"/>
      </rPr>
      <t>CIRUJANO</t>
    </r>
  </si>
  <si>
    <r>
      <rPr>
        <sz val="12"/>
        <rFont val="Arial"/>
        <family val="2"/>
      </rPr>
      <t>COBRADOR</t>
    </r>
  </si>
  <si>
    <r>
      <rPr>
        <sz val="12"/>
        <rFont val="Arial"/>
        <family val="2"/>
      </rPr>
      <t>COBRADOR usando motocicleta o motoneta</t>
    </r>
  </si>
  <si>
    <r>
      <rPr>
        <sz val="12"/>
        <rFont val="Arial"/>
        <family val="2"/>
      </rPr>
      <t>COCINERO</t>
    </r>
  </si>
  <si>
    <r>
      <rPr>
        <sz val="12"/>
        <rFont val="Arial"/>
        <family val="2"/>
      </rPr>
      <t>CRIADO DOMÉSTICO</t>
    </r>
  </si>
  <si>
    <r>
      <rPr>
        <sz val="12"/>
        <rFont val="Arial"/>
        <family val="2"/>
      </rPr>
      <t>CONTADOR</t>
    </r>
  </si>
  <si>
    <r>
      <rPr>
        <sz val="12"/>
        <rFont val="Arial"/>
        <family val="2"/>
      </rPr>
      <t>CONTRATISTA</t>
    </r>
  </si>
  <si>
    <r>
      <rPr>
        <sz val="12"/>
        <rFont val="Arial"/>
        <family val="2"/>
      </rPr>
      <t>COMPOSITOR</t>
    </r>
  </si>
  <si>
    <r>
      <rPr>
        <sz val="12"/>
        <rFont val="Arial"/>
        <family val="2"/>
      </rPr>
      <t>CORDELERO</t>
    </r>
  </si>
  <si>
    <r>
      <rPr>
        <sz val="12"/>
        <rFont val="Arial"/>
        <family val="2"/>
      </rPr>
      <t>COREÓGRAFO</t>
    </r>
  </si>
  <si>
    <r>
      <rPr>
        <sz val="12"/>
        <rFont val="Arial"/>
        <family val="2"/>
      </rPr>
      <t xml:space="preserve">CORREDOR PROFESIONAL DE AUTOMÓVILES
</t>
    </r>
    <r>
      <rPr>
        <sz val="12"/>
        <rFont val="Arial"/>
        <family val="2"/>
      </rPr>
      <t>Consideración Individual</t>
    </r>
  </si>
  <si>
    <r>
      <rPr>
        <sz val="12"/>
        <rFont val="Arial"/>
        <family val="2"/>
      </rPr>
      <t>CORRESPONSAL</t>
    </r>
  </si>
  <si>
    <r>
      <rPr>
        <sz val="12"/>
        <rFont val="Arial"/>
        <family val="2"/>
      </rPr>
      <t>CORRESPONSAL DE GUERRA</t>
    </r>
  </si>
  <si>
    <r>
      <rPr>
        <sz val="12"/>
        <rFont val="Arial"/>
        <family val="2"/>
      </rPr>
      <t>COSTURERA</t>
    </r>
  </si>
  <si>
    <r>
      <rPr>
        <sz val="12"/>
        <rFont val="Arial"/>
        <family val="2"/>
      </rPr>
      <t>CULTORA DE BELLEZA</t>
    </r>
  </si>
  <si>
    <r>
      <rPr>
        <sz val="12"/>
        <rFont val="Arial"/>
        <family val="2"/>
      </rPr>
      <t>CHOFER DE AMBULANCIA</t>
    </r>
  </si>
  <si>
    <r>
      <rPr>
        <sz val="12"/>
        <rFont val="Arial"/>
        <family val="2"/>
      </rPr>
      <t>CHOFER DE CARRO BLINDADO</t>
    </r>
  </si>
  <si>
    <r>
      <rPr>
        <sz val="12"/>
        <rFont val="Arial"/>
        <family val="2"/>
      </rPr>
      <t>CHOFER DE HASTA 3 TONELADAS</t>
    </r>
  </si>
  <si>
    <r>
      <rPr>
        <sz val="12"/>
        <rFont val="Arial"/>
        <family val="2"/>
      </rPr>
      <t>CHOFER DE MÁS DE 3 TONELADAS</t>
    </r>
  </si>
  <si>
    <r>
      <rPr>
        <sz val="12"/>
        <rFont val="Arial"/>
        <family val="2"/>
      </rPr>
      <t>CHOFER PARTICULAR</t>
    </r>
  </si>
  <si>
    <r>
      <rPr>
        <sz val="12"/>
        <rFont val="Arial"/>
        <family val="2"/>
      </rPr>
      <t>CHOFER DE TAXI</t>
    </r>
  </si>
  <si>
    <r>
      <rPr>
        <sz val="12"/>
        <rFont val="Arial"/>
        <family val="2"/>
      </rPr>
      <t xml:space="preserve">CHOFER DE CAMIÓN DE PASAJEROS
</t>
    </r>
    <r>
      <rPr>
        <sz val="12"/>
        <rFont val="Arial"/>
        <family val="2"/>
      </rPr>
      <t>1a.</t>
    </r>
  </si>
  <si>
    <r>
      <rPr>
        <sz val="12"/>
        <rFont val="Arial"/>
        <family val="2"/>
      </rPr>
      <t xml:space="preserve">CHOFER DE CAMIÓN DE PASAJEROS
</t>
    </r>
    <r>
      <rPr>
        <sz val="12"/>
        <rFont val="Arial"/>
        <family val="2"/>
      </rPr>
      <t>2a.</t>
    </r>
  </si>
  <si>
    <r>
      <rPr>
        <sz val="12"/>
        <rFont val="Arial"/>
        <family val="2"/>
      </rPr>
      <t>CHOFER PATRULLA</t>
    </r>
  </si>
  <si>
    <r>
      <rPr>
        <sz val="12"/>
        <rFont val="Arial"/>
        <family val="2"/>
      </rPr>
      <t>CHOFER PICK UP</t>
    </r>
  </si>
  <si>
    <r>
      <rPr>
        <sz val="12"/>
        <rFont val="Arial"/>
        <family val="2"/>
      </rPr>
      <t>DECORADOR</t>
    </r>
  </si>
  <si>
    <r>
      <rPr>
        <sz val="12"/>
        <rFont val="Arial"/>
        <family val="2"/>
      </rPr>
      <t>DENTISTA</t>
    </r>
  </si>
  <si>
    <r>
      <rPr>
        <sz val="12"/>
        <rFont val="Arial"/>
        <family val="2"/>
      </rPr>
      <t>DERMATÓLOGO</t>
    </r>
  </si>
  <si>
    <r>
      <rPr>
        <sz val="12"/>
        <rFont val="Arial"/>
        <family val="2"/>
      </rPr>
      <t>DIBUJANTE</t>
    </r>
  </si>
  <si>
    <r>
      <rPr>
        <sz val="12"/>
        <rFont val="Arial"/>
        <family val="2"/>
      </rPr>
      <t>DIPLOMÁTICO</t>
    </r>
  </si>
  <si>
    <r>
      <rPr>
        <sz val="12"/>
        <rFont val="Arial"/>
        <family val="2"/>
      </rPr>
      <t>DIRECTOR DE ORQUESTA</t>
    </r>
  </si>
  <si>
    <r>
      <rPr>
        <sz val="12"/>
        <rFont val="Arial"/>
        <family val="2"/>
      </rPr>
      <t>DISEÑADOR</t>
    </r>
  </si>
  <si>
    <r>
      <rPr>
        <sz val="12"/>
        <rFont val="Arial"/>
        <family val="2"/>
      </rPr>
      <t>DOMADOR (fieras, caballos, perros)</t>
    </r>
  </si>
  <si>
    <r>
      <rPr>
        <sz val="12"/>
        <rFont val="Arial"/>
        <family val="2"/>
      </rPr>
      <t>DULCERO</t>
    </r>
  </si>
  <si>
    <r>
      <rPr>
        <sz val="12"/>
        <rFont val="Arial"/>
        <family val="2"/>
      </rPr>
      <t>EDITOR</t>
    </r>
  </si>
  <si>
    <r>
      <rPr>
        <sz val="12"/>
        <rFont val="Arial"/>
        <family val="2"/>
      </rPr>
      <t>ELECTRICISTA</t>
    </r>
  </si>
  <si>
    <r>
      <rPr>
        <sz val="12"/>
        <rFont val="Arial"/>
        <family val="2"/>
      </rPr>
      <t>ELEVADORISTA</t>
    </r>
  </si>
  <si>
    <r>
      <rPr>
        <sz val="12"/>
        <rFont val="Arial"/>
        <family val="2"/>
      </rPr>
      <t>EMBAJADOR</t>
    </r>
  </si>
  <si>
    <r>
      <rPr>
        <sz val="12"/>
        <rFont val="Arial"/>
        <family val="2"/>
      </rPr>
      <t>EMBALSAMADOR</t>
    </r>
  </si>
  <si>
    <r>
      <rPr>
        <sz val="12"/>
        <rFont val="Arial"/>
        <family val="2"/>
      </rPr>
      <t>EMBOTELLADOR (vinos, cerveza, refrescos)</t>
    </r>
  </si>
  <si>
    <r>
      <rPr>
        <sz val="12"/>
        <rFont val="Arial"/>
        <family val="2"/>
      </rPr>
      <t>EMPACADOR (de carne)</t>
    </r>
  </si>
  <si>
    <r>
      <rPr>
        <sz val="12"/>
        <rFont val="Arial"/>
        <family val="2"/>
      </rPr>
      <t>ENCUADERNADOR</t>
    </r>
  </si>
  <si>
    <r>
      <rPr>
        <sz val="12"/>
        <rFont val="Arial"/>
        <family val="2"/>
      </rPr>
      <t>ENFERMERA</t>
    </r>
  </si>
  <si>
    <r>
      <rPr>
        <sz val="12"/>
        <rFont val="Arial"/>
        <family val="2"/>
      </rPr>
      <t>ESCRITOR</t>
    </r>
  </si>
  <si>
    <r>
      <rPr>
        <sz val="12"/>
        <rFont val="Arial"/>
        <family val="2"/>
      </rPr>
      <t>ESCULTOR</t>
    </r>
  </si>
  <si>
    <r>
      <rPr>
        <sz val="12"/>
        <rFont val="Arial"/>
        <family val="2"/>
      </rPr>
      <t>ESTEREOTIPISTA</t>
    </r>
  </si>
  <si>
    <r>
      <rPr>
        <sz val="12"/>
        <rFont val="Arial"/>
        <family val="2"/>
      </rPr>
      <t>ESTIBADOR</t>
    </r>
  </si>
  <si>
    <r>
      <rPr>
        <sz val="12"/>
        <rFont val="Arial"/>
        <family val="2"/>
      </rPr>
      <t>ESTUDIANTE</t>
    </r>
  </si>
  <si>
    <r>
      <rPr>
        <sz val="12"/>
        <rFont val="Arial"/>
        <family val="2"/>
      </rPr>
      <t>ETNÓLOGO</t>
    </r>
  </si>
  <si>
    <r>
      <rPr>
        <sz val="12"/>
        <rFont val="Arial"/>
        <family val="2"/>
      </rPr>
      <t>FARMACÉUTICO</t>
    </r>
  </si>
  <si>
    <r>
      <rPr>
        <sz val="12"/>
        <rFont val="Arial"/>
        <family val="2"/>
      </rPr>
      <t>FERRETERO</t>
    </r>
  </si>
  <si>
    <r>
      <rPr>
        <sz val="12"/>
        <rFont val="Arial"/>
        <family val="2"/>
      </rPr>
      <t>FERROCARRILERO</t>
    </r>
  </si>
  <si>
    <r>
      <rPr>
        <sz val="12"/>
        <rFont val="Arial"/>
        <family val="2"/>
      </rPr>
      <t>FÍSICO</t>
    </r>
  </si>
  <si>
    <r>
      <rPr>
        <sz val="12"/>
        <rFont val="Arial"/>
        <family val="2"/>
      </rPr>
      <t>FISICOTERAPISTA</t>
    </r>
  </si>
  <si>
    <r>
      <rPr>
        <sz val="12"/>
        <rFont val="Arial"/>
        <family val="2"/>
      </rPr>
      <t>FLORISTA</t>
    </r>
  </si>
  <si>
    <r>
      <rPr>
        <sz val="12"/>
        <rFont val="Arial"/>
        <family val="2"/>
      </rPr>
      <t>FOGONERO</t>
    </r>
  </si>
  <si>
    <r>
      <rPr>
        <sz val="12"/>
        <rFont val="Arial"/>
        <family val="2"/>
      </rPr>
      <t>FORRAJERO</t>
    </r>
  </si>
  <si>
    <r>
      <rPr>
        <sz val="12"/>
        <rFont val="Arial"/>
        <family val="2"/>
      </rPr>
      <t>FOTOGRABADOR</t>
    </r>
  </si>
  <si>
    <r>
      <rPr>
        <sz val="12"/>
        <rFont val="Arial"/>
        <family val="2"/>
      </rPr>
      <t>FOTÓGRAFO (no en guerra)</t>
    </r>
  </si>
  <si>
    <r>
      <rPr>
        <sz val="12"/>
        <rFont val="Arial"/>
        <family val="2"/>
      </rPr>
      <t>FOTÓGRAFO PERIODISTA</t>
    </r>
  </si>
  <si>
    <r>
      <rPr>
        <sz val="12"/>
        <rFont val="Arial"/>
        <family val="2"/>
      </rPr>
      <t>FRONTONISTA DE CESTA</t>
    </r>
  </si>
  <si>
    <r>
      <rPr>
        <sz val="12"/>
        <rFont val="Arial"/>
        <family val="2"/>
      </rPr>
      <t>FRUTERO</t>
    </r>
  </si>
  <si>
    <r>
      <rPr>
        <sz val="12"/>
        <rFont val="Arial"/>
        <family val="2"/>
      </rPr>
      <t>FRUTICULTOR</t>
    </r>
  </si>
  <si>
    <r>
      <rPr>
        <sz val="12"/>
        <rFont val="Arial"/>
        <family val="2"/>
      </rPr>
      <t>FUMIGADOR (no piloto)</t>
    </r>
  </si>
  <si>
    <r>
      <rPr>
        <sz val="12"/>
        <rFont val="Arial"/>
        <family val="2"/>
      </rPr>
      <t>FUTBOLISTA (Profesional)</t>
    </r>
  </si>
  <si>
    <r>
      <rPr>
        <sz val="12"/>
        <rFont val="Arial"/>
        <family val="2"/>
      </rPr>
      <t>GANADERO</t>
    </r>
  </si>
  <si>
    <r>
      <rPr>
        <sz val="12"/>
        <rFont val="Arial"/>
        <family val="2"/>
      </rPr>
      <t>GEÓLOGO</t>
    </r>
  </si>
  <si>
    <r>
      <rPr>
        <sz val="12"/>
        <rFont val="Arial"/>
        <family val="2"/>
      </rPr>
      <t>GRABADOR</t>
    </r>
  </si>
  <si>
    <r>
      <rPr>
        <sz val="12"/>
        <rFont val="Arial"/>
        <family val="2"/>
      </rPr>
      <t>GUARDABOSQUE</t>
    </r>
  </si>
  <si>
    <r>
      <rPr>
        <sz val="12"/>
        <rFont val="Arial"/>
        <family val="2"/>
      </rPr>
      <t>GUÍA DE TURISTAS</t>
    </r>
  </si>
  <si>
    <r>
      <rPr>
        <sz val="12"/>
        <rFont val="Arial"/>
        <family val="2"/>
      </rPr>
      <t>HERRERO</t>
    </r>
  </si>
  <si>
    <r>
      <rPr>
        <sz val="12"/>
        <rFont val="Arial"/>
        <family val="2"/>
      </rPr>
      <t>HOJALATERO</t>
    </r>
  </si>
  <si>
    <r>
      <rPr>
        <sz val="12"/>
        <rFont val="Arial"/>
        <family val="2"/>
      </rPr>
      <t>HORTELANO</t>
    </r>
  </si>
  <si>
    <r>
      <rPr>
        <sz val="12"/>
        <rFont val="Arial"/>
        <family val="2"/>
      </rPr>
      <t>HOTELERO</t>
    </r>
  </si>
  <si>
    <r>
      <rPr>
        <sz val="12"/>
        <rFont val="Arial"/>
        <family val="2"/>
      </rPr>
      <t>IMPRESOR</t>
    </r>
  </si>
  <si>
    <r>
      <rPr>
        <sz val="12"/>
        <rFont val="Arial"/>
        <family val="2"/>
      </rPr>
      <t>INGENIERO (cualquier especialidad)</t>
    </r>
  </si>
  <si>
    <r>
      <rPr>
        <sz val="12"/>
        <rFont val="Arial"/>
        <family val="2"/>
      </rPr>
      <t>INSTRUMENTISTA (de música)</t>
    </r>
  </si>
  <si>
    <r>
      <rPr>
        <sz val="12"/>
        <rFont val="Arial"/>
        <family val="2"/>
      </rPr>
      <t>JABONERO</t>
    </r>
  </si>
  <si>
    <r>
      <rPr>
        <sz val="12"/>
        <rFont val="Arial"/>
        <family val="2"/>
      </rPr>
      <t>JARDINERO</t>
    </r>
  </si>
  <si>
    <r>
      <rPr>
        <sz val="12"/>
        <rFont val="Arial"/>
        <family val="2"/>
      </rPr>
      <t>JOCKEY</t>
    </r>
  </si>
  <si>
    <r>
      <rPr>
        <sz val="12"/>
        <rFont val="Arial"/>
        <family val="2"/>
      </rPr>
      <t>JOYERO</t>
    </r>
  </si>
  <si>
    <r>
      <rPr>
        <sz val="12"/>
        <rFont val="Arial"/>
        <family val="2"/>
      </rPr>
      <t>LAVADOR DE ROPA</t>
    </r>
  </si>
  <si>
    <r>
      <rPr>
        <sz val="12"/>
        <rFont val="Arial"/>
        <family val="2"/>
      </rPr>
      <t>LAVADOR DE COCHES</t>
    </r>
  </si>
  <si>
    <r>
      <rPr>
        <sz val="12"/>
        <rFont val="Arial"/>
        <family val="2"/>
      </rPr>
      <t>LAVANDERA</t>
    </r>
  </si>
  <si>
    <r>
      <rPr>
        <sz val="12"/>
        <rFont val="Arial"/>
        <family val="2"/>
      </rPr>
      <t>LABORATORISTA EMPLEADO DE LABORATORIO</t>
    </r>
  </si>
  <si>
    <r>
      <rPr>
        <sz val="12"/>
        <rFont val="Arial"/>
        <family val="2"/>
      </rPr>
      <t>LECHERO PROPIETARIO</t>
    </r>
  </si>
  <si>
    <r>
      <rPr>
        <sz val="12"/>
        <rFont val="Arial"/>
        <family val="2"/>
      </rPr>
      <t>LECHERO REPARTIDOR O EN ESTABLO</t>
    </r>
  </si>
  <si>
    <r>
      <rPr>
        <sz val="12"/>
        <rFont val="Arial"/>
        <family val="2"/>
      </rPr>
      <t>LIBRERO</t>
    </r>
  </si>
  <si>
    <r>
      <rPr>
        <sz val="12"/>
        <rFont val="Arial"/>
        <family val="2"/>
      </rPr>
      <t>LIMPIADOR DE VENTANAS</t>
    </r>
  </si>
  <si>
    <r>
      <rPr>
        <sz val="12"/>
        <rFont val="Arial"/>
        <family val="2"/>
      </rPr>
      <t>LINOTIPISTA</t>
    </r>
  </si>
  <si>
    <r>
      <rPr>
        <sz val="12"/>
        <rFont val="Arial"/>
        <family val="2"/>
      </rPr>
      <t>LOCUTOR</t>
    </r>
  </si>
  <si>
    <r>
      <rPr>
        <sz val="12"/>
        <rFont val="Arial"/>
        <family val="2"/>
      </rPr>
      <t>MADERERO</t>
    </r>
  </si>
  <si>
    <r>
      <rPr>
        <sz val="12"/>
        <rFont val="Arial"/>
        <family val="2"/>
      </rPr>
      <t>MANICURISTA</t>
    </r>
  </si>
  <si>
    <r>
      <rPr>
        <sz val="12"/>
        <rFont val="Arial"/>
        <family val="2"/>
      </rPr>
      <t>MARINERO (Jefes y Oficiales)</t>
    </r>
  </si>
  <si>
    <r>
      <rPr>
        <sz val="12"/>
        <rFont val="Arial"/>
        <family val="2"/>
      </rPr>
      <t>MARINEROS</t>
    </r>
  </si>
  <si>
    <r>
      <rPr>
        <sz val="12"/>
        <rFont val="Arial"/>
        <family val="2"/>
      </rPr>
      <t>MASAJISTA</t>
    </r>
  </si>
  <si>
    <r>
      <rPr>
        <sz val="12"/>
        <rFont val="Arial"/>
        <family val="2"/>
      </rPr>
      <t>MAESTRO DE ESCUELAS</t>
    </r>
  </si>
  <si>
    <r>
      <rPr>
        <sz val="12"/>
        <rFont val="Arial"/>
        <family val="2"/>
      </rPr>
      <t>MATERIALISTA</t>
    </r>
  </si>
  <si>
    <r>
      <rPr>
        <sz val="12"/>
        <rFont val="Arial"/>
        <family val="2"/>
      </rPr>
      <t>MAYORDOMO</t>
    </r>
  </si>
  <si>
    <r>
      <rPr>
        <sz val="12"/>
        <rFont val="Arial"/>
        <family val="2"/>
      </rPr>
      <t>MECÁNICO</t>
    </r>
  </si>
  <si>
    <r>
      <rPr>
        <sz val="12"/>
        <rFont val="Arial"/>
        <family val="2"/>
      </rPr>
      <t>MÉDICO DE CONSULTORIO</t>
    </r>
  </si>
  <si>
    <r>
      <rPr>
        <sz val="12"/>
        <rFont val="Arial"/>
        <family val="2"/>
      </rPr>
      <t>MENSAJERO</t>
    </r>
  </si>
  <si>
    <r>
      <rPr>
        <sz val="12"/>
        <rFont val="Arial"/>
        <family val="2"/>
      </rPr>
      <t>MESERO</t>
    </r>
  </si>
  <si>
    <r>
      <rPr>
        <sz val="12"/>
        <rFont val="Arial"/>
        <family val="2"/>
      </rPr>
      <t>METEORÓLOGO</t>
    </r>
  </si>
  <si>
    <r>
      <rPr>
        <sz val="12"/>
        <rFont val="Arial"/>
        <family val="2"/>
      </rPr>
      <t>MINERO</t>
    </r>
  </si>
  <si>
    <r>
      <rPr>
        <sz val="12"/>
        <rFont val="Arial"/>
        <family val="2"/>
      </rPr>
      <t>MISIONERO</t>
    </r>
  </si>
  <si>
    <r>
      <rPr>
        <sz val="12"/>
        <rFont val="Arial"/>
        <family val="2"/>
      </rPr>
      <t>MODELO</t>
    </r>
  </si>
  <si>
    <r>
      <rPr>
        <sz val="12"/>
        <rFont val="Arial"/>
        <family val="2"/>
      </rPr>
      <t>MODISTA</t>
    </r>
  </si>
  <si>
    <r>
      <rPr>
        <sz val="12"/>
        <rFont val="Arial"/>
        <family val="2"/>
      </rPr>
      <t>MOLINERO</t>
    </r>
  </si>
  <si>
    <r>
      <rPr>
        <sz val="12"/>
        <rFont val="Arial"/>
        <family val="2"/>
      </rPr>
      <t>MOTOCICLISTA (tránsito)</t>
    </r>
  </si>
  <si>
    <r>
      <rPr>
        <sz val="12"/>
        <rFont val="Arial"/>
        <family val="2"/>
      </rPr>
      <t>MOZO</t>
    </r>
  </si>
  <si>
    <r>
      <rPr>
        <sz val="12"/>
        <rFont val="Arial"/>
        <family val="2"/>
      </rPr>
      <t>MUEBLERO</t>
    </r>
  </si>
  <si>
    <r>
      <rPr>
        <sz val="12"/>
        <rFont val="Arial"/>
        <family val="2"/>
      </rPr>
      <t>MÚSICO</t>
    </r>
  </si>
  <si>
    <r>
      <rPr>
        <sz val="12"/>
        <rFont val="Arial"/>
        <family val="2"/>
      </rPr>
      <t>MÚSICO DE SINFÓNICA</t>
    </r>
  </si>
  <si>
    <r>
      <rPr>
        <sz val="12"/>
        <rFont val="Arial"/>
        <family val="2"/>
      </rPr>
      <t>OCULISTA</t>
    </r>
  </si>
  <si>
    <r>
      <rPr>
        <sz val="12"/>
        <rFont val="Arial"/>
        <family val="2"/>
      </rPr>
      <t>OFICINISTA</t>
    </r>
  </si>
  <si>
    <r>
      <rPr>
        <sz val="12"/>
        <rFont val="Arial"/>
        <family val="2"/>
      </rPr>
      <t>OPERADOR DE CINE</t>
    </r>
  </si>
  <si>
    <r>
      <rPr>
        <sz val="12"/>
        <rFont val="Arial"/>
        <family val="2"/>
      </rPr>
      <t>OPTOMETRISTA</t>
    </r>
  </si>
  <si>
    <r>
      <rPr>
        <sz val="12"/>
        <rFont val="Arial"/>
        <family val="2"/>
      </rPr>
      <t>OSTEÓPATA</t>
    </r>
  </si>
  <si>
    <r>
      <rPr>
        <sz val="12"/>
        <rFont val="Arial"/>
        <family val="2"/>
      </rPr>
      <t>PAGADOR</t>
    </r>
  </si>
  <si>
    <r>
      <rPr>
        <sz val="12"/>
        <rFont val="Arial"/>
        <family val="2"/>
      </rPr>
      <t>PANADERO</t>
    </r>
  </si>
  <si>
    <r>
      <rPr>
        <sz val="12"/>
        <rFont val="Arial"/>
        <family val="2"/>
      </rPr>
      <t>PEDICURISTA</t>
    </r>
  </si>
  <si>
    <r>
      <rPr>
        <sz val="12"/>
        <rFont val="Arial"/>
        <family val="2"/>
      </rPr>
      <t>PEINADORA</t>
    </r>
  </si>
  <si>
    <r>
      <rPr>
        <sz val="12"/>
        <rFont val="Arial"/>
        <family val="2"/>
      </rPr>
      <t>PELETERO O CURTIDOR</t>
    </r>
  </si>
  <si>
    <r>
      <rPr>
        <sz val="12"/>
        <rFont val="Arial"/>
        <family val="2"/>
      </rPr>
      <t>PELUQUERO</t>
    </r>
  </si>
  <si>
    <r>
      <rPr>
        <sz val="12"/>
        <rFont val="Arial"/>
        <family val="2"/>
      </rPr>
      <t>PERFORADOR DE MINAS</t>
    </r>
  </si>
  <si>
    <r>
      <rPr>
        <sz val="12"/>
        <rFont val="Arial"/>
        <family val="2"/>
      </rPr>
      <t>PERFORADOR DE POZOS</t>
    </r>
  </si>
  <si>
    <r>
      <rPr>
        <sz val="12"/>
        <rFont val="Arial"/>
        <family val="2"/>
      </rPr>
      <t>PERIODISTA</t>
    </r>
  </si>
  <si>
    <r>
      <rPr>
        <sz val="12"/>
        <rFont val="Arial"/>
        <family val="2"/>
      </rPr>
      <t>PESCADOR</t>
    </r>
  </si>
  <si>
    <r>
      <rPr>
        <sz val="12"/>
        <rFont val="Arial"/>
        <family val="2"/>
      </rPr>
      <t>PETROLERO</t>
    </r>
  </si>
  <si>
    <r>
      <rPr>
        <sz val="12"/>
        <rFont val="Arial"/>
        <family val="2"/>
      </rPr>
      <t>PILOTO (ver anexo)</t>
    </r>
  </si>
  <si>
    <r>
      <rPr>
        <sz val="12"/>
        <rFont val="Arial"/>
        <family val="2"/>
      </rPr>
      <t>PINTOR ARTISTA</t>
    </r>
  </si>
  <si>
    <r>
      <rPr>
        <sz val="12"/>
        <rFont val="Arial"/>
        <family val="2"/>
      </rPr>
      <t>PINTOR DE MUEBLES, VENTANAS Y CASAS, ETC.</t>
    </r>
  </si>
  <si>
    <r>
      <rPr>
        <sz val="12"/>
        <rFont val="Arial"/>
        <family val="2"/>
      </rPr>
      <t>PLATERO</t>
    </r>
  </si>
  <si>
    <r>
      <rPr>
        <sz val="12"/>
        <rFont val="Arial"/>
        <family val="2"/>
      </rPr>
      <t>PLOMERO</t>
    </r>
  </si>
  <si>
    <r>
      <rPr>
        <sz val="12"/>
        <rFont val="Arial"/>
        <family val="2"/>
      </rPr>
      <t>POLICÍA</t>
    </r>
  </si>
  <si>
    <r>
      <rPr>
        <sz val="12"/>
        <rFont val="Arial"/>
        <family val="2"/>
      </rPr>
      <t>PROFESOR</t>
    </r>
  </si>
  <si>
    <r>
      <rPr>
        <sz val="12"/>
        <rFont val="Arial"/>
        <family val="2"/>
      </rPr>
      <t>PUBLICISTA</t>
    </r>
  </si>
  <si>
    <r>
      <rPr>
        <sz val="12"/>
        <rFont val="Arial"/>
        <family val="2"/>
      </rPr>
      <t>PULIDOR DE PISOS Y MUEBLES</t>
    </r>
  </si>
  <si>
    <r>
      <rPr>
        <sz val="12"/>
        <rFont val="Arial"/>
        <family val="2"/>
      </rPr>
      <t>QUESERO</t>
    </r>
  </si>
  <si>
    <r>
      <rPr>
        <sz val="12"/>
        <rFont val="Arial"/>
        <family val="2"/>
      </rPr>
      <t>QUÍMICO</t>
    </r>
  </si>
  <si>
    <r>
      <rPr>
        <sz val="12"/>
        <rFont val="Arial"/>
        <family val="2"/>
      </rPr>
      <t>QUIROPRÁCTICO</t>
    </r>
  </si>
  <si>
    <r>
      <rPr>
        <sz val="12"/>
        <rFont val="Arial"/>
        <family val="2"/>
      </rPr>
      <t>RADIÓLOGO</t>
    </r>
  </si>
  <si>
    <r>
      <rPr>
        <sz val="12"/>
        <rFont val="Arial"/>
        <family val="2"/>
      </rPr>
      <t>RADIO-FABRICANTE</t>
    </r>
  </si>
  <si>
    <r>
      <rPr>
        <sz val="12"/>
        <rFont val="Arial"/>
        <family val="2"/>
      </rPr>
      <t>RADIO-INSTALADOR DE ANTENAS</t>
    </r>
  </si>
  <si>
    <r>
      <rPr>
        <sz val="12"/>
        <rFont val="Arial"/>
        <family val="2"/>
      </rPr>
      <t>RADIO-OPERADOR</t>
    </r>
  </si>
  <si>
    <r>
      <rPr>
        <sz val="12"/>
        <rFont val="Arial"/>
        <family val="2"/>
      </rPr>
      <t>RADIOTERAPISTA</t>
    </r>
  </si>
  <si>
    <r>
      <rPr>
        <sz val="12"/>
        <rFont val="Arial"/>
        <family val="2"/>
      </rPr>
      <t>RELOJERO</t>
    </r>
  </si>
  <si>
    <r>
      <rPr>
        <sz val="12"/>
        <rFont val="Arial"/>
        <family val="2"/>
      </rPr>
      <t>RENTISTA</t>
    </r>
  </si>
  <si>
    <r>
      <rPr>
        <sz val="12"/>
        <rFont val="Arial"/>
        <family val="2"/>
      </rPr>
      <t>REPARTIDOR DE PAN, LECHE, CARNE, ETC.</t>
    </r>
  </si>
  <si>
    <r>
      <rPr>
        <sz val="12"/>
        <rFont val="Arial"/>
        <family val="2"/>
      </rPr>
      <t>SACERDOTE</t>
    </r>
  </si>
  <si>
    <r>
      <rPr>
        <sz val="12"/>
        <rFont val="Arial"/>
        <family val="2"/>
      </rPr>
      <t>SALINERO</t>
    </r>
  </si>
  <si>
    <r>
      <rPr>
        <sz val="12"/>
        <rFont val="Arial"/>
        <family val="2"/>
      </rPr>
      <t>SALVAVIDAS</t>
    </r>
  </si>
  <si>
    <r>
      <rPr>
        <sz val="12"/>
        <rFont val="Arial"/>
        <family val="2"/>
      </rPr>
      <t>SASTRE</t>
    </r>
  </si>
  <si>
    <r>
      <rPr>
        <sz val="12"/>
        <rFont val="Arial"/>
        <family val="2"/>
      </rPr>
      <t>SEPULTURERO</t>
    </r>
  </si>
  <si>
    <r>
      <rPr>
        <sz val="12"/>
        <rFont val="Arial"/>
        <family val="2"/>
      </rPr>
      <t>SOLDADOR</t>
    </r>
  </si>
  <si>
    <r>
      <rPr>
        <sz val="12"/>
        <rFont val="Arial"/>
        <family val="2"/>
      </rPr>
      <t>SOBRECARGO Ver "Piloto Aviador"</t>
    </r>
  </si>
  <si>
    <r>
      <rPr>
        <sz val="12"/>
        <rFont val="Arial"/>
        <family val="2"/>
      </rPr>
      <t>SOBRESTANTE</t>
    </r>
  </si>
  <si>
    <r>
      <rPr>
        <sz val="12"/>
        <rFont val="Arial"/>
        <family val="2"/>
      </rPr>
      <t>SOMBRERERO</t>
    </r>
  </si>
  <si>
    <r>
      <rPr>
        <sz val="12"/>
        <rFont val="Arial"/>
        <family val="2"/>
      </rPr>
      <t>TABAQUERO</t>
    </r>
  </si>
  <si>
    <r>
      <rPr>
        <sz val="12"/>
        <rFont val="Arial"/>
        <family val="2"/>
      </rPr>
      <t>TALABARTERO</t>
    </r>
  </si>
  <si>
    <r>
      <rPr>
        <sz val="12"/>
        <rFont val="Arial"/>
        <family val="2"/>
      </rPr>
      <t>TAPICERO</t>
    </r>
  </si>
  <si>
    <r>
      <rPr>
        <sz val="12"/>
        <rFont val="Arial"/>
        <family val="2"/>
      </rPr>
      <t>TELEFONISTA, OPERADOR, INSTALADOR Y TÉCNICO</t>
    </r>
  </si>
  <si>
    <r>
      <rPr>
        <sz val="12"/>
        <rFont val="Arial"/>
        <family val="2"/>
      </rPr>
      <t>TELEGRAFISTA</t>
    </r>
  </si>
  <si>
    <r>
      <rPr>
        <sz val="12"/>
        <rFont val="Arial"/>
        <family val="2"/>
      </rPr>
      <t>TEJEDOR</t>
    </r>
  </si>
  <si>
    <r>
      <rPr>
        <sz val="12"/>
        <rFont val="Arial"/>
        <family val="2"/>
      </rPr>
      <t>TENDERO</t>
    </r>
  </si>
  <si>
    <r>
      <rPr>
        <sz val="12"/>
        <rFont val="Arial"/>
        <family val="2"/>
      </rPr>
      <t>TENISTA PROFESIONAL</t>
    </r>
  </si>
  <si>
    <r>
      <rPr>
        <sz val="12"/>
        <rFont val="Arial"/>
        <family val="2"/>
      </rPr>
      <t>TINTORERO</t>
    </r>
  </si>
  <si>
    <r>
      <rPr>
        <sz val="12"/>
        <rFont val="Arial"/>
        <family val="2"/>
      </rPr>
      <t>TLAPALERO</t>
    </r>
  </si>
  <si>
    <r>
      <rPr>
        <sz val="12"/>
        <rFont val="Arial"/>
        <family val="2"/>
      </rPr>
      <t>TOPÓGRAFO</t>
    </r>
  </si>
  <si>
    <r>
      <rPr>
        <sz val="12"/>
        <rFont val="Arial"/>
        <family val="2"/>
      </rPr>
      <t>TORERO</t>
    </r>
  </si>
  <si>
    <r>
      <rPr>
        <sz val="12"/>
        <rFont val="Arial"/>
        <family val="2"/>
      </rPr>
      <t>TORNERO</t>
    </r>
  </si>
  <si>
    <r>
      <rPr>
        <sz val="12"/>
        <rFont val="Arial"/>
        <family val="2"/>
      </rPr>
      <t>TRAPECISTA</t>
    </r>
  </si>
  <si>
    <r>
      <rPr>
        <sz val="12"/>
        <rFont val="Arial"/>
        <family val="2"/>
      </rPr>
      <t>TROQUELADOR</t>
    </r>
  </si>
  <si>
    <r>
      <rPr>
        <sz val="12"/>
        <rFont val="Arial"/>
        <family val="2"/>
      </rPr>
      <t>VALUADOR</t>
    </r>
  </si>
  <si>
    <r>
      <rPr>
        <sz val="12"/>
        <rFont val="Arial"/>
        <family val="2"/>
      </rPr>
      <t>VAQUERO</t>
    </r>
  </si>
  <si>
    <r>
      <rPr>
        <sz val="12"/>
        <rFont val="Arial"/>
        <family val="2"/>
      </rPr>
      <t>VELADOR</t>
    </r>
  </si>
  <si>
    <r>
      <rPr>
        <sz val="12"/>
        <rFont val="Arial"/>
        <family val="2"/>
      </rPr>
      <t>VETERINARIO</t>
    </r>
  </si>
  <si>
    <r>
      <rPr>
        <sz val="12"/>
        <rFont val="Arial"/>
        <family val="2"/>
      </rPr>
      <t>VIDRIERO</t>
    </r>
  </si>
  <si>
    <r>
      <rPr>
        <sz val="12"/>
        <rFont val="Arial"/>
        <family val="2"/>
      </rPr>
      <t>VITIVINICULTOR</t>
    </r>
  </si>
  <si>
    <r>
      <rPr>
        <sz val="12"/>
        <rFont val="Arial"/>
        <family val="2"/>
      </rPr>
      <t>VULCANIZADOR</t>
    </r>
  </si>
  <si>
    <r>
      <rPr>
        <sz val="12"/>
        <rFont val="Arial"/>
        <family val="2"/>
      </rPr>
      <t>VULCANÓLOGO</t>
    </r>
  </si>
  <si>
    <r>
      <rPr>
        <sz val="12"/>
        <rFont val="Arial"/>
        <family val="2"/>
      </rPr>
      <t>ZAPATERO</t>
    </r>
  </si>
  <si>
    <r>
      <rPr>
        <sz val="12"/>
        <rFont val="Arial"/>
        <family val="2"/>
      </rPr>
      <t>ZOÓLOGO</t>
    </r>
  </si>
  <si>
    <t>OCUPACIÓN, PROFESIÓN O ACTIVIDAD ESPECÍFICA</t>
  </si>
  <si>
    <t>EN LA CALLE</t>
  </si>
  <si>
    <t>EN VIAJE</t>
  </si>
  <si>
    <t>EN OFNA., TIENDA, DESPACHO, LABORATORIO, ETC.</t>
  </si>
  <si>
    <t>SUPERVISANDO</t>
  </si>
  <si>
    <t>SIN MANEJO DE HERRAMIENTA</t>
  </si>
  <si>
    <t>CON MANEJO DE HERRAMIENTA</t>
  </si>
  <si>
    <t>CON MANEJO DE MAQUINARIA LIGERA</t>
  </si>
  <si>
    <t>CON MANEJO DE MAQUINARIA PESADA</t>
  </si>
  <si>
    <t>OTROS EMPLEOS O ACTIVIDADES</t>
  </si>
  <si>
    <t>OCUPACIÓN</t>
  </si>
  <si>
    <t>DESPLAZÁNDOSE_CON_MUCHA_FRECUENCIA</t>
  </si>
  <si>
    <t>EN_LUGARES_FIJOS</t>
  </si>
  <si>
    <t>Conyuge</t>
  </si>
  <si>
    <t>Dep 1</t>
  </si>
  <si>
    <t>Dep 2</t>
  </si>
  <si>
    <t>Dep 3</t>
  </si>
  <si>
    <t>Dep 4</t>
  </si>
  <si>
    <t>Dep 5</t>
  </si>
  <si>
    <t>Dep 6</t>
  </si>
  <si>
    <t>Prima</t>
  </si>
  <si>
    <t>TOTAL</t>
  </si>
  <si>
    <t>(La suma asegurada de las coberturas opcionales no puede ser mayor a la de Muerte Accidental)</t>
  </si>
  <si>
    <t>(Si desea volver a cotizar, el botón LIMPIAR eliminará la información de asegurados anteriores)</t>
  </si>
  <si>
    <r>
      <t xml:space="preserve">2. Seleccione la cantidad de </t>
    </r>
    <r>
      <rPr>
        <b/>
        <sz val="10"/>
        <color theme="5" tint="-0.249977111117893"/>
        <rFont val="Tahoma"/>
        <family val="2"/>
      </rPr>
      <t>DÍAS</t>
    </r>
    <r>
      <rPr>
        <sz val="10"/>
        <rFont val="Tahoma"/>
        <family val="2"/>
      </rPr>
      <t xml:space="preserve"> (en caso de elegir cotización a Corto Plazo)</t>
    </r>
  </si>
  <si>
    <t>CONTADOR</t>
  </si>
  <si>
    <t>AMA DE CASA</t>
  </si>
  <si>
    <t>Dependiente 1</t>
  </si>
  <si>
    <t>Dependiente 2</t>
  </si>
  <si>
    <t>Dependiente 3</t>
  </si>
  <si>
    <t>Dependiente 4</t>
  </si>
  <si>
    <t>Dependiente 5</t>
  </si>
  <si>
    <t>Dependiente 6</t>
  </si>
  <si>
    <t>CORREDOR PROFESIONAL DE AUTOMÓVILES
Consideración Individual</t>
  </si>
  <si>
    <t>CORRESPONSAL DE GUERRA</t>
  </si>
  <si>
    <t>TALABARTERO</t>
  </si>
  <si>
    <t>Deducible por Reembolso de Gastos Médicos por Accidente</t>
  </si>
  <si>
    <r>
      <t xml:space="preserve">1. Seleccione el </t>
    </r>
    <r>
      <rPr>
        <b/>
        <sz val="10"/>
        <color indexed="60"/>
        <rFont val="Tahoma"/>
        <family val="2"/>
      </rPr>
      <t>TIPO DE COTIZACIÓN (Anual o a Corto Plazo)</t>
    </r>
  </si>
  <si>
    <r>
      <t xml:space="preserve">3. Seleccione la </t>
    </r>
    <r>
      <rPr>
        <b/>
        <sz val="10"/>
        <color theme="5" tint="-0.249977111117893"/>
        <rFont val="Tahoma"/>
        <family val="2"/>
      </rPr>
      <t>SUMA ASEGURADA</t>
    </r>
    <r>
      <rPr>
        <sz val="10"/>
        <rFont val="Tahoma"/>
        <family val="2"/>
      </rPr>
      <t xml:space="preserve"> para muerte accidental deseada (Básica)</t>
    </r>
  </si>
  <si>
    <r>
      <t>4. Seleccione si desea</t>
    </r>
    <r>
      <rPr>
        <sz val="10"/>
        <color theme="1"/>
        <rFont val="Tahoma"/>
        <family val="2"/>
      </rPr>
      <t xml:space="preserve"> cobertura de</t>
    </r>
    <r>
      <rPr>
        <b/>
        <sz val="10"/>
        <color theme="5" tint="-0.249977111117893"/>
        <rFont val="Tahoma"/>
        <family val="2"/>
      </rPr>
      <t xml:space="preserve"> PÉRDIDAS ORGÁNICAS</t>
    </r>
    <r>
      <rPr>
        <sz val="10"/>
        <rFont val="Tahoma"/>
        <family val="2"/>
      </rPr>
      <t>, y el tipo (A ó B)</t>
    </r>
  </si>
  <si>
    <r>
      <t xml:space="preserve">5. Seleccione la </t>
    </r>
    <r>
      <rPr>
        <b/>
        <sz val="10"/>
        <color theme="5" tint="-0.249977111117893"/>
        <rFont val="Tahoma"/>
        <family val="2"/>
      </rPr>
      <t>SUMA ASEGURADA</t>
    </r>
    <r>
      <rPr>
        <sz val="10"/>
        <rFont val="Tahoma"/>
        <family val="2"/>
      </rPr>
      <t xml:space="preserve"> deseada para la cobertura de Pérdidas Orgánicas</t>
    </r>
  </si>
  <si>
    <r>
      <t>6. Seleccione si desea la cobertura de</t>
    </r>
    <r>
      <rPr>
        <b/>
        <sz val="10"/>
        <color theme="5" tint="-0.249977111117893"/>
        <rFont val="Tahoma"/>
        <family val="2"/>
      </rPr>
      <t xml:space="preserve"> REEMBOLSO DE GASTOS MÉDICOS POR ACCIDENTE</t>
    </r>
  </si>
  <si>
    <r>
      <t xml:space="preserve">7. Seleccione la </t>
    </r>
    <r>
      <rPr>
        <b/>
        <sz val="10"/>
        <color indexed="60"/>
        <rFont val="Tahoma"/>
        <family val="2"/>
      </rPr>
      <t xml:space="preserve">SUMA ASEGURADA y DEDUCIBLE </t>
    </r>
    <r>
      <rPr>
        <sz val="10"/>
        <color theme="1"/>
        <rFont val="Tahoma"/>
        <family val="2"/>
      </rPr>
      <t>para el reembolso de gastos médicos por accidente</t>
    </r>
  </si>
  <si>
    <t>ABARROTERO</t>
  </si>
  <si>
    <t>ABOGADO</t>
  </si>
  <si>
    <t>ACTUARIO</t>
  </si>
  <si>
    <t>AGENTE DE COMPRAS</t>
  </si>
  <si>
    <t>AGENTE SECRETO</t>
  </si>
  <si>
    <t>AGRICULTOR</t>
  </si>
  <si>
    <t>AJUSTADOR DE SEGUROS</t>
  </si>
  <si>
    <t>ALCALDE</t>
  </si>
  <si>
    <t>ALFARERO</t>
  </si>
  <si>
    <t>ALIJADOR</t>
  </si>
  <si>
    <t>ALPINISTA PROFESIONAL</t>
  </si>
  <si>
    <t>ANESTESIÓLOGO</t>
  </si>
  <si>
    <t>ANTICUARIO</t>
  </si>
  <si>
    <t>APARADORISTA</t>
  </si>
  <si>
    <t>APICULTOR</t>
  </si>
  <si>
    <t>ARBITRO</t>
  </si>
  <si>
    <t>ARCHIVISTA</t>
  </si>
  <si>
    <t>ARQUITECTO</t>
  </si>
  <si>
    <t>ARTESANO</t>
  </si>
  <si>
    <t>ARTISTA, radio,TV,cine y teatro (Extras consideración individual)</t>
  </si>
  <si>
    <t>ARREGLISTA (MÚSICA)</t>
  </si>
  <si>
    <t>AUDITOR</t>
  </si>
  <si>
    <t>AVICULTOR</t>
  </si>
  <si>
    <t>BACTERIÓLOGO</t>
  </si>
  <si>
    <t>BAILARÍN</t>
  </si>
  <si>
    <t>BANDERILLERO</t>
  </si>
  <si>
    <t>BANQUERO</t>
  </si>
  <si>
    <t>BEISBOLISTA PROFESIONAL</t>
  </si>
  <si>
    <t>BIBLIOTECARIO</t>
  </si>
  <si>
    <t>BIÓLOGO</t>
  </si>
  <si>
    <t>BODEGUERO</t>
  </si>
  <si>
    <t>BOMBERO</t>
  </si>
  <si>
    <t>BOTÁNICO</t>
  </si>
  <si>
    <t>BOXEADOR PROFESIONAL
Consideración Individual</t>
  </si>
  <si>
    <t>BUZO PROFESIONAL
Consideración Individual</t>
  </si>
  <si>
    <t>CAJERO</t>
  </si>
  <si>
    <t>CAJISTA</t>
  </si>
  <si>
    <t>CANTINERO</t>
  </si>
  <si>
    <t>CARPINTERO</t>
  </si>
  <si>
    <t>CARTERO</t>
  </si>
  <si>
    <t>CAZADOR PROFESIONAL</t>
  </si>
  <si>
    <t>CELADOR</t>
  </si>
  <si>
    <t>CERRAJERO</t>
  </si>
  <si>
    <t>CIRUJANO</t>
  </si>
  <si>
    <t>COBRADOR</t>
  </si>
  <si>
    <t>COBRADOR usando motocicleta o motoneta</t>
  </si>
  <si>
    <t>COCINERO</t>
  </si>
  <si>
    <t>CRIADO DOMÉSTICO</t>
  </si>
  <si>
    <t>CONTRATISTA</t>
  </si>
  <si>
    <t>COMPOSITOR</t>
  </si>
  <si>
    <t>CORDELERO</t>
  </si>
  <si>
    <t>COREÓGRAFO</t>
  </si>
  <si>
    <t>CORRESPONSAL</t>
  </si>
  <si>
    <t>COSTURERA</t>
  </si>
  <si>
    <t>CULTORA DE BELLEZA</t>
  </si>
  <si>
    <t>CHOFER DE AMBULANCIA</t>
  </si>
  <si>
    <t>CHOFER DE CARRO BLINDADO</t>
  </si>
  <si>
    <t>CHOFER DE HASTA 3 TONELADAS</t>
  </si>
  <si>
    <t>CHOFER DE MÁS DE 3 TONELADAS</t>
  </si>
  <si>
    <t>CHOFER PARTICULAR</t>
  </si>
  <si>
    <t>CHOFER DE TAXI</t>
  </si>
  <si>
    <t>CHOFER DE CAMIÓN DE PASAJEROS
1a.</t>
  </si>
  <si>
    <t>CHOFER DE CAMIÓN DE PASAJEROS
2a.</t>
  </si>
  <si>
    <t>CHOFER PATRULLA</t>
  </si>
  <si>
    <t>CHOFER PICK UP</t>
  </si>
  <si>
    <t>DECORADOR</t>
  </si>
  <si>
    <t>DENTISTA</t>
  </si>
  <si>
    <t>DERMATÓLOGO</t>
  </si>
  <si>
    <t>DIBUJANTE</t>
  </si>
  <si>
    <t>DIPLOMÁTICO</t>
  </si>
  <si>
    <t>DIRECTOR DE ORQUESTA</t>
  </si>
  <si>
    <t>DISEÑADOR</t>
  </si>
  <si>
    <t>DOMADOR (fieras, caballos, perros)</t>
  </si>
  <si>
    <t>DULCERO</t>
  </si>
  <si>
    <t>EDITOR</t>
  </si>
  <si>
    <t>ELECTRICISTA</t>
  </si>
  <si>
    <t>ELEVADORISTA</t>
  </si>
  <si>
    <t>EMBAJADOR</t>
  </si>
  <si>
    <t>EMBALSAMADOR</t>
  </si>
  <si>
    <t>EMBOTELLADOR (vinos, cerveza, refrescos)</t>
  </si>
  <si>
    <t>EMPACADOR (de carne)</t>
  </si>
  <si>
    <t>ENCUADERNADOR</t>
  </si>
  <si>
    <t>ENFERMERA</t>
  </si>
  <si>
    <t>ESCRITOR</t>
  </si>
  <si>
    <t>ESCULTOR</t>
  </si>
  <si>
    <t>ESTEREOTIPISTA</t>
  </si>
  <si>
    <t>ESTIBADOR</t>
  </si>
  <si>
    <t>ESTUDIANTE</t>
  </si>
  <si>
    <t>ETNÓLOGO</t>
  </si>
  <si>
    <t>FARMACÉUTICO</t>
  </si>
  <si>
    <t>FERRETERO</t>
  </si>
  <si>
    <t>FERROCARRILERO</t>
  </si>
  <si>
    <t>FÍSICO</t>
  </si>
  <si>
    <t>FISICOTERAPISTA</t>
  </si>
  <si>
    <t>FLORISTA</t>
  </si>
  <si>
    <t>FOGONERO</t>
  </si>
  <si>
    <t>FORRAJERO</t>
  </si>
  <si>
    <t>FOTOGRABADOR</t>
  </si>
  <si>
    <t>FOTÓGRAFO (no en guerra)</t>
  </si>
  <si>
    <t>FOTÓGRAFO PERIODISTA</t>
  </si>
  <si>
    <t>FRONTONISTA DE CESTA</t>
  </si>
  <si>
    <t>FRUTERO</t>
  </si>
  <si>
    <t>FRUTICULTOR</t>
  </si>
  <si>
    <t>FUMIGADOR (no piloto)</t>
  </si>
  <si>
    <t>FUTBOLISTA (Profesional)</t>
  </si>
  <si>
    <t>GANADERO</t>
  </si>
  <si>
    <t>GEÓLOGO</t>
  </si>
  <si>
    <t>GRABADOR</t>
  </si>
  <si>
    <t>GUARDABOSQUE</t>
  </si>
  <si>
    <t>GUÍA DE TURISTAS</t>
  </si>
  <si>
    <t>HERRERO</t>
  </si>
  <si>
    <t>HOJALATERO</t>
  </si>
  <si>
    <t>HORTELANO</t>
  </si>
  <si>
    <t>HOTELERO</t>
  </si>
  <si>
    <t>IMPRESOR</t>
  </si>
  <si>
    <t>INGENIERO (cualquier especialidad)</t>
  </si>
  <si>
    <t>INSTRUMENTISTA (de música)</t>
  </si>
  <si>
    <t>JABONERO</t>
  </si>
  <si>
    <t>JARDINERO</t>
  </si>
  <si>
    <t>JOCKEY</t>
  </si>
  <si>
    <t>JOYERO</t>
  </si>
  <si>
    <t>LAVADOR DE ROPA</t>
  </si>
  <si>
    <t>LAVADOR DE COCHES</t>
  </si>
  <si>
    <t>LAVANDERA</t>
  </si>
  <si>
    <t>LABORATORISTA EMPLEADO DE LABORATORIO</t>
  </si>
  <si>
    <t>LECHERO PROPIETARIO</t>
  </si>
  <si>
    <t>LECHERO REPARTIDOR O EN ESTABLO</t>
  </si>
  <si>
    <t>LIBRERO</t>
  </si>
  <si>
    <t>LIMPIADOR DE VENTANAS</t>
  </si>
  <si>
    <t>LINOTIPISTA</t>
  </si>
  <si>
    <t>LOCUTOR</t>
  </si>
  <si>
    <t>MADERERO</t>
  </si>
  <si>
    <t>MANICURISTA</t>
  </si>
  <si>
    <t>MARINERO (Jefes y Oficiales)</t>
  </si>
  <si>
    <t>MARINEROS</t>
  </si>
  <si>
    <t>MASAJISTA</t>
  </si>
  <si>
    <t>MAESTRO DE ESCUELAS</t>
  </si>
  <si>
    <t>MATERIALISTA</t>
  </si>
  <si>
    <t>MAYORDOMO</t>
  </si>
  <si>
    <t>MECÁNICO</t>
  </si>
  <si>
    <t>MÉDICO DE CONSULTORIO</t>
  </si>
  <si>
    <t>MENSAJERO</t>
  </si>
  <si>
    <t>MESERO</t>
  </si>
  <si>
    <t>METEORÓLOGO</t>
  </si>
  <si>
    <t>MINERO</t>
  </si>
  <si>
    <t>MISIONERO</t>
  </si>
  <si>
    <t>MODELO</t>
  </si>
  <si>
    <t>MODISTA</t>
  </si>
  <si>
    <t>MOLINERO</t>
  </si>
  <si>
    <t>MOTOCICLISTA (tránsito)</t>
  </si>
  <si>
    <t>MOZO</t>
  </si>
  <si>
    <t>MUEBLERO</t>
  </si>
  <si>
    <t>MÚSICO</t>
  </si>
  <si>
    <t>MÚSICO DE SINFÓNICA</t>
  </si>
  <si>
    <t>OCULISTA</t>
  </si>
  <si>
    <t>OFICINISTA</t>
  </si>
  <si>
    <t>OPERADOR DE CINE</t>
  </si>
  <si>
    <t>OPTOMETRISTA</t>
  </si>
  <si>
    <t>OSTEÓPATA</t>
  </si>
  <si>
    <t>PAGADOR</t>
  </si>
  <si>
    <t>PANADERO</t>
  </si>
  <si>
    <t>PEDICURISTA</t>
  </si>
  <si>
    <t>PEINADORA</t>
  </si>
  <si>
    <t>PELETERO O CURTIDOR</t>
  </si>
  <si>
    <t>PELUQUERO</t>
  </si>
  <si>
    <t>PERFORADOR DE MINAS</t>
  </si>
  <si>
    <t>PERFORADOR DE POZOS</t>
  </si>
  <si>
    <t>PERIODISTA</t>
  </si>
  <si>
    <t>PESCADOR</t>
  </si>
  <si>
    <t>PETROLERO</t>
  </si>
  <si>
    <t>PILOTO (ver anexo)</t>
  </si>
  <si>
    <t>PINTOR ARTISTA</t>
  </si>
  <si>
    <t>PINTOR DE MUEBLES, VENTANAS Y CASAS, ETC.</t>
  </si>
  <si>
    <t>PLATERO</t>
  </si>
  <si>
    <t>PLOMERO</t>
  </si>
  <si>
    <t>POLICÍA</t>
  </si>
  <si>
    <t>PROFESOR</t>
  </si>
  <si>
    <t>PUBLICISTA</t>
  </si>
  <si>
    <t>PULIDOR DE PISOS Y MUEBLES</t>
  </si>
  <si>
    <t>QUESERO</t>
  </si>
  <si>
    <t>QUÍMICO</t>
  </si>
  <si>
    <t>QUIROPRÁCTICO</t>
  </si>
  <si>
    <t>RADIÓLOGO</t>
  </si>
  <si>
    <t>RADIO-FABRICANTE</t>
  </si>
  <si>
    <t>RADIO-INSTALADOR DE ANTENAS</t>
  </si>
  <si>
    <t>RADIO-OPERADOR</t>
  </si>
  <si>
    <t>RADIOTERAPISTA</t>
  </si>
  <si>
    <t>RELOJERO</t>
  </si>
  <si>
    <t>RENTISTA</t>
  </si>
  <si>
    <t>REPARTIDOR DE PAN, LECHE, CARNE, ETC.</t>
  </si>
  <si>
    <t>SACERDOTE</t>
  </si>
  <si>
    <t>SALINERO</t>
  </si>
  <si>
    <t>SALVAVIDAS</t>
  </si>
  <si>
    <t>SASTRE</t>
  </si>
  <si>
    <t>SEPULTURERO</t>
  </si>
  <si>
    <t>SOLDADOR</t>
  </si>
  <si>
    <t>SOBRECARGO Ver "Piloto Aviador"</t>
  </si>
  <si>
    <t>SOBRESTANTE</t>
  </si>
  <si>
    <t>SOMBRERERO</t>
  </si>
  <si>
    <t>TABAQUERO</t>
  </si>
  <si>
    <t>TAPICERO</t>
  </si>
  <si>
    <t>TELEFONISTA, OPERADOR, INSTALADOR Y TÉCNICO</t>
  </si>
  <si>
    <t>TELEGRAFISTA</t>
  </si>
  <si>
    <t>TEJEDOR</t>
  </si>
  <si>
    <t>TENDERO</t>
  </si>
  <si>
    <t>TENISTA PROFESIONAL</t>
  </si>
  <si>
    <t>TINTORERO</t>
  </si>
  <si>
    <t>TLAPALERO</t>
  </si>
  <si>
    <t>TOPÓGRAFO</t>
  </si>
  <si>
    <t>TORERO</t>
  </si>
  <si>
    <t>TORNERO</t>
  </si>
  <si>
    <t>TRAPECISTA</t>
  </si>
  <si>
    <t>TROQUELADOR</t>
  </si>
  <si>
    <t>VALUADOR</t>
  </si>
  <si>
    <t>VAQUERO</t>
  </si>
  <si>
    <t>VELADOR</t>
  </si>
  <si>
    <t>VETERINARIO</t>
  </si>
  <si>
    <t>VIDRIERO</t>
  </si>
  <si>
    <t>VITIVINICULTOR</t>
  </si>
  <si>
    <t>VULCANIZADOR</t>
  </si>
  <si>
    <t>VULCANÓLOGO</t>
  </si>
  <si>
    <t>ZAPATERO</t>
  </si>
  <si>
    <t>ZOÓLOGO</t>
  </si>
  <si>
    <t>Riesgo</t>
  </si>
  <si>
    <t>ABARROTERO (EN LA CALLE)</t>
  </si>
  <si>
    <t>ABARROTERO (EN VIAJE)</t>
  </si>
  <si>
    <t>AGENTE DE COMPRAS (EN LA CALLE)</t>
  </si>
  <si>
    <t>AGENTE DE COMPRAS (EN VIAJE)</t>
  </si>
  <si>
    <t>EXCLUIDO</t>
  </si>
  <si>
    <t>AGENTE DE VENTAS (EN LA CALLE)</t>
  </si>
  <si>
    <t>AGENTE DE VENTAS (EN VIAJE)</t>
  </si>
  <si>
    <t>AGRICULTOR (CON MANEJO DE MAQUINARIA LIGERA)</t>
  </si>
  <si>
    <t>AGRICULTOR (CON MANEJO DE HERRAMIENTA)</t>
  </si>
  <si>
    <t>ALBAÑIL (SUPERVISANDO)</t>
  </si>
  <si>
    <t>ALBAÑIL (CON MANEJO DE HERRAMIENTA)</t>
  </si>
  <si>
    <t>ALFARERO (CON MANEJO DE MAQUINARIA LIGERA)</t>
  </si>
  <si>
    <t>ANTICUARIO (EN VIAJE)</t>
  </si>
  <si>
    <t>APICULTOR (CON MANEJO DE MAQUINARIA LIGERA)</t>
  </si>
  <si>
    <t>ARTESANO (CON MANEJO DE MAQUINARIA LIGERA)</t>
  </si>
  <si>
    <t>ARTESANO (CON MANEJO D EMAQUINARIA PESADA)</t>
  </si>
  <si>
    <t>AUDITOR (EN VIAJE)</t>
  </si>
  <si>
    <t>AVICULTOR (CON MANEJO DE MAQUINARIA LIGERA)</t>
  </si>
  <si>
    <t>BODEGUERO (CON MANEJO DE MAQUINARIA LIGERA)</t>
  </si>
  <si>
    <t>CARPINTERO (CON MANEJO DE MAQUINARIA PESADA)</t>
  </si>
  <si>
    <t>CARPINTERO (CON MANEJO DE MAQUINARIA LIGERA)</t>
  </si>
  <si>
    <t>CERRAJERO (CON MANEJO DE MAQUINARIA LIGERA)</t>
  </si>
  <si>
    <t>CONTADOR (EN VIAJES)</t>
  </si>
  <si>
    <t>CONTRATISTA (EN VIAJE)</t>
  </si>
  <si>
    <t>CORDELERO (CON MANEJO DE MAQUINARIA LIGERA)</t>
  </si>
  <si>
    <t>CORDELERO (CON MANEJO DE MAQUINARIA PESADA)</t>
  </si>
  <si>
    <t>COSTURERA (CON MANEJO DE MAQUINARIA LIGERA)</t>
  </si>
  <si>
    <t>DIRECTOR DE ORQUESTA (EN VIAJE)</t>
  </si>
  <si>
    <t>DULCERO (CON USO DE MAQUINARIA PESADA)</t>
  </si>
  <si>
    <t>EDITOR (EN VIAJE)</t>
  </si>
  <si>
    <t>ELECTRICISTA (CON MANEJO DE MAQUINARIA LIGERA)</t>
  </si>
  <si>
    <t>ELECTRICISTA (CON MANEJO DE MAQUINARIA PESADA)</t>
  </si>
  <si>
    <t>EMBOTELLADOR (vinos, cerveza, refrescos) (CON MANEJO DE MAQUINARIA</t>
  </si>
  <si>
    <t>EMPACADOR (de carne) (CON MANEJO DE MAQUINARIA LIGERA)</t>
  </si>
  <si>
    <t>EMPACADOR (de carne) (CON MANEJO DE MAQUINARIA PESADA)</t>
  </si>
  <si>
    <t>ENCUADERNADOR (CON MANEJO DE MAQUINARIA LIGERA)</t>
  </si>
  <si>
    <t>ENCUADERNADOR (CON MANEJO DE MAQUINARIA PESADA)</t>
  </si>
  <si>
    <t>ENFERMERA (EN VIAJE)</t>
  </si>
  <si>
    <t>ESTEREOTIPISTA (EN VIAJE)</t>
  </si>
  <si>
    <t>ESTEREOTIPISTA (CON MANEJO DE HERRAMIENTA)</t>
  </si>
  <si>
    <t>FERROCARRILERO (CON MANEJO DE MAQUINARIA LIGERA)</t>
  </si>
  <si>
    <t>FERROCARRILERO (CON MANEJO DE MAQUINARIA PESADA)</t>
  </si>
  <si>
    <t>FORRAJERO (CON MANEJO DE MAQUINARIA LIGERA)</t>
  </si>
  <si>
    <t>FORRAJERO (CON MANEJO DE MAQUINARIA PESADA)</t>
  </si>
  <si>
    <t>FOTOGRABADOR (CON MANEJO DE MAQUINARIA LIGERA)</t>
  </si>
  <si>
    <t>FOTOGRABADOR (CON MANEJO DE MAQUINARIA PESADA)</t>
  </si>
  <si>
    <t>FRUTICULTOR (CON MANEJO DE MAQUINARIA LIGERA)</t>
  </si>
  <si>
    <t>FUMIGADOR (no piloto) (CON MANEJO DE MAQUINARIA LIGERA)</t>
  </si>
  <si>
    <t>FUMIGADOR (no piloto) (CON MANEJO DE MAQUINARIA PESADA)</t>
  </si>
  <si>
    <t>GRABADOR (CON MANEJO DE MAQUINARIA LIGERA)</t>
  </si>
  <si>
    <t>HERRERO (CON MANEJO DE HERRAMIENTA)</t>
  </si>
  <si>
    <t>HOJALATERO (CON MANEJO DE HERRAMIENTA)</t>
  </si>
  <si>
    <t>HORTELANO (CON MANEJO DE MAQUINARIA LIGERA)</t>
  </si>
  <si>
    <t>IMPRESOR (CON MANEJO DE MAQUINARIA LIGERA)</t>
  </si>
  <si>
    <t>IMPRESOR (CON MANEJO DE MAQUINARIA PESADA)</t>
  </si>
  <si>
    <t>INGENIERO (cualquier especialidad) (CON MANEJO DE MAQUINARIA LIGERA)</t>
  </si>
  <si>
    <t>INGENIERO (cualquier especialidad) (CON MANEJO DE MAQUINARIA PESADA)</t>
  </si>
  <si>
    <t>JABONERO (CON MANEJO DE MAQUINARIA LIGERA)</t>
  </si>
  <si>
    <t>JABONERO (CON MANEJO DE MAQUINARIA PESADA)</t>
  </si>
  <si>
    <t>LAVADOR DE ROPA (CON MANEJO DE MAQUINARIA LIGERA)</t>
  </si>
  <si>
    <t>LABORATORISTA EMPLEADO DE LABORATORIO (CON MANEJO DE MAQUINARIA LIGERA)</t>
  </si>
  <si>
    <t>LABORATORISTA EMPLEADO DE LABORATORIO (CON MANEJO DE MAQUINARIA PESADA)</t>
  </si>
  <si>
    <t>LINOTIPISTA (CON MANEJO DE MAQUINARIA PESADA)</t>
  </si>
  <si>
    <t>MADERERO (CON MANEJO DE MAQUINARIA)</t>
  </si>
  <si>
    <t>MATERIALISTA (CON MANEJO DE MAQUINARIA)</t>
  </si>
  <si>
    <t>MECÁNICO (CON MANEJO DE MAQUINARIA LIGERA)</t>
  </si>
  <si>
    <t>MECÁNICO (CON MANEJO DE MAQUINARIA PESADA)</t>
  </si>
  <si>
    <t>MOLINERO (CON MANEJO DE MAQUINARIA LIGERA)</t>
  </si>
  <si>
    <t>MOLINERO (CON MANEJO DE MAQUINARIA PESADA)</t>
  </si>
  <si>
    <t>MUEBLERO (CON MANEJO DE MAQUINARIA LIGERA)</t>
  </si>
  <si>
    <t>MUEBLERO (CON MANEJO DE MAQUINARIA PESADA)</t>
  </si>
  <si>
    <t>PANADERO (CON MANEJO DE MAQUINARIA LIGERA)</t>
  </si>
  <si>
    <t>PANADERO (CON MANEJO DE MAQUINARIA PESADA)</t>
  </si>
  <si>
    <t>PELETERO O CURTIDOR (CON MANEJO DE MAQUINARIA LIGERA)</t>
  </si>
  <si>
    <t>PELETERO O CURTIDOR (CON MANEJO DE MAQUINARIA PESADA)</t>
  </si>
  <si>
    <t>PINTOR DE MUEBLES, VENTANAS Y CASAS, ETC. (CON USO DE MAQUINARIA LIGERA)</t>
  </si>
  <si>
    <t>PULIDOR DE PISOS Y MUEBLES (CON MANEJO DE MAQUINARIA LIGERA)</t>
  </si>
  <si>
    <t>PLOMERO (CON MANEJO DE MAQUINARIA LIGERA)</t>
  </si>
  <si>
    <t>PLOMERO (CON MANEJO DE MAQUINARIA PESADA)</t>
  </si>
  <si>
    <t>PLATERO (CON MANEJO DE MAQUINARIA PESADA)</t>
  </si>
  <si>
    <t>PLATERO (CON MANEJO DE MAQUINARIA LIGERA)</t>
  </si>
  <si>
    <t>PULIDOR DE PISOS Y MUEBLES (CON MANEJO DE MAQUINARIA PESADA)</t>
  </si>
  <si>
    <t>RADIO-FABRICANTE (CON MANEJO DE MAQUINARIA LIGERA)</t>
  </si>
  <si>
    <t>RADIO-FABRICANTE (CON MANEJO DE MAQUINARIA PESADA)</t>
  </si>
  <si>
    <t>SALINERO (CON MANEJO DE MAQUINARIA LIGERA)</t>
  </si>
  <si>
    <t>SALINERO (CON MANEJO DE MAQUINARIA PESADA)</t>
  </si>
  <si>
    <t>SASTRE (CON MANEJO DE HERRAMIENTA)</t>
  </si>
  <si>
    <t>SOLDADOR (CON MANEJO DE MAQUINARIA LIGERA)</t>
  </si>
  <si>
    <t>SOLDADOR (CON MANEJO DE MAQUINARIA PESADA)</t>
  </si>
  <si>
    <t>SOMBRERERO (CON MANEJO DE MAQUINARIA LIGERA)</t>
  </si>
  <si>
    <t>SOMBRERERO (CON MANEJO DE MAQUINARIA PESADA)</t>
  </si>
  <si>
    <t>TABAQUERO (CON MANEJO DE MAQUINARIA LIGERA</t>
  </si>
  <si>
    <t>TABAQUERO (CON MANEJO DE MAQUINARIA PESADA)</t>
  </si>
  <si>
    <t>TALABARTERO (CON MANEJO DE HERRAMIENTA)</t>
  </si>
  <si>
    <t>TAPICERO (CON MANEJO DE HERRAMIENTA)</t>
  </si>
  <si>
    <t>TELEFONISTA, OPERADOR, INSTALADOR Y TÉCNICO (CON MANEJO DE MAQUINARIA LIGERA)</t>
  </si>
  <si>
    <t>TELEFONISTA, OPERADOR, INSTALADOR Y TÉCNICO (CON MANEJO DE MAQUINARIA PESADA)</t>
  </si>
  <si>
    <t>TELEGRAFISTA (CON MANEJO DE MAQUINARIA LIGERA)</t>
  </si>
  <si>
    <t>TELEGRAFISTA (CON MANEJO DE MAQUINARIA PESADA)</t>
  </si>
  <si>
    <t>TEJEDOR (CON MANEJO DE MAQUINARIA LIGERA)</t>
  </si>
  <si>
    <t>TEJEDOR (CON MANEJO DE MAQUINARIA PESADA)</t>
  </si>
  <si>
    <t>TENDERO (EN VIAJE)</t>
  </si>
  <si>
    <t>TINTORERO (CON MANEJO DE MAQUINARIA LIGERA)</t>
  </si>
  <si>
    <t>TORNERO (CON MANEJO DE MAQUINARIA LIGERA)</t>
  </si>
  <si>
    <t>TORNERO (CON MANEJO DE MAQUINARIA PESADA)</t>
  </si>
  <si>
    <t>TROQUELADOR (CON MANEJO DE MAQUINARIA LIGERA)</t>
  </si>
  <si>
    <t>TROQUELADOR (CON MANEJO DE MAQUINARIA PESADA)</t>
  </si>
  <si>
    <t>VIDRIERO (CON MANEJO DE MAQUINARIA LIGERA)</t>
  </si>
  <si>
    <t>VIDRIERO (CON MANEJO DE MAQUINARIA PESADA)</t>
  </si>
  <si>
    <t>VITIVINICULTOR (CON MANEJO DE MAQUINARIA LIGERA)</t>
  </si>
  <si>
    <t>VULCANIZADOR (CON MANEJO DE MAQUINARIA LIGERA)</t>
  </si>
  <si>
    <t>VULCANIZADOR (CON MANEJO DE MAQUINARIA PESADA)</t>
  </si>
  <si>
    <t>ZAPATERO (CON MANEJO DE MAQUINARIA LIGERA)</t>
  </si>
  <si>
    <t>ZAPATERO (CON MANEJO DE MAQUINARIA PESADA)</t>
  </si>
  <si>
    <r>
      <t xml:space="preserve">8. Llene el </t>
    </r>
    <r>
      <rPr>
        <b/>
        <sz val="10"/>
        <color indexed="60"/>
        <rFont val="Tahoma"/>
        <family val="2"/>
      </rPr>
      <t>NOMBRE, SEXO, EDAD y OCUPACIÓN</t>
    </r>
    <r>
      <rPr>
        <sz val="10"/>
        <rFont val="Tahoma"/>
        <family val="2"/>
      </rPr>
      <t xml:space="preserve"> del Titular, Cónyuge y Dependientes</t>
    </r>
    <r>
      <rPr>
        <i/>
        <sz val="10"/>
        <rFont val="Tahoma"/>
        <family val="2"/>
      </rPr>
      <t xml:space="preserve"> (si fuera el caso)</t>
    </r>
  </si>
  <si>
    <t>Ocupación</t>
  </si>
  <si>
    <t>(En caso de que la ocupación no se encuentre en la cotización, habrá que buscarla en la base de Profesiones, si está excluida no se podrá seleccionar y en caso de que no exista se tendrá que levantar un folio a suscripción para validar la profesión y asignarle un riesgo de ser el caso.)</t>
  </si>
  <si>
    <t>Comisión</t>
  </si>
  <si>
    <t>Cesión</t>
  </si>
  <si>
    <t>9. Si desea ceder comisión, introduzca la cantidad.</t>
  </si>
  <si>
    <t>10. Intruduzca nombre y clave de agente.</t>
  </si>
  <si>
    <r>
      <t xml:space="preserve">11. Si la cotización es correcta, proceda a </t>
    </r>
    <r>
      <rPr>
        <b/>
        <sz val="10"/>
        <color theme="5" tint="-0.249977111117893"/>
        <rFont val="Tahoma"/>
        <family val="2"/>
      </rPr>
      <t>FORMATO DE IMPRESIÓN</t>
    </r>
  </si>
  <si>
    <t>* El recargo por pago fraccionado está sujeto a cambio sin previo aviso.</t>
  </si>
  <si>
    <t>* Los pagos de forma Anual y Semestral se pueden realizar en efectivo.</t>
  </si>
  <si>
    <t>* La forma de pago Mensual y Trimestral son exclusivamente con cargo a cuenta de cheques, tarjeta de débito o tarjeta de crédito.</t>
  </si>
  <si>
    <t>Factor RGM</t>
  </si>
  <si>
    <t>Factor Sabe</t>
  </si>
  <si>
    <t>COBERTURA BÁSICA</t>
  </si>
  <si>
    <t>Clave</t>
  </si>
  <si>
    <t xml:space="preserve"> </t>
  </si>
  <si>
    <t>Debe de llenarse toda la información al momento de la cotización, de lo contrario no pintará la prima.</t>
  </si>
  <si>
    <t>Reembolso de Gastos Médicos por Accidente</t>
  </si>
  <si>
    <t>* Esta cotización tiene una validez de 15 días a partir de su fecha de elaboración. La edad límite de aceptación es hasta los 69 años.</t>
  </si>
  <si>
    <t>*Se ofrece pago fraccionado exclusivamente para aquellas pólizas que rebasen los $1,000 pesos de Prima Total.</t>
  </si>
  <si>
    <t>12. LA HOJA "IMPRESIÓN AGENTE" DEBE SER ANEXADA EN EL FOLIO PARA LA CORRECTA EMISIÓN.</t>
  </si>
  <si>
    <t>Tarifa AP Ind. Vig: Marzo 1, 2024</t>
  </si>
  <si>
    <t>Tarifa AP Ind. Vig: 01 Marzo, 2024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</si>
</sst>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5">
    <numFmt numFmtId="8" formatCode="&quot;$&quot;#,##0.00;[Red]\-&quot;$&quot;#,##0.00"/>
    <numFmt numFmtId="44" formatCode="_-&quot;$&quot;* #,##0.00_-;\-&quot;$&quot;* #,##0.00_-;_-&quot;$&quot;* &quot;-&quot;??_-;_-@_-"/>
    <numFmt numFmtId="43" formatCode="_-* #,##0.00_-;\-* #,##0.00_-;_-* &quot;-&quot;??_-;_-@_-"/>
    <numFmt numFmtId="164" formatCode="&quot;$&quot;\ #,##0.00_);[Red]\(&quot;$&quot;\ #,##0.00\)"/>
    <numFmt numFmtId="165" formatCode="_(* #,##0.00_);_(* \(#,##0.00\);_(* &quot;-&quot;??_);_(@_)"/>
    <numFmt numFmtId="166" formatCode="#,##0.000"/>
    <numFmt numFmtId="167" formatCode="mmmm\ d\,\ yyyy"/>
    <numFmt numFmtId="168" formatCode="_-* #,##0_-;\-* #,##0_-;_-* &quot;-&quot;??_-;_-@_-"/>
    <numFmt numFmtId="169" formatCode="0.0%"/>
    <numFmt numFmtId="170" formatCode="#,##0.0000000000"/>
    <numFmt numFmtId="171" formatCode="&quot;$&quot;###,###.00\ "/>
    <numFmt numFmtId="172" formatCode="&quot;$&quot;###,###.00"/>
    <numFmt numFmtId="173" formatCode="_-[$€-2]* #,##0.00_-;\-[$€-2]* #,##0.00_-;_-[$€-2]* &quot;-&quot;??_-"/>
    <numFmt numFmtId="174" formatCode="#,##0.0000"/>
    <numFmt numFmtId="175" formatCode="_-&quot;$&quot;* #,##0_-;\-&quot;$&quot;* #,##0_-;_-&quot;$&quot;* &quot;-&quot;??_-;_-@_-"/>
  </numFmts>
  <fonts count="58">
    <font>
      <sz val="10"/>
      <name val="Tahoma"/>
    </font>
    <font>
      <sz val="11"/>
      <color theme="1"/>
      <name val="Calibri"/>
      <family val="2"/>
      <scheme val="minor"/>
    </font>
    <font>
      <sz val="10"/>
      <name val="Tahoma"/>
      <family val="2"/>
    </font>
    <font>
      <sz val="10"/>
      <name val="Tahoma"/>
      <family val="2"/>
    </font>
    <font>
      <b/>
      <sz val="10"/>
      <name val="Tahoma"/>
      <family val="2"/>
    </font>
    <font>
      <b/>
      <sz val="8"/>
      <name val="Tahoma"/>
      <family val="2"/>
    </font>
    <font>
      <sz val="8"/>
      <name val="Tahoma"/>
      <family val="2"/>
    </font>
    <font>
      <b/>
      <sz val="12"/>
      <name val="Tahoma"/>
      <family val="2"/>
    </font>
    <font>
      <b/>
      <sz val="7"/>
      <name val="Tahoma"/>
      <family val="2"/>
    </font>
    <font>
      <sz val="7"/>
      <name val="Tahoma"/>
      <family val="2"/>
    </font>
    <font>
      <sz val="8"/>
      <color indexed="8"/>
      <name val="Tahoma"/>
      <family val="2"/>
    </font>
    <font>
      <b/>
      <sz val="8"/>
      <color indexed="60"/>
      <name val="Tahoma"/>
      <family val="2"/>
    </font>
    <font>
      <b/>
      <sz val="8"/>
      <color indexed="16"/>
      <name val="Tahoma"/>
      <family val="2"/>
    </font>
    <font>
      <sz val="8"/>
      <color indexed="60"/>
      <name val="Tahoma"/>
      <family val="2"/>
    </font>
    <font>
      <sz val="10"/>
      <name val="Arial"/>
      <family val="2"/>
    </font>
    <font>
      <b/>
      <sz val="10"/>
      <color indexed="10"/>
      <name val="Tahoma"/>
      <family val="2"/>
    </font>
    <font>
      <b/>
      <sz val="9"/>
      <color indexed="9"/>
      <name val="Tahoma"/>
      <family val="2"/>
    </font>
    <font>
      <b/>
      <sz val="10"/>
      <color indexed="9"/>
      <name val="Tahoma"/>
      <family val="2"/>
    </font>
    <font>
      <sz val="9"/>
      <name val="Tahoma"/>
      <family val="2"/>
    </font>
    <font>
      <b/>
      <sz val="9"/>
      <name val="Tahoma"/>
      <family val="2"/>
    </font>
    <font>
      <b/>
      <sz val="10"/>
      <name val="Segoe UI Symbol"/>
      <family val="2"/>
    </font>
    <font>
      <b/>
      <sz val="8"/>
      <color theme="0"/>
      <name val="Tahoma"/>
      <family val="2"/>
    </font>
    <font>
      <b/>
      <sz val="9"/>
      <color theme="0"/>
      <name val="Tahoma"/>
      <family val="2"/>
    </font>
    <font>
      <b/>
      <sz val="8"/>
      <color rgb="FFFF0000"/>
      <name val="Tahoma"/>
      <family val="2"/>
    </font>
    <font>
      <b/>
      <sz val="10"/>
      <color theme="0"/>
      <name val="Tahoma"/>
      <family val="2"/>
    </font>
    <font>
      <sz val="7"/>
      <color theme="0"/>
      <name val="Tahoma"/>
      <family val="2"/>
    </font>
    <font>
      <b/>
      <sz val="8"/>
      <color theme="5" tint="-0.499984740745262"/>
      <name val="Tahoma"/>
      <family val="2"/>
    </font>
    <font>
      <b/>
      <sz val="9"/>
      <name val="Segoe UI Symbol"/>
      <family val="2"/>
    </font>
    <font>
      <b/>
      <sz val="8"/>
      <name val="Segoe UI Symbol"/>
      <family val="2"/>
    </font>
    <font>
      <b/>
      <sz val="8"/>
      <color indexed="16"/>
      <name val="Segoe UI Symbol"/>
      <family val="2"/>
    </font>
    <font>
      <sz val="14"/>
      <name val="Narkisim"/>
      <family val="2"/>
      <charset val="177"/>
    </font>
    <font>
      <b/>
      <sz val="11"/>
      <name val="Tahoma"/>
      <family val="2"/>
    </font>
    <font>
      <b/>
      <sz val="10"/>
      <color indexed="60"/>
      <name val="Tahoma"/>
      <family val="2"/>
    </font>
    <font>
      <b/>
      <sz val="10"/>
      <color rgb="FFC00000"/>
      <name val="Tahoma"/>
      <family val="2"/>
    </font>
    <font>
      <i/>
      <sz val="10"/>
      <name val="Tahoma"/>
      <family val="2"/>
    </font>
    <font>
      <sz val="16"/>
      <color rgb="FFC00000"/>
      <name val="Tahoma"/>
      <family val="2"/>
    </font>
    <font>
      <b/>
      <sz val="9"/>
      <color indexed="60"/>
      <name val="Narkisim"/>
      <family val="2"/>
      <charset val="177"/>
    </font>
    <font>
      <sz val="8"/>
      <color theme="0"/>
      <name val="Tahoma"/>
      <family val="2"/>
    </font>
    <font>
      <b/>
      <sz val="12"/>
      <color rgb="FFC00000"/>
      <name val="Tahoma"/>
      <family val="2"/>
    </font>
    <font>
      <sz val="10"/>
      <name val="ArialMT"/>
    </font>
    <font>
      <b/>
      <sz val="10"/>
      <color indexed="9"/>
      <name val="Arial"/>
      <family val="2"/>
    </font>
    <font>
      <b/>
      <sz val="10"/>
      <name val="Arial"/>
      <family val="2"/>
    </font>
    <font>
      <sz val="10"/>
      <color rgb="FFFF0000"/>
      <name val="Tahoma"/>
      <family val="2"/>
    </font>
    <font>
      <b/>
      <sz val="7"/>
      <color theme="0"/>
      <name val="Tahoma"/>
      <family val="2"/>
    </font>
    <font>
      <sz val="7"/>
      <color rgb="FFFF0000"/>
      <name val="Tahoma"/>
      <family val="2"/>
    </font>
    <font>
      <sz val="8"/>
      <color rgb="FFFF0000"/>
      <name val="Tahoma"/>
      <family val="2"/>
    </font>
    <font>
      <sz val="10"/>
      <color theme="0"/>
      <name val="Tahoma"/>
      <family val="2"/>
    </font>
    <font>
      <sz val="12"/>
      <name val="Arial"/>
      <family val="2"/>
    </font>
    <font>
      <b/>
      <sz val="11"/>
      <color theme="0"/>
      <name val="Arial"/>
      <family val="2"/>
    </font>
    <font>
      <sz val="11"/>
      <name val="Arial"/>
      <family val="2"/>
    </font>
    <font>
      <sz val="10"/>
      <color rgb="FF000000"/>
      <name val="Tahoma"/>
      <family val="2"/>
    </font>
    <font>
      <sz val="10"/>
      <name val="Tahoma"/>
      <family val="2"/>
    </font>
    <font>
      <b/>
      <sz val="10"/>
      <color theme="5" tint="-0.249977111117893"/>
      <name val="Tahoma"/>
      <family val="2"/>
    </font>
    <font>
      <sz val="10"/>
      <color theme="1"/>
      <name val="Tahoma"/>
      <family val="2"/>
    </font>
    <font>
      <b/>
      <sz val="10"/>
      <color rgb="FFFF0000"/>
      <name val="Tahoma"/>
      <family val="2"/>
    </font>
    <font>
      <sz val="12"/>
      <name val="Narkisim"/>
      <family val="2"/>
      <charset val="177"/>
    </font>
    <font>
      <b/>
      <sz val="10"/>
      <color theme="1"/>
      <name val="Arial"/>
      <family val="2"/>
    </font>
    <font>
      <sz val="14"/>
      <color rgb="FFC00000"/>
      <name val="Tahoma"/>
      <family val="2"/>
    </font>
  </fonts>
  <fills count="14">
    <fill>
      <patternFill patternType="none"/>
    </fill>
    <fill>
      <patternFill patternType="gray125"/>
    </fill>
    <fill>
      <patternFill patternType="solid">
        <fgColor indexed="41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CC00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92D050"/>
        <bgColor indexed="64"/>
      </patternFill>
    </fill>
  </fills>
  <borders count="63">
    <border>
      <left/>
      <right/>
      <top/>
      <bottom/>
      <diagonal/>
    </border>
    <border>
      <left/>
      <right/>
      <top style="double">
        <color indexed="64"/>
      </top>
      <bottom style="thin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 style="thin">
        <color theme="0"/>
      </top>
      <bottom/>
      <diagonal/>
    </border>
    <border>
      <left style="hair">
        <color theme="5" tint="-0.24994659260841701"/>
      </left>
      <right style="hair">
        <color theme="5" tint="-0.24994659260841701"/>
      </right>
      <top style="hair">
        <color theme="5" tint="-0.24994659260841701"/>
      </top>
      <bottom style="hair">
        <color theme="5" tint="-0.24994659260841701"/>
      </bottom>
      <diagonal/>
    </border>
    <border>
      <left/>
      <right/>
      <top/>
      <bottom style="thin">
        <color theme="5" tint="-0.24994659260841701"/>
      </bottom>
      <diagonal/>
    </border>
    <border>
      <left style="hair">
        <color theme="5" tint="-0.24994659260841701"/>
      </left>
      <right/>
      <top style="hair">
        <color theme="5" tint="-0.24994659260841701"/>
      </top>
      <bottom style="hair">
        <color theme="5" tint="-0.24994659260841701"/>
      </bottom>
      <diagonal/>
    </border>
    <border>
      <left/>
      <right style="hair">
        <color theme="5" tint="-0.24994659260841701"/>
      </right>
      <top style="hair">
        <color theme="5" tint="-0.24994659260841701"/>
      </top>
      <bottom style="hair">
        <color theme="5" tint="-0.24994659260841701"/>
      </bottom>
      <diagonal/>
    </border>
    <border>
      <left/>
      <right/>
      <top style="hair">
        <color theme="5" tint="-0.24994659260841701"/>
      </top>
      <bottom style="hair">
        <color theme="5" tint="-0.2499465926084170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/>
      <right style="hair">
        <color theme="5" tint="-0.24994659260841701"/>
      </right>
      <top/>
      <bottom/>
      <diagonal/>
    </border>
    <border>
      <left style="thin">
        <color indexed="64"/>
      </left>
      <right/>
      <top style="thin">
        <color theme="0"/>
      </top>
      <bottom/>
      <diagonal/>
    </border>
    <border>
      <left/>
      <right style="thin">
        <color indexed="64"/>
      </right>
      <top style="thin">
        <color theme="0"/>
      </top>
      <bottom/>
      <diagonal/>
    </border>
    <border>
      <left style="hair">
        <color theme="5" tint="-0.24994659260841701"/>
      </left>
      <right style="hair">
        <color theme="5" tint="-0.24994659260841701"/>
      </right>
      <top/>
      <bottom style="hair">
        <color theme="5" tint="-0.24994659260841701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indexed="64"/>
      </left>
      <right style="hair">
        <color indexed="9"/>
      </right>
      <top style="thin">
        <color indexed="64"/>
      </top>
      <bottom style="thin">
        <color indexed="64"/>
      </bottom>
      <diagonal/>
    </border>
    <border>
      <left style="hair">
        <color indexed="9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indexed="9"/>
      </right>
      <top style="thin">
        <color indexed="64"/>
      </top>
      <bottom style="thin">
        <color indexed="64"/>
      </bottom>
      <diagonal/>
    </border>
    <border>
      <left style="hair">
        <color indexed="9"/>
      </left>
      <right style="hair">
        <color indexed="9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theme="0"/>
      </top>
      <bottom style="thin">
        <color indexed="64"/>
      </bottom>
      <diagonal/>
    </border>
    <border>
      <left/>
      <right style="hair">
        <color theme="0"/>
      </right>
      <top/>
      <bottom/>
      <diagonal/>
    </border>
    <border>
      <left/>
      <right/>
      <top/>
      <bottom style="thin">
        <color theme="0"/>
      </bottom>
      <diagonal/>
    </border>
    <border>
      <left style="hair">
        <color theme="0"/>
      </left>
      <right style="hair">
        <color theme="0"/>
      </right>
      <top/>
      <bottom style="hair">
        <color theme="5" tint="-0.24994659260841701"/>
      </bottom>
      <diagonal/>
    </border>
    <border>
      <left style="hair">
        <color theme="0"/>
      </left>
      <right style="hair">
        <color theme="0"/>
      </right>
      <top/>
      <bottom/>
      <diagonal/>
    </border>
    <border>
      <left/>
      <right style="thin">
        <color theme="0"/>
      </right>
      <top/>
      <bottom style="thin">
        <color theme="0"/>
      </bottom>
      <diagonal/>
    </border>
    <border>
      <left/>
      <right style="thin">
        <color theme="0"/>
      </right>
      <top/>
      <bottom/>
      <diagonal/>
    </border>
    <border>
      <left style="thin">
        <color theme="0"/>
      </left>
      <right style="thin">
        <color theme="0"/>
      </right>
      <top/>
      <bottom/>
      <diagonal/>
    </border>
    <border>
      <left/>
      <right style="hair">
        <color theme="0"/>
      </right>
      <top/>
      <bottom style="hair">
        <color theme="5" tint="-0.24994659260841701"/>
      </bottom>
      <diagonal/>
    </border>
    <border>
      <left style="thin">
        <color theme="0"/>
      </left>
      <right/>
      <top/>
      <bottom/>
      <diagonal/>
    </border>
    <border>
      <left style="thin">
        <color theme="0"/>
      </left>
      <right/>
      <top/>
      <bottom style="thin">
        <color theme="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 style="thin">
        <color rgb="FF000000"/>
      </left>
      <right/>
      <top style="medium">
        <color indexed="64"/>
      </top>
      <bottom style="thin">
        <color rgb="FF000000"/>
      </bottom>
      <diagonal/>
    </border>
    <border>
      <left/>
      <right/>
      <top style="medium">
        <color indexed="64"/>
      </top>
      <bottom style="thin">
        <color rgb="FF000000"/>
      </bottom>
      <diagonal/>
    </border>
    <border>
      <left/>
      <right style="medium">
        <color indexed="64"/>
      </right>
      <top style="medium">
        <color indexed="64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rgb="FF000000"/>
      </bottom>
      <diagonal/>
    </border>
    <border>
      <left style="medium">
        <color indexed="64"/>
      </left>
      <right/>
      <top style="thin">
        <color rgb="FF000000"/>
      </top>
      <bottom style="medium">
        <color indexed="64"/>
      </bottom>
      <diagonal/>
    </border>
    <border>
      <left style="medium">
        <color indexed="64"/>
      </left>
      <right style="thin">
        <color rgb="FF000000"/>
      </right>
      <top style="medium">
        <color indexed="64"/>
      </top>
      <bottom/>
      <diagonal/>
    </border>
    <border>
      <left style="medium">
        <color indexed="64"/>
      </left>
      <right style="thin">
        <color rgb="FF000000"/>
      </right>
      <top/>
      <bottom style="medium">
        <color indexed="64"/>
      </bottom>
      <diagonal/>
    </border>
    <border>
      <left style="hair">
        <color theme="5" tint="-0.24994659260841701"/>
      </left>
      <right/>
      <top style="thin">
        <color theme="0"/>
      </top>
      <bottom style="hair">
        <color theme="5" tint="-0.24994659260841701"/>
      </bottom>
      <diagonal/>
    </border>
    <border>
      <left style="hair">
        <color indexed="9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 style="thin">
        <color indexed="64"/>
      </right>
      <top/>
      <bottom style="thin">
        <color rgb="FF000000"/>
      </bottom>
      <diagonal/>
    </border>
    <border>
      <left/>
      <right/>
      <top/>
      <bottom style="hair">
        <color theme="5" tint="-0.24994659260841701"/>
      </bottom>
      <diagonal/>
    </border>
    <border>
      <left/>
      <right style="thin">
        <color theme="0"/>
      </right>
      <top/>
      <bottom style="hair">
        <color theme="5" tint="-0.24994659260841701"/>
      </bottom>
      <diagonal/>
    </border>
  </borders>
  <cellStyleXfs count="26">
    <xf numFmtId="0" fontId="0" fillId="0" borderId="0" applyBorder="0"/>
    <xf numFmtId="43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14" fillId="0" borderId="0"/>
    <xf numFmtId="0" fontId="14" fillId="0" borderId="0"/>
    <xf numFmtId="44" fontId="14" fillId="0" borderId="0" applyFont="0" applyFill="0" applyBorder="0" applyAlignment="0" applyProtection="0"/>
    <xf numFmtId="43" fontId="14" fillId="0" borderId="0" applyFont="0" applyFill="0" applyBorder="0" applyAlignment="0" applyProtection="0"/>
    <xf numFmtId="0" fontId="14" fillId="0" borderId="0"/>
    <xf numFmtId="173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" fillId="0" borderId="0"/>
    <xf numFmtId="0" fontId="51" fillId="0" borderId="0" applyBorder="0"/>
    <xf numFmtId="43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9" fontId="2" fillId="0" borderId="0" applyFont="0" applyFill="0" applyBorder="0" applyAlignment="0" applyProtection="0"/>
  </cellStyleXfs>
  <cellXfs count="353">
    <xf numFmtId="0" fontId="0" fillId="0" borderId="0" xfId="0"/>
    <xf numFmtId="0" fontId="6" fillId="3" borderId="0" xfId="0" applyFont="1" applyFill="1"/>
    <xf numFmtId="0" fontId="9" fillId="3" borderId="0" xfId="0" applyFont="1" applyFill="1"/>
    <xf numFmtId="0" fontId="9" fillId="3" borderId="0" xfId="0" applyFont="1" applyFill="1" applyAlignment="1">
      <alignment vertical="center"/>
    </xf>
    <xf numFmtId="0" fontId="8" fillId="3" borderId="0" xfId="0" applyFont="1" applyFill="1" applyAlignment="1">
      <alignment horizontal="center" vertical="center"/>
    </xf>
    <xf numFmtId="167" fontId="8" fillId="3" borderId="0" xfId="0" applyNumberFormat="1" applyFont="1" applyFill="1" applyAlignment="1">
      <alignment horizontal="right" vertical="center"/>
    </xf>
    <xf numFmtId="0" fontId="8" fillId="3" borderId="0" xfId="0" applyFont="1" applyFill="1" applyAlignment="1">
      <alignment horizontal="right" vertical="center"/>
    </xf>
    <xf numFmtId="0" fontId="3" fillId="3" borderId="0" xfId="0" applyFont="1" applyFill="1" applyAlignment="1">
      <alignment vertical="center"/>
    </xf>
    <xf numFmtId="0" fontId="3" fillId="3" borderId="0" xfId="0" applyFont="1" applyFill="1" applyBorder="1" applyAlignment="1">
      <alignment vertical="center"/>
    </xf>
    <xf numFmtId="0" fontId="6" fillId="3" borderId="0" xfId="0" applyFont="1" applyFill="1" applyAlignment="1">
      <alignment vertical="center"/>
    </xf>
    <xf numFmtId="0" fontId="3" fillId="3" borderId="0" xfId="0" quotePrefix="1" applyFont="1" applyFill="1" applyAlignment="1">
      <alignment horizontal="left" vertical="center"/>
    </xf>
    <xf numFmtId="167" fontId="6" fillId="3" borderId="0" xfId="0" applyNumberFormat="1" applyFont="1" applyFill="1" applyAlignment="1">
      <alignment vertical="center"/>
    </xf>
    <xf numFmtId="0" fontId="18" fillId="3" borderId="0" xfId="0" applyFont="1" applyFill="1" applyAlignment="1">
      <alignment horizontal="left"/>
    </xf>
    <xf numFmtId="0" fontId="18" fillId="3" borderId="0" xfId="0" applyFont="1" applyFill="1"/>
    <xf numFmtId="44" fontId="18" fillId="3" borderId="0" xfId="2" applyFont="1" applyFill="1" applyProtection="1"/>
    <xf numFmtId="0" fontId="18" fillId="3" borderId="0" xfId="0" applyFont="1" applyFill="1" applyAlignment="1">
      <alignment vertical="center"/>
    </xf>
    <xf numFmtId="44" fontId="18" fillId="3" borderId="0" xfId="2" applyFont="1" applyFill="1" applyAlignment="1" applyProtection="1">
      <alignment vertical="center"/>
    </xf>
    <xf numFmtId="0" fontId="9" fillId="3" borderId="0" xfId="0" applyFont="1" applyFill="1" applyBorder="1" applyAlignment="1">
      <alignment vertical="center"/>
    </xf>
    <xf numFmtId="0" fontId="8" fillId="3" borderId="0" xfId="0" applyFont="1" applyFill="1" applyBorder="1" applyAlignment="1">
      <alignment horizontal="right" vertical="center"/>
    </xf>
    <xf numFmtId="0" fontId="9" fillId="3" borderId="0" xfId="0" applyFont="1" applyFill="1" applyBorder="1"/>
    <xf numFmtId="0" fontId="5" fillId="3" borderId="0" xfId="0" quotePrefix="1" applyFont="1" applyFill="1" applyBorder="1" applyAlignment="1">
      <alignment horizontal="center" vertical="center"/>
    </xf>
    <xf numFmtId="0" fontId="6" fillId="3" borderId="0" xfId="0" applyFont="1" applyFill="1" applyBorder="1" applyAlignment="1">
      <alignment horizontal="center" vertical="center"/>
    </xf>
    <xf numFmtId="4" fontId="6" fillId="3" borderId="0" xfId="0" applyNumberFormat="1" applyFont="1" applyFill="1" applyBorder="1" applyAlignment="1">
      <alignment horizontal="left" vertical="center"/>
    </xf>
    <xf numFmtId="0" fontId="6" fillId="3" borderId="0" xfId="0" applyFont="1" applyFill="1" applyBorder="1"/>
    <xf numFmtId="4" fontId="6" fillId="3" borderId="0" xfId="0" applyNumberFormat="1" applyFont="1" applyFill="1" applyBorder="1" applyAlignment="1">
      <alignment horizontal="right" vertical="center"/>
    </xf>
    <xf numFmtId="4" fontId="6" fillId="3" borderId="0" xfId="0" applyNumberFormat="1" applyFont="1" applyFill="1" applyBorder="1" applyAlignment="1">
      <alignment vertical="center"/>
    </xf>
    <xf numFmtId="14" fontId="6" fillId="3" borderId="0" xfId="0" applyNumberFormat="1" applyFont="1" applyFill="1" applyBorder="1" applyAlignment="1">
      <alignment horizontal="center" vertical="center"/>
    </xf>
    <xf numFmtId="0" fontId="6" fillId="3" borderId="0" xfId="0" applyFont="1" applyFill="1" applyBorder="1" applyAlignment="1">
      <alignment horizontal="left" vertical="center"/>
    </xf>
    <xf numFmtId="9" fontId="6" fillId="3" borderId="0" xfId="0" applyNumberFormat="1" applyFont="1" applyFill="1" applyBorder="1" applyAlignment="1">
      <alignment vertical="center"/>
    </xf>
    <xf numFmtId="43" fontId="6" fillId="3" borderId="0" xfId="1" applyFont="1" applyFill="1" applyBorder="1" applyAlignment="1" applyProtection="1">
      <alignment horizontal="left" vertical="center"/>
    </xf>
    <xf numFmtId="43" fontId="6" fillId="3" borderId="0" xfId="1" applyFont="1" applyFill="1" applyBorder="1" applyAlignment="1" applyProtection="1">
      <alignment vertical="center"/>
    </xf>
    <xf numFmtId="10" fontId="6" fillId="3" borderId="0" xfId="0" applyNumberFormat="1" applyFont="1" applyFill="1" applyBorder="1" applyAlignment="1">
      <alignment vertical="center"/>
    </xf>
    <xf numFmtId="43" fontId="6" fillId="3" borderId="0" xfId="0" applyNumberFormat="1" applyFont="1" applyFill="1" applyBorder="1" applyAlignment="1">
      <alignment vertical="center"/>
    </xf>
    <xf numFmtId="10" fontId="6" fillId="3" borderId="0" xfId="0" quotePrefix="1" applyNumberFormat="1" applyFont="1" applyFill="1" applyBorder="1" applyAlignment="1">
      <alignment horizontal="center" vertical="center"/>
    </xf>
    <xf numFmtId="43" fontId="6" fillId="3" borderId="0" xfId="0" applyNumberFormat="1" applyFont="1" applyFill="1" applyBorder="1" applyAlignment="1">
      <alignment horizontal="left" vertical="center"/>
    </xf>
    <xf numFmtId="172" fontId="6" fillId="3" borderId="0" xfId="0" applyNumberFormat="1" applyFont="1" applyFill="1" applyBorder="1" applyAlignment="1">
      <alignment horizontal="right" vertical="center"/>
    </xf>
    <xf numFmtId="0" fontId="10" fillId="3" borderId="0" xfId="0" applyFont="1" applyFill="1" applyBorder="1" applyAlignment="1">
      <alignment vertical="center"/>
    </xf>
    <xf numFmtId="9" fontId="6" fillId="3" borderId="0" xfId="3" applyFont="1" applyFill="1" applyBorder="1" applyAlignment="1" applyProtection="1">
      <alignment vertical="center"/>
    </xf>
    <xf numFmtId="9" fontId="6" fillId="3" borderId="0" xfId="0" applyNumberFormat="1" applyFont="1" applyFill="1" applyBorder="1" applyAlignment="1">
      <alignment horizontal="left" vertical="center"/>
    </xf>
    <xf numFmtId="43" fontId="9" fillId="3" borderId="0" xfId="1" applyFont="1" applyFill="1" applyProtection="1"/>
    <xf numFmtId="43" fontId="9" fillId="3" borderId="0" xfId="0" applyNumberFormat="1" applyFont="1" applyFill="1"/>
    <xf numFmtId="171" fontId="6" fillId="3" borderId="0" xfId="0" applyNumberFormat="1" applyFont="1" applyFill="1" applyBorder="1" applyAlignment="1">
      <alignment horizontal="left" vertical="center"/>
    </xf>
    <xf numFmtId="44" fontId="6" fillId="3" borderId="0" xfId="2" applyFont="1" applyFill="1" applyBorder="1" applyAlignment="1" applyProtection="1">
      <alignment vertical="center"/>
    </xf>
    <xf numFmtId="0" fontId="14" fillId="0" borderId="0" xfId="0" applyFont="1" applyBorder="1"/>
    <xf numFmtId="0" fontId="5" fillId="3" borderId="0" xfId="0" applyFont="1" applyFill="1" applyBorder="1" applyAlignment="1">
      <alignment horizontal="right" wrapText="1"/>
    </xf>
    <xf numFmtId="0" fontId="6" fillId="3" borderId="0" xfId="0" applyFont="1" applyFill="1" applyBorder="1" applyAlignment="1">
      <alignment horizontal="right" vertical="center"/>
    </xf>
    <xf numFmtId="0" fontId="6" fillId="3" borderId="0" xfId="0" applyFont="1" applyFill="1" applyBorder="1" applyAlignment="1">
      <alignment horizontal="center"/>
    </xf>
    <xf numFmtId="43" fontId="6" fillId="3" borderId="0" xfId="1" applyFont="1" applyFill="1" applyBorder="1" applyProtection="1"/>
    <xf numFmtId="170" fontId="9" fillId="3" borderId="0" xfId="0" applyNumberFormat="1" applyFont="1" applyFill="1"/>
    <xf numFmtId="165" fontId="5" fillId="3" borderId="0" xfId="0" applyNumberFormat="1" applyFont="1" applyFill="1" applyBorder="1" applyAlignment="1">
      <alignment horizontal="left" vertical="center"/>
    </xf>
    <xf numFmtId="165" fontId="5" fillId="3" borderId="0" xfId="0" applyNumberFormat="1" applyFont="1" applyFill="1" applyBorder="1" applyAlignment="1">
      <alignment horizontal="center" vertical="center"/>
    </xf>
    <xf numFmtId="0" fontId="6" fillId="3" borderId="0" xfId="0" applyFont="1" applyFill="1" applyBorder="1" applyAlignment="1">
      <alignment horizontal="left"/>
    </xf>
    <xf numFmtId="43" fontId="6" fillId="3" borderId="0" xfId="0" applyNumberFormat="1" applyFont="1" applyFill="1" applyBorder="1"/>
    <xf numFmtId="165" fontId="6" fillId="3" borderId="0" xfId="0" applyNumberFormat="1" applyFont="1" applyFill="1" applyBorder="1" applyAlignment="1">
      <alignment horizontal="left" vertical="center"/>
    </xf>
    <xf numFmtId="10" fontId="6" fillId="3" borderId="0" xfId="3" applyNumberFormat="1" applyFont="1" applyFill="1" applyBorder="1" applyAlignment="1" applyProtection="1">
      <alignment vertical="center"/>
    </xf>
    <xf numFmtId="169" fontId="9" fillId="3" borderId="0" xfId="3" applyNumberFormat="1" applyFont="1" applyFill="1" applyAlignment="1" applyProtection="1">
      <alignment vertical="center"/>
    </xf>
    <xf numFmtId="4" fontId="9" fillId="3" borderId="0" xfId="0" applyNumberFormat="1" applyFont="1" applyFill="1" applyAlignment="1">
      <alignment vertical="center"/>
    </xf>
    <xf numFmtId="0" fontId="5" fillId="3" borderId="0" xfId="0" applyFont="1" applyFill="1" applyBorder="1" applyAlignment="1">
      <alignment vertical="center"/>
    </xf>
    <xf numFmtId="4" fontId="5" fillId="3" borderId="0" xfId="0" applyNumberFormat="1" applyFont="1" applyFill="1" applyBorder="1" applyAlignment="1">
      <alignment vertical="center"/>
    </xf>
    <xf numFmtId="4" fontId="8" fillId="3" borderId="0" xfId="0" applyNumberFormat="1" applyFont="1" applyFill="1" applyBorder="1" applyAlignment="1">
      <alignment vertical="center"/>
    </xf>
    <xf numFmtId="0" fontId="11" fillId="3" borderId="0" xfId="0" applyFont="1" applyFill="1" applyBorder="1" applyAlignment="1">
      <alignment horizontal="center"/>
    </xf>
    <xf numFmtId="0" fontId="12" fillId="3" borderId="0" xfId="0" applyFont="1" applyFill="1" applyBorder="1" applyAlignment="1">
      <alignment horizontal="center" vertical="center"/>
    </xf>
    <xf numFmtId="0" fontId="13" fillId="3" borderId="0" xfId="0" applyFont="1" applyFill="1" applyBorder="1"/>
    <xf numFmtId="0" fontId="6" fillId="2" borderId="1" xfId="0" applyFont="1" applyFill="1" applyBorder="1" applyAlignment="1">
      <alignment vertical="center"/>
    </xf>
    <xf numFmtId="0" fontId="6" fillId="0" borderId="0" xfId="0" applyFont="1" applyBorder="1" applyAlignment="1">
      <alignment vertical="center"/>
    </xf>
    <xf numFmtId="0" fontId="6" fillId="0" borderId="2" xfId="0" applyFont="1" applyBorder="1" applyAlignment="1">
      <alignment vertical="center"/>
    </xf>
    <xf numFmtId="0" fontId="6" fillId="0" borderId="0" xfId="0" applyFont="1" applyAlignment="1">
      <alignment vertical="center"/>
    </xf>
    <xf numFmtId="0" fontId="5" fillId="0" borderId="0" xfId="0" applyFont="1" applyAlignment="1">
      <alignment vertical="center"/>
    </xf>
    <xf numFmtId="9" fontId="6" fillId="0" borderId="0" xfId="3" applyFont="1" applyAlignment="1" applyProtection="1">
      <alignment vertical="center"/>
    </xf>
    <xf numFmtId="0" fontId="15" fillId="3" borderId="0" xfId="0" applyFont="1" applyFill="1" applyBorder="1" applyAlignment="1">
      <alignment horizontal="right" wrapText="1"/>
    </xf>
    <xf numFmtId="0" fontId="8" fillId="3" borderId="0" xfId="0" applyFont="1" applyFill="1" applyAlignment="1">
      <alignment horizontal="center"/>
    </xf>
    <xf numFmtId="0" fontId="5" fillId="0" borderId="0" xfId="0" applyFont="1" applyBorder="1" applyAlignment="1">
      <alignment horizontal="left" vertical="center"/>
    </xf>
    <xf numFmtId="0" fontId="23" fillId="3" borderId="0" xfId="0" applyFont="1" applyFill="1" applyBorder="1"/>
    <xf numFmtId="0" fontId="8" fillId="0" borderId="0" xfId="0" applyFont="1" applyAlignment="1">
      <alignment vertical="center" wrapText="1"/>
    </xf>
    <xf numFmtId="0" fontId="25" fillId="3" borderId="0" xfId="0" applyFont="1" applyFill="1"/>
    <xf numFmtId="0" fontId="27" fillId="3" borderId="0" xfId="0" applyFont="1" applyFill="1"/>
    <xf numFmtId="0" fontId="0" fillId="4" borderId="0" xfId="0" applyFill="1"/>
    <xf numFmtId="0" fontId="18" fillId="3" borderId="0" xfId="0" applyFont="1" applyFill="1" applyBorder="1" applyAlignment="1">
      <alignment horizontal="center"/>
    </xf>
    <xf numFmtId="0" fontId="7" fillId="3" borderId="0" xfId="0" applyFont="1" applyFill="1" applyBorder="1" applyAlignment="1">
      <alignment vertical="center"/>
    </xf>
    <xf numFmtId="0" fontId="0" fillId="0" borderId="0" xfId="0" applyBorder="1"/>
    <xf numFmtId="0" fontId="3" fillId="3" borderId="0" xfId="0" applyFont="1" applyFill="1" applyAlignment="1">
      <alignment wrapText="1"/>
    </xf>
    <xf numFmtId="0" fontId="3" fillId="3" borderId="0" xfId="0" applyFont="1" applyFill="1" applyBorder="1" applyAlignment="1">
      <alignment wrapText="1"/>
    </xf>
    <xf numFmtId="0" fontId="4" fillId="3" borderId="0" xfId="0" applyFont="1" applyFill="1" applyAlignment="1">
      <alignment horizontal="left" wrapText="1"/>
    </xf>
    <xf numFmtId="0" fontId="4" fillId="3" borderId="0" xfId="0" applyFont="1" applyFill="1" applyAlignment="1">
      <alignment wrapText="1"/>
    </xf>
    <xf numFmtId="167" fontId="18" fillId="3" borderId="0" xfId="0" applyNumberFormat="1" applyFont="1" applyFill="1" applyAlignment="1">
      <alignment horizontal="center" vertical="center"/>
    </xf>
    <xf numFmtId="0" fontId="37" fillId="3" borderId="0" xfId="0" applyFont="1" applyFill="1"/>
    <xf numFmtId="0" fontId="5" fillId="3" borderId="12" xfId="0" applyFont="1" applyFill="1" applyBorder="1" applyAlignment="1">
      <alignment vertical="center"/>
    </xf>
    <xf numFmtId="0" fontId="5" fillId="3" borderId="12" xfId="0" applyFont="1" applyFill="1" applyBorder="1" applyAlignment="1">
      <alignment horizontal="left"/>
    </xf>
    <xf numFmtId="164" fontId="6" fillId="3" borderId="12" xfId="2" applyNumberFormat="1" applyFont="1" applyFill="1" applyBorder="1" applyAlignment="1" applyProtection="1">
      <alignment vertical="center"/>
    </xf>
    <xf numFmtId="0" fontId="28" fillId="3" borderId="12" xfId="0" applyFont="1" applyFill="1" applyBorder="1" applyAlignment="1">
      <alignment horizontal="left" vertical="center"/>
    </xf>
    <xf numFmtId="0" fontId="5" fillId="3" borderId="15" xfId="0" applyFont="1" applyFill="1" applyBorder="1" applyAlignment="1">
      <alignment horizontal="left"/>
    </xf>
    <xf numFmtId="0" fontId="5" fillId="3" borderId="14" xfId="0" applyFont="1" applyFill="1" applyBorder="1" applyAlignment="1">
      <alignment horizontal="left"/>
    </xf>
    <xf numFmtId="0" fontId="23" fillId="3" borderId="15" xfId="0" applyFont="1" applyFill="1" applyBorder="1" applyAlignment="1">
      <alignment horizontal="left"/>
    </xf>
    <xf numFmtId="0" fontId="38" fillId="3" borderId="0" xfId="0" applyFont="1" applyFill="1" applyAlignment="1">
      <alignment vertical="center"/>
    </xf>
    <xf numFmtId="0" fontId="3" fillId="0" borderId="0" xfId="0" quotePrefix="1" applyFont="1" applyAlignment="1">
      <alignment horizontal="left" vertical="center"/>
    </xf>
    <xf numFmtId="0" fontId="3" fillId="0" borderId="0" xfId="0" applyFont="1" applyAlignment="1">
      <alignment vertical="center"/>
    </xf>
    <xf numFmtId="0" fontId="9" fillId="0" borderId="0" xfId="0" applyFont="1"/>
    <xf numFmtId="0" fontId="2" fillId="0" borderId="0" xfId="0" quotePrefix="1" applyFont="1" applyAlignment="1">
      <alignment horizontal="left" vertical="center"/>
    </xf>
    <xf numFmtId="0" fontId="3" fillId="0" borderId="0" xfId="0" applyFont="1" applyBorder="1" applyAlignment="1">
      <alignment vertical="center"/>
    </xf>
    <xf numFmtId="0" fontId="2" fillId="0" borderId="0" xfId="0" applyFont="1" applyAlignment="1">
      <alignment horizontal="left" vertical="center"/>
    </xf>
    <xf numFmtId="0" fontId="6" fillId="0" borderId="0" xfId="0" applyFont="1"/>
    <xf numFmtId="0" fontId="2" fillId="0" borderId="0" xfId="0" applyFont="1"/>
    <xf numFmtId="0" fontId="2" fillId="0" borderId="0" xfId="0" applyFont="1" applyBorder="1" applyAlignment="1">
      <alignment vertical="center"/>
    </xf>
    <xf numFmtId="44" fontId="18" fillId="3" borderId="0" xfId="2" applyFont="1" applyFill="1" applyBorder="1" applyProtection="1"/>
    <xf numFmtId="44" fontId="18" fillId="3" borderId="0" xfId="1" applyNumberFormat="1" applyFont="1" applyFill="1" applyBorder="1" applyProtection="1"/>
    <xf numFmtId="0" fontId="17" fillId="4" borderId="0" xfId="0" applyFont="1" applyFill="1" applyBorder="1" applyAlignment="1">
      <alignment horizontal="center"/>
    </xf>
    <xf numFmtId="39" fontId="2" fillId="0" borderId="0" xfId="0" applyNumberFormat="1" applyFont="1" applyBorder="1" applyAlignment="1">
      <alignment vertical="center"/>
    </xf>
    <xf numFmtId="0" fontId="4" fillId="0" borderId="0" xfId="0" applyFont="1" applyBorder="1" applyAlignment="1">
      <alignment vertical="center"/>
    </xf>
    <xf numFmtId="0" fontId="2" fillId="0" borderId="0" xfId="0" applyFont="1" applyBorder="1" applyAlignment="1">
      <alignment horizontal="centerContinuous" vertical="center"/>
    </xf>
    <xf numFmtId="0" fontId="16" fillId="0" borderId="0" xfId="0" applyFont="1" applyBorder="1" applyAlignment="1">
      <alignment horizontal="center" vertical="center"/>
    </xf>
    <xf numFmtId="0" fontId="6" fillId="3" borderId="28" xfId="0" applyFont="1" applyFill="1" applyBorder="1" applyAlignment="1" applyProtection="1">
      <alignment horizontal="center" vertical="center"/>
      <protection locked="0"/>
    </xf>
    <xf numFmtId="0" fontId="16" fillId="6" borderId="22" xfId="0" applyFont="1" applyFill="1" applyBorder="1" applyAlignment="1">
      <alignment horizontal="center" vertical="center"/>
    </xf>
    <xf numFmtId="0" fontId="16" fillId="6" borderId="22" xfId="0" applyFont="1" applyFill="1" applyBorder="1" applyAlignment="1">
      <alignment horizontal="center" vertical="center" wrapText="1"/>
    </xf>
    <xf numFmtId="164" fontId="5" fillId="5" borderId="12" xfId="2" applyNumberFormat="1" applyFont="1" applyFill="1" applyBorder="1" applyAlignment="1" applyProtection="1">
      <alignment vertical="center"/>
    </xf>
    <xf numFmtId="0" fontId="18" fillId="5" borderId="0" xfId="0" applyFont="1" applyFill="1" applyBorder="1" applyAlignment="1">
      <alignment horizontal="center"/>
    </xf>
    <xf numFmtId="44" fontId="18" fillId="5" borderId="0" xfId="2" applyFont="1" applyFill="1" applyBorder="1" applyProtection="1"/>
    <xf numFmtId="44" fontId="18" fillId="5" borderId="0" xfId="1" applyNumberFormat="1" applyFont="1" applyFill="1" applyBorder="1" applyProtection="1"/>
    <xf numFmtId="0" fontId="18" fillId="5" borderId="13" xfId="0" applyFont="1" applyFill="1" applyBorder="1" applyAlignment="1">
      <alignment horizontal="center"/>
    </xf>
    <xf numFmtId="44" fontId="18" fillId="5" borderId="13" xfId="0" applyNumberFormat="1" applyFont="1" applyFill="1" applyBorder="1" applyAlignment="1">
      <alignment horizontal="center"/>
    </xf>
    <xf numFmtId="0" fontId="19" fillId="7" borderId="0" xfId="0" applyFont="1" applyFill="1" applyBorder="1" applyAlignment="1">
      <alignment vertical="center"/>
    </xf>
    <xf numFmtId="44" fontId="19" fillId="7" borderId="0" xfId="2" applyFont="1" applyFill="1" applyBorder="1" applyAlignment="1" applyProtection="1">
      <alignment vertical="center"/>
    </xf>
    <xf numFmtId="0" fontId="5" fillId="0" borderId="0" xfId="0" quotePrefix="1" applyFont="1" applyAlignment="1">
      <alignment horizontal="center" vertical="center"/>
    </xf>
    <xf numFmtId="0" fontId="5" fillId="3" borderId="0" xfId="0" applyFont="1" applyFill="1" applyBorder="1" applyAlignment="1">
      <alignment horizontal="center" vertical="center"/>
    </xf>
    <xf numFmtId="0" fontId="6" fillId="3" borderId="0" xfId="0" applyFont="1" applyFill="1" applyBorder="1" applyAlignment="1">
      <alignment vertical="center"/>
    </xf>
    <xf numFmtId="0" fontId="5" fillId="3" borderId="0" xfId="0" applyFont="1" applyFill="1" applyBorder="1" applyAlignment="1">
      <alignment horizontal="left" vertical="center"/>
    </xf>
    <xf numFmtId="0" fontId="2" fillId="3" borderId="0" xfId="0" applyFont="1" applyFill="1" applyAlignment="1">
      <alignment horizontal="left" vertical="center"/>
    </xf>
    <xf numFmtId="0" fontId="6" fillId="3" borderId="0" xfId="0" applyFont="1" applyFill="1" applyAlignment="1">
      <alignment horizontal="left" wrapText="1"/>
    </xf>
    <xf numFmtId="169" fontId="29" fillId="3" borderId="12" xfId="3" applyNumberFormat="1" applyFont="1" applyFill="1" applyBorder="1" applyProtection="1"/>
    <xf numFmtId="0" fontId="39" fillId="0" borderId="0" xfId="0" applyFont="1" applyAlignment="1">
      <alignment vertical="center"/>
    </xf>
    <xf numFmtId="0" fontId="40" fillId="6" borderId="31" xfId="4" applyFont="1" applyFill="1" applyBorder="1" applyAlignment="1">
      <alignment horizontal="center" vertical="center"/>
    </xf>
    <xf numFmtId="0" fontId="40" fillId="6" borderId="32" xfId="4" applyFont="1" applyFill="1" applyBorder="1" applyAlignment="1">
      <alignment horizontal="center" vertical="center"/>
    </xf>
    <xf numFmtId="0" fontId="40" fillId="6" borderId="6" xfId="4" applyFont="1" applyFill="1" applyBorder="1" applyAlignment="1">
      <alignment horizontal="center" vertical="center"/>
    </xf>
    <xf numFmtId="43" fontId="2" fillId="0" borderId="27" xfId="1" applyFont="1" applyFill="1" applyBorder="1" applyAlignment="1">
      <alignment horizontal="center" vertical="center"/>
    </xf>
    <xf numFmtId="43" fontId="2" fillId="5" borderId="10" xfId="1" applyFont="1" applyFill="1" applyBorder="1" applyAlignment="1">
      <alignment horizontal="center" vertical="center"/>
    </xf>
    <xf numFmtId="43" fontId="42" fillId="9" borderId="27" xfId="1" applyFont="1" applyFill="1" applyBorder="1" applyAlignment="1">
      <alignment horizontal="center" vertical="center"/>
    </xf>
    <xf numFmtId="0" fontId="40" fillId="6" borderId="33" xfId="4" applyFont="1" applyFill="1" applyBorder="1" applyAlignment="1">
      <alignment horizontal="center" vertical="center"/>
    </xf>
    <xf numFmtId="0" fontId="40" fillId="6" borderId="34" xfId="4" applyFont="1" applyFill="1" applyBorder="1" applyAlignment="1">
      <alignment horizontal="center" vertical="center"/>
    </xf>
    <xf numFmtId="43" fontId="42" fillId="9" borderId="10" xfId="1" applyFont="1" applyFill="1" applyBorder="1" applyAlignment="1">
      <alignment horizontal="center" vertical="center"/>
    </xf>
    <xf numFmtId="168" fontId="2" fillId="0" borderId="17" xfId="1" applyNumberFormat="1" applyFont="1" applyFill="1" applyBorder="1" applyAlignment="1">
      <alignment horizontal="center" vertical="center"/>
    </xf>
    <xf numFmtId="166" fontId="2" fillId="0" borderId="7" xfId="0" applyNumberFormat="1" applyFont="1" applyBorder="1" applyAlignment="1">
      <alignment horizontal="center" vertical="center"/>
    </xf>
    <xf numFmtId="168" fontId="2" fillId="5" borderId="19" xfId="1" applyNumberFormat="1" applyFont="1" applyFill="1" applyBorder="1" applyAlignment="1">
      <alignment horizontal="center" vertical="center"/>
    </xf>
    <xf numFmtId="166" fontId="2" fillId="5" borderId="0" xfId="0" applyNumberFormat="1" applyFont="1" applyFill="1" applyBorder="1" applyAlignment="1">
      <alignment horizontal="center" vertical="center"/>
    </xf>
    <xf numFmtId="168" fontId="2" fillId="0" borderId="26" xfId="1" applyNumberFormat="1" applyFont="1" applyFill="1" applyBorder="1" applyAlignment="1">
      <alignment horizontal="center" vertical="center"/>
    </xf>
    <xf numFmtId="166" fontId="2" fillId="0" borderId="11" xfId="0" applyNumberFormat="1" applyFont="1" applyBorder="1" applyAlignment="1">
      <alignment horizontal="center" vertical="center"/>
    </xf>
    <xf numFmtId="168" fontId="2" fillId="5" borderId="20" xfId="1" applyNumberFormat="1" applyFont="1" applyFill="1" applyBorder="1" applyAlignment="1">
      <alignment horizontal="center" vertical="center"/>
    </xf>
    <xf numFmtId="166" fontId="2" fillId="5" borderId="8" xfId="0" applyNumberFormat="1" applyFont="1" applyFill="1" applyBorder="1" applyAlignment="1">
      <alignment horizontal="center" vertical="center"/>
    </xf>
    <xf numFmtId="43" fontId="2" fillId="0" borderId="35" xfId="1" applyFont="1" applyFill="1" applyBorder="1" applyAlignment="1">
      <alignment horizontal="center" vertical="center"/>
    </xf>
    <xf numFmtId="168" fontId="2" fillId="5" borderId="21" xfId="1" applyNumberFormat="1" applyFont="1" applyFill="1" applyBorder="1" applyAlignment="1">
      <alignment horizontal="center" vertical="center"/>
    </xf>
    <xf numFmtId="0" fontId="40" fillId="6" borderId="18" xfId="4" applyFont="1" applyFill="1" applyBorder="1" applyAlignment="1">
      <alignment horizontal="center" vertical="center"/>
    </xf>
    <xf numFmtId="0" fontId="19" fillId="3" borderId="0" xfId="0" applyFont="1" applyFill="1" applyAlignment="1">
      <alignment horizontal="left" vertical="center" wrapText="1"/>
    </xf>
    <xf numFmtId="9" fontId="2" fillId="0" borderId="18" xfId="3" applyFont="1" applyFill="1" applyBorder="1" applyAlignment="1">
      <alignment horizontal="center" vertical="center"/>
    </xf>
    <xf numFmtId="9" fontId="2" fillId="0" borderId="10" xfId="3" applyFont="1" applyFill="1" applyBorder="1" applyAlignment="1">
      <alignment horizontal="center" vertical="center"/>
    </xf>
    <xf numFmtId="9" fontId="2" fillId="5" borderId="21" xfId="3" applyFont="1" applyFill="1" applyBorder="1" applyAlignment="1">
      <alignment horizontal="center" vertical="center"/>
    </xf>
    <xf numFmtId="9" fontId="41" fillId="10" borderId="9" xfId="4" applyNumberFormat="1" applyFont="1" applyFill="1" applyBorder="1" applyAlignment="1">
      <alignment horizontal="center"/>
    </xf>
    <xf numFmtId="0" fontId="2" fillId="0" borderId="12" xfId="0" applyFont="1" applyBorder="1"/>
    <xf numFmtId="0" fontId="36" fillId="3" borderId="0" xfId="0" applyFont="1" applyFill="1" applyBorder="1" applyAlignment="1">
      <alignment horizontal="center" vertical="center" wrapText="1"/>
    </xf>
    <xf numFmtId="0" fontId="8" fillId="3" borderId="0" xfId="0" applyFont="1" applyFill="1"/>
    <xf numFmtId="3" fontId="2" fillId="0" borderId="17" xfId="0" applyNumberFormat="1" applyFont="1" applyBorder="1" applyAlignment="1">
      <alignment horizontal="center" vertical="center"/>
    </xf>
    <xf numFmtId="3" fontId="2" fillId="5" borderId="19" xfId="0" applyNumberFormat="1" applyFont="1" applyFill="1" applyBorder="1" applyAlignment="1">
      <alignment horizontal="center" vertical="center"/>
    </xf>
    <xf numFmtId="3" fontId="2" fillId="0" borderId="19" xfId="0" applyNumberFormat="1" applyFont="1" applyBorder="1" applyAlignment="1">
      <alignment horizontal="center" vertical="center"/>
    </xf>
    <xf numFmtId="3" fontId="2" fillId="0" borderId="20" xfId="0" applyNumberFormat="1" applyFont="1" applyBorder="1" applyAlignment="1">
      <alignment horizontal="center" vertical="center"/>
    </xf>
    <xf numFmtId="3" fontId="2" fillId="0" borderId="27" xfId="1" applyNumberFormat="1" applyFont="1" applyFill="1" applyBorder="1" applyAlignment="1">
      <alignment horizontal="center" vertical="center"/>
    </xf>
    <xf numFmtId="3" fontId="2" fillId="5" borderId="10" xfId="1" applyNumberFormat="1" applyFont="1" applyFill="1" applyBorder="1" applyAlignment="1">
      <alignment horizontal="center" vertical="center"/>
    </xf>
    <xf numFmtId="3" fontId="42" fillId="9" borderId="26" xfId="0" applyNumberFormat="1" applyFont="1" applyFill="1" applyBorder="1" applyAlignment="1">
      <alignment horizontal="center" vertical="center"/>
    </xf>
    <xf numFmtId="4" fontId="2" fillId="0" borderId="18" xfId="0" applyNumberFormat="1" applyFont="1" applyBorder="1" applyAlignment="1">
      <alignment horizontal="center" vertical="center"/>
    </xf>
    <xf numFmtId="4" fontId="2" fillId="5" borderId="10" xfId="0" applyNumberFormat="1" applyFont="1" applyFill="1" applyBorder="1" applyAlignment="1">
      <alignment horizontal="center" vertical="center"/>
    </xf>
    <xf numFmtId="4" fontId="2" fillId="0" borderId="10" xfId="0" applyNumberFormat="1" applyFont="1" applyBorder="1" applyAlignment="1">
      <alignment horizontal="center" vertical="center"/>
    </xf>
    <xf numFmtId="4" fontId="2" fillId="0" borderId="21" xfId="0" applyNumberFormat="1" applyFont="1" applyBorder="1" applyAlignment="1">
      <alignment horizontal="center" vertical="center"/>
    </xf>
    <xf numFmtId="0" fontId="43" fillId="3" borderId="0" xfId="0" applyFont="1" applyFill="1"/>
    <xf numFmtId="0" fontId="44" fillId="3" borderId="0" xfId="0" applyFont="1" applyFill="1"/>
    <xf numFmtId="0" fontId="45" fillId="3" borderId="0" xfId="0" applyFont="1" applyFill="1"/>
    <xf numFmtId="0" fontId="23" fillId="3" borderId="0" xfId="0" applyFont="1" applyFill="1"/>
    <xf numFmtId="3" fontId="2" fillId="9" borderId="19" xfId="0" applyNumberFormat="1" applyFont="1" applyFill="1" applyBorder="1" applyAlignment="1">
      <alignment horizontal="center" vertical="center"/>
    </xf>
    <xf numFmtId="0" fontId="46" fillId="0" borderId="0" xfId="0" applyFont="1" applyBorder="1" applyAlignment="1">
      <alignment vertical="center"/>
    </xf>
    <xf numFmtId="37" fontId="46" fillId="0" borderId="0" xfId="0" applyNumberFormat="1" applyFont="1" applyBorder="1" applyAlignment="1">
      <alignment vertical="center"/>
    </xf>
    <xf numFmtId="44" fontId="2" fillId="0" borderId="0" xfId="0" applyNumberFormat="1" applyFont="1" applyBorder="1" applyAlignment="1">
      <alignment vertical="center"/>
    </xf>
    <xf numFmtId="0" fontId="2" fillId="0" borderId="0" xfId="0" applyFont="1" applyBorder="1"/>
    <xf numFmtId="44" fontId="2" fillId="0" borderId="0" xfId="2" applyFont="1" applyBorder="1" applyAlignment="1">
      <alignment horizontal="left"/>
    </xf>
    <xf numFmtId="168" fontId="2" fillId="0" borderId="0" xfId="0" applyNumberFormat="1" applyFont="1" applyBorder="1" applyAlignment="1">
      <alignment horizontal="center"/>
    </xf>
    <xf numFmtId="166" fontId="2" fillId="0" borderId="11" xfId="1" applyNumberFormat="1" applyFont="1" applyFill="1" applyBorder="1" applyAlignment="1">
      <alignment horizontal="center" vertical="center"/>
    </xf>
    <xf numFmtId="166" fontId="2" fillId="0" borderId="27" xfId="1" applyNumberFormat="1" applyFont="1" applyFill="1" applyBorder="1" applyAlignment="1">
      <alignment horizontal="center" vertical="center"/>
    </xf>
    <xf numFmtId="166" fontId="2" fillId="5" borderId="0" xfId="1" applyNumberFormat="1" applyFont="1" applyFill="1" applyBorder="1" applyAlignment="1">
      <alignment horizontal="center" vertical="center"/>
    </xf>
    <xf numFmtId="166" fontId="2" fillId="5" borderId="10" xfId="1" applyNumberFormat="1" applyFont="1" applyFill="1" applyBorder="1" applyAlignment="1">
      <alignment horizontal="center" vertical="center"/>
    </xf>
    <xf numFmtId="166" fontId="2" fillId="5" borderId="8" xfId="1" applyNumberFormat="1" applyFont="1" applyFill="1" applyBorder="1" applyAlignment="1">
      <alignment horizontal="center" vertical="center"/>
    </xf>
    <xf numFmtId="166" fontId="2" fillId="5" borderId="21" xfId="1" applyNumberFormat="1" applyFont="1" applyFill="1" applyBorder="1" applyAlignment="1">
      <alignment horizontal="center" vertical="center"/>
    </xf>
    <xf numFmtId="174" fontId="2" fillId="0" borderId="7" xfId="0" applyNumberFormat="1" applyFont="1" applyBorder="1" applyAlignment="1">
      <alignment horizontal="center" vertical="center"/>
    </xf>
    <xf numFmtId="174" fontId="2" fillId="0" borderId="11" xfId="1" applyNumberFormat="1" applyFont="1" applyFill="1" applyBorder="1" applyAlignment="1">
      <alignment horizontal="center" vertical="center"/>
    </xf>
    <xf numFmtId="174" fontId="2" fillId="0" borderId="27" xfId="1" applyNumberFormat="1" applyFont="1" applyFill="1" applyBorder="1" applyAlignment="1">
      <alignment horizontal="center" vertical="center"/>
    </xf>
    <xf numFmtId="174" fontId="2" fillId="5" borderId="0" xfId="0" applyNumberFormat="1" applyFont="1" applyFill="1" applyBorder="1" applyAlignment="1">
      <alignment horizontal="center" vertical="center"/>
    </xf>
    <xf numFmtId="174" fontId="2" fillId="5" borderId="0" xfId="1" applyNumberFormat="1" applyFont="1" applyFill="1" applyBorder="1" applyAlignment="1">
      <alignment horizontal="center" vertical="center"/>
    </xf>
    <xf numFmtId="174" fontId="2" fillId="5" borderId="10" xfId="1" applyNumberFormat="1" applyFont="1" applyFill="1" applyBorder="1" applyAlignment="1">
      <alignment horizontal="center" vertical="center"/>
    </xf>
    <xf numFmtId="174" fontId="2" fillId="0" borderId="11" xfId="0" applyNumberFormat="1" applyFont="1" applyBorder="1" applyAlignment="1">
      <alignment horizontal="center" vertical="center"/>
    </xf>
    <xf numFmtId="174" fontId="2" fillId="5" borderId="8" xfId="0" applyNumberFormat="1" applyFont="1" applyFill="1" applyBorder="1" applyAlignment="1">
      <alignment horizontal="center" vertical="center"/>
    </xf>
    <xf numFmtId="174" fontId="2" fillId="5" borderId="8" xfId="1" applyNumberFormat="1" applyFont="1" applyFill="1" applyBorder="1" applyAlignment="1">
      <alignment horizontal="center" vertical="center"/>
    </xf>
    <xf numFmtId="174" fontId="2" fillId="5" borderId="21" xfId="1" applyNumberFormat="1" applyFont="1" applyFill="1" applyBorder="1" applyAlignment="1">
      <alignment horizontal="center" vertical="center"/>
    </xf>
    <xf numFmtId="0" fontId="46" fillId="0" borderId="7" xfId="0" applyFont="1" applyBorder="1" applyAlignment="1">
      <alignment vertical="center"/>
    </xf>
    <xf numFmtId="0" fontId="45" fillId="3" borderId="0" xfId="0" applyFont="1" applyFill="1" applyBorder="1" applyAlignment="1">
      <alignment vertical="center"/>
    </xf>
    <xf numFmtId="0" fontId="45" fillId="3" borderId="0" xfId="0" applyFont="1" applyFill="1" applyBorder="1" applyAlignment="1">
      <alignment horizontal="center" vertical="center"/>
    </xf>
    <xf numFmtId="4" fontId="45" fillId="3" borderId="0" xfId="0" applyNumberFormat="1" applyFont="1" applyFill="1" applyBorder="1" applyAlignment="1">
      <alignment vertical="center"/>
    </xf>
    <xf numFmtId="0" fontId="23" fillId="0" borderId="0" xfId="0" applyFont="1" applyAlignment="1">
      <alignment horizontal="left" vertical="center"/>
    </xf>
    <xf numFmtId="3" fontId="2" fillId="0" borderId="7" xfId="0" applyNumberFormat="1" applyFont="1" applyBorder="1" applyAlignment="1">
      <alignment horizontal="center" vertical="center"/>
    </xf>
    <xf numFmtId="3" fontId="2" fillId="5" borderId="0" xfId="0" applyNumberFormat="1" applyFont="1" applyFill="1" applyBorder="1" applyAlignment="1">
      <alignment horizontal="center" vertical="center"/>
    </xf>
    <xf numFmtId="3" fontId="2" fillId="0" borderId="11" xfId="0" applyNumberFormat="1" applyFont="1" applyBorder="1" applyAlignment="1">
      <alignment horizontal="center" vertical="center"/>
    </xf>
    <xf numFmtId="3" fontId="2" fillId="5" borderId="8" xfId="0" applyNumberFormat="1" applyFont="1" applyFill="1" applyBorder="1" applyAlignment="1">
      <alignment horizontal="center" vertical="center"/>
    </xf>
    <xf numFmtId="8" fontId="46" fillId="0" borderId="0" xfId="0" applyNumberFormat="1" applyFont="1" applyBorder="1" applyAlignment="1">
      <alignment vertical="center"/>
    </xf>
    <xf numFmtId="3" fontId="46" fillId="0" borderId="0" xfId="0" applyNumberFormat="1" applyFont="1" applyBorder="1" applyAlignment="1">
      <alignment horizontal="center" vertical="center"/>
    </xf>
    <xf numFmtId="43" fontId="46" fillId="0" borderId="0" xfId="1" applyFont="1" applyFill="1" applyBorder="1" applyAlignment="1">
      <alignment horizontal="center" vertical="center"/>
    </xf>
    <xf numFmtId="44" fontId="2" fillId="0" borderId="0" xfId="2" applyFont="1" applyFill="1" applyBorder="1" applyAlignment="1">
      <alignment vertical="center"/>
    </xf>
    <xf numFmtId="0" fontId="2" fillId="5" borderId="0" xfId="0" applyFont="1" applyFill="1" applyBorder="1" applyAlignment="1">
      <alignment vertical="center"/>
    </xf>
    <xf numFmtId="4" fontId="2" fillId="5" borderId="0" xfId="0" applyNumberFormat="1" applyFont="1" applyFill="1" applyBorder="1" applyAlignment="1">
      <alignment vertical="center"/>
    </xf>
    <xf numFmtId="4" fontId="2" fillId="0" borderId="0" xfId="0" applyNumberFormat="1" applyFont="1" applyBorder="1" applyAlignment="1">
      <alignment vertical="center"/>
    </xf>
    <xf numFmtId="0" fontId="47" fillId="0" borderId="47" xfId="0" applyFont="1" applyBorder="1" applyAlignment="1">
      <alignment vertical="top" wrapText="1"/>
    </xf>
    <xf numFmtId="0" fontId="47" fillId="0" borderId="46" xfId="0" applyFont="1" applyBorder="1" applyAlignment="1">
      <alignment vertical="top" wrapText="1"/>
    </xf>
    <xf numFmtId="0" fontId="0" fillId="0" borderId="46" xfId="0" applyBorder="1" applyAlignment="1">
      <alignment vertical="top" wrapText="1"/>
    </xf>
    <xf numFmtId="0" fontId="48" fillId="12" borderId="51" xfId="0" applyFont="1" applyFill="1" applyBorder="1" applyAlignment="1">
      <alignment textRotation="90" wrapText="1"/>
    </xf>
    <xf numFmtId="0" fontId="47" fillId="0" borderId="46" xfId="0" applyFont="1" applyBorder="1" applyAlignment="1">
      <alignment vertical="center" wrapText="1"/>
    </xf>
    <xf numFmtId="0" fontId="48" fillId="12" borderId="53" xfId="0" applyFont="1" applyFill="1" applyBorder="1" applyAlignment="1">
      <alignment vertical="center" textRotation="90" wrapText="1"/>
    </xf>
    <xf numFmtId="0" fontId="48" fillId="12" borderId="51" xfId="0" applyFont="1" applyFill="1" applyBorder="1" applyAlignment="1">
      <alignment vertical="center" textRotation="90" wrapText="1"/>
    </xf>
    <xf numFmtId="0" fontId="49" fillId="0" borderId="0" xfId="0" applyFont="1" applyBorder="1" applyAlignment="1">
      <alignment vertical="top" wrapText="1"/>
    </xf>
    <xf numFmtId="0" fontId="5" fillId="3" borderId="56" xfId="0" applyFont="1" applyFill="1" applyBorder="1" applyAlignment="1">
      <alignment vertical="center"/>
    </xf>
    <xf numFmtId="0" fontId="40" fillId="6" borderId="57" xfId="4" applyFont="1" applyFill="1" applyBorder="1" applyAlignment="1">
      <alignment horizontal="center" vertical="center"/>
    </xf>
    <xf numFmtId="0" fontId="2" fillId="0" borderId="0" xfId="0" quotePrefix="1" applyFont="1" applyBorder="1" applyAlignment="1">
      <alignment vertical="center"/>
    </xf>
    <xf numFmtId="49" fontId="5" fillId="3" borderId="12" xfId="0" applyNumberFormat="1" applyFont="1" applyFill="1" applyBorder="1" applyAlignment="1" applyProtection="1">
      <alignment vertical="center"/>
      <protection locked="0"/>
    </xf>
    <xf numFmtId="168" fontId="2" fillId="9" borderId="19" xfId="1" applyNumberFormat="1" applyFont="1" applyFill="1" applyBorder="1" applyAlignment="1">
      <alignment horizontal="center" vertical="center"/>
    </xf>
    <xf numFmtId="9" fontId="2" fillId="9" borderId="10" xfId="3" applyFont="1" applyFill="1" applyBorder="1" applyAlignment="1">
      <alignment horizontal="center" vertical="center"/>
    </xf>
    <xf numFmtId="44" fontId="4" fillId="0" borderId="0" xfId="2" applyFont="1" applyFill="1" applyBorder="1" applyAlignment="1">
      <alignment vertical="center"/>
    </xf>
    <xf numFmtId="44" fontId="6" fillId="3" borderId="12" xfId="2" applyFont="1" applyFill="1" applyBorder="1" applyAlignment="1" applyProtection="1">
      <alignment horizontal="right" vertical="center"/>
    </xf>
    <xf numFmtId="44" fontId="6" fillId="3" borderId="12" xfId="2" applyFont="1" applyFill="1" applyBorder="1" applyAlignment="1" applyProtection="1">
      <alignment vertical="center"/>
    </xf>
    <xf numFmtId="0" fontId="4" fillId="3" borderId="0" xfId="22" applyFont="1" applyFill="1" applyAlignment="1">
      <alignment horizontal="left" wrapText="1"/>
    </xf>
    <xf numFmtId="0" fontId="2" fillId="3" borderId="0" xfId="22" applyFont="1" applyFill="1" applyAlignment="1">
      <alignment horizontal="left" wrapText="1"/>
    </xf>
    <xf numFmtId="0" fontId="31" fillId="3" borderId="0" xfId="22" applyFont="1" applyFill="1" applyAlignment="1">
      <alignment horizontal="center" wrapText="1"/>
    </xf>
    <xf numFmtId="0" fontId="48" fillId="12" borderId="59" xfId="0" applyFont="1" applyFill="1" applyBorder="1" applyAlignment="1">
      <alignment textRotation="90" wrapText="1"/>
    </xf>
    <xf numFmtId="0" fontId="47" fillId="0" borderId="60" xfId="0" applyFont="1" applyBorder="1" applyAlignment="1">
      <alignment vertical="top" wrapText="1"/>
    </xf>
    <xf numFmtId="0" fontId="47" fillId="0" borderId="58" xfId="0" applyFont="1" applyBorder="1" applyAlignment="1">
      <alignment vertical="top" wrapText="1"/>
    </xf>
    <xf numFmtId="0" fontId="47" fillId="0" borderId="58" xfId="0" applyFont="1" applyBorder="1" applyAlignment="1">
      <alignment vertical="center" wrapText="1"/>
    </xf>
    <xf numFmtId="168" fontId="2" fillId="0" borderId="12" xfId="0" applyNumberFormat="1" applyFont="1" applyBorder="1" applyAlignment="1">
      <alignment horizontal="center"/>
    </xf>
    <xf numFmtId="0" fontId="5" fillId="3" borderId="0" xfId="0" quotePrefix="1" applyFont="1" applyFill="1" applyAlignment="1">
      <alignment horizontal="center" vertical="center"/>
    </xf>
    <xf numFmtId="168" fontId="23" fillId="0" borderId="0" xfId="0" applyNumberFormat="1" applyFont="1" applyBorder="1" applyAlignment="1">
      <alignment horizontal="left"/>
    </xf>
    <xf numFmtId="168" fontId="54" fillId="0" borderId="0" xfId="0" applyNumberFormat="1" applyFont="1" applyBorder="1" applyAlignment="1">
      <alignment horizontal="center"/>
    </xf>
    <xf numFmtId="0" fontId="0" fillId="5" borderId="0" xfId="0" applyFill="1"/>
    <xf numFmtId="0" fontId="0" fillId="12" borderId="0" xfId="0" applyFill="1"/>
    <xf numFmtId="0" fontId="18" fillId="3" borderId="0" xfId="0" applyFont="1" applyFill="1" applyBorder="1" applyAlignment="1">
      <alignment horizontal="left"/>
    </xf>
    <xf numFmtId="0" fontId="17" fillId="11" borderId="0" xfId="0" applyFont="1" applyFill="1" applyBorder="1" applyAlignment="1">
      <alignment vertical="center"/>
    </xf>
    <xf numFmtId="0" fontId="24" fillId="11" borderId="0" xfId="0" applyFont="1" applyFill="1" applyAlignment="1">
      <alignment vertical="center"/>
    </xf>
    <xf numFmtId="0" fontId="0" fillId="0" borderId="0" xfId="0" applyProtection="1">
      <protection locked="0"/>
    </xf>
    <xf numFmtId="0" fontId="5" fillId="3" borderId="0" xfId="0" applyFont="1" applyFill="1" applyBorder="1" applyAlignment="1">
      <alignment horizontal="left"/>
    </xf>
    <xf numFmtId="0" fontId="23" fillId="3" borderId="0" xfId="0" applyFont="1" applyFill="1" applyBorder="1" applyAlignment="1">
      <alignment horizontal="left"/>
    </xf>
    <xf numFmtId="44" fontId="6" fillId="3" borderId="0" xfId="2" applyFont="1" applyFill="1" applyBorder="1" applyAlignment="1" applyProtection="1">
      <alignment horizontal="right" vertical="center"/>
    </xf>
    <xf numFmtId="0" fontId="18" fillId="5" borderId="13" xfId="0" applyFont="1" applyFill="1" applyBorder="1" applyAlignment="1">
      <alignment horizontal="left"/>
    </xf>
    <xf numFmtId="0" fontId="18" fillId="5" borderId="0" xfId="0" applyFont="1" applyFill="1" applyBorder="1" applyAlignment="1">
      <alignment horizontal="left"/>
    </xf>
    <xf numFmtId="9" fontId="26" fillId="5" borderId="0" xfId="0" applyNumberFormat="1" applyFont="1" applyFill="1" applyBorder="1" applyAlignment="1">
      <alignment horizontal="right" vertical="center"/>
    </xf>
    <xf numFmtId="0" fontId="16" fillId="6" borderId="42" xfId="0" applyFont="1" applyFill="1" applyBorder="1" applyAlignment="1">
      <alignment horizontal="center" vertical="center" wrapText="1"/>
    </xf>
    <xf numFmtId="0" fontId="34" fillId="3" borderId="0" xfId="22" applyFont="1" applyFill="1" applyAlignment="1">
      <alignment horizontal="center" wrapText="1"/>
    </xf>
    <xf numFmtId="9" fontId="6" fillId="3" borderId="12" xfId="3" applyFont="1" applyFill="1" applyBorder="1" applyAlignment="1" applyProtection="1">
      <alignment vertical="center"/>
    </xf>
    <xf numFmtId="9" fontId="6" fillId="3" borderId="12" xfId="3" applyFont="1" applyFill="1" applyBorder="1" applyAlignment="1" applyProtection="1">
      <alignment vertical="center"/>
      <protection locked="0"/>
    </xf>
    <xf numFmtId="0" fontId="2" fillId="5" borderId="0" xfId="0" applyFont="1" applyFill="1"/>
    <xf numFmtId="0" fontId="4" fillId="0" borderId="0" xfId="0" applyFont="1" applyAlignment="1">
      <alignment horizontal="left" wrapText="1"/>
    </xf>
    <xf numFmtId="0" fontId="2" fillId="3" borderId="0" xfId="0" applyFont="1" applyFill="1"/>
    <xf numFmtId="0" fontId="4" fillId="0" borderId="0" xfId="0" applyFont="1"/>
    <xf numFmtId="0" fontId="2" fillId="3" borderId="0" xfId="0" applyFont="1" applyFill="1" applyAlignment="1">
      <alignment vertical="top"/>
    </xf>
    <xf numFmtId="174" fontId="2" fillId="0" borderId="0" xfId="1" applyNumberFormat="1" applyFont="1" applyFill="1" applyBorder="1" applyAlignment="1">
      <alignment horizontal="center" vertical="center"/>
    </xf>
    <xf numFmtId="4" fontId="2" fillId="0" borderId="7" xfId="0" applyNumberFormat="1" applyFont="1" applyBorder="1" applyAlignment="1">
      <alignment horizontal="center" vertical="center"/>
    </xf>
    <xf numFmtId="4" fontId="2" fillId="5" borderId="0" xfId="0" applyNumberFormat="1" applyFont="1" applyFill="1" applyBorder="1" applyAlignment="1">
      <alignment horizontal="center" vertical="center"/>
    </xf>
    <xf numFmtId="4" fontId="2" fillId="0" borderId="0" xfId="0" applyNumberFormat="1" applyFont="1" applyBorder="1" applyAlignment="1">
      <alignment horizontal="center" vertical="center"/>
    </xf>
    <xf numFmtId="4" fontId="2" fillId="0" borderId="8" xfId="0" applyNumberFormat="1" applyFont="1" applyBorder="1" applyAlignment="1">
      <alignment horizontal="center" vertical="center"/>
    </xf>
    <xf numFmtId="39" fontId="2" fillId="5" borderId="0" xfId="0" applyNumberFormat="1" applyFont="1" applyFill="1" applyBorder="1" applyAlignment="1">
      <alignment vertical="center"/>
    </xf>
    <xf numFmtId="0" fontId="56" fillId="13" borderId="0" xfId="4" applyFont="1" applyFill="1" applyAlignment="1">
      <alignment horizontal="center" vertical="center"/>
    </xf>
    <xf numFmtId="0" fontId="56" fillId="13" borderId="5" xfId="4" applyFont="1" applyFill="1" applyBorder="1" applyAlignment="1">
      <alignment horizontal="center" vertical="center"/>
    </xf>
    <xf numFmtId="0" fontId="28" fillId="3" borderId="0" xfId="0" applyFont="1" applyFill="1" applyBorder="1" applyAlignment="1">
      <alignment horizontal="left" vertical="center"/>
    </xf>
    <xf numFmtId="169" fontId="29" fillId="3" borderId="0" xfId="3" applyNumberFormat="1" applyFont="1" applyFill="1" applyBorder="1" applyProtection="1"/>
    <xf numFmtId="0" fontId="4" fillId="3" borderId="0" xfId="0" applyFont="1" applyFill="1"/>
    <xf numFmtId="43" fontId="26" fillId="13" borderId="0" xfId="1" applyFont="1" applyFill="1" applyBorder="1" applyAlignment="1" applyProtection="1">
      <alignment horizontal="right" vertical="center"/>
      <protection locked="0"/>
    </xf>
    <xf numFmtId="168" fontId="26" fillId="13" borderId="0" xfId="1" applyNumberFormat="1" applyFont="1" applyFill="1" applyBorder="1" applyAlignment="1" applyProtection="1">
      <alignment horizontal="right" vertical="center"/>
      <protection locked="0"/>
    </xf>
    <xf numFmtId="44" fontId="2" fillId="13" borderId="12" xfId="0" applyNumberFormat="1" applyFont="1" applyFill="1" applyBorder="1" applyProtection="1">
      <protection locked="0"/>
    </xf>
    <xf numFmtId="0" fontId="2" fillId="13" borderId="12" xfId="0" applyFont="1" applyFill="1" applyBorder="1" applyProtection="1">
      <protection locked="0"/>
    </xf>
    <xf numFmtId="44" fontId="2" fillId="13" borderId="12" xfId="2" applyFont="1" applyFill="1" applyBorder="1" applyAlignment="1" applyProtection="1">
      <alignment horizontal="left"/>
      <protection locked="0"/>
    </xf>
    <xf numFmtId="175" fontId="2" fillId="13" borderId="12" xfId="2" applyNumberFormat="1" applyFont="1" applyFill="1" applyBorder="1" applyAlignment="1" applyProtection="1">
      <alignment horizontal="center"/>
      <protection locked="0"/>
    </xf>
    <xf numFmtId="0" fontId="30" fillId="13" borderId="12" xfId="0" applyFont="1" applyFill="1" applyBorder="1" applyAlignment="1" applyProtection="1">
      <alignment horizontal="center"/>
      <protection locked="0"/>
    </xf>
    <xf numFmtId="0" fontId="34" fillId="3" borderId="0" xfId="22" applyFont="1" applyFill="1" applyAlignment="1">
      <alignment horizontal="left" wrapText="1"/>
    </xf>
    <xf numFmtId="0" fontId="34" fillId="3" borderId="0" xfId="22" applyFont="1" applyFill="1" applyAlignment="1">
      <alignment horizontal="left"/>
    </xf>
    <xf numFmtId="0" fontId="4" fillId="3" borderId="0" xfId="0" applyFont="1" applyFill="1" applyAlignment="1">
      <alignment horizontal="left" wrapText="1"/>
    </xf>
    <xf numFmtId="167" fontId="18" fillId="3" borderId="0" xfId="0" applyNumberFormat="1" applyFont="1" applyFill="1" applyAlignment="1">
      <alignment horizontal="right" vertical="center"/>
    </xf>
    <xf numFmtId="0" fontId="17" fillId="6" borderId="0" xfId="0" applyFont="1" applyFill="1" applyBorder="1" applyAlignment="1">
      <alignment horizontal="center" vertical="center"/>
    </xf>
    <xf numFmtId="0" fontId="16" fillId="6" borderId="0" xfId="0" applyFont="1" applyFill="1" applyBorder="1" applyAlignment="1">
      <alignment horizontal="center" vertical="center"/>
    </xf>
    <xf numFmtId="0" fontId="22" fillId="6" borderId="23" xfId="0" applyFont="1" applyFill="1" applyBorder="1" applyAlignment="1">
      <alignment horizontal="center" vertical="center" wrapText="1"/>
    </xf>
    <xf numFmtId="0" fontId="22" fillId="6" borderId="24" xfId="0" applyFont="1" applyFill="1" applyBorder="1" applyAlignment="1">
      <alignment horizontal="center" vertical="center" wrapText="1"/>
    </xf>
    <xf numFmtId="0" fontId="3" fillId="3" borderId="0" xfId="0" applyFont="1" applyFill="1" applyAlignment="1">
      <alignment horizontal="justify" vertical="center"/>
    </xf>
    <xf numFmtId="0" fontId="22" fillId="6" borderId="23" xfId="0" applyFont="1" applyFill="1" applyBorder="1" applyAlignment="1">
      <alignment horizontal="center" vertical="center"/>
    </xf>
    <xf numFmtId="0" fontId="22" fillId="6" borderId="24" xfId="0" applyFont="1" applyFill="1" applyBorder="1" applyAlignment="1">
      <alignment horizontal="center" vertical="center"/>
    </xf>
    <xf numFmtId="0" fontId="16" fillId="6" borderId="61" xfId="0" applyFont="1" applyFill="1" applyBorder="1" applyAlignment="1">
      <alignment horizontal="center" vertical="center" wrapText="1"/>
    </xf>
    <xf numFmtId="0" fontId="16" fillId="6" borderId="62" xfId="0" applyFont="1" applyFill="1" applyBorder="1" applyAlignment="1">
      <alignment horizontal="center" vertical="center" wrapText="1"/>
    </xf>
    <xf numFmtId="0" fontId="16" fillId="6" borderId="29" xfId="0" applyFont="1" applyFill="1" applyBorder="1" applyAlignment="1">
      <alignment horizontal="center" vertical="center" wrapText="1"/>
    </xf>
    <xf numFmtId="0" fontId="16" fillId="6" borderId="30" xfId="0" applyFont="1" applyFill="1" applyBorder="1" applyAlignment="1">
      <alignment horizontal="center" vertical="center" wrapText="1"/>
    </xf>
    <xf numFmtId="0" fontId="55" fillId="3" borderId="14" xfId="0" applyFont="1" applyFill="1" applyBorder="1" applyAlignment="1">
      <alignment horizontal="left"/>
    </xf>
    <xf numFmtId="0" fontId="55" fillId="3" borderId="16" xfId="0" applyFont="1" applyFill="1" applyBorder="1" applyAlignment="1">
      <alignment horizontal="left"/>
    </xf>
    <xf numFmtId="0" fontId="55" fillId="3" borderId="15" xfId="0" applyFont="1" applyFill="1" applyBorder="1" applyAlignment="1">
      <alignment horizontal="left"/>
    </xf>
    <xf numFmtId="0" fontId="22" fillId="6" borderId="22" xfId="0" applyFont="1" applyFill="1" applyBorder="1" applyAlignment="1">
      <alignment horizontal="center" vertical="center"/>
    </xf>
    <xf numFmtId="0" fontId="22" fillId="6" borderId="0" xfId="0" applyFont="1" applyFill="1" applyBorder="1" applyAlignment="1">
      <alignment horizontal="left" vertical="center"/>
    </xf>
    <xf numFmtId="0" fontId="22" fillId="6" borderId="25" xfId="0" applyFont="1" applyFill="1" applyBorder="1" applyAlignment="1">
      <alignment horizontal="left" vertical="center"/>
    </xf>
    <xf numFmtId="0" fontId="18" fillId="3" borderId="0" xfId="0" applyFont="1" applyFill="1" applyBorder="1" applyAlignment="1">
      <alignment horizontal="left"/>
    </xf>
    <xf numFmtId="0" fontId="18" fillId="5" borderId="0" xfId="0" applyFont="1" applyFill="1" applyBorder="1" applyAlignment="1">
      <alignment horizontal="left"/>
    </xf>
    <xf numFmtId="0" fontId="18" fillId="5" borderId="13" xfId="0" applyFont="1" applyFill="1" applyBorder="1" applyAlignment="1">
      <alignment horizontal="left"/>
    </xf>
    <xf numFmtId="0" fontId="18" fillId="3" borderId="11" xfId="0" applyFont="1" applyFill="1" applyBorder="1" applyAlignment="1">
      <alignment horizontal="left"/>
    </xf>
    <xf numFmtId="0" fontId="5" fillId="3" borderId="0" xfId="0" applyFont="1" applyFill="1" applyBorder="1" applyAlignment="1">
      <alignment horizontal="left" wrapText="1"/>
    </xf>
    <xf numFmtId="0" fontId="6" fillId="3" borderId="0" xfId="0" applyFont="1" applyFill="1" applyBorder="1" applyAlignment="1">
      <alignment vertical="center"/>
    </xf>
    <xf numFmtId="0" fontId="0" fillId="0" borderId="0" xfId="0" applyBorder="1"/>
    <xf numFmtId="0" fontId="5" fillId="3" borderId="0" xfId="0" applyFont="1" applyFill="1" applyBorder="1" applyAlignment="1">
      <alignment horizontal="left" vertical="center"/>
    </xf>
    <xf numFmtId="4" fontId="6" fillId="3" borderId="0" xfId="0" applyNumberFormat="1" applyFont="1" applyFill="1" applyBorder="1" applyAlignment="1">
      <alignment horizontal="center" vertical="center"/>
    </xf>
    <xf numFmtId="0" fontId="16" fillId="6" borderId="42" xfId="0" applyFont="1" applyFill="1" applyBorder="1" applyAlignment="1">
      <alignment horizontal="center" vertical="center"/>
    </xf>
    <xf numFmtId="0" fontId="16" fillId="6" borderId="24" xfId="0" applyFont="1" applyFill="1" applyBorder="1" applyAlignment="1">
      <alignment horizontal="center" vertical="center"/>
    </xf>
    <xf numFmtId="0" fontId="24" fillId="11" borderId="36" xfId="0" applyFont="1" applyFill="1" applyBorder="1" applyAlignment="1">
      <alignment horizontal="center" vertical="center"/>
    </xf>
    <xf numFmtId="0" fontId="24" fillId="11" borderId="43" xfId="0" applyFont="1" applyFill="1" applyBorder="1" applyAlignment="1">
      <alignment horizontal="center" vertical="center"/>
    </xf>
    <xf numFmtId="0" fontId="21" fillId="0" borderId="0" xfId="0" applyFont="1" applyAlignment="1">
      <alignment horizontal="center" vertical="center" wrapText="1"/>
    </xf>
    <xf numFmtId="165" fontId="6" fillId="3" borderId="0" xfId="0" applyNumberFormat="1" applyFont="1" applyFill="1" applyBorder="1" applyAlignment="1">
      <alignment horizontal="center" vertical="center"/>
    </xf>
    <xf numFmtId="0" fontId="16" fillId="6" borderId="41" xfId="0" applyFont="1" applyFill="1" applyBorder="1" applyAlignment="1">
      <alignment horizontal="center" vertical="center" wrapText="1"/>
    </xf>
    <xf numFmtId="0" fontId="16" fillId="6" borderId="40" xfId="0" applyFont="1" applyFill="1" applyBorder="1" applyAlignment="1">
      <alignment horizontal="center" vertical="center" wrapText="1"/>
    </xf>
    <xf numFmtId="0" fontId="16" fillId="6" borderId="42" xfId="0" applyFont="1" applyFill="1" applyBorder="1" applyAlignment="1">
      <alignment horizontal="center" vertical="center" wrapText="1"/>
    </xf>
    <xf numFmtId="0" fontId="16" fillId="6" borderId="24" xfId="0" applyFont="1" applyFill="1" applyBorder="1" applyAlignment="1">
      <alignment horizontal="center" vertical="center" wrapText="1"/>
    </xf>
    <xf numFmtId="0" fontId="16" fillId="6" borderId="44" xfId="0" applyFont="1" applyFill="1" applyBorder="1" applyAlignment="1">
      <alignment horizontal="center" vertical="center" wrapText="1"/>
    </xf>
    <xf numFmtId="0" fontId="16" fillId="6" borderId="45" xfId="0" applyFont="1" applyFill="1" applyBorder="1" applyAlignment="1">
      <alignment horizontal="center" vertical="center" wrapText="1"/>
    </xf>
    <xf numFmtId="0" fontId="5" fillId="3" borderId="0" xfId="0" applyFont="1" applyFill="1" applyBorder="1" applyAlignment="1">
      <alignment horizontal="center" vertical="center"/>
    </xf>
    <xf numFmtId="0" fontId="30" fillId="13" borderId="14" xfId="0" applyFont="1" applyFill="1" applyBorder="1" applyAlignment="1" applyProtection="1">
      <alignment horizontal="center"/>
      <protection locked="0"/>
    </xf>
    <xf numFmtId="0" fontId="30" fillId="13" borderId="15" xfId="0" applyFont="1" applyFill="1" applyBorder="1" applyAlignment="1" applyProtection="1">
      <alignment horizontal="center"/>
      <protection locked="0"/>
    </xf>
    <xf numFmtId="0" fontId="16" fillId="6" borderId="37" xfId="0" applyFont="1" applyFill="1" applyBorder="1" applyAlignment="1">
      <alignment horizontal="center" vertical="center"/>
    </xf>
    <xf numFmtId="9" fontId="23" fillId="0" borderId="0" xfId="0" applyNumberFormat="1" applyFont="1" applyBorder="1" applyAlignment="1">
      <alignment horizontal="center" vertical="center"/>
    </xf>
    <xf numFmtId="0" fontId="20" fillId="3" borderId="0" xfId="0" applyFont="1" applyFill="1" applyAlignment="1">
      <alignment horizontal="center"/>
    </xf>
    <xf numFmtId="0" fontId="4" fillId="3" borderId="0" xfId="0" applyFont="1" applyFill="1" applyAlignment="1">
      <alignment horizontal="center"/>
    </xf>
    <xf numFmtId="0" fontId="17" fillId="11" borderId="0" xfId="0" applyFont="1" applyFill="1" applyBorder="1" applyAlignment="1">
      <alignment horizontal="center" vertical="center"/>
    </xf>
    <xf numFmtId="0" fontId="24" fillId="11" borderId="39" xfId="0" applyFont="1" applyFill="1" applyBorder="1" applyAlignment="1">
      <alignment horizontal="center" vertical="center"/>
    </xf>
    <xf numFmtId="0" fontId="24" fillId="11" borderId="38" xfId="0" applyFont="1" applyFill="1" applyBorder="1" applyAlignment="1">
      <alignment horizontal="center" vertical="center"/>
    </xf>
    <xf numFmtId="0" fontId="24" fillId="11" borderId="0" xfId="0" applyFont="1" applyFill="1" applyAlignment="1">
      <alignment horizontal="center" vertical="center"/>
    </xf>
    <xf numFmtId="0" fontId="41" fillId="8" borderId="6" xfId="4" applyFont="1" applyFill="1" applyBorder="1" applyAlignment="1">
      <alignment horizontal="center" vertical="center"/>
    </xf>
    <xf numFmtId="0" fontId="40" fillId="6" borderId="4" xfId="4" applyFont="1" applyFill="1" applyBorder="1" applyAlignment="1">
      <alignment horizontal="center" vertical="center"/>
    </xf>
    <xf numFmtId="0" fontId="40" fillId="6" borderId="3" xfId="4" applyFont="1" applyFill="1" applyBorder="1" applyAlignment="1">
      <alignment horizontal="center" vertical="center"/>
    </xf>
    <xf numFmtId="0" fontId="41" fillId="8" borderId="4" xfId="4" applyFont="1" applyFill="1" applyBorder="1" applyAlignment="1">
      <alignment horizontal="center" vertical="center"/>
    </xf>
    <xf numFmtId="0" fontId="41" fillId="8" borderId="5" xfId="4" applyFont="1" applyFill="1" applyBorder="1" applyAlignment="1">
      <alignment horizontal="center" vertical="center"/>
    </xf>
    <xf numFmtId="0" fontId="41" fillId="8" borderId="3" xfId="4" applyFont="1" applyFill="1" applyBorder="1" applyAlignment="1">
      <alignment horizontal="center" vertical="center"/>
    </xf>
    <xf numFmtId="0" fontId="48" fillId="12" borderId="54" xfId="0" applyFont="1" applyFill="1" applyBorder="1" applyAlignment="1">
      <alignment horizontal="center" wrapText="1"/>
    </xf>
    <xf numFmtId="0" fontId="48" fillId="12" borderId="55" xfId="0" applyFont="1" applyFill="1" applyBorder="1" applyAlignment="1">
      <alignment horizontal="center" wrapText="1"/>
    </xf>
    <xf numFmtId="0" fontId="48" fillId="12" borderId="48" xfId="0" applyFont="1" applyFill="1" applyBorder="1" applyAlignment="1">
      <alignment horizontal="center" vertical="top" wrapText="1"/>
    </xf>
    <xf numFmtId="0" fontId="48" fillId="12" borderId="50" xfId="0" applyFont="1" applyFill="1" applyBorder="1" applyAlignment="1">
      <alignment horizontal="center" vertical="top" wrapText="1"/>
    </xf>
    <xf numFmtId="0" fontId="48" fillId="12" borderId="52" xfId="0" applyFont="1" applyFill="1" applyBorder="1" applyAlignment="1">
      <alignment horizontal="center" vertical="top" wrapText="1"/>
    </xf>
    <xf numFmtId="0" fontId="48" fillId="12" borderId="49" xfId="0" applyFont="1" applyFill="1" applyBorder="1" applyAlignment="1">
      <alignment horizontal="center" vertical="top" wrapText="1"/>
    </xf>
    <xf numFmtId="0" fontId="34" fillId="3" borderId="0" xfId="22" applyFont="1" applyFill="1" applyAlignment="1">
      <alignment horizontal="left" wrapText="1"/>
    </xf>
    <xf numFmtId="0" fontId="2" fillId="3" borderId="0" xfId="22" applyFont="1" applyFill="1" applyAlignment="1">
      <alignment horizontal="left"/>
    </xf>
    <xf numFmtId="0" fontId="3" fillId="3" borderId="0" xfId="0" applyFont="1" applyFill="1" applyBorder="1" applyAlignment="1">
      <alignment horizontal="left" wrapText="1"/>
    </xf>
    <xf numFmtId="0" fontId="6" fillId="3" borderId="0" xfId="0" applyFont="1" applyFill="1" applyAlignment="1">
      <alignment horizontal="left" wrapText="1"/>
    </xf>
    <xf numFmtId="0" fontId="2" fillId="3" borderId="0" xfId="22" applyFont="1" applyFill="1" applyAlignment="1">
      <alignment horizontal="left" wrapText="1"/>
    </xf>
    <xf numFmtId="0" fontId="34" fillId="3" borderId="0" xfId="22" applyFont="1" applyFill="1" applyAlignment="1">
      <alignment horizontal="center" wrapText="1"/>
    </xf>
    <xf numFmtId="0" fontId="57" fillId="3" borderId="0" xfId="22" applyFont="1" applyFill="1" applyAlignment="1">
      <alignment horizontal="center" vertical="center" wrapText="1"/>
    </xf>
    <xf numFmtId="0" fontId="35" fillId="3" borderId="0" xfId="22" applyFont="1" applyFill="1" applyAlignment="1">
      <alignment horizontal="center" wrapText="1"/>
    </xf>
    <xf numFmtId="0" fontId="31" fillId="3" borderId="0" xfId="22" applyFont="1" applyFill="1" applyAlignment="1">
      <alignment horizontal="center" wrapText="1"/>
    </xf>
    <xf numFmtId="0" fontId="2" fillId="0" borderId="0" xfId="22" applyFont="1" applyAlignment="1">
      <alignment horizontal="left" wrapText="1"/>
    </xf>
  </cellXfs>
  <cellStyles count="26">
    <cellStyle name="Estilo 1" xfId="8"/>
    <cellStyle name="Euro" xfId="9"/>
    <cellStyle name="Millares" xfId="1" builtinId="3"/>
    <cellStyle name="Millares 2" xfId="7"/>
    <cellStyle name="Millares 3" xfId="23"/>
    <cellStyle name="Moneda" xfId="2" builtinId="4"/>
    <cellStyle name="Moneda 2" xfId="6"/>
    <cellStyle name="Moneda 3" xfId="24"/>
    <cellStyle name="Norm੎੎" xfId="4"/>
    <cellStyle name="Normal" xfId="0" builtinId="0"/>
    <cellStyle name="Normal 10" xfId="10"/>
    <cellStyle name="Normal 11" xfId="11"/>
    <cellStyle name="Normal 12" xfId="12"/>
    <cellStyle name="Normal 13" xfId="22"/>
    <cellStyle name="Normal 14" xfId="13"/>
    <cellStyle name="Normal 15" xfId="21"/>
    <cellStyle name="Normal 2" xfId="5"/>
    <cellStyle name="Normal 3" xfId="14"/>
    <cellStyle name="Normal 4" xfId="15"/>
    <cellStyle name="Normal 5" xfId="16"/>
    <cellStyle name="Normal 6" xfId="17"/>
    <cellStyle name="Normal 7" xfId="18"/>
    <cellStyle name="Normal 8" xfId="19"/>
    <cellStyle name="Normal 9" xfId="20"/>
    <cellStyle name="Porcentaje" xfId="3" builtinId="5"/>
    <cellStyle name="Porcentaje 2" xfId="25"/>
  </cellStyles>
  <dxfs count="0"/>
  <tableStyles count="0" defaultTableStyle="TableStyleMedium9" defaultPivotStyle="PivotStyleLight16"/>
  <colors>
    <mruColors>
      <color rgb="FFCC0000"/>
      <color rgb="FF99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#COTIZACION!A1"/><Relationship Id="rId2" Type="http://schemas.openxmlformats.org/officeDocument/2006/relationships/hyperlink" Target="#Cotizador!A1"/><Relationship Id="rId1" Type="http://schemas.openxmlformats.org/officeDocument/2006/relationships/image" Target="../media/image1.png"/><Relationship Id="rId4" Type="http://schemas.openxmlformats.org/officeDocument/2006/relationships/image" Target="../media/image2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hyperlink" Target="#Cotizador!A1"/><Relationship Id="rId1" Type="http://schemas.openxmlformats.org/officeDocument/2006/relationships/image" Target="../media/image3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4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hyperlink" Target="#COTIZACION!A1"/><Relationship Id="rId2" Type="http://schemas.openxmlformats.org/officeDocument/2006/relationships/image" Target="../media/image1.png"/><Relationship Id="rId1" Type="http://schemas.openxmlformats.org/officeDocument/2006/relationships/hyperlink" Target="#Cotizador!A1"/><Relationship Id="rId4" Type="http://schemas.openxmlformats.org/officeDocument/2006/relationships/image" Target="../media/image2.pn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4940238</xdr:colOff>
      <xdr:row>57</xdr:row>
      <xdr:rowOff>163045</xdr:rowOff>
    </xdr:from>
    <xdr:to>
      <xdr:col>8</xdr:col>
      <xdr:colOff>360830</xdr:colOff>
      <xdr:row>261</xdr:row>
      <xdr:rowOff>14504</xdr:rowOff>
    </xdr:to>
    <xdr:pic macro="[0]!imprimir">
      <xdr:nvPicPr>
        <xdr:cNvPr id="4" name="Picture 2">
          <a:extLst>
            <a:ext uri="{FF2B5EF4-FFF2-40B4-BE49-F238E27FC236}">
              <a16:creationId xmlns:a16="http://schemas.microsoft.com/office/drawing/2014/main" xmlns="" id="{00000000-0008-0000-0000-000004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90804" t="40675" r="1482" b="55356"/>
        <a:stretch/>
      </xdr:blipFill>
      <xdr:spPr bwMode="auto">
        <a:xfrm>
          <a:off x="9265709" y="9049310"/>
          <a:ext cx="1158004" cy="322106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chemeClr val="tx1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chemeClr val="bg2"/>
                </a:outerShdw>
              </a:effectLst>
            </a14:hiddenEffects>
          </a:ext>
        </a:extLst>
      </xdr:spPr>
    </xdr:pic>
    <xdr:clientData/>
  </xdr:twoCellAnchor>
  <xdr:twoCellAnchor>
    <xdr:from>
      <xdr:col>6</xdr:col>
      <xdr:colOff>3437432</xdr:colOff>
      <xdr:row>57</xdr:row>
      <xdr:rowOff>187139</xdr:rowOff>
    </xdr:from>
    <xdr:to>
      <xdr:col>6</xdr:col>
      <xdr:colOff>4970929</xdr:colOff>
      <xdr:row>260</xdr:row>
      <xdr:rowOff>134161</xdr:rowOff>
    </xdr:to>
    <xdr:grpSp>
      <xdr:nvGrpSpPr>
        <xdr:cNvPr id="24" name="23 Grupo">
          <a:extLst>
            <a:ext uri="{FF2B5EF4-FFF2-40B4-BE49-F238E27FC236}">
              <a16:creationId xmlns:a16="http://schemas.microsoft.com/office/drawing/2014/main" xmlns="" id="{00000000-0008-0000-0000-000018000000}"/>
            </a:ext>
          </a:extLst>
        </xdr:cNvPr>
        <xdr:cNvGrpSpPr/>
      </xdr:nvGrpSpPr>
      <xdr:grpSpPr>
        <a:xfrm>
          <a:off x="7830138" y="9353551"/>
          <a:ext cx="1533497" cy="283198"/>
          <a:chOff x="9239249" y="7067550"/>
          <a:chExt cx="981076" cy="266700"/>
        </a:xfrm>
      </xdr:grpSpPr>
      <xdr:sp macro="[0]!Impresion_volver_menu" textlink="">
        <xdr:nvSpPr>
          <xdr:cNvPr id="25" name="24 CuadroTexto">
            <a:extLst>
              <a:ext uri="{FF2B5EF4-FFF2-40B4-BE49-F238E27FC236}">
                <a16:creationId xmlns:a16="http://schemas.microsoft.com/office/drawing/2014/main" xmlns="" id="{00000000-0008-0000-0000-000019000000}"/>
              </a:ext>
            </a:extLst>
          </xdr:cNvPr>
          <xdr:cNvSpPr txBox="1"/>
        </xdr:nvSpPr>
        <xdr:spPr>
          <a:xfrm>
            <a:off x="9467850" y="7067551"/>
            <a:ext cx="752475" cy="180974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MX" sz="800" b="1">
                <a:solidFill>
                  <a:schemeClr val="accent2">
                    <a:lumMod val="75000"/>
                  </a:schemeClr>
                </a:solidFill>
                <a:latin typeface="Arial" pitchFamily="34" charset="0"/>
                <a:cs typeface="Arial" pitchFamily="34" charset="0"/>
              </a:rPr>
              <a:t>Menu Principal</a:t>
            </a:r>
          </a:p>
        </xdr:txBody>
      </xdr:sp>
      <xdr:sp macro="[0]!Impresion_volver_menu" textlink="">
        <xdr:nvSpPr>
          <xdr:cNvPr id="26" name="25 Flecha izquierda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xmlns="" id="{00000000-0008-0000-0000-00001A000000}"/>
              </a:ext>
            </a:extLst>
          </xdr:cNvPr>
          <xdr:cNvSpPr/>
        </xdr:nvSpPr>
        <xdr:spPr bwMode="auto">
          <a:xfrm>
            <a:off x="9239249" y="7067550"/>
            <a:ext cx="238125" cy="266700"/>
          </a:xfrm>
          <a:prstGeom prst="leftArrow">
            <a:avLst/>
          </a:prstGeom>
          <a:solidFill>
            <a:schemeClr val="accent2">
              <a:lumMod val="40000"/>
              <a:lumOff val="60000"/>
            </a:schemeClr>
          </a:solidFill>
          <a:ln>
            <a:headEnd type="none" w="med" len="med"/>
            <a:tailEnd type="none" w="med" len="med"/>
          </a:ln>
        </xdr:spPr>
        <xdr:style>
          <a:lnRef idx="2">
            <a:schemeClr val="accent2"/>
          </a:lnRef>
          <a:fillRef idx="1">
            <a:schemeClr val="lt1"/>
          </a:fillRef>
          <a:effectRef idx="0">
            <a:schemeClr val="accent2"/>
          </a:effectRef>
          <a:fontRef idx="minor">
            <a:schemeClr val="dk1"/>
          </a:fontRef>
        </xdr:style>
        <xdr:txBody>
          <a:bodyPr vertOverflow="clip" horzOverflow="clip" wrap="square" lIns="18288" tIns="0" rIns="0" bIns="0" rtlCol="0" anchor="t" upright="1"/>
          <a:lstStyle/>
          <a:p>
            <a:pPr algn="l"/>
            <a:endParaRPr lang="es-MX" sz="1000"/>
          </a:p>
        </xdr:txBody>
      </xdr:sp>
    </xdr:grpSp>
    <xdr:clientData/>
  </xdr:twoCellAnchor>
  <xdr:twoCellAnchor>
    <xdr:from>
      <xdr:col>6</xdr:col>
      <xdr:colOff>1094251</xdr:colOff>
      <xdr:row>57</xdr:row>
      <xdr:rowOff>177625</xdr:rowOff>
    </xdr:from>
    <xdr:to>
      <xdr:col>6</xdr:col>
      <xdr:colOff>3104025</xdr:colOff>
      <xdr:row>261</xdr:row>
      <xdr:rowOff>76594</xdr:rowOff>
    </xdr:to>
    <xdr:grpSp>
      <xdr:nvGrpSpPr>
        <xdr:cNvPr id="27" name="26 Grupo">
          <a:extLst>
            <a:ext uri="{FF2B5EF4-FFF2-40B4-BE49-F238E27FC236}">
              <a16:creationId xmlns:a16="http://schemas.microsoft.com/office/drawing/2014/main" xmlns="" id="{00000000-0008-0000-0000-00001B000000}"/>
            </a:ext>
          </a:extLst>
        </xdr:cNvPr>
        <xdr:cNvGrpSpPr/>
      </xdr:nvGrpSpPr>
      <xdr:grpSpPr>
        <a:xfrm>
          <a:off x="5486957" y="9344037"/>
          <a:ext cx="2009774" cy="369616"/>
          <a:chOff x="7939427" y="4760007"/>
          <a:chExt cx="733483" cy="164078"/>
        </a:xfrm>
      </xdr:grpSpPr>
      <xdr:sp macro="[0]!Impresion_ir_cotizacion" textlink="">
        <xdr:nvSpPr>
          <xdr:cNvPr id="28" name="27 CuadroTexto">
            <a:extLst>
              <a:ext uri="{FF2B5EF4-FFF2-40B4-BE49-F238E27FC236}">
                <a16:creationId xmlns:a16="http://schemas.microsoft.com/office/drawing/2014/main" xmlns="" id="{00000000-0008-0000-0000-00001C000000}"/>
              </a:ext>
            </a:extLst>
          </xdr:cNvPr>
          <xdr:cNvSpPr txBox="1"/>
        </xdr:nvSpPr>
        <xdr:spPr>
          <a:xfrm>
            <a:off x="8148963" y="4762501"/>
            <a:ext cx="523947" cy="161584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MX" sz="800" b="1">
                <a:solidFill>
                  <a:schemeClr val="accent2">
                    <a:lumMod val="75000"/>
                  </a:schemeClr>
                </a:solidFill>
                <a:latin typeface="Arial" pitchFamily="34" charset="0"/>
                <a:cs typeface="Arial" pitchFamily="34" charset="0"/>
              </a:rPr>
              <a:t>Regresar</a:t>
            </a:r>
            <a:r>
              <a:rPr lang="es-MX" sz="800" b="1" baseline="0">
                <a:solidFill>
                  <a:schemeClr val="accent2">
                    <a:lumMod val="75000"/>
                  </a:schemeClr>
                </a:solidFill>
                <a:latin typeface="Arial" pitchFamily="34" charset="0"/>
                <a:cs typeface="Arial" pitchFamily="34" charset="0"/>
              </a:rPr>
              <a:t> a la Cotización</a:t>
            </a:r>
            <a:endParaRPr lang="es-MX" sz="800" b="1">
              <a:solidFill>
                <a:schemeClr val="accent2">
                  <a:lumMod val="75000"/>
                </a:schemeClr>
              </a:solidFill>
              <a:latin typeface="Arial" pitchFamily="34" charset="0"/>
              <a:cs typeface="Arial" pitchFamily="34" charset="0"/>
            </a:endParaRPr>
          </a:p>
        </xdr:txBody>
      </xdr:sp>
      <xdr:sp macro="[0]!Impresion_ir_cotizacion" textlink="">
        <xdr:nvSpPr>
          <xdr:cNvPr id="29" name="28 Flecha izquierda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xmlns="" id="{00000000-0008-0000-0000-00001D000000}"/>
              </a:ext>
            </a:extLst>
          </xdr:cNvPr>
          <xdr:cNvSpPr/>
        </xdr:nvSpPr>
        <xdr:spPr bwMode="auto">
          <a:xfrm>
            <a:off x="7939427" y="4760007"/>
            <a:ext cx="144604" cy="123176"/>
          </a:xfrm>
          <a:prstGeom prst="leftArrow">
            <a:avLst/>
          </a:prstGeom>
          <a:solidFill>
            <a:schemeClr val="accent2">
              <a:lumMod val="40000"/>
              <a:lumOff val="60000"/>
            </a:schemeClr>
          </a:solidFill>
          <a:ln>
            <a:headEnd type="none" w="med" len="med"/>
            <a:tailEnd type="none" w="med" len="med"/>
          </a:ln>
        </xdr:spPr>
        <xdr:style>
          <a:lnRef idx="2">
            <a:schemeClr val="accent2"/>
          </a:lnRef>
          <a:fillRef idx="1">
            <a:schemeClr val="lt1"/>
          </a:fillRef>
          <a:effectRef idx="0">
            <a:schemeClr val="accent2"/>
          </a:effectRef>
          <a:fontRef idx="minor">
            <a:schemeClr val="dk1"/>
          </a:fontRef>
        </xdr:style>
        <xdr:txBody>
          <a:bodyPr vertOverflow="clip" horzOverflow="clip" wrap="square" lIns="18288" tIns="0" rIns="0" bIns="0" rtlCol="0" anchor="t" upright="1"/>
          <a:lstStyle/>
          <a:p>
            <a:pPr algn="l"/>
            <a:endParaRPr lang="es-MX" sz="1000"/>
          </a:p>
        </xdr:txBody>
      </xdr:sp>
    </xdr:grpSp>
    <xdr:clientData/>
  </xdr:twoCellAnchor>
  <xdr:twoCellAnchor editAs="oneCell">
    <xdr:from>
      <xdr:col>0</xdr:col>
      <xdr:colOff>28574</xdr:colOff>
      <xdr:row>1</xdr:row>
      <xdr:rowOff>19051</xdr:rowOff>
    </xdr:from>
    <xdr:to>
      <xdr:col>6</xdr:col>
      <xdr:colOff>942975</xdr:colOff>
      <xdr:row>4</xdr:row>
      <xdr:rowOff>164266</xdr:rowOff>
    </xdr:to>
    <xdr:pic>
      <xdr:nvPicPr>
        <xdr:cNvPr id="11" name="10 Imagen">
          <a:extLst>
            <a:ext uri="{FF2B5EF4-FFF2-40B4-BE49-F238E27FC236}">
              <a16:creationId xmlns:a16="http://schemas.microsoft.com/office/drawing/2014/main" xmlns="" id="{00000000-0008-0000-00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4" y="133351"/>
          <a:ext cx="5314951" cy="488115"/>
        </a:xfrm>
        <a:prstGeom prst="rect">
          <a:avLst/>
        </a:prstGeom>
      </xdr:spPr>
    </xdr:pic>
    <xdr:clientData/>
  </xdr:twoCellAnchor>
  <xdr:oneCellAnchor>
    <xdr:from>
      <xdr:col>6</xdr:col>
      <xdr:colOff>3369733</xdr:colOff>
      <xdr:row>0</xdr:row>
      <xdr:rowOff>57150</xdr:rowOff>
    </xdr:from>
    <xdr:ext cx="6107642" cy="900637"/>
    <xdr:sp macro="" textlink="">
      <xdr:nvSpPr>
        <xdr:cNvPr id="10" name="9 Rectángulo">
          <a:extLst>
            <a:ext uri="{FF2B5EF4-FFF2-40B4-BE49-F238E27FC236}">
              <a16:creationId xmlns:a16="http://schemas.microsoft.com/office/drawing/2014/main" xmlns="" id="{00000000-0008-0000-0000-00000A000000}"/>
            </a:ext>
          </a:extLst>
        </xdr:cNvPr>
        <xdr:cNvSpPr/>
      </xdr:nvSpPr>
      <xdr:spPr>
        <a:xfrm>
          <a:off x="6360583" y="57150"/>
          <a:ext cx="6107642" cy="900637"/>
        </a:xfrm>
        <a:prstGeom prst="rect">
          <a:avLst/>
        </a:prstGeom>
        <a:noFill/>
      </xdr:spPr>
      <xdr:txBody>
        <a:bodyPr wrap="square" lIns="91440" tIns="45720" rIns="91440" bIns="45720">
          <a:noAutofit/>
          <a:scene3d>
            <a:camera prst="orthographicFront"/>
            <a:lightRig rig="soft" dir="tl">
              <a:rot lat="0" lon="0" rev="0"/>
            </a:lightRig>
          </a:scene3d>
          <a:sp3d contourW="25400" prstMaterial="matte">
            <a:bevelT w="25400" h="55880" prst="artDeco"/>
            <a:contourClr>
              <a:schemeClr val="accent2">
                <a:tint val="20000"/>
              </a:schemeClr>
            </a:contourClr>
          </a:sp3d>
        </a:bodyPr>
        <a:lstStyle/>
        <a:p>
          <a:pPr algn="r"/>
          <a:r>
            <a:rPr lang="es-ES" sz="1100" b="1" i="0" cap="none" spc="0">
              <a:ln w="18000">
                <a:solidFill>
                  <a:schemeClr val="accent2">
                    <a:satMod val="140000"/>
                  </a:schemeClr>
                </a:solidFill>
                <a:prstDash val="solid"/>
                <a:miter lim="800000"/>
              </a:ln>
              <a:solidFill>
                <a:srgbClr val="C00000"/>
              </a:solidFill>
              <a:effectLst>
                <a:outerShdw blurRad="25500" dist="23000" dir="7020000" algn="tl">
                  <a:srgbClr val="000000">
                    <a:alpha val="50000"/>
                  </a:srgbClr>
                </a:outerShdw>
              </a:effectLst>
              <a:latin typeface="Aharoni" pitchFamily="2" charset="-79"/>
              <a:cs typeface="Aharoni" pitchFamily="2" charset="-79"/>
            </a:rPr>
            <a:t>ACCIDENTES</a:t>
          </a:r>
          <a:r>
            <a:rPr lang="es-ES" sz="1100" b="1" i="0" cap="none" spc="0" baseline="0">
              <a:ln w="18000">
                <a:solidFill>
                  <a:schemeClr val="accent2">
                    <a:satMod val="140000"/>
                  </a:schemeClr>
                </a:solidFill>
                <a:prstDash val="solid"/>
                <a:miter lim="800000"/>
              </a:ln>
              <a:solidFill>
                <a:srgbClr val="C00000"/>
              </a:solidFill>
              <a:effectLst>
                <a:outerShdw blurRad="25500" dist="23000" dir="7020000" algn="tl">
                  <a:srgbClr val="000000">
                    <a:alpha val="50000"/>
                  </a:srgbClr>
                </a:outerShdw>
              </a:effectLst>
              <a:latin typeface="Aharoni" pitchFamily="2" charset="-79"/>
              <a:cs typeface="Aharoni" pitchFamily="2" charset="-79"/>
            </a:rPr>
            <a:t> PERSONALES INDIVIDUAL/FAMILIAR</a:t>
          </a:r>
          <a:endParaRPr lang="es-ES" sz="1100" b="1" i="0" cap="none" spc="0">
            <a:ln w="18000">
              <a:solidFill>
                <a:schemeClr val="accent2">
                  <a:satMod val="140000"/>
                </a:schemeClr>
              </a:solidFill>
              <a:prstDash val="solid"/>
              <a:miter lim="800000"/>
            </a:ln>
            <a:solidFill>
              <a:srgbClr val="C00000"/>
            </a:solidFill>
            <a:effectLst>
              <a:outerShdw blurRad="25500" dist="23000" dir="7020000" algn="tl">
                <a:srgbClr val="000000">
                  <a:alpha val="50000"/>
                </a:srgbClr>
              </a:outerShdw>
            </a:effectLst>
            <a:latin typeface="Aharoni" pitchFamily="2" charset="-79"/>
            <a:cs typeface="Aharoni" pitchFamily="2" charset="-79"/>
          </a:endParaRPr>
        </a:p>
        <a:p>
          <a:pPr algn="r">
            <a:lnSpc>
              <a:spcPts val="3200"/>
            </a:lnSpc>
          </a:pPr>
          <a:r>
            <a:rPr lang="es-ES" sz="2400" b="1" cap="none" spc="50">
              <a:ln w="11430"/>
              <a:gradFill>
                <a:gsLst>
                  <a:gs pos="25000">
                    <a:schemeClr val="accent2">
                      <a:satMod val="155000"/>
                    </a:schemeClr>
                  </a:gs>
                  <a:gs pos="100000">
                    <a:schemeClr val="accent2">
                      <a:shade val="45000"/>
                      <a:satMod val="165000"/>
                    </a:schemeClr>
                  </a:gs>
                </a:gsLst>
                <a:lin ang="5400000"/>
              </a:gradFill>
              <a:effectLst>
                <a:outerShdw blurRad="76200" dist="50800" dir="5400000" algn="tl" rotWithShape="0">
                  <a:srgbClr val="000000">
                    <a:alpha val="65000"/>
                  </a:srgbClr>
                </a:outerShdw>
              </a:effectLst>
            </a:rPr>
            <a:t>Seguro</a:t>
          </a:r>
          <a:r>
            <a:rPr lang="es-ES" sz="2400" b="1" cap="none" spc="50" baseline="0">
              <a:ln w="11430"/>
              <a:gradFill>
                <a:gsLst>
                  <a:gs pos="25000">
                    <a:schemeClr val="accent2">
                      <a:satMod val="155000"/>
                    </a:schemeClr>
                  </a:gs>
                  <a:gs pos="100000">
                    <a:schemeClr val="accent2">
                      <a:shade val="45000"/>
                      <a:satMod val="165000"/>
                    </a:schemeClr>
                  </a:gs>
                </a:gsLst>
                <a:lin ang="5400000"/>
              </a:gradFill>
              <a:effectLst>
                <a:outerShdw blurRad="76200" dist="50800" dir="5400000" algn="tl" rotWithShape="0">
                  <a:srgbClr val="000000">
                    <a:alpha val="65000"/>
                  </a:srgbClr>
                </a:outerShdw>
              </a:effectLst>
            </a:rPr>
            <a:t> de Accidentes Personales</a:t>
          </a:r>
          <a:endParaRPr lang="es-ES" sz="2400" b="1" cap="none" spc="50">
            <a:ln w="11430"/>
            <a:gradFill>
              <a:gsLst>
                <a:gs pos="25000">
                  <a:schemeClr val="accent2">
                    <a:satMod val="155000"/>
                  </a:schemeClr>
                </a:gs>
                <a:gs pos="100000">
                  <a:schemeClr val="accent2">
                    <a:shade val="45000"/>
                    <a:satMod val="165000"/>
                  </a:schemeClr>
                </a:gs>
              </a:gsLst>
              <a:lin ang="5400000"/>
            </a:gradFill>
            <a:effectLst>
              <a:outerShdw blurRad="76200" dist="50800" dir="5400000" algn="tl" rotWithShape="0">
                <a:srgbClr val="000000">
                  <a:alpha val="65000"/>
                </a:srgbClr>
              </a:outerShdw>
            </a:effectLst>
          </a:endParaRPr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464342</xdr:colOff>
      <xdr:row>44</xdr:row>
      <xdr:rowOff>59532</xdr:rowOff>
    </xdr:from>
    <xdr:to>
      <xdr:col>5</xdr:col>
      <xdr:colOff>2179838</xdr:colOff>
      <xdr:row>47</xdr:row>
      <xdr:rowOff>11907</xdr:rowOff>
    </xdr:to>
    <xdr:pic>
      <xdr:nvPicPr>
        <xdr:cNvPr id="15" name="14 Imagen">
          <a:extLst>
            <a:ext uri="{FF2B5EF4-FFF2-40B4-BE49-F238E27FC236}">
              <a16:creationId xmlns:a16="http://schemas.microsoft.com/office/drawing/2014/main" xmlns="" id="{00000000-0008-0000-01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310436" y="9715501"/>
          <a:ext cx="1715496" cy="523875"/>
        </a:xfrm>
        <a:prstGeom prst="rect">
          <a:avLst/>
        </a:prstGeom>
      </xdr:spPr>
    </xdr:pic>
    <xdr:clientData/>
  </xdr:twoCellAnchor>
  <xdr:twoCellAnchor>
    <xdr:from>
      <xdr:col>5</xdr:col>
      <xdr:colOff>572207</xdr:colOff>
      <xdr:row>41</xdr:row>
      <xdr:rowOff>261705</xdr:rowOff>
    </xdr:from>
    <xdr:to>
      <xdr:col>5</xdr:col>
      <xdr:colOff>2119329</xdr:colOff>
      <xdr:row>43</xdr:row>
      <xdr:rowOff>25015</xdr:rowOff>
    </xdr:to>
    <xdr:grpSp>
      <xdr:nvGrpSpPr>
        <xdr:cNvPr id="24" name="23 Grupo">
          <a:extLst>
            <a:ext uri="{FF2B5EF4-FFF2-40B4-BE49-F238E27FC236}">
              <a16:creationId xmlns:a16="http://schemas.microsoft.com/office/drawing/2014/main" xmlns="" id="{00000000-0008-0000-0100-000018000000}"/>
            </a:ext>
          </a:extLst>
        </xdr:cNvPr>
        <xdr:cNvGrpSpPr/>
      </xdr:nvGrpSpPr>
      <xdr:grpSpPr>
        <a:xfrm>
          <a:off x="7418301" y="8238893"/>
          <a:ext cx="1547122" cy="299091"/>
          <a:chOff x="9260177" y="7015205"/>
          <a:chExt cx="388447" cy="323849"/>
        </a:xfrm>
      </xdr:grpSpPr>
      <xdr:sp macro="[0]!Cotizacion_volver_menu" textlink="">
        <xdr:nvSpPr>
          <xdr:cNvPr id="6" name="5 CuadroTexto">
            <a:extLst>
              <a:ext uri="{FF2B5EF4-FFF2-40B4-BE49-F238E27FC236}">
                <a16:creationId xmlns:a16="http://schemas.microsoft.com/office/drawing/2014/main" xmlns="" id="{00000000-0008-0000-0100-000006000000}"/>
              </a:ext>
            </a:extLst>
          </xdr:cNvPr>
          <xdr:cNvSpPr txBox="1"/>
        </xdr:nvSpPr>
        <xdr:spPr>
          <a:xfrm>
            <a:off x="9390764" y="7015205"/>
            <a:ext cx="257860" cy="323849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MX" sz="1000" b="1">
                <a:solidFill>
                  <a:schemeClr val="accent2">
                    <a:lumMod val="75000"/>
                  </a:schemeClr>
                </a:solidFill>
                <a:latin typeface="Arial" pitchFamily="34" charset="0"/>
                <a:cs typeface="Arial" pitchFamily="34" charset="0"/>
              </a:rPr>
              <a:t>Menú</a:t>
            </a:r>
            <a:r>
              <a:rPr lang="es-MX" sz="1000" b="1" baseline="0">
                <a:solidFill>
                  <a:schemeClr val="accent2">
                    <a:lumMod val="75000"/>
                  </a:schemeClr>
                </a:solidFill>
                <a:latin typeface="Arial" pitchFamily="34" charset="0"/>
                <a:cs typeface="Arial" pitchFamily="34" charset="0"/>
              </a:rPr>
              <a:t> </a:t>
            </a:r>
            <a:r>
              <a:rPr lang="es-MX" sz="1000" b="1">
                <a:solidFill>
                  <a:schemeClr val="accent2">
                    <a:lumMod val="75000"/>
                  </a:schemeClr>
                </a:solidFill>
                <a:latin typeface="Arial" pitchFamily="34" charset="0"/>
                <a:cs typeface="Arial" pitchFamily="34" charset="0"/>
              </a:rPr>
              <a:t>Principal</a:t>
            </a:r>
          </a:p>
        </xdr:txBody>
      </xdr:sp>
      <xdr:sp macro="[0]!Cotizacion_volver_menu" textlink="">
        <xdr:nvSpPr>
          <xdr:cNvPr id="25" name="24 Flecha izquierda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xmlns="" id="{00000000-0008-0000-0100-000019000000}"/>
              </a:ext>
            </a:extLst>
          </xdr:cNvPr>
          <xdr:cNvSpPr/>
        </xdr:nvSpPr>
        <xdr:spPr bwMode="auto">
          <a:xfrm>
            <a:off x="9260177" y="7067706"/>
            <a:ext cx="125004" cy="214655"/>
          </a:xfrm>
          <a:prstGeom prst="leftArrow">
            <a:avLst/>
          </a:prstGeom>
          <a:solidFill>
            <a:schemeClr val="accent2">
              <a:lumMod val="40000"/>
              <a:lumOff val="60000"/>
            </a:schemeClr>
          </a:solidFill>
          <a:ln>
            <a:headEnd type="none" w="med" len="med"/>
            <a:tailEnd type="none" w="med" len="med"/>
          </a:ln>
        </xdr:spPr>
        <xdr:style>
          <a:lnRef idx="2">
            <a:schemeClr val="accent2"/>
          </a:lnRef>
          <a:fillRef idx="1">
            <a:schemeClr val="lt1"/>
          </a:fillRef>
          <a:effectRef idx="0">
            <a:schemeClr val="accent2"/>
          </a:effectRef>
          <a:fontRef idx="minor">
            <a:schemeClr val="dk1"/>
          </a:fontRef>
        </xdr:style>
        <xdr:txBody>
          <a:bodyPr vertOverflow="clip" horzOverflow="clip" wrap="square" lIns="18288" tIns="0" rIns="0" bIns="0" rtlCol="0" anchor="t" upright="1"/>
          <a:lstStyle/>
          <a:p>
            <a:pPr algn="l"/>
            <a:endParaRPr lang="es-MX" sz="1100"/>
          </a:p>
        </xdr:txBody>
      </xdr:sp>
    </xdr:grpSp>
    <xdr:clientData/>
  </xdr:twoCellAnchor>
  <xdr:twoCellAnchor>
    <xdr:from>
      <xdr:col>5</xdr:col>
      <xdr:colOff>1021550</xdr:colOff>
      <xdr:row>44</xdr:row>
      <xdr:rowOff>135048</xdr:rowOff>
    </xdr:from>
    <xdr:to>
      <xdr:col>5</xdr:col>
      <xdr:colOff>2071684</xdr:colOff>
      <xdr:row>48</xdr:row>
      <xdr:rowOff>166690</xdr:rowOff>
    </xdr:to>
    <xdr:sp macro="[0]!Cotizacion_ir_impresion" textlink="">
      <xdr:nvSpPr>
        <xdr:cNvPr id="23" name="22 CuadroTexto">
          <a:extLst>
            <a:ext uri="{FF2B5EF4-FFF2-40B4-BE49-F238E27FC236}">
              <a16:creationId xmlns:a16="http://schemas.microsoft.com/office/drawing/2014/main" xmlns="" id="{00000000-0008-0000-0100-000017000000}"/>
            </a:ext>
          </a:extLst>
        </xdr:cNvPr>
        <xdr:cNvSpPr txBox="1"/>
      </xdr:nvSpPr>
      <xdr:spPr>
        <a:xfrm>
          <a:off x="7867644" y="9791017"/>
          <a:ext cx="1050134" cy="412642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s-MX" sz="900" b="1">
              <a:solidFill>
                <a:schemeClr val="accent2">
                  <a:lumMod val="75000"/>
                </a:schemeClr>
              </a:solidFill>
              <a:latin typeface="Arial" pitchFamily="34" charset="0"/>
              <a:ea typeface="+mn-ea"/>
              <a:cs typeface="Arial" pitchFamily="34" charset="0"/>
            </a:rPr>
            <a:t>Formato</a:t>
          </a:r>
          <a:r>
            <a:rPr lang="es-MX" sz="900" baseline="0">
              <a:latin typeface="Arial" pitchFamily="34" charset="0"/>
              <a:cs typeface="Arial" pitchFamily="34" charset="0"/>
            </a:rPr>
            <a:t>  </a:t>
          </a:r>
          <a:r>
            <a:rPr lang="es-MX" sz="900" b="1">
              <a:solidFill>
                <a:schemeClr val="accent2">
                  <a:lumMod val="75000"/>
                </a:schemeClr>
              </a:solidFill>
              <a:latin typeface="Arial" pitchFamily="34" charset="0"/>
              <a:ea typeface="+mn-ea"/>
              <a:cs typeface="Arial" pitchFamily="34" charset="0"/>
            </a:rPr>
            <a:t>de Impresión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127000</xdr:colOff>
          <xdr:row>19</xdr:row>
          <xdr:rowOff>152400</xdr:rowOff>
        </xdr:from>
        <xdr:to>
          <xdr:col>1</xdr:col>
          <xdr:colOff>971550</xdr:colOff>
          <xdr:row>20</xdr:row>
          <xdr:rowOff>152400</xdr:rowOff>
        </xdr:to>
        <xdr:sp macro="" textlink="">
          <xdr:nvSpPr>
            <xdr:cNvPr id="6160" name="Button 16" hidden="1">
              <a:extLst>
                <a:ext uri="{63B3BB69-23CF-44E3-9099-C40C66FF867C}">
                  <a14:compatExt spid="_x0000_s6160"/>
                </a:ext>
                <a:ext uri="{FF2B5EF4-FFF2-40B4-BE49-F238E27FC236}">
                  <a16:creationId xmlns:a16="http://schemas.microsoft.com/office/drawing/2014/main" xmlns="" id="{00000000-0008-0000-0100-00001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s-MX" sz="10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Limpiar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</xdr:col>
      <xdr:colOff>47625</xdr:colOff>
      <xdr:row>0</xdr:row>
      <xdr:rowOff>214312</xdr:rowOff>
    </xdr:from>
    <xdr:to>
      <xdr:col>3</xdr:col>
      <xdr:colOff>471844</xdr:colOff>
      <xdr:row>3</xdr:row>
      <xdr:rowOff>50385</xdr:rowOff>
    </xdr:to>
    <xdr:pic>
      <xdr:nvPicPr>
        <xdr:cNvPr id="8" name="7 Imagen">
          <a:extLst>
            <a:ext uri="{FF2B5EF4-FFF2-40B4-BE49-F238E27FC236}">
              <a16:creationId xmlns:a16="http://schemas.microsoft.com/office/drawing/2014/main" xmlns="" id="{00000000-0008-0000-01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6688" y="214312"/>
          <a:ext cx="4567594" cy="419479"/>
        </a:xfrm>
        <a:prstGeom prst="rect">
          <a:avLst/>
        </a:prstGeom>
      </xdr:spPr>
    </xdr:pic>
    <xdr:clientData/>
  </xdr:twoCellAnchor>
  <xdr:twoCellAnchor>
    <xdr:from>
      <xdr:col>5</xdr:col>
      <xdr:colOff>881062</xdr:colOff>
      <xdr:row>36</xdr:row>
      <xdr:rowOff>83344</xdr:rowOff>
    </xdr:from>
    <xdr:to>
      <xdr:col>5</xdr:col>
      <xdr:colOff>1166812</xdr:colOff>
      <xdr:row>38</xdr:row>
      <xdr:rowOff>11906</xdr:rowOff>
    </xdr:to>
    <xdr:sp macro="" textlink="">
      <xdr:nvSpPr>
        <xdr:cNvPr id="2" name="1 Rectángulo">
          <a:extLst>
            <a:ext uri="{FF2B5EF4-FFF2-40B4-BE49-F238E27FC236}">
              <a16:creationId xmlns:a16="http://schemas.microsoft.com/office/drawing/2014/main" xmlns="" id="{00000000-0008-0000-0100-000002000000}"/>
            </a:ext>
          </a:extLst>
        </xdr:cNvPr>
        <xdr:cNvSpPr/>
      </xdr:nvSpPr>
      <xdr:spPr bwMode="auto">
        <a:xfrm>
          <a:off x="7727156" y="7131844"/>
          <a:ext cx="285750" cy="285750"/>
        </a:xfrm>
        <a:prstGeom prst="rect">
          <a:avLst/>
        </a:prstGeom>
        <a:solidFill>
          <a:srgbClr val="92D050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es-MX" sz="1100"/>
        </a:p>
      </xdr:txBody>
    </xdr:sp>
    <xdr:clientData/>
  </xdr:twoCellAnchor>
  <xdr:oneCellAnchor>
    <xdr:from>
      <xdr:col>5</xdr:col>
      <xdr:colOff>1250156</xdr:colOff>
      <xdr:row>36</xdr:row>
      <xdr:rowOff>95250</xdr:rowOff>
    </xdr:from>
    <xdr:ext cx="1740926" cy="269369"/>
    <xdr:sp macro="" textlink="">
      <xdr:nvSpPr>
        <xdr:cNvPr id="3" name="2 CuadroTexto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 txBox="1"/>
      </xdr:nvSpPr>
      <xdr:spPr>
        <a:xfrm>
          <a:off x="8096250" y="7143750"/>
          <a:ext cx="1740926" cy="269369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s-MX" sz="1200" b="1">
              <a:latin typeface="Arial" panose="020B0604020202020204" pitchFamily="34" charset="0"/>
              <a:cs typeface="Arial" panose="020B0604020202020204" pitchFamily="34" charset="0"/>
            </a:rPr>
            <a:t>Campos Obligatorios</a:t>
          </a:r>
        </a:p>
      </xdr:txBody>
    </xdr:sp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409575</xdr:colOff>
      <xdr:row>0</xdr:row>
      <xdr:rowOff>0</xdr:rowOff>
    </xdr:from>
    <xdr:ext cx="6107642" cy="900637"/>
    <xdr:sp macro="" textlink="">
      <xdr:nvSpPr>
        <xdr:cNvPr id="3" name="2 Rectángulo">
          <a:extLst>
            <a:ext uri="{FF2B5EF4-FFF2-40B4-BE49-F238E27FC236}">
              <a16:creationId xmlns:a16="http://schemas.microsoft.com/office/drawing/2014/main" xmlns="" id="{00000000-0008-0000-0300-000003000000}"/>
            </a:ext>
          </a:extLst>
        </xdr:cNvPr>
        <xdr:cNvSpPr/>
      </xdr:nvSpPr>
      <xdr:spPr>
        <a:xfrm>
          <a:off x="4562475" y="0"/>
          <a:ext cx="6107642" cy="900637"/>
        </a:xfrm>
        <a:prstGeom prst="rect">
          <a:avLst/>
        </a:prstGeom>
        <a:noFill/>
      </xdr:spPr>
      <xdr:txBody>
        <a:bodyPr wrap="square" lIns="91440" tIns="45720" rIns="91440" bIns="45720">
          <a:noAutofit/>
          <a:scene3d>
            <a:camera prst="orthographicFront"/>
            <a:lightRig rig="soft" dir="tl">
              <a:rot lat="0" lon="0" rev="0"/>
            </a:lightRig>
          </a:scene3d>
          <a:sp3d contourW="25400" prstMaterial="matte">
            <a:bevelT w="25400" h="55880" prst="artDeco"/>
            <a:contourClr>
              <a:schemeClr val="accent2">
                <a:tint val="20000"/>
              </a:schemeClr>
            </a:contourClr>
          </a:sp3d>
        </a:bodyPr>
        <a:lstStyle/>
        <a:p>
          <a:pPr algn="r"/>
          <a:r>
            <a:rPr lang="es-ES" sz="1400" b="1" i="0" cap="none" spc="0">
              <a:ln w="18000">
                <a:solidFill>
                  <a:schemeClr val="accent2">
                    <a:satMod val="140000"/>
                  </a:schemeClr>
                </a:solidFill>
                <a:prstDash val="solid"/>
                <a:miter lim="800000"/>
              </a:ln>
              <a:solidFill>
                <a:srgbClr val="C00000"/>
              </a:solidFill>
              <a:effectLst>
                <a:outerShdw blurRad="25500" dist="23000" dir="7020000" algn="tl">
                  <a:srgbClr val="000000">
                    <a:alpha val="50000"/>
                  </a:srgbClr>
                </a:outerShdw>
              </a:effectLst>
              <a:latin typeface="Aharoni" pitchFamily="2" charset="-79"/>
              <a:cs typeface="Aharoni" pitchFamily="2" charset="-79"/>
            </a:rPr>
            <a:t>ACCIDENTES</a:t>
          </a:r>
          <a:r>
            <a:rPr lang="es-ES" sz="1400" b="1" i="0" cap="none" spc="0" baseline="0">
              <a:ln w="18000">
                <a:solidFill>
                  <a:schemeClr val="accent2">
                    <a:satMod val="140000"/>
                  </a:schemeClr>
                </a:solidFill>
                <a:prstDash val="solid"/>
                <a:miter lim="800000"/>
              </a:ln>
              <a:solidFill>
                <a:srgbClr val="C00000"/>
              </a:solidFill>
              <a:effectLst>
                <a:outerShdw blurRad="25500" dist="23000" dir="7020000" algn="tl">
                  <a:srgbClr val="000000">
                    <a:alpha val="50000"/>
                  </a:srgbClr>
                </a:outerShdw>
              </a:effectLst>
              <a:latin typeface="Aharoni" pitchFamily="2" charset="-79"/>
              <a:cs typeface="Aharoni" pitchFamily="2" charset="-79"/>
            </a:rPr>
            <a:t> PERSONALES INDIVIDUAL/FAMILIAR</a:t>
          </a:r>
          <a:endParaRPr lang="es-ES" sz="1400" b="1" i="0" cap="none" spc="0">
            <a:ln w="18000">
              <a:solidFill>
                <a:schemeClr val="accent2">
                  <a:satMod val="140000"/>
                </a:schemeClr>
              </a:solidFill>
              <a:prstDash val="solid"/>
              <a:miter lim="800000"/>
            </a:ln>
            <a:solidFill>
              <a:srgbClr val="C00000"/>
            </a:solidFill>
            <a:effectLst>
              <a:outerShdw blurRad="25500" dist="23000" dir="7020000" algn="tl">
                <a:srgbClr val="000000">
                  <a:alpha val="50000"/>
                </a:srgbClr>
              </a:outerShdw>
            </a:effectLst>
            <a:latin typeface="Aharoni" pitchFamily="2" charset="-79"/>
            <a:cs typeface="Aharoni" pitchFamily="2" charset="-79"/>
          </a:endParaRPr>
        </a:p>
        <a:p>
          <a:pPr algn="r">
            <a:lnSpc>
              <a:spcPts val="3200"/>
            </a:lnSpc>
          </a:pPr>
          <a:r>
            <a:rPr lang="es-ES" sz="3200" b="1" cap="none" spc="50">
              <a:ln w="11430"/>
              <a:gradFill>
                <a:gsLst>
                  <a:gs pos="25000">
                    <a:schemeClr val="accent2">
                      <a:satMod val="155000"/>
                    </a:schemeClr>
                  </a:gs>
                  <a:gs pos="100000">
                    <a:schemeClr val="accent2">
                      <a:shade val="45000"/>
                      <a:satMod val="165000"/>
                    </a:schemeClr>
                  </a:gs>
                </a:gsLst>
                <a:lin ang="5400000"/>
              </a:gradFill>
              <a:effectLst>
                <a:outerShdw blurRad="76200" dist="50800" dir="5400000" algn="tl" rotWithShape="0">
                  <a:srgbClr val="000000">
                    <a:alpha val="65000"/>
                  </a:srgbClr>
                </a:outerShdw>
              </a:effectLst>
            </a:rPr>
            <a:t>Seguro</a:t>
          </a:r>
          <a:r>
            <a:rPr lang="es-ES" sz="3200" b="1" cap="none" spc="50" baseline="0">
              <a:ln w="11430"/>
              <a:gradFill>
                <a:gsLst>
                  <a:gs pos="25000">
                    <a:schemeClr val="accent2">
                      <a:satMod val="155000"/>
                    </a:schemeClr>
                  </a:gs>
                  <a:gs pos="100000">
                    <a:schemeClr val="accent2">
                      <a:shade val="45000"/>
                      <a:satMod val="165000"/>
                    </a:schemeClr>
                  </a:gs>
                </a:gsLst>
                <a:lin ang="5400000"/>
              </a:gradFill>
              <a:effectLst>
                <a:outerShdw blurRad="76200" dist="50800" dir="5400000" algn="tl" rotWithShape="0">
                  <a:srgbClr val="000000">
                    <a:alpha val="65000"/>
                  </a:srgbClr>
                </a:outerShdw>
              </a:effectLst>
            </a:rPr>
            <a:t> de Accidentes Personales</a:t>
          </a:r>
          <a:endParaRPr lang="es-ES" sz="3200" b="1" cap="none" spc="50">
            <a:ln w="11430"/>
            <a:gradFill>
              <a:gsLst>
                <a:gs pos="25000">
                  <a:schemeClr val="accent2">
                    <a:satMod val="155000"/>
                  </a:schemeClr>
                </a:gs>
                <a:gs pos="100000">
                  <a:schemeClr val="accent2">
                    <a:shade val="45000"/>
                    <a:satMod val="165000"/>
                  </a:schemeClr>
                </a:gs>
              </a:gsLst>
              <a:lin ang="5400000"/>
            </a:gradFill>
            <a:effectLst>
              <a:outerShdw blurRad="76200" dist="50800" dir="5400000" algn="tl" rotWithShape="0">
                <a:srgbClr val="000000">
                  <a:alpha val="65000"/>
                </a:srgbClr>
              </a:outerShdw>
            </a:effectLst>
          </a:endParaRPr>
        </a:p>
      </xdr:txBody>
    </xdr:sp>
    <xdr:clientData/>
  </xdr:oneCellAnchor>
  <xdr:twoCellAnchor>
    <xdr:from>
      <xdr:col>5</xdr:col>
      <xdr:colOff>866773</xdr:colOff>
      <xdr:row>13</xdr:row>
      <xdr:rowOff>95251</xdr:rowOff>
    </xdr:from>
    <xdr:to>
      <xdr:col>7</xdr:col>
      <xdr:colOff>508000</xdr:colOff>
      <xdr:row>16</xdr:row>
      <xdr:rowOff>142876</xdr:rowOff>
    </xdr:to>
    <xdr:sp macro="[0]!Instrucciones_ver" textlink="">
      <xdr:nvSpPr>
        <xdr:cNvPr id="5" name="4 Rectángulo redondeado">
          <a:extLst>
            <a:ext uri="{FF2B5EF4-FFF2-40B4-BE49-F238E27FC236}">
              <a16:creationId xmlns:a16="http://schemas.microsoft.com/office/drawing/2014/main" xmlns="" id="{00000000-0008-0000-0300-000005000000}"/>
            </a:ext>
          </a:extLst>
        </xdr:cNvPr>
        <xdr:cNvSpPr/>
      </xdr:nvSpPr>
      <xdr:spPr bwMode="auto">
        <a:xfrm>
          <a:off x="6057898" y="1847851"/>
          <a:ext cx="1717677" cy="533400"/>
        </a:xfrm>
        <a:prstGeom prst="roundRect">
          <a:avLst/>
        </a:prstGeom>
        <a:solidFill>
          <a:schemeClr val="accent2">
            <a:lumMod val="75000"/>
          </a:schemeClr>
        </a:solidFill>
        <a:ln>
          <a:noFill/>
          <a:headEnd type="none" w="med" len="med"/>
          <a:tailEnd type="none" w="med" len="med"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lang="es-MX" sz="1000">
              <a:solidFill>
                <a:schemeClr val="bg1"/>
              </a:solidFill>
            </a:rPr>
            <a:t>Instructivo</a:t>
          </a:r>
        </a:p>
      </xdr:txBody>
    </xdr:sp>
    <xdr:clientData/>
  </xdr:twoCellAnchor>
  <xdr:twoCellAnchor>
    <xdr:from>
      <xdr:col>5</xdr:col>
      <xdr:colOff>885823</xdr:colOff>
      <xdr:row>21</xdr:row>
      <xdr:rowOff>66676</xdr:rowOff>
    </xdr:from>
    <xdr:to>
      <xdr:col>7</xdr:col>
      <xdr:colOff>515408</xdr:colOff>
      <xdr:row>24</xdr:row>
      <xdr:rowOff>114301</xdr:rowOff>
    </xdr:to>
    <xdr:sp macro="[0]!Cotizacion_ver" textlink="">
      <xdr:nvSpPr>
        <xdr:cNvPr id="6" name="5 Rectángulo redondeado">
          <a:extLst>
            <a:ext uri="{FF2B5EF4-FFF2-40B4-BE49-F238E27FC236}">
              <a16:creationId xmlns:a16="http://schemas.microsoft.com/office/drawing/2014/main" xmlns="" id="{00000000-0008-0000-0300-000006000000}"/>
            </a:ext>
          </a:extLst>
        </xdr:cNvPr>
        <xdr:cNvSpPr/>
      </xdr:nvSpPr>
      <xdr:spPr bwMode="auto">
        <a:xfrm>
          <a:off x="6076948" y="3114676"/>
          <a:ext cx="1706035" cy="533400"/>
        </a:xfrm>
        <a:prstGeom prst="roundRect">
          <a:avLst/>
        </a:prstGeom>
        <a:solidFill>
          <a:schemeClr val="accent2">
            <a:lumMod val="75000"/>
          </a:schemeClr>
        </a:solidFill>
        <a:ln>
          <a:noFill/>
          <a:headEnd type="none" w="med" len="med"/>
          <a:tailEnd type="none" w="med" len="med"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lang="es-MX" sz="1000">
              <a:solidFill>
                <a:schemeClr val="bg1"/>
              </a:solidFill>
            </a:rPr>
            <a:t>Cotización</a:t>
          </a:r>
        </a:p>
      </xdr:txBody>
    </xdr:sp>
    <xdr:clientData/>
  </xdr:twoCellAnchor>
  <xdr:twoCellAnchor editAs="oneCell">
    <xdr:from>
      <xdr:col>3</xdr:col>
      <xdr:colOff>66675</xdr:colOff>
      <xdr:row>11</xdr:row>
      <xdr:rowOff>38100</xdr:rowOff>
    </xdr:from>
    <xdr:to>
      <xdr:col>5</xdr:col>
      <xdr:colOff>521093</xdr:colOff>
      <xdr:row>26</xdr:row>
      <xdr:rowOff>19051</xdr:rowOff>
    </xdr:to>
    <xdr:pic>
      <xdr:nvPicPr>
        <xdr:cNvPr id="8" name="7 Imagen">
          <a:extLst>
            <a:ext uri="{FF2B5EF4-FFF2-40B4-BE49-F238E27FC236}">
              <a16:creationId xmlns:a16="http://schemas.microsoft.com/office/drawing/2014/main" xmlns="" id="{00000000-0008-0000-03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181350" y="1466850"/>
          <a:ext cx="2530868" cy="2409826"/>
        </a:xfrm>
        <a:prstGeom prst="ellipse">
          <a:avLst/>
        </a:prstGeom>
        <a:ln>
          <a:noFill/>
        </a:ln>
        <a:effectLst>
          <a:softEdge rad="112500"/>
        </a:effectLst>
      </xdr:spPr>
    </xdr:pic>
    <xdr:clientData/>
  </xdr:twoCellAnchor>
  <xdr:twoCellAnchor editAs="oneCell">
    <xdr:from>
      <xdr:col>0</xdr:col>
      <xdr:colOff>0</xdr:colOff>
      <xdr:row>1</xdr:row>
      <xdr:rowOff>19050</xdr:rowOff>
    </xdr:from>
    <xdr:to>
      <xdr:col>4</xdr:col>
      <xdr:colOff>414694</xdr:colOff>
      <xdr:row>5</xdr:row>
      <xdr:rowOff>95629</xdr:rowOff>
    </xdr:to>
    <xdr:pic>
      <xdr:nvPicPr>
        <xdr:cNvPr id="9" name="8 Imagen">
          <a:extLst>
            <a:ext uri="{FF2B5EF4-FFF2-40B4-BE49-F238E27FC236}">
              <a16:creationId xmlns:a16="http://schemas.microsoft.com/office/drawing/2014/main" xmlns="" id="{00000000-0008-0000-03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33350"/>
          <a:ext cx="4567594" cy="419479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619124</xdr:colOff>
      <xdr:row>38</xdr:row>
      <xdr:rowOff>133362</xdr:rowOff>
    </xdr:from>
    <xdr:to>
      <xdr:col>9</xdr:col>
      <xdr:colOff>323849</xdr:colOff>
      <xdr:row>67</xdr:row>
      <xdr:rowOff>22424</xdr:rowOff>
    </xdr:to>
    <xdr:grpSp>
      <xdr:nvGrpSpPr>
        <xdr:cNvPr id="4" name="3 Grupo">
          <a:extLst>
            <a:ext uri="{FF2B5EF4-FFF2-40B4-BE49-F238E27FC236}">
              <a16:creationId xmlns:a16="http://schemas.microsoft.com/office/drawing/2014/main" xmlns="" id="{00000000-0008-0000-0500-000004000000}"/>
            </a:ext>
          </a:extLst>
        </xdr:cNvPr>
        <xdr:cNvGrpSpPr/>
      </xdr:nvGrpSpPr>
      <xdr:grpSpPr>
        <a:xfrm>
          <a:off x="5953124" y="6206950"/>
          <a:ext cx="1587313" cy="202827"/>
          <a:chOff x="9239249" y="7067550"/>
          <a:chExt cx="981076" cy="299830"/>
        </a:xfrm>
      </xdr:grpSpPr>
      <xdr:sp macro="[0]!Instucciones_volver_menu" textlink="">
        <xdr:nvSpPr>
          <xdr:cNvPr id="5" name="4 CuadroTexto">
            <a:extLst>
              <a:ext uri="{FF2B5EF4-FFF2-40B4-BE49-F238E27FC236}">
                <a16:creationId xmlns:a16="http://schemas.microsoft.com/office/drawing/2014/main" xmlns="" id="{00000000-0008-0000-0500-000005000000}"/>
              </a:ext>
            </a:extLst>
          </xdr:cNvPr>
          <xdr:cNvSpPr txBox="1"/>
        </xdr:nvSpPr>
        <xdr:spPr>
          <a:xfrm>
            <a:off x="9467850" y="7067551"/>
            <a:ext cx="752475" cy="299829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MX" sz="800" b="1">
                <a:solidFill>
                  <a:schemeClr val="accent2">
                    <a:lumMod val="75000"/>
                  </a:schemeClr>
                </a:solidFill>
                <a:latin typeface="Arial" pitchFamily="34" charset="0"/>
                <a:cs typeface="Arial" pitchFamily="34" charset="0"/>
              </a:rPr>
              <a:t>Menu Principal</a:t>
            </a:r>
          </a:p>
        </xdr:txBody>
      </xdr:sp>
      <xdr:sp macro="[0]!Instucciones_volver_menu" textlink="">
        <xdr:nvSpPr>
          <xdr:cNvPr id="6" name="5 Flecha izquierda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xmlns="" id="{00000000-0008-0000-0500-000006000000}"/>
              </a:ext>
            </a:extLst>
          </xdr:cNvPr>
          <xdr:cNvSpPr/>
        </xdr:nvSpPr>
        <xdr:spPr bwMode="auto">
          <a:xfrm>
            <a:off x="9239249" y="7067550"/>
            <a:ext cx="238125" cy="266700"/>
          </a:xfrm>
          <a:prstGeom prst="leftArrow">
            <a:avLst/>
          </a:prstGeom>
          <a:solidFill>
            <a:schemeClr val="accent2">
              <a:lumMod val="40000"/>
              <a:lumOff val="60000"/>
            </a:schemeClr>
          </a:solidFill>
          <a:ln>
            <a:headEnd type="none" w="med" len="med"/>
            <a:tailEnd type="none" w="med" len="med"/>
          </a:ln>
        </xdr:spPr>
        <xdr:style>
          <a:lnRef idx="2">
            <a:schemeClr val="accent2"/>
          </a:lnRef>
          <a:fillRef idx="1">
            <a:schemeClr val="lt1"/>
          </a:fillRef>
          <a:effectRef idx="0">
            <a:schemeClr val="accent2"/>
          </a:effectRef>
          <a:fontRef idx="minor">
            <a:schemeClr val="dk1"/>
          </a:fontRef>
        </xdr:style>
        <xdr:txBody>
          <a:bodyPr vertOverflow="clip" horzOverflow="clip" wrap="square" lIns="18288" tIns="0" rIns="0" bIns="0" rtlCol="0" anchor="t" upright="1"/>
          <a:lstStyle/>
          <a:p>
            <a:pPr algn="l"/>
            <a:endParaRPr lang="es-MX" sz="1000"/>
          </a:p>
        </xdr:txBody>
      </xdr:sp>
    </xdr:grpSp>
    <xdr:clientData/>
  </xdr:twoCellAnchor>
  <xdr:twoCellAnchor editAs="oneCell">
    <xdr:from>
      <xdr:col>6</xdr:col>
      <xdr:colOff>19050</xdr:colOff>
      <xdr:row>38</xdr:row>
      <xdr:rowOff>104775</xdr:rowOff>
    </xdr:from>
    <xdr:to>
      <xdr:col>7</xdr:col>
      <xdr:colOff>410634</xdr:colOff>
      <xdr:row>67</xdr:row>
      <xdr:rowOff>109008</xdr:rowOff>
    </xdr:to>
    <xdr:pic macro="[0]!imprimir_Instrucciones">
      <xdr:nvPicPr>
        <xdr:cNvPr id="9" name="Picture 2">
          <a:extLst>
            <a:ext uri="{FF2B5EF4-FFF2-40B4-BE49-F238E27FC236}">
              <a16:creationId xmlns:a16="http://schemas.microsoft.com/office/drawing/2014/main" xmlns="" id="{00000000-0008-0000-0500-000009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90804" t="40675" r="1482" b="55356"/>
        <a:stretch/>
      </xdr:blipFill>
      <xdr:spPr bwMode="auto">
        <a:xfrm>
          <a:off x="4591050" y="8039100"/>
          <a:ext cx="1153584" cy="328083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chemeClr val="tx1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chemeClr val="bg2"/>
                </a:outerShdw>
              </a:effectLst>
            </a14:hiddenEffects>
          </a:ext>
        </a:extLst>
      </xdr:spPr>
    </xdr:pic>
    <xdr:clientData/>
  </xdr:twoCellAnchor>
  <xdr:twoCellAnchor>
    <xdr:from>
      <xdr:col>3</xdr:col>
      <xdr:colOff>246529</xdr:colOff>
      <xdr:row>38</xdr:row>
      <xdr:rowOff>89648</xdr:rowOff>
    </xdr:from>
    <xdr:to>
      <xdr:col>6</xdr:col>
      <xdr:colOff>78443</xdr:colOff>
      <xdr:row>68</xdr:row>
      <xdr:rowOff>23709</xdr:rowOff>
    </xdr:to>
    <xdr:grpSp>
      <xdr:nvGrpSpPr>
        <xdr:cNvPr id="7" name="6 Grupo">
          <a:extLst>
            <a:ext uri="{FF2B5EF4-FFF2-40B4-BE49-F238E27FC236}">
              <a16:creationId xmlns:a16="http://schemas.microsoft.com/office/drawing/2014/main" xmlns="" id="{00000000-0008-0000-0500-000007000000}"/>
            </a:ext>
          </a:extLst>
        </xdr:cNvPr>
        <xdr:cNvGrpSpPr/>
      </xdr:nvGrpSpPr>
      <xdr:grpSpPr>
        <a:xfrm>
          <a:off x="2532529" y="6163236"/>
          <a:ext cx="2117914" cy="404708"/>
          <a:chOff x="7858124" y="4762500"/>
          <a:chExt cx="1771082" cy="292314"/>
        </a:xfrm>
      </xdr:grpSpPr>
      <xdr:sp macro="[0]!Instucciones_volver_cotizador" textlink="">
        <xdr:nvSpPr>
          <xdr:cNvPr id="11" name="10 CuadroTexto">
            <a:extLst>
              <a:ext uri="{FF2B5EF4-FFF2-40B4-BE49-F238E27FC236}">
                <a16:creationId xmlns:a16="http://schemas.microsoft.com/office/drawing/2014/main" xmlns="" id="{00000000-0008-0000-0500-00000B000000}"/>
              </a:ext>
            </a:extLst>
          </xdr:cNvPr>
          <xdr:cNvSpPr txBox="1"/>
        </xdr:nvSpPr>
        <xdr:spPr>
          <a:xfrm>
            <a:off x="8138869" y="4832144"/>
            <a:ext cx="1490337" cy="222670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MX" sz="800" b="1">
                <a:solidFill>
                  <a:schemeClr val="accent2">
                    <a:lumMod val="75000"/>
                  </a:schemeClr>
                </a:solidFill>
                <a:latin typeface="Arial" pitchFamily="34" charset="0"/>
                <a:cs typeface="Arial" pitchFamily="34" charset="0"/>
              </a:rPr>
              <a:t>Regresar</a:t>
            </a:r>
            <a:r>
              <a:rPr lang="es-MX" sz="800" b="1" baseline="0">
                <a:solidFill>
                  <a:schemeClr val="accent2">
                    <a:lumMod val="75000"/>
                  </a:schemeClr>
                </a:solidFill>
                <a:latin typeface="Arial" pitchFamily="34" charset="0"/>
                <a:cs typeface="Arial" pitchFamily="34" charset="0"/>
              </a:rPr>
              <a:t> a la Cotización</a:t>
            </a:r>
            <a:endParaRPr lang="es-MX" sz="800" b="1">
              <a:solidFill>
                <a:schemeClr val="accent2">
                  <a:lumMod val="75000"/>
                </a:schemeClr>
              </a:solidFill>
              <a:latin typeface="Arial" pitchFamily="34" charset="0"/>
              <a:cs typeface="Arial" pitchFamily="34" charset="0"/>
            </a:endParaRPr>
          </a:p>
        </xdr:txBody>
      </xdr:sp>
      <xdr:sp macro="[0]!Instucciones_volver_cotizador" textlink="">
        <xdr:nvSpPr>
          <xdr:cNvPr id="12" name="11 Flecha izquierda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xmlns="" id="{00000000-0008-0000-0500-00000C000000}"/>
              </a:ext>
            </a:extLst>
          </xdr:cNvPr>
          <xdr:cNvSpPr/>
        </xdr:nvSpPr>
        <xdr:spPr bwMode="auto">
          <a:xfrm>
            <a:off x="7858124" y="4762500"/>
            <a:ext cx="309701" cy="238125"/>
          </a:xfrm>
          <a:prstGeom prst="leftArrow">
            <a:avLst/>
          </a:prstGeom>
          <a:solidFill>
            <a:schemeClr val="accent2">
              <a:lumMod val="40000"/>
              <a:lumOff val="60000"/>
            </a:schemeClr>
          </a:solidFill>
          <a:ln>
            <a:headEnd type="none" w="med" len="med"/>
            <a:tailEnd type="none" w="med" len="med"/>
          </a:ln>
        </xdr:spPr>
        <xdr:style>
          <a:lnRef idx="2">
            <a:schemeClr val="accent2"/>
          </a:lnRef>
          <a:fillRef idx="1">
            <a:schemeClr val="lt1"/>
          </a:fillRef>
          <a:effectRef idx="0">
            <a:schemeClr val="accent2"/>
          </a:effectRef>
          <a:fontRef idx="minor">
            <a:schemeClr val="dk1"/>
          </a:fontRef>
        </xdr:style>
        <xdr:txBody>
          <a:bodyPr vertOverflow="clip" horzOverflow="clip" wrap="square" lIns="18288" tIns="0" rIns="0" bIns="0" rtlCol="0" anchor="t" upright="1"/>
          <a:lstStyle/>
          <a:p>
            <a:pPr algn="l"/>
            <a:endParaRPr lang="es-MX" sz="1000"/>
          </a:p>
        </xdr:txBody>
      </xdr:sp>
    </xdr:grpSp>
    <xdr:clientData/>
  </xdr:twoCellAnchor>
  <xdr:oneCellAnchor>
    <xdr:from>
      <xdr:col>5</xdr:col>
      <xdr:colOff>99733</xdr:colOff>
      <xdr:row>0</xdr:row>
      <xdr:rowOff>104962</xdr:rowOff>
    </xdr:from>
    <xdr:ext cx="3665444" cy="609600"/>
    <xdr:sp macro="" textlink="">
      <xdr:nvSpPr>
        <xdr:cNvPr id="13" name="12 Rectángulo">
          <a:extLst>
            <a:ext uri="{FF2B5EF4-FFF2-40B4-BE49-F238E27FC236}">
              <a16:creationId xmlns:a16="http://schemas.microsoft.com/office/drawing/2014/main" xmlns="" id="{00000000-0008-0000-0500-00000D000000}"/>
            </a:ext>
          </a:extLst>
        </xdr:cNvPr>
        <xdr:cNvSpPr/>
      </xdr:nvSpPr>
      <xdr:spPr>
        <a:xfrm>
          <a:off x="3909733" y="104962"/>
          <a:ext cx="3665444" cy="609600"/>
        </a:xfrm>
        <a:prstGeom prst="rect">
          <a:avLst/>
        </a:prstGeom>
        <a:noFill/>
      </xdr:spPr>
      <xdr:txBody>
        <a:bodyPr wrap="square" lIns="91440" tIns="45720" rIns="91440" bIns="45720">
          <a:noAutofit/>
          <a:scene3d>
            <a:camera prst="orthographicFront"/>
            <a:lightRig rig="soft" dir="tl">
              <a:rot lat="0" lon="0" rev="0"/>
            </a:lightRig>
          </a:scene3d>
          <a:sp3d contourW="25400" prstMaterial="matte">
            <a:bevelT w="25400" h="55880" prst="artDeco"/>
            <a:contourClr>
              <a:schemeClr val="accent2">
                <a:tint val="20000"/>
              </a:schemeClr>
            </a:contourClr>
          </a:sp3d>
        </a:bodyPr>
        <a:lstStyle/>
        <a:p>
          <a:pPr algn="r"/>
          <a:r>
            <a:rPr lang="es-ES" sz="2000" b="1" cap="none" spc="50">
              <a:ln w="11430"/>
              <a:gradFill>
                <a:gsLst>
                  <a:gs pos="25000">
                    <a:schemeClr val="accent2">
                      <a:satMod val="155000"/>
                    </a:schemeClr>
                  </a:gs>
                  <a:gs pos="100000">
                    <a:schemeClr val="accent2">
                      <a:shade val="45000"/>
                      <a:satMod val="165000"/>
                    </a:schemeClr>
                  </a:gs>
                </a:gsLst>
                <a:lin ang="5400000"/>
              </a:gradFill>
              <a:effectLst>
                <a:outerShdw blurRad="76200" dist="50800" dir="5400000" algn="tl" rotWithShape="0">
                  <a:srgbClr val="000000">
                    <a:alpha val="65000"/>
                  </a:srgbClr>
                </a:outerShdw>
              </a:effectLst>
            </a:rPr>
            <a:t>Accidentes</a:t>
          </a:r>
          <a:r>
            <a:rPr lang="es-ES" sz="2000" b="1" cap="none" spc="50" baseline="0">
              <a:ln w="11430"/>
              <a:gradFill>
                <a:gsLst>
                  <a:gs pos="25000">
                    <a:schemeClr val="accent2">
                      <a:satMod val="155000"/>
                    </a:schemeClr>
                  </a:gs>
                  <a:gs pos="100000">
                    <a:schemeClr val="accent2">
                      <a:shade val="45000"/>
                      <a:satMod val="165000"/>
                    </a:schemeClr>
                  </a:gs>
                </a:gsLst>
                <a:lin ang="5400000"/>
              </a:gradFill>
              <a:effectLst>
                <a:outerShdw blurRad="76200" dist="50800" dir="5400000" algn="tl" rotWithShape="0">
                  <a:srgbClr val="000000">
                    <a:alpha val="65000"/>
                  </a:srgbClr>
                </a:outerShdw>
              </a:effectLst>
            </a:rPr>
            <a:t> Personales Individual </a:t>
          </a:r>
          <a:r>
            <a:rPr lang="es-ES" sz="2000" b="1" cap="none" spc="50">
              <a:ln w="11430"/>
              <a:gradFill>
                <a:gsLst>
                  <a:gs pos="25000">
                    <a:schemeClr val="accent2">
                      <a:satMod val="155000"/>
                    </a:schemeClr>
                  </a:gs>
                  <a:gs pos="100000">
                    <a:schemeClr val="accent2">
                      <a:shade val="45000"/>
                      <a:satMod val="165000"/>
                    </a:schemeClr>
                  </a:gs>
                </a:gsLst>
                <a:lin ang="5400000"/>
              </a:gradFill>
              <a:effectLst>
                <a:outerShdw blurRad="76200" dist="50800" dir="5400000" algn="tl" rotWithShape="0">
                  <a:srgbClr val="000000">
                    <a:alpha val="65000"/>
                  </a:srgbClr>
                </a:outerShdw>
              </a:effectLst>
            </a:rPr>
            <a:t>Banorte</a:t>
          </a:r>
        </a:p>
        <a:p>
          <a:pPr algn="r">
            <a:lnSpc>
              <a:spcPts val="3200"/>
            </a:lnSpc>
          </a:pPr>
          <a:endParaRPr lang="es-ES" sz="2000" b="1" cap="none" spc="50">
            <a:ln w="11430"/>
            <a:gradFill>
              <a:gsLst>
                <a:gs pos="25000">
                  <a:schemeClr val="accent2">
                    <a:satMod val="155000"/>
                  </a:schemeClr>
                </a:gs>
                <a:gs pos="100000">
                  <a:schemeClr val="accent2">
                    <a:shade val="45000"/>
                    <a:satMod val="165000"/>
                  </a:schemeClr>
                </a:gs>
              </a:gsLst>
              <a:lin ang="5400000"/>
            </a:gradFill>
            <a:effectLst>
              <a:outerShdw blurRad="76200" dist="50800" dir="5400000" algn="tl" rotWithShape="0">
                <a:srgbClr val="000000">
                  <a:alpha val="65000"/>
                </a:srgbClr>
              </a:outerShdw>
            </a:effectLst>
          </a:endParaRPr>
        </a:p>
      </xdr:txBody>
    </xdr:sp>
    <xdr:clientData/>
  </xdr:oneCellAnchor>
  <xdr:twoCellAnchor>
    <xdr:from>
      <xdr:col>0</xdr:col>
      <xdr:colOff>702609</xdr:colOff>
      <xdr:row>24</xdr:row>
      <xdr:rowOff>155201</xdr:rowOff>
    </xdr:from>
    <xdr:to>
      <xdr:col>9</xdr:col>
      <xdr:colOff>11206</xdr:colOff>
      <xdr:row>28</xdr:row>
      <xdr:rowOff>78441</xdr:rowOff>
    </xdr:to>
    <xdr:sp macro="" textlink="">
      <xdr:nvSpPr>
        <xdr:cNvPr id="15" name="14 Rectángulo redondeado">
          <a:extLst>
            <a:ext uri="{FF2B5EF4-FFF2-40B4-BE49-F238E27FC236}">
              <a16:creationId xmlns:a16="http://schemas.microsoft.com/office/drawing/2014/main" xmlns="" id="{00000000-0008-0000-0500-00000F000000}"/>
            </a:ext>
          </a:extLst>
        </xdr:cNvPr>
        <xdr:cNvSpPr/>
      </xdr:nvSpPr>
      <xdr:spPr bwMode="auto">
        <a:xfrm>
          <a:off x="702609" y="4032436"/>
          <a:ext cx="6525185" cy="550770"/>
        </a:xfrm>
        <a:prstGeom prst="roundRect">
          <a:avLst/>
        </a:prstGeom>
        <a:noFill/>
        <a:ln w="9525" cap="flat" cmpd="sng" algn="ctr">
          <a:solidFill>
            <a:schemeClr val="accent2">
              <a:lumMod val="75000"/>
            </a:schemeClr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es-MX" sz="1100"/>
        </a:p>
      </xdr:txBody>
    </xdr:sp>
    <xdr:clientData/>
  </xdr:twoCellAnchor>
  <xdr:twoCellAnchor editAs="oneCell">
    <xdr:from>
      <xdr:col>0</xdr:col>
      <xdr:colOff>67236</xdr:colOff>
      <xdr:row>1</xdr:row>
      <xdr:rowOff>145676</xdr:rowOff>
    </xdr:from>
    <xdr:to>
      <xdr:col>6</xdr:col>
      <xdr:colOff>62830</xdr:colOff>
      <xdr:row>4</xdr:row>
      <xdr:rowOff>94508</xdr:rowOff>
    </xdr:to>
    <xdr:pic>
      <xdr:nvPicPr>
        <xdr:cNvPr id="2" name="1 Imagen">
          <a:extLst>
            <a:ext uri="{FF2B5EF4-FFF2-40B4-BE49-F238E27FC236}">
              <a16:creationId xmlns:a16="http://schemas.microsoft.com/office/drawing/2014/main" xmlns="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236" y="302558"/>
          <a:ext cx="4567594" cy="419479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2864908</xdr:colOff>
      <xdr:row>57</xdr:row>
      <xdr:rowOff>99171</xdr:rowOff>
    </xdr:from>
    <xdr:to>
      <xdr:col>6</xdr:col>
      <xdr:colOff>4019550</xdr:colOff>
      <xdr:row>59</xdr:row>
      <xdr:rowOff>35234</xdr:rowOff>
    </xdr:to>
    <xdr:pic macro="[0]!imprimir_Contratante">
      <xdr:nvPicPr>
        <xdr:cNvPr id="2" name="Picture 2">
          <a:extLst>
            <a:ext uri="{FF2B5EF4-FFF2-40B4-BE49-F238E27FC236}">
              <a16:creationId xmlns:a16="http://schemas.microsoft.com/office/drawing/2014/main" xmlns="" id="{00000000-0008-0000-0600-000002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90804" t="40675" r="1482" b="55356"/>
        <a:stretch/>
      </xdr:blipFill>
      <xdr:spPr bwMode="auto">
        <a:xfrm>
          <a:off x="7369673" y="9030259"/>
          <a:ext cx="1154642" cy="317063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chemeClr val="tx1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chemeClr val="bg2"/>
                </a:outerShdw>
              </a:effectLst>
            </a14:hiddenEffects>
          </a:ext>
        </a:extLst>
      </xdr:spPr>
    </xdr:pic>
    <xdr:clientData/>
  </xdr:twoCellAnchor>
  <xdr:twoCellAnchor editAs="oneCell">
    <xdr:from>
      <xdr:col>0</xdr:col>
      <xdr:colOff>28574</xdr:colOff>
      <xdr:row>1</xdr:row>
      <xdr:rowOff>19051</xdr:rowOff>
    </xdr:from>
    <xdr:to>
      <xdr:col>6</xdr:col>
      <xdr:colOff>830916</xdr:colOff>
      <xdr:row>4</xdr:row>
      <xdr:rowOff>164266</xdr:rowOff>
    </xdr:to>
    <xdr:pic>
      <xdr:nvPicPr>
        <xdr:cNvPr id="9" name="8 Imagen">
          <a:extLst>
            <a:ext uri="{FF2B5EF4-FFF2-40B4-BE49-F238E27FC236}">
              <a16:creationId xmlns:a16="http://schemas.microsoft.com/office/drawing/2014/main" xmlns="" id="{00000000-0008-0000-06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4" y="131110"/>
          <a:ext cx="5307107" cy="481391"/>
        </a:xfrm>
        <a:prstGeom prst="rect">
          <a:avLst/>
        </a:prstGeom>
      </xdr:spPr>
    </xdr:pic>
    <xdr:clientData/>
  </xdr:twoCellAnchor>
  <xdr:oneCellAnchor>
    <xdr:from>
      <xdr:col>6</xdr:col>
      <xdr:colOff>3369733</xdr:colOff>
      <xdr:row>0</xdr:row>
      <xdr:rowOff>57150</xdr:rowOff>
    </xdr:from>
    <xdr:ext cx="6107642" cy="900637"/>
    <xdr:sp macro="" textlink="">
      <xdr:nvSpPr>
        <xdr:cNvPr id="10" name="9 Rectángulo">
          <a:extLst>
            <a:ext uri="{FF2B5EF4-FFF2-40B4-BE49-F238E27FC236}">
              <a16:creationId xmlns:a16="http://schemas.microsoft.com/office/drawing/2014/main" xmlns="" id="{00000000-0008-0000-0600-00000A000000}"/>
            </a:ext>
          </a:extLst>
        </xdr:cNvPr>
        <xdr:cNvSpPr/>
      </xdr:nvSpPr>
      <xdr:spPr>
        <a:xfrm>
          <a:off x="6436783" y="57150"/>
          <a:ext cx="6107642" cy="900637"/>
        </a:xfrm>
        <a:prstGeom prst="rect">
          <a:avLst/>
        </a:prstGeom>
        <a:noFill/>
      </xdr:spPr>
      <xdr:txBody>
        <a:bodyPr wrap="square" lIns="91440" tIns="45720" rIns="91440" bIns="45720">
          <a:noAutofit/>
          <a:scene3d>
            <a:camera prst="orthographicFront"/>
            <a:lightRig rig="soft" dir="tl">
              <a:rot lat="0" lon="0" rev="0"/>
            </a:lightRig>
          </a:scene3d>
          <a:sp3d contourW="25400" prstMaterial="matte">
            <a:bevelT w="25400" h="55880" prst="artDeco"/>
            <a:contourClr>
              <a:schemeClr val="accent2">
                <a:tint val="20000"/>
              </a:schemeClr>
            </a:contourClr>
          </a:sp3d>
        </a:bodyPr>
        <a:lstStyle/>
        <a:p>
          <a:pPr algn="r"/>
          <a:r>
            <a:rPr lang="es-ES" sz="1100" b="1" i="0" cap="none" spc="0">
              <a:ln w="18000">
                <a:solidFill>
                  <a:schemeClr val="accent2">
                    <a:satMod val="140000"/>
                  </a:schemeClr>
                </a:solidFill>
                <a:prstDash val="solid"/>
                <a:miter lim="800000"/>
              </a:ln>
              <a:solidFill>
                <a:srgbClr val="C00000"/>
              </a:solidFill>
              <a:effectLst>
                <a:outerShdw blurRad="25500" dist="23000" dir="7020000" algn="tl">
                  <a:srgbClr val="000000">
                    <a:alpha val="50000"/>
                  </a:srgbClr>
                </a:outerShdw>
              </a:effectLst>
              <a:latin typeface="Aharoni" pitchFamily="2" charset="-79"/>
              <a:cs typeface="Aharoni" pitchFamily="2" charset="-79"/>
            </a:rPr>
            <a:t>ACCIDENTES</a:t>
          </a:r>
          <a:r>
            <a:rPr lang="es-ES" sz="1100" b="1" i="0" cap="none" spc="0" baseline="0">
              <a:ln w="18000">
                <a:solidFill>
                  <a:schemeClr val="accent2">
                    <a:satMod val="140000"/>
                  </a:schemeClr>
                </a:solidFill>
                <a:prstDash val="solid"/>
                <a:miter lim="800000"/>
              </a:ln>
              <a:solidFill>
                <a:srgbClr val="C00000"/>
              </a:solidFill>
              <a:effectLst>
                <a:outerShdw blurRad="25500" dist="23000" dir="7020000" algn="tl">
                  <a:srgbClr val="000000">
                    <a:alpha val="50000"/>
                  </a:srgbClr>
                </a:outerShdw>
              </a:effectLst>
              <a:latin typeface="Aharoni" pitchFamily="2" charset="-79"/>
              <a:cs typeface="Aharoni" pitchFamily="2" charset="-79"/>
            </a:rPr>
            <a:t> PERSONALES INDIVIDUAL/FAMILIAR</a:t>
          </a:r>
          <a:endParaRPr lang="es-ES" sz="1100" b="1" i="0" cap="none" spc="0">
            <a:ln w="18000">
              <a:solidFill>
                <a:schemeClr val="accent2">
                  <a:satMod val="140000"/>
                </a:schemeClr>
              </a:solidFill>
              <a:prstDash val="solid"/>
              <a:miter lim="800000"/>
            </a:ln>
            <a:solidFill>
              <a:srgbClr val="C00000"/>
            </a:solidFill>
            <a:effectLst>
              <a:outerShdw blurRad="25500" dist="23000" dir="7020000" algn="tl">
                <a:srgbClr val="000000">
                  <a:alpha val="50000"/>
                </a:srgbClr>
              </a:outerShdw>
            </a:effectLst>
            <a:latin typeface="Aharoni" pitchFamily="2" charset="-79"/>
            <a:cs typeface="Aharoni" pitchFamily="2" charset="-79"/>
          </a:endParaRPr>
        </a:p>
        <a:p>
          <a:pPr algn="r">
            <a:lnSpc>
              <a:spcPts val="3200"/>
            </a:lnSpc>
          </a:pPr>
          <a:r>
            <a:rPr lang="es-ES" sz="2400" b="1" cap="none" spc="50">
              <a:ln w="11430"/>
              <a:gradFill>
                <a:gsLst>
                  <a:gs pos="25000">
                    <a:schemeClr val="accent2">
                      <a:satMod val="155000"/>
                    </a:schemeClr>
                  </a:gs>
                  <a:gs pos="100000">
                    <a:schemeClr val="accent2">
                      <a:shade val="45000"/>
                      <a:satMod val="165000"/>
                    </a:schemeClr>
                  </a:gs>
                </a:gsLst>
                <a:lin ang="5400000"/>
              </a:gradFill>
              <a:effectLst>
                <a:outerShdw blurRad="76200" dist="50800" dir="5400000" algn="tl" rotWithShape="0">
                  <a:srgbClr val="000000">
                    <a:alpha val="65000"/>
                  </a:srgbClr>
                </a:outerShdw>
              </a:effectLst>
            </a:rPr>
            <a:t>Seguro</a:t>
          </a:r>
          <a:r>
            <a:rPr lang="es-ES" sz="2400" b="1" cap="none" spc="50" baseline="0">
              <a:ln w="11430"/>
              <a:gradFill>
                <a:gsLst>
                  <a:gs pos="25000">
                    <a:schemeClr val="accent2">
                      <a:satMod val="155000"/>
                    </a:schemeClr>
                  </a:gs>
                  <a:gs pos="100000">
                    <a:schemeClr val="accent2">
                      <a:shade val="45000"/>
                      <a:satMod val="165000"/>
                    </a:schemeClr>
                  </a:gs>
                </a:gsLst>
                <a:lin ang="5400000"/>
              </a:gradFill>
              <a:effectLst>
                <a:outerShdw blurRad="76200" dist="50800" dir="5400000" algn="tl" rotWithShape="0">
                  <a:srgbClr val="000000">
                    <a:alpha val="65000"/>
                  </a:srgbClr>
                </a:outerShdw>
              </a:effectLst>
            </a:rPr>
            <a:t> de Accidentes Personales</a:t>
          </a:r>
          <a:endParaRPr lang="es-ES" sz="2400" b="1" cap="none" spc="50">
            <a:ln w="11430"/>
            <a:gradFill>
              <a:gsLst>
                <a:gs pos="25000">
                  <a:schemeClr val="accent2">
                    <a:satMod val="155000"/>
                  </a:schemeClr>
                </a:gs>
                <a:gs pos="100000">
                  <a:schemeClr val="accent2">
                    <a:shade val="45000"/>
                    <a:satMod val="165000"/>
                  </a:schemeClr>
                </a:gs>
              </a:gsLst>
              <a:lin ang="5400000"/>
            </a:gradFill>
            <a:effectLst>
              <a:outerShdw blurRad="76200" dist="50800" dir="5400000" algn="tl" rotWithShape="0">
                <a:srgbClr val="000000">
                  <a:alpha val="65000"/>
                </a:srgbClr>
              </a:outerShdw>
            </a:effectLst>
          </a:endParaRPr>
        </a:p>
      </xdr:txBody>
    </xdr:sp>
    <xdr:clientData/>
  </xdr:one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>
    <tabColor indexed="47"/>
    <pageSetUpPr fitToPage="1"/>
  </sheetPr>
  <dimension ref="A1:M262"/>
  <sheetViews>
    <sheetView showGridLines="0" topLeftCell="A36" zoomScale="85" zoomScaleNormal="85" zoomScaleSheetLayoutView="100" workbookViewId="0">
      <selection activeCell="C56" sqref="C56"/>
    </sheetView>
  </sheetViews>
  <sheetFormatPr baseColWidth="10" defaultColWidth="0" defaultRowHeight="10" zeroHeight="1"/>
  <cols>
    <col min="1" max="1" width="1.26953125" style="1" customWidth="1"/>
    <col min="2" max="2" width="1.54296875" style="1" customWidth="1"/>
    <col min="3" max="3" width="26.453125" style="1" customWidth="1"/>
    <col min="4" max="4" width="10.26953125" style="1" customWidth="1"/>
    <col min="5" max="5" width="14.81640625" style="1" customWidth="1"/>
    <col min="6" max="6" width="11.54296875" style="1" customWidth="1"/>
    <col min="7" max="7" width="78.26953125" style="1" bestFit="1" customWidth="1"/>
    <col min="8" max="8" width="7.7265625" style="1" bestFit="1" customWidth="1"/>
    <col min="9" max="9" width="16.54296875" style="1" bestFit="1" customWidth="1"/>
    <col min="10" max="10" width="12.7265625" style="1" bestFit="1" customWidth="1"/>
    <col min="11" max="11" width="13.81640625" style="1" bestFit="1" customWidth="1"/>
    <col min="12" max="12" width="19.26953125" style="1" customWidth="1"/>
    <col min="13" max="13" width="11.453125" style="1" customWidth="1"/>
    <col min="14" max="16384" width="11.453125" style="1" hidden="1"/>
  </cols>
  <sheetData>
    <row r="1" spans="1:12" s="2" customFormat="1" ht="9" customHeight="1">
      <c r="B1" s="3"/>
      <c r="C1" s="3"/>
      <c r="D1" s="3"/>
      <c r="E1" s="3"/>
      <c r="F1" s="3"/>
      <c r="G1" s="3"/>
      <c r="H1" s="3"/>
      <c r="I1" s="3"/>
      <c r="J1" s="3"/>
    </row>
    <row r="2" spans="1:12" s="2" customFormat="1" ht="7">
      <c r="B2" s="3"/>
      <c r="C2" s="3"/>
      <c r="D2" s="3"/>
      <c r="E2" s="3"/>
      <c r="F2" s="3"/>
      <c r="G2" s="3"/>
      <c r="H2" s="3"/>
      <c r="I2" s="3"/>
      <c r="J2" s="3"/>
    </row>
    <row r="3" spans="1:12" s="2" customFormat="1" ht="7">
      <c r="B3" s="3"/>
      <c r="C3" s="3"/>
      <c r="D3" s="3"/>
      <c r="E3" s="3"/>
      <c r="F3" s="3"/>
      <c r="G3" s="3"/>
      <c r="H3" s="3"/>
      <c r="I3" s="3"/>
      <c r="J3" s="3"/>
    </row>
    <row r="4" spans="1:12" s="2" customFormat="1" ht="7">
      <c r="B4" s="3"/>
      <c r="C4" s="3"/>
      <c r="D4" s="3"/>
      <c r="E4" s="3"/>
      <c r="F4" s="3"/>
      <c r="G4" s="3"/>
      <c r="H4" s="3"/>
      <c r="I4" s="3"/>
      <c r="J4" s="3"/>
    </row>
    <row r="5" spans="1:12" s="19" customFormat="1" ht="15.75" customHeight="1">
      <c r="B5" s="17"/>
      <c r="C5" s="17"/>
      <c r="D5" s="17"/>
      <c r="E5" s="17"/>
      <c r="F5" s="17"/>
      <c r="G5" s="17"/>
      <c r="H5" s="17"/>
      <c r="I5" s="17"/>
      <c r="J5" s="17"/>
    </row>
    <row r="6" spans="1:12" s="2" customFormat="1" ht="12.75" customHeight="1">
      <c r="B6" s="3"/>
      <c r="C6" s="4"/>
      <c r="D6" s="4"/>
      <c r="E6" s="4"/>
      <c r="F6" s="5"/>
      <c r="G6" s="5"/>
      <c r="H6" s="3"/>
      <c r="K6" s="281">
        <f ca="1">TODAY()</f>
        <v>45744</v>
      </c>
      <c r="L6" s="281"/>
    </row>
    <row r="7" spans="1:12" s="2" customFormat="1" ht="11.5">
      <c r="B7" s="3"/>
      <c r="C7" s="4"/>
      <c r="D7" s="4"/>
      <c r="E7" s="4"/>
      <c r="F7" s="5"/>
      <c r="G7" s="5"/>
      <c r="H7" s="3"/>
      <c r="I7" s="3"/>
      <c r="J7" s="84"/>
    </row>
    <row r="8" spans="1:12" s="2" customFormat="1" ht="11.5">
      <c r="B8" s="3"/>
      <c r="C8" s="4"/>
      <c r="D8" s="4"/>
      <c r="E8" s="4"/>
      <c r="F8" s="5"/>
      <c r="G8" s="5"/>
      <c r="H8" s="3"/>
      <c r="J8" s="84"/>
    </row>
    <row r="9" spans="1:12" s="2" customFormat="1" ht="15" customHeight="1">
      <c r="B9" s="78" t="str">
        <f>"Apreciable  "&amp;COTIZACION!C24</f>
        <v xml:space="preserve">Apreciable  </v>
      </c>
      <c r="C9" s="8"/>
      <c r="D9" s="4"/>
      <c r="E9" s="4"/>
      <c r="F9" s="5"/>
      <c r="G9" s="5"/>
      <c r="H9" s="3"/>
      <c r="J9" s="3"/>
    </row>
    <row r="10" spans="1:12" s="2" customFormat="1" ht="15" customHeight="1">
      <c r="B10" s="286" t="str">
        <f>IF(COTIZACION!$D$7="ANUAL","Agradecemos de antemano su preferencia y esperamos que la presente propuesta de Accidentes Personales "&amp;COTIZACION!D7&amp;" cumpla sus expectativas.","Agradecemos de antemano su preferencia y esperamos que la presente propuesta de Accidentes Personales "&amp;COTIZACION!D7&amp;" por "&amp;COTIZACION!$D$8&amp;" días cumpla sus expectativas.")</f>
        <v>Agradecemos de antemano su preferencia y esperamos que la presente propuesta de Accidentes Personales ANUAL cumpla sus expectativas.</v>
      </c>
      <c r="C10" s="286"/>
      <c r="D10" s="286"/>
      <c r="E10" s="286"/>
      <c r="F10" s="286"/>
      <c r="G10" s="286"/>
      <c r="H10" s="286"/>
      <c r="I10" s="286"/>
      <c r="J10" s="286"/>
    </row>
    <row r="11" spans="1:12" s="2" customFormat="1" ht="15" customHeight="1">
      <c r="B11" s="286"/>
      <c r="C11" s="286"/>
      <c r="D11" s="286"/>
      <c r="E11" s="286"/>
      <c r="F11" s="286"/>
      <c r="G11" s="286"/>
      <c r="H11" s="286"/>
      <c r="I11" s="286"/>
      <c r="J11" s="286"/>
    </row>
    <row r="12" spans="1:12" s="2" customFormat="1" ht="15.75" customHeight="1">
      <c r="A12" s="1"/>
      <c r="B12" s="282" t="s">
        <v>2</v>
      </c>
      <c r="C12" s="282"/>
      <c r="D12" s="282"/>
      <c r="E12" s="282"/>
      <c r="F12" s="282"/>
      <c r="G12" s="282"/>
      <c r="H12" s="282"/>
      <c r="I12" s="282"/>
      <c r="J12" s="282"/>
      <c r="K12" s="282"/>
      <c r="L12" s="282"/>
    </row>
    <row r="13" spans="1:12" s="2" customFormat="1" ht="13.5" customHeight="1">
      <c r="B13" s="121" t="s">
        <v>3</v>
      </c>
      <c r="C13" s="97" t="s">
        <v>82</v>
      </c>
      <c r="D13" s="94"/>
      <c r="E13" s="95"/>
      <c r="F13" s="95"/>
      <c r="G13" s="95"/>
      <c r="H13" s="95"/>
      <c r="J13" s="175">
        <f>COTIZACION!$D$14</f>
        <v>0</v>
      </c>
      <c r="K13" s="95" t="str">
        <f>IF(J13="Excluido","","M.N")</f>
        <v>M.N</v>
      </c>
    </row>
    <row r="14" spans="1:12" s="2" customFormat="1" ht="13.5" customHeight="1">
      <c r="B14" s="121" t="s">
        <v>3</v>
      </c>
      <c r="C14" s="97" t="str">
        <f>IF(OR(COTIZACION!C18="",COTIZACION!C18="-"),"Péridas Orgánicas A o B",IF(COTIZACION!C18="PERDIDAS ORGANICAS TIPO A","Pérdidas Orgánicas Tipo A","Péridas Orgánicas Tipo B"))</f>
        <v>Péridas Orgánicas A o B</v>
      </c>
      <c r="D14" s="94"/>
      <c r="E14" s="95"/>
      <c r="F14" s="95"/>
      <c r="G14" s="95"/>
      <c r="H14" s="95"/>
      <c r="J14" s="175" t="str">
        <f>IF(OR(COTIZACION!B18="",COTIZACION!B18="-"),"Excluido",COTIZACION!D18)</f>
        <v>Excluido</v>
      </c>
      <c r="K14" s="95" t="str">
        <f>IF(J14="Excluido","","M.N")</f>
        <v/>
      </c>
    </row>
    <row r="15" spans="1:12" s="2" customFormat="1" ht="13.5" customHeight="1">
      <c r="B15" s="121" t="s">
        <v>3</v>
      </c>
      <c r="C15" s="128" t="s">
        <v>725</v>
      </c>
      <c r="D15" s="94"/>
      <c r="E15" s="95"/>
      <c r="F15" s="98"/>
      <c r="G15" s="98"/>
      <c r="H15" s="95"/>
      <c r="J15" s="175" t="str">
        <f>IF(OR(COTIZACION!$C$19="-",COTIZACION!$C$19=""),"Excluido",COTIZACION!$D$19)</f>
        <v>Excluido</v>
      </c>
      <c r="K15" s="95" t="str">
        <f>IF(J15="Excluido","","M.N")</f>
        <v/>
      </c>
    </row>
    <row r="16" spans="1:12" s="2" customFormat="1" ht="13.5" customHeight="1">
      <c r="B16" s="236" t="s">
        <v>3</v>
      </c>
      <c r="C16" s="125" t="s">
        <v>363</v>
      </c>
      <c r="D16" s="10"/>
      <c r="E16" s="7"/>
      <c r="F16" s="7"/>
      <c r="G16" s="8"/>
      <c r="H16" s="69"/>
      <c r="J16" s="175" t="str">
        <f>IF(OR(COTIZACION!$C$19="-",COTIZACION!$C$19=""),"No Aplica",COTIZACION!$E$19)</f>
        <v>No Aplica</v>
      </c>
      <c r="K16" s="95" t="str">
        <f>IF(J16="No Aplica","","M.N")</f>
        <v/>
      </c>
    </row>
    <row r="17" spans="1:12" ht="12.75" customHeight="1">
      <c r="A17" s="2"/>
      <c r="B17" s="99"/>
      <c r="C17" s="100"/>
      <c r="D17" s="99"/>
      <c r="E17" s="101"/>
      <c r="F17" s="101"/>
      <c r="G17" s="101"/>
      <c r="H17" s="101"/>
      <c r="I17" s="102"/>
      <c r="J17" s="101"/>
    </row>
    <row r="18" spans="1:12" ht="18" customHeight="1">
      <c r="B18" s="283" t="s">
        <v>5</v>
      </c>
      <c r="C18" s="283"/>
      <c r="D18" s="283"/>
      <c r="E18" s="283"/>
      <c r="F18" s="283"/>
      <c r="G18" s="283"/>
      <c r="H18" s="283"/>
      <c r="I18" s="283"/>
      <c r="J18" s="283"/>
      <c r="K18" s="283"/>
      <c r="L18" s="283"/>
    </row>
    <row r="19" spans="1:12" s="100" customFormat="1" ht="12.75" customHeight="1">
      <c r="B19" s="109"/>
      <c r="C19" s="109"/>
      <c r="D19" s="109"/>
      <c r="E19" s="109"/>
      <c r="F19" s="109"/>
      <c r="G19" s="109"/>
      <c r="H19" s="109"/>
      <c r="I19" s="109"/>
      <c r="J19" s="109"/>
    </row>
    <row r="20" spans="1:12" s="2" customFormat="1" ht="11.25" customHeight="1">
      <c r="A20" s="1"/>
      <c r="B20" s="296" t="s">
        <v>6</v>
      </c>
      <c r="C20" s="296"/>
      <c r="D20" s="296"/>
      <c r="E20" s="296"/>
      <c r="F20" s="296"/>
      <c r="G20" s="287" t="s">
        <v>709</v>
      </c>
      <c r="H20" s="287" t="s">
        <v>7</v>
      </c>
      <c r="I20" s="287" t="s">
        <v>4</v>
      </c>
      <c r="J20" s="287" t="s">
        <v>8</v>
      </c>
      <c r="K20" s="287" t="s">
        <v>85</v>
      </c>
      <c r="L20" s="284" t="s">
        <v>32</v>
      </c>
    </row>
    <row r="21" spans="1:12" s="2" customFormat="1" ht="11.25" customHeight="1">
      <c r="B21" s="296"/>
      <c r="C21" s="296"/>
      <c r="D21" s="296"/>
      <c r="E21" s="296"/>
      <c r="F21" s="296"/>
      <c r="G21" s="288"/>
      <c r="H21" s="288"/>
      <c r="I21" s="288"/>
      <c r="J21" s="288"/>
      <c r="K21" s="288"/>
      <c r="L21" s="285"/>
    </row>
    <row r="22" spans="1:12" s="2" customFormat="1" ht="11.5">
      <c r="A22" s="74">
        <f t="shared" ref="A22:A29" si="0">IF(AND(I22&lt;&gt;"",I22&gt;69),1,0)</f>
        <v>0</v>
      </c>
      <c r="B22" s="302" t="str">
        <f>IF(OR(COTIZACION!$E24="",COTIZACION!$C24="",COTIZACION!$F24="",COTIZACION!$D24=""),"",COTIZACION!C24)</f>
        <v/>
      </c>
      <c r="C22" s="302" t="e">
        <f>IF(OR(COTIZACION!$E24="",COTIZACION!#REF!="",COTIZACION!$C24="",COTIZACION!$F24="",COTIZACION!#REF!="",COTIZACION!#REF!=""),"",COTIZACION!A24)</f>
        <v>#REF!</v>
      </c>
      <c r="D22" s="302" t="e">
        <f>IF(OR(COTIZACION!$E24="",COTIZACION!#REF!="",COTIZACION!$C24="",COTIZACION!$F24="",COTIZACION!#REF!="",COTIZACION!#REF!=""),"",COTIZACION!B24)</f>
        <v>#REF!</v>
      </c>
      <c r="E22" s="302" t="e">
        <f>IF(OR(COTIZACION!$E24="",COTIZACION!#REF!="",COTIZACION!$C24="",COTIZACION!$F24="",COTIZACION!#REF!="",COTIZACION!#REF!=""),"",COTIZACION!C24)</f>
        <v>#REF!</v>
      </c>
      <c r="F22" s="302" t="e">
        <f>IF(OR(COTIZACION!$E24="",COTIZACION!#REF!="",COTIZACION!$C24="",COTIZACION!$F24="",COTIZACION!#REF!="",COTIZACION!#REF!=""),"",COTIZACION!#REF!)</f>
        <v>#REF!</v>
      </c>
      <c r="G22" s="241" t="str">
        <f>IF(B22="","",COTIZACION!F24)</f>
        <v/>
      </c>
      <c r="H22" s="77" t="str">
        <f>IF(B22="","",COTIZACION!D24)</f>
        <v/>
      </c>
      <c r="I22" s="77" t="str">
        <f>IF(OR(COTIZACION!$E24="",COTIZACION!$C24="",COTIZACION!$F24=""),"",COTIZACION!E24)</f>
        <v/>
      </c>
      <c r="J22" s="77" t="str">
        <f>IF(I22="","",COTIZACION!B24)</f>
        <v/>
      </c>
      <c r="K22" s="77" t="str">
        <f>IF(J22="","",VLOOKUP(COTIZACION!F24,FACTORES!$AO$2:$AP$299,2,0))</f>
        <v/>
      </c>
      <c r="L22" s="103" t="str">
        <f>IF(K22="","",IFERROR(FACTORES!V16*(1-F35),0))</f>
        <v/>
      </c>
    </row>
    <row r="23" spans="1:12" s="2" customFormat="1" ht="11.5">
      <c r="A23" s="74">
        <f t="shared" si="0"/>
        <v>0</v>
      </c>
      <c r="B23" s="300" t="str">
        <f>IF(OR(COTIZACION!$E25="",COTIZACION!$C25="",COTIZACION!$F25="",COTIZACION!$D25=""),"",COTIZACION!C25)</f>
        <v/>
      </c>
      <c r="C23" s="300" t="e">
        <f>IF(OR(COTIZACION!$E25="",COTIZACION!#REF!="",COTIZACION!$C25="",COTIZACION!$F25="",COTIZACION!#REF!="",COTIZACION!#REF!=""),"",COTIZACION!A25)</f>
        <v>#REF!</v>
      </c>
      <c r="D23" s="300" t="e">
        <f>IF(OR(COTIZACION!$E25="",COTIZACION!#REF!="",COTIZACION!$C25="",COTIZACION!$F25="",COTIZACION!#REF!="",COTIZACION!#REF!=""),"",COTIZACION!B25)</f>
        <v>#REF!</v>
      </c>
      <c r="E23" s="300" t="e">
        <f>IF(OR(COTIZACION!$E25="",COTIZACION!#REF!="",COTIZACION!$C25="",COTIZACION!$F25="",COTIZACION!#REF!="",COTIZACION!#REF!=""),"",COTIZACION!C25)</f>
        <v>#REF!</v>
      </c>
      <c r="F23" s="300" t="e">
        <f>IF(OR(COTIZACION!$E25="",COTIZACION!#REF!="",COTIZACION!$C25="",COTIZACION!$F25="",COTIZACION!#REF!="",COTIZACION!#REF!=""),"",COTIZACION!#REF!)</f>
        <v>#REF!</v>
      </c>
      <c r="G23" s="249" t="str">
        <f>IF(B23="","",COTIZACION!F25)</f>
        <v/>
      </c>
      <c r="H23" s="114" t="str">
        <f>IF(B23="","",COTIZACION!D25)</f>
        <v/>
      </c>
      <c r="I23" s="114" t="str">
        <f>IF(OR(COTIZACION!$E25="",COTIZACION!$C25="",COTIZACION!$F25=""),"",COTIZACION!E25)</f>
        <v/>
      </c>
      <c r="J23" s="114" t="str">
        <f>IF(I23="","",COTIZACION!B25)</f>
        <v/>
      </c>
      <c r="K23" s="114" t="str">
        <f>IF(J23="","",VLOOKUP(COTIZACION!F25,FACTORES!$AO$2:$AP$299,2,0))</f>
        <v/>
      </c>
      <c r="L23" s="115" t="str">
        <f>IF(K23="","",IFERROR(FACTORES!W16*(1-F35),0))</f>
        <v/>
      </c>
    </row>
    <row r="24" spans="1:12" s="2" customFormat="1" ht="11.5">
      <c r="A24" s="74">
        <f t="shared" si="0"/>
        <v>0</v>
      </c>
      <c r="B24" s="299" t="str">
        <f>IF(OR(COTIZACION!$E26="",COTIZACION!$C26="",COTIZACION!$F26="",COTIZACION!$D26=""),"",COTIZACION!C26)</f>
        <v/>
      </c>
      <c r="C24" s="299" t="e">
        <f>IF(OR(COTIZACION!$E26="",COTIZACION!#REF!="",COTIZACION!$C26="",COTIZACION!$F26="",COTIZACION!#REF!="",COTIZACION!#REF!=""),"",COTIZACION!A26)</f>
        <v>#REF!</v>
      </c>
      <c r="D24" s="299" t="e">
        <f>IF(OR(COTIZACION!$E26="",COTIZACION!#REF!="",COTIZACION!$C26="",COTIZACION!$F26="",COTIZACION!#REF!="",COTIZACION!#REF!=""),"",COTIZACION!B26)</f>
        <v>#REF!</v>
      </c>
      <c r="E24" s="299" t="e">
        <f>IF(OR(COTIZACION!$E26="",COTIZACION!#REF!="",COTIZACION!$C26="",COTIZACION!$F26="",COTIZACION!#REF!="",COTIZACION!#REF!=""),"",COTIZACION!C26)</f>
        <v>#REF!</v>
      </c>
      <c r="F24" s="299" t="e">
        <f>IF(OR(COTIZACION!$E26="",COTIZACION!#REF!="",COTIZACION!$C26="",COTIZACION!$F26="",COTIZACION!#REF!="",COTIZACION!#REF!=""),"",COTIZACION!#REF!)</f>
        <v>#REF!</v>
      </c>
      <c r="G24" s="241" t="str">
        <f>IF(B24="","",COTIZACION!F26)</f>
        <v/>
      </c>
      <c r="H24" s="77" t="str">
        <f>IF(B24="","",COTIZACION!D26)</f>
        <v/>
      </c>
      <c r="I24" s="77" t="str">
        <f>IF(OR(COTIZACION!$E26="",COTIZACION!$C26="",COTIZACION!$F26=""),"",COTIZACION!E26)</f>
        <v/>
      </c>
      <c r="J24" s="77" t="str">
        <f>IF(I24="","",COTIZACION!B26)</f>
        <v/>
      </c>
      <c r="K24" s="77" t="str">
        <f>IF(J24="","",VLOOKUP(COTIZACION!F26,FACTORES!$AO$2:$AP$299,2,0))</f>
        <v/>
      </c>
      <c r="L24" s="103" t="str">
        <f>IF(K24="","",IFERROR(FACTORES!X16*(1-F35),0))</f>
        <v/>
      </c>
    </row>
    <row r="25" spans="1:12" s="2" customFormat="1" ht="11.5">
      <c r="A25" s="74">
        <f t="shared" si="0"/>
        <v>0</v>
      </c>
      <c r="B25" s="300" t="str">
        <f>IF(OR(COTIZACION!$E27="",COTIZACION!$C27="",COTIZACION!$F27="",COTIZACION!$D27=""),"",COTIZACION!C27)</f>
        <v/>
      </c>
      <c r="C25" s="300" t="e">
        <f>IF(OR(COTIZACION!$E27="",COTIZACION!#REF!="",COTIZACION!$C27="",COTIZACION!$F27="",COTIZACION!#REF!="",COTIZACION!#REF!=""),"",COTIZACION!A27)</f>
        <v>#REF!</v>
      </c>
      <c r="D25" s="300" t="e">
        <f>IF(OR(COTIZACION!$E27="",COTIZACION!#REF!="",COTIZACION!$C27="",COTIZACION!$F27="",COTIZACION!#REF!="",COTIZACION!#REF!=""),"",COTIZACION!B27)</f>
        <v>#REF!</v>
      </c>
      <c r="E25" s="300" t="e">
        <f>IF(OR(COTIZACION!$E27="",COTIZACION!#REF!="",COTIZACION!$C27="",COTIZACION!$F27="",COTIZACION!#REF!="",COTIZACION!#REF!=""),"",COTIZACION!C27)</f>
        <v>#REF!</v>
      </c>
      <c r="F25" s="300" t="e">
        <f>IF(OR(COTIZACION!$E27="",COTIZACION!#REF!="",COTIZACION!$C27="",COTIZACION!$F27="",COTIZACION!#REF!="",COTIZACION!#REF!=""),"",COTIZACION!#REF!)</f>
        <v>#REF!</v>
      </c>
      <c r="G25" s="249" t="str">
        <f>IF(B25="","",COTIZACION!F27)</f>
        <v/>
      </c>
      <c r="H25" s="114" t="str">
        <f>IF(B25="","",COTIZACION!D27)</f>
        <v/>
      </c>
      <c r="I25" s="114" t="str">
        <f>IF(OR(COTIZACION!$E27="",COTIZACION!$C27="",COTIZACION!$F27=""),"",COTIZACION!E27)</f>
        <v/>
      </c>
      <c r="J25" s="114" t="str">
        <f>IF(I25="","",COTIZACION!B27)</f>
        <v/>
      </c>
      <c r="K25" s="114" t="str">
        <f>IF(J25="","",VLOOKUP(COTIZACION!F27,FACTORES!$AO$2:$AP$299,2,0))</f>
        <v/>
      </c>
      <c r="L25" s="116" t="str">
        <f>IF(K25="","",IFERROR(FACTORES!Y16*(1-F35),0))</f>
        <v/>
      </c>
    </row>
    <row r="26" spans="1:12" s="2" customFormat="1" ht="11.5">
      <c r="A26" s="74">
        <f t="shared" si="0"/>
        <v>0</v>
      </c>
      <c r="B26" s="299" t="str">
        <f>IF(OR(COTIZACION!$E28="",COTIZACION!$C28="",COTIZACION!$F28="",COTIZACION!$D28=""),"",COTIZACION!C28)</f>
        <v/>
      </c>
      <c r="C26" s="299" t="e">
        <f>IF(OR(COTIZACION!$E28="",COTIZACION!#REF!="",COTIZACION!$C28="",COTIZACION!$F28="",COTIZACION!#REF!="",COTIZACION!#REF!=""),"",COTIZACION!A28)</f>
        <v>#REF!</v>
      </c>
      <c r="D26" s="299" t="e">
        <f>IF(OR(COTIZACION!$E28="",COTIZACION!#REF!="",COTIZACION!$C28="",COTIZACION!$F28="",COTIZACION!#REF!="",COTIZACION!#REF!=""),"",COTIZACION!B28)</f>
        <v>#REF!</v>
      </c>
      <c r="E26" s="299" t="e">
        <f>IF(OR(COTIZACION!$E28="",COTIZACION!#REF!="",COTIZACION!$C28="",COTIZACION!$F28="",COTIZACION!#REF!="",COTIZACION!#REF!=""),"",COTIZACION!C28)</f>
        <v>#REF!</v>
      </c>
      <c r="F26" s="299" t="e">
        <f>IF(OR(COTIZACION!$E28="",COTIZACION!#REF!="",COTIZACION!$C28="",COTIZACION!$F28="",COTIZACION!#REF!="",COTIZACION!#REF!=""),"",COTIZACION!#REF!)</f>
        <v>#REF!</v>
      </c>
      <c r="G26" s="241" t="str">
        <f>IF(B26="","",COTIZACION!F28)</f>
        <v/>
      </c>
      <c r="H26" s="77" t="str">
        <f>IF(B26="","",COTIZACION!D28)</f>
        <v/>
      </c>
      <c r="I26" s="77" t="str">
        <f>IF(OR(COTIZACION!$E28="",COTIZACION!$C28="",COTIZACION!$F28=""),"",COTIZACION!E28)</f>
        <v/>
      </c>
      <c r="J26" s="77" t="str">
        <f>IF(I26="","",COTIZACION!B28)</f>
        <v/>
      </c>
      <c r="K26" s="77" t="str">
        <f>IF(J26="","",VLOOKUP(COTIZACION!F28,FACTORES!$AO$2:$AP$299,2,0))</f>
        <v/>
      </c>
      <c r="L26" s="104" t="str">
        <f>IF(K26="","",IFERROR(FACTORES!Z16*(1-F35),0))</f>
        <v/>
      </c>
    </row>
    <row r="27" spans="1:12" s="2" customFormat="1" ht="11.5">
      <c r="A27" s="74">
        <f t="shared" si="0"/>
        <v>0</v>
      </c>
      <c r="B27" s="300" t="str">
        <f>IF(OR(COTIZACION!$E29="",COTIZACION!$C29="",COTIZACION!$F29="",COTIZACION!$D29=""),"",COTIZACION!C29)</f>
        <v/>
      </c>
      <c r="C27" s="300" t="e">
        <f>IF(OR(COTIZACION!$E29="",COTIZACION!#REF!="",COTIZACION!$C29="",COTIZACION!$F29="",COTIZACION!#REF!="",COTIZACION!#REF!=""),"",COTIZACION!A29)</f>
        <v>#REF!</v>
      </c>
      <c r="D27" s="300" t="e">
        <f>IF(OR(COTIZACION!$E29="",COTIZACION!#REF!="",COTIZACION!$C29="",COTIZACION!$F29="",COTIZACION!#REF!="",COTIZACION!#REF!=""),"",COTIZACION!B29)</f>
        <v>#REF!</v>
      </c>
      <c r="E27" s="300" t="e">
        <f>IF(OR(COTIZACION!$E29="",COTIZACION!#REF!="",COTIZACION!$C29="",COTIZACION!$F29="",COTIZACION!#REF!="",COTIZACION!#REF!=""),"",COTIZACION!C29)</f>
        <v>#REF!</v>
      </c>
      <c r="F27" s="300" t="e">
        <f>IF(OR(COTIZACION!$E29="",COTIZACION!#REF!="",COTIZACION!$C29="",COTIZACION!$F29="",COTIZACION!#REF!="",COTIZACION!#REF!=""),"",COTIZACION!#REF!)</f>
        <v>#REF!</v>
      </c>
      <c r="G27" s="249" t="str">
        <f>IF(B27="","",COTIZACION!F29)</f>
        <v/>
      </c>
      <c r="H27" s="114" t="str">
        <f>IF(B27="","",COTIZACION!D29)</f>
        <v/>
      </c>
      <c r="I27" s="114" t="str">
        <f>IF(OR(COTIZACION!$E29="",COTIZACION!$C29="",COTIZACION!$F29=""),"",COTIZACION!E29)</f>
        <v/>
      </c>
      <c r="J27" s="114" t="str">
        <f>IF(I27="","",COTIZACION!B29)</f>
        <v/>
      </c>
      <c r="K27" s="114" t="str">
        <f>IF(J27="","",VLOOKUP(COTIZACION!F29,FACTORES!$AO$2:$AP$299,2,0))</f>
        <v/>
      </c>
      <c r="L27" s="116" t="str">
        <f>IF(K27="","",IFERROR(FACTORES!AA16*(1-F35),0))</f>
        <v/>
      </c>
    </row>
    <row r="28" spans="1:12" s="2" customFormat="1" ht="11.5">
      <c r="A28" s="74">
        <f t="shared" si="0"/>
        <v>0</v>
      </c>
      <c r="B28" s="299" t="str">
        <f>IF(OR(COTIZACION!$E30="",COTIZACION!$C30="",COTIZACION!$F30="",COTIZACION!$D30=""),"",COTIZACION!C30)</f>
        <v/>
      </c>
      <c r="C28" s="299" t="e">
        <f>IF(OR(COTIZACION!$E30="",COTIZACION!#REF!="",COTIZACION!$C30="",COTIZACION!$F30="",COTIZACION!#REF!="",COTIZACION!#REF!=""),"",COTIZACION!A30)</f>
        <v>#REF!</v>
      </c>
      <c r="D28" s="299" t="e">
        <f>IF(OR(COTIZACION!$E30="",COTIZACION!#REF!="",COTIZACION!$C30="",COTIZACION!$F30="",COTIZACION!#REF!="",COTIZACION!#REF!=""),"",COTIZACION!B30)</f>
        <v>#REF!</v>
      </c>
      <c r="E28" s="299" t="e">
        <f>IF(OR(COTIZACION!$E30="",COTIZACION!#REF!="",COTIZACION!$C30="",COTIZACION!$F30="",COTIZACION!#REF!="",COTIZACION!#REF!=""),"",COTIZACION!C30)</f>
        <v>#REF!</v>
      </c>
      <c r="F28" s="299" t="e">
        <f>IF(OR(COTIZACION!$E30="",COTIZACION!#REF!="",COTIZACION!$C30="",COTIZACION!$F30="",COTIZACION!#REF!="",COTIZACION!#REF!=""),"",COTIZACION!#REF!)</f>
        <v>#REF!</v>
      </c>
      <c r="G28" s="241" t="str">
        <f>IF(B28="","",COTIZACION!F30)</f>
        <v/>
      </c>
      <c r="H28" s="77" t="str">
        <f>IF(B28="","",COTIZACION!D30)</f>
        <v/>
      </c>
      <c r="I28" s="77" t="str">
        <f>IF(OR(COTIZACION!$E30="",COTIZACION!$C30="",COTIZACION!$F30=""),"",COTIZACION!E30)</f>
        <v/>
      </c>
      <c r="J28" s="77" t="str">
        <f>IF(I28="","",COTIZACION!B30)</f>
        <v/>
      </c>
      <c r="K28" s="77" t="str">
        <f>IF(J28="","",VLOOKUP(COTIZACION!F30,FACTORES!$AO$2:$AP$299,2,0))</f>
        <v/>
      </c>
      <c r="L28" s="104" t="str">
        <f>IF(K28="","",IFERROR(FACTORES!AB16*(1-F35),0))</f>
        <v/>
      </c>
    </row>
    <row r="29" spans="1:12" s="2" customFormat="1" ht="11.5">
      <c r="A29" s="74">
        <f t="shared" si="0"/>
        <v>0</v>
      </c>
      <c r="B29" s="301" t="str">
        <f>IF(OR(COTIZACION!$E31="",COTIZACION!$C31="",COTIZACION!$F31="",COTIZACION!$D31=""),"",COTIZACION!C31)</f>
        <v/>
      </c>
      <c r="C29" s="301" t="e">
        <f>IF(OR(COTIZACION!$E31="",COTIZACION!#REF!="",COTIZACION!$C31="",COTIZACION!$F31="",COTIZACION!#REF!="",COTIZACION!#REF!=""),"",COTIZACION!A31)</f>
        <v>#REF!</v>
      </c>
      <c r="D29" s="301" t="e">
        <f>IF(OR(COTIZACION!$E31="",COTIZACION!#REF!="",COTIZACION!$C31="",COTIZACION!$F31="",COTIZACION!#REF!="",COTIZACION!#REF!=""),"",COTIZACION!B31)</f>
        <v>#REF!</v>
      </c>
      <c r="E29" s="301" t="e">
        <f>IF(OR(COTIZACION!$E31="",COTIZACION!#REF!="",COTIZACION!$C31="",COTIZACION!$F31="",COTIZACION!#REF!="",COTIZACION!#REF!=""),"",COTIZACION!C31)</f>
        <v>#REF!</v>
      </c>
      <c r="F29" s="301" t="e">
        <f>IF(OR(COTIZACION!$E31="",COTIZACION!#REF!="",COTIZACION!$C31="",COTIZACION!$F31="",COTIZACION!#REF!="",COTIZACION!#REF!=""),"",COTIZACION!#REF!)</f>
        <v>#REF!</v>
      </c>
      <c r="G29" s="248" t="str">
        <f>IF(B29="","",COTIZACION!F31)</f>
        <v/>
      </c>
      <c r="H29" s="117" t="str">
        <f>IF(B29="","",COTIZACION!D31)</f>
        <v/>
      </c>
      <c r="I29" s="117" t="str">
        <f>IF(OR(COTIZACION!$E31="",COTIZACION!$C31="",COTIZACION!$F31=""),"",COTIZACION!E31)</f>
        <v/>
      </c>
      <c r="J29" s="117" t="str">
        <f>IF(I29="","",COTIZACION!B31)</f>
        <v/>
      </c>
      <c r="K29" s="117" t="str">
        <f>IF(J29="","",VLOOKUP(COTIZACION!F31,FACTORES!$AO$2:$AP$299,2,0))</f>
        <v/>
      </c>
      <c r="L29" s="118" t="str">
        <f>IF(K29="","",IFERROR(FACTORES!AC16*(1-F35),0))</f>
        <v/>
      </c>
    </row>
    <row r="30" spans="1:12" s="2" customFormat="1" ht="11.5">
      <c r="B30" s="1"/>
      <c r="C30" s="1"/>
      <c r="D30" s="1"/>
      <c r="E30" s="1"/>
      <c r="F30" s="1"/>
      <c r="G30" s="1"/>
      <c r="J30" s="12" t="str">
        <f>+IF(COTIZACION!$D$7="ANUAL","Prima Total Anual","Prima Total")</f>
        <v>Prima Total Anual</v>
      </c>
      <c r="K30" s="13"/>
      <c r="L30" s="14">
        <f>IF(OR(COTIZACION!C49="",COTIZACION!D49=""),0,SUM(L22:L29))</f>
        <v>0</v>
      </c>
    </row>
    <row r="31" spans="1:12" s="2" customFormat="1" ht="11.5">
      <c r="B31" s="1"/>
      <c r="C31" s="1"/>
      <c r="D31" s="1"/>
      <c r="E31" s="1"/>
      <c r="F31" s="1"/>
      <c r="G31" s="9"/>
      <c r="J31" s="15" t="s">
        <v>9</v>
      </c>
      <c r="K31" s="15"/>
      <c r="L31" s="16">
        <f>IF(L30=0,0,FACTORES!O17)</f>
        <v>0</v>
      </c>
    </row>
    <row r="32" spans="1:12" s="2" customFormat="1" ht="11.5">
      <c r="B32" s="1"/>
      <c r="C32" s="1"/>
      <c r="D32" s="1"/>
      <c r="E32" s="1"/>
      <c r="F32" s="1"/>
      <c r="G32" s="9"/>
      <c r="J32" s="15" t="s">
        <v>10</v>
      </c>
      <c r="K32" s="15"/>
      <c r="L32" s="14">
        <f>+L31+L30</f>
        <v>0</v>
      </c>
    </row>
    <row r="33" spans="1:12" s="2" customFormat="1" ht="15.75" customHeight="1">
      <c r="B33" s="1"/>
      <c r="E33" s="289" t="s">
        <v>711</v>
      </c>
      <c r="F33" s="290"/>
      <c r="G33" s="9"/>
      <c r="J33" s="15" t="s">
        <v>11</v>
      </c>
      <c r="K33" s="15"/>
      <c r="L33" s="16">
        <f>+L32*0.16</f>
        <v>0</v>
      </c>
    </row>
    <row r="34" spans="1:12" ht="12.75" customHeight="1">
      <c r="A34" s="2"/>
      <c r="E34" s="89" t="s">
        <v>711</v>
      </c>
      <c r="F34" s="253">
        <f>0.25-F35</f>
        <v>0.25</v>
      </c>
      <c r="G34" s="9"/>
      <c r="J34" s="119" t="str">
        <f>+IF(COTIZACION!$D$7="ANUAL","Prima Total Anual","Prima Total")</f>
        <v>Prima Total Anual</v>
      </c>
      <c r="K34" s="119"/>
      <c r="L34" s="120">
        <f>L32+L33</f>
        <v>0</v>
      </c>
    </row>
    <row r="35" spans="1:12" ht="12.75" customHeight="1">
      <c r="A35" s="2"/>
      <c r="E35" s="89" t="s">
        <v>712</v>
      </c>
      <c r="F35" s="253">
        <f>COTIZACION!E44</f>
        <v>0</v>
      </c>
      <c r="G35" s="9"/>
    </row>
    <row r="36" spans="1:12" ht="12.75" customHeight="1">
      <c r="A36" s="2"/>
      <c r="G36" s="9"/>
    </row>
    <row r="37" spans="1:12" ht="15.5">
      <c r="B37" s="297" t="s">
        <v>33</v>
      </c>
      <c r="C37" s="298"/>
      <c r="D37" s="293" t="str">
        <f>IF(COTIZACION!C49="","",CONCATENATE(COTIZACION!C49," ",COTIZACION!D49))</f>
        <v/>
      </c>
      <c r="E37" s="294"/>
      <c r="F37" s="295"/>
    </row>
    <row r="38" spans="1:12" ht="16.5" customHeight="1">
      <c r="B38" s="122"/>
      <c r="C38" s="122"/>
      <c r="D38" s="123"/>
      <c r="E38" s="123"/>
      <c r="F38" s="123"/>
    </row>
    <row r="39" spans="1:12" ht="23">
      <c r="B39" s="291" t="s">
        <v>36</v>
      </c>
      <c r="C39" s="292"/>
      <c r="D39" s="112" t="s">
        <v>37</v>
      </c>
      <c r="E39" s="112" t="s">
        <v>38</v>
      </c>
      <c r="F39" s="112" t="s">
        <v>39</v>
      </c>
      <c r="G39" s="9"/>
    </row>
    <row r="40" spans="1:12" ht="13" customHeight="1">
      <c r="B40" s="91" t="str">
        <f>+COTIZACION!B36</f>
        <v>ANUAL</v>
      </c>
      <c r="C40" s="90"/>
      <c r="D40" s="226">
        <f>+'IMPRESION AGENTE'!L34</f>
        <v>0</v>
      </c>
      <c r="E40" s="227">
        <v>0</v>
      </c>
      <c r="F40" s="226">
        <f>+E40+D40</f>
        <v>0</v>
      </c>
      <c r="G40" s="9"/>
    </row>
    <row r="41" spans="1:12" ht="13" customHeight="1">
      <c r="B41" s="91" t="str">
        <f>"SEMESTRAL    (Recargo "&amp;COTIZACION!C43*100&amp;"%)"</f>
        <v>SEMESTRAL    (Recargo 4.73%)</v>
      </c>
      <c r="C41" s="90"/>
      <c r="D41" s="227">
        <f>IF(OR(F40&lt;1000,COTIZACION!$D$7="CORTO PLAZO"),0,('IMPRESION AGENTE'!L30/2*(1+COTIZACION!C43)+'IMPRESION AGENTE'!L31)*(1.16))</f>
        <v>0</v>
      </c>
      <c r="E41" s="227">
        <f>IF(OR(F40&lt;1000,COTIZACION!$D$7="CORTO PLAZO"),0,('IMPRESION AGENTE'!L30/2*(1+COTIZACION!C43))*(1.16))</f>
        <v>0</v>
      </c>
      <c r="F41" s="226">
        <f>+E41+D41</f>
        <v>0</v>
      </c>
      <c r="G41" s="9"/>
    </row>
    <row r="42" spans="1:12" ht="13" customHeight="1">
      <c r="B42" s="91" t="str">
        <f>"TRIMESTRAL  (Recargo "&amp;COTIZACION!C44*100&amp;"%)"</f>
        <v>TRIMESTRAL  (Recargo 6.99%)</v>
      </c>
      <c r="C42" s="92"/>
      <c r="D42" s="227">
        <f>IF(OR(F40&lt;1000,COTIZACION!$D$7="CORTO PLAZO"),0,('IMPRESION AGENTE'!L30/4*(1+COTIZACION!C44)+'IMPRESION AGENTE'!L31)*(1.16))</f>
        <v>0</v>
      </c>
      <c r="E42" s="227">
        <f>IF(OR(F40&lt;1000,COTIZACION!$D$7="CORTO PLAZO"),0,('IMPRESION AGENTE'!L30/4*(1+COTIZACION!C44))*(1.16))</f>
        <v>0</v>
      </c>
      <c r="F42" s="226">
        <f>+E42*3+D42</f>
        <v>0</v>
      </c>
    </row>
    <row r="43" spans="1:12" ht="13" customHeight="1">
      <c r="B43" s="91" t="str">
        <f>"MENSUAL        (Recargo "&amp;COTIZACION!C45*100&amp;"%)"</f>
        <v>MENSUAL        (Recargo 9.99%)</v>
      </c>
      <c r="C43" s="92"/>
      <c r="D43" s="227">
        <f>IF(OR(F40&lt;1000,COTIZACION!$D$7="CORTO PLAZO"),0,('IMPRESION AGENTE'!L30/12*(1+COTIZACION!C45)+'IMPRESION AGENTE'!L31)*(1.16))</f>
        <v>0</v>
      </c>
      <c r="E43" s="227">
        <f>IF(OR(F40&lt;1000,COTIZACION!$D$7="CORTO PLAZO"),0,('IMPRESION AGENTE'!L30/12*(1+COTIZACION!C45))*(1.16))</f>
        <v>0</v>
      </c>
      <c r="F43" s="226">
        <f>+E43*11+D43</f>
        <v>0</v>
      </c>
    </row>
    <row r="44" spans="1:12" ht="12.75" customHeight="1">
      <c r="B44" s="245"/>
      <c r="C44" s="246"/>
      <c r="D44" s="42"/>
      <c r="E44" s="42"/>
      <c r="F44" s="247"/>
    </row>
    <row r="45" spans="1:12"/>
    <row r="46" spans="1:12" ht="12.75" customHeight="1">
      <c r="B46" s="280" t="s">
        <v>16</v>
      </c>
      <c r="C46" s="280"/>
      <c r="D46" s="280"/>
      <c r="E46" s="280"/>
      <c r="F46" s="280"/>
      <c r="G46" s="280"/>
      <c r="H46" s="280"/>
      <c r="I46" s="280"/>
      <c r="J46" s="280"/>
      <c r="K46" s="257"/>
      <c r="L46" s="257"/>
    </row>
    <row r="47" spans="1:12" ht="12.75" customHeight="1">
      <c r="B47" s="258" t="s">
        <v>27</v>
      </c>
      <c r="C47" s="256"/>
      <c r="D47" s="256"/>
      <c r="E47" s="256"/>
      <c r="F47" s="256"/>
      <c r="G47" s="256"/>
      <c r="H47" s="256"/>
      <c r="I47" s="256"/>
      <c r="J47" s="256"/>
      <c r="K47" s="257"/>
      <c r="L47" s="257"/>
    </row>
    <row r="48" spans="1:12" ht="12.75" customHeight="1">
      <c r="B48" s="258" t="s">
        <v>28</v>
      </c>
      <c r="C48" s="256"/>
      <c r="D48" s="256"/>
      <c r="E48" s="256"/>
      <c r="F48" s="256"/>
      <c r="G48" s="256"/>
      <c r="H48" s="256"/>
      <c r="I48" s="256"/>
      <c r="J48" s="256"/>
      <c r="K48" s="257"/>
      <c r="L48" s="257"/>
    </row>
    <row r="49" spans="1:12" ht="3.75" customHeight="1">
      <c r="B49" s="258"/>
      <c r="C49" s="256"/>
      <c r="D49" s="256"/>
      <c r="E49" s="256"/>
      <c r="F49" s="256"/>
      <c r="G49" s="256"/>
      <c r="H49" s="256"/>
      <c r="I49" s="256"/>
      <c r="J49" s="256"/>
      <c r="K49" s="257"/>
      <c r="L49" s="257"/>
    </row>
    <row r="50" spans="1:12" ht="10.5" customHeight="1">
      <c r="B50" s="280" t="s">
        <v>726</v>
      </c>
      <c r="C50" s="280"/>
      <c r="D50" s="280"/>
      <c r="E50" s="280"/>
      <c r="F50" s="280"/>
      <c r="G50" s="280"/>
      <c r="H50" s="280"/>
      <c r="I50" s="280"/>
      <c r="J50" s="280"/>
      <c r="K50" s="257"/>
      <c r="L50" s="257"/>
    </row>
    <row r="51" spans="1:12" ht="4.5" customHeight="1">
      <c r="B51" s="82"/>
      <c r="C51" s="82"/>
      <c r="D51" s="82"/>
      <c r="E51" s="82"/>
      <c r="F51" s="82"/>
      <c r="G51" s="82"/>
      <c r="H51" s="82"/>
      <c r="I51" s="82"/>
      <c r="J51" s="82"/>
      <c r="K51" s="257"/>
      <c r="L51" s="257"/>
    </row>
    <row r="52" spans="1:12" ht="10.5" customHeight="1">
      <c r="B52" s="280" t="s">
        <v>716</v>
      </c>
      <c r="C52" s="280"/>
      <c r="D52" s="280"/>
      <c r="E52" s="280"/>
      <c r="F52" s="280"/>
      <c r="G52" s="280"/>
      <c r="H52" s="280"/>
      <c r="I52" s="280"/>
      <c r="J52" s="280"/>
      <c r="K52" s="280"/>
      <c r="L52" s="280"/>
    </row>
    <row r="53" spans="1:12" ht="17.25" customHeight="1">
      <c r="A53" s="85"/>
      <c r="B53" s="280" t="s">
        <v>727</v>
      </c>
      <c r="C53" s="280"/>
      <c r="D53" s="280"/>
      <c r="E53" s="280"/>
      <c r="F53" s="280"/>
      <c r="G53" s="280"/>
      <c r="H53" s="82"/>
      <c r="I53" s="82"/>
      <c r="J53" s="82"/>
      <c r="K53" s="82"/>
      <c r="L53" s="82"/>
    </row>
    <row r="54" spans="1:12" ht="17.25" customHeight="1">
      <c r="A54" s="85">
        <f>SUM(A22:A29)</f>
        <v>0</v>
      </c>
      <c r="B54" s="280" t="s">
        <v>717</v>
      </c>
      <c r="C54" s="280"/>
      <c r="D54" s="280"/>
      <c r="E54" s="280"/>
      <c r="F54" s="280"/>
      <c r="G54" s="280"/>
      <c r="H54" s="82"/>
      <c r="I54" s="82"/>
      <c r="J54" s="82"/>
      <c r="K54" s="82"/>
      <c r="L54" s="82"/>
    </row>
    <row r="55" spans="1:12" ht="17.25" customHeight="1">
      <c r="A55" s="85"/>
      <c r="B55" s="280" t="s">
        <v>718</v>
      </c>
      <c r="C55" s="280"/>
      <c r="D55" s="280"/>
      <c r="E55" s="280"/>
      <c r="F55" s="280"/>
      <c r="G55" s="280"/>
      <c r="H55" s="82"/>
      <c r="I55" s="82"/>
      <c r="J55" s="82"/>
      <c r="K55" s="82"/>
      <c r="L55" s="82"/>
    </row>
    <row r="56" spans="1:12" ht="15.75" customHeight="1">
      <c r="B56" s="259" t="s">
        <v>730</v>
      </c>
      <c r="C56" s="82"/>
      <c r="D56" s="82"/>
      <c r="E56" s="82"/>
      <c r="F56" s="82"/>
      <c r="G56" s="82"/>
      <c r="H56" s="82"/>
      <c r="I56" s="82"/>
      <c r="J56" s="82"/>
      <c r="K56" s="257"/>
      <c r="L56" s="257"/>
    </row>
    <row r="57" spans="1:12" ht="14.25" customHeight="1">
      <c r="B57" s="2"/>
      <c r="C57" s="2"/>
      <c r="D57" s="2"/>
      <c r="E57" s="2"/>
    </row>
    <row r="58" spans="1:12" ht="15.75" customHeight="1">
      <c r="B58" s="2"/>
      <c r="C58" s="2" t="str">
        <f>"F. Ajuste:"&amp;" "&amp;(1-F35)</f>
        <v>F. Ajuste: 1</v>
      </c>
      <c r="D58" s="2"/>
      <c r="E58" s="2"/>
    </row>
    <row r="59" spans="1:12">
      <c r="B59" s="2"/>
      <c r="C59" s="2"/>
      <c r="D59" s="2"/>
      <c r="E59" s="2"/>
    </row>
    <row r="60" spans="1:12" hidden="1">
      <c r="B60" s="2"/>
      <c r="C60" s="2"/>
      <c r="D60" s="2"/>
      <c r="E60" s="2"/>
    </row>
    <row r="61" spans="1:12" hidden="1">
      <c r="C61" s="19"/>
      <c r="D61" s="19"/>
      <c r="E61" s="19"/>
    </row>
    <row r="159" ht="12" hidden="1" customHeight="1"/>
    <row r="165" spans="1:4" s="9" customFormat="1" ht="10.5" hidden="1" thickTop="1">
      <c r="A165" s="63"/>
      <c r="B165" s="123"/>
      <c r="C165" s="123"/>
      <c r="D165" s="123"/>
    </row>
    <row r="166" spans="1:4" s="9" customFormat="1" hidden="1">
      <c r="A166" s="64"/>
      <c r="B166" s="123"/>
      <c r="C166" s="123"/>
      <c r="D166" s="123"/>
    </row>
    <row r="167" spans="1:4" s="9" customFormat="1" hidden="1">
      <c r="A167" s="64"/>
      <c r="B167" s="123"/>
      <c r="C167" s="123"/>
      <c r="D167" s="123"/>
    </row>
    <row r="168" spans="1:4" s="9" customFormat="1" hidden="1">
      <c r="A168" s="64"/>
      <c r="B168" s="123"/>
      <c r="C168" s="123"/>
      <c r="D168" s="123"/>
    </row>
    <row r="169" spans="1:4" s="9" customFormat="1" hidden="1">
      <c r="A169" s="64"/>
      <c r="B169" s="123"/>
      <c r="C169" s="123"/>
      <c r="D169" s="123"/>
    </row>
    <row r="170" spans="1:4" s="9" customFormat="1" hidden="1">
      <c r="A170" s="64"/>
      <c r="B170" s="123"/>
      <c r="C170" s="123"/>
      <c r="D170" s="123"/>
    </row>
    <row r="171" spans="1:4" s="9" customFormat="1" hidden="1">
      <c r="A171" s="64"/>
      <c r="B171" s="123"/>
      <c r="C171" s="123"/>
      <c r="D171" s="123"/>
    </row>
    <row r="172" spans="1:4" s="9" customFormat="1" ht="10.5" hidden="1" thickBot="1">
      <c r="A172" s="65"/>
      <c r="B172" s="123"/>
      <c r="C172" s="123"/>
      <c r="D172" s="123"/>
    </row>
    <row r="173" spans="1:4" s="9" customFormat="1" hidden="1">
      <c r="A173" s="66"/>
    </row>
    <row r="174" spans="1:4" s="9" customFormat="1" hidden="1">
      <c r="A174" s="67" t="s">
        <v>15</v>
      </c>
    </row>
    <row r="175" spans="1:4" s="9" customFormat="1" hidden="1">
      <c r="A175" s="67" t="e">
        <f>IF(#REF!="ANUAL",1,IF(#REF!="SEMESTRAL",2,IF(#REF!="TRIMESTRAL",4,IF(#REF!="MENSUAL",12,1))))</f>
        <v>#REF!</v>
      </c>
    </row>
    <row r="176" spans="1:4" s="9" customFormat="1" hidden="1">
      <c r="A176" s="66"/>
    </row>
    <row r="177" spans="1:1" s="9" customFormat="1" hidden="1">
      <c r="A177" s="66" t="s">
        <v>1</v>
      </c>
    </row>
    <row r="178" spans="1:1" s="9" customFormat="1" hidden="1">
      <c r="A178" s="68">
        <v>0.1</v>
      </c>
    </row>
    <row r="179" spans="1:1" s="9" customFormat="1" hidden="1">
      <c r="A179" s="68">
        <v>0.15</v>
      </c>
    </row>
    <row r="180" spans="1:1" s="9" customFormat="1" hidden="1">
      <c r="A180" s="66"/>
    </row>
    <row r="181" spans="1:1" s="9" customFormat="1" hidden="1">
      <c r="A181" s="66"/>
    </row>
    <row r="182" spans="1:1" s="9" customFormat="1" hidden="1">
      <c r="A182" s="66"/>
    </row>
    <row r="183" spans="1:1" s="9" customFormat="1" hidden="1">
      <c r="A183" s="66"/>
    </row>
    <row r="184" spans="1:1" s="9" customFormat="1" hidden="1">
      <c r="A184" s="66"/>
    </row>
    <row r="185" spans="1:1" s="9" customFormat="1" hidden="1">
      <c r="A185" s="66"/>
    </row>
    <row r="186" spans="1:1" s="9" customFormat="1" hidden="1">
      <c r="A186" s="66"/>
    </row>
    <row r="187" spans="1:1" s="9" customFormat="1" hidden="1">
      <c r="A187" s="66"/>
    </row>
    <row r="188" spans="1:1" s="9" customFormat="1" hidden="1">
      <c r="A188" s="66"/>
    </row>
    <row r="189" spans="1:1" s="9" customFormat="1" hidden="1">
      <c r="A189" s="66"/>
    </row>
    <row r="190" spans="1:1" s="9" customFormat="1" hidden="1">
      <c r="A190" s="66"/>
    </row>
    <row r="191" spans="1:1" s="9" customFormat="1" hidden="1">
      <c r="A191" s="66"/>
    </row>
    <row r="192" spans="1:1" s="9" customFormat="1" hidden="1">
      <c r="A192" s="66"/>
    </row>
    <row r="193" spans="1:1" s="9" customFormat="1" hidden="1">
      <c r="A193" s="66"/>
    </row>
    <row r="194" spans="1:1" s="9" customFormat="1" hidden="1">
      <c r="A194" s="66"/>
    </row>
    <row r="261"/>
    <row r="262"/>
  </sheetData>
  <sheetProtection algorithmName="SHA-512" hashValue="XuYNt5UCHxAw8Pm/CdGtM7OXCUZ9AbmMnz87wzvk/TnjKZfdHsUlzH3HJnMxVh3um2OE6Q9irAufMnncr2jC2Q==" saltValue="m6N0M7sg6rGrJ05rN7cOWQ==" spinCount="100000" sheet="1" objects="1" scenarios="1" selectLockedCells="1"/>
  <mergeCells count="29">
    <mergeCell ref="B26:F26"/>
    <mergeCell ref="B27:F27"/>
    <mergeCell ref="B28:F28"/>
    <mergeCell ref="B54:G54"/>
    <mergeCell ref="J20:J21"/>
    <mergeCell ref="B29:F29"/>
    <mergeCell ref="B22:F22"/>
    <mergeCell ref="B23:F23"/>
    <mergeCell ref="B24:F24"/>
    <mergeCell ref="B25:F25"/>
    <mergeCell ref="H20:H21"/>
    <mergeCell ref="I20:I21"/>
    <mergeCell ref="B53:G53"/>
    <mergeCell ref="B55:G55"/>
    <mergeCell ref="B50:J50"/>
    <mergeCell ref="B52:L52"/>
    <mergeCell ref="K6:L6"/>
    <mergeCell ref="B12:L12"/>
    <mergeCell ref="B18:L18"/>
    <mergeCell ref="L20:L21"/>
    <mergeCell ref="B10:J11"/>
    <mergeCell ref="B46:J46"/>
    <mergeCell ref="K20:K21"/>
    <mergeCell ref="G20:G21"/>
    <mergeCell ref="E33:F33"/>
    <mergeCell ref="B39:C39"/>
    <mergeCell ref="D37:F37"/>
    <mergeCell ref="B20:F21"/>
    <mergeCell ref="B37:C37"/>
  </mergeCells>
  <phoneticPr fontId="0" type="noConversion"/>
  <dataValidations count="1">
    <dataValidation type="decimal" allowBlank="1" showInputMessage="1" showErrorMessage="1" sqref="F35">
      <formula1>0</formula1>
      <formula2>0.25</formula2>
    </dataValidation>
  </dataValidations>
  <printOptions horizontalCentered="1" verticalCentered="1"/>
  <pageMargins left="0.39370078740157483" right="0.39370078740157483" top="0.19685039370078741" bottom="0.35433070866141736" header="0" footer="0.23622047244094491"/>
  <pageSetup paperSize="9" scale="64" orientation="landscape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6">
    <tabColor indexed="9"/>
    <pageSetUpPr fitToPage="1"/>
  </sheetPr>
  <dimension ref="A1:XFB231"/>
  <sheetViews>
    <sheetView showGridLines="0" topLeftCell="A30" zoomScale="80" zoomScaleNormal="80" workbookViewId="0">
      <selection activeCell="D18" sqref="D18"/>
    </sheetView>
  </sheetViews>
  <sheetFormatPr baseColWidth="10" defaultColWidth="0" defaultRowHeight="10" zeroHeight="1"/>
  <cols>
    <col min="1" max="1" width="2" style="85" customWidth="1"/>
    <col min="2" max="2" width="14.81640625" style="1" customWidth="1"/>
    <col min="3" max="3" width="47.26953125" style="1" bestFit="1" customWidth="1"/>
    <col min="4" max="4" width="15.81640625" style="1" customWidth="1"/>
    <col min="5" max="5" width="22.7265625" style="1" customWidth="1"/>
    <col min="6" max="6" width="80.26953125" style="1" bestFit="1" customWidth="1"/>
    <col min="7" max="7" width="2" style="1" customWidth="1"/>
    <col min="8" max="8" width="15" style="1" hidden="1" customWidth="1"/>
    <col min="9" max="9" width="7.26953125" style="1" hidden="1" customWidth="1"/>
    <col min="10" max="10" width="7" style="1" hidden="1" customWidth="1"/>
    <col min="11" max="11" width="12.54296875" style="1" hidden="1" customWidth="1"/>
    <col min="12" max="12" width="11.7265625" style="1" hidden="1" customWidth="1"/>
    <col min="13" max="13" width="13.453125" style="1" hidden="1" customWidth="1"/>
    <col min="14" max="14" width="11.453125" style="1" hidden="1" customWidth="1"/>
    <col min="15" max="15" width="8" style="1" hidden="1" customWidth="1"/>
    <col min="16" max="17" width="11.453125" style="1" hidden="1" customWidth="1"/>
    <col min="18" max="18" width="15.54296875" style="1" hidden="1" customWidth="1"/>
    <col min="19" max="19" width="13.54296875" style="1" hidden="1" customWidth="1"/>
    <col min="20" max="21" width="11.453125" style="1" hidden="1" customWidth="1"/>
    <col min="22" max="16384" width="0" style="1" hidden="1"/>
  </cols>
  <sheetData>
    <row r="1" spans="1:16382" ht="18.75" customHeight="1">
      <c r="F1" s="85"/>
      <c r="G1" s="85"/>
    </row>
    <row r="2" spans="1:16382" ht="16">
      <c r="B2" s="325"/>
      <c r="C2" s="325"/>
      <c r="F2" s="85"/>
      <c r="G2" s="85"/>
    </row>
    <row r="3" spans="1:16382" ht="12.5">
      <c r="B3" s="326"/>
      <c r="C3" s="326"/>
      <c r="F3" s="85"/>
      <c r="G3" s="85"/>
    </row>
    <row r="4" spans="1:16382" s="2" customFormat="1" ht="14.25" customHeight="1">
      <c r="A4" s="85"/>
      <c r="F4" s="85"/>
      <c r="G4" s="74"/>
      <c r="J4" s="17"/>
      <c r="K4" s="17"/>
      <c r="O4" s="17"/>
      <c r="P4" s="17"/>
      <c r="Q4" s="17"/>
      <c r="R4" s="18"/>
    </row>
    <row r="5" spans="1:16382" s="2" customFormat="1" ht="12.75" customHeight="1">
      <c r="A5" s="74"/>
      <c r="B5" s="327" t="s">
        <v>17</v>
      </c>
      <c r="C5" s="327"/>
      <c r="D5" s="327"/>
      <c r="E5" s="324" t="str">
        <f>IF(AND(D7="ANUAL",D8&lt;&gt;0),"Cotización no permitida",IF(OR('IMPRESION AGENTE'!K22="-",'IMPRESION AGENTE'!K23="-",'IMPRESION AGENTE'!K24="-",'IMPRESION AGENTE'!K25="-",'IMPRESION AGENTE'!K26="-",'IMPRESION AGENTE'!K27="-",'IMPRESION AGENTE'!K28="-",'IMPRESION AGENTE'!K29="-"),"Cotización no permitida", ""))</f>
        <v/>
      </c>
      <c r="J5" s="17"/>
      <c r="K5" s="17"/>
      <c r="O5" s="17"/>
      <c r="P5" s="17"/>
      <c r="Q5" s="17"/>
      <c r="R5" s="17"/>
    </row>
    <row r="6" spans="1:16382" s="2" customFormat="1" ht="12.75" customHeight="1">
      <c r="A6" s="74"/>
      <c r="B6" s="327"/>
      <c r="C6" s="327"/>
      <c r="D6" s="327"/>
      <c r="E6" s="324"/>
      <c r="J6" s="17"/>
      <c r="K6" s="17"/>
      <c r="O6" s="17"/>
      <c r="P6" s="17"/>
      <c r="Q6" s="17"/>
      <c r="R6" s="17"/>
    </row>
    <row r="7" spans="1:16382" s="2" customFormat="1" ht="16.5" customHeight="1">
      <c r="A7" s="74"/>
      <c r="B7" s="71" t="s">
        <v>31</v>
      </c>
      <c r="C7" s="105"/>
      <c r="D7" s="271" t="s">
        <v>13</v>
      </c>
      <c r="E7" s="170"/>
      <c r="J7" s="17"/>
      <c r="K7" s="17"/>
      <c r="O7" s="17"/>
      <c r="P7" s="17"/>
      <c r="Q7" s="17"/>
      <c r="R7" s="17"/>
    </row>
    <row r="8" spans="1:16382" s="2" customFormat="1" ht="16.5" customHeight="1">
      <c r="A8" s="74"/>
      <c r="B8" s="71" t="s">
        <v>43</v>
      </c>
      <c r="C8" s="1"/>
      <c r="D8" s="272">
        <v>0</v>
      </c>
      <c r="E8" s="171" t="str">
        <f>IF(D7="CORTO PLAZO","Introduzca la cantidad de días","")</f>
        <v/>
      </c>
      <c r="J8" s="17"/>
      <c r="K8" s="17"/>
      <c r="O8" s="17"/>
      <c r="P8" s="17"/>
      <c r="Q8" s="17"/>
      <c r="R8" s="17"/>
    </row>
    <row r="9" spans="1:16382" ht="16.5" customHeight="1">
      <c r="A9" s="74"/>
      <c r="B9" s="71" t="s">
        <v>24</v>
      </c>
      <c r="C9" s="2"/>
      <c r="D9" s="250">
        <v>0.16</v>
      </c>
      <c r="I9" s="2"/>
      <c r="J9" s="20"/>
      <c r="K9" s="123"/>
      <c r="L9" s="21"/>
      <c r="M9" s="21"/>
      <c r="N9" s="21"/>
      <c r="O9" s="123"/>
      <c r="P9" s="22"/>
      <c r="Q9" s="23"/>
      <c r="R9" s="123"/>
    </row>
    <row r="10" spans="1:16382" ht="13.5" customHeight="1">
      <c r="A10" s="74"/>
      <c r="I10" s="2"/>
      <c r="J10" s="20"/>
      <c r="K10" s="123"/>
      <c r="L10" s="21"/>
      <c r="M10" s="21"/>
      <c r="N10" s="21"/>
      <c r="O10" s="123"/>
      <c r="P10" s="22"/>
      <c r="Q10" s="23"/>
      <c r="R10" s="123"/>
    </row>
    <row r="11" spans="1:16382" ht="13.5" customHeight="1">
      <c r="A11" s="74"/>
      <c r="I11" s="2"/>
      <c r="J11" s="20"/>
      <c r="K11" s="123"/>
      <c r="L11" s="21"/>
      <c r="M11" s="21"/>
      <c r="N11" s="21"/>
      <c r="O11" s="123"/>
      <c r="P11" s="22"/>
      <c r="Q11" s="23"/>
      <c r="R11" s="123"/>
    </row>
    <row r="12" spans="1:16382" ht="13.5" customHeight="1">
      <c r="A12" s="74"/>
      <c r="B12" s="310" t="s">
        <v>74</v>
      </c>
      <c r="C12" s="328" t="s">
        <v>721</v>
      </c>
      <c r="D12" s="328" t="s">
        <v>72</v>
      </c>
      <c r="I12" s="2"/>
      <c r="J12" s="20"/>
      <c r="K12" s="123"/>
      <c r="L12" s="21"/>
      <c r="M12" s="21"/>
      <c r="N12" s="21"/>
      <c r="O12" s="123"/>
      <c r="P12" s="22"/>
      <c r="Q12" s="23"/>
      <c r="R12" s="123"/>
    </row>
    <row r="13" spans="1:16382" ht="13.5" customHeight="1">
      <c r="A13" s="74"/>
      <c r="B13" s="311"/>
      <c r="C13" s="329"/>
      <c r="D13" s="329"/>
      <c r="I13" s="2"/>
      <c r="J13" s="20"/>
      <c r="K13" s="123"/>
      <c r="L13" s="21"/>
      <c r="M13" s="21"/>
      <c r="N13" s="21"/>
      <c r="O13" s="123"/>
      <c r="P13" s="22"/>
      <c r="Q13" s="23"/>
      <c r="R13" s="123"/>
    </row>
    <row r="14" spans="1:16382" ht="13.5" customHeight="1">
      <c r="A14" s="74"/>
      <c r="B14" s="154" t="s">
        <v>52</v>
      </c>
      <c r="C14" s="154" t="s">
        <v>82</v>
      </c>
      <c r="D14" s="273"/>
      <c r="I14" s="2"/>
      <c r="J14" s="20"/>
      <c r="K14" s="123"/>
      <c r="L14" s="21"/>
      <c r="M14" s="21"/>
      <c r="N14" s="21"/>
      <c r="O14" s="123"/>
      <c r="P14" s="22"/>
      <c r="Q14" s="23"/>
      <c r="R14" s="123"/>
    </row>
    <row r="15" spans="1:16382" ht="13.5" customHeight="1">
      <c r="A15" s="74"/>
      <c r="B15" s="2"/>
      <c r="C15" s="2"/>
      <c r="D15" s="2"/>
      <c r="E15" s="170"/>
      <c r="I15" s="2"/>
      <c r="J15" s="20"/>
      <c r="K15" s="123"/>
      <c r="L15" s="21"/>
      <c r="M15" s="21"/>
      <c r="N15" s="21"/>
      <c r="O15" s="123"/>
      <c r="P15" s="22"/>
      <c r="Q15" s="23"/>
      <c r="R15" s="123"/>
    </row>
    <row r="16" spans="1:16382" s="170" customFormat="1" ht="16.5" customHeight="1">
      <c r="A16" s="74"/>
      <c r="B16" s="310" t="s">
        <v>74</v>
      </c>
      <c r="C16" s="328" t="s">
        <v>83</v>
      </c>
      <c r="D16" s="328" t="s">
        <v>72</v>
      </c>
      <c r="E16" s="330" t="s">
        <v>79</v>
      </c>
      <c r="F16" s="237" t="str">
        <f>IF(AND(E5="",F20=1),"Cotización no permitida","")</f>
        <v/>
      </c>
      <c r="G16" s="169"/>
      <c r="H16" s="169"/>
      <c r="I16" s="169"/>
      <c r="J16" s="196"/>
      <c r="K16" s="196"/>
      <c r="L16" s="197"/>
      <c r="M16" s="197"/>
      <c r="N16" s="197"/>
      <c r="O16" s="196"/>
      <c r="P16" s="198"/>
      <c r="Q16" s="196"/>
      <c r="R16" s="196"/>
      <c r="S16" s="169"/>
      <c r="T16" s="169"/>
      <c r="U16" s="169"/>
      <c r="V16" s="169"/>
      <c r="W16" s="169"/>
      <c r="X16" s="169"/>
      <c r="Y16" s="169"/>
      <c r="Z16" s="169"/>
      <c r="AA16" s="169"/>
      <c r="AB16" s="169"/>
      <c r="AC16" s="169"/>
      <c r="AD16" s="169"/>
      <c r="AE16" s="169"/>
      <c r="AF16" s="169"/>
      <c r="AG16" s="169"/>
      <c r="AH16" s="169"/>
      <c r="AI16" s="169"/>
      <c r="AJ16" s="169"/>
      <c r="AK16" s="169"/>
      <c r="AL16" s="169"/>
      <c r="AM16" s="169"/>
      <c r="AN16" s="169"/>
      <c r="AO16" s="169"/>
      <c r="AP16" s="169"/>
      <c r="AQ16" s="169"/>
      <c r="AR16" s="169"/>
      <c r="AS16" s="169"/>
      <c r="AT16" s="169"/>
      <c r="AU16" s="169"/>
      <c r="AV16" s="169"/>
      <c r="AW16" s="169"/>
      <c r="AX16" s="169"/>
      <c r="AY16" s="169"/>
      <c r="AZ16" s="169"/>
      <c r="BA16" s="169"/>
      <c r="BB16" s="169"/>
      <c r="BC16" s="169"/>
      <c r="BD16" s="169"/>
      <c r="BE16" s="169"/>
      <c r="BF16" s="169"/>
      <c r="BG16" s="169"/>
      <c r="BH16" s="169"/>
      <c r="BI16" s="169"/>
      <c r="BJ16" s="169"/>
      <c r="BK16" s="169"/>
      <c r="BL16" s="169"/>
      <c r="BM16" s="169"/>
      <c r="BN16" s="169"/>
      <c r="BO16" s="169"/>
      <c r="BP16" s="169"/>
      <c r="BQ16" s="169"/>
      <c r="BR16" s="169"/>
      <c r="BS16" s="169"/>
      <c r="BT16" s="169"/>
      <c r="BU16" s="169"/>
      <c r="BV16" s="169"/>
      <c r="BW16" s="169"/>
      <c r="BX16" s="169"/>
      <c r="BY16" s="169"/>
      <c r="BZ16" s="169"/>
      <c r="CA16" s="169"/>
      <c r="CB16" s="169"/>
      <c r="CC16" s="169"/>
      <c r="CD16" s="169"/>
      <c r="CE16" s="169"/>
      <c r="CF16" s="169"/>
      <c r="CG16" s="169"/>
      <c r="CH16" s="169"/>
      <c r="CI16" s="169"/>
      <c r="CJ16" s="169"/>
      <c r="CK16" s="169"/>
      <c r="CL16" s="169"/>
      <c r="CM16" s="169"/>
      <c r="CN16" s="169"/>
      <c r="CO16" s="169"/>
      <c r="CP16" s="169"/>
      <c r="CQ16" s="169"/>
      <c r="CR16" s="169"/>
      <c r="CS16" s="169"/>
      <c r="CT16" s="169"/>
      <c r="CU16" s="169"/>
      <c r="CV16" s="169"/>
      <c r="CW16" s="169"/>
      <c r="CX16" s="169"/>
      <c r="CY16" s="169"/>
      <c r="CZ16" s="169"/>
      <c r="DA16" s="169"/>
      <c r="DB16" s="169"/>
      <c r="DC16" s="169"/>
      <c r="DD16" s="169"/>
      <c r="DE16" s="169"/>
      <c r="DF16" s="169"/>
      <c r="DG16" s="169"/>
      <c r="DH16" s="169"/>
      <c r="DI16" s="169"/>
      <c r="DJ16" s="169"/>
      <c r="DK16" s="169"/>
      <c r="DL16" s="169"/>
      <c r="DM16" s="169"/>
      <c r="DN16" s="169"/>
      <c r="DO16" s="169"/>
      <c r="DP16" s="169"/>
      <c r="DQ16" s="169"/>
      <c r="DR16" s="169"/>
      <c r="DS16" s="169"/>
      <c r="DT16" s="169"/>
      <c r="DU16" s="169"/>
      <c r="DV16" s="169"/>
      <c r="DW16" s="169"/>
      <c r="DX16" s="169"/>
      <c r="DY16" s="169"/>
      <c r="DZ16" s="169"/>
      <c r="EA16" s="169"/>
      <c r="EB16" s="169"/>
      <c r="EC16" s="169"/>
      <c r="ED16" s="169"/>
      <c r="EE16" s="169"/>
      <c r="EF16" s="169"/>
      <c r="EG16" s="169"/>
      <c r="EH16" s="169"/>
      <c r="EI16" s="169"/>
      <c r="EJ16" s="169"/>
      <c r="EK16" s="169"/>
      <c r="EL16" s="169"/>
      <c r="EM16" s="169"/>
      <c r="EN16" s="169"/>
      <c r="EO16" s="169"/>
      <c r="EP16" s="169"/>
      <c r="EQ16" s="169"/>
      <c r="ER16" s="169"/>
      <c r="ES16" s="169"/>
      <c r="ET16" s="169"/>
      <c r="EU16" s="169"/>
      <c r="EV16" s="169"/>
      <c r="EW16" s="169"/>
      <c r="EX16" s="169"/>
      <c r="EY16" s="169"/>
      <c r="EZ16" s="169"/>
      <c r="FA16" s="169"/>
      <c r="FB16" s="169"/>
      <c r="FC16" s="169"/>
      <c r="FD16" s="169"/>
      <c r="FE16" s="169"/>
      <c r="FF16" s="169"/>
      <c r="FG16" s="169"/>
      <c r="FH16" s="169"/>
      <c r="FI16" s="169"/>
      <c r="FJ16" s="169"/>
      <c r="FK16" s="169"/>
      <c r="FL16" s="169"/>
      <c r="FM16" s="169"/>
      <c r="FN16" s="169"/>
      <c r="FO16" s="169"/>
      <c r="FP16" s="169"/>
      <c r="FQ16" s="169"/>
      <c r="FR16" s="169"/>
      <c r="FS16" s="169"/>
      <c r="FT16" s="169"/>
      <c r="FU16" s="169"/>
      <c r="FV16" s="169"/>
      <c r="FW16" s="169"/>
      <c r="FX16" s="169"/>
      <c r="FY16" s="169"/>
      <c r="FZ16" s="169"/>
      <c r="GA16" s="169"/>
      <c r="GB16" s="169"/>
      <c r="GC16" s="169"/>
      <c r="GD16" s="169"/>
      <c r="GE16" s="169"/>
      <c r="GF16" s="169"/>
      <c r="GG16" s="169"/>
      <c r="GH16" s="169"/>
      <c r="GI16" s="169"/>
      <c r="GJ16" s="169"/>
      <c r="GK16" s="169"/>
      <c r="GL16" s="169"/>
      <c r="GM16" s="169"/>
      <c r="GN16" s="169"/>
      <c r="GO16" s="169"/>
      <c r="GP16" s="169"/>
      <c r="GQ16" s="169"/>
      <c r="GR16" s="169"/>
      <c r="GS16" s="169"/>
      <c r="GT16" s="169"/>
      <c r="GU16" s="169"/>
      <c r="GV16" s="169"/>
      <c r="GW16" s="169"/>
      <c r="GX16" s="169"/>
      <c r="GY16" s="169"/>
      <c r="GZ16" s="169"/>
      <c r="HA16" s="169"/>
      <c r="HB16" s="169"/>
      <c r="HC16" s="169"/>
      <c r="HD16" s="169"/>
      <c r="HE16" s="169"/>
      <c r="HF16" s="169"/>
      <c r="HG16" s="169"/>
      <c r="HH16" s="169"/>
      <c r="HI16" s="169"/>
      <c r="HJ16" s="169"/>
      <c r="HK16" s="169"/>
      <c r="HL16" s="169"/>
      <c r="HM16" s="169"/>
      <c r="HN16" s="169"/>
      <c r="HO16" s="169"/>
      <c r="HP16" s="169"/>
      <c r="HQ16" s="169"/>
      <c r="HR16" s="169"/>
      <c r="HS16" s="169"/>
      <c r="HT16" s="169"/>
      <c r="HU16" s="169"/>
      <c r="HV16" s="169"/>
      <c r="HW16" s="169"/>
      <c r="HX16" s="169"/>
      <c r="HY16" s="169"/>
      <c r="HZ16" s="169"/>
      <c r="IA16" s="169"/>
      <c r="IB16" s="169"/>
      <c r="IC16" s="169"/>
      <c r="ID16" s="169"/>
      <c r="IE16" s="169"/>
      <c r="IF16" s="169"/>
      <c r="IG16" s="169"/>
      <c r="IH16" s="169"/>
      <c r="II16" s="169"/>
      <c r="IJ16" s="169"/>
      <c r="IK16" s="169"/>
      <c r="IL16" s="169"/>
      <c r="IM16" s="169"/>
      <c r="IN16" s="169"/>
      <c r="IO16" s="169"/>
      <c r="IP16" s="169"/>
      <c r="IQ16" s="169"/>
      <c r="IR16" s="169"/>
      <c r="IS16" s="169"/>
      <c r="IT16" s="169"/>
      <c r="IU16" s="169"/>
      <c r="IV16" s="169"/>
      <c r="IW16" s="169"/>
      <c r="IX16" s="169"/>
      <c r="IY16" s="169"/>
      <c r="IZ16" s="169"/>
      <c r="JA16" s="169"/>
      <c r="JB16" s="169"/>
      <c r="JC16" s="169"/>
      <c r="JD16" s="169"/>
      <c r="JE16" s="169"/>
      <c r="JF16" s="169"/>
      <c r="JG16" s="169"/>
      <c r="JH16" s="169"/>
      <c r="JI16" s="169"/>
      <c r="JJ16" s="169"/>
      <c r="JK16" s="169"/>
      <c r="JL16" s="169"/>
      <c r="JM16" s="169"/>
      <c r="JN16" s="169"/>
      <c r="JO16" s="169"/>
      <c r="JP16" s="169"/>
      <c r="JQ16" s="169"/>
      <c r="JR16" s="169"/>
      <c r="JS16" s="169"/>
      <c r="JT16" s="169"/>
      <c r="JU16" s="169"/>
      <c r="JV16" s="169"/>
      <c r="JW16" s="169"/>
      <c r="JX16" s="169"/>
      <c r="JY16" s="169"/>
      <c r="JZ16" s="169"/>
      <c r="KA16" s="169"/>
      <c r="KB16" s="169"/>
      <c r="KC16" s="169"/>
      <c r="KD16" s="169"/>
      <c r="KE16" s="169"/>
      <c r="KF16" s="169"/>
      <c r="KG16" s="169"/>
      <c r="KH16" s="169"/>
      <c r="KI16" s="169"/>
      <c r="KJ16" s="169"/>
      <c r="KK16" s="169"/>
      <c r="KL16" s="169"/>
      <c r="KM16" s="169"/>
      <c r="KN16" s="169"/>
      <c r="KO16" s="169"/>
      <c r="KP16" s="169"/>
      <c r="KQ16" s="169"/>
      <c r="KR16" s="169"/>
      <c r="KS16" s="169"/>
      <c r="KT16" s="169"/>
      <c r="KU16" s="169"/>
      <c r="KV16" s="169"/>
      <c r="KW16" s="169"/>
      <c r="KX16" s="169"/>
      <c r="KY16" s="169"/>
      <c r="KZ16" s="169"/>
      <c r="LA16" s="169"/>
      <c r="LB16" s="169"/>
      <c r="LC16" s="169"/>
      <c r="LD16" s="169"/>
      <c r="LE16" s="169"/>
      <c r="LF16" s="169"/>
      <c r="LG16" s="169"/>
      <c r="LH16" s="169"/>
      <c r="LI16" s="169"/>
      <c r="LJ16" s="169"/>
      <c r="LK16" s="169"/>
      <c r="LL16" s="169"/>
      <c r="LM16" s="169"/>
      <c r="LN16" s="169"/>
      <c r="LO16" s="169"/>
      <c r="LP16" s="169"/>
      <c r="LQ16" s="169"/>
      <c r="LR16" s="169"/>
      <c r="LS16" s="169"/>
      <c r="LT16" s="169"/>
      <c r="LU16" s="169"/>
      <c r="LV16" s="169"/>
      <c r="LW16" s="169"/>
      <c r="LX16" s="169"/>
      <c r="LY16" s="169"/>
      <c r="LZ16" s="169"/>
      <c r="MA16" s="169"/>
      <c r="MB16" s="169"/>
      <c r="MC16" s="169"/>
      <c r="MD16" s="169"/>
      <c r="ME16" s="169"/>
      <c r="MF16" s="169"/>
      <c r="MG16" s="169"/>
      <c r="MH16" s="169"/>
      <c r="MI16" s="169"/>
      <c r="MJ16" s="169"/>
      <c r="MK16" s="169"/>
      <c r="ML16" s="169"/>
      <c r="MM16" s="169"/>
      <c r="MN16" s="169"/>
      <c r="MO16" s="169"/>
      <c r="MP16" s="169"/>
      <c r="MQ16" s="169"/>
      <c r="MR16" s="169"/>
      <c r="MS16" s="169"/>
      <c r="MT16" s="169"/>
      <c r="MU16" s="169"/>
      <c r="MV16" s="169"/>
      <c r="MW16" s="169"/>
      <c r="MX16" s="169"/>
      <c r="MY16" s="169"/>
      <c r="MZ16" s="169"/>
      <c r="NA16" s="169"/>
      <c r="NB16" s="169"/>
      <c r="NC16" s="169"/>
      <c r="ND16" s="169"/>
      <c r="NE16" s="169"/>
      <c r="NF16" s="169"/>
      <c r="NG16" s="169"/>
      <c r="NH16" s="169"/>
      <c r="NI16" s="169"/>
      <c r="NJ16" s="169"/>
      <c r="NK16" s="169"/>
      <c r="NL16" s="169"/>
      <c r="NM16" s="169"/>
      <c r="NN16" s="169"/>
      <c r="NO16" s="169"/>
      <c r="NP16" s="169"/>
      <c r="NQ16" s="169"/>
      <c r="NR16" s="169"/>
      <c r="NS16" s="169"/>
      <c r="NT16" s="169"/>
      <c r="NU16" s="169"/>
      <c r="NV16" s="169"/>
      <c r="NW16" s="169"/>
      <c r="NX16" s="169"/>
      <c r="NY16" s="169"/>
      <c r="NZ16" s="169"/>
      <c r="OA16" s="169"/>
      <c r="OB16" s="169"/>
      <c r="OC16" s="169"/>
      <c r="OD16" s="169"/>
      <c r="OE16" s="169"/>
      <c r="OF16" s="169"/>
      <c r="OG16" s="169"/>
      <c r="OH16" s="169"/>
      <c r="OI16" s="169"/>
      <c r="OJ16" s="169"/>
      <c r="OK16" s="169"/>
      <c r="OL16" s="169"/>
      <c r="OM16" s="169"/>
      <c r="ON16" s="169"/>
      <c r="OO16" s="169"/>
      <c r="OP16" s="169"/>
      <c r="OQ16" s="169"/>
      <c r="OR16" s="169"/>
      <c r="OS16" s="169"/>
      <c r="OT16" s="169"/>
      <c r="OU16" s="169"/>
      <c r="OV16" s="169"/>
      <c r="OW16" s="169"/>
      <c r="OX16" s="169"/>
      <c r="OY16" s="169"/>
      <c r="OZ16" s="169"/>
      <c r="PA16" s="169"/>
      <c r="PB16" s="169"/>
      <c r="PC16" s="169"/>
      <c r="PD16" s="169"/>
      <c r="PE16" s="169"/>
      <c r="PF16" s="169"/>
      <c r="PG16" s="169"/>
      <c r="PH16" s="169"/>
      <c r="PI16" s="169"/>
      <c r="PJ16" s="169"/>
      <c r="PK16" s="169"/>
      <c r="PL16" s="169"/>
      <c r="PM16" s="169"/>
      <c r="PN16" s="169"/>
      <c r="PO16" s="169"/>
      <c r="PP16" s="169"/>
      <c r="PQ16" s="169"/>
      <c r="PR16" s="169"/>
      <c r="PS16" s="169"/>
      <c r="PT16" s="169"/>
      <c r="PU16" s="169"/>
      <c r="PV16" s="169"/>
      <c r="PW16" s="169"/>
      <c r="PX16" s="169"/>
      <c r="PY16" s="169"/>
      <c r="PZ16" s="169"/>
      <c r="QA16" s="169"/>
      <c r="QB16" s="169"/>
      <c r="QC16" s="169"/>
      <c r="QD16" s="169"/>
      <c r="QE16" s="169"/>
      <c r="QF16" s="169"/>
      <c r="QG16" s="169"/>
      <c r="QH16" s="169"/>
      <c r="QI16" s="169"/>
      <c r="QJ16" s="169"/>
      <c r="QK16" s="169"/>
      <c r="QL16" s="169"/>
      <c r="QM16" s="169"/>
      <c r="QN16" s="169"/>
      <c r="QO16" s="169"/>
      <c r="QP16" s="169"/>
      <c r="QQ16" s="169"/>
      <c r="QR16" s="169"/>
      <c r="QS16" s="169"/>
      <c r="QT16" s="169"/>
      <c r="QU16" s="169"/>
      <c r="QV16" s="169"/>
      <c r="QW16" s="169"/>
      <c r="QX16" s="169"/>
      <c r="QY16" s="169"/>
      <c r="QZ16" s="169"/>
      <c r="RA16" s="169"/>
      <c r="RB16" s="169"/>
      <c r="RC16" s="169"/>
      <c r="RD16" s="169"/>
      <c r="RE16" s="169"/>
      <c r="RF16" s="169"/>
      <c r="RG16" s="169"/>
      <c r="RH16" s="169"/>
      <c r="RI16" s="169"/>
      <c r="RJ16" s="169"/>
      <c r="RK16" s="169"/>
      <c r="RL16" s="169"/>
      <c r="RM16" s="169"/>
      <c r="RN16" s="169"/>
      <c r="RO16" s="169"/>
      <c r="RP16" s="169"/>
      <c r="RQ16" s="169"/>
      <c r="RR16" s="169"/>
      <c r="RS16" s="169"/>
      <c r="RT16" s="169"/>
      <c r="RU16" s="169"/>
      <c r="RV16" s="169"/>
      <c r="RW16" s="169"/>
      <c r="RX16" s="169"/>
      <c r="RY16" s="169"/>
      <c r="RZ16" s="169"/>
      <c r="SA16" s="169"/>
      <c r="SB16" s="169"/>
      <c r="SC16" s="169"/>
      <c r="SD16" s="169"/>
      <c r="SE16" s="169"/>
      <c r="SF16" s="169"/>
      <c r="SG16" s="169"/>
      <c r="SH16" s="169"/>
      <c r="SI16" s="169"/>
      <c r="SJ16" s="169"/>
      <c r="SK16" s="169"/>
      <c r="SL16" s="169"/>
      <c r="SM16" s="169"/>
      <c r="SN16" s="169"/>
      <c r="SO16" s="169"/>
      <c r="SP16" s="169"/>
      <c r="SQ16" s="169"/>
      <c r="SR16" s="169"/>
      <c r="SS16" s="169"/>
      <c r="ST16" s="169"/>
      <c r="SU16" s="169"/>
      <c r="SV16" s="169"/>
      <c r="SW16" s="169"/>
      <c r="SX16" s="169"/>
      <c r="SY16" s="169"/>
      <c r="SZ16" s="169"/>
      <c r="TA16" s="169"/>
      <c r="TB16" s="169"/>
      <c r="TC16" s="169"/>
      <c r="TD16" s="169"/>
      <c r="TE16" s="169"/>
      <c r="TF16" s="169"/>
      <c r="TG16" s="169"/>
      <c r="TH16" s="169"/>
      <c r="TI16" s="169"/>
      <c r="TJ16" s="169"/>
      <c r="TK16" s="169"/>
      <c r="TL16" s="169"/>
      <c r="TM16" s="169"/>
      <c r="TN16" s="169"/>
      <c r="TO16" s="169"/>
      <c r="TP16" s="169"/>
      <c r="TQ16" s="169"/>
      <c r="TR16" s="169"/>
      <c r="TS16" s="169"/>
      <c r="TT16" s="169"/>
      <c r="TU16" s="169"/>
      <c r="TV16" s="169"/>
      <c r="TW16" s="169"/>
      <c r="TX16" s="169"/>
      <c r="TY16" s="169"/>
      <c r="TZ16" s="169"/>
      <c r="UA16" s="169"/>
      <c r="UB16" s="169"/>
      <c r="UC16" s="169"/>
      <c r="UD16" s="169"/>
      <c r="UE16" s="169"/>
      <c r="UF16" s="169"/>
      <c r="UG16" s="169"/>
      <c r="UH16" s="169"/>
      <c r="UI16" s="169"/>
      <c r="UJ16" s="169"/>
      <c r="UK16" s="169"/>
      <c r="UL16" s="169"/>
      <c r="UM16" s="169"/>
      <c r="UN16" s="169"/>
      <c r="UO16" s="169"/>
      <c r="UP16" s="169"/>
      <c r="UQ16" s="169"/>
      <c r="UR16" s="169"/>
      <c r="US16" s="169"/>
      <c r="UT16" s="169"/>
      <c r="UU16" s="169"/>
      <c r="UV16" s="169"/>
      <c r="UW16" s="169"/>
      <c r="UX16" s="169"/>
      <c r="UY16" s="169"/>
      <c r="UZ16" s="169"/>
      <c r="VA16" s="169"/>
      <c r="VB16" s="169"/>
      <c r="VC16" s="169"/>
      <c r="VD16" s="169"/>
      <c r="VE16" s="169"/>
      <c r="VF16" s="169"/>
      <c r="VG16" s="169"/>
      <c r="VH16" s="169"/>
      <c r="VI16" s="169"/>
      <c r="VJ16" s="169"/>
      <c r="VK16" s="169"/>
      <c r="VL16" s="169"/>
      <c r="VM16" s="169"/>
      <c r="VN16" s="169"/>
      <c r="VO16" s="169"/>
      <c r="VP16" s="169"/>
      <c r="VQ16" s="169"/>
      <c r="VR16" s="169"/>
      <c r="VS16" s="169"/>
      <c r="VT16" s="169"/>
      <c r="VU16" s="169"/>
      <c r="VV16" s="169"/>
      <c r="VW16" s="169"/>
      <c r="VX16" s="169"/>
      <c r="VY16" s="169"/>
      <c r="VZ16" s="169"/>
      <c r="WA16" s="169"/>
      <c r="WB16" s="169"/>
      <c r="WC16" s="169"/>
      <c r="WD16" s="169"/>
      <c r="WE16" s="169"/>
      <c r="WF16" s="169"/>
      <c r="WG16" s="169"/>
      <c r="WH16" s="169"/>
      <c r="WI16" s="169"/>
      <c r="WJ16" s="169"/>
      <c r="WK16" s="169"/>
      <c r="WL16" s="169"/>
      <c r="WM16" s="169"/>
      <c r="WN16" s="169"/>
      <c r="WO16" s="169"/>
      <c r="WP16" s="169"/>
      <c r="WQ16" s="169"/>
      <c r="WR16" s="169"/>
      <c r="WS16" s="169"/>
      <c r="WT16" s="169"/>
      <c r="WU16" s="169"/>
      <c r="WV16" s="169"/>
      <c r="WW16" s="169"/>
      <c r="WX16" s="169"/>
      <c r="WY16" s="169"/>
      <c r="WZ16" s="169"/>
      <c r="XA16" s="169"/>
      <c r="XB16" s="169"/>
      <c r="XC16" s="169"/>
      <c r="XD16" s="169"/>
      <c r="XE16" s="169"/>
      <c r="XF16" s="169"/>
      <c r="XG16" s="169"/>
      <c r="XH16" s="169"/>
      <c r="XI16" s="169"/>
      <c r="XJ16" s="169"/>
      <c r="XK16" s="169"/>
      <c r="XL16" s="169"/>
      <c r="XM16" s="169"/>
      <c r="XN16" s="169"/>
      <c r="XO16" s="169"/>
      <c r="XP16" s="169"/>
      <c r="XQ16" s="169"/>
      <c r="XR16" s="169"/>
      <c r="XS16" s="169"/>
      <c r="XT16" s="169"/>
      <c r="XU16" s="169"/>
      <c r="XV16" s="169"/>
      <c r="XW16" s="169"/>
      <c r="XX16" s="169"/>
      <c r="XY16" s="169"/>
      <c r="XZ16" s="169"/>
      <c r="YA16" s="169"/>
      <c r="YB16" s="169"/>
      <c r="YC16" s="169"/>
      <c r="YD16" s="169"/>
      <c r="YE16" s="169"/>
      <c r="YF16" s="169"/>
      <c r="YG16" s="169"/>
      <c r="YH16" s="169"/>
      <c r="YI16" s="169"/>
      <c r="YJ16" s="169"/>
      <c r="YK16" s="169"/>
      <c r="YL16" s="169"/>
      <c r="YM16" s="169"/>
      <c r="YN16" s="169"/>
      <c r="YO16" s="169"/>
      <c r="YP16" s="169"/>
      <c r="YQ16" s="169"/>
      <c r="YR16" s="169"/>
      <c r="YS16" s="169"/>
      <c r="YT16" s="169"/>
      <c r="YU16" s="169"/>
      <c r="YV16" s="169"/>
      <c r="YW16" s="169"/>
      <c r="YX16" s="169"/>
      <c r="YY16" s="169"/>
      <c r="YZ16" s="169"/>
      <c r="ZA16" s="169"/>
      <c r="ZB16" s="169"/>
      <c r="ZC16" s="169"/>
      <c r="ZD16" s="169"/>
      <c r="ZE16" s="169"/>
      <c r="ZF16" s="169"/>
      <c r="ZG16" s="169"/>
      <c r="ZH16" s="169"/>
      <c r="ZI16" s="169"/>
      <c r="ZJ16" s="169"/>
      <c r="ZK16" s="169"/>
      <c r="ZL16" s="169"/>
      <c r="ZM16" s="169"/>
      <c r="ZN16" s="169"/>
      <c r="ZO16" s="169"/>
      <c r="ZP16" s="169"/>
      <c r="ZQ16" s="169"/>
      <c r="ZR16" s="169"/>
      <c r="ZS16" s="169"/>
      <c r="ZT16" s="169"/>
      <c r="ZU16" s="169"/>
      <c r="ZV16" s="169"/>
      <c r="ZW16" s="169"/>
      <c r="ZX16" s="169"/>
      <c r="ZY16" s="169"/>
      <c r="ZZ16" s="169"/>
      <c r="AAA16" s="169"/>
      <c r="AAB16" s="169"/>
      <c r="AAC16" s="169"/>
      <c r="AAD16" s="169"/>
      <c r="AAE16" s="169"/>
      <c r="AAF16" s="169"/>
      <c r="AAG16" s="169"/>
      <c r="AAH16" s="169"/>
      <c r="AAI16" s="169"/>
      <c r="AAJ16" s="169"/>
      <c r="AAK16" s="169"/>
      <c r="AAL16" s="169"/>
      <c r="AAM16" s="169"/>
      <c r="AAN16" s="169"/>
      <c r="AAO16" s="169"/>
      <c r="AAP16" s="169"/>
      <c r="AAQ16" s="169"/>
      <c r="AAR16" s="169"/>
      <c r="AAS16" s="169"/>
      <c r="AAT16" s="169"/>
      <c r="AAU16" s="169"/>
      <c r="AAV16" s="169"/>
      <c r="AAW16" s="169"/>
      <c r="AAX16" s="169"/>
      <c r="AAY16" s="169"/>
      <c r="AAZ16" s="169"/>
      <c r="ABA16" s="169"/>
      <c r="ABB16" s="169"/>
      <c r="ABC16" s="169"/>
      <c r="ABD16" s="169"/>
      <c r="ABE16" s="169"/>
      <c r="ABF16" s="169"/>
      <c r="ABG16" s="169"/>
      <c r="ABH16" s="169"/>
      <c r="ABI16" s="169"/>
      <c r="ABJ16" s="169"/>
      <c r="ABK16" s="169"/>
      <c r="ABL16" s="169"/>
      <c r="ABM16" s="169"/>
      <c r="ABN16" s="169"/>
      <c r="ABO16" s="169"/>
      <c r="ABP16" s="169"/>
      <c r="ABQ16" s="169"/>
      <c r="ABR16" s="169"/>
      <c r="ABS16" s="169"/>
      <c r="ABT16" s="169"/>
      <c r="ABU16" s="169"/>
      <c r="ABV16" s="169"/>
      <c r="ABW16" s="169"/>
      <c r="ABX16" s="169"/>
      <c r="ABY16" s="169"/>
      <c r="ABZ16" s="169"/>
      <c r="ACA16" s="169"/>
      <c r="ACB16" s="169"/>
      <c r="ACC16" s="169"/>
      <c r="ACD16" s="169"/>
      <c r="ACE16" s="169"/>
      <c r="ACF16" s="169"/>
      <c r="ACG16" s="169"/>
      <c r="ACH16" s="169"/>
      <c r="ACI16" s="169"/>
      <c r="ACJ16" s="169"/>
      <c r="ACK16" s="169"/>
      <c r="ACL16" s="169"/>
      <c r="ACM16" s="169"/>
      <c r="ACN16" s="169"/>
      <c r="ACO16" s="169"/>
      <c r="ACP16" s="169"/>
      <c r="ACQ16" s="169"/>
      <c r="ACR16" s="169"/>
      <c r="ACS16" s="169"/>
      <c r="ACT16" s="169"/>
      <c r="ACU16" s="169"/>
      <c r="ACV16" s="169"/>
      <c r="ACW16" s="169"/>
      <c r="ACX16" s="169"/>
      <c r="ACY16" s="169"/>
      <c r="ACZ16" s="169"/>
      <c r="ADA16" s="169"/>
      <c r="ADB16" s="169"/>
      <c r="ADC16" s="169"/>
      <c r="ADD16" s="169"/>
      <c r="ADE16" s="169"/>
      <c r="ADF16" s="169"/>
      <c r="ADG16" s="169"/>
      <c r="ADH16" s="169"/>
      <c r="ADI16" s="169"/>
      <c r="ADJ16" s="169"/>
      <c r="ADK16" s="169"/>
      <c r="ADL16" s="169"/>
      <c r="ADM16" s="169"/>
      <c r="ADN16" s="169"/>
      <c r="ADO16" s="169"/>
      <c r="ADP16" s="169"/>
      <c r="ADQ16" s="169"/>
      <c r="ADR16" s="169"/>
      <c r="ADS16" s="169"/>
      <c r="ADT16" s="169"/>
      <c r="ADU16" s="169"/>
      <c r="ADV16" s="169"/>
      <c r="ADW16" s="169"/>
      <c r="ADX16" s="169"/>
      <c r="ADY16" s="169"/>
      <c r="ADZ16" s="169"/>
      <c r="AEA16" s="169"/>
      <c r="AEB16" s="169"/>
      <c r="AEC16" s="169"/>
      <c r="AED16" s="169"/>
      <c r="AEE16" s="169"/>
      <c r="AEF16" s="169"/>
      <c r="AEG16" s="169"/>
      <c r="AEH16" s="169"/>
      <c r="AEI16" s="169"/>
      <c r="AEJ16" s="169"/>
      <c r="AEK16" s="169"/>
      <c r="AEL16" s="169"/>
      <c r="AEM16" s="169"/>
      <c r="AEN16" s="169"/>
      <c r="AEO16" s="169"/>
      <c r="AEP16" s="169"/>
      <c r="AEQ16" s="169"/>
      <c r="AER16" s="169"/>
      <c r="AES16" s="169"/>
      <c r="AET16" s="169"/>
      <c r="AEU16" s="169"/>
      <c r="AEV16" s="169"/>
      <c r="AEW16" s="169"/>
      <c r="AEX16" s="169"/>
      <c r="AEY16" s="169"/>
      <c r="AEZ16" s="169"/>
      <c r="AFA16" s="169"/>
      <c r="AFB16" s="169"/>
      <c r="AFC16" s="169"/>
      <c r="AFD16" s="169"/>
      <c r="AFE16" s="169"/>
      <c r="AFF16" s="169"/>
      <c r="AFG16" s="169"/>
      <c r="AFH16" s="169"/>
      <c r="AFI16" s="169"/>
      <c r="AFJ16" s="169"/>
      <c r="AFK16" s="169"/>
      <c r="AFL16" s="169"/>
      <c r="AFM16" s="169"/>
      <c r="AFN16" s="169"/>
      <c r="AFO16" s="169"/>
      <c r="AFP16" s="169"/>
      <c r="AFQ16" s="169"/>
      <c r="AFR16" s="169"/>
      <c r="AFS16" s="169"/>
      <c r="AFT16" s="169"/>
      <c r="AFU16" s="169"/>
      <c r="AFV16" s="169"/>
      <c r="AFW16" s="169"/>
      <c r="AFX16" s="169"/>
      <c r="AFY16" s="169"/>
      <c r="AFZ16" s="169"/>
      <c r="AGA16" s="169"/>
      <c r="AGB16" s="169"/>
      <c r="AGC16" s="169"/>
      <c r="AGD16" s="169"/>
      <c r="AGE16" s="169"/>
      <c r="AGF16" s="169"/>
      <c r="AGG16" s="169"/>
      <c r="AGH16" s="169"/>
      <c r="AGI16" s="169"/>
      <c r="AGJ16" s="169"/>
      <c r="AGK16" s="169"/>
      <c r="AGL16" s="169"/>
      <c r="AGM16" s="169"/>
      <c r="AGN16" s="169"/>
      <c r="AGO16" s="169"/>
      <c r="AGP16" s="169"/>
      <c r="AGQ16" s="169"/>
      <c r="AGR16" s="169"/>
      <c r="AGS16" s="169"/>
      <c r="AGT16" s="169"/>
      <c r="AGU16" s="169"/>
      <c r="AGV16" s="169"/>
      <c r="AGW16" s="169"/>
      <c r="AGX16" s="169"/>
      <c r="AGY16" s="169"/>
      <c r="AGZ16" s="169"/>
      <c r="AHA16" s="169"/>
      <c r="AHB16" s="169"/>
      <c r="AHC16" s="169"/>
      <c r="AHD16" s="169"/>
      <c r="AHE16" s="169"/>
      <c r="AHF16" s="169"/>
      <c r="AHG16" s="169"/>
      <c r="AHH16" s="169"/>
      <c r="AHI16" s="169"/>
      <c r="AHJ16" s="169"/>
      <c r="AHK16" s="169"/>
      <c r="AHL16" s="169"/>
      <c r="AHM16" s="169"/>
      <c r="AHN16" s="169"/>
      <c r="AHO16" s="169"/>
      <c r="AHP16" s="169"/>
      <c r="AHQ16" s="169"/>
      <c r="AHR16" s="169"/>
      <c r="AHS16" s="169"/>
      <c r="AHT16" s="169"/>
      <c r="AHU16" s="169"/>
      <c r="AHV16" s="169"/>
      <c r="AHW16" s="169"/>
      <c r="AHX16" s="169"/>
      <c r="AHY16" s="169"/>
      <c r="AHZ16" s="169"/>
      <c r="AIA16" s="169"/>
      <c r="AIB16" s="169"/>
      <c r="AIC16" s="169"/>
      <c r="AID16" s="169"/>
      <c r="AIE16" s="169"/>
      <c r="AIF16" s="169"/>
      <c r="AIG16" s="169"/>
      <c r="AIH16" s="169"/>
      <c r="AII16" s="169"/>
      <c r="AIJ16" s="169"/>
      <c r="AIK16" s="169"/>
      <c r="AIL16" s="169"/>
      <c r="AIM16" s="169"/>
      <c r="AIN16" s="169"/>
      <c r="AIO16" s="169"/>
      <c r="AIP16" s="169"/>
      <c r="AIQ16" s="169"/>
      <c r="AIR16" s="169"/>
      <c r="AIS16" s="169"/>
      <c r="AIT16" s="169"/>
      <c r="AIU16" s="169"/>
      <c r="AIV16" s="169"/>
      <c r="AIW16" s="169"/>
      <c r="AIX16" s="169"/>
      <c r="AIY16" s="169"/>
      <c r="AIZ16" s="169"/>
      <c r="AJA16" s="169"/>
      <c r="AJB16" s="169"/>
      <c r="AJC16" s="169"/>
      <c r="AJD16" s="169"/>
      <c r="AJE16" s="169"/>
      <c r="AJF16" s="169"/>
      <c r="AJG16" s="169"/>
      <c r="AJH16" s="169"/>
      <c r="AJI16" s="169"/>
      <c r="AJJ16" s="169"/>
      <c r="AJK16" s="169"/>
      <c r="AJL16" s="169"/>
      <c r="AJM16" s="169"/>
      <c r="AJN16" s="169"/>
      <c r="AJO16" s="169"/>
      <c r="AJP16" s="169"/>
      <c r="AJQ16" s="169"/>
      <c r="AJR16" s="169"/>
      <c r="AJS16" s="169"/>
      <c r="AJT16" s="169"/>
      <c r="AJU16" s="169"/>
      <c r="AJV16" s="169"/>
      <c r="AJW16" s="169"/>
      <c r="AJX16" s="169"/>
      <c r="AJY16" s="169"/>
      <c r="AJZ16" s="169"/>
      <c r="AKA16" s="169"/>
      <c r="AKB16" s="169"/>
      <c r="AKC16" s="169"/>
      <c r="AKD16" s="169"/>
      <c r="AKE16" s="169"/>
      <c r="AKF16" s="169"/>
      <c r="AKG16" s="169"/>
      <c r="AKH16" s="169"/>
      <c r="AKI16" s="169"/>
      <c r="AKJ16" s="169"/>
      <c r="AKK16" s="169"/>
      <c r="AKL16" s="169"/>
      <c r="AKM16" s="169"/>
      <c r="AKN16" s="169"/>
      <c r="AKO16" s="169"/>
      <c r="AKP16" s="169"/>
      <c r="AKQ16" s="169"/>
      <c r="AKR16" s="169"/>
      <c r="AKS16" s="169"/>
      <c r="AKT16" s="169"/>
      <c r="AKU16" s="169"/>
      <c r="AKV16" s="169"/>
      <c r="AKW16" s="169"/>
      <c r="AKX16" s="169"/>
      <c r="AKY16" s="169"/>
      <c r="AKZ16" s="169"/>
      <c r="ALA16" s="169"/>
      <c r="ALB16" s="169"/>
      <c r="ALC16" s="169"/>
      <c r="ALD16" s="169"/>
      <c r="ALE16" s="169"/>
      <c r="ALF16" s="169"/>
      <c r="ALG16" s="169"/>
      <c r="ALH16" s="169"/>
      <c r="ALI16" s="169"/>
      <c r="ALJ16" s="169"/>
      <c r="ALK16" s="169"/>
      <c r="ALL16" s="169"/>
      <c r="ALM16" s="169"/>
      <c r="ALN16" s="169"/>
      <c r="ALO16" s="169"/>
      <c r="ALP16" s="169"/>
      <c r="ALQ16" s="169"/>
      <c r="ALR16" s="169"/>
      <c r="ALS16" s="169"/>
      <c r="ALT16" s="169"/>
      <c r="ALU16" s="169"/>
      <c r="ALV16" s="169"/>
      <c r="ALW16" s="169"/>
      <c r="ALX16" s="169"/>
      <c r="ALY16" s="169"/>
      <c r="ALZ16" s="169"/>
      <c r="AMA16" s="169"/>
      <c r="AMB16" s="169"/>
      <c r="AMC16" s="169"/>
      <c r="AMD16" s="169"/>
      <c r="AME16" s="169"/>
      <c r="AMF16" s="169"/>
      <c r="AMG16" s="169"/>
      <c r="AMH16" s="169"/>
      <c r="AMI16" s="169"/>
      <c r="AMJ16" s="169"/>
      <c r="AMK16" s="169"/>
      <c r="AML16" s="169"/>
      <c r="AMM16" s="169"/>
      <c r="AMN16" s="169"/>
      <c r="AMO16" s="169"/>
      <c r="AMP16" s="169"/>
      <c r="AMQ16" s="169"/>
      <c r="AMR16" s="169"/>
      <c r="AMS16" s="169"/>
      <c r="AMT16" s="169"/>
      <c r="AMU16" s="169"/>
      <c r="AMV16" s="169"/>
      <c r="AMW16" s="169"/>
      <c r="AMX16" s="169"/>
      <c r="AMY16" s="169"/>
      <c r="AMZ16" s="169"/>
      <c r="ANA16" s="169"/>
      <c r="ANB16" s="169"/>
      <c r="ANC16" s="169"/>
      <c r="AND16" s="169"/>
      <c r="ANE16" s="169"/>
      <c r="ANF16" s="169"/>
      <c r="ANG16" s="169"/>
      <c r="ANH16" s="169"/>
      <c r="ANI16" s="169"/>
      <c r="ANJ16" s="169"/>
      <c r="ANK16" s="169"/>
      <c r="ANL16" s="169"/>
      <c r="ANM16" s="169"/>
      <c r="ANN16" s="169"/>
      <c r="ANO16" s="169"/>
      <c r="ANP16" s="169"/>
      <c r="ANQ16" s="169"/>
      <c r="ANR16" s="169"/>
      <c r="ANS16" s="169"/>
      <c r="ANT16" s="169"/>
      <c r="ANU16" s="169"/>
      <c r="ANV16" s="169"/>
      <c r="ANW16" s="169"/>
      <c r="ANX16" s="169"/>
      <c r="ANY16" s="169"/>
      <c r="ANZ16" s="169"/>
      <c r="AOA16" s="169"/>
      <c r="AOB16" s="169"/>
      <c r="AOC16" s="169"/>
      <c r="AOD16" s="169"/>
      <c r="AOE16" s="169"/>
      <c r="AOF16" s="169"/>
      <c r="AOG16" s="169"/>
      <c r="AOH16" s="169"/>
      <c r="AOI16" s="169"/>
      <c r="AOJ16" s="169"/>
      <c r="AOK16" s="169"/>
      <c r="AOL16" s="169"/>
      <c r="AOM16" s="169"/>
      <c r="AON16" s="169"/>
      <c r="AOO16" s="169"/>
      <c r="AOP16" s="169"/>
      <c r="AOQ16" s="169"/>
      <c r="AOR16" s="169"/>
      <c r="AOS16" s="169"/>
      <c r="AOT16" s="169"/>
      <c r="AOU16" s="169"/>
      <c r="AOV16" s="169"/>
      <c r="AOW16" s="169"/>
      <c r="AOX16" s="169"/>
      <c r="AOY16" s="169"/>
      <c r="AOZ16" s="169"/>
      <c r="APA16" s="169"/>
      <c r="APB16" s="169"/>
      <c r="APC16" s="169"/>
      <c r="APD16" s="169"/>
      <c r="APE16" s="169"/>
      <c r="APF16" s="169"/>
      <c r="APG16" s="169"/>
      <c r="APH16" s="169"/>
      <c r="API16" s="169"/>
      <c r="APJ16" s="169"/>
      <c r="APK16" s="169"/>
      <c r="APL16" s="169"/>
      <c r="APM16" s="169"/>
      <c r="APN16" s="169"/>
      <c r="APO16" s="169"/>
      <c r="APP16" s="169"/>
      <c r="APQ16" s="169"/>
      <c r="APR16" s="169"/>
      <c r="APS16" s="169"/>
      <c r="APT16" s="169"/>
      <c r="APU16" s="169"/>
      <c r="APV16" s="169"/>
      <c r="APW16" s="169"/>
      <c r="APX16" s="169"/>
      <c r="APY16" s="169"/>
      <c r="APZ16" s="169"/>
      <c r="AQA16" s="169"/>
      <c r="AQB16" s="169"/>
      <c r="AQC16" s="169"/>
      <c r="AQD16" s="169"/>
      <c r="AQE16" s="169"/>
      <c r="AQF16" s="169"/>
      <c r="AQG16" s="169"/>
      <c r="AQH16" s="169"/>
      <c r="AQI16" s="169"/>
      <c r="AQJ16" s="169"/>
      <c r="AQK16" s="169"/>
      <c r="AQL16" s="169"/>
      <c r="AQM16" s="169"/>
      <c r="AQN16" s="169"/>
      <c r="AQO16" s="169"/>
      <c r="AQP16" s="169"/>
      <c r="AQQ16" s="169"/>
      <c r="AQR16" s="169"/>
      <c r="AQS16" s="169"/>
      <c r="AQT16" s="169"/>
      <c r="AQU16" s="169"/>
      <c r="AQV16" s="169"/>
      <c r="AQW16" s="169"/>
      <c r="AQX16" s="169"/>
      <c r="AQY16" s="169"/>
      <c r="AQZ16" s="169"/>
      <c r="ARA16" s="169"/>
      <c r="ARB16" s="169"/>
      <c r="ARC16" s="169"/>
      <c r="ARD16" s="169"/>
      <c r="ARE16" s="169"/>
      <c r="ARF16" s="169"/>
      <c r="ARG16" s="169"/>
      <c r="ARH16" s="169"/>
      <c r="ARI16" s="169"/>
      <c r="ARJ16" s="169"/>
      <c r="ARK16" s="169"/>
      <c r="ARL16" s="169"/>
      <c r="ARM16" s="169"/>
      <c r="ARN16" s="169"/>
      <c r="ARO16" s="169"/>
      <c r="ARP16" s="169"/>
      <c r="ARQ16" s="169"/>
      <c r="ARR16" s="169"/>
      <c r="ARS16" s="169"/>
      <c r="ART16" s="169"/>
      <c r="ARU16" s="169"/>
      <c r="ARV16" s="169"/>
      <c r="ARW16" s="169"/>
      <c r="ARX16" s="169"/>
      <c r="ARY16" s="169"/>
      <c r="ARZ16" s="169"/>
      <c r="ASA16" s="169"/>
      <c r="ASB16" s="169"/>
      <c r="ASC16" s="169"/>
      <c r="ASD16" s="169"/>
      <c r="ASE16" s="169"/>
      <c r="ASF16" s="169"/>
      <c r="ASG16" s="169"/>
      <c r="ASH16" s="169"/>
      <c r="ASI16" s="169"/>
      <c r="ASJ16" s="169"/>
      <c r="ASK16" s="169"/>
      <c r="ASL16" s="169"/>
      <c r="ASM16" s="169"/>
      <c r="ASN16" s="169"/>
      <c r="ASO16" s="169"/>
      <c r="ASP16" s="169"/>
      <c r="ASQ16" s="169"/>
      <c r="ASR16" s="169"/>
      <c r="ASS16" s="169"/>
      <c r="AST16" s="169"/>
      <c r="ASU16" s="169"/>
      <c r="ASV16" s="169"/>
      <c r="ASW16" s="169"/>
      <c r="ASX16" s="169"/>
      <c r="ASY16" s="169"/>
      <c r="ASZ16" s="169"/>
      <c r="ATA16" s="169"/>
      <c r="ATB16" s="169"/>
      <c r="ATC16" s="169"/>
      <c r="ATD16" s="169"/>
      <c r="ATE16" s="169"/>
      <c r="ATF16" s="169"/>
      <c r="ATG16" s="169"/>
      <c r="ATH16" s="169"/>
      <c r="ATI16" s="169"/>
      <c r="ATJ16" s="169"/>
      <c r="ATK16" s="169"/>
      <c r="ATL16" s="169"/>
      <c r="ATM16" s="169"/>
      <c r="ATN16" s="169"/>
      <c r="ATO16" s="169"/>
      <c r="ATP16" s="169"/>
      <c r="ATQ16" s="169"/>
      <c r="ATR16" s="169"/>
      <c r="ATS16" s="169"/>
      <c r="ATT16" s="169"/>
      <c r="ATU16" s="169"/>
      <c r="ATV16" s="169"/>
      <c r="ATW16" s="169"/>
      <c r="ATX16" s="169"/>
      <c r="ATY16" s="169"/>
      <c r="ATZ16" s="169"/>
      <c r="AUA16" s="169"/>
      <c r="AUB16" s="169"/>
      <c r="AUC16" s="169"/>
      <c r="AUD16" s="169"/>
      <c r="AUE16" s="169"/>
      <c r="AUF16" s="169"/>
      <c r="AUG16" s="169"/>
      <c r="AUH16" s="169"/>
      <c r="AUI16" s="169"/>
      <c r="AUJ16" s="169"/>
      <c r="AUK16" s="169"/>
      <c r="AUL16" s="169"/>
      <c r="AUM16" s="169"/>
      <c r="AUN16" s="169"/>
      <c r="AUO16" s="169"/>
      <c r="AUP16" s="169"/>
      <c r="AUQ16" s="169"/>
      <c r="AUR16" s="169"/>
      <c r="AUS16" s="169"/>
      <c r="AUT16" s="169"/>
      <c r="AUU16" s="169"/>
      <c r="AUV16" s="169"/>
      <c r="AUW16" s="169"/>
      <c r="AUX16" s="169"/>
      <c r="AUY16" s="169"/>
      <c r="AUZ16" s="169"/>
      <c r="AVA16" s="169"/>
      <c r="AVB16" s="169"/>
      <c r="AVC16" s="169"/>
      <c r="AVD16" s="169"/>
      <c r="AVE16" s="169"/>
      <c r="AVF16" s="169"/>
      <c r="AVG16" s="169"/>
      <c r="AVH16" s="169"/>
      <c r="AVI16" s="169"/>
      <c r="AVJ16" s="169"/>
      <c r="AVK16" s="169"/>
      <c r="AVL16" s="169"/>
      <c r="AVM16" s="169"/>
      <c r="AVN16" s="169"/>
      <c r="AVO16" s="169"/>
      <c r="AVP16" s="169"/>
      <c r="AVQ16" s="169"/>
      <c r="AVR16" s="169"/>
      <c r="AVS16" s="169"/>
      <c r="AVT16" s="169"/>
      <c r="AVU16" s="169"/>
      <c r="AVV16" s="169"/>
      <c r="AVW16" s="169"/>
      <c r="AVX16" s="169"/>
      <c r="AVY16" s="169"/>
      <c r="AVZ16" s="169"/>
      <c r="AWA16" s="169"/>
      <c r="AWB16" s="169"/>
      <c r="AWC16" s="169"/>
      <c r="AWD16" s="169"/>
      <c r="AWE16" s="169"/>
      <c r="AWF16" s="169"/>
      <c r="AWG16" s="169"/>
      <c r="AWH16" s="169"/>
      <c r="AWI16" s="169"/>
      <c r="AWJ16" s="169"/>
      <c r="AWK16" s="169"/>
      <c r="AWL16" s="169"/>
      <c r="AWM16" s="169"/>
      <c r="AWN16" s="169"/>
      <c r="AWO16" s="169"/>
      <c r="AWP16" s="169"/>
      <c r="AWQ16" s="169"/>
      <c r="AWR16" s="169"/>
      <c r="AWS16" s="169"/>
      <c r="AWT16" s="169"/>
      <c r="AWU16" s="169"/>
      <c r="AWV16" s="169"/>
      <c r="AWW16" s="169"/>
      <c r="AWX16" s="169"/>
      <c r="AWY16" s="169"/>
      <c r="AWZ16" s="169"/>
      <c r="AXA16" s="169"/>
      <c r="AXB16" s="169"/>
      <c r="AXC16" s="169"/>
      <c r="AXD16" s="169"/>
      <c r="AXE16" s="169"/>
      <c r="AXF16" s="169"/>
      <c r="AXG16" s="169"/>
      <c r="AXH16" s="169"/>
      <c r="AXI16" s="169"/>
      <c r="AXJ16" s="169"/>
      <c r="AXK16" s="169"/>
      <c r="AXL16" s="169"/>
      <c r="AXM16" s="169"/>
      <c r="AXN16" s="169"/>
      <c r="AXO16" s="169"/>
      <c r="AXP16" s="169"/>
      <c r="AXQ16" s="169"/>
      <c r="AXR16" s="169"/>
      <c r="AXS16" s="169"/>
      <c r="AXT16" s="169"/>
      <c r="AXU16" s="169"/>
      <c r="AXV16" s="169"/>
      <c r="AXW16" s="169"/>
      <c r="AXX16" s="169"/>
      <c r="AXY16" s="169"/>
      <c r="AXZ16" s="169"/>
      <c r="AYA16" s="169"/>
      <c r="AYB16" s="169"/>
      <c r="AYC16" s="169"/>
      <c r="AYD16" s="169"/>
      <c r="AYE16" s="169"/>
      <c r="AYF16" s="169"/>
      <c r="AYG16" s="169"/>
      <c r="AYH16" s="169"/>
      <c r="AYI16" s="169"/>
      <c r="AYJ16" s="169"/>
      <c r="AYK16" s="169"/>
      <c r="AYL16" s="169"/>
      <c r="AYM16" s="169"/>
      <c r="AYN16" s="169"/>
      <c r="AYO16" s="169"/>
      <c r="AYP16" s="169"/>
      <c r="AYQ16" s="169"/>
      <c r="AYR16" s="169"/>
      <c r="AYS16" s="169"/>
      <c r="AYT16" s="169"/>
      <c r="AYU16" s="169"/>
      <c r="AYV16" s="169"/>
      <c r="AYW16" s="169"/>
      <c r="AYX16" s="169"/>
      <c r="AYY16" s="169"/>
      <c r="AYZ16" s="169"/>
      <c r="AZA16" s="169"/>
      <c r="AZB16" s="169"/>
      <c r="AZC16" s="169"/>
      <c r="AZD16" s="169"/>
      <c r="AZE16" s="169"/>
      <c r="AZF16" s="169"/>
      <c r="AZG16" s="169"/>
      <c r="AZH16" s="169"/>
      <c r="AZI16" s="169"/>
      <c r="AZJ16" s="169"/>
      <c r="AZK16" s="169"/>
      <c r="AZL16" s="169"/>
      <c r="AZM16" s="169"/>
      <c r="AZN16" s="169"/>
      <c r="AZO16" s="169"/>
      <c r="AZP16" s="169"/>
      <c r="AZQ16" s="169"/>
      <c r="AZR16" s="169"/>
      <c r="AZS16" s="169"/>
      <c r="AZT16" s="169"/>
      <c r="AZU16" s="169"/>
      <c r="AZV16" s="169"/>
      <c r="AZW16" s="169"/>
      <c r="AZX16" s="169"/>
      <c r="AZY16" s="169"/>
      <c r="AZZ16" s="169"/>
      <c r="BAA16" s="169"/>
      <c r="BAB16" s="169"/>
      <c r="BAC16" s="169"/>
      <c r="BAD16" s="169"/>
      <c r="BAE16" s="169"/>
      <c r="BAF16" s="169"/>
      <c r="BAG16" s="169"/>
      <c r="BAH16" s="169"/>
      <c r="BAI16" s="169"/>
      <c r="BAJ16" s="169"/>
      <c r="BAK16" s="169"/>
      <c r="BAL16" s="169"/>
      <c r="BAM16" s="169"/>
      <c r="BAN16" s="169"/>
      <c r="BAO16" s="169"/>
      <c r="BAP16" s="169"/>
      <c r="BAQ16" s="169"/>
      <c r="BAR16" s="169"/>
      <c r="BAS16" s="169"/>
      <c r="BAT16" s="169"/>
      <c r="BAU16" s="169"/>
      <c r="BAV16" s="169"/>
      <c r="BAW16" s="169"/>
      <c r="BAX16" s="169"/>
      <c r="BAY16" s="169"/>
      <c r="BAZ16" s="169"/>
      <c r="BBA16" s="169"/>
      <c r="BBB16" s="169"/>
      <c r="BBC16" s="169"/>
      <c r="BBD16" s="169"/>
      <c r="BBE16" s="169"/>
      <c r="BBF16" s="169"/>
      <c r="BBG16" s="169"/>
      <c r="BBH16" s="169"/>
      <c r="BBI16" s="169"/>
      <c r="BBJ16" s="169"/>
      <c r="BBK16" s="169"/>
      <c r="BBL16" s="169"/>
      <c r="BBM16" s="169"/>
      <c r="BBN16" s="169"/>
      <c r="BBO16" s="169"/>
      <c r="BBP16" s="169"/>
      <c r="BBQ16" s="169"/>
      <c r="BBR16" s="169"/>
      <c r="BBS16" s="169"/>
      <c r="BBT16" s="169"/>
      <c r="BBU16" s="169"/>
      <c r="BBV16" s="169"/>
      <c r="BBW16" s="169"/>
      <c r="BBX16" s="169"/>
      <c r="BBY16" s="169"/>
      <c r="BBZ16" s="169"/>
      <c r="BCA16" s="169"/>
      <c r="BCB16" s="169"/>
      <c r="BCC16" s="169"/>
      <c r="BCD16" s="169"/>
      <c r="BCE16" s="169"/>
      <c r="BCF16" s="169"/>
      <c r="BCG16" s="169"/>
      <c r="BCH16" s="169"/>
      <c r="BCI16" s="169"/>
      <c r="BCJ16" s="169"/>
      <c r="BCK16" s="169"/>
      <c r="BCL16" s="169"/>
      <c r="BCM16" s="169"/>
      <c r="BCN16" s="169"/>
      <c r="BCO16" s="169"/>
      <c r="BCP16" s="169"/>
      <c r="BCQ16" s="169"/>
      <c r="BCR16" s="169"/>
      <c r="BCS16" s="169"/>
      <c r="BCT16" s="169"/>
      <c r="BCU16" s="169"/>
      <c r="BCV16" s="169"/>
      <c r="BCW16" s="169"/>
      <c r="BCX16" s="169"/>
      <c r="BCY16" s="169"/>
      <c r="BCZ16" s="169"/>
      <c r="BDA16" s="169"/>
      <c r="BDB16" s="169"/>
      <c r="BDC16" s="169"/>
      <c r="BDD16" s="169"/>
      <c r="BDE16" s="169"/>
      <c r="BDF16" s="169"/>
      <c r="BDG16" s="169"/>
      <c r="BDH16" s="169"/>
      <c r="BDI16" s="169"/>
      <c r="BDJ16" s="169"/>
      <c r="BDK16" s="169"/>
      <c r="BDL16" s="169"/>
      <c r="BDM16" s="169"/>
      <c r="BDN16" s="169"/>
      <c r="BDO16" s="169"/>
      <c r="BDP16" s="169"/>
      <c r="BDQ16" s="169"/>
      <c r="BDR16" s="169"/>
      <c r="BDS16" s="169"/>
      <c r="BDT16" s="169"/>
      <c r="BDU16" s="169"/>
      <c r="BDV16" s="169"/>
      <c r="BDW16" s="169"/>
      <c r="BDX16" s="169"/>
      <c r="BDY16" s="169"/>
      <c r="BDZ16" s="169"/>
      <c r="BEA16" s="169"/>
      <c r="BEB16" s="169"/>
      <c r="BEC16" s="169"/>
      <c r="BED16" s="169"/>
      <c r="BEE16" s="169"/>
      <c r="BEF16" s="169"/>
      <c r="BEG16" s="169"/>
      <c r="BEH16" s="169"/>
      <c r="BEI16" s="169"/>
      <c r="BEJ16" s="169"/>
      <c r="BEK16" s="169"/>
      <c r="BEL16" s="169"/>
      <c r="BEM16" s="169"/>
      <c r="BEN16" s="169"/>
      <c r="BEO16" s="169"/>
      <c r="BEP16" s="169"/>
      <c r="BEQ16" s="169"/>
      <c r="BER16" s="169"/>
      <c r="BES16" s="169"/>
      <c r="BET16" s="169"/>
      <c r="BEU16" s="169"/>
      <c r="BEV16" s="169"/>
      <c r="BEW16" s="169"/>
      <c r="BEX16" s="169"/>
      <c r="BEY16" s="169"/>
      <c r="BEZ16" s="169"/>
      <c r="BFA16" s="169"/>
      <c r="BFB16" s="169"/>
      <c r="BFC16" s="169"/>
      <c r="BFD16" s="169"/>
      <c r="BFE16" s="169"/>
      <c r="BFF16" s="169"/>
      <c r="BFG16" s="169"/>
      <c r="BFH16" s="169"/>
      <c r="BFI16" s="169"/>
      <c r="BFJ16" s="169"/>
      <c r="BFK16" s="169"/>
      <c r="BFL16" s="169"/>
      <c r="BFM16" s="169"/>
      <c r="BFN16" s="169"/>
      <c r="BFO16" s="169"/>
      <c r="BFP16" s="169"/>
      <c r="BFQ16" s="169"/>
      <c r="BFR16" s="169"/>
      <c r="BFS16" s="169"/>
      <c r="BFT16" s="169"/>
      <c r="BFU16" s="169"/>
      <c r="BFV16" s="169"/>
      <c r="BFW16" s="169"/>
      <c r="BFX16" s="169"/>
      <c r="BFY16" s="169"/>
      <c r="BFZ16" s="169"/>
      <c r="BGA16" s="169"/>
      <c r="BGB16" s="169"/>
      <c r="BGC16" s="169"/>
      <c r="BGD16" s="169"/>
      <c r="BGE16" s="169"/>
      <c r="BGF16" s="169"/>
      <c r="BGG16" s="169"/>
      <c r="BGH16" s="169"/>
      <c r="BGI16" s="169"/>
      <c r="BGJ16" s="169"/>
      <c r="BGK16" s="169"/>
      <c r="BGL16" s="169"/>
      <c r="BGM16" s="169"/>
      <c r="BGN16" s="169"/>
      <c r="BGO16" s="169"/>
      <c r="BGP16" s="169"/>
      <c r="BGQ16" s="169"/>
      <c r="BGR16" s="169"/>
      <c r="BGS16" s="169"/>
      <c r="BGT16" s="169"/>
      <c r="BGU16" s="169"/>
      <c r="BGV16" s="169"/>
      <c r="BGW16" s="169"/>
      <c r="BGX16" s="169"/>
      <c r="BGY16" s="169"/>
      <c r="BGZ16" s="169"/>
      <c r="BHA16" s="169"/>
      <c r="BHB16" s="169"/>
      <c r="BHC16" s="169"/>
      <c r="BHD16" s="169"/>
      <c r="BHE16" s="169"/>
      <c r="BHF16" s="169"/>
      <c r="BHG16" s="169"/>
      <c r="BHH16" s="169"/>
      <c r="BHI16" s="169"/>
      <c r="BHJ16" s="169"/>
      <c r="BHK16" s="169"/>
      <c r="BHL16" s="169"/>
      <c r="BHM16" s="169"/>
      <c r="BHN16" s="169"/>
      <c r="BHO16" s="169"/>
      <c r="BHP16" s="169"/>
      <c r="BHQ16" s="169"/>
      <c r="BHR16" s="169"/>
      <c r="BHS16" s="169"/>
      <c r="BHT16" s="169"/>
      <c r="BHU16" s="169"/>
      <c r="BHV16" s="169"/>
      <c r="BHW16" s="169"/>
      <c r="BHX16" s="169"/>
      <c r="BHY16" s="169"/>
      <c r="BHZ16" s="169"/>
      <c r="BIA16" s="169"/>
      <c r="BIB16" s="169"/>
      <c r="BIC16" s="169"/>
      <c r="BID16" s="169"/>
      <c r="BIE16" s="169"/>
      <c r="BIF16" s="169"/>
      <c r="BIG16" s="169"/>
      <c r="BIH16" s="169"/>
      <c r="BII16" s="169"/>
      <c r="BIJ16" s="169"/>
      <c r="BIK16" s="169"/>
      <c r="BIL16" s="169"/>
      <c r="BIM16" s="169"/>
      <c r="BIN16" s="169"/>
      <c r="BIO16" s="169"/>
      <c r="BIP16" s="169"/>
      <c r="BIQ16" s="169"/>
      <c r="BIR16" s="169"/>
      <c r="BIS16" s="169"/>
      <c r="BIT16" s="169"/>
      <c r="BIU16" s="169"/>
      <c r="BIV16" s="169"/>
      <c r="BIW16" s="169"/>
      <c r="BIX16" s="169"/>
      <c r="BIY16" s="169"/>
      <c r="BIZ16" s="169"/>
      <c r="BJA16" s="169"/>
      <c r="BJB16" s="169"/>
      <c r="BJC16" s="169"/>
      <c r="BJD16" s="169"/>
      <c r="BJE16" s="169"/>
      <c r="BJF16" s="169"/>
      <c r="BJG16" s="169"/>
      <c r="BJH16" s="169"/>
      <c r="BJI16" s="169"/>
      <c r="BJJ16" s="169"/>
      <c r="BJK16" s="169"/>
      <c r="BJL16" s="169"/>
      <c r="BJM16" s="169"/>
      <c r="BJN16" s="169"/>
      <c r="BJO16" s="169"/>
      <c r="BJP16" s="169"/>
      <c r="BJQ16" s="169"/>
      <c r="BJR16" s="169"/>
      <c r="BJS16" s="169"/>
      <c r="BJT16" s="169"/>
      <c r="BJU16" s="169"/>
      <c r="BJV16" s="169"/>
      <c r="BJW16" s="169"/>
      <c r="BJX16" s="169"/>
      <c r="BJY16" s="169"/>
      <c r="BJZ16" s="169"/>
      <c r="BKA16" s="169"/>
      <c r="BKB16" s="169"/>
      <c r="BKC16" s="169"/>
      <c r="BKD16" s="169"/>
      <c r="BKE16" s="169"/>
      <c r="BKF16" s="169"/>
      <c r="BKG16" s="169"/>
      <c r="BKH16" s="169"/>
      <c r="BKI16" s="169"/>
      <c r="BKJ16" s="169"/>
      <c r="BKK16" s="169"/>
      <c r="BKL16" s="169"/>
      <c r="BKM16" s="169"/>
      <c r="BKN16" s="169"/>
      <c r="BKO16" s="169"/>
      <c r="BKP16" s="169"/>
      <c r="BKQ16" s="169"/>
      <c r="BKR16" s="169"/>
      <c r="BKS16" s="169"/>
      <c r="BKT16" s="169"/>
      <c r="BKU16" s="169"/>
      <c r="BKV16" s="169"/>
      <c r="BKW16" s="169"/>
      <c r="BKX16" s="169"/>
      <c r="BKY16" s="169"/>
      <c r="BKZ16" s="169"/>
      <c r="BLA16" s="169"/>
      <c r="BLB16" s="169"/>
      <c r="BLC16" s="169"/>
      <c r="BLD16" s="169"/>
      <c r="BLE16" s="169"/>
      <c r="BLF16" s="169"/>
      <c r="BLG16" s="169"/>
      <c r="BLH16" s="169"/>
      <c r="BLI16" s="169"/>
      <c r="BLJ16" s="169"/>
      <c r="BLK16" s="169"/>
      <c r="BLL16" s="169"/>
      <c r="BLM16" s="169"/>
      <c r="BLN16" s="169"/>
      <c r="BLO16" s="169"/>
      <c r="BLP16" s="169"/>
      <c r="BLQ16" s="169"/>
      <c r="BLR16" s="169"/>
      <c r="BLS16" s="169"/>
      <c r="BLT16" s="169"/>
      <c r="BLU16" s="169"/>
      <c r="BLV16" s="169"/>
      <c r="BLW16" s="169"/>
      <c r="BLX16" s="169"/>
      <c r="BLY16" s="169"/>
      <c r="BLZ16" s="169"/>
      <c r="BMA16" s="169"/>
      <c r="BMB16" s="169"/>
      <c r="BMC16" s="169"/>
      <c r="BMD16" s="169"/>
      <c r="BME16" s="169"/>
      <c r="BMF16" s="169"/>
      <c r="BMG16" s="169"/>
      <c r="BMH16" s="169"/>
      <c r="BMI16" s="169"/>
      <c r="BMJ16" s="169"/>
      <c r="BMK16" s="169"/>
      <c r="BML16" s="169"/>
      <c r="BMM16" s="169"/>
      <c r="BMN16" s="169"/>
      <c r="BMO16" s="169"/>
      <c r="BMP16" s="169"/>
      <c r="BMQ16" s="169"/>
      <c r="BMR16" s="169"/>
      <c r="BMS16" s="169"/>
      <c r="BMT16" s="169"/>
      <c r="BMU16" s="169"/>
      <c r="BMV16" s="169"/>
      <c r="BMW16" s="169"/>
      <c r="BMX16" s="169"/>
      <c r="BMY16" s="169"/>
      <c r="BMZ16" s="169"/>
      <c r="BNA16" s="169"/>
      <c r="BNB16" s="169"/>
      <c r="BNC16" s="169"/>
      <c r="BND16" s="169"/>
      <c r="BNE16" s="169"/>
      <c r="BNF16" s="169"/>
      <c r="BNG16" s="169"/>
      <c r="BNH16" s="169"/>
      <c r="BNI16" s="169"/>
      <c r="BNJ16" s="169"/>
      <c r="BNK16" s="169"/>
      <c r="BNL16" s="169"/>
      <c r="BNM16" s="169"/>
      <c r="BNN16" s="169"/>
      <c r="BNO16" s="169"/>
      <c r="BNP16" s="169"/>
      <c r="BNQ16" s="169"/>
      <c r="BNR16" s="169"/>
      <c r="BNS16" s="169"/>
      <c r="BNT16" s="169"/>
      <c r="BNU16" s="169"/>
      <c r="BNV16" s="169"/>
      <c r="BNW16" s="169"/>
      <c r="BNX16" s="169"/>
      <c r="BNY16" s="169"/>
      <c r="BNZ16" s="169"/>
      <c r="BOA16" s="169"/>
      <c r="BOB16" s="169"/>
      <c r="BOC16" s="169"/>
      <c r="BOD16" s="169"/>
      <c r="BOE16" s="169"/>
      <c r="BOF16" s="169"/>
      <c r="BOG16" s="169"/>
      <c r="BOH16" s="169"/>
      <c r="BOI16" s="169"/>
      <c r="BOJ16" s="169"/>
      <c r="BOK16" s="169"/>
      <c r="BOL16" s="169"/>
      <c r="BOM16" s="169"/>
      <c r="BON16" s="169"/>
      <c r="BOO16" s="169"/>
      <c r="BOP16" s="169"/>
      <c r="BOQ16" s="169"/>
      <c r="BOR16" s="169"/>
      <c r="BOS16" s="169"/>
      <c r="BOT16" s="169"/>
      <c r="BOU16" s="169"/>
      <c r="BOV16" s="169"/>
      <c r="BOW16" s="169"/>
      <c r="BOX16" s="169"/>
      <c r="BOY16" s="169"/>
      <c r="BOZ16" s="169"/>
      <c r="BPA16" s="169"/>
      <c r="BPB16" s="169"/>
      <c r="BPC16" s="169"/>
      <c r="BPD16" s="169"/>
      <c r="BPE16" s="169"/>
      <c r="BPF16" s="169"/>
      <c r="BPG16" s="169"/>
      <c r="BPH16" s="169"/>
      <c r="BPI16" s="169"/>
      <c r="BPJ16" s="169"/>
      <c r="BPK16" s="169"/>
      <c r="BPL16" s="169"/>
      <c r="BPM16" s="169"/>
      <c r="BPN16" s="169"/>
      <c r="BPO16" s="169"/>
      <c r="BPP16" s="169"/>
      <c r="BPQ16" s="169"/>
      <c r="BPR16" s="169"/>
      <c r="BPS16" s="169"/>
      <c r="BPT16" s="169"/>
      <c r="BPU16" s="169"/>
      <c r="BPV16" s="169"/>
      <c r="BPW16" s="169"/>
      <c r="BPX16" s="169"/>
      <c r="BPY16" s="169"/>
      <c r="BPZ16" s="169"/>
      <c r="BQA16" s="169"/>
      <c r="BQB16" s="169"/>
      <c r="BQC16" s="169"/>
      <c r="BQD16" s="169"/>
      <c r="BQE16" s="169"/>
      <c r="BQF16" s="169"/>
      <c r="BQG16" s="169"/>
      <c r="BQH16" s="169"/>
      <c r="BQI16" s="169"/>
      <c r="BQJ16" s="169"/>
      <c r="BQK16" s="169"/>
      <c r="BQL16" s="169"/>
      <c r="BQM16" s="169"/>
      <c r="BQN16" s="169"/>
      <c r="BQO16" s="169"/>
      <c r="BQP16" s="169"/>
      <c r="BQQ16" s="169"/>
      <c r="BQR16" s="169"/>
      <c r="BQS16" s="169"/>
      <c r="BQT16" s="169"/>
      <c r="BQU16" s="169"/>
      <c r="BQV16" s="169"/>
      <c r="BQW16" s="169"/>
      <c r="BQX16" s="169"/>
      <c r="BQY16" s="169"/>
      <c r="BQZ16" s="169"/>
      <c r="BRA16" s="169"/>
      <c r="BRB16" s="169"/>
      <c r="BRC16" s="169"/>
      <c r="BRD16" s="169"/>
      <c r="BRE16" s="169"/>
      <c r="BRF16" s="169"/>
      <c r="BRG16" s="169"/>
      <c r="BRH16" s="169"/>
      <c r="BRI16" s="169"/>
      <c r="BRJ16" s="169"/>
      <c r="BRK16" s="169"/>
      <c r="BRL16" s="169"/>
      <c r="BRM16" s="169"/>
      <c r="BRN16" s="169"/>
      <c r="BRO16" s="169"/>
      <c r="BRP16" s="169"/>
      <c r="BRQ16" s="169"/>
      <c r="BRR16" s="169"/>
      <c r="BRS16" s="169"/>
      <c r="BRT16" s="169"/>
      <c r="BRU16" s="169"/>
      <c r="BRV16" s="169"/>
      <c r="BRW16" s="169"/>
      <c r="BRX16" s="169"/>
      <c r="BRY16" s="169"/>
      <c r="BRZ16" s="169"/>
      <c r="BSA16" s="169"/>
      <c r="BSB16" s="169"/>
      <c r="BSC16" s="169"/>
      <c r="BSD16" s="169"/>
      <c r="BSE16" s="169"/>
      <c r="BSF16" s="169"/>
      <c r="BSG16" s="169"/>
      <c r="BSH16" s="169"/>
      <c r="BSI16" s="169"/>
      <c r="BSJ16" s="169"/>
      <c r="BSK16" s="169"/>
      <c r="BSL16" s="169"/>
      <c r="BSM16" s="169"/>
      <c r="BSN16" s="169"/>
      <c r="BSO16" s="169"/>
      <c r="BSP16" s="169"/>
      <c r="BSQ16" s="169"/>
      <c r="BSR16" s="169"/>
      <c r="BSS16" s="169"/>
      <c r="BST16" s="169"/>
      <c r="BSU16" s="169"/>
      <c r="BSV16" s="169"/>
      <c r="BSW16" s="169"/>
      <c r="BSX16" s="169"/>
      <c r="BSY16" s="169"/>
      <c r="BSZ16" s="169"/>
      <c r="BTA16" s="169"/>
      <c r="BTB16" s="169"/>
      <c r="BTC16" s="169"/>
      <c r="BTD16" s="169"/>
      <c r="BTE16" s="169"/>
      <c r="BTF16" s="169"/>
      <c r="BTG16" s="169"/>
      <c r="BTH16" s="169"/>
      <c r="BTI16" s="169"/>
      <c r="BTJ16" s="169"/>
      <c r="BTK16" s="169"/>
      <c r="BTL16" s="169"/>
      <c r="BTM16" s="169"/>
      <c r="BTN16" s="169"/>
      <c r="BTO16" s="169"/>
      <c r="BTP16" s="169"/>
      <c r="BTQ16" s="169"/>
      <c r="BTR16" s="169"/>
      <c r="BTS16" s="169"/>
      <c r="BTT16" s="169"/>
      <c r="BTU16" s="169"/>
      <c r="BTV16" s="169"/>
      <c r="BTW16" s="169"/>
      <c r="BTX16" s="169"/>
      <c r="BTY16" s="169"/>
      <c r="BTZ16" s="169"/>
      <c r="BUA16" s="169"/>
      <c r="BUB16" s="169"/>
      <c r="BUC16" s="169"/>
      <c r="BUD16" s="169"/>
      <c r="BUE16" s="169"/>
      <c r="BUF16" s="169"/>
      <c r="BUG16" s="169"/>
      <c r="BUH16" s="169"/>
      <c r="BUI16" s="169"/>
      <c r="BUJ16" s="169"/>
      <c r="BUK16" s="169"/>
      <c r="BUL16" s="169"/>
      <c r="BUM16" s="169"/>
      <c r="BUN16" s="169"/>
      <c r="BUO16" s="169"/>
      <c r="BUP16" s="169"/>
      <c r="BUQ16" s="169"/>
      <c r="BUR16" s="169"/>
      <c r="BUS16" s="169"/>
      <c r="BUT16" s="169"/>
      <c r="BUU16" s="169"/>
      <c r="BUV16" s="169"/>
      <c r="BUW16" s="169"/>
      <c r="BUX16" s="169"/>
      <c r="BUY16" s="169"/>
      <c r="BUZ16" s="169"/>
      <c r="BVA16" s="169"/>
      <c r="BVB16" s="169"/>
      <c r="BVC16" s="169"/>
      <c r="BVD16" s="169"/>
      <c r="BVE16" s="169"/>
      <c r="BVF16" s="169"/>
      <c r="BVG16" s="169"/>
      <c r="BVH16" s="169"/>
      <c r="BVI16" s="169"/>
      <c r="BVJ16" s="169"/>
      <c r="BVK16" s="169"/>
      <c r="BVL16" s="169"/>
      <c r="BVM16" s="169"/>
      <c r="BVN16" s="169"/>
      <c r="BVO16" s="169"/>
      <c r="BVP16" s="169"/>
      <c r="BVQ16" s="169"/>
      <c r="BVR16" s="169"/>
      <c r="BVS16" s="169"/>
      <c r="BVT16" s="169"/>
      <c r="BVU16" s="169"/>
      <c r="BVV16" s="169"/>
      <c r="BVW16" s="169"/>
      <c r="BVX16" s="169"/>
      <c r="BVY16" s="169"/>
      <c r="BVZ16" s="169"/>
      <c r="BWA16" s="169"/>
      <c r="BWB16" s="169"/>
      <c r="BWC16" s="169"/>
      <c r="BWD16" s="169"/>
      <c r="BWE16" s="169"/>
      <c r="BWF16" s="169"/>
      <c r="BWG16" s="169"/>
      <c r="BWH16" s="169"/>
      <c r="BWI16" s="169"/>
      <c r="BWJ16" s="169"/>
      <c r="BWK16" s="169"/>
      <c r="BWL16" s="169"/>
      <c r="BWM16" s="169"/>
      <c r="BWN16" s="169"/>
      <c r="BWO16" s="169"/>
      <c r="BWP16" s="169"/>
      <c r="BWQ16" s="169"/>
      <c r="BWR16" s="169"/>
      <c r="BWS16" s="169"/>
      <c r="BWT16" s="169"/>
      <c r="BWU16" s="169"/>
      <c r="BWV16" s="169"/>
      <c r="BWW16" s="169"/>
      <c r="BWX16" s="169"/>
      <c r="BWY16" s="169"/>
      <c r="BWZ16" s="169"/>
      <c r="BXA16" s="169"/>
      <c r="BXB16" s="169"/>
      <c r="BXC16" s="169"/>
      <c r="BXD16" s="169"/>
      <c r="BXE16" s="169"/>
      <c r="BXF16" s="169"/>
      <c r="BXG16" s="169"/>
      <c r="BXH16" s="169"/>
      <c r="BXI16" s="169"/>
      <c r="BXJ16" s="169"/>
      <c r="BXK16" s="169"/>
      <c r="BXL16" s="169"/>
      <c r="BXM16" s="169"/>
      <c r="BXN16" s="169"/>
      <c r="BXO16" s="169"/>
      <c r="BXP16" s="169"/>
      <c r="BXQ16" s="169"/>
      <c r="BXR16" s="169"/>
      <c r="BXS16" s="169"/>
      <c r="BXT16" s="169"/>
      <c r="BXU16" s="169"/>
      <c r="BXV16" s="169"/>
      <c r="BXW16" s="169"/>
      <c r="BXX16" s="169"/>
      <c r="BXY16" s="169"/>
      <c r="BXZ16" s="169"/>
      <c r="BYA16" s="169"/>
      <c r="BYB16" s="169"/>
      <c r="BYC16" s="169"/>
      <c r="BYD16" s="169"/>
      <c r="BYE16" s="169"/>
      <c r="BYF16" s="169"/>
      <c r="BYG16" s="169"/>
      <c r="BYH16" s="169"/>
      <c r="BYI16" s="169"/>
      <c r="BYJ16" s="169"/>
      <c r="BYK16" s="169"/>
      <c r="BYL16" s="169"/>
      <c r="BYM16" s="169"/>
      <c r="BYN16" s="169"/>
      <c r="BYO16" s="169"/>
      <c r="BYP16" s="169"/>
      <c r="BYQ16" s="169"/>
      <c r="BYR16" s="169"/>
      <c r="BYS16" s="169"/>
      <c r="BYT16" s="169"/>
      <c r="BYU16" s="169"/>
      <c r="BYV16" s="169"/>
      <c r="BYW16" s="169"/>
      <c r="BYX16" s="169"/>
      <c r="BYY16" s="169"/>
      <c r="BYZ16" s="169"/>
      <c r="BZA16" s="169"/>
      <c r="BZB16" s="169"/>
      <c r="BZC16" s="169"/>
      <c r="BZD16" s="169"/>
      <c r="BZE16" s="169"/>
      <c r="BZF16" s="169"/>
      <c r="BZG16" s="169"/>
      <c r="BZH16" s="169"/>
      <c r="BZI16" s="169"/>
      <c r="BZJ16" s="169"/>
      <c r="BZK16" s="169"/>
      <c r="BZL16" s="169"/>
      <c r="BZM16" s="169"/>
      <c r="BZN16" s="169"/>
      <c r="BZO16" s="169"/>
      <c r="BZP16" s="169"/>
      <c r="BZQ16" s="169"/>
      <c r="BZR16" s="169"/>
      <c r="BZS16" s="169"/>
      <c r="BZT16" s="169"/>
      <c r="BZU16" s="169"/>
      <c r="BZV16" s="169"/>
      <c r="BZW16" s="169"/>
      <c r="BZX16" s="169"/>
      <c r="BZY16" s="169"/>
      <c r="BZZ16" s="169"/>
      <c r="CAA16" s="169"/>
      <c r="CAB16" s="169"/>
      <c r="CAC16" s="169"/>
      <c r="CAD16" s="169"/>
      <c r="CAE16" s="169"/>
      <c r="CAF16" s="169"/>
      <c r="CAG16" s="169"/>
      <c r="CAH16" s="169"/>
      <c r="CAI16" s="169"/>
      <c r="CAJ16" s="169"/>
      <c r="CAK16" s="169"/>
      <c r="CAL16" s="169"/>
      <c r="CAM16" s="169"/>
      <c r="CAN16" s="169"/>
      <c r="CAO16" s="169"/>
      <c r="CAP16" s="169"/>
      <c r="CAQ16" s="169"/>
      <c r="CAR16" s="169"/>
      <c r="CAS16" s="169"/>
      <c r="CAT16" s="169"/>
      <c r="CAU16" s="169"/>
      <c r="CAV16" s="169"/>
      <c r="CAW16" s="169"/>
      <c r="CAX16" s="169"/>
      <c r="CAY16" s="169"/>
      <c r="CAZ16" s="169"/>
      <c r="CBA16" s="169"/>
      <c r="CBB16" s="169"/>
      <c r="CBC16" s="169"/>
      <c r="CBD16" s="169"/>
      <c r="CBE16" s="169"/>
      <c r="CBF16" s="169"/>
      <c r="CBG16" s="169"/>
      <c r="CBH16" s="169"/>
      <c r="CBI16" s="169"/>
      <c r="CBJ16" s="169"/>
      <c r="CBK16" s="169"/>
      <c r="CBL16" s="169"/>
      <c r="CBM16" s="169"/>
      <c r="CBN16" s="169"/>
      <c r="CBO16" s="169"/>
      <c r="CBP16" s="169"/>
      <c r="CBQ16" s="169"/>
      <c r="CBR16" s="169"/>
      <c r="CBS16" s="169"/>
      <c r="CBT16" s="169"/>
      <c r="CBU16" s="169"/>
      <c r="CBV16" s="169"/>
      <c r="CBW16" s="169"/>
      <c r="CBX16" s="169"/>
      <c r="CBY16" s="169"/>
      <c r="CBZ16" s="169"/>
      <c r="CCA16" s="169"/>
      <c r="CCB16" s="169"/>
      <c r="CCC16" s="169"/>
      <c r="CCD16" s="169"/>
      <c r="CCE16" s="169"/>
      <c r="CCF16" s="169"/>
      <c r="CCG16" s="169"/>
      <c r="CCH16" s="169"/>
      <c r="CCI16" s="169"/>
      <c r="CCJ16" s="169"/>
      <c r="CCK16" s="169"/>
      <c r="CCL16" s="169"/>
      <c r="CCM16" s="169"/>
      <c r="CCN16" s="169"/>
      <c r="CCO16" s="169"/>
      <c r="CCP16" s="169"/>
      <c r="CCQ16" s="169"/>
      <c r="CCR16" s="169"/>
      <c r="CCS16" s="169"/>
      <c r="CCT16" s="169"/>
      <c r="CCU16" s="169"/>
      <c r="CCV16" s="169"/>
      <c r="CCW16" s="169"/>
      <c r="CCX16" s="169"/>
      <c r="CCY16" s="169"/>
      <c r="CCZ16" s="169"/>
      <c r="CDA16" s="169"/>
      <c r="CDB16" s="169"/>
      <c r="CDC16" s="169"/>
      <c r="CDD16" s="169"/>
      <c r="CDE16" s="169"/>
      <c r="CDF16" s="169"/>
      <c r="CDG16" s="169"/>
      <c r="CDH16" s="169"/>
      <c r="CDI16" s="169"/>
      <c r="CDJ16" s="169"/>
      <c r="CDK16" s="169"/>
      <c r="CDL16" s="169"/>
      <c r="CDM16" s="169"/>
      <c r="CDN16" s="169"/>
      <c r="CDO16" s="169"/>
      <c r="CDP16" s="169"/>
      <c r="CDQ16" s="169"/>
      <c r="CDR16" s="169"/>
      <c r="CDS16" s="169"/>
      <c r="CDT16" s="169"/>
      <c r="CDU16" s="169"/>
      <c r="CDV16" s="169"/>
      <c r="CDW16" s="169"/>
      <c r="CDX16" s="169"/>
      <c r="CDY16" s="169"/>
      <c r="CDZ16" s="169"/>
      <c r="CEA16" s="169"/>
      <c r="CEB16" s="169"/>
      <c r="CEC16" s="169"/>
      <c r="CED16" s="169"/>
      <c r="CEE16" s="169"/>
      <c r="CEF16" s="169"/>
      <c r="CEG16" s="169"/>
      <c r="CEH16" s="169"/>
      <c r="CEI16" s="169"/>
      <c r="CEJ16" s="169"/>
      <c r="CEK16" s="169"/>
      <c r="CEL16" s="169"/>
      <c r="CEM16" s="169"/>
      <c r="CEN16" s="169"/>
      <c r="CEO16" s="169"/>
      <c r="CEP16" s="169"/>
      <c r="CEQ16" s="169"/>
      <c r="CER16" s="169"/>
      <c r="CES16" s="169"/>
      <c r="CET16" s="169"/>
      <c r="CEU16" s="169"/>
      <c r="CEV16" s="169"/>
      <c r="CEW16" s="169"/>
      <c r="CEX16" s="169"/>
      <c r="CEY16" s="169"/>
      <c r="CEZ16" s="169"/>
      <c r="CFA16" s="169"/>
      <c r="CFB16" s="169"/>
      <c r="CFC16" s="169"/>
      <c r="CFD16" s="169"/>
      <c r="CFE16" s="169"/>
      <c r="CFF16" s="169"/>
      <c r="CFG16" s="169"/>
      <c r="CFH16" s="169"/>
      <c r="CFI16" s="169"/>
      <c r="CFJ16" s="169"/>
      <c r="CFK16" s="169"/>
      <c r="CFL16" s="169"/>
      <c r="CFM16" s="169"/>
      <c r="CFN16" s="169"/>
      <c r="CFO16" s="169"/>
      <c r="CFP16" s="169"/>
      <c r="CFQ16" s="169"/>
      <c r="CFR16" s="169"/>
      <c r="CFS16" s="169"/>
      <c r="CFT16" s="169"/>
      <c r="CFU16" s="169"/>
      <c r="CFV16" s="169"/>
      <c r="CFW16" s="169"/>
      <c r="CFX16" s="169"/>
      <c r="CFY16" s="169"/>
      <c r="CFZ16" s="169"/>
      <c r="CGA16" s="169"/>
      <c r="CGB16" s="169"/>
      <c r="CGC16" s="169"/>
      <c r="CGD16" s="169"/>
      <c r="CGE16" s="169"/>
      <c r="CGF16" s="169"/>
      <c r="CGG16" s="169"/>
      <c r="CGH16" s="169"/>
      <c r="CGI16" s="169"/>
      <c r="CGJ16" s="169"/>
      <c r="CGK16" s="169"/>
      <c r="CGL16" s="169"/>
      <c r="CGM16" s="169"/>
      <c r="CGN16" s="169"/>
      <c r="CGO16" s="169"/>
      <c r="CGP16" s="169"/>
      <c r="CGQ16" s="169"/>
      <c r="CGR16" s="169"/>
      <c r="CGS16" s="169"/>
      <c r="CGT16" s="169"/>
      <c r="CGU16" s="169"/>
      <c r="CGV16" s="169"/>
      <c r="CGW16" s="169"/>
      <c r="CGX16" s="169"/>
      <c r="CGY16" s="169"/>
      <c r="CGZ16" s="169"/>
      <c r="CHA16" s="169"/>
      <c r="CHB16" s="169"/>
      <c r="CHC16" s="169"/>
      <c r="CHD16" s="169"/>
      <c r="CHE16" s="169"/>
      <c r="CHF16" s="169"/>
      <c r="CHG16" s="169"/>
      <c r="CHH16" s="169"/>
      <c r="CHI16" s="169"/>
      <c r="CHJ16" s="169"/>
      <c r="CHK16" s="169"/>
      <c r="CHL16" s="169"/>
      <c r="CHM16" s="169"/>
      <c r="CHN16" s="169"/>
      <c r="CHO16" s="169"/>
      <c r="CHP16" s="169"/>
      <c r="CHQ16" s="169"/>
      <c r="CHR16" s="169"/>
      <c r="CHS16" s="169"/>
      <c r="CHT16" s="169"/>
      <c r="CHU16" s="169"/>
      <c r="CHV16" s="169"/>
      <c r="CHW16" s="169"/>
      <c r="CHX16" s="169"/>
      <c r="CHY16" s="169"/>
      <c r="CHZ16" s="169"/>
      <c r="CIA16" s="169"/>
      <c r="CIB16" s="169"/>
      <c r="CIC16" s="169"/>
      <c r="CID16" s="169"/>
      <c r="CIE16" s="169"/>
      <c r="CIF16" s="169"/>
      <c r="CIG16" s="169"/>
      <c r="CIH16" s="169"/>
      <c r="CII16" s="169"/>
      <c r="CIJ16" s="169"/>
      <c r="CIK16" s="169"/>
      <c r="CIL16" s="169"/>
      <c r="CIM16" s="169"/>
      <c r="CIN16" s="169"/>
      <c r="CIO16" s="169"/>
      <c r="CIP16" s="169"/>
      <c r="CIQ16" s="169"/>
      <c r="CIR16" s="169"/>
      <c r="CIS16" s="169"/>
      <c r="CIT16" s="169"/>
      <c r="CIU16" s="169"/>
      <c r="CIV16" s="169"/>
      <c r="CIW16" s="169"/>
      <c r="CIX16" s="169"/>
      <c r="CIY16" s="169"/>
      <c r="CIZ16" s="169"/>
      <c r="CJA16" s="169"/>
      <c r="CJB16" s="169"/>
      <c r="CJC16" s="169"/>
      <c r="CJD16" s="169"/>
      <c r="CJE16" s="169"/>
      <c r="CJF16" s="169"/>
      <c r="CJG16" s="169"/>
      <c r="CJH16" s="169"/>
      <c r="CJI16" s="169"/>
      <c r="CJJ16" s="169"/>
      <c r="CJK16" s="169"/>
      <c r="CJL16" s="169"/>
      <c r="CJM16" s="169"/>
      <c r="CJN16" s="169"/>
      <c r="CJO16" s="169"/>
      <c r="CJP16" s="169"/>
      <c r="CJQ16" s="169"/>
      <c r="CJR16" s="169"/>
      <c r="CJS16" s="169"/>
      <c r="CJT16" s="169"/>
      <c r="CJU16" s="169"/>
      <c r="CJV16" s="169"/>
      <c r="CJW16" s="169"/>
      <c r="CJX16" s="169"/>
      <c r="CJY16" s="169"/>
      <c r="CJZ16" s="169"/>
      <c r="CKA16" s="169"/>
      <c r="CKB16" s="169"/>
      <c r="CKC16" s="169"/>
      <c r="CKD16" s="169"/>
      <c r="CKE16" s="169"/>
      <c r="CKF16" s="169"/>
      <c r="CKG16" s="169"/>
      <c r="CKH16" s="169"/>
      <c r="CKI16" s="169"/>
      <c r="CKJ16" s="169"/>
      <c r="CKK16" s="169"/>
      <c r="CKL16" s="169"/>
      <c r="CKM16" s="169"/>
      <c r="CKN16" s="169"/>
      <c r="CKO16" s="169"/>
      <c r="CKP16" s="169"/>
      <c r="CKQ16" s="169"/>
      <c r="CKR16" s="169"/>
      <c r="CKS16" s="169"/>
      <c r="CKT16" s="169"/>
      <c r="CKU16" s="169"/>
      <c r="CKV16" s="169"/>
      <c r="CKW16" s="169"/>
      <c r="CKX16" s="169"/>
      <c r="CKY16" s="169"/>
      <c r="CKZ16" s="169"/>
      <c r="CLA16" s="169"/>
      <c r="CLB16" s="169"/>
      <c r="CLC16" s="169"/>
      <c r="CLD16" s="169"/>
      <c r="CLE16" s="169"/>
      <c r="CLF16" s="169"/>
      <c r="CLG16" s="169"/>
      <c r="CLH16" s="169"/>
      <c r="CLI16" s="169"/>
      <c r="CLJ16" s="169"/>
      <c r="CLK16" s="169"/>
      <c r="CLL16" s="169"/>
      <c r="CLM16" s="169"/>
      <c r="CLN16" s="169"/>
      <c r="CLO16" s="169"/>
      <c r="CLP16" s="169"/>
      <c r="CLQ16" s="169"/>
      <c r="CLR16" s="169"/>
      <c r="CLS16" s="169"/>
      <c r="CLT16" s="169"/>
      <c r="CLU16" s="169"/>
      <c r="CLV16" s="169"/>
      <c r="CLW16" s="169"/>
      <c r="CLX16" s="169"/>
      <c r="CLY16" s="169"/>
      <c r="CLZ16" s="169"/>
      <c r="CMA16" s="169"/>
      <c r="CMB16" s="169"/>
      <c r="CMC16" s="169"/>
      <c r="CMD16" s="169"/>
      <c r="CME16" s="169"/>
      <c r="CMF16" s="169"/>
      <c r="CMG16" s="169"/>
      <c r="CMH16" s="169"/>
      <c r="CMI16" s="169"/>
      <c r="CMJ16" s="169"/>
      <c r="CMK16" s="169"/>
      <c r="CML16" s="169"/>
      <c r="CMM16" s="169"/>
      <c r="CMN16" s="169"/>
      <c r="CMO16" s="169"/>
      <c r="CMP16" s="169"/>
      <c r="CMQ16" s="169"/>
      <c r="CMR16" s="169"/>
      <c r="CMS16" s="169"/>
      <c r="CMT16" s="169"/>
      <c r="CMU16" s="169"/>
      <c r="CMV16" s="169"/>
      <c r="CMW16" s="169"/>
      <c r="CMX16" s="169"/>
      <c r="CMY16" s="169"/>
      <c r="CMZ16" s="169"/>
      <c r="CNA16" s="169"/>
      <c r="CNB16" s="169"/>
      <c r="CNC16" s="169"/>
      <c r="CND16" s="169"/>
      <c r="CNE16" s="169"/>
      <c r="CNF16" s="169"/>
      <c r="CNG16" s="169"/>
      <c r="CNH16" s="169"/>
      <c r="CNI16" s="169"/>
      <c r="CNJ16" s="169"/>
      <c r="CNK16" s="169"/>
      <c r="CNL16" s="169"/>
      <c r="CNM16" s="169"/>
      <c r="CNN16" s="169"/>
      <c r="CNO16" s="169"/>
      <c r="CNP16" s="169"/>
      <c r="CNQ16" s="169"/>
      <c r="CNR16" s="169"/>
      <c r="CNS16" s="169"/>
      <c r="CNT16" s="169"/>
      <c r="CNU16" s="169"/>
      <c r="CNV16" s="169"/>
      <c r="CNW16" s="169"/>
      <c r="CNX16" s="169"/>
      <c r="CNY16" s="169"/>
      <c r="CNZ16" s="169"/>
      <c r="COA16" s="169"/>
      <c r="COB16" s="169"/>
      <c r="COC16" s="169"/>
      <c r="COD16" s="169"/>
      <c r="COE16" s="169"/>
      <c r="COF16" s="169"/>
      <c r="COG16" s="169"/>
      <c r="COH16" s="169"/>
      <c r="COI16" s="169"/>
      <c r="COJ16" s="169"/>
      <c r="COK16" s="169"/>
      <c r="COL16" s="169"/>
      <c r="COM16" s="169"/>
      <c r="CON16" s="169"/>
      <c r="COO16" s="169"/>
      <c r="COP16" s="169"/>
      <c r="COQ16" s="169"/>
      <c r="COR16" s="169"/>
      <c r="COS16" s="169"/>
      <c r="COT16" s="169"/>
      <c r="COU16" s="169"/>
      <c r="COV16" s="169"/>
      <c r="COW16" s="169"/>
      <c r="COX16" s="169"/>
      <c r="COY16" s="169"/>
      <c r="COZ16" s="169"/>
      <c r="CPA16" s="169"/>
      <c r="CPB16" s="169"/>
      <c r="CPC16" s="169"/>
      <c r="CPD16" s="169"/>
      <c r="CPE16" s="169"/>
      <c r="CPF16" s="169"/>
      <c r="CPG16" s="169"/>
      <c r="CPH16" s="169"/>
      <c r="CPI16" s="169"/>
      <c r="CPJ16" s="169"/>
      <c r="CPK16" s="169"/>
      <c r="CPL16" s="169"/>
      <c r="CPM16" s="169"/>
      <c r="CPN16" s="169"/>
      <c r="CPO16" s="169"/>
      <c r="CPP16" s="169"/>
      <c r="CPQ16" s="169"/>
      <c r="CPR16" s="169"/>
      <c r="CPS16" s="169"/>
      <c r="CPT16" s="169"/>
      <c r="CPU16" s="169"/>
      <c r="CPV16" s="169"/>
      <c r="CPW16" s="169"/>
      <c r="CPX16" s="169"/>
      <c r="CPY16" s="169"/>
      <c r="CPZ16" s="169"/>
      <c r="CQA16" s="169"/>
      <c r="CQB16" s="169"/>
      <c r="CQC16" s="169"/>
      <c r="CQD16" s="169"/>
      <c r="CQE16" s="169"/>
      <c r="CQF16" s="169"/>
      <c r="CQG16" s="169"/>
      <c r="CQH16" s="169"/>
      <c r="CQI16" s="169"/>
      <c r="CQJ16" s="169"/>
      <c r="CQK16" s="169"/>
      <c r="CQL16" s="169"/>
      <c r="CQM16" s="169"/>
      <c r="CQN16" s="169"/>
      <c r="CQO16" s="169"/>
      <c r="CQP16" s="169"/>
      <c r="CQQ16" s="169"/>
      <c r="CQR16" s="169"/>
      <c r="CQS16" s="169"/>
      <c r="CQT16" s="169"/>
      <c r="CQU16" s="169"/>
      <c r="CQV16" s="169"/>
      <c r="CQW16" s="169"/>
      <c r="CQX16" s="169"/>
      <c r="CQY16" s="169"/>
      <c r="CQZ16" s="169"/>
      <c r="CRA16" s="169"/>
      <c r="CRB16" s="169"/>
      <c r="CRC16" s="169"/>
      <c r="CRD16" s="169"/>
      <c r="CRE16" s="169"/>
      <c r="CRF16" s="169"/>
      <c r="CRG16" s="169"/>
      <c r="CRH16" s="169"/>
      <c r="CRI16" s="169"/>
      <c r="CRJ16" s="169"/>
      <c r="CRK16" s="169"/>
      <c r="CRL16" s="169"/>
      <c r="CRM16" s="169"/>
      <c r="CRN16" s="169"/>
      <c r="CRO16" s="169"/>
      <c r="CRP16" s="169"/>
      <c r="CRQ16" s="169"/>
      <c r="CRR16" s="169"/>
      <c r="CRS16" s="169"/>
      <c r="CRT16" s="169"/>
      <c r="CRU16" s="169"/>
      <c r="CRV16" s="169"/>
      <c r="CRW16" s="169"/>
      <c r="CRX16" s="169"/>
      <c r="CRY16" s="169"/>
      <c r="CRZ16" s="169"/>
      <c r="CSA16" s="169"/>
      <c r="CSB16" s="169"/>
      <c r="CSC16" s="169"/>
      <c r="CSD16" s="169"/>
      <c r="CSE16" s="169"/>
      <c r="CSF16" s="169"/>
      <c r="CSG16" s="169"/>
      <c r="CSH16" s="169"/>
      <c r="CSI16" s="169"/>
      <c r="CSJ16" s="169"/>
      <c r="CSK16" s="169"/>
      <c r="CSL16" s="169"/>
      <c r="CSM16" s="169"/>
      <c r="CSN16" s="169"/>
      <c r="CSO16" s="169"/>
      <c r="CSP16" s="169"/>
      <c r="CSQ16" s="169"/>
      <c r="CSR16" s="169"/>
      <c r="CSS16" s="169"/>
      <c r="CST16" s="169"/>
      <c r="CSU16" s="169"/>
      <c r="CSV16" s="169"/>
      <c r="CSW16" s="169"/>
      <c r="CSX16" s="169"/>
      <c r="CSY16" s="169"/>
      <c r="CSZ16" s="169"/>
      <c r="CTA16" s="169"/>
      <c r="CTB16" s="169"/>
      <c r="CTC16" s="169"/>
      <c r="CTD16" s="169"/>
      <c r="CTE16" s="169"/>
      <c r="CTF16" s="169"/>
      <c r="CTG16" s="169"/>
      <c r="CTH16" s="169"/>
      <c r="CTI16" s="169"/>
      <c r="CTJ16" s="169"/>
      <c r="CTK16" s="169"/>
      <c r="CTL16" s="169"/>
      <c r="CTM16" s="169"/>
      <c r="CTN16" s="169"/>
      <c r="CTO16" s="169"/>
      <c r="CTP16" s="169"/>
      <c r="CTQ16" s="169"/>
      <c r="CTR16" s="169"/>
      <c r="CTS16" s="169"/>
      <c r="CTT16" s="169"/>
      <c r="CTU16" s="169"/>
      <c r="CTV16" s="169"/>
      <c r="CTW16" s="169"/>
      <c r="CTX16" s="169"/>
      <c r="CTY16" s="169"/>
      <c r="CTZ16" s="169"/>
      <c r="CUA16" s="169"/>
      <c r="CUB16" s="169"/>
      <c r="CUC16" s="169"/>
      <c r="CUD16" s="169"/>
      <c r="CUE16" s="169"/>
      <c r="CUF16" s="169"/>
      <c r="CUG16" s="169"/>
      <c r="CUH16" s="169"/>
      <c r="CUI16" s="169"/>
      <c r="CUJ16" s="169"/>
      <c r="CUK16" s="169"/>
      <c r="CUL16" s="169"/>
      <c r="CUM16" s="169"/>
      <c r="CUN16" s="169"/>
      <c r="CUO16" s="169"/>
      <c r="CUP16" s="169"/>
      <c r="CUQ16" s="169"/>
      <c r="CUR16" s="169"/>
      <c r="CUS16" s="169"/>
      <c r="CUT16" s="169"/>
      <c r="CUU16" s="169"/>
      <c r="CUV16" s="169"/>
      <c r="CUW16" s="169"/>
      <c r="CUX16" s="169"/>
      <c r="CUY16" s="169"/>
      <c r="CUZ16" s="169"/>
      <c r="CVA16" s="169"/>
      <c r="CVB16" s="169"/>
      <c r="CVC16" s="169"/>
      <c r="CVD16" s="169"/>
      <c r="CVE16" s="169"/>
      <c r="CVF16" s="169"/>
      <c r="CVG16" s="169"/>
      <c r="CVH16" s="169"/>
      <c r="CVI16" s="169"/>
      <c r="CVJ16" s="169"/>
      <c r="CVK16" s="169"/>
      <c r="CVL16" s="169"/>
      <c r="CVM16" s="169"/>
      <c r="CVN16" s="169"/>
      <c r="CVO16" s="169"/>
      <c r="CVP16" s="169"/>
      <c r="CVQ16" s="169"/>
      <c r="CVR16" s="169"/>
      <c r="CVS16" s="169"/>
      <c r="CVT16" s="169"/>
      <c r="CVU16" s="169"/>
      <c r="CVV16" s="169"/>
      <c r="CVW16" s="169"/>
      <c r="CVX16" s="169"/>
      <c r="CVY16" s="169"/>
      <c r="CVZ16" s="169"/>
      <c r="CWA16" s="169"/>
      <c r="CWB16" s="169"/>
      <c r="CWC16" s="169"/>
      <c r="CWD16" s="169"/>
      <c r="CWE16" s="169"/>
      <c r="CWF16" s="169"/>
      <c r="CWG16" s="169"/>
      <c r="CWH16" s="169"/>
      <c r="CWI16" s="169"/>
      <c r="CWJ16" s="169"/>
      <c r="CWK16" s="169"/>
      <c r="CWL16" s="169"/>
      <c r="CWM16" s="169"/>
      <c r="CWN16" s="169"/>
      <c r="CWO16" s="169"/>
      <c r="CWP16" s="169"/>
      <c r="CWQ16" s="169"/>
      <c r="CWR16" s="169"/>
      <c r="CWS16" s="169"/>
      <c r="CWT16" s="169"/>
      <c r="CWU16" s="169"/>
      <c r="CWV16" s="169"/>
      <c r="CWW16" s="169"/>
      <c r="CWX16" s="169"/>
      <c r="CWY16" s="169"/>
      <c r="CWZ16" s="169"/>
      <c r="CXA16" s="169"/>
      <c r="CXB16" s="169"/>
      <c r="CXC16" s="169"/>
      <c r="CXD16" s="169"/>
      <c r="CXE16" s="169"/>
      <c r="CXF16" s="169"/>
      <c r="CXG16" s="169"/>
      <c r="CXH16" s="169"/>
      <c r="CXI16" s="169"/>
      <c r="CXJ16" s="169"/>
      <c r="CXK16" s="169"/>
      <c r="CXL16" s="169"/>
      <c r="CXM16" s="169"/>
      <c r="CXN16" s="169"/>
      <c r="CXO16" s="169"/>
      <c r="CXP16" s="169"/>
      <c r="CXQ16" s="169"/>
      <c r="CXR16" s="169"/>
      <c r="CXS16" s="169"/>
      <c r="CXT16" s="169"/>
      <c r="CXU16" s="169"/>
      <c r="CXV16" s="169"/>
      <c r="CXW16" s="169"/>
      <c r="CXX16" s="169"/>
      <c r="CXY16" s="169"/>
      <c r="CXZ16" s="169"/>
      <c r="CYA16" s="169"/>
      <c r="CYB16" s="169"/>
      <c r="CYC16" s="169"/>
      <c r="CYD16" s="169"/>
      <c r="CYE16" s="169"/>
      <c r="CYF16" s="169"/>
      <c r="CYG16" s="169"/>
      <c r="CYH16" s="169"/>
      <c r="CYI16" s="169"/>
      <c r="CYJ16" s="169"/>
      <c r="CYK16" s="169"/>
      <c r="CYL16" s="169"/>
      <c r="CYM16" s="169"/>
      <c r="CYN16" s="169"/>
      <c r="CYO16" s="169"/>
      <c r="CYP16" s="169"/>
      <c r="CYQ16" s="169"/>
      <c r="CYR16" s="169"/>
      <c r="CYS16" s="169"/>
      <c r="CYT16" s="169"/>
      <c r="CYU16" s="169"/>
      <c r="CYV16" s="169"/>
      <c r="CYW16" s="169"/>
      <c r="CYX16" s="169"/>
      <c r="CYY16" s="169"/>
      <c r="CYZ16" s="169"/>
      <c r="CZA16" s="169"/>
      <c r="CZB16" s="169"/>
      <c r="CZC16" s="169"/>
      <c r="CZD16" s="169"/>
      <c r="CZE16" s="169"/>
      <c r="CZF16" s="169"/>
      <c r="CZG16" s="169"/>
      <c r="CZH16" s="169"/>
      <c r="CZI16" s="169"/>
      <c r="CZJ16" s="169"/>
      <c r="CZK16" s="169"/>
      <c r="CZL16" s="169"/>
      <c r="CZM16" s="169"/>
      <c r="CZN16" s="169"/>
      <c r="CZO16" s="169"/>
      <c r="CZP16" s="169"/>
      <c r="CZQ16" s="169"/>
      <c r="CZR16" s="169"/>
      <c r="CZS16" s="169"/>
      <c r="CZT16" s="169"/>
      <c r="CZU16" s="169"/>
      <c r="CZV16" s="169"/>
      <c r="CZW16" s="169"/>
      <c r="CZX16" s="169"/>
      <c r="CZY16" s="169"/>
      <c r="CZZ16" s="169"/>
      <c r="DAA16" s="169"/>
      <c r="DAB16" s="169"/>
      <c r="DAC16" s="169"/>
      <c r="DAD16" s="169"/>
      <c r="DAE16" s="169"/>
      <c r="DAF16" s="169"/>
      <c r="DAG16" s="169"/>
      <c r="DAH16" s="169"/>
      <c r="DAI16" s="169"/>
      <c r="DAJ16" s="169"/>
      <c r="DAK16" s="169"/>
      <c r="DAL16" s="169"/>
      <c r="DAM16" s="169"/>
      <c r="DAN16" s="169"/>
      <c r="DAO16" s="169"/>
      <c r="DAP16" s="169"/>
      <c r="DAQ16" s="169"/>
      <c r="DAR16" s="169"/>
      <c r="DAS16" s="169"/>
      <c r="DAT16" s="169"/>
      <c r="DAU16" s="169"/>
      <c r="DAV16" s="169"/>
      <c r="DAW16" s="169"/>
      <c r="DAX16" s="169"/>
      <c r="DAY16" s="169"/>
      <c r="DAZ16" s="169"/>
      <c r="DBA16" s="169"/>
      <c r="DBB16" s="169"/>
      <c r="DBC16" s="169"/>
      <c r="DBD16" s="169"/>
      <c r="DBE16" s="169"/>
      <c r="DBF16" s="169"/>
      <c r="DBG16" s="169"/>
      <c r="DBH16" s="169"/>
      <c r="DBI16" s="169"/>
      <c r="DBJ16" s="169"/>
      <c r="DBK16" s="169"/>
      <c r="DBL16" s="169"/>
      <c r="DBM16" s="169"/>
      <c r="DBN16" s="169"/>
      <c r="DBO16" s="169"/>
      <c r="DBP16" s="169"/>
      <c r="DBQ16" s="169"/>
      <c r="DBR16" s="169"/>
      <c r="DBS16" s="169"/>
      <c r="DBT16" s="169"/>
      <c r="DBU16" s="169"/>
      <c r="DBV16" s="169"/>
      <c r="DBW16" s="169"/>
      <c r="DBX16" s="169"/>
      <c r="DBY16" s="169"/>
      <c r="DBZ16" s="169"/>
      <c r="DCA16" s="169"/>
      <c r="DCB16" s="169"/>
      <c r="DCC16" s="169"/>
      <c r="DCD16" s="169"/>
      <c r="DCE16" s="169"/>
      <c r="DCF16" s="169"/>
      <c r="DCG16" s="169"/>
      <c r="DCH16" s="169"/>
      <c r="DCI16" s="169"/>
      <c r="DCJ16" s="169"/>
      <c r="DCK16" s="169"/>
      <c r="DCL16" s="169"/>
      <c r="DCM16" s="169"/>
      <c r="DCN16" s="169"/>
      <c r="DCO16" s="169"/>
      <c r="DCP16" s="169"/>
      <c r="DCQ16" s="169"/>
      <c r="DCR16" s="169"/>
      <c r="DCS16" s="169"/>
      <c r="DCT16" s="169"/>
      <c r="DCU16" s="169"/>
      <c r="DCV16" s="169"/>
      <c r="DCW16" s="169"/>
      <c r="DCX16" s="169"/>
      <c r="DCY16" s="169"/>
      <c r="DCZ16" s="169"/>
      <c r="DDA16" s="169"/>
      <c r="DDB16" s="169"/>
      <c r="DDC16" s="169"/>
      <c r="DDD16" s="169"/>
      <c r="DDE16" s="169"/>
      <c r="DDF16" s="169"/>
      <c r="DDG16" s="169"/>
      <c r="DDH16" s="169"/>
      <c r="DDI16" s="169"/>
      <c r="DDJ16" s="169"/>
      <c r="DDK16" s="169"/>
      <c r="DDL16" s="169"/>
      <c r="DDM16" s="169"/>
      <c r="DDN16" s="169"/>
      <c r="DDO16" s="169"/>
      <c r="DDP16" s="169"/>
      <c r="DDQ16" s="169"/>
      <c r="DDR16" s="169"/>
      <c r="DDS16" s="169"/>
      <c r="DDT16" s="169"/>
      <c r="DDU16" s="169"/>
      <c r="DDV16" s="169"/>
      <c r="DDW16" s="169"/>
      <c r="DDX16" s="169"/>
      <c r="DDY16" s="169"/>
      <c r="DDZ16" s="169"/>
      <c r="DEA16" s="169"/>
      <c r="DEB16" s="169"/>
      <c r="DEC16" s="169"/>
      <c r="DED16" s="169"/>
      <c r="DEE16" s="169"/>
      <c r="DEF16" s="169"/>
      <c r="DEG16" s="169"/>
      <c r="DEH16" s="169"/>
      <c r="DEI16" s="169"/>
      <c r="DEJ16" s="169"/>
      <c r="DEK16" s="169"/>
      <c r="DEL16" s="169"/>
      <c r="DEM16" s="169"/>
      <c r="DEN16" s="169"/>
      <c r="DEO16" s="169"/>
      <c r="DEP16" s="169"/>
      <c r="DEQ16" s="169"/>
      <c r="DER16" s="169"/>
      <c r="DES16" s="169"/>
      <c r="DET16" s="169"/>
      <c r="DEU16" s="169"/>
      <c r="DEV16" s="169"/>
      <c r="DEW16" s="169"/>
      <c r="DEX16" s="169"/>
      <c r="DEY16" s="169"/>
      <c r="DEZ16" s="169"/>
      <c r="DFA16" s="169"/>
      <c r="DFB16" s="169"/>
      <c r="DFC16" s="169"/>
      <c r="DFD16" s="169"/>
      <c r="DFE16" s="169"/>
      <c r="DFF16" s="169"/>
      <c r="DFG16" s="169"/>
      <c r="DFH16" s="169"/>
      <c r="DFI16" s="169"/>
      <c r="DFJ16" s="169"/>
      <c r="DFK16" s="169"/>
      <c r="DFL16" s="169"/>
      <c r="DFM16" s="169"/>
      <c r="DFN16" s="169"/>
      <c r="DFO16" s="169"/>
      <c r="DFP16" s="169"/>
      <c r="DFQ16" s="169"/>
      <c r="DFR16" s="169"/>
      <c r="DFS16" s="169"/>
      <c r="DFT16" s="169"/>
      <c r="DFU16" s="169"/>
      <c r="DFV16" s="169"/>
      <c r="DFW16" s="169"/>
      <c r="DFX16" s="169"/>
      <c r="DFY16" s="169"/>
      <c r="DFZ16" s="169"/>
      <c r="DGA16" s="169"/>
      <c r="DGB16" s="169"/>
      <c r="DGC16" s="169"/>
      <c r="DGD16" s="169"/>
      <c r="DGE16" s="169"/>
      <c r="DGF16" s="169"/>
      <c r="DGG16" s="169"/>
      <c r="DGH16" s="169"/>
      <c r="DGI16" s="169"/>
      <c r="DGJ16" s="169"/>
      <c r="DGK16" s="169"/>
      <c r="DGL16" s="169"/>
      <c r="DGM16" s="169"/>
      <c r="DGN16" s="169"/>
      <c r="DGO16" s="169"/>
      <c r="DGP16" s="169"/>
      <c r="DGQ16" s="169"/>
      <c r="DGR16" s="169"/>
      <c r="DGS16" s="169"/>
      <c r="DGT16" s="169"/>
      <c r="DGU16" s="169"/>
      <c r="DGV16" s="169"/>
      <c r="DGW16" s="169"/>
      <c r="DGX16" s="169"/>
      <c r="DGY16" s="169"/>
      <c r="DGZ16" s="169"/>
      <c r="DHA16" s="169"/>
      <c r="DHB16" s="169"/>
      <c r="DHC16" s="169"/>
      <c r="DHD16" s="169"/>
      <c r="DHE16" s="169"/>
      <c r="DHF16" s="169"/>
      <c r="DHG16" s="169"/>
      <c r="DHH16" s="169"/>
      <c r="DHI16" s="169"/>
      <c r="DHJ16" s="169"/>
      <c r="DHK16" s="169"/>
      <c r="DHL16" s="169"/>
      <c r="DHM16" s="169"/>
      <c r="DHN16" s="169"/>
      <c r="DHO16" s="169"/>
      <c r="DHP16" s="169"/>
      <c r="DHQ16" s="169"/>
      <c r="DHR16" s="169"/>
      <c r="DHS16" s="169"/>
      <c r="DHT16" s="169"/>
      <c r="DHU16" s="169"/>
      <c r="DHV16" s="169"/>
      <c r="DHW16" s="169"/>
      <c r="DHX16" s="169"/>
      <c r="DHY16" s="169"/>
      <c r="DHZ16" s="169"/>
      <c r="DIA16" s="169"/>
      <c r="DIB16" s="169"/>
      <c r="DIC16" s="169"/>
      <c r="DID16" s="169"/>
      <c r="DIE16" s="169"/>
      <c r="DIF16" s="169"/>
      <c r="DIG16" s="169"/>
      <c r="DIH16" s="169"/>
      <c r="DII16" s="169"/>
      <c r="DIJ16" s="169"/>
      <c r="DIK16" s="169"/>
      <c r="DIL16" s="169"/>
      <c r="DIM16" s="169"/>
      <c r="DIN16" s="169"/>
      <c r="DIO16" s="169"/>
      <c r="DIP16" s="169"/>
      <c r="DIQ16" s="169"/>
      <c r="DIR16" s="169"/>
      <c r="DIS16" s="169"/>
      <c r="DIT16" s="169"/>
      <c r="DIU16" s="169"/>
      <c r="DIV16" s="169"/>
      <c r="DIW16" s="169"/>
      <c r="DIX16" s="169"/>
      <c r="DIY16" s="169"/>
      <c r="DIZ16" s="169"/>
      <c r="DJA16" s="169"/>
      <c r="DJB16" s="169"/>
      <c r="DJC16" s="169"/>
      <c r="DJD16" s="169"/>
      <c r="DJE16" s="169"/>
      <c r="DJF16" s="169"/>
      <c r="DJG16" s="169"/>
      <c r="DJH16" s="169"/>
      <c r="DJI16" s="169"/>
      <c r="DJJ16" s="169"/>
      <c r="DJK16" s="169"/>
      <c r="DJL16" s="169"/>
      <c r="DJM16" s="169"/>
      <c r="DJN16" s="169"/>
      <c r="DJO16" s="169"/>
      <c r="DJP16" s="169"/>
      <c r="DJQ16" s="169"/>
      <c r="DJR16" s="169"/>
      <c r="DJS16" s="169"/>
      <c r="DJT16" s="169"/>
      <c r="DJU16" s="169"/>
      <c r="DJV16" s="169"/>
      <c r="DJW16" s="169"/>
      <c r="DJX16" s="169"/>
      <c r="DJY16" s="169"/>
      <c r="DJZ16" s="169"/>
      <c r="DKA16" s="169"/>
      <c r="DKB16" s="169"/>
      <c r="DKC16" s="169"/>
      <c r="DKD16" s="169"/>
      <c r="DKE16" s="169"/>
      <c r="DKF16" s="169"/>
      <c r="DKG16" s="169"/>
      <c r="DKH16" s="169"/>
      <c r="DKI16" s="169"/>
      <c r="DKJ16" s="169"/>
      <c r="DKK16" s="169"/>
      <c r="DKL16" s="169"/>
      <c r="DKM16" s="169"/>
      <c r="DKN16" s="169"/>
      <c r="DKO16" s="169"/>
      <c r="DKP16" s="169"/>
      <c r="DKQ16" s="169"/>
      <c r="DKR16" s="169"/>
      <c r="DKS16" s="169"/>
      <c r="DKT16" s="169"/>
      <c r="DKU16" s="169"/>
      <c r="DKV16" s="169"/>
      <c r="DKW16" s="169"/>
      <c r="DKX16" s="169"/>
      <c r="DKY16" s="169"/>
      <c r="DKZ16" s="169"/>
      <c r="DLA16" s="169"/>
      <c r="DLB16" s="169"/>
      <c r="DLC16" s="169"/>
      <c r="DLD16" s="169"/>
      <c r="DLE16" s="169"/>
      <c r="DLF16" s="169"/>
      <c r="DLG16" s="169"/>
      <c r="DLH16" s="169"/>
      <c r="DLI16" s="169"/>
      <c r="DLJ16" s="169"/>
      <c r="DLK16" s="169"/>
      <c r="DLL16" s="169"/>
      <c r="DLM16" s="169"/>
      <c r="DLN16" s="169"/>
      <c r="DLO16" s="169"/>
      <c r="DLP16" s="169"/>
      <c r="DLQ16" s="169"/>
      <c r="DLR16" s="169"/>
      <c r="DLS16" s="169"/>
      <c r="DLT16" s="169"/>
      <c r="DLU16" s="169"/>
      <c r="DLV16" s="169"/>
      <c r="DLW16" s="169"/>
      <c r="DLX16" s="169"/>
      <c r="DLY16" s="169"/>
      <c r="DLZ16" s="169"/>
      <c r="DMA16" s="169"/>
      <c r="DMB16" s="169"/>
      <c r="DMC16" s="169"/>
      <c r="DMD16" s="169"/>
      <c r="DME16" s="169"/>
      <c r="DMF16" s="169"/>
      <c r="DMG16" s="169"/>
      <c r="DMH16" s="169"/>
      <c r="DMI16" s="169"/>
      <c r="DMJ16" s="169"/>
      <c r="DMK16" s="169"/>
      <c r="DML16" s="169"/>
      <c r="DMM16" s="169"/>
      <c r="DMN16" s="169"/>
      <c r="DMO16" s="169"/>
      <c r="DMP16" s="169"/>
      <c r="DMQ16" s="169"/>
      <c r="DMR16" s="169"/>
      <c r="DMS16" s="169"/>
      <c r="DMT16" s="169"/>
      <c r="DMU16" s="169"/>
      <c r="DMV16" s="169"/>
      <c r="DMW16" s="169"/>
      <c r="DMX16" s="169"/>
      <c r="DMY16" s="169"/>
      <c r="DMZ16" s="169"/>
      <c r="DNA16" s="169"/>
      <c r="DNB16" s="169"/>
      <c r="DNC16" s="169"/>
      <c r="DND16" s="169"/>
      <c r="DNE16" s="169"/>
      <c r="DNF16" s="169"/>
      <c r="DNG16" s="169"/>
      <c r="DNH16" s="169"/>
      <c r="DNI16" s="169"/>
      <c r="DNJ16" s="169"/>
      <c r="DNK16" s="169"/>
      <c r="DNL16" s="169"/>
      <c r="DNM16" s="169"/>
      <c r="DNN16" s="169"/>
      <c r="DNO16" s="169"/>
      <c r="DNP16" s="169"/>
      <c r="DNQ16" s="169"/>
      <c r="DNR16" s="169"/>
      <c r="DNS16" s="169"/>
      <c r="DNT16" s="169"/>
      <c r="DNU16" s="169"/>
      <c r="DNV16" s="169"/>
      <c r="DNW16" s="169"/>
      <c r="DNX16" s="169"/>
      <c r="DNY16" s="169"/>
      <c r="DNZ16" s="169"/>
      <c r="DOA16" s="169"/>
      <c r="DOB16" s="169"/>
      <c r="DOC16" s="169"/>
      <c r="DOD16" s="169"/>
      <c r="DOE16" s="169"/>
      <c r="DOF16" s="169"/>
      <c r="DOG16" s="169"/>
      <c r="DOH16" s="169"/>
      <c r="DOI16" s="169"/>
      <c r="DOJ16" s="169"/>
      <c r="DOK16" s="169"/>
      <c r="DOL16" s="169"/>
      <c r="DOM16" s="169"/>
      <c r="DON16" s="169"/>
      <c r="DOO16" s="169"/>
      <c r="DOP16" s="169"/>
      <c r="DOQ16" s="169"/>
      <c r="DOR16" s="169"/>
      <c r="DOS16" s="169"/>
      <c r="DOT16" s="169"/>
      <c r="DOU16" s="169"/>
      <c r="DOV16" s="169"/>
      <c r="DOW16" s="169"/>
      <c r="DOX16" s="169"/>
      <c r="DOY16" s="169"/>
      <c r="DOZ16" s="169"/>
      <c r="DPA16" s="169"/>
      <c r="DPB16" s="169"/>
      <c r="DPC16" s="169"/>
      <c r="DPD16" s="169"/>
      <c r="DPE16" s="169"/>
      <c r="DPF16" s="169"/>
      <c r="DPG16" s="169"/>
      <c r="DPH16" s="169"/>
      <c r="DPI16" s="169"/>
      <c r="DPJ16" s="169"/>
      <c r="DPK16" s="169"/>
      <c r="DPL16" s="169"/>
      <c r="DPM16" s="169"/>
      <c r="DPN16" s="169"/>
      <c r="DPO16" s="169"/>
      <c r="DPP16" s="169"/>
      <c r="DPQ16" s="169"/>
      <c r="DPR16" s="169"/>
      <c r="DPS16" s="169"/>
      <c r="DPT16" s="169"/>
      <c r="DPU16" s="169"/>
      <c r="DPV16" s="169"/>
      <c r="DPW16" s="169"/>
      <c r="DPX16" s="169"/>
      <c r="DPY16" s="169"/>
      <c r="DPZ16" s="169"/>
      <c r="DQA16" s="169"/>
      <c r="DQB16" s="169"/>
      <c r="DQC16" s="169"/>
      <c r="DQD16" s="169"/>
      <c r="DQE16" s="169"/>
      <c r="DQF16" s="169"/>
      <c r="DQG16" s="169"/>
      <c r="DQH16" s="169"/>
      <c r="DQI16" s="169"/>
      <c r="DQJ16" s="169"/>
      <c r="DQK16" s="169"/>
      <c r="DQL16" s="169"/>
      <c r="DQM16" s="169"/>
      <c r="DQN16" s="169"/>
      <c r="DQO16" s="169"/>
      <c r="DQP16" s="169"/>
      <c r="DQQ16" s="169"/>
      <c r="DQR16" s="169"/>
      <c r="DQS16" s="169"/>
      <c r="DQT16" s="169"/>
      <c r="DQU16" s="169"/>
      <c r="DQV16" s="169"/>
      <c r="DQW16" s="169"/>
      <c r="DQX16" s="169"/>
      <c r="DQY16" s="169"/>
      <c r="DQZ16" s="169"/>
      <c r="DRA16" s="169"/>
      <c r="DRB16" s="169"/>
      <c r="DRC16" s="169"/>
      <c r="DRD16" s="169"/>
      <c r="DRE16" s="169"/>
      <c r="DRF16" s="169"/>
      <c r="DRG16" s="169"/>
      <c r="DRH16" s="169"/>
      <c r="DRI16" s="169"/>
      <c r="DRJ16" s="169"/>
      <c r="DRK16" s="169"/>
      <c r="DRL16" s="169"/>
      <c r="DRM16" s="169"/>
      <c r="DRN16" s="169"/>
      <c r="DRO16" s="169"/>
      <c r="DRP16" s="169"/>
      <c r="DRQ16" s="169"/>
      <c r="DRR16" s="169"/>
      <c r="DRS16" s="169"/>
      <c r="DRT16" s="169"/>
      <c r="DRU16" s="169"/>
      <c r="DRV16" s="169"/>
      <c r="DRW16" s="169"/>
      <c r="DRX16" s="169"/>
      <c r="DRY16" s="169"/>
      <c r="DRZ16" s="169"/>
      <c r="DSA16" s="169"/>
      <c r="DSB16" s="169"/>
      <c r="DSC16" s="169"/>
      <c r="DSD16" s="169"/>
      <c r="DSE16" s="169"/>
      <c r="DSF16" s="169"/>
      <c r="DSG16" s="169"/>
      <c r="DSH16" s="169"/>
      <c r="DSI16" s="169"/>
      <c r="DSJ16" s="169"/>
      <c r="DSK16" s="169"/>
      <c r="DSL16" s="169"/>
      <c r="DSM16" s="169"/>
      <c r="DSN16" s="169"/>
      <c r="DSO16" s="169"/>
      <c r="DSP16" s="169"/>
      <c r="DSQ16" s="169"/>
      <c r="DSR16" s="169"/>
      <c r="DSS16" s="169"/>
      <c r="DST16" s="169"/>
      <c r="DSU16" s="169"/>
      <c r="DSV16" s="169"/>
      <c r="DSW16" s="169"/>
      <c r="DSX16" s="169"/>
      <c r="DSY16" s="169"/>
      <c r="DSZ16" s="169"/>
      <c r="DTA16" s="169"/>
      <c r="DTB16" s="169"/>
      <c r="DTC16" s="169"/>
      <c r="DTD16" s="169"/>
      <c r="DTE16" s="169"/>
      <c r="DTF16" s="169"/>
      <c r="DTG16" s="169"/>
      <c r="DTH16" s="169"/>
      <c r="DTI16" s="169"/>
      <c r="DTJ16" s="169"/>
      <c r="DTK16" s="169"/>
      <c r="DTL16" s="169"/>
      <c r="DTM16" s="169"/>
      <c r="DTN16" s="169"/>
      <c r="DTO16" s="169"/>
      <c r="DTP16" s="169"/>
      <c r="DTQ16" s="169"/>
      <c r="DTR16" s="169"/>
      <c r="DTS16" s="169"/>
      <c r="DTT16" s="169"/>
      <c r="DTU16" s="169"/>
      <c r="DTV16" s="169"/>
      <c r="DTW16" s="169"/>
      <c r="DTX16" s="169"/>
      <c r="DTY16" s="169"/>
      <c r="DTZ16" s="169"/>
      <c r="DUA16" s="169"/>
      <c r="DUB16" s="169"/>
      <c r="DUC16" s="169"/>
      <c r="DUD16" s="169"/>
      <c r="DUE16" s="169"/>
      <c r="DUF16" s="169"/>
      <c r="DUG16" s="169"/>
      <c r="DUH16" s="169"/>
      <c r="DUI16" s="169"/>
      <c r="DUJ16" s="169"/>
      <c r="DUK16" s="169"/>
      <c r="DUL16" s="169"/>
      <c r="DUM16" s="169"/>
      <c r="DUN16" s="169"/>
      <c r="DUO16" s="169"/>
      <c r="DUP16" s="169"/>
      <c r="DUQ16" s="169"/>
      <c r="DUR16" s="169"/>
      <c r="DUS16" s="169"/>
      <c r="DUT16" s="169"/>
      <c r="DUU16" s="169"/>
      <c r="DUV16" s="169"/>
      <c r="DUW16" s="169"/>
      <c r="DUX16" s="169"/>
      <c r="DUY16" s="169"/>
      <c r="DUZ16" s="169"/>
      <c r="DVA16" s="169"/>
      <c r="DVB16" s="169"/>
      <c r="DVC16" s="169"/>
      <c r="DVD16" s="169"/>
      <c r="DVE16" s="169"/>
      <c r="DVF16" s="169"/>
      <c r="DVG16" s="169"/>
      <c r="DVH16" s="169"/>
      <c r="DVI16" s="169"/>
      <c r="DVJ16" s="169"/>
      <c r="DVK16" s="169"/>
      <c r="DVL16" s="169"/>
      <c r="DVM16" s="169"/>
      <c r="DVN16" s="169"/>
      <c r="DVO16" s="169"/>
      <c r="DVP16" s="169"/>
      <c r="DVQ16" s="169"/>
      <c r="DVR16" s="169"/>
      <c r="DVS16" s="169"/>
      <c r="DVT16" s="169"/>
      <c r="DVU16" s="169"/>
      <c r="DVV16" s="169"/>
      <c r="DVW16" s="169"/>
      <c r="DVX16" s="169"/>
      <c r="DVY16" s="169"/>
      <c r="DVZ16" s="169"/>
      <c r="DWA16" s="169"/>
      <c r="DWB16" s="169"/>
      <c r="DWC16" s="169"/>
      <c r="DWD16" s="169"/>
      <c r="DWE16" s="169"/>
      <c r="DWF16" s="169"/>
      <c r="DWG16" s="169"/>
      <c r="DWH16" s="169"/>
      <c r="DWI16" s="169"/>
      <c r="DWJ16" s="169"/>
      <c r="DWK16" s="169"/>
      <c r="DWL16" s="169"/>
      <c r="DWM16" s="169"/>
      <c r="DWN16" s="169"/>
      <c r="DWO16" s="169"/>
      <c r="DWP16" s="169"/>
      <c r="DWQ16" s="169"/>
      <c r="DWR16" s="169"/>
      <c r="DWS16" s="169"/>
      <c r="DWT16" s="169"/>
      <c r="DWU16" s="169"/>
      <c r="DWV16" s="169"/>
      <c r="DWW16" s="169"/>
      <c r="DWX16" s="169"/>
      <c r="DWY16" s="169"/>
      <c r="DWZ16" s="169"/>
      <c r="DXA16" s="169"/>
      <c r="DXB16" s="169"/>
      <c r="DXC16" s="169"/>
      <c r="DXD16" s="169"/>
      <c r="DXE16" s="169"/>
      <c r="DXF16" s="169"/>
      <c r="DXG16" s="169"/>
      <c r="DXH16" s="169"/>
      <c r="DXI16" s="169"/>
      <c r="DXJ16" s="169"/>
      <c r="DXK16" s="169"/>
      <c r="DXL16" s="169"/>
      <c r="DXM16" s="169"/>
      <c r="DXN16" s="169"/>
      <c r="DXO16" s="169"/>
      <c r="DXP16" s="169"/>
      <c r="DXQ16" s="169"/>
      <c r="DXR16" s="169"/>
      <c r="DXS16" s="169"/>
      <c r="DXT16" s="169"/>
      <c r="DXU16" s="169"/>
      <c r="DXV16" s="169"/>
      <c r="DXW16" s="169"/>
      <c r="DXX16" s="169"/>
      <c r="DXY16" s="169"/>
      <c r="DXZ16" s="169"/>
      <c r="DYA16" s="169"/>
      <c r="DYB16" s="169"/>
      <c r="DYC16" s="169"/>
      <c r="DYD16" s="169"/>
      <c r="DYE16" s="169"/>
      <c r="DYF16" s="169"/>
      <c r="DYG16" s="169"/>
      <c r="DYH16" s="169"/>
      <c r="DYI16" s="169"/>
      <c r="DYJ16" s="169"/>
      <c r="DYK16" s="169"/>
      <c r="DYL16" s="169"/>
      <c r="DYM16" s="169"/>
      <c r="DYN16" s="169"/>
      <c r="DYO16" s="169"/>
      <c r="DYP16" s="169"/>
      <c r="DYQ16" s="169"/>
      <c r="DYR16" s="169"/>
      <c r="DYS16" s="169"/>
      <c r="DYT16" s="169"/>
      <c r="DYU16" s="169"/>
      <c r="DYV16" s="169"/>
      <c r="DYW16" s="169"/>
      <c r="DYX16" s="169"/>
      <c r="DYY16" s="169"/>
      <c r="DYZ16" s="169"/>
      <c r="DZA16" s="169"/>
      <c r="DZB16" s="169"/>
      <c r="DZC16" s="169"/>
      <c r="DZD16" s="169"/>
      <c r="DZE16" s="169"/>
      <c r="DZF16" s="169"/>
      <c r="DZG16" s="169"/>
      <c r="DZH16" s="169"/>
      <c r="DZI16" s="169"/>
      <c r="DZJ16" s="169"/>
      <c r="DZK16" s="169"/>
      <c r="DZL16" s="169"/>
      <c r="DZM16" s="169"/>
      <c r="DZN16" s="169"/>
      <c r="DZO16" s="169"/>
      <c r="DZP16" s="169"/>
      <c r="DZQ16" s="169"/>
      <c r="DZR16" s="169"/>
      <c r="DZS16" s="169"/>
      <c r="DZT16" s="169"/>
      <c r="DZU16" s="169"/>
      <c r="DZV16" s="169"/>
      <c r="DZW16" s="169"/>
      <c r="DZX16" s="169"/>
      <c r="DZY16" s="169"/>
      <c r="DZZ16" s="169"/>
      <c r="EAA16" s="169"/>
      <c r="EAB16" s="169"/>
      <c r="EAC16" s="169"/>
      <c r="EAD16" s="169"/>
      <c r="EAE16" s="169"/>
      <c r="EAF16" s="169"/>
      <c r="EAG16" s="169"/>
      <c r="EAH16" s="169"/>
      <c r="EAI16" s="169"/>
      <c r="EAJ16" s="169"/>
      <c r="EAK16" s="169"/>
      <c r="EAL16" s="169"/>
      <c r="EAM16" s="169"/>
      <c r="EAN16" s="169"/>
      <c r="EAO16" s="169"/>
      <c r="EAP16" s="169"/>
      <c r="EAQ16" s="169"/>
      <c r="EAR16" s="169"/>
      <c r="EAS16" s="169"/>
      <c r="EAT16" s="169"/>
      <c r="EAU16" s="169"/>
      <c r="EAV16" s="169"/>
      <c r="EAW16" s="169"/>
      <c r="EAX16" s="169"/>
      <c r="EAY16" s="169"/>
      <c r="EAZ16" s="169"/>
      <c r="EBA16" s="169"/>
      <c r="EBB16" s="169"/>
      <c r="EBC16" s="169"/>
      <c r="EBD16" s="169"/>
      <c r="EBE16" s="169"/>
      <c r="EBF16" s="169"/>
      <c r="EBG16" s="169"/>
      <c r="EBH16" s="169"/>
      <c r="EBI16" s="169"/>
      <c r="EBJ16" s="169"/>
      <c r="EBK16" s="169"/>
      <c r="EBL16" s="169"/>
      <c r="EBM16" s="169"/>
      <c r="EBN16" s="169"/>
      <c r="EBO16" s="169"/>
      <c r="EBP16" s="169"/>
      <c r="EBQ16" s="169"/>
      <c r="EBR16" s="169"/>
      <c r="EBS16" s="169"/>
      <c r="EBT16" s="169"/>
      <c r="EBU16" s="169"/>
      <c r="EBV16" s="169"/>
      <c r="EBW16" s="169"/>
      <c r="EBX16" s="169"/>
      <c r="EBY16" s="169"/>
      <c r="EBZ16" s="169"/>
      <c r="ECA16" s="169"/>
      <c r="ECB16" s="169"/>
      <c r="ECC16" s="169"/>
      <c r="ECD16" s="169"/>
      <c r="ECE16" s="169"/>
      <c r="ECF16" s="169"/>
      <c r="ECG16" s="169"/>
      <c r="ECH16" s="169"/>
      <c r="ECI16" s="169"/>
      <c r="ECJ16" s="169"/>
      <c r="ECK16" s="169"/>
      <c r="ECL16" s="169"/>
      <c r="ECM16" s="169"/>
      <c r="ECN16" s="169"/>
      <c r="ECO16" s="169"/>
      <c r="ECP16" s="169"/>
      <c r="ECQ16" s="169"/>
      <c r="ECR16" s="169"/>
      <c r="ECS16" s="169"/>
      <c r="ECT16" s="169"/>
      <c r="ECU16" s="169"/>
      <c r="ECV16" s="169"/>
      <c r="ECW16" s="169"/>
      <c r="ECX16" s="169"/>
      <c r="ECY16" s="169"/>
      <c r="ECZ16" s="169"/>
      <c r="EDA16" s="169"/>
      <c r="EDB16" s="169"/>
      <c r="EDC16" s="169"/>
      <c r="EDD16" s="169"/>
      <c r="EDE16" s="169"/>
      <c r="EDF16" s="169"/>
      <c r="EDG16" s="169"/>
      <c r="EDH16" s="169"/>
      <c r="EDI16" s="169"/>
      <c r="EDJ16" s="169"/>
      <c r="EDK16" s="169"/>
      <c r="EDL16" s="169"/>
      <c r="EDM16" s="169"/>
      <c r="EDN16" s="169"/>
      <c r="EDO16" s="169"/>
      <c r="EDP16" s="169"/>
      <c r="EDQ16" s="169"/>
      <c r="EDR16" s="169"/>
      <c r="EDS16" s="169"/>
      <c r="EDT16" s="169"/>
      <c r="EDU16" s="169"/>
      <c r="EDV16" s="169"/>
      <c r="EDW16" s="169"/>
      <c r="EDX16" s="169"/>
      <c r="EDY16" s="169"/>
      <c r="EDZ16" s="169"/>
      <c r="EEA16" s="169"/>
      <c r="EEB16" s="169"/>
      <c r="EEC16" s="169"/>
      <c r="EED16" s="169"/>
      <c r="EEE16" s="169"/>
      <c r="EEF16" s="169"/>
      <c r="EEG16" s="169"/>
      <c r="EEH16" s="169"/>
      <c r="EEI16" s="169"/>
      <c r="EEJ16" s="169"/>
      <c r="EEK16" s="169"/>
      <c r="EEL16" s="169"/>
      <c r="EEM16" s="169"/>
      <c r="EEN16" s="169"/>
      <c r="EEO16" s="169"/>
      <c r="EEP16" s="169"/>
      <c r="EEQ16" s="169"/>
      <c r="EER16" s="169"/>
      <c r="EES16" s="169"/>
      <c r="EET16" s="169"/>
      <c r="EEU16" s="169"/>
      <c r="EEV16" s="169"/>
      <c r="EEW16" s="169"/>
      <c r="EEX16" s="169"/>
      <c r="EEY16" s="169"/>
      <c r="EEZ16" s="169"/>
      <c r="EFA16" s="169"/>
      <c r="EFB16" s="169"/>
      <c r="EFC16" s="169"/>
      <c r="EFD16" s="169"/>
      <c r="EFE16" s="169"/>
      <c r="EFF16" s="169"/>
      <c r="EFG16" s="169"/>
      <c r="EFH16" s="169"/>
      <c r="EFI16" s="169"/>
      <c r="EFJ16" s="169"/>
      <c r="EFK16" s="169"/>
      <c r="EFL16" s="169"/>
      <c r="EFM16" s="169"/>
      <c r="EFN16" s="169"/>
      <c r="EFO16" s="169"/>
      <c r="EFP16" s="169"/>
      <c r="EFQ16" s="169"/>
      <c r="EFR16" s="169"/>
      <c r="EFS16" s="169"/>
      <c r="EFT16" s="169"/>
      <c r="EFU16" s="169"/>
      <c r="EFV16" s="169"/>
      <c r="EFW16" s="169"/>
      <c r="EFX16" s="169"/>
      <c r="EFY16" s="169"/>
      <c r="EFZ16" s="169"/>
      <c r="EGA16" s="169"/>
      <c r="EGB16" s="169"/>
      <c r="EGC16" s="169"/>
      <c r="EGD16" s="169"/>
      <c r="EGE16" s="169"/>
      <c r="EGF16" s="169"/>
      <c r="EGG16" s="169"/>
      <c r="EGH16" s="169"/>
      <c r="EGI16" s="169"/>
      <c r="EGJ16" s="169"/>
      <c r="EGK16" s="169"/>
      <c r="EGL16" s="169"/>
      <c r="EGM16" s="169"/>
      <c r="EGN16" s="169"/>
      <c r="EGO16" s="169"/>
      <c r="EGP16" s="169"/>
      <c r="EGQ16" s="169"/>
      <c r="EGR16" s="169"/>
      <c r="EGS16" s="169"/>
      <c r="EGT16" s="169"/>
      <c r="EGU16" s="169"/>
      <c r="EGV16" s="169"/>
      <c r="EGW16" s="169"/>
      <c r="EGX16" s="169"/>
      <c r="EGY16" s="169"/>
      <c r="EGZ16" s="169"/>
      <c r="EHA16" s="169"/>
      <c r="EHB16" s="169"/>
      <c r="EHC16" s="169"/>
      <c r="EHD16" s="169"/>
      <c r="EHE16" s="169"/>
      <c r="EHF16" s="169"/>
      <c r="EHG16" s="169"/>
      <c r="EHH16" s="169"/>
      <c r="EHI16" s="169"/>
      <c r="EHJ16" s="169"/>
      <c r="EHK16" s="169"/>
      <c r="EHL16" s="169"/>
      <c r="EHM16" s="169"/>
      <c r="EHN16" s="169"/>
      <c r="EHO16" s="169"/>
      <c r="EHP16" s="169"/>
      <c r="EHQ16" s="169"/>
      <c r="EHR16" s="169"/>
      <c r="EHS16" s="169"/>
      <c r="EHT16" s="169"/>
      <c r="EHU16" s="169"/>
      <c r="EHV16" s="169"/>
      <c r="EHW16" s="169"/>
      <c r="EHX16" s="169"/>
      <c r="EHY16" s="169"/>
      <c r="EHZ16" s="169"/>
      <c r="EIA16" s="169"/>
      <c r="EIB16" s="169"/>
      <c r="EIC16" s="169"/>
      <c r="EID16" s="169"/>
      <c r="EIE16" s="169"/>
      <c r="EIF16" s="169"/>
      <c r="EIG16" s="169"/>
      <c r="EIH16" s="169"/>
      <c r="EII16" s="169"/>
      <c r="EIJ16" s="169"/>
      <c r="EIK16" s="169"/>
      <c r="EIL16" s="169"/>
      <c r="EIM16" s="169"/>
      <c r="EIN16" s="169"/>
      <c r="EIO16" s="169"/>
      <c r="EIP16" s="169"/>
      <c r="EIQ16" s="169"/>
      <c r="EIR16" s="169"/>
      <c r="EIS16" s="169"/>
      <c r="EIT16" s="169"/>
      <c r="EIU16" s="169"/>
      <c r="EIV16" s="169"/>
      <c r="EIW16" s="169"/>
      <c r="EIX16" s="169"/>
      <c r="EIY16" s="169"/>
      <c r="EIZ16" s="169"/>
      <c r="EJA16" s="169"/>
      <c r="EJB16" s="169"/>
      <c r="EJC16" s="169"/>
      <c r="EJD16" s="169"/>
      <c r="EJE16" s="169"/>
      <c r="EJF16" s="169"/>
      <c r="EJG16" s="169"/>
      <c r="EJH16" s="169"/>
      <c r="EJI16" s="169"/>
      <c r="EJJ16" s="169"/>
      <c r="EJK16" s="169"/>
      <c r="EJL16" s="169"/>
      <c r="EJM16" s="169"/>
      <c r="EJN16" s="169"/>
      <c r="EJO16" s="169"/>
      <c r="EJP16" s="169"/>
      <c r="EJQ16" s="169"/>
      <c r="EJR16" s="169"/>
      <c r="EJS16" s="169"/>
      <c r="EJT16" s="169"/>
      <c r="EJU16" s="169"/>
      <c r="EJV16" s="169"/>
      <c r="EJW16" s="169"/>
      <c r="EJX16" s="169"/>
      <c r="EJY16" s="169"/>
      <c r="EJZ16" s="169"/>
      <c r="EKA16" s="169"/>
      <c r="EKB16" s="169"/>
      <c r="EKC16" s="169"/>
      <c r="EKD16" s="169"/>
      <c r="EKE16" s="169"/>
      <c r="EKF16" s="169"/>
      <c r="EKG16" s="169"/>
      <c r="EKH16" s="169"/>
      <c r="EKI16" s="169"/>
      <c r="EKJ16" s="169"/>
      <c r="EKK16" s="169"/>
      <c r="EKL16" s="169"/>
      <c r="EKM16" s="169"/>
      <c r="EKN16" s="169"/>
      <c r="EKO16" s="169"/>
      <c r="EKP16" s="169"/>
      <c r="EKQ16" s="169"/>
      <c r="EKR16" s="169"/>
      <c r="EKS16" s="169"/>
      <c r="EKT16" s="169"/>
      <c r="EKU16" s="169"/>
      <c r="EKV16" s="169"/>
      <c r="EKW16" s="169"/>
      <c r="EKX16" s="169"/>
      <c r="EKY16" s="169"/>
      <c r="EKZ16" s="169"/>
      <c r="ELA16" s="169"/>
      <c r="ELB16" s="169"/>
      <c r="ELC16" s="169"/>
      <c r="ELD16" s="169"/>
      <c r="ELE16" s="169"/>
      <c r="ELF16" s="169"/>
      <c r="ELG16" s="169"/>
      <c r="ELH16" s="169"/>
      <c r="ELI16" s="169"/>
      <c r="ELJ16" s="169"/>
      <c r="ELK16" s="169"/>
      <c r="ELL16" s="169"/>
      <c r="ELM16" s="169"/>
      <c r="ELN16" s="169"/>
      <c r="ELO16" s="169"/>
      <c r="ELP16" s="169"/>
      <c r="ELQ16" s="169"/>
      <c r="ELR16" s="169"/>
      <c r="ELS16" s="169"/>
      <c r="ELT16" s="169"/>
      <c r="ELU16" s="169"/>
      <c r="ELV16" s="169"/>
      <c r="ELW16" s="169"/>
      <c r="ELX16" s="169"/>
      <c r="ELY16" s="169"/>
      <c r="ELZ16" s="169"/>
      <c r="EMA16" s="169"/>
      <c r="EMB16" s="169"/>
      <c r="EMC16" s="169"/>
      <c r="EMD16" s="169"/>
      <c r="EME16" s="169"/>
      <c r="EMF16" s="169"/>
      <c r="EMG16" s="169"/>
      <c r="EMH16" s="169"/>
      <c r="EMI16" s="169"/>
      <c r="EMJ16" s="169"/>
      <c r="EMK16" s="169"/>
      <c r="EML16" s="169"/>
      <c r="EMM16" s="169"/>
      <c r="EMN16" s="169"/>
      <c r="EMO16" s="169"/>
      <c r="EMP16" s="169"/>
      <c r="EMQ16" s="169"/>
      <c r="EMR16" s="169"/>
      <c r="EMS16" s="169"/>
      <c r="EMT16" s="169"/>
      <c r="EMU16" s="169"/>
      <c r="EMV16" s="169"/>
      <c r="EMW16" s="169"/>
      <c r="EMX16" s="169"/>
      <c r="EMY16" s="169"/>
      <c r="EMZ16" s="169"/>
      <c r="ENA16" s="169"/>
      <c r="ENB16" s="169"/>
      <c r="ENC16" s="169"/>
      <c r="END16" s="169"/>
      <c r="ENE16" s="169"/>
      <c r="ENF16" s="169"/>
      <c r="ENG16" s="169"/>
      <c r="ENH16" s="169"/>
      <c r="ENI16" s="169"/>
      <c r="ENJ16" s="169"/>
      <c r="ENK16" s="169"/>
      <c r="ENL16" s="169"/>
      <c r="ENM16" s="169"/>
      <c r="ENN16" s="169"/>
      <c r="ENO16" s="169"/>
      <c r="ENP16" s="169"/>
      <c r="ENQ16" s="169"/>
      <c r="ENR16" s="169"/>
      <c r="ENS16" s="169"/>
      <c r="ENT16" s="169"/>
      <c r="ENU16" s="169"/>
      <c r="ENV16" s="169"/>
      <c r="ENW16" s="169"/>
      <c r="ENX16" s="169"/>
      <c r="ENY16" s="169"/>
      <c r="ENZ16" s="169"/>
      <c r="EOA16" s="169"/>
      <c r="EOB16" s="169"/>
      <c r="EOC16" s="169"/>
      <c r="EOD16" s="169"/>
      <c r="EOE16" s="169"/>
      <c r="EOF16" s="169"/>
      <c r="EOG16" s="169"/>
      <c r="EOH16" s="169"/>
      <c r="EOI16" s="169"/>
      <c r="EOJ16" s="169"/>
      <c r="EOK16" s="169"/>
      <c r="EOL16" s="169"/>
      <c r="EOM16" s="169"/>
      <c r="EON16" s="169"/>
      <c r="EOO16" s="169"/>
      <c r="EOP16" s="169"/>
      <c r="EOQ16" s="169"/>
      <c r="EOR16" s="169"/>
      <c r="EOS16" s="169"/>
      <c r="EOT16" s="169"/>
      <c r="EOU16" s="169"/>
      <c r="EOV16" s="169"/>
      <c r="EOW16" s="169"/>
      <c r="EOX16" s="169"/>
      <c r="EOY16" s="169"/>
      <c r="EOZ16" s="169"/>
      <c r="EPA16" s="169"/>
      <c r="EPB16" s="169"/>
      <c r="EPC16" s="169"/>
      <c r="EPD16" s="169"/>
      <c r="EPE16" s="169"/>
      <c r="EPF16" s="169"/>
      <c r="EPG16" s="169"/>
      <c r="EPH16" s="169"/>
      <c r="EPI16" s="169"/>
      <c r="EPJ16" s="169"/>
      <c r="EPK16" s="169"/>
      <c r="EPL16" s="169"/>
      <c r="EPM16" s="169"/>
      <c r="EPN16" s="169"/>
      <c r="EPO16" s="169"/>
      <c r="EPP16" s="169"/>
      <c r="EPQ16" s="169"/>
      <c r="EPR16" s="169"/>
      <c r="EPS16" s="169"/>
      <c r="EPT16" s="169"/>
      <c r="EPU16" s="169"/>
      <c r="EPV16" s="169"/>
      <c r="EPW16" s="169"/>
      <c r="EPX16" s="169"/>
      <c r="EPY16" s="169"/>
      <c r="EPZ16" s="169"/>
      <c r="EQA16" s="169"/>
      <c r="EQB16" s="169"/>
      <c r="EQC16" s="169"/>
      <c r="EQD16" s="169"/>
      <c r="EQE16" s="169"/>
      <c r="EQF16" s="169"/>
      <c r="EQG16" s="169"/>
      <c r="EQH16" s="169"/>
      <c r="EQI16" s="169"/>
      <c r="EQJ16" s="169"/>
      <c r="EQK16" s="169"/>
      <c r="EQL16" s="169"/>
      <c r="EQM16" s="169"/>
      <c r="EQN16" s="169"/>
      <c r="EQO16" s="169"/>
      <c r="EQP16" s="169"/>
      <c r="EQQ16" s="169"/>
      <c r="EQR16" s="169"/>
      <c r="EQS16" s="169"/>
      <c r="EQT16" s="169"/>
      <c r="EQU16" s="169"/>
      <c r="EQV16" s="169"/>
      <c r="EQW16" s="169"/>
      <c r="EQX16" s="169"/>
      <c r="EQY16" s="169"/>
      <c r="EQZ16" s="169"/>
      <c r="ERA16" s="169"/>
      <c r="ERB16" s="169"/>
      <c r="ERC16" s="169"/>
      <c r="ERD16" s="169"/>
      <c r="ERE16" s="169"/>
      <c r="ERF16" s="169"/>
      <c r="ERG16" s="169"/>
      <c r="ERH16" s="169"/>
      <c r="ERI16" s="169"/>
      <c r="ERJ16" s="169"/>
      <c r="ERK16" s="169"/>
      <c r="ERL16" s="169"/>
      <c r="ERM16" s="169"/>
      <c r="ERN16" s="169"/>
      <c r="ERO16" s="169"/>
      <c r="ERP16" s="169"/>
      <c r="ERQ16" s="169"/>
      <c r="ERR16" s="169"/>
      <c r="ERS16" s="169"/>
      <c r="ERT16" s="169"/>
      <c r="ERU16" s="169"/>
      <c r="ERV16" s="169"/>
      <c r="ERW16" s="169"/>
      <c r="ERX16" s="169"/>
      <c r="ERY16" s="169"/>
      <c r="ERZ16" s="169"/>
      <c r="ESA16" s="169"/>
      <c r="ESB16" s="169"/>
      <c r="ESC16" s="169"/>
      <c r="ESD16" s="169"/>
      <c r="ESE16" s="169"/>
      <c r="ESF16" s="169"/>
      <c r="ESG16" s="169"/>
      <c r="ESH16" s="169"/>
      <c r="ESI16" s="169"/>
      <c r="ESJ16" s="169"/>
      <c r="ESK16" s="169"/>
      <c r="ESL16" s="169"/>
      <c r="ESM16" s="169"/>
      <c r="ESN16" s="169"/>
      <c r="ESO16" s="169"/>
      <c r="ESP16" s="169"/>
      <c r="ESQ16" s="169"/>
      <c r="ESR16" s="169"/>
      <c r="ESS16" s="169"/>
      <c r="EST16" s="169"/>
      <c r="ESU16" s="169"/>
      <c r="ESV16" s="169"/>
      <c r="ESW16" s="169"/>
      <c r="ESX16" s="169"/>
      <c r="ESY16" s="169"/>
      <c r="ESZ16" s="169"/>
      <c r="ETA16" s="169"/>
      <c r="ETB16" s="169"/>
      <c r="ETC16" s="169"/>
      <c r="ETD16" s="169"/>
      <c r="ETE16" s="169"/>
      <c r="ETF16" s="169"/>
      <c r="ETG16" s="169"/>
      <c r="ETH16" s="169"/>
      <c r="ETI16" s="169"/>
      <c r="ETJ16" s="169"/>
      <c r="ETK16" s="169"/>
      <c r="ETL16" s="169"/>
      <c r="ETM16" s="169"/>
      <c r="ETN16" s="169"/>
      <c r="ETO16" s="169"/>
      <c r="ETP16" s="169"/>
      <c r="ETQ16" s="169"/>
      <c r="ETR16" s="169"/>
      <c r="ETS16" s="169"/>
      <c r="ETT16" s="169"/>
      <c r="ETU16" s="169"/>
      <c r="ETV16" s="169"/>
      <c r="ETW16" s="169"/>
      <c r="ETX16" s="169"/>
      <c r="ETY16" s="169"/>
      <c r="ETZ16" s="169"/>
      <c r="EUA16" s="169"/>
      <c r="EUB16" s="169"/>
      <c r="EUC16" s="169"/>
      <c r="EUD16" s="169"/>
      <c r="EUE16" s="169"/>
      <c r="EUF16" s="169"/>
      <c r="EUG16" s="169"/>
      <c r="EUH16" s="169"/>
      <c r="EUI16" s="169"/>
      <c r="EUJ16" s="169"/>
      <c r="EUK16" s="169"/>
      <c r="EUL16" s="169"/>
      <c r="EUM16" s="169"/>
      <c r="EUN16" s="169"/>
      <c r="EUO16" s="169"/>
      <c r="EUP16" s="169"/>
      <c r="EUQ16" s="169"/>
      <c r="EUR16" s="169"/>
      <c r="EUS16" s="169"/>
      <c r="EUT16" s="169"/>
      <c r="EUU16" s="169"/>
      <c r="EUV16" s="169"/>
      <c r="EUW16" s="169"/>
      <c r="EUX16" s="169"/>
      <c r="EUY16" s="169"/>
      <c r="EUZ16" s="169"/>
      <c r="EVA16" s="169"/>
      <c r="EVB16" s="169"/>
      <c r="EVC16" s="169"/>
      <c r="EVD16" s="169"/>
      <c r="EVE16" s="169"/>
      <c r="EVF16" s="169"/>
      <c r="EVG16" s="169"/>
      <c r="EVH16" s="169"/>
      <c r="EVI16" s="169"/>
      <c r="EVJ16" s="169"/>
      <c r="EVK16" s="169"/>
      <c r="EVL16" s="169"/>
      <c r="EVM16" s="169"/>
      <c r="EVN16" s="169"/>
      <c r="EVO16" s="169"/>
      <c r="EVP16" s="169"/>
      <c r="EVQ16" s="169"/>
      <c r="EVR16" s="169"/>
      <c r="EVS16" s="169"/>
      <c r="EVT16" s="169"/>
      <c r="EVU16" s="169"/>
      <c r="EVV16" s="169"/>
      <c r="EVW16" s="169"/>
      <c r="EVX16" s="169"/>
      <c r="EVY16" s="169"/>
      <c r="EVZ16" s="169"/>
      <c r="EWA16" s="169"/>
      <c r="EWB16" s="169"/>
      <c r="EWC16" s="169"/>
      <c r="EWD16" s="169"/>
      <c r="EWE16" s="169"/>
      <c r="EWF16" s="169"/>
      <c r="EWG16" s="169"/>
      <c r="EWH16" s="169"/>
      <c r="EWI16" s="169"/>
      <c r="EWJ16" s="169"/>
      <c r="EWK16" s="169"/>
      <c r="EWL16" s="169"/>
      <c r="EWM16" s="169"/>
      <c r="EWN16" s="169"/>
      <c r="EWO16" s="169"/>
      <c r="EWP16" s="169"/>
      <c r="EWQ16" s="169"/>
      <c r="EWR16" s="169"/>
      <c r="EWS16" s="169"/>
      <c r="EWT16" s="169"/>
      <c r="EWU16" s="169"/>
      <c r="EWV16" s="169"/>
      <c r="EWW16" s="169"/>
      <c r="EWX16" s="169"/>
      <c r="EWY16" s="169"/>
      <c r="EWZ16" s="169"/>
      <c r="EXA16" s="169"/>
      <c r="EXB16" s="169"/>
      <c r="EXC16" s="169"/>
      <c r="EXD16" s="169"/>
      <c r="EXE16" s="169"/>
      <c r="EXF16" s="169"/>
      <c r="EXG16" s="169"/>
      <c r="EXH16" s="169"/>
      <c r="EXI16" s="169"/>
      <c r="EXJ16" s="169"/>
      <c r="EXK16" s="169"/>
      <c r="EXL16" s="169"/>
      <c r="EXM16" s="169"/>
      <c r="EXN16" s="169"/>
      <c r="EXO16" s="169"/>
      <c r="EXP16" s="169"/>
      <c r="EXQ16" s="169"/>
      <c r="EXR16" s="169"/>
      <c r="EXS16" s="169"/>
      <c r="EXT16" s="169"/>
      <c r="EXU16" s="169"/>
      <c r="EXV16" s="169"/>
      <c r="EXW16" s="169"/>
      <c r="EXX16" s="169"/>
      <c r="EXY16" s="169"/>
      <c r="EXZ16" s="169"/>
      <c r="EYA16" s="169"/>
      <c r="EYB16" s="169"/>
      <c r="EYC16" s="169"/>
      <c r="EYD16" s="169"/>
      <c r="EYE16" s="169"/>
      <c r="EYF16" s="169"/>
      <c r="EYG16" s="169"/>
      <c r="EYH16" s="169"/>
      <c r="EYI16" s="169"/>
      <c r="EYJ16" s="169"/>
      <c r="EYK16" s="169"/>
      <c r="EYL16" s="169"/>
      <c r="EYM16" s="169"/>
      <c r="EYN16" s="169"/>
      <c r="EYO16" s="169"/>
      <c r="EYP16" s="169"/>
      <c r="EYQ16" s="169"/>
      <c r="EYR16" s="169"/>
      <c r="EYS16" s="169"/>
      <c r="EYT16" s="169"/>
      <c r="EYU16" s="169"/>
      <c r="EYV16" s="169"/>
      <c r="EYW16" s="169"/>
      <c r="EYX16" s="169"/>
      <c r="EYY16" s="169"/>
      <c r="EYZ16" s="169"/>
      <c r="EZA16" s="169"/>
      <c r="EZB16" s="169"/>
      <c r="EZC16" s="169"/>
      <c r="EZD16" s="169"/>
      <c r="EZE16" s="169"/>
      <c r="EZF16" s="169"/>
      <c r="EZG16" s="169"/>
      <c r="EZH16" s="169"/>
      <c r="EZI16" s="169"/>
      <c r="EZJ16" s="169"/>
      <c r="EZK16" s="169"/>
      <c r="EZL16" s="169"/>
      <c r="EZM16" s="169"/>
      <c r="EZN16" s="169"/>
      <c r="EZO16" s="169"/>
      <c r="EZP16" s="169"/>
      <c r="EZQ16" s="169"/>
      <c r="EZR16" s="169"/>
      <c r="EZS16" s="169"/>
      <c r="EZT16" s="169"/>
      <c r="EZU16" s="169"/>
      <c r="EZV16" s="169"/>
      <c r="EZW16" s="169"/>
      <c r="EZX16" s="169"/>
      <c r="EZY16" s="169"/>
      <c r="EZZ16" s="169"/>
      <c r="FAA16" s="169"/>
      <c r="FAB16" s="169"/>
      <c r="FAC16" s="169"/>
      <c r="FAD16" s="169"/>
      <c r="FAE16" s="169"/>
      <c r="FAF16" s="169"/>
      <c r="FAG16" s="169"/>
      <c r="FAH16" s="169"/>
      <c r="FAI16" s="169"/>
      <c r="FAJ16" s="169"/>
      <c r="FAK16" s="169"/>
      <c r="FAL16" s="169"/>
      <c r="FAM16" s="169"/>
      <c r="FAN16" s="169"/>
      <c r="FAO16" s="169"/>
      <c r="FAP16" s="169"/>
      <c r="FAQ16" s="169"/>
      <c r="FAR16" s="169"/>
      <c r="FAS16" s="169"/>
      <c r="FAT16" s="169"/>
      <c r="FAU16" s="169"/>
      <c r="FAV16" s="169"/>
      <c r="FAW16" s="169"/>
      <c r="FAX16" s="169"/>
      <c r="FAY16" s="169"/>
      <c r="FAZ16" s="169"/>
      <c r="FBA16" s="169"/>
      <c r="FBB16" s="169"/>
      <c r="FBC16" s="169"/>
      <c r="FBD16" s="169"/>
      <c r="FBE16" s="169"/>
      <c r="FBF16" s="169"/>
      <c r="FBG16" s="169"/>
      <c r="FBH16" s="169"/>
      <c r="FBI16" s="169"/>
      <c r="FBJ16" s="169"/>
      <c r="FBK16" s="169"/>
      <c r="FBL16" s="169"/>
      <c r="FBM16" s="169"/>
      <c r="FBN16" s="169"/>
      <c r="FBO16" s="169"/>
      <c r="FBP16" s="169"/>
      <c r="FBQ16" s="169"/>
      <c r="FBR16" s="169"/>
      <c r="FBS16" s="169"/>
      <c r="FBT16" s="169"/>
      <c r="FBU16" s="169"/>
      <c r="FBV16" s="169"/>
      <c r="FBW16" s="169"/>
      <c r="FBX16" s="169"/>
      <c r="FBY16" s="169"/>
      <c r="FBZ16" s="169"/>
      <c r="FCA16" s="169"/>
      <c r="FCB16" s="169"/>
      <c r="FCC16" s="169"/>
      <c r="FCD16" s="169"/>
      <c r="FCE16" s="169"/>
      <c r="FCF16" s="169"/>
      <c r="FCG16" s="169"/>
      <c r="FCH16" s="169"/>
      <c r="FCI16" s="169"/>
      <c r="FCJ16" s="169"/>
      <c r="FCK16" s="169"/>
      <c r="FCL16" s="169"/>
      <c r="FCM16" s="169"/>
      <c r="FCN16" s="169"/>
      <c r="FCO16" s="169"/>
      <c r="FCP16" s="169"/>
      <c r="FCQ16" s="169"/>
      <c r="FCR16" s="169"/>
      <c r="FCS16" s="169"/>
      <c r="FCT16" s="169"/>
      <c r="FCU16" s="169"/>
      <c r="FCV16" s="169"/>
      <c r="FCW16" s="169"/>
      <c r="FCX16" s="169"/>
      <c r="FCY16" s="169"/>
      <c r="FCZ16" s="169"/>
      <c r="FDA16" s="169"/>
      <c r="FDB16" s="169"/>
      <c r="FDC16" s="169"/>
      <c r="FDD16" s="169"/>
      <c r="FDE16" s="169"/>
      <c r="FDF16" s="169"/>
      <c r="FDG16" s="169"/>
      <c r="FDH16" s="169"/>
      <c r="FDI16" s="169"/>
      <c r="FDJ16" s="169"/>
      <c r="FDK16" s="169"/>
      <c r="FDL16" s="169"/>
      <c r="FDM16" s="169"/>
      <c r="FDN16" s="169"/>
      <c r="FDO16" s="169"/>
      <c r="FDP16" s="169"/>
      <c r="FDQ16" s="169"/>
      <c r="FDR16" s="169"/>
      <c r="FDS16" s="169"/>
      <c r="FDT16" s="169"/>
      <c r="FDU16" s="169"/>
      <c r="FDV16" s="169"/>
      <c r="FDW16" s="169"/>
      <c r="FDX16" s="169"/>
      <c r="FDY16" s="169"/>
      <c r="FDZ16" s="169"/>
      <c r="FEA16" s="169"/>
      <c r="FEB16" s="169"/>
      <c r="FEC16" s="169"/>
      <c r="FED16" s="169"/>
      <c r="FEE16" s="169"/>
      <c r="FEF16" s="169"/>
      <c r="FEG16" s="169"/>
      <c r="FEH16" s="169"/>
      <c r="FEI16" s="169"/>
      <c r="FEJ16" s="169"/>
      <c r="FEK16" s="169"/>
      <c r="FEL16" s="169"/>
      <c r="FEM16" s="169"/>
      <c r="FEN16" s="169"/>
      <c r="FEO16" s="169"/>
      <c r="FEP16" s="169"/>
      <c r="FEQ16" s="169"/>
      <c r="FER16" s="169"/>
      <c r="FES16" s="169"/>
      <c r="FET16" s="169"/>
      <c r="FEU16" s="169"/>
      <c r="FEV16" s="169"/>
      <c r="FEW16" s="169"/>
      <c r="FEX16" s="169"/>
      <c r="FEY16" s="169"/>
      <c r="FEZ16" s="169"/>
      <c r="FFA16" s="169"/>
      <c r="FFB16" s="169"/>
      <c r="FFC16" s="169"/>
      <c r="FFD16" s="169"/>
      <c r="FFE16" s="169"/>
      <c r="FFF16" s="169"/>
      <c r="FFG16" s="169"/>
      <c r="FFH16" s="169"/>
      <c r="FFI16" s="169"/>
      <c r="FFJ16" s="169"/>
      <c r="FFK16" s="169"/>
      <c r="FFL16" s="169"/>
      <c r="FFM16" s="169"/>
      <c r="FFN16" s="169"/>
      <c r="FFO16" s="169"/>
      <c r="FFP16" s="169"/>
      <c r="FFQ16" s="169"/>
      <c r="FFR16" s="169"/>
      <c r="FFS16" s="169"/>
      <c r="FFT16" s="169"/>
      <c r="FFU16" s="169"/>
      <c r="FFV16" s="169"/>
      <c r="FFW16" s="169"/>
      <c r="FFX16" s="169"/>
      <c r="FFY16" s="169"/>
      <c r="FFZ16" s="169"/>
      <c r="FGA16" s="169"/>
      <c r="FGB16" s="169"/>
      <c r="FGC16" s="169"/>
      <c r="FGD16" s="169"/>
      <c r="FGE16" s="169"/>
      <c r="FGF16" s="169"/>
      <c r="FGG16" s="169"/>
      <c r="FGH16" s="169"/>
      <c r="FGI16" s="169"/>
      <c r="FGJ16" s="169"/>
      <c r="FGK16" s="169"/>
      <c r="FGL16" s="169"/>
      <c r="FGM16" s="169"/>
      <c r="FGN16" s="169"/>
      <c r="FGO16" s="169"/>
      <c r="FGP16" s="169"/>
      <c r="FGQ16" s="169"/>
      <c r="FGR16" s="169"/>
      <c r="FGS16" s="169"/>
      <c r="FGT16" s="169"/>
      <c r="FGU16" s="169"/>
      <c r="FGV16" s="169"/>
      <c r="FGW16" s="169"/>
      <c r="FGX16" s="169"/>
      <c r="FGY16" s="169"/>
      <c r="FGZ16" s="169"/>
      <c r="FHA16" s="169"/>
      <c r="FHB16" s="169"/>
      <c r="FHC16" s="169"/>
      <c r="FHD16" s="169"/>
      <c r="FHE16" s="169"/>
      <c r="FHF16" s="169"/>
      <c r="FHG16" s="169"/>
      <c r="FHH16" s="169"/>
      <c r="FHI16" s="169"/>
      <c r="FHJ16" s="169"/>
      <c r="FHK16" s="169"/>
      <c r="FHL16" s="169"/>
      <c r="FHM16" s="169"/>
      <c r="FHN16" s="169"/>
      <c r="FHO16" s="169"/>
      <c r="FHP16" s="169"/>
      <c r="FHQ16" s="169"/>
      <c r="FHR16" s="169"/>
      <c r="FHS16" s="169"/>
      <c r="FHT16" s="169"/>
      <c r="FHU16" s="169"/>
      <c r="FHV16" s="169"/>
      <c r="FHW16" s="169"/>
      <c r="FHX16" s="169"/>
      <c r="FHY16" s="169"/>
      <c r="FHZ16" s="169"/>
      <c r="FIA16" s="169"/>
      <c r="FIB16" s="169"/>
      <c r="FIC16" s="169"/>
      <c r="FID16" s="169"/>
      <c r="FIE16" s="169"/>
      <c r="FIF16" s="169"/>
      <c r="FIG16" s="169"/>
      <c r="FIH16" s="169"/>
      <c r="FII16" s="169"/>
      <c r="FIJ16" s="169"/>
      <c r="FIK16" s="169"/>
      <c r="FIL16" s="169"/>
      <c r="FIM16" s="169"/>
      <c r="FIN16" s="169"/>
      <c r="FIO16" s="169"/>
      <c r="FIP16" s="169"/>
      <c r="FIQ16" s="169"/>
      <c r="FIR16" s="169"/>
      <c r="FIS16" s="169"/>
      <c r="FIT16" s="169"/>
      <c r="FIU16" s="169"/>
      <c r="FIV16" s="169"/>
      <c r="FIW16" s="169"/>
      <c r="FIX16" s="169"/>
      <c r="FIY16" s="169"/>
      <c r="FIZ16" s="169"/>
      <c r="FJA16" s="169"/>
      <c r="FJB16" s="169"/>
      <c r="FJC16" s="169"/>
      <c r="FJD16" s="169"/>
      <c r="FJE16" s="169"/>
      <c r="FJF16" s="169"/>
      <c r="FJG16" s="169"/>
      <c r="FJH16" s="169"/>
      <c r="FJI16" s="169"/>
      <c r="FJJ16" s="169"/>
      <c r="FJK16" s="169"/>
      <c r="FJL16" s="169"/>
      <c r="FJM16" s="169"/>
      <c r="FJN16" s="169"/>
      <c r="FJO16" s="169"/>
      <c r="FJP16" s="169"/>
      <c r="FJQ16" s="169"/>
      <c r="FJR16" s="169"/>
      <c r="FJS16" s="169"/>
      <c r="FJT16" s="169"/>
      <c r="FJU16" s="169"/>
      <c r="FJV16" s="169"/>
      <c r="FJW16" s="169"/>
      <c r="FJX16" s="169"/>
      <c r="FJY16" s="169"/>
      <c r="FJZ16" s="169"/>
      <c r="FKA16" s="169"/>
      <c r="FKB16" s="169"/>
      <c r="FKC16" s="169"/>
      <c r="FKD16" s="169"/>
      <c r="FKE16" s="169"/>
      <c r="FKF16" s="169"/>
      <c r="FKG16" s="169"/>
      <c r="FKH16" s="169"/>
      <c r="FKI16" s="169"/>
      <c r="FKJ16" s="169"/>
      <c r="FKK16" s="169"/>
      <c r="FKL16" s="169"/>
      <c r="FKM16" s="169"/>
      <c r="FKN16" s="169"/>
      <c r="FKO16" s="169"/>
      <c r="FKP16" s="169"/>
      <c r="FKQ16" s="169"/>
      <c r="FKR16" s="169"/>
      <c r="FKS16" s="169"/>
      <c r="FKT16" s="169"/>
      <c r="FKU16" s="169"/>
      <c r="FKV16" s="169"/>
      <c r="FKW16" s="169"/>
      <c r="FKX16" s="169"/>
      <c r="FKY16" s="169"/>
      <c r="FKZ16" s="169"/>
      <c r="FLA16" s="169"/>
      <c r="FLB16" s="169"/>
      <c r="FLC16" s="169"/>
      <c r="FLD16" s="169"/>
      <c r="FLE16" s="169"/>
      <c r="FLF16" s="169"/>
      <c r="FLG16" s="169"/>
      <c r="FLH16" s="169"/>
      <c r="FLI16" s="169"/>
      <c r="FLJ16" s="169"/>
      <c r="FLK16" s="169"/>
      <c r="FLL16" s="169"/>
      <c r="FLM16" s="169"/>
      <c r="FLN16" s="169"/>
      <c r="FLO16" s="169"/>
      <c r="FLP16" s="169"/>
      <c r="FLQ16" s="169"/>
      <c r="FLR16" s="169"/>
      <c r="FLS16" s="169"/>
      <c r="FLT16" s="169"/>
      <c r="FLU16" s="169"/>
      <c r="FLV16" s="169"/>
      <c r="FLW16" s="169"/>
      <c r="FLX16" s="169"/>
      <c r="FLY16" s="169"/>
      <c r="FLZ16" s="169"/>
      <c r="FMA16" s="169"/>
      <c r="FMB16" s="169"/>
      <c r="FMC16" s="169"/>
      <c r="FMD16" s="169"/>
      <c r="FME16" s="169"/>
      <c r="FMF16" s="169"/>
      <c r="FMG16" s="169"/>
      <c r="FMH16" s="169"/>
      <c r="FMI16" s="169"/>
      <c r="FMJ16" s="169"/>
      <c r="FMK16" s="169"/>
      <c r="FML16" s="169"/>
      <c r="FMM16" s="169"/>
      <c r="FMN16" s="169"/>
      <c r="FMO16" s="169"/>
      <c r="FMP16" s="169"/>
      <c r="FMQ16" s="169"/>
      <c r="FMR16" s="169"/>
      <c r="FMS16" s="169"/>
      <c r="FMT16" s="169"/>
      <c r="FMU16" s="169"/>
      <c r="FMV16" s="169"/>
      <c r="FMW16" s="169"/>
      <c r="FMX16" s="169"/>
      <c r="FMY16" s="169"/>
      <c r="FMZ16" s="169"/>
      <c r="FNA16" s="169"/>
      <c r="FNB16" s="169"/>
      <c r="FNC16" s="169"/>
      <c r="FND16" s="169"/>
      <c r="FNE16" s="169"/>
      <c r="FNF16" s="169"/>
      <c r="FNG16" s="169"/>
      <c r="FNH16" s="169"/>
      <c r="FNI16" s="169"/>
      <c r="FNJ16" s="169"/>
      <c r="FNK16" s="169"/>
      <c r="FNL16" s="169"/>
      <c r="FNM16" s="169"/>
      <c r="FNN16" s="169"/>
      <c r="FNO16" s="169"/>
      <c r="FNP16" s="169"/>
      <c r="FNQ16" s="169"/>
      <c r="FNR16" s="169"/>
      <c r="FNS16" s="169"/>
      <c r="FNT16" s="169"/>
      <c r="FNU16" s="169"/>
      <c r="FNV16" s="169"/>
      <c r="FNW16" s="169"/>
      <c r="FNX16" s="169"/>
      <c r="FNY16" s="169"/>
      <c r="FNZ16" s="169"/>
      <c r="FOA16" s="169"/>
      <c r="FOB16" s="169"/>
      <c r="FOC16" s="169"/>
      <c r="FOD16" s="169"/>
      <c r="FOE16" s="169"/>
      <c r="FOF16" s="169"/>
      <c r="FOG16" s="169"/>
      <c r="FOH16" s="169"/>
      <c r="FOI16" s="169"/>
      <c r="FOJ16" s="169"/>
      <c r="FOK16" s="169"/>
      <c r="FOL16" s="169"/>
      <c r="FOM16" s="169"/>
      <c r="FON16" s="169"/>
      <c r="FOO16" s="169"/>
      <c r="FOP16" s="169"/>
      <c r="FOQ16" s="169"/>
      <c r="FOR16" s="169"/>
      <c r="FOS16" s="169"/>
      <c r="FOT16" s="169"/>
      <c r="FOU16" s="169"/>
      <c r="FOV16" s="169"/>
      <c r="FOW16" s="169"/>
      <c r="FOX16" s="169"/>
      <c r="FOY16" s="169"/>
      <c r="FOZ16" s="169"/>
      <c r="FPA16" s="169"/>
      <c r="FPB16" s="169"/>
      <c r="FPC16" s="169"/>
      <c r="FPD16" s="169"/>
      <c r="FPE16" s="169"/>
      <c r="FPF16" s="169"/>
      <c r="FPG16" s="169"/>
      <c r="FPH16" s="169"/>
      <c r="FPI16" s="169"/>
      <c r="FPJ16" s="169"/>
      <c r="FPK16" s="169"/>
      <c r="FPL16" s="169"/>
      <c r="FPM16" s="169"/>
      <c r="FPN16" s="169"/>
      <c r="FPO16" s="169"/>
      <c r="FPP16" s="169"/>
      <c r="FPQ16" s="169"/>
      <c r="FPR16" s="169"/>
      <c r="FPS16" s="169"/>
      <c r="FPT16" s="169"/>
      <c r="FPU16" s="169"/>
      <c r="FPV16" s="169"/>
      <c r="FPW16" s="169"/>
      <c r="FPX16" s="169"/>
      <c r="FPY16" s="169"/>
      <c r="FPZ16" s="169"/>
      <c r="FQA16" s="169"/>
      <c r="FQB16" s="169"/>
      <c r="FQC16" s="169"/>
      <c r="FQD16" s="169"/>
      <c r="FQE16" s="169"/>
      <c r="FQF16" s="169"/>
      <c r="FQG16" s="169"/>
      <c r="FQH16" s="169"/>
      <c r="FQI16" s="169"/>
      <c r="FQJ16" s="169"/>
      <c r="FQK16" s="169"/>
      <c r="FQL16" s="169"/>
      <c r="FQM16" s="169"/>
      <c r="FQN16" s="169"/>
      <c r="FQO16" s="169"/>
      <c r="FQP16" s="169"/>
      <c r="FQQ16" s="169"/>
      <c r="FQR16" s="169"/>
      <c r="FQS16" s="169"/>
      <c r="FQT16" s="169"/>
      <c r="FQU16" s="169"/>
      <c r="FQV16" s="169"/>
      <c r="FQW16" s="169"/>
      <c r="FQX16" s="169"/>
      <c r="FQY16" s="169"/>
      <c r="FQZ16" s="169"/>
      <c r="FRA16" s="169"/>
      <c r="FRB16" s="169"/>
      <c r="FRC16" s="169"/>
      <c r="FRD16" s="169"/>
      <c r="FRE16" s="169"/>
      <c r="FRF16" s="169"/>
      <c r="FRG16" s="169"/>
      <c r="FRH16" s="169"/>
      <c r="FRI16" s="169"/>
      <c r="FRJ16" s="169"/>
      <c r="FRK16" s="169"/>
      <c r="FRL16" s="169"/>
      <c r="FRM16" s="169"/>
      <c r="FRN16" s="169"/>
      <c r="FRO16" s="169"/>
      <c r="FRP16" s="169"/>
      <c r="FRQ16" s="169"/>
      <c r="FRR16" s="169"/>
      <c r="FRS16" s="169"/>
      <c r="FRT16" s="169"/>
      <c r="FRU16" s="169"/>
      <c r="FRV16" s="169"/>
      <c r="FRW16" s="169"/>
      <c r="FRX16" s="169"/>
      <c r="FRY16" s="169"/>
      <c r="FRZ16" s="169"/>
      <c r="FSA16" s="169"/>
      <c r="FSB16" s="169"/>
      <c r="FSC16" s="169"/>
      <c r="FSD16" s="169"/>
      <c r="FSE16" s="169"/>
      <c r="FSF16" s="169"/>
      <c r="FSG16" s="169"/>
      <c r="FSH16" s="169"/>
      <c r="FSI16" s="169"/>
      <c r="FSJ16" s="169"/>
      <c r="FSK16" s="169"/>
      <c r="FSL16" s="169"/>
      <c r="FSM16" s="169"/>
      <c r="FSN16" s="169"/>
      <c r="FSO16" s="169"/>
      <c r="FSP16" s="169"/>
      <c r="FSQ16" s="169"/>
      <c r="FSR16" s="169"/>
      <c r="FSS16" s="169"/>
      <c r="FST16" s="169"/>
      <c r="FSU16" s="169"/>
      <c r="FSV16" s="169"/>
      <c r="FSW16" s="169"/>
      <c r="FSX16" s="169"/>
      <c r="FSY16" s="169"/>
      <c r="FSZ16" s="169"/>
      <c r="FTA16" s="169"/>
      <c r="FTB16" s="169"/>
      <c r="FTC16" s="169"/>
      <c r="FTD16" s="169"/>
      <c r="FTE16" s="169"/>
      <c r="FTF16" s="169"/>
      <c r="FTG16" s="169"/>
      <c r="FTH16" s="169"/>
      <c r="FTI16" s="169"/>
      <c r="FTJ16" s="169"/>
      <c r="FTK16" s="169"/>
      <c r="FTL16" s="169"/>
      <c r="FTM16" s="169"/>
      <c r="FTN16" s="169"/>
      <c r="FTO16" s="169"/>
      <c r="FTP16" s="169"/>
      <c r="FTQ16" s="169"/>
      <c r="FTR16" s="169"/>
      <c r="FTS16" s="169"/>
      <c r="FTT16" s="169"/>
      <c r="FTU16" s="169"/>
      <c r="FTV16" s="169"/>
      <c r="FTW16" s="169"/>
      <c r="FTX16" s="169"/>
      <c r="FTY16" s="169"/>
      <c r="FTZ16" s="169"/>
      <c r="FUA16" s="169"/>
      <c r="FUB16" s="169"/>
      <c r="FUC16" s="169"/>
      <c r="FUD16" s="169"/>
      <c r="FUE16" s="169"/>
      <c r="FUF16" s="169"/>
      <c r="FUG16" s="169"/>
      <c r="FUH16" s="169"/>
      <c r="FUI16" s="169"/>
      <c r="FUJ16" s="169"/>
      <c r="FUK16" s="169"/>
      <c r="FUL16" s="169"/>
      <c r="FUM16" s="169"/>
      <c r="FUN16" s="169"/>
      <c r="FUO16" s="169"/>
      <c r="FUP16" s="169"/>
      <c r="FUQ16" s="169"/>
      <c r="FUR16" s="169"/>
      <c r="FUS16" s="169"/>
      <c r="FUT16" s="169"/>
      <c r="FUU16" s="169"/>
      <c r="FUV16" s="169"/>
      <c r="FUW16" s="169"/>
      <c r="FUX16" s="169"/>
      <c r="FUY16" s="169"/>
      <c r="FUZ16" s="169"/>
      <c r="FVA16" s="169"/>
      <c r="FVB16" s="169"/>
      <c r="FVC16" s="169"/>
      <c r="FVD16" s="169"/>
      <c r="FVE16" s="169"/>
      <c r="FVF16" s="169"/>
      <c r="FVG16" s="169"/>
      <c r="FVH16" s="169"/>
      <c r="FVI16" s="169"/>
      <c r="FVJ16" s="169"/>
      <c r="FVK16" s="169"/>
      <c r="FVL16" s="169"/>
      <c r="FVM16" s="169"/>
      <c r="FVN16" s="169"/>
      <c r="FVO16" s="169"/>
      <c r="FVP16" s="169"/>
      <c r="FVQ16" s="169"/>
      <c r="FVR16" s="169"/>
      <c r="FVS16" s="169"/>
      <c r="FVT16" s="169"/>
      <c r="FVU16" s="169"/>
      <c r="FVV16" s="169"/>
      <c r="FVW16" s="169"/>
      <c r="FVX16" s="169"/>
      <c r="FVY16" s="169"/>
      <c r="FVZ16" s="169"/>
      <c r="FWA16" s="169"/>
      <c r="FWB16" s="169"/>
      <c r="FWC16" s="169"/>
      <c r="FWD16" s="169"/>
      <c r="FWE16" s="169"/>
      <c r="FWF16" s="169"/>
      <c r="FWG16" s="169"/>
      <c r="FWH16" s="169"/>
      <c r="FWI16" s="169"/>
      <c r="FWJ16" s="169"/>
      <c r="FWK16" s="169"/>
      <c r="FWL16" s="169"/>
      <c r="FWM16" s="169"/>
      <c r="FWN16" s="169"/>
      <c r="FWO16" s="169"/>
      <c r="FWP16" s="169"/>
      <c r="FWQ16" s="169"/>
      <c r="FWR16" s="169"/>
      <c r="FWS16" s="169"/>
      <c r="FWT16" s="169"/>
      <c r="FWU16" s="169"/>
      <c r="FWV16" s="169"/>
      <c r="FWW16" s="169"/>
      <c r="FWX16" s="169"/>
      <c r="FWY16" s="169"/>
      <c r="FWZ16" s="169"/>
      <c r="FXA16" s="169"/>
      <c r="FXB16" s="169"/>
      <c r="FXC16" s="169"/>
      <c r="FXD16" s="169"/>
      <c r="FXE16" s="169"/>
      <c r="FXF16" s="169"/>
      <c r="FXG16" s="169"/>
      <c r="FXH16" s="169"/>
      <c r="FXI16" s="169"/>
      <c r="FXJ16" s="169"/>
      <c r="FXK16" s="169"/>
      <c r="FXL16" s="169"/>
      <c r="FXM16" s="169"/>
      <c r="FXN16" s="169"/>
      <c r="FXO16" s="169"/>
      <c r="FXP16" s="169"/>
      <c r="FXQ16" s="169"/>
      <c r="FXR16" s="169"/>
      <c r="FXS16" s="169"/>
      <c r="FXT16" s="169"/>
      <c r="FXU16" s="169"/>
      <c r="FXV16" s="169"/>
      <c r="FXW16" s="169"/>
      <c r="FXX16" s="169"/>
      <c r="FXY16" s="169"/>
      <c r="FXZ16" s="169"/>
      <c r="FYA16" s="169"/>
      <c r="FYB16" s="169"/>
      <c r="FYC16" s="169"/>
      <c r="FYD16" s="169"/>
      <c r="FYE16" s="169"/>
      <c r="FYF16" s="169"/>
      <c r="FYG16" s="169"/>
      <c r="FYH16" s="169"/>
      <c r="FYI16" s="169"/>
      <c r="FYJ16" s="169"/>
      <c r="FYK16" s="169"/>
      <c r="FYL16" s="169"/>
      <c r="FYM16" s="169"/>
      <c r="FYN16" s="169"/>
      <c r="FYO16" s="169"/>
      <c r="FYP16" s="169"/>
      <c r="FYQ16" s="169"/>
      <c r="FYR16" s="169"/>
      <c r="FYS16" s="169"/>
      <c r="FYT16" s="169"/>
      <c r="FYU16" s="169"/>
      <c r="FYV16" s="169"/>
      <c r="FYW16" s="169"/>
      <c r="FYX16" s="169"/>
      <c r="FYY16" s="169"/>
      <c r="FYZ16" s="169"/>
      <c r="FZA16" s="169"/>
      <c r="FZB16" s="169"/>
      <c r="FZC16" s="169"/>
      <c r="FZD16" s="169"/>
      <c r="FZE16" s="169"/>
      <c r="FZF16" s="169"/>
      <c r="FZG16" s="169"/>
      <c r="FZH16" s="169"/>
      <c r="FZI16" s="169"/>
      <c r="FZJ16" s="169"/>
      <c r="FZK16" s="169"/>
      <c r="FZL16" s="169"/>
      <c r="FZM16" s="169"/>
      <c r="FZN16" s="169"/>
      <c r="FZO16" s="169"/>
      <c r="FZP16" s="169"/>
      <c r="FZQ16" s="169"/>
      <c r="FZR16" s="169"/>
      <c r="FZS16" s="169"/>
      <c r="FZT16" s="169"/>
      <c r="FZU16" s="169"/>
      <c r="FZV16" s="169"/>
      <c r="FZW16" s="169"/>
      <c r="FZX16" s="169"/>
      <c r="FZY16" s="169"/>
      <c r="FZZ16" s="169"/>
      <c r="GAA16" s="169"/>
      <c r="GAB16" s="169"/>
      <c r="GAC16" s="169"/>
      <c r="GAD16" s="169"/>
      <c r="GAE16" s="169"/>
      <c r="GAF16" s="169"/>
      <c r="GAG16" s="169"/>
      <c r="GAH16" s="169"/>
      <c r="GAI16" s="169"/>
      <c r="GAJ16" s="169"/>
      <c r="GAK16" s="169"/>
      <c r="GAL16" s="169"/>
      <c r="GAM16" s="169"/>
      <c r="GAN16" s="169"/>
      <c r="GAO16" s="169"/>
      <c r="GAP16" s="169"/>
      <c r="GAQ16" s="169"/>
      <c r="GAR16" s="169"/>
      <c r="GAS16" s="169"/>
      <c r="GAT16" s="169"/>
      <c r="GAU16" s="169"/>
      <c r="GAV16" s="169"/>
      <c r="GAW16" s="169"/>
      <c r="GAX16" s="169"/>
      <c r="GAY16" s="169"/>
      <c r="GAZ16" s="169"/>
      <c r="GBA16" s="169"/>
      <c r="GBB16" s="169"/>
      <c r="GBC16" s="169"/>
      <c r="GBD16" s="169"/>
      <c r="GBE16" s="169"/>
      <c r="GBF16" s="169"/>
      <c r="GBG16" s="169"/>
      <c r="GBH16" s="169"/>
      <c r="GBI16" s="169"/>
      <c r="GBJ16" s="169"/>
      <c r="GBK16" s="169"/>
      <c r="GBL16" s="169"/>
      <c r="GBM16" s="169"/>
      <c r="GBN16" s="169"/>
      <c r="GBO16" s="169"/>
      <c r="GBP16" s="169"/>
      <c r="GBQ16" s="169"/>
      <c r="GBR16" s="169"/>
      <c r="GBS16" s="169"/>
      <c r="GBT16" s="169"/>
      <c r="GBU16" s="169"/>
      <c r="GBV16" s="169"/>
      <c r="GBW16" s="169"/>
      <c r="GBX16" s="169"/>
      <c r="GBY16" s="169"/>
      <c r="GBZ16" s="169"/>
      <c r="GCA16" s="169"/>
      <c r="GCB16" s="169"/>
      <c r="GCC16" s="169"/>
      <c r="GCD16" s="169"/>
      <c r="GCE16" s="169"/>
      <c r="GCF16" s="169"/>
      <c r="GCG16" s="169"/>
      <c r="GCH16" s="169"/>
      <c r="GCI16" s="169"/>
      <c r="GCJ16" s="169"/>
      <c r="GCK16" s="169"/>
      <c r="GCL16" s="169"/>
      <c r="GCM16" s="169"/>
      <c r="GCN16" s="169"/>
      <c r="GCO16" s="169"/>
      <c r="GCP16" s="169"/>
      <c r="GCQ16" s="169"/>
      <c r="GCR16" s="169"/>
      <c r="GCS16" s="169"/>
      <c r="GCT16" s="169"/>
      <c r="GCU16" s="169"/>
      <c r="GCV16" s="169"/>
      <c r="GCW16" s="169"/>
      <c r="GCX16" s="169"/>
      <c r="GCY16" s="169"/>
      <c r="GCZ16" s="169"/>
      <c r="GDA16" s="169"/>
      <c r="GDB16" s="169"/>
      <c r="GDC16" s="169"/>
      <c r="GDD16" s="169"/>
      <c r="GDE16" s="169"/>
      <c r="GDF16" s="169"/>
      <c r="GDG16" s="169"/>
      <c r="GDH16" s="169"/>
      <c r="GDI16" s="169"/>
      <c r="GDJ16" s="169"/>
      <c r="GDK16" s="169"/>
      <c r="GDL16" s="169"/>
      <c r="GDM16" s="169"/>
      <c r="GDN16" s="169"/>
      <c r="GDO16" s="169"/>
      <c r="GDP16" s="169"/>
      <c r="GDQ16" s="169"/>
      <c r="GDR16" s="169"/>
      <c r="GDS16" s="169"/>
      <c r="GDT16" s="169"/>
      <c r="GDU16" s="169"/>
      <c r="GDV16" s="169"/>
      <c r="GDW16" s="169"/>
      <c r="GDX16" s="169"/>
      <c r="GDY16" s="169"/>
      <c r="GDZ16" s="169"/>
      <c r="GEA16" s="169"/>
      <c r="GEB16" s="169"/>
      <c r="GEC16" s="169"/>
      <c r="GED16" s="169"/>
      <c r="GEE16" s="169"/>
      <c r="GEF16" s="169"/>
      <c r="GEG16" s="169"/>
      <c r="GEH16" s="169"/>
      <c r="GEI16" s="169"/>
      <c r="GEJ16" s="169"/>
      <c r="GEK16" s="169"/>
      <c r="GEL16" s="169"/>
      <c r="GEM16" s="169"/>
      <c r="GEN16" s="169"/>
      <c r="GEO16" s="169"/>
      <c r="GEP16" s="169"/>
      <c r="GEQ16" s="169"/>
      <c r="GER16" s="169"/>
      <c r="GES16" s="169"/>
      <c r="GET16" s="169"/>
      <c r="GEU16" s="169"/>
      <c r="GEV16" s="169"/>
      <c r="GEW16" s="169"/>
      <c r="GEX16" s="169"/>
      <c r="GEY16" s="169"/>
      <c r="GEZ16" s="169"/>
      <c r="GFA16" s="169"/>
      <c r="GFB16" s="169"/>
      <c r="GFC16" s="169"/>
      <c r="GFD16" s="169"/>
      <c r="GFE16" s="169"/>
      <c r="GFF16" s="169"/>
      <c r="GFG16" s="169"/>
      <c r="GFH16" s="169"/>
      <c r="GFI16" s="169"/>
      <c r="GFJ16" s="169"/>
      <c r="GFK16" s="169"/>
      <c r="GFL16" s="169"/>
      <c r="GFM16" s="169"/>
      <c r="GFN16" s="169"/>
      <c r="GFO16" s="169"/>
      <c r="GFP16" s="169"/>
      <c r="GFQ16" s="169"/>
      <c r="GFR16" s="169"/>
      <c r="GFS16" s="169"/>
      <c r="GFT16" s="169"/>
      <c r="GFU16" s="169"/>
      <c r="GFV16" s="169"/>
      <c r="GFW16" s="169"/>
      <c r="GFX16" s="169"/>
      <c r="GFY16" s="169"/>
      <c r="GFZ16" s="169"/>
      <c r="GGA16" s="169"/>
      <c r="GGB16" s="169"/>
      <c r="GGC16" s="169"/>
      <c r="GGD16" s="169"/>
      <c r="GGE16" s="169"/>
      <c r="GGF16" s="169"/>
      <c r="GGG16" s="169"/>
      <c r="GGH16" s="169"/>
      <c r="GGI16" s="169"/>
      <c r="GGJ16" s="169"/>
      <c r="GGK16" s="169"/>
      <c r="GGL16" s="169"/>
      <c r="GGM16" s="169"/>
      <c r="GGN16" s="169"/>
      <c r="GGO16" s="169"/>
      <c r="GGP16" s="169"/>
      <c r="GGQ16" s="169"/>
      <c r="GGR16" s="169"/>
      <c r="GGS16" s="169"/>
      <c r="GGT16" s="169"/>
      <c r="GGU16" s="169"/>
      <c r="GGV16" s="169"/>
      <c r="GGW16" s="169"/>
      <c r="GGX16" s="169"/>
      <c r="GGY16" s="169"/>
      <c r="GGZ16" s="169"/>
      <c r="GHA16" s="169"/>
      <c r="GHB16" s="169"/>
      <c r="GHC16" s="169"/>
      <c r="GHD16" s="169"/>
      <c r="GHE16" s="169"/>
      <c r="GHF16" s="169"/>
      <c r="GHG16" s="169"/>
      <c r="GHH16" s="169"/>
      <c r="GHI16" s="169"/>
      <c r="GHJ16" s="169"/>
      <c r="GHK16" s="169"/>
      <c r="GHL16" s="169"/>
      <c r="GHM16" s="169"/>
      <c r="GHN16" s="169"/>
      <c r="GHO16" s="169"/>
      <c r="GHP16" s="169"/>
      <c r="GHQ16" s="169"/>
      <c r="GHR16" s="169"/>
      <c r="GHS16" s="169"/>
      <c r="GHT16" s="169"/>
      <c r="GHU16" s="169"/>
      <c r="GHV16" s="169"/>
      <c r="GHW16" s="169"/>
      <c r="GHX16" s="169"/>
      <c r="GHY16" s="169"/>
      <c r="GHZ16" s="169"/>
      <c r="GIA16" s="169"/>
      <c r="GIB16" s="169"/>
      <c r="GIC16" s="169"/>
      <c r="GID16" s="169"/>
      <c r="GIE16" s="169"/>
      <c r="GIF16" s="169"/>
      <c r="GIG16" s="169"/>
      <c r="GIH16" s="169"/>
      <c r="GII16" s="169"/>
      <c r="GIJ16" s="169"/>
      <c r="GIK16" s="169"/>
      <c r="GIL16" s="169"/>
      <c r="GIM16" s="169"/>
      <c r="GIN16" s="169"/>
      <c r="GIO16" s="169"/>
      <c r="GIP16" s="169"/>
      <c r="GIQ16" s="169"/>
      <c r="GIR16" s="169"/>
      <c r="GIS16" s="169"/>
      <c r="GIT16" s="169"/>
      <c r="GIU16" s="169"/>
      <c r="GIV16" s="169"/>
      <c r="GIW16" s="169"/>
      <c r="GIX16" s="169"/>
      <c r="GIY16" s="169"/>
      <c r="GIZ16" s="169"/>
      <c r="GJA16" s="169"/>
      <c r="GJB16" s="169"/>
      <c r="GJC16" s="169"/>
      <c r="GJD16" s="169"/>
      <c r="GJE16" s="169"/>
      <c r="GJF16" s="169"/>
      <c r="GJG16" s="169"/>
      <c r="GJH16" s="169"/>
      <c r="GJI16" s="169"/>
      <c r="GJJ16" s="169"/>
      <c r="GJK16" s="169"/>
      <c r="GJL16" s="169"/>
      <c r="GJM16" s="169"/>
      <c r="GJN16" s="169"/>
      <c r="GJO16" s="169"/>
      <c r="GJP16" s="169"/>
      <c r="GJQ16" s="169"/>
      <c r="GJR16" s="169"/>
      <c r="GJS16" s="169"/>
      <c r="GJT16" s="169"/>
      <c r="GJU16" s="169"/>
      <c r="GJV16" s="169"/>
      <c r="GJW16" s="169"/>
      <c r="GJX16" s="169"/>
      <c r="GJY16" s="169"/>
      <c r="GJZ16" s="169"/>
      <c r="GKA16" s="169"/>
      <c r="GKB16" s="169"/>
      <c r="GKC16" s="169"/>
      <c r="GKD16" s="169"/>
      <c r="GKE16" s="169"/>
      <c r="GKF16" s="169"/>
      <c r="GKG16" s="169"/>
      <c r="GKH16" s="169"/>
      <c r="GKI16" s="169"/>
      <c r="GKJ16" s="169"/>
      <c r="GKK16" s="169"/>
      <c r="GKL16" s="169"/>
      <c r="GKM16" s="169"/>
      <c r="GKN16" s="169"/>
      <c r="GKO16" s="169"/>
      <c r="GKP16" s="169"/>
      <c r="GKQ16" s="169"/>
      <c r="GKR16" s="169"/>
      <c r="GKS16" s="169"/>
      <c r="GKT16" s="169"/>
      <c r="GKU16" s="169"/>
      <c r="GKV16" s="169"/>
      <c r="GKW16" s="169"/>
      <c r="GKX16" s="169"/>
      <c r="GKY16" s="169"/>
      <c r="GKZ16" s="169"/>
      <c r="GLA16" s="169"/>
      <c r="GLB16" s="169"/>
      <c r="GLC16" s="169"/>
      <c r="GLD16" s="169"/>
      <c r="GLE16" s="169"/>
      <c r="GLF16" s="169"/>
      <c r="GLG16" s="169"/>
      <c r="GLH16" s="169"/>
      <c r="GLI16" s="169"/>
      <c r="GLJ16" s="169"/>
      <c r="GLK16" s="169"/>
      <c r="GLL16" s="169"/>
      <c r="GLM16" s="169"/>
      <c r="GLN16" s="169"/>
      <c r="GLO16" s="169"/>
      <c r="GLP16" s="169"/>
      <c r="GLQ16" s="169"/>
      <c r="GLR16" s="169"/>
      <c r="GLS16" s="169"/>
      <c r="GLT16" s="169"/>
      <c r="GLU16" s="169"/>
      <c r="GLV16" s="169"/>
      <c r="GLW16" s="169"/>
      <c r="GLX16" s="169"/>
      <c r="GLY16" s="169"/>
      <c r="GLZ16" s="169"/>
      <c r="GMA16" s="169"/>
      <c r="GMB16" s="169"/>
      <c r="GMC16" s="169"/>
      <c r="GMD16" s="169"/>
      <c r="GME16" s="169"/>
      <c r="GMF16" s="169"/>
      <c r="GMG16" s="169"/>
      <c r="GMH16" s="169"/>
      <c r="GMI16" s="169"/>
      <c r="GMJ16" s="169"/>
      <c r="GMK16" s="169"/>
      <c r="GML16" s="169"/>
      <c r="GMM16" s="169"/>
      <c r="GMN16" s="169"/>
      <c r="GMO16" s="169"/>
      <c r="GMP16" s="169"/>
      <c r="GMQ16" s="169"/>
      <c r="GMR16" s="169"/>
      <c r="GMS16" s="169"/>
      <c r="GMT16" s="169"/>
      <c r="GMU16" s="169"/>
      <c r="GMV16" s="169"/>
      <c r="GMW16" s="169"/>
      <c r="GMX16" s="169"/>
      <c r="GMY16" s="169"/>
      <c r="GMZ16" s="169"/>
      <c r="GNA16" s="169"/>
      <c r="GNB16" s="169"/>
      <c r="GNC16" s="169"/>
      <c r="GND16" s="169"/>
      <c r="GNE16" s="169"/>
      <c r="GNF16" s="169"/>
      <c r="GNG16" s="169"/>
      <c r="GNH16" s="169"/>
      <c r="GNI16" s="169"/>
      <c r="GNJ16" s="169"/>
      <c r="GNK16" s="169"/>
      <c r="GNL16" s="169"/>
      <c r="GNM16" s="169"/>
      <c r="GNN16" s="169"/>
      <c r="GNO16" s="169"/>
      <c r="GNP16" s="169"/>
      <c r="GNQ16" s="169"/>
      <c r="GNR16" s="169"/>
      <c r="GNS16" s="169"/>
      <c r="GNT16" s="169"/>
      <c r="GNU16" s="169"/>
      <c r="GNV16" s="169"/>
      <c r="GNW16" s="169"/>
      <c r="GNX16" s="169"/>
      <c r="GNY16" s="169"/>
      <c r="GNZ16" s="169"/>
      <c r="GOA16" s="169"/>
      <c r="GOB16" s="169"/>
      <c r="GOC16" s="169"/>
      <c r="GOD16" s="169"/>
      <c r="GOE16" s="169"/>
      <c r="GOF16" s="169"/>
      <c r="GOG16" s="169"/>
      <c r="GOH16" s="169"/>
      <c r="GOI16" s="169"/>
      <c r="GOJ16" s="169"/>
      <c r="GOK16" s="169"/>
      <c r="GOL16" s="169"/>
      <c r="GOM16" s="169"/>
      <c r="GON16" s="169"/>
      <c r="GOO16" s="169"/>
      <c r="GOP16" s="169"/>
      <c r="GOQ16" s="169"/>
      <c r="GOR16" s="169"/>
      <c r="GOS16" s="169"/>
      <c r="GOT16" s="169"/>
      <c r="GOU16" s="169"/>
      <c r="GOV16" s="169"/>
      <c r="GOW16" s="169"/>
      <c r="GOX16" s="169"/>
      <c r="GOY16" s="169"/>
      <c r="GOZ16" s="169"/>
      <c r="GPA16" s="169"/>
      <c r="GPB16" s="169"/>
      <c r="GPC16" s="169"/>
      <c r="GPD16" s="169"/>
      <c r="GPE16" s="169"/>
      <c r="GPF16" s="169"/>
      <c r="GPG16" s="169"/>
      <c r="GPH16" s="169"/>
      <c r="GPI16" s="169"/>
      <c r="GPJ16" s="169"/>
      <c r="GPK16" s="169"/>
      <c r="GPL16" s="169"/>
      <c r="GPM16" s="169"/>
      <c r="GPN16" s="169"/>
      <c r="GPO16" s="169"/>
      <c r="GPP16" s="169"/>
      <c r="GPQ16" s="169"/>
      <c r="GPR16" s="169"/>
      <c r="GPS16" s="169"/>
      <c r="GPT16" s="169"/>
      <c r="GPU16" s="169"/>
      <c r="GPV16" s="169"/>
      <c r="GPW16" s="169"/>
      <c r="GPX16" s="169"/>
      <c r="GPY16" s="169"/>
      <c r="GPZ16" s="169"/>
      <c r="GQA16" s="169"/>
      <c r="GQB16" s="169"/>
      <c r="GQC16" s="169"/>
      <c r="GQD16" s="169"/>
      <c r="GQE16" s="169"/>
      <c r="GQF16" s="169"/>
      <c r="GQG16" s="169"/>
      <c r="GQH16" s="169"/>
      <c r="GQI16" s="169"/>
      <c r="GQJ16" s="169"/>
      <c r="GQK16" s="169"/>
      <c r="GQL16" s="169"/>
      <c r="GQM16" s="169"/>
      <c r="GQN16" s="169"/>
      <c r="GQO16" s="169"/>
      <c r="GQP16" s="169"/>
      <c r="GQQ16" s="169"/>
      <c r="GQR16" s="169"/>
      <c r="GQS16" s="169"/>
      <c r="GQT16" s="169"/>
      <c r="GQU16" s="169"/>
      <c r="GQV16" s="169"/>
      <c r="GQW16" s="169"/>
      <c r="GQX16" s="169"/>
      <c r="GQY16" s="169"/>
      <c r="GQZ16" s="169"/>
      <c r="GRA16" s="169"/>
      <c r="GRB16" s="169"/>
      <c r="GRC16" s="169"/>
      <c r="GRD16" s="169"/>
      <c r="GRE16" s="169"/>
      <c r="GRF16" s="169"/>
      <c r="GRG16" s="169"/>
      <c r="GRH16" s="169"/>
      <c r="GRI16" s="169"/>
      <c r="GRJ16" s="169"/>
      <c r="GRK16" s="169"/>
      <c r="GRL16" s="169"/>
      <c r="GRM16" s="169"/>
      <c r="GRN16" s="169"/>
      <c r="GRO16" s="169"/>
      <c r="GRP16" s="169"/>
      <c r="GRQ16" s="169"/>
      <c r="GRR16" s="169"/>
      <c r="GRS16" s="169"/>
      <c r="GRT16" s="169"/>
      <c r="GRU16" s="169"/>
      <c r="GRV16" s="169"/>
      <c r="GRW16" s="169"/>
      <c r="GRX16" s="169"/>
      <c r="GRY16" s="169"/>
      <c r="GRZ16" s="169"/>
      <c r="GSA16" s="169"/>
      <c r="GSB16" s="169"/>
      <c r="GSC16" s="169"/>
      <c r="GSD16" s="169"/>
      <c r="GSE16" s="169"/>
      <c r="GSF16" s="169"/>
      <c r="GSG16" s="169"/>
      <c r="GSH16" s="169"/>
      <c r="GSI16" s="169"/>
      <c r="GSJ16" s="169"/>
      <c r="GSK16" s="169"/>
      <c r="GSL16" s="169"/>
      <c r="GSM16" s="169"/>
      <c r="GSN16" s="169"/>
      <c r="GSO16" s="169"/>
      <c r="GSP16" s="169"/>
      <c r="GSQ16" s="169"/>
      <c r="GSR16" s="169"/>
      <c r="GSS16" s="169"/>
      <c r="GST16" s="169"/>
      <c r="GSU16" s="169"/>
      <c r="GSV16" s="169"/>
      <c r="GSW16" s="169"/>
      <c r="GSX16" s="169"/>
      <c r="GSY16" s="169"/>
      <c r="GSZ16" s="169"/>
      <c r="GTA16" s="169"/>
      <c r="GTB16" s="169"/>
      <c r="GTC16" s="169"/>
      <c r="GTD16" s="169"/>
      <c r="GTE16" s="169"/>
      <c r="GTF16" s="169"/>
      <c r="GTG16" s="169"/>
      <c r="GTH16" s="169"/>
      <c r="GTI16" s="169"/>
      <c r="GTJ16" s="169"/>
      <c r="GTK16" s="169"/>
      <c r="GTL16" s="169"/>
      <c r="GTM16" s="169"/>
      <c r="GTN16" s="169"/>
      <c r="GTO16" s="169"/>
      <c r="GTP16" s="169"/>
      <c r="GTQ16" s="169"/>
      <c r="GTR16" s="169"/>
      <c r="GTS16" s="169"/>
      <c r="GTT16" s="169"/>
      <c r="GTU16" s="169"/>
      <c r="GTV16" s="169"/>
      <c r="GTW16" s="169"/>
      <c r="GTX16" s="169"/>
      <c r="GTY16" s="169"/>
      <c r="GTZ16" s="169"/>
      <c r="GUA16" s="169"/>
      <c r="GUB16" s="169"/>
      <c r="GUC16" s="169"/>
      <c r="GUD16" s="169"/>
      <c r="GUE16" s="169"/>
      <c r="GUF16" s="169"/>
      <c r="GUG16" s="169"/>
      <c r="GUH16" s="169"/>
      <c r="GUI16" s="169"/>
      <c r="GUJ16" s="169"/>
      <c r="GUK16" s="169"/>
      <c r="GUL16" s="169"/>
      <c r="GUM16" s="169"/>
      <c r="GUN16" s="169"/>
      <c r="GUO16" s="169"/>
      <c r="GUP16" s="169"/>
      <c r="GUQ16" s="169"/>
      <c r="GUR16" s="169"/>
      <c r="GUS16" s="169"/>
      <c r="GUT16" s="169"/>
      <c r="GUU16" s="169"/>
      <c r="GUV16" s="169"/>
      <c r="GUW16" s="169"/>
      <c r="GUX16" s="169"/>
      <c r="GUY16" s="169"/>
      <c r="GUZ16" s="169"/>
      <c r="GVA16" s="169"/>
      <c r="GVB16" s="169"/>
      <c r="GVC16" s="169"/>
      <c r="GVD16" s="169"/>
      <c r="GVE16" s="169"/>
      <c r="GVF16" s="169"/>
      <c r="GVG16" s="169"/>
      <c r="GVH16" s="169"/>
      <c r="GVI16" s="169"/>
      <c r="GVJ16" s="169"/>
      <c r="GVK16" s="169"/>
      <c r="GVL16" s="169"/>
      <c r="GVM16" s="169"/>
      <c r="GVN16" s="169"/>
      <c r="GVO16" s="169"/>
      <c r="GVP16" s="169"/>
      <c r="GVQ16" s="169"/>
      <c r="GVR16" s="169"/>
      <c r="GVS16" s="169"/>
      <c r="GVT16" s="169"/>
      <c r="GVU16" s="169"/>
      <c r="GVV16" s="169"/>
      <c r="GVW16" s="169"/>
      <c r="GVX16" s="169"/>
      <c r="GVY16" s="169"/>
      <c r="GVZ16" s="169"/>
      <c r="GWA16" s="169"/>
      <c r="GWB16" s="169"/>
      <c r="GWC16" s="169"/>
      <c r="GWD16" s="169"/>
      <c r="GWE16" s="169"/>
      <c r="GWF16" s="169"/>
      <c r="GWG16" s="169"/>
      <c r="GWH16" s="169"/>
      <c r="GWI16" s="169"/>
      <c r="GWJ16" s="169"/>
      <c r="GWK16" s="169"/>
      <c r="GWL16" s="169"/>
      <c r="GWM16" s="169"/>
      <c r="GWN16" s="169"/>
      <c r="GWO16" s="169"/>
      <c r="GWP16" s="169"/>
      <c r="GWQ16" s="169"/>
      <c r="GWR16" s="169"/>
      <c r="GWS16" s="169"/>
      <c r="GWT16" s="169"/>
      <c r="GWU16" s="169"/>
      <c r="GWV16" s="169"/>
      <c r="GWW16" s="169"/>
      <c r="GWX16" s="169"/>
      <c r="GWY16" s="169"/>
      <c r="GWZ16" s="169"/>
      <c r="GXA16" s="169"/>
      <c r="GXB16" s="169"/>
      <c r="GXC16" s="169"/>
      <c r="GXD16" s="169"/>
      <c r="GXE16" s="169"/>
      <c r="GXF16" s="169"/>
      <c r="GXG16" s="169"/>
      <c r="GXH16" s="169"/>
      <c r="GXI16" s="169"/>
      <c r="GXJ16" s="169"/>
      <c r="GXK16" s="169"/>
      <c r="GXL16" s="169"/>
      <c r="GXM16" s="169"/>
      <c r="GXN16" s="169"/>
      <c r="GXO16" s="169"/>
      <c r="GXP16" s="169"/>
      <c r="GXQ16" s="169"/>
      <c r="GXR16" s="169"/>
      <c r="GXS16" s="169"/>
      <c r="GXT16" s="169"/>
      <c r="GXU16" s="169"/>
      <c r="GXV16" s="169"/>
      <c r="GXW16" s="169"/>
      <c r="GXX16" s="169"/>
      <c r="GXY16" s="169"/>
      <c r="GXZ16" s="169"/>
      <c r="GYA16" s="169"/>
      <c r="GYB16" s="169"/>
      <c r="GYC16" s="169"/>
      <c r="GYD16" s="169"/>
      <c r="GYE16" s="169"/>
      <c r="GYF16" s="169"/>
      <c r="GYG16" s="169"/>
      <c r="GYH16" s="169"/>
      <c r="GYI16" s="169"/>
      <c r="GYJ16" s="169"/>
      <c r="GYK16" s="169"/>
      <c r="GYL16" s="169"/>
      <c r="GYM16" s="169"/>
      <c r="GYN16" s="169"/>
      <c r="GYO16" s="169"/>
      <c r="GYP16" s="169"/>
      <c r="GYQ16" s="169"/>
      <c r="GYR16" s="169"/>
      <c r="GYS16" s="169"/>
      <c r="GYT16" s="169"/>
      <c r="GYU16" s="169"/>
      <c r="GYV16" s="169"/>
      <c r="GYW16" s="169"/>
      <c r="GYX16" s="169"/>
      <c r="GYY16" s="169"/>
      <c r="GYZ16" s="169"/>
      <c r="GZA16" s="169"/>
      <c r="GZB16" s="169"/>
      <c r="GZC16" s="169"/>
      <c r="GZD16" s="169"/>
      <c r="GZE16" s="169"/>
      <c r="GZF16" s="169"/>
      <c r="GZG16" s="169"/>
      <c r="GZH16" s="169"/>
      <c r="GZI16" s="169"/>
      <c r="GZJ16" s="169"/>
      <c r="GZK16" s="169"/>
      <c r="GZL16" s="169"/>
      <c r="GZM16" s="169"/>
      <c r="GZN16" s="169"/>
      <c r="GZO16" s="169"/>
      <c r="GZP16" s="169"/>
      <c r="GZQ16" s="169"/>
      <c r="GZR16" s="169"/>
      <c r="GZS16" s="169"/>
      <c r="GZT16" s="169"/>
      <c r="GZU16" s="169"/>
      <c r="GZV16" s="169"/>
      <c r="GZW16" s="169"/>
      <c r="GZX16" s="169"/>
      <c r="GZY16" s="169"/>
      <c r="GZZ16" s="169"/>
      <c r="HAA16" s="169"/>
      <c r="HAB16" s="169"/>
      <c r="HAC16" s="169"/>
      <c r="HAD16" s="169"/>
      <c r="HAE16" s="169"/>
      <c r="HAF16" s="169"/>
      <c r="HAG16" s="169"/>
      <c r="HAH16" s="169"/>
      <c r="HAI16" s="169"/>
      <c r="HAJ16" s="169"/>
      <c r="HAK16" s="169"/>
      <c r="HAL16" s="169"/>
      <c r="HAM16" s="169"/>
      <c r="HAN16" s="169"/>
      <c r="HAO16" s="169"/>
      <c r="HAP16" s="169"/>
      <c r="HAQ16" s="169"/>
      <c r="HAR16" s="169"/>
      <c r="HAS16" s="169"/>
      <c r="HAT16" s="169"/>
      <c r="HAU16" s="169"/>
      <c r="HAV16" s="169"/>
      <c r="HAW16" s="169"/>
      <c r="HAX16" s="169"/>
      <c r="HAY16" s="169"/>
      <c r="HAZ16" s="169"/>
      <c r="HBA16" s="169"/>
      <c r="HBB16" s="169"/>
      <c r="HBC16" s="169"/>
      <c r="HBD16" s="169"/>
      <c r="HBE16" s="169"/>
      <c r="HBF16" s="169"/>
      <c r="HBG16" s="169"/>
      <c r="HBH16" s="169"/>
      <c r="HBI16" s="169"/>
      <c r="HBJ16" s="169"/>
      <c r="HBK16" s="169"/>
      <c r="HBL16" s="169"/>
      <c r="HBM16" s="169"/>
      <c r="HBN16" s="169"/>
      <c r="HBO16" s="169"/>
      <c r="HBP16" s="169"/>
      <c r="HBQ16" s="169"/>
      <c r="HBR16" s="169"/>
      <c r="HBS16" s="169"/>
      <c r="HBT16" s="169"/>
      <c r="HBU16" s="169"/>
      <c r="HBV16" s="169"/>
      <c r="HBW16" s="169"/>
      <c r="HBX16" s="169"/>
      <c r="HBY16" s="169"/>
      <c r="HBZ16" s="169"/>
      <c r="HCA16" s="169"/>
      <c r="HCB16" s="169"/>
      <c r="HCC16" s="169"/>
      <c r="HCD16" s="169"/>
      <c r="HCE16" s="169"/>
      <c r="HCF16" s="169"/>
      <c r="HCG16" s="169"/>
      <c r="HCH16" s="169"/>
      <c r="HCI16" s="169"/>
      <c r="HCJ16" s="169"/>
      <c r="HCK16" s="169"/>
      <c r="HCL16" s="169"/>
      <c r="HCM16" s="169"/>
      <c r="HCN16" s="169"/>
      <c r="HCO16" s="169"/>
      <c r="HCP16" s="169"/>
      <c r="HCQ16" s="169"/>
      <c r="HCR16" s="169"/>
      <c r="HCS16" s="169"/>
      <c r="HCT16" s="169"/>
      <c r="HCU16" s="169"/>
      <c r="HCV16" s="169"/>
      <c r="HCW16" s="169"/>
      <c r="HCX16" s="169"/>
      <c r="HCY16" s="169"/>
      <c r="HCZ16" s="169"/>
      <c r="HDA16" s="169"/>
      <c r="HDB16" s="169"/>
      <c r="HDC16" s="169"/>
      <c r="HDD16" s="169"/>
      <c r="HDE16" s="169"/>
      <c r="HDF16" s="169"/>
      <c r="HDG16" s="169"/>
      <c r="HDH16" s="169"/>
      <c r="HDI16" s="169"/>
      <c r="HDJ16" s="169"/>
      <c r="HDK16" s="169"/>
      <c r="HDL16" s="169"/>
      <c r="HDM16" s="169"/>
      <c r="HDN16" s="169"/>
      <c r="HDO16" s="169"/>
      <c r="HDP16" s="169"/>
      <c r="HDQ16" s="169"/>
      <c r="HDR16" s="169"/>
      <c r="HDS16" s="169"/>
      <c r="HDT16" s="169"/>
      <c r="HDU16" s="169"/>
      <c r="HDV16" s="169"/>
      <c r="HDW16" s="169"/>
      <c r="HDX16" s="169"/>
      <c r="HDY16" s="169"/>
      <c r="HDZ16" s="169"/>
      <c r="HEA16" s="169"/>
      <c r="HEB16" s="169"/>
      <c r="HEC16" s="169"/>
      <c r="HED16" s="169"/>
      <c r="HEE16" s="169"/>
      <c r="HEF16" s="169"/>
      <c r="HEG16" s="169"/>
      <c r="HEH16" s="169"/>
      <c r="HEI16" s="169"/>
      <c r="HEJ16" s="169"/>
      <c r="HEK16" s="169"/>
      <c r="HEL16" s="169"/>
      <c r="HEM16" s="169"/>
      <c r="HEN16" s="169"/>
      <c r="HEO16" s="169"/>
      <c r="HEP16" s="169"/>
      <c r="HEQ16" s="169"/>
      <c r="HER16" s="169"/>
      <c r="HES16" s="169"/>
      <c r="HET16" s="169"/>
      <c r="HEU16" s="169"/>
      <c r="HEV16" s="169"/>
      <c r="HEW16" s="169"/>
      <c r="HEX16" s="169"/>
      <c r="HEY16" s="169"/>
      <c r="HEZ16" s="169"/>
      <c r="HFA16" s="169"/>
      <c r="HFB16" s="169"/>
      <c r="HFC16" s="169"/>
      <c r="HFD16" s="169"/>
      <c r="HFE16" s="169"/>
      <c r="HFF16" s="169"/>
      <c r="HFG16" s="169"/>
      <c r="HFH16" s="169"/>
      <c r="HFI16" s="169"/>
      <c r="HFJ16" s="169"/>
      <c r="HFK16" s="169"/>
      <c r="HFL16" s="169"/>
      <c r="HFM16" s="169"/>
      <c r="HFN16" s="169"/>
      <c r="HFO16" s="169"/>
      <c r="HFP16" s="169"/>
      <c r="HFQ16" s="169"/>
      <c r="HFR16" s="169"/>
      <c r="HFS16" s="169"/>
      <c r="HFT16" s="169"/>
      <c r="HFU16" s="169"/>
      <c r="HFV16" s="169"/>
      <c r="HFW16" s="169"/>
      <c r="HFX16" s="169"/>
      <c r="HFY16" s="169"/>
      <c r="HFZ16" s="169"/>
      <c r="HGA16" s="169"/>
      <c r="HGB16" s="169"/>
      <c r="HGC16" s="169"/>
      <c r="HGD16" s="169"/>
      <c r="HGE16" s="169"/>
      <c r="HGF16" s="169"/>
      <c r="HGG16" s="169"/>
      <c r="HGH16" s="169"/>
      <c r="HGI16" s="169"/>
      <c r="HGJ16" s="169"/>
      <c r="HGK16" s="169"/>
      <c r="HGL16" s="169"/>
      <c r="HGM16" s="169"/>
      <c r="HGN16" s="169"/>
      <c r="HGO16" s="169"/>
      <c r="HGP16" s="169"/>
      <c r="HGQ16" s="169"/>
      <c r="HGR16" s="169"/>
      <c r="HGS16" s="169"/>
      <c r="HGT16" s="169"/>
      <c r="HGU16" s="169"/>
      <c r="HGV16" s="169"/>
      <c r="HGW16" s="169"/>
      <c r="HGX16" s="169"/>
      <c r="HGY16" s="169"/>
      <c r="HGZ16" s="169"/>
      <c r="HHA16" s="169"/>
      <c r="HHB16" s="169"/>
      <c r="HHC16" s="169"/>
      <c r="HHD16" s="169"/>
      <c r="HHE16" s="169"/>
      <c r="HHF16" s="169"/>
      <c r="HHG16" s="169"/>
      <c r="HHH16" s="169"/>
      <c r="HHI16" s="169"/>
      <c r="HHJ16" s="169"/>
      <c r="HHK16" s="169"/>
      <c r="HHL16" s="169"/>
      <c r="HHM16" s="169"/>
      <c r="HHN16" s="169"/>
      <c r="HHO16" s="169"/>
      <c r="HHP16" s="169"/>
      <c r="HHQ16" s="169"/>
      <c r="HHR16" s="169"/>
      <c r="HHS16" s="169"/>
      <c r="HHT16" s="169"/>
      <c r="HHU16" s="169"/>
      <c r="HHV16" s="169"/>
      <c r="HHW16" s="169"/>
      <c r="HHX16" s="169"/>
      <c r="HHY16" s="169"/>
      <c r="HHZ16" s="169"/>
      <c r="HIA16" s="169"/>
      <c r="HIB16" s="169"/>
      <c r="HIC16" s="169"/>
      <c r="HID16" s="169"/>
      <c r="HIE16" s="169"/>
      <c r="HIF16" s="169"/>
      <c r="HIG16" s="169"/>
      <c r="HIH16" s="169"/>
      <c r="HII16" s="169"/>
      <c r="HIJ16" s="169"/>
      <c r="HIK16" s="169"/>
      <c r="HIL16" s="169"/>
      <c r="HIM16" s="169"/>
      <c r="HIN16" s="169"/>
      <c r="HIO16" s="169"/>
      <c r="HIP16" s="169"/>
      <c r="HIQ16" s="169"/>
      <c r="HIR16" s="169"/>
      <c r="HIS16" s="169"/>
      <c r="HIT16" s="169"/>
      <c r="HIU16" s="169"/>
      <c r="HIV16" s="169"/>
      <c r="HIW16" s="169"/>
      <c r="HIX16" s="169"/>
      <c r="HIY16" s="169"/>
      <c r="HIZ16" s="169"/>
      <c r="HJA16" s="169"/>
      <c r="HJB16" s="169"/>
      <c r="HJC16" s="169"/>
      <c r="HJD16" s="169"/>
      <c r="HJE16" s="169"/>
      <c r="HJF16" s="169"/>
      <c r="HJG16" s="169"/>
      <c r="HJH16" s="169"/>
      <c r="HJI16" s="169"/>
      <c r="HJJ16" s="169"/>
      <c r="HJK16" s="169"/>
      <c r="HJL16" s="169"/>
      <c r="HJM16" s="169"/>
      <c r="HJN16" s="169"/>
      <c r="HJO16" s="169"/>
      <c r="HJP16" s="169"/>
      <c r="HJQ16" s="169"/>
      <c r="HJR16" s="169"/>
      <c r="HJS16" s="169"/>
      <c r="HJT16" s="169"/>
      <c r="HJU16" s="169"/>
      <c r="HJV16" s="169"/>
      <c r="HJW16" s="169"/>
      <c r="HJX16" s="169"/>
      <c r="HJY16" s="169"/>
      <c r="HJZ16" s="169"/>
      <c r="HKA16" s="169"/>
      <c r="HKB16" s="169"/>
      <c r="HKC16" s="169"/>
      <c r="HKD16" s="169"/>
      <c r="HKE16" s="169"/>
      <c r="HKF16" s="169"/>
      <c r="HKG16" s="169"/>
      <c r="HKH16" s="169"/>
      <c r="HKI16" s="169"/>
      <c r="HKJ16" s="169"/>
      <c r="HKK16" s="169"/>
      <c r="HKL16" s="169"/>
      <c r="HKM16" s="169"/>
      <c r="HKN16" s="169"/>
      <c r="HKO16" s="169"/>
      <c r="HKP16" s="169"/>
      <c r="HKQ16" s="169"/>
      <c r="HKR16" s="169"/>
      <c r="HKS16" s="169"/>
      <c r="HKT16" s="169"/>
      <c r="HKU16" s="169"/>
      <c r="HKV16" s="169"/>
      <c r="HKW16" s="169"/>
      <c r="HKX16" s="169"/>
      <c r="HKY16" s="169"/>
      <c r="HKZ16" s="169"/>
      <c r="HLA16" s="169"/>
      <c r="HLB16" s="169"/>
      <c r="HLC16" s="169"/>
      <c r="HLD16" s="169"/>
      <c r="HLE16" s="169"/>
      <c r="HLF16" s="169"/>
      <c r="HLG16" s="169"/>
      <c r="HLH16" s="169"/>
      <c r="HLI16" s="169"/>
      <c r="HLJ16" s="169"/>
      <c r="HLK16" s="169"/>
      <c r="HLL16" s="169"/>
      <c r="HLM16" s="169"/>
      <c r="HLN16" s="169"/>
      <c r="HLO16" s="169"/>
      <c r="HLP16" s="169"/>
      <c r="HLQ16" s="169"/>
      <c r="HLR16" s="169"/>
      <c r="HLS16" s="169"/>
      <c r="HLT16" s="169"/>
      <c r="HLU16" s="169"/>
      <c r="HLV16" s="169"/>
      <c r="HLW16" s="169"/>
      <c r="HLX16" s="169"/>
      <c r="HLY16" s="169"/>
      <c r="HLZ16" s="169"/>
      <c r="HMA16" s="169"/>
      <c r="HMB16" s="169"/>
      <c r="HMC16" s="169"/>
      <c r="HMD16" s="169"/>
      <c r="HME16" s="169"/>
      <c r="HMF16" s="169"/>
      <c r="HMG16" s="169"/>
      <c r="HMH16" s="169"/>
      <c r="HMI16" s="169"/>
      <c r="HMJ16" s="169"/>
      <c r="HMK16" s="169"/>
      <c r="HML16" s="169"/>
      <c r="HMM16" s="169"/>
      <c r="HMN16" s="169"/>
      <c r="HMO16" s="169"/>
      <c r="HMP16" s="169"/>
      <c r="HMQ16" s="169"/>
      <c r="HMR16" s="169"/>
      <c r="HMS16" s="169"/>
      <c r="HMT16" s="169"/>
      <c r="HMU16" s="169"/>
      <c r="HMV16" s="169"/>
      <c r="HMW16" s="169"/>
      <c r="HMX16" s="169"/>
      <c r="HMY16" s="169"/>
      <c r="HMZ16" s="169"/>
      <c r="HNA16" s="169"/>
      <c r="HNB16" s="169"/>
      <c r="HNC16" s="169"/>
      <c r="HND16" s="169"/>
      <c r="HNE16" s="169"/>
      <c r="HNF16" s="169"/>
      <c r="HNG16" s="169"/>
      <c r="HNH16" s="169"/>
      <c r="HNI16" s="169"/>
      <c r="HNJ16" s="169"/>
      <c r="HNK16" s="169"/>
      <c r="HNL16" s="169"/>
      <c r="HNM16" s="169"/>
      <c r="HNN16" s="169"/>
      <c r="HNO16" s="169"/>
      <c r="HNP16" s="169"/>
      <c r="HNQ16" s="169"/>
      <c r="HNR16" s="169"/>
      <c r="HNS16" s="169"/>
      <c r="HNT16" s="169"/>
      <c r="HNU16" s="169"/>
      <c r="HNV16" s="169"/>
      <c r="HNW16" s="169"/>
      <c r="HNX16" s="169"/>
      <c r="HNY16" s="169"/>
      <c r="HNZ16" s="169"/>
      <c r="HOA16" s="169"/>
      <c r="HOB16" s="169"/>
      <c r="HOC16" s="169"/>
      <c r="HOD16" s="169"/>
      <c r="HOE16" s="169"/>
      <c r="HOF16" s="169"/>
      <c r="HOG16" s="169"/>
      <c r="HOH16" s="169"/>
      <c r="HOI16" s="169"/>
      <c r="HOJ16" s="169"/>
      <c r="HOK16" s="169"/>
      <c r="HOL16" s="169"/>
      <c r="HOM16" s="169"/>
      <c r="HON16" s="169"/>
      <c r="HOO16" s="169"/>
      <c r="HOP16" s="169"/>
      <c r="HOQ16" s="169"/>
      <c r="HOR16" s="169"/>
      <c r="HOS16" s="169"/>
      <c r="HOT16" s="169"/>
      <c r="HOU16" s="169"/>
      <c r="HOV16" s="169"/>
      <c r="HOW16" s="169"/>
      <c r="HOX16" s="169"/>
      <c r="HOY16" s="169"/>
      <c r="HOZ16" s="169"/>
      <c r="HPA16" s="169"/>
      <c r="HPB16" s="169"/>
      <c r="HPC16" s="169"/>
      <c r="HPD16" s="169"/>
      <c r="HPE16" s="169"/>
      <c r="HPF16" s="169"/>
      <c r="HPG16" s="169"/>
      <c r="HPH16" s="169"/>
      <c r="HPI16" s="169"/>
      <c r="HPJ16" s="169"/>
      <c r="HPK16" s="169"/>
      <c r="HPL16" s="169"/>
      <c r="HPM16" s="169"/>
      <c r="HPN16" s="169"/>
      <c r="HPO16" s="169"/>
      <c r="HPP16" s="169"/>
      <c r="HPQ16" s="169"/>
      <c r="HPR16" s="169"/>
      <c r="HPS16" s="169"/>
      <c r="HPT16" s="169"/>
      <c r="HPU16" s="169"/>
      <c r="HPV16" s="169"/>
      <c r="HPW16" s="169"/>
      <c r="HPX16" s="169"/>
      <c r="HPY16" s="169"/>
      <c r="HPZ16" s="169"/>
      <c r="HQA16" s="169"/>
      <c r="HQB16" s="169"/>
      <c r="HQC16" s="169"/>
      <c r="HQD16" s="169"/>
      <c r="HQE16" s="169"/>
      <c r="HQF16" s="169"/>
      <c r="HQG16" s="169"/>
      <c r="HQH16" s="169"/>
      <c r="HQI16" s="169"/>
      <c r="HQJ16" s="169"/>
      <c r="HQK16" s="169"/>
      <c r="HQL16" s="169"/>
      <c r="HQM16" s="169"/>
      <c r="HQN16" s="169"/>
      <c r="HQO16" s="169"/>
      <c r="HQP16" s="169"/>
      <c r="HQQ16" s="169"/>
      <c r="HQR16" s="169"/>
      <c r="HQS16" s="169"/>
      <c r="HQT16" s="169"/>
      <c r="HQU16" s="169"/>
      <c r="HQV16" s="169"/>
      <c r="HQW16" s="169"/>
      <c r="HQX16" s="169"/>
      <c r="HQY16" s="169"/>
      <c r="HQZ16" s="169"/>
      <c r="HRA16" s="169"/>
      <c r="HRB16" s="169"/>
      <c r="HRC16" s="169"/>
      <c r="HRD16" s="169"/>
      <c r="HRE16" s="169"/>
      <c r="HRF16" s="169"/>
      <c r="HRG16" s="169"/>
      <c r="HRH16" s="169"/>
      <c r="HRI16" s="169"/>
      <c r="HRJ16" s="169"/>
      <c r="HRK16" s="169"/>
      <c r="HRL16" s="169"/>
      <c r="HRM16" s="169"/>
      <c r="HRN16" s="169"/>
      <c r="HRO16" s="169"/>
      <c r="HRP16" s="169"/>
      <c r="HRQ16" s="169"/>
      <c r="HRR16" s="169"/>
      <c r="HRS16" s="169"/>
      <c r="HRT16" s="169"/>
      <c r="HRU16" s="169"/>
      <c r="HRV16" s="169"/>
      <c r="HRW16" s="169"/>
      <c r="HRX16" s="169"/>
      <c r="HRY16" s="169"/>
      <c r="HRZ16" s="169"/>
      <c r="HSA16" s="169"/>
      <c r="HSB16" s="169"/>
      <c r="HSC16" s="169"/>
      <c r="HSD16" s="169"/>
      <c r="HSE16" s="169"/>
      <c r="HSF16" s="169"/>
      <c r="HSG16" s="169"/>
      <c r="HSH16" s="169"/>
      <c r="HSI16" s="169"/>
      <c r="HSJ16" s="169"/>
      <c r="HSK16" s="169"/>
      <c r="HSL16" s="169"/>
      <c r="HSM16" s="169"/>
      <c r="HSN16" s="169"/>
      <c r="HSO16" s="169"/>
      <c r="HSP16" s="169"/>
      <c r="HSQ16" s="169"/>
      <c r="HSR16" s="169"/>
      <c r="HSS16" s="169"/>
      <c r="HST16" s="169"/>
      <c r="HSU16" s="169"/>
      <c r="HSV16" s="169"/>
      <c r="HSW16" s="169"/>
      <c r="HSX16" s="169"/>
      <c r="HSY16" s="169"/>
      <c r="HSZ16" s="169"/>
      <c r="HTA16" s="169"/>
      <c r="HTB16" s="169"/>
      <c r="HTC16" s="169"/>
      <c r="HTD16" s="169"/>
      <c r="HTE16" s="169"/>
      <c r="HTF16" s="169"/>
      <c r="HTG16" s="169"/>
      <c r="HTH16" s="169"/>
      <c r="HTI16" s="169"/>
      <c r="HTJ16" s="169"/>
      <c r="HTK16" s="169"/>
      <c r="HTL16" s="169"/>
      <c r="HTM16" s="169"/>
      <c r="HTN16" s="169"/>
      <c r="HTO16" s="169"/>
      <c r="HTP16" s="169"/>
      <c r="HTQ16" s="169"/>
      <c r="HTR16" s="169"/>
      <c r="HTS16" s="169"/>
      <c r="HTT16" s="169"/>
      <c r="HTU16" s="169"/>
      <c r="HTV16" s="169"/>
      <c r="HTW16" s="169"/>
      <c r="HTX16" s="169"/>
      <c r="HTY16" s="169"/>
      <c r="HTZ16" s="169"/>
      <c r="HUA16" s="169"/>
      <c r="HUB16" s="169"/>
      <c r="HUC16" s="169"/>
      <c r="HUD16" s="169"/>
      <c r="HUE16" s="169"/>
      <c r="HUF16" s="169"/>
      <c r="HUG16" s="169"/>
      <c r="HUH16" s="169"/>
      <c r="HUI16" s="169"/>
      <c r="HUJ16" s="169"/>
      <c r="HUK16" s="169"/>
      <c r="HUL16" s="169"/>
      <c r="HUM16" s="169"/>
      <c r="HUN16" s="169"/>
      <c r="HUO16" s="169"/>
      <c r="HUP16" s="169"/>
      <c r="HUQ16" s="169"/>
      <c r="HUR16" s="169"/>
      <c r="HUS16" s="169"/>
      <c r="HUT16" s="169"/>
      <c r="HUU16" s="169"/>
      <c r="HUV16" s="169"/>
      <c r="HUW16" s="169"/>
      <c r="HUX16" s="169"/>
      <c r="HUY16" s="169"/>
      <c r="HUZ16" s="169"/>
      <c r="HVA16" s="169"/>
      <c r="HVB16" s="169"/>
      <c r="HVC16" s="169"/>
      <c r="HVD16" s="169"/>
      <c r="HVE16" s="169"/>
      <c r="HVF16" s="169"/>
      <c r="HVG16" s="169"/>
      <c r="HVH16" s="169"/>
      <c r="HVI16" s="169"/>
      <c r="HVJ16" s="169"/>
      <c r="HVK16" s="169"/>
      <c r="HVL16" s="169"/>
      <c r="HVM16" s="169"/>
      <c r="HVN16" s="169"/>
      <c r="HVO16" s="169"/>
      <c r="HVP16" s="169"/>
      <c r="HVQ16" s="169"/>
      <c r="HVR16" s="169"/>
      <c r="HVS16" s="169"/>
      <c r="HVT16" s="169"/>
      <c r="HVU16" s="169"/>
      <c r="HVV16" s="169"/>
      <c r="HVW16" s="169"/>
      <c r="HVX16" s="169"/>
      <c r="HVY16" s="169"/>
      <c r="HVZ16" s="169"/>
      <c r="HWA16" s="169"/>
      <c r="HWB16" s="169"/>
      <c r="HWC16" s="169"/>
      <c r="HWD16" s="169"/>
      <c r="HWE16" s="169"/>
      <c r="HWF16" s="169"/>
      <c r="HWG16" s="169"/>
      <c r="HWH16" s="169"/>
      <c r="HWI16" s="169"/>
      <c r="HWJ16" s="169"/>
      <c r="HWK16" s="169"/>
      <c r="HWL16" s="169"/>
      <c r="HWM16" s="169"/>
      <c r="HWN16" s="169"/>
      <c r="HWO16" s="169"/>
      <c r="HWP16" s="169"/>
      <c r="HWQ16" s="169"/>
      <c r="HWR16" s="169"/>
      <c r="HWS16" s="169"/>
      <c r="HWT16" s="169"/>
      <c r="HWU16" s="169"/>
      <c r="HWV16" s="169"/>
      <c r="HWW16" s="169"/>
      <c r="HWX16" s="169"/>
      <c r="HWY16" s="169"/>
      <c r="HWZ16" s="169"/>
      <c r="HXA16" s="169"/>
      <c r="HXB16" s="169"/>
      <c r="HXC16" s="169"/>
      <c r="HXD16" s="169"/>
      <c r="HXE16" s="169"/>
      <c r="HXF16" s="169"/>
      <c r="HXG16" s="169"/>
      <c r="HXH16" s="169"/>
      <c r="HXI16" s="169"/>
      <c r="HXJ16" s="169"/>
      <c r="HXK16" s="169"/>
      <c r="HXL16" s="169"/>
      <c r="HXM16" s="169"/>
      <c r="HXN16" s="169"/>
      <c r="HXO16" s="169"/>
      <c r="HXP16" s="169"/>
      <c r="HXQ16" s="169"/>
      <c r="HXR16" s="169"/>
      <c r="HXS16" s="169"/>
      <c r="HXT16" s="169"/>
      <c r="HXU16" s="169"/>
      <c r="HXV16" s="169"/>
      <c r="HXW16" s="169"/>
      <c r="HXX16" s="169"/>
      <c r="HXY16" s="169"/>
      <c r="HXZ16" s="169"/>
      <c r="HYA16" s="169"/>
      <c r="HYB16" s="169"/>
      <c r="HYC16" s="169"/>
      <c r="HYD16" s="169"/>
      <c r="HYE16" s="169"/>
      <c r="HYF16" s="169"/>
      <c r="HYG16" s="169"/>
      <c r="HYH16" s="169"/>
      <c r="HYI16" s="169"/>
      <c r="HYJ16" s="169"/>
      <c r="HYK16" s="169"/>
      <c r="HYL16" s="169"/>
      <c r="HYM16" s="169"/>
      <c r="HYN16" s="169"/>
      <c r="HYO16" s="169"/>
      <c r="HYP16" s="169"/>
      <c r="HYQ16" s="169"/>
      <c r="HYR16" s="169"/>
      <c r="HYS16" s="169"/>
      <c r="HYT16" s="169"/>
      <c r="HYU16" s="169"/>
      <c r="HYV16" s="169"/>
      <c r="HYW16" s="169"/>
      <c r="HYX16" s="169"/>
      <c r="HYY16" s="169"/>
      <c r="HYZ16" s="169"/>
      <c r="HZA16" s="169"/>
      <c r="HZB16" s="169"/>
      <c r="HZC16" s="169"/>
      <c r="HZD16" s="169"/>
      <c r="HZE16" s="169"/>
      <c r="HZF16" s="169"/>
      <c r="HZG16" s="169"/>
      <c r="HZH16" s="169"/>
      <c r="HZI16" s="169"/>
      <c r="HZJ16" s="169"/>
      <c r="HZK16" s="169"/>
      <c r="HZL16" s="169"/>
      <c r="HZM16" s="169"/>
      <c r="HZN16" s="169"/>
      <c r="HZO16" s="169"/>
      <c r="HZP16" s="169"/>
      <c r="HZQ16" s="169"/>
      <c r="HZR16" s="169"/>
      <c r="HZS16" s="169"/>
      <c r="HZT16" s="169"/>
      <c r="HZU16" s="169"/>
      <c r="HZV16" s="169"/>
      <c r="HZW16" s="169"/>
      <c r="HZX16" s="169"/>
      <c r="HZY16" s="169"/>
      <c r="HZZ16" s="169"/>
      <c r="IAA16" s="169"/>
      <c r="IAB16" s="169"/>
      <c r="IAC16" s="169"/>
      <c r="IAD16" s="169"/>
      <c r="IAE16" s="169"/>
      <c r="IAF16" s="169"/>
      <c r="IAG16" s="169"/>
      <c r="IAH16" s="169"/>
      <c r="IAI16" s="169"/>
      <c r="IAJ16" s="169"/>
      <c r="IAK16" s="169"/>
      <c r="IAL16" s="169"/>
      <c r="IAM16" s="169"/>
      <c r="IAN16" s="169"/>
      <c r="IAO16" s="169"/>
      <c r="IAP16" s="169"/>
      <c r="IAQ16" s="169"/>
      <c r="IAR16" s="169"/>
      <c r="IAS16" s="169"/>
      <c r="IAT16" s="169"/>
      <c r="IAU16" s="169"/>
      <c r="IAV16" s="169"/>
      <c r="IAW16" s="169"/>
      <c r="IAX16" s="169"/>
      <c r="IAY16" s="169"/>
      <c r="IAZ16" s="169"/>
      <c r="IBA16" s="169"/>
      <c r="IBB16" s="169"/>
      <c r="IBC16" s="169"/>
      <c r="IBD16" s="169"/>
      <c r="IBE16" s="169"/>
      <c r="IBF16" s="169"/>
      <c r="IBG16" s="169"/>
      <c r="IBH16" s="169"/>
      <c r="IBI16" s="169"/>
      <c r="IBJ16" s="169"/>
      <c r="IBK16" s="169"/>
      <c r="IBL16" s="169"/>
      <c r="IBM16" s="169"/>
      <c r="IBN16" s="169"/>
      <c r="IBO16" s="169"/>
      <c r="IBP16" s="169"/>
      <c r="IBQ16" s="169"/>
      <c r="IBR16" s="169"/>
      <c r="IBS16" s="169"/>
      <c r="IBT16" s="169"/>
      <c r="IBU16" s="169"/>
      <c r="IBV16" s="169"/>
      <c r="IBW16" s="169"/>
      <c r="IBX16" s="169"/>
      <c r="IBY16" s="169"/>
      <c r="IBZ16" s="169"/>
      <c r="ICA16" s="169"/>
      <c r="ICB16" s="169"/>
      <c r="ICC16" s="169"/>
      <c r="ICD16" s="169"/>
      <c r="ICE16" s="169"/>
      <c r="ICF16" s="169"/>
      <c r="ICG16" s="169"/>
      <c r="ICH16" s="169"/>
      <c r="ICI16" s="169"/>
      <c r="ICJ16" s="169"/>
      <c r="ICK16" s="169"/>
      <c r="ICL16" s="169"/>
      <c r="ICM16" s="169"/>
      <c r="ICN16" s="169"/>
      <c r="ICO16" s="169"/>
      <c r="ICP16" s="169"/>
      <c r="ICQ16" s="169"/>
      <c r="ICR16" s="169"/>
      <c r="ICS16" s="169"/>
      <c r="ICT16" s="169"/>
      <c r="ICU16" s="169"/>
      <c r="ICV16" s="169"/>
      <c r="ICW16" s="169"/>
      <c r="ICX16" s="169"/>
      <c r="ICY16" s="169"/>
      <c r="ICZ16" s="169"/>
      <c r="IDA16" s="169"/>
      <c r="IDB16" s="169"/>
      <c r="IDC16" s="169"/>
      <c r="IDD16" s="169"/>
      <c r="IDE16" s="169"/>
      <c r="IDF16" s="169"/>
      <c r="IDG16" s="169"/>
      <c r="IDH16" s="169"/>
      <c r="IDI16" s="169"/>
      <c r="IDJ16" s="169"/>
      <c r="IDK16" s="169"/>
      <c r="IDL16" s="169"/>
      <c r="IDM16" s="169"/>
      <c r="IDN16" s="169"/>
      <c r="IDO16" s="169"/>
      <c r="IDP16" s="169"/>
      <c r="IDQ16" s="169"/>
      <c r="IDR16" s="169"/>
      <c r="IDS16" s="169"/>
      <c r="IDT16" s="169"/>
      <c r="IDU16" s="169"/>
      <c r="IDV16" s="169"/>
      <c r="IDW16" s="169"/>
      <c r="IDX16" s="169"/>
      <c r="IDY16" s="169"/>
      <c r="IDZ16" s="169"/>
      <c r="IEA16" s="169"/>
      <c r="IEB16" s="169"/>
      <c r="IEC16" s="169"/>
      <c r="IED16" s="169"/>
      <c r="IEE16" s="169"/>
      <c r="IEF16" s="169"/>
      <c r="IEG16" s="169"/>
      <c r="IEH16" s="169"/>
      <c r="IEI16" s="169"/>
      <c r="IEJ16" s="169"/>
      <c r="IEK16" s="169"/>
      <c r="IEL16" s="169"/>
      <c r="IEM16" s="169"/>
      <c r="IEN16" s="169"/>
      <c r="IEO16" s="169"/>
      <c r="IEP16" s="169"/>
      <c r="IEQ16" s="169"/>
      <c r="IER16" s="169"/>
      <c r="IES16" s="169"/>
      <c r="IET16" s="169"/>
      <c r="IEU16" s="169"/>
      <c r="IEV16" s="169"/>
      <c r="IEW16" s="169"/>
      <c r="IEX16" s="169"/>
      <c r="IEY16" s="169"/>
      <c r="IEZ16" s="169"/>
      <c r="IFA16" s="169"/>
      <c r="IFB16" s="169"/>
      <c r="IFC16" s="169"/>
      <c r="IFD16" s="169"/>
      <c r="IFE16" s="169"/>
      <c r="IFF16" s="169"/>
      <c r="IFG16" s="169"/>
      <c r="IFH16" s="169"/>
      <c r="IFI16" s="169"/>
      <c r="IFJ16" s="169"/>
      <c r="IFK16" s="169"/>
      <c r="IFL16" s="169"/>
      <c r="IFM16" s="169"/>
      <c r="IFN16" s="169"/>
      <c r="IFO16" s="169"/>
      <c r="IFP16" s="169"/>
      <c r="IFQ16" s="169"/>
      <c r="IFR16" s="169"/>
      <c r="IFS16" s="169"/>
      <c r="IFT16" s="169"/>
      <c r="IFU16" s="169"/>
      <c r="IFV16" s="169"/>
      <c r="IFW16" s="169"/>
      <c r="IFX16" s="169"/>
      <c r="IFY16" s="169"/>
      <c r="IFZ16" s="169"/>
      <c r="IGA16" s="169"/>
      <c r="IGB16" s="169"/>
      <c r="IGC16" s="169"/>
      <c r="IGD16" s="169"/>
      <c r="IGE16" s="169"/>
      <c r="IGF16" s="169"/>
      <c r="IGG16" s="169"/>
      <c r="IGH16" s="169"/>
      <c r="IGI16" s="169"/>
      <c r="IGJ16" s="169"/>
      <c r="IGK16" s="169"/>
      <c r="IGL16" s="169"/>
      <c r="IGM16" s="169"/>
      <c r="IGN16" s="169"/>
      <c r="IGO16" s="169"/>
      <c r="IGP16" s="169"/>
      <c r="IGQ16" s="169"/>
      <c r="IGR16" s="169"/>
      <c r="IGS16" s="169"/>
      <c r="IGT16" s="169"/>
      <c r="IGU16" s="169"/>
      <c r="IGV16" s="169"/>
      <c r="IGW16" s="169"/>
      <c r="IGX16" s="169"/>
      <c r="IGY16" s="169"/>
      <c r="IGZ16" s="169"/>
      <c r="IHA16" s="169"/>
      <c r="IHB16" s="169"/>
      <c r="IHC16" s="169"/>
      <c r="IHD16" s="169"/>
      <c r="IHE16" s="169"/>
      <c r="IHF16" s="169"/>
      <c r="IHG16" s="169"/>
      <c r="IHH16" s="169"/>
      <c r="IHI16" s="169"/>
      <c r="IHJ16" s="169"/>
      <c r="IHK16" s="169"/>
      <c r="IHL16" s="169"/>
      <c r="IHM16" s="169"/>
      <c r="IHN16" s="169"/>
      <c r="IHO16" s="169"/>
      <c r="IHP16" s="169"/>
      <c r="IHQ16" s="169"/>
      <c r="IHR16" s="169"/>
      <c r="IHS16" s="169"/>
      <c r="IHT16" s="169"/>
      <c r="IHU16" s="169"/>
      <c r="IHV16" s="169"/>
      <c r="IHW16" s="169"/>
      <c r="IHX16" s="169"/>
      <c r="IHY16" s="169"/>
      <c r="IHZ16" s="169"/>
      <c r="IIA16" s="169"/>
      <c r="IIB16" s="169"/>
      <c r="IIC16" s="169"/>
      <c r="IID16" s="169"/>
      <c r="IIE16" s="169"/>
      <c r="IIF16" s="169"/>
      <c r="IIG16" s="169"/>
      <c r="IIH16" s="169"/>
      <c r="III16" s="169"/>
      <c r="IIJ16" s="169"/>
      <c r="IIK16" s="169"/>
      <c r="IIL16" s="169"/>
      <c r="IIM16" s="169"/>
      <c r="IIN16" s="169"/>
      <c r="IIO16" s="169"/>
      <c r="IIP16" s="169"/>
      <c r="IIQ16" s="169"/>
      <c r="IIR16" s="169"/>
      <c r="IIS16" s="169"/>
      <c r="IIT16" s="169"/>
      <c r="IIU16" s="169"/>
      <c r="IIV16" s="169"/>
      <c r="IIW16" s="169"/>
      <c r="IIX16" s="169"/>
      <c r="IIY16" s="169"/>
      <c r="IIZ16" s="169"/>
      <c r="IJA16" s="169"/>
      <c r="IJB16" s="169"/>
      <c r="IJC16" s="169"/>
      <c r="IJD16" s="169"/>
      <c r="IJE16" s="169"/>
      <c r="IJF16" s="169"/>
      <c r="IJG16" s="169"/>
      <c r="IJH16" s="169"/>
      <c r="IJI16" s="169"/>
      <c r="IJJ16" s="169"/>
      <c r="IJK16" s="169"/>
      <c r="IJL16" s="169"/>
      <c r="IJM16" s="169"/>
      <c r="IJN16" s="169"/>
      <c r="IJO16" s="169"/>
      <c r="IJP16" s="169"/>
      <c r="IJQ16" s="169"/>
      <c r="IJR16" s="169"/>
      <c r="IJS16" s="169"/>
      <c r="IJT16" s="169"/>
      <c r="IJU16" s="169"/>
      <c r="IJV16" s="169"/>
      <c r="IJW16" s="169"/>
      <c r="IJX16" s="169"/>
      <c r="IJY16" s="169"/>
      <c r="IJZ16" s="169"/>
      <c r="IKA16" s="169"/>
      <c r="IKB16" s="169"/>
      <c r="IKC16" s="169"/>
      <c r="IKD16" s="169"/>
      <c r="IKE16" s="169"/>
      <c r="IKF16" s="169"/>
      <c r="IKG16" s="169"/>
      <c r="IKH16" s="169"/>
      <c r="IKI16" s="169"/>
      <c r="IKJ16" s="169"/>
      <c r="IKK16" s="169"/>
      <c r="IKL16" s="169"/>
      <c r="IKM16" s="169"/>
      <c r="IKN16" s="169"/>
      <c r="IKO16" s="169"/>
      <c r="IKP16" s="169"/>
      <c r="IKQ16" s="169"/>
      <c r="IKR16" s="169"/>
      <c r="IKS16" s="169"/>
      <c r="IKT16" s="169"/>
      <c r="IKU16" s="169"/>
      <c r="IKV16" s="169"/>
      <c r="IKW16" s="169"/>
      <c r="IKX16" s="169"/>
      <c r="IKY16" s="169"/>
      <c r="IKZ16" s="169"/>
      <c r="ILA16" s="169"/>
      <c r="ILB16" s="169"/>
      <c r="ILC16" s="169"/>
      <c r="ILD16" s="169"/>
      <c r="ILE16" s="169"/>
      <c r="ILF16" s="169"/>
      <c r="ILG16" s="169"/>
      <c r="ILH16" s="169"/>
      <c r="ILI16" s="169"/>
      <c r="ILJ16" s="169"/>
      <c r="ILK16" s="169"/>
      <c r="ILL16" s="169"/>
      <c r="ILM16" s="169"/>
      <c r="ILN16" s="169"/>
      <c r="ILO16" s="169"/>
      <c r="ILP16" s="169"/>
      <c r="ILQ16" s="169"/>
      <c r="ILR16" s="169"/>
      <c r="ILS16" s="169"/>
      <c r="ILT16" s="169"/>
      <c r="ILU16" s="169"/>
      <c r="ILV16" s="169"/>
      <c r="ILW16" s="169"/>
      <c r="ILX16" s="169"/>
      <c r="ILY16" s="169"/>
      <c r="ILZ16" s="169"/>
      <c r="IMA16" s="169"/>
      <c r="IMB16" s="169"/>
      <c r="IMC16" s="169"/>
      <c r="IMD16" s="169"/>
      <c r="IME16" s="169"/>
      <c r="IMF16" s="169"/>
      <c r="IMG16" s="169"/>
      <c r="IMH16" s="169"/>
      <c r="IMI16" s="169"/>
      <c r="IMJ16" s="169"/>
      <c r="IMK16" s="169"/>
      <c r="IML16" s="169"/>
      <c r="IMM16" s="169"/>
      <c r="IMN16" s="169"/>
      <c r="IMO16" s="169"/>
      <c r="IMP16" s="169"/>
      <c r="IMQ16" s="169"/>
      <c r="IMR16" s="169"/>
      <c r="IMS16" s="169"/>
      <c r="IMT16" s="169"/>
      <c r="IMU16" s="169"/>
      <c r="IMV16" s="169"/>
      <c r="IMW16" s="169"/>
      <c r="IMX16" s="169"/>
      <c r="IMY16" s="169"/>
      <c r="IMZ16" s="169"/>
      <c r="INA16" s="169"/>
      <c r="INB16" s="169"/>
      <c r="INC16" s="169"/>
      <c r="IND16" s="169"/>
      <c r="INE16" s="169"/>
      <c r="INF16" s="169"/>
      <c r="ING16" s="169"/>
      <c r="INH16" s="169"/>
      <c r="INI16" s="169"/>
      <c r="INJ16" s="169"/>
      <c r="INK16" s="169"/>
      <c r="INL16" s="169"/>
      <c r="INM16" s="169"/>
      <c r="INN16" s="169"/>
      <c r="INO16" s="169"/>
      <c r="INP16" s="169"/>
      <c r="INQ16" s="169"/>
      <c r="INR16" s="169"/>
      <c r="INS16" s="169"/>
      <c r="INT16" s="169"/>
      <c r="INU16" s="169"/>
      <c r="INV16" s="169"/>
      <c r="INW16" s="169"/>
      <c r="INX16" s="169"/>
      <c r="INY16" s="169"/>
      <c r="INZ16" s="169"/>
      <c r="IOA16" s="169"/>
      <c r="IOB16" s="169"/>
      <c r="IOC16" s="169"/>
      <c r="IOD16" s="169"/>
      <c r="IOE16" s="169"/>
      <c r="IOF16" s="169"/>
      <c r="IOG16" s="169"/>
      <c r="IOH16" s="169"/>
      <c r="IOI16" s="169"/>
      <c r="IOJ16" s="169"/>
      <c r="IOK16" s="169"/>
      <c r="IOL16" s="169"/>
      <c r="IOM16" s="169"/>
      <c r="ION16" s="169"/>
      <c r="IOO16" s="169"/>
      <c r="IOP16" s="169"/>
      <c r="IOQ16" s="169"/>
      <c r="IOR16" s="169"/>
      <c r="IOS16" s="169"/>
      <c r="IOT16" s="169"/>
      <c r="IOU16" s="169"/>
      <c r="IOV16" s="169"/>
      <c r="IOW16" s="169"/>
      <c r="IOX16" s="169"/>
      <c r="IOY16" s="169"/>
      <c r="IOZ16" s="169"/>
      <c r="IPA16" s="169"/>
      <c r="IPB16" s="169"/>
      <c r="IPC16" s="169"/>
      <c r="IPD16" s="169"/>
      <c r="IPE16" s="169"/>
      <c r="IPF16" s="169"/>
      <c r="IPG16" s="169"/>
      <c r="IPH16" s="169"/>
      <c r="IPI16" s="169"/>
      <c r="IPJ16" s="169"/>
      <c r="IPK16" s="169"/>
      <c r="IPL16" s="169"/>
      <c r="IPM16" s="169"/>
      <c r="IPN16" s="169"/>
      <c r="IPO16" s="169"/>
      <c r="IPP16" s="169"/>
      <c r="IPQ16" s="169"/>
      <c r="IPR16" s="169"/>
      <c r="IPS16" s="169"/>
      <c r="IPT16" s="169"/>
      <c r="IPU16" s="169"/>
      <c r="IPV16" s="169"/>
      <c r="IPW16" s="169"/>
      <c r="IPX16" s="169"/>
      <c r="IPY16" s="169"/>
      <c r="IPZ16" s="169"/>
      <c r="IQA16" s="169"/>
      <c r="IQB16" s="169"/>
      <c r="IQC16" s="169"/>
      <c r="IQD16" s="169"/>
      <c r="IQE16" s="169"/>
      <c r="IQF16" s="169"/>
      <c r="IQG16" s="169"/>
      <c r="IQH16" s="169"/>
      <c r="IQI16" s="169"/>
      <c r="IQJ16" s="169"/>
      <c r="IQK16" s="169"/>
      <c r="IQL16" s="169"/>
      <c r="IQM16" s="169"/>
      <c r="IQN16" s="169"/>
      <c r="IQO16" s="169"/>
      <c r="IQP16" s="169"/>
      <c r="IQQ16" s="169"/>
      <c r="IQR16" s="169"/>
      <c r="IQS16" s="169"/>
      <c r="IQT16" s="169"/>
      <c r="IQU16" s="169"/>
      <c r="IQV16" s="169"/>
      <c r="IQW16" s="169"/>
      <c r="IQX16" s="169"/>
      <c r="IQY16" s="169"/>
      <c r="IQZ16" s="169"/>
      <c r="IRA16" s="169"/>
      <c r="IRB16" s="169"/>
      <c r="IRC16" s="169"/>
      <c r="IRD16" s="169"/>
      <c r="IRE16" s="169"/>
      <c r="IRF16" s="169"/>
      <c r="IRG16" s="169"/>
      <c r="IRH16" s="169"/>
      <c r="IRI16" s="169"/>
      <c r="IRJ16" s="169"/>
      <c r="IRK16" s="169"/>
      <c r="IRL16" s="169"/>
      <c r="IRM16" s="169"/>
      <c r="IRN16" s="169"/>
      <c r="IRO16" s="169"/>
      <c r="IRP16" s="169"/>
      <c r="IRQ16" s="169"/>
      <c r="IRR16" s="169"/>
      <c r="IRS16" s="169"/>
      <c r="IRT16" s="169"/>
      <c r="IRU16" s="169"/>
      <c r="IRV16" s="169"/>
      <c r="IRW16" s="169"/>
      <c r="IRX16" s="169"/>
      <c r="IRY16" s="169"/>
      <c r="IRZ16" s="169"/>
      <c r="ISA16" s="169"/>
      <c r="ISB16" s="169"/>
      <c r="ISC16" s="169"/>
      <c r="ISD16" s="169"/>
      <c r="ISE16" s="169"/>
      <c r="ISF16" s="169"/>
      <c r="ISG16" s="169"/>
      <c r="ISH16" s="169"/>
      <c r="ISI16" s="169"/>
      <c r="ISJ16" s="169"/>
      <c r="ISK16" s="169"/>
      <c r="ISL16" s="169"/>
      <c r="ISM16" s="169"/>
      <c r="ISN16" s="169"/>
      <c r="ISO16" s="169"/>
      <c r="ISP16" s="169"/>
      <c r="ISQ16" s="169"/>
      <c r="ISR16" s="169"/>
      <c r="ISS16" s="169"/>
      <c r="IST16" s="169"/>
      <c r="ISU16" s="169"/>
      <c r="ISV16" s="169"/>
      <c r="ISW16" s="169"/>
      <c r="ISX16" s="169"/>
      <c r="ISY16" s="169"/>
      <c r="ISZ16" s="169"/>
      <c r="ITA16" s="169"/>
      <c r="ITB16" s="169"/>
      <c r="ITC16" s="169"/>
      <c r="ITD16" s="169"/>
      <c r="ITE16" s="169"/>
      <c r="ITF16" s="169"/>
      <c r="ITG16" s="169"/>
      <c r="ITH16" s="169"/>
      <c r="ITI16" s="169"/>
      <c r="ITJ16" s="169"/>
      <c r="ITK16" s="169"/>
      <c r="ITL16" s="169"/>
      <c r="ITM16" s="169"/>
      <c r="ITN16" s="169"/>
      <c r="ITO16" s="169"/>
      <c r="ITP16" s="169"/>
      <c r="ITQ16" s="169"/>
      <c r="ITR16" s="169"/>
      <c r="ITS16" s="169"/>
      <c r="ITT16" s="169"/>
      <c r="ITU16" s="169"/>
      <c r="ITV16" s="169"/>
      <c r="ITW16" s="169"/>
      <c r="ITX16" s="169"/>
      <c r="ITY16" s="169"/>
      <c r="ITZ16" s="169"/>
      <c r="IUA16" s="169"/>
      <c r="IUB16" s="169"/>
      <c r="IUC16" s="169"/>
      <c r="IUD16" s="169"/>
      <c r="IUE16" s="169"/>
      <c r="IUF16" s="169"/>
      <c r="IUG16" s="169"/>
      <c r="IUH16" s="169"/>
      <c r="IUI16" s="169"/>
      <c r="IUJ16" s="169"/>
      <c r="IUK16" s="169"/>
      <c r="IUL16" s="169"/>
      <c r="IUM16" s="169"/>
      <c r="IUN16" s="169"/>
      <c r="IUO16" s="169"/>
      <c r="IUP16" s="169"/>
      <c r="IUQ16" s="169"/>
      <c r="IUR16" s="169"/>
      <c r="IUS16" s="169"/>
      <c r="IUT16" s="169"/>
      <c r="IUU16" s="169"/>
      <c r="IUV16" s="169"/>
      <c r="IUW16" s="169"/>
      <c r="IUX16" s="169"/>
      <c r="IUY16" s="169"/>
      <c r="IUZ16" s="169"/>
      <c r="IVA16" s="169"/>
      <c r="IVB16" s="169"/>
      <c r="IVC16" s="169"/>
      <c r="IVD16" s="169"/>
      <c r="IVE16" s="169"/>
      <c r="IVF16" s="169"/>
      <c r="IVG16" s="169"/>
      <c r="IVH16" s="169"/>
      <c r="IVI16" s="169"/>
      <c r="IVJ16" s="169"/>
      <c r="IVK16" s="169"/>
      <c r="IVL16" s="169"/>
      <c r="IVM16" s="169"/>
      <c r="IVN16" s="169"/>
      <c r="IVO16" s="169"/>
      <c r="IVP16" s="169"/>
      <c r="IVQ16" s="169"/>
      <c r="IVR16" s="169"/>
      <c r="IVS16" s="169"/>
      <c r="IVT16" s="169"/>
      <c r="IVU16" s="169"/>
      <c r="IVV16" s="169"/>
      <c r="IVW16" s="169"/>
      <c r="IVX16" s="169"/>
      <c r="IVY16" s="169"/>
      <c r="IVZ16" s="169"/>
      <c r="IWA16" s="169"/>
      <c r="IWB16" s="169"/>
      <c r="IWC16" s="169"/>
      <c r="IWD16" s="169"/>
      <c r="IWE16" s="169"/>
      <c r="IWF16" s="169"/>
      <c r="IWG16" s="169"/>
      <c r="IWH16" s="169"/>
      <c r="IWI16" s="169"/>
      <c r="IWJ16" s="169"/>
      <c r="IWK16" s="169"/>
      <c r="IWL16" s="169"/>
      <c r="IWM16" s="169"/>
      <c r="IWN16" s="169"/>
      <c r="IWO16" s="169"/>
      <c r="IWP16" s="169"/>
      <c r="IWQ16" s="169"/>
      <c r="IWR16" s="169"/>
      <c r="IWS16" s="169"/>
      <c r="IWT16" s="169"/>
      <c r="IWU16" s="169"/>
      <c r="IWV16" s="169"/>
      <c r="IWW16" s="169"/>
      <c r="IWX16" s="169"/>
      <c r="IWY16" s="169"/>
      <c r="IWZ16" s="169"/>
      <c r="IXA16" s="169"/>
      <c r="IXB16" s="169"/>
      <c r="IXC16" s="169"/>
      <c r="IXD16" s="169"/>
      <c r="IXE16" s="169"/>
      <c r="IXF16" s="169"/>
      <c r="IXG16" s="169"/>
      <c r="IXH16" s="169"/>
      <c r="IXI16" s="169"/>
      <c r="IXJ16" s="169"/>
      <c r="IXK16" s="169"/>
      <c r="IXL16" s="169"/>
      <c r="IXM16" s="169"/>
      <c r="IXN16" s="169"/>
      <c r="IXO16" s="169"/>
      <c r="IXP16" s="169"/>
      <c r="IXQ16" s="169"/>
      <c r="IXR16" s="169"/>
      <c r="IXS16" s="169"/>
      <c r="IXT16" s="169"/>
      <c r="IXU16" s="169"/>
      <c r="IXV16" s="169"/>
      <c r="IXW16" s="169"/>
      <c r="IXX16" s="169"/>
      <c r="IXY16" s="169"/>
      <c r="IXZ16" s="169"/>
      <c r="IYA16" s="169"/>
      <c r="IYB16" s="169"/>
      <c r="IYC16" s="169"/>
      <c r="IYD16" s="169"/>
      <c r="IYE16" s="169"/>
      <c r="IYF16" s="169"/>
      <c r="IYG16" s="169"/>
      <c r="IYH16" s="169"/>
      <c r="IYI16" s="169"/>
      <c r="IYJ16" s="169"/>
      <c r="IYK16" s="169"/>
      <c r="IYL16" s="169"/>
      <c r="IYM16" s="169"/>
      <c r="IYN16" s="169"/>
      <c r="IYO16" s="169"/>
      <c r="IYP16" s="169"/>
      <c r="IYQ16" s="169"/>
      <c r="IYR16" s="169"/>
      <c r="IYS16" s="169"/>
      <c r="IYT16" s="169"/>
      <c r="IYU16" s="169"/>
      <c r="IYV16" s="169"/>
      <c r="IYW16" s="169"/>
      <c r="IYX16" s="169"/>
      <c r="IYY16" s="169"/>
      <c r="IYZ16" s="169"/>
      <c r="IZA16" s="169"/>
      <c r="IZB16" s="169"/>
      <c r="IZC16" s="169"/>
      <c r="IZD16" s="169"/>
      <c r="IZE16" s="169"/>
      <c r="IZF16" s="169"/>
      <c r="IZG16" s="169"/>
      <c r="IZH16" s="169"/>
      <c r="IZI16" s="169"/>
      <c r="IZJ16" s="169"/>
      <c r="IZK16" s="169"/>
      <c r="IZL16" s="169"/>
      <c r="IZM16" s="169"/>
      <c r="IZN16" s="169"/>
      <c r="IZO16" s="169"/>
      <c r="IZP16" s="169"/>
      <c r="IZQ16" s="169"/>
      <c r="IZR16" s="169"/>
      <c r="IZS16" s="169"/>
      <c r="IZT16" s="169"/>
      <c r="IZU16" s="169"/>
      <c r="IZV16" s="169"/>
      <c r="IZW16" s="169"/>
      <c r="IZX16" s="169"/>
      <c r="IZY16" s="169"/>
      <c r="IZZ16" s="169"/>
      <c r="JAA16" s="169"/>
      <c r="JAB16" s="169"/>
      <c r="JAC16" s="169"/>
      <c r="JAD16" s="169"/>
      <c r="JAE16" s="169"/>
      <c r="JAF16" s="169"/>
      <c r="JAG16" s="169"/>
      <c r="JAH16" s="169"/>
      <c r="JAI16" s="169"/>
      <c r="JAJ16" s="169"/>
      <c r="JAK16" s="169"/>
      <c r="JAL16" s="169"/>
      <c r="JAM16" s="169"/>
      <c r="JAN16" s="169"/>
      <c r="JAO16" s="169"/>
      <c r="JAP16" s="169"/>
      <c r="JAQ16" s="169"/>
      <c r="JAR16" s="169"/>
      <c r="JAS16" s="169"/>
      <c r="JAT16" s="169"/>
      <c r="JAU16" s="169"/>
      <c r="JAV16" s="169"/>
      <c r="JAW16" s="169"/>
      <c r="JAX16" s="169"/>
      <c r="JAY16" s="169"/>
      <c r="JAZ16" s="169"/>
      <c r="JBA16" s="169"/>
      <c r="JBB16" s="169"/>
      <c r="JBC16" s="169"/>
      <c r="JBD16" s="169"/>
      <c r="JBE16" s="169"/>
      <c r="JBF16" s="169"/>
      <c r="JBG16" s="169"/>
      <c r="JBH16" s="169"/>
      <c r="JBI16" s="169"/>
      <c r="JBJ16" s="169"/>
      <c r="JBK16" s="169"/>
      <c r="JBL16" s="169"/>
      <c r="JBM16" s="169"/>
      <c r="JBN16" s="169"/>
      <c r="JBO16" s="169"/>
      <c r="JBP16" s="169"/>
      <c r="JBQ16" s="169"/>
      <c r="JBR16" s="169"/>
      <c r="JBS16" s="169"/>
      <c r="JBT16" s="169"/>
      <c r="JBU16" s="169"/>
      <c r="JBV16" s="169"/>
      <c r="JBW16" s="169"/>
      <c r="JBX16" s="169"/>
      <c r="JBY16" s="169"/>
      <c r="JBZ16" s="169"/>
      <c r="JCA16" s="169"/>
      <c r="JCB16" s="169"/>
      <c r="JCC16" s="169"/>
      <c r="JCD16" s="169"/>
      <c r="JCE16" s="169"/>
      <c r="JCF16" s="169"/>
      <c r="JCG16" s="169"/>
      <c r="JCH16" s="169"/>
      <c r="JCI16" s="169"/>
      <c r="JCJ16" s="169"/>
      <c r="JCK16" s="169"/>
      <c r="JCL16" s="169"/>
      <c r="JCM16" s="169"/>
      <c r="JCN16" s="169"/>
      <c r="JCO16" s="169"/>
      <c r="JCP16" s="169"/>
      <c r="JCQ16" s="169"/>
      <c r="JCR16" s="169"/>
      <c r="JCS16" s="169"/>
      <c r="JCT16" s="169"/>
      <c r="JCU16" s="169"/>
      <c r="JCV16" s="169"/>
      <c r="JCW16" s="169"/>
      <c r="JCX16" s="169"/>
      <c r="JCY16" s="169"/>
      <c r="JCZ16" s="169"/>
      <c r="JDA16" s="169"/>
      <c r="JDB16" s="169"/>
      <c r="JDC16" s="169"/>
      <c r="JDD16" s="169"/>
      <c r="JDE16" s="169"/>
      <c r="JDF16" s="169"/>
      <c r="JDG16" s="169"/>
      <c r="JDH16" s="169"/>
      <c r="JDI16" s="169"/>
      <c r="JDJ16" s="169"/>
      <c r="JDK16" s="169"/>
      <c r="JDL16" s="169"/>
      <c r="JDM16" s="169"/>
      <c r="JDN16" s="169"/>
      <c r="JDO16" s="169"/>
      <c r="JDP16" s="169"/>
      <c r="JDQ16" s="169"/>
      <c r="JDR16" s="169"/>
      <c r="JDS16" s="169"/>
      <c r="JDT16" s="169"/>
      <c r="JDU16" s="169"/>
      <c r="JDV16" s="169"/>
      <c r="JDW16" s="169"/>
      <c r="JDX16" s="169"/>
      <c r="JDY16" s="169"/>
      <c r="JDZ16" s="169"/>
      <c r="JEA16" s="169"/>
      <c r="JEB16" s="169"/>
      <c r="JEC16" s="169"/>
      <c r="JED16" s="169"/>
      <c r="JEE16" s="169"/>
      <c r="JEF16" s="169"/>
      <c r="JEG16" s="169"/>
      <c r="JEH16" s="169"/>
      <c r="JEI16" s="169"/>
      <c r="JEJ16" s="169"/>
      <c r="JEK16" s="169"/>
      <c r="JEL16" s="169"/>
      <c r="JEM16" s="169"/>
      <c r="JEN16" s="169"/>
      <c r="JEO16" s="169"/>
      <c r="JEP16" s="169"/>
      <c r="JEQ16" s="169"/>
      <c r="JER16" s="169"/>
      <c r="JES16" s="169"/>
      <c r="JET16" s="169"/>
      <c r="JEU16" s="169"/>
      <c r="JEV16" s="169"/>
      <c r="JEW16" s="169"/>
      <c r="JEX16" s="169"/>
      <c r="JEY16" s="169"/>
      <c r="JEZ16" s="169"/>
      <c r="JFA16" s="169"/>
      <c r="JFB16" s="169"/>
      <c r="JFC16" s="169"/>
      <c r="JFD16" s="169"/>
      <c r="JFE16" s="169"/>
      <c r="JFF16" s="169"/>
      <c r="JFG16" s="169"/>
      <c r="JFH16" s="169"/>
      <c r="JFI16" s="169"/>
      <c r="JFJ16" s="169"/>
      <c r="JFK16" s="169"/>
      <c r="JFL16" s="169"/>
      <c r="JFM16" s="169"/>
      <c r="JFN16" s="169"/>
      <c r="JFO16" s="169"/>
      <c r="JFP16" s="169"/>
      <c r="JFQ16" s="169"/>
      <c r="JFR16" s="169"/>
      <c r="JFS16" s="169"/>
      <c r="JFT16" s="169"/>
      <c r="JFU16" s="169"/>
      <c r="JFV16" s="169"/>
      <c r="JFW16" s="169"/>
      <c r="JFX16" s="169"/>
      <c r="JFY16" s="169"/>
      <c r="JFZ16" s="169"/>
      <c r="JGA16" s="169"/>
      <c r="JGB16" s="169"/>
      <c r="JGC16" s="169"/>
      <c r="JGD16" s="169"/>
      <c r="JGE16" s="169"/>
      <c r="JGF16" s="169"/>
      <c r="JGG16" s="169"/>
      <c r="JGH16" s="169"/>
      <c r="JGI16" s="169"/>
      <c r="JGJ16" s="169"/>
      <c r="JGK16" s="169"/>
      <c r="JGL16" s="169"/>
      <c r="JGM16" s="169"/>
      <c r="JGN16" s="169"/>
      <c r="JGO16" s="169"/>
      <c r="JGP16" s="169"/>
      <c r="JGQ16" s="169"/>
      <c r="JGR16" s="169"/>
      <c r="JGS16" s="169"/>
      <c r="JGT16" s="169"/>
      <c r="JGU16" s="169"/>
      <c r="JGV16" s="169"/>
      <c r="JGW16" s="169"/>
      <c r="JGX16" s="169"/>
      <c r="JGY16" s="169"/>
      <c r="JGZ16" s="169"/>
      <c r="JHA16" s="169"/>
      <c r="JHB16" s="169"/>
      <c r="JHC16" s="169"/>
      <c r="JHD16" s="169"/>
      <c r="JHE16" s="169"/>
      <c r="JHF16" s="169"/>
      <c r="JHG16" s="169"/>
      <c r="JHH16" s="169"/>
      <c r="JHI16" s="169"/>
      <c r="JHJ16" s="169"/>
      <c r="JHK16" s="169"/>
      <c r="JHL16" s="169"/>
      <c r="JHM16" s="169"/>
      <c r="JHN16" s="169"/>
      <c r="JHO16" s="169"/>
      <c r="JHP16" s="169"/>
      <c r="JHQ16" s="169"/>
      <c r="JHR16" s="169"/>
      <c r="JHS16" s="169"/>
      <c r="JHT16" s="169"/>
      <c r="JHU16" s="169"/>
      <c r="JHV16" s="169"/>
      <c r="JHW16" s="169"/>
      <c r="JHX16" s="169"/>
      <c r="JHY16" s="169"/>
      <c r="JHZ16" s="169"/>
      <c r="JIA16" s="169"/>
      <c r="JIB16" s="169"/>
      <c r="JIC16" s="169"/>
      <c r="JID16" s="169"/>
      <c r="JIE16" s="169"/>
      <c r="JIF16" s="169"/>
      <c r="JIG16" s="169"/>
      <c r="JIH16" s="169"/>
      <c r="JII16" s="169"/>
      <c r="JIJ16" s="169"/>
      <c r="JIK16" s="169"/>
      <c r="JIL16" s="169"/>
      <c r="JIM16" s="169"/>
      <c r="JIN16" s="169"/>
      <c r="JIO16" s="169"/>
      <c r="JIP16" s="169"/>
      <c r="JIQ16" s="169"/>
      <c r="JIR16" s="169"/>
      <c r="JIS16" s="169"/>
      <c r="JIT16" s="169"/>
      <c r="JIU16" s="169"/>
      <c r="JIV16" s="169"/>
      <c r="JIW16" s="169"/>
      <c r="JIX16" s="169"/>
      <c r="JIY16" s="169"/>
      <c r="JIZ16" s="169"/>
      <c r="JJA16" s="169"/>
      <c r="JJB16" s="169"/>
      <c r="JJC16" s="169"/>
      <c r="JJD16" s="169"/>
      <c r="JJE16" s="169"/>
      <c r="JJF16" s="169"/>
      <c r="JJG16" s="169"/>
      <c r="JJH16" s="169"/>
      <c r="JJI16" s="169"/>
      <c r="JJJ16" s="169"/>
      <c r="JJK16" s="169"/>
      <c r="JJL16" s="169"/>
      <c r="JJM16" s="169"/>
      <c r="JJN16" s="169"/>
      <c r="JJO16" s="169"/>
      <c r="JJP16" s="169"/>
      <c r="JJQ16" s="169"/>
      <c r="JJR16" s="169"/>
      <c r="JJS16" s="169"/>
      <c r="JJT16" s="169"/>
      <c r="JJU16" s="169"/>
      <c r="JJV16" s="169"/>
      <c r="JJW16" s="169"/>
      <c r="JJX16" s="169"/>
      <c r="JJY16" s="169"/>
      <c r="JJZ16" s="169"/>
      <c r="JKA16" s="169"/>
      <c r="JKB16" s="169"/>
      <c r="JKC16" s="169"/>
      <c r="JKD16" s="169"/>
      <c r="JKE16" s="169"/>
      <c r="JKF16" s="169"/>
      <c r="JKG16" s="169"/>
      <c r="JKH16" s="169"/>
      <c r="JKI16" s="169"/>
      <c r="JKJ16" s="169"/>
      <c r="JKK16" s="169"/>
      <c r="JKL16" s="169"/>
      <c r="JKM16" s="169"/>
      <c r="JKN16" s="169"/>
      <c r="JKO16" s="169"/>
      <c r="JKP16" s="169"/>
      <c r="JKQ16" s="169"/>
      <c r="JKR16" s="169"/>
      <c r="JKS16" s="169"/>
      <c r="JKT16" s="169"/>
      <c r="JKU16" s="169"/>
      <c r="JKV16" s="169"/>
      <c r="JKW16" s="169"/>
      <c r="JKX16" s="169"/>
      <c r="JKY16" s="169"/>
      <c r="JKZ16" s="169"/>
      <c r="JLA16" s="169"/>
      <c r="JLB16" s="169"/>
      <c r="JLC16" s="169"/>
      <c r="JLD16" s="169"/>
      <c r="JLE16" s="169"/>
      <c r="JLF16" s="169"/>
      <c r="JLG16" s="169"/>
      <c r="JLH16" s="169"/>
      <c r="JLI16" s="169"/>
      <c r="JLJ16" s="169"/>
      <c r="JLK16" s="169"/>
      <c r="JLL16" s="169"/>
      <c r="JLM16" s="169"/>
      <c r="JLN16" s="169"/>
      <c r="JLO16" s="169"/>
      <c r="JLP16" s="169"/>
      <c r="JLQ16" s="169"/>
      <c r="JLR16" s="169"/>
      <c r="JLS16" s="169"/>
      <c r="JLT16" s="169"/>
      <c r="JLU16" s="169"/>
      <c r="JLV16" s="169"/>
      <c r="JLW16" s="169"/>
      <c r="JLX16" s="169"/>
      <c r="JLY16" s="169"/>
      <c r="JLZ16" s="169"/>
      <c r="JMA16" s="169"/>
      <c r="JMB16" s="169"/>
      <c r="JMC16" s="169"/>
      <c r="JMD16" s="169"/>
      <c r="JME16" s="169"/>
      <c r="JMF16" s="169"/>
      <c r="JMG16" s="169"/>
      <c r="JMH16" s="169"/>
      <c r="JMI16" s="169"/>
      <c r="JMJ16" s="169"/>
      <c r="JMK16" s="169"/>
      <c r="JML16" s="169"/>
      <c r="JMM16" s="169"/>
      <c r="JMN16" s="169"/>
      <c r="JMO16" s="169"/>
      <c r="JMP16" s="169"/>
      <c r="JMQ16" s="169"/>
      <c r="JMR16" s="169"/>
      <c r="JMS16" s="169"/>
      <c r="JMT16" s="169"/>
      <c r="JMU16" s="169"/>
      <c r="JMV16" s="169"/>
      <c r="JMW16" s="169"/>
      <c r="JMX16" s="169"/>
      <c r="JMY16" s="169"/>
      <c r="JMZ16" s="169"/>
      <c r="JNA16" s="169"/>
      <c r="JNB16" s="169"/>
      <c r="JNC16" s="169"/>
      <c r="JND16" s="169"/>
      <c r="JNE16" s="169"/>
      <c r="JNF16" s="169"/>
      <c r="JNG16" s="169"/>
      <c r="JNH16" s="169"/>
      <c r="JNI16" s="169"/>
      <c r="JNJ16" s="169"/>
      <c r="JNK16" s="169"/>
      <c r="JNL16" s="169"/>
      <c r="JNM16" s="169"/>
      <c r="JNN16" s="169"/>
      <c r="JNO16" s="169"/>
      <c r="JNP16" s="169"/>
      <c r="JNQ16" s="169"/>
      <c r="JNR16" s="169"/>
      <c r="JNS16" s="169"/>
      <c r="JNT16" s="169"/>
      <c r="JNU16" s="169"/>
      <c r="JNV16" s="169"/>
      <c r="JNW16" s="169"/>
      <c r="JNX16" s="169"/>
      <c r="JNY16" s="169"/>
      <c r="JNZ16" s="169"/>
      <c r="JOA16" s="169"/>
      <c r="JOB16" s="169"/>
      <c r="JOC16" s="169"/>
      <c r="JOD16" s="169"/>
      <c r="JOE16" s="169"/>
      <c r="JOF16" s="169"/>
      <c r="JOG16" s="169"/>
      <c r="JOH16" s="169"/>
      <c r="JOI16" s="169"/>
      <c r="JOJ16" s="169"/>
      <c r="JOK16" s="169"/>
      <c r="JOL16" s="169"/>
      <c r="JOM16" s="169"/>
      <c r="JON16" s="169"/>
      <c r="JOO16" s="169"/>
      <c r="JOP16" s="169"/>
      <c r="JOQ16" s="169"/>
      <c r="JOR16" s="169"/>
      <c r="JOS16" s="169"/>
      <c r="JOT16" s="169"/>
      <c r="JOU16" s="169"/>
      <c r="JOV16" s="169"/>
      <c r="JOW16" s="169"/>
      <c r="JOX16" s="169"/>
      <c r="JOY16" s="169"/>
      <c r="JOZ16" s="169"/>
      <c r="JPA16" s="169"/>
      <c r="JPB16" s="169"/>
      <c r="JPC16" s="169"/>
      <c r="JPD16" s="169"/>
      <c r="JPE16" s="169"/>
      <c r="JPF16" s="169"/>
      <c r="JPG16" s="169"/>
      <c r="JPH16" s="169"/>
      <c r="JPI16" s="169"/>
      <c r="JPJ16" s="169"/>
      <c r="JPK16" s="169"/>
      <c r="JPL16" s="169"/>
      <c r="JPM16" s="169"/>
      <c r="JPN16" s="169"/>
      <c r="JPO16" s="169"/>
      <c r="JPP16" s="169"/>
      <c r="JPQ16" s="169"/>
      <c r="JPR16" s="169"/>
      <c r="JPS16" s="169"/>
      <c r="JPT16" s="169"/>
      <c r="JPU16" s="169"/>
      <c r="JPV16" s="169"/>
      <c r="JPW16" s="169"/>
      <c r="JPX16" s="169"/>
      <c r="JPY16" s="169"/>
      <c r="JPZ16" s="169"/>
      <c r="JQA16" s="169"/>
      <c r="JQB16" s="169"/>
      <c r="JQC16" s="169"/>
      <c r="JQD16" s="169"/>
      <c r="JQE16" s="169"/>
      <c r="JQF16" s="169"/>
      <c r="JQG16" s="169"/>
      <c r="JQH16" s="169"/>
      <c r="JQI16" s="169"/>
      <c r="JQJ16" s="169"/>
      <c r="JQK16" s="169"/>
      <c r="JQL16" s="169"/>
      <c r="JQM16" s="169"/>
      <c r="JQN16" s="169"/>
      <c r="JQO16" s="169"/>
      <c r="JQP16" s="169"/>
      <c r="JQQ16" s="169"/>
      <c r="JQR16" s="169"/>
      <c r="JQS16" s="169"/>
      <c r="JQT16" s="169"/>
      <c r="JQU16" s="169"/>
      <c r="JQV16" s="169"/>
      <c r="JQW16" s="169"/>
      <c r="JQX16" s="169"/>
      <c r="JQY16" s="169"/>
      <c r="JQZ16" s="169"/>
      <c r="JRA16" s="169"/>
      <c r="JRB16" s="169"/>
      <c r="JRC16" s="169"/>
      <c r="JRD16" s="169"/>
      <c r="JRE16" s="169"/>
      <c r="JRF16" s="169"/>
      <c r="JRG16" s="169"/>
      <c r="JRH16" s="169"/>
      <c r="JRI16" s="169"/>
      <c r="JRJ16" s="169"/>
      <c r="JRK16" s="169"/>
      <c r="JRL16" s="169"/>
      <c r="JRM16" s="169"/>
      <c r="JRN16" s="169"/>
      <c r="JRO16" s="169"/>
      <c r="JRP16" s="169"/>
      <c r="JRQ16" s="169"/>
      <c r="JRR16" s="169"/>
      <c r="JRS16" s="169"/>
      <c r="JRT16" s="169"/>
      <c r="JRU16" s="169"/>
      <c r="JRV16" s="169"/>
      <c r="JRW16" s="169"/>
      <c r="JRX16" s="169"/>
      <c r="JRY16" s="169"/>
      <c r="JRZ16" s="169"/>
      <c r="JSA16" s="169"/>
      <c r="JSB16" s="169"/>
      <c r="JSC16" s="169"/>
      <c r="JSD16" s="169"/>
      <c r="JSE16" s="169"/>
      <c r="JSF16" s="169"/>
      <c r="JSG16" s="169"/>
      <c r="JSH16" s="169"/>
      <c r="JSI16" s="169"/>
      <c r="JSJ16" s="169"/>
      <c r="JSK16" s="169"/>
      <c r="JSL16" s="169"/>
      <c r="JSM16" s="169"/>
      <c r="JSN16" s="169"/>
      <c r="JSO16" s="169"/>
      <c r="JSP16" s="169"/>
      <c r="JSQ16" s="169"/>
      <c r="JSR16" s="169"/>
      <c r="JSS16" s="169"/>
      <c r="JST16" s="169"/>
      <c r="JSU16" s="169"/>
      <c r="JSV16" s="169"/>
      <c r="JSW16" s="169"/>
      <c r="JSX16" s="169"/>
      <c r="JSY16" s="169"/>
      <c r="JSZ16" s="169"/>
      <c r="JTA16" s="169"/>
      <c r="JTB16" s="169"/>
      <c r="JTC16" s="169"/>
      <c r="JTD16" s="169"/>
      <c r="JTE16" s="169"/>
      <c r="JTF16" s="169"/>
      <c r="JTG16" s="169"/>
      <c r="JTH16" s="169"/>
      <c r="JTI16" s="169"/>
      <c r="JTJ16" s="169"/>
      <c r="JTK16" s="169"/>
      <c r="JTL16" s="169"/>
      <c r="JTM16" s="169"/>
      <c r="JTN16" s="169"/>
      <c r="JTO16" s="169"/>
      <c r="JTP16" s="169"/>
      <c r="JTQ16" s="169"/>
      <c r="JTR16" s="169"/>
      <c r="JTS16" s="169"/>
      <c r="JTT16" s="169"/>
      <c r="JTU16" s="169"/>
      <c r="JTV16" s="169"/>
      <c r="JTW16" s="169"/>
      <c r="JTX16" s="169"/>
      <c r="JTY16" s="169"/>
      <c r="JTZ16" s="169"/>
      <c r="JUA16" s="169"/>
      <c r="JUB16" s="169"/>
      <c r="JUC16" s="169"/>
      <c r="JUD16" s="169"/>
      <c r="JUE16" s="169"/>
      <c r="JUF16" s="169"/>
      <c r="JUG16" s="169"/>
      <c r="JUH16" s="169"/>
      <c r="JUI16" s="169"/>
      <c r="JUJ16" s="169"/>
      <c r="JUK16" s="169"/>
      <c r="JUL16" s="169"/>
      <c r="JUM16" s="169"/>
      <c r="JUN16" s="169"/>
      <c r="JUO16" s="169"/>
      <c r="JUP16" s="169"/>
      <c r="JUQ16" s="169"/>
      <c r="JUR16" s="169"/>
      <c r="JUS16" s="169"/>
      <c r="JUT16" s="169"/>
      <c r="JUU16" s="169"/>
      <c r="JUV16" s="169"/>
      <c r="JUW16" s="169"/>
      <c r="JUX16" s="169"/>
      <c r="JUY16" s="169"/>
      <c r="JUZ16" s="169"/>
      <c r="JVA16" s="169"/>
      <c r="JVB16" s="169"/>
      <c r="JVC16" s="169"/>
      <c r="JVD16" s="169"/>
      <c r="JVE16" s="169"/>
      <c r="JVF16" s="169"/>
      <c r="JVG16" s="169"/>
      <c r="JVH16" s="169"/>
      <c r="JVI16" s="169"/>
      <c r="JVJ16" s="169"/>
      <c r="JVK16" s="169"/>
      <c r="JVL16" s="169"/>
      <c r="JVM16" s="169"/>
      <c r="JVN16" s="169"/>
      <c r="JVO16" s="169"/>
      <c r="JVP16" s="169"/>
      <c r="JVQ16" s="169"/>
      <c r="JVR16" s="169"/>
      <c r="JVS16" s="169"/>
      <c r="JVT16" s="169"/>
      <c r="JVU16" s="169"/>
      <c r="JVV16" s="169"/>
      <c r="JVW16" s="169"/>
      <c r="JVX16" s="169"/>
      <c r="JVY16" s="169"/>
      <c r="JVZ16" s="169"/>
      <c r="JWA16" s="169"/>
      <c r="JWB16" s="169"/>
      <c r="JWC16" s="169"/>
      <c r="JWD16" s="169"/>
      <c r="JWE16" s="169"/>
      <c r="JWF16" s="169"/>
      <c r="JWG16" s="169"/>
      <c r="JWH16" s="169"/>
      <c r="JWI16" s="169"/>
      <c r="JWJ16" s="169"/>
      <c r="JWK16" s="169"/>
      <c r="JWL16" s="169"/>
      <c r="JWM16" s="169"/>
      <c r="JWN16" s="169"/>
      <c r="JWO16" s="169"/>
      <c r="JWP16" s="169"/>
      <c r="JWQ16" s="169"/>
      <c r="JWR16" s="169"/>
      <c r="JWS16" s="169"/>
      <c r="JWT16" s="169"/>
      <c r="JWU16" s="169"/>
      <c r="JWV16" s="169"/>
      <c r="JWW16" s="169"/>
      <c r="JWX16" s="169"/>
      <c r="JWY16" s="169"/>
      <c r="JWZ16" s="169"/>
      <c r="JXA16" s="169"/>
      <c r="JXB16" s="169"/>
      <c r="JXC16" s="169"/>
      <c r="JXD16" s="169"/>
      <c r="JXE16" s="169"/>
      <c r="JXF16" s="169"/>
      <c r="JXG16" s="169"/>
      <c r="JXH16" s="169"/>
      <c r="JXI16" s="169"/>
      <c r="JXJ16" s="169"/>
      <c r="JXK16" s="169"/>
      <c r="JXL16" s="169"/>
      <c r="JXM16" s="169"/>
      <c r="JXN16" s="169"/>
      <c r="JXO16" s="169"/>
      <c r="JXP16" s="169"/>
      <c r="JXQ16" s="169"/>
      <c r="JXR16" s="169"/>
      <c r="JXS16" s="169"/>
      <c r="JXT16" s="169"/>
      <c r="JXU16" s="169"/>
      <c r="JXV16" s="169"/>
      <c r="JXW16" s="169"/>
      <c r="JXX16" s="169"/>
      <c r="JXY16" s="169"/>
      <c r="JXZ16" s="169"/>
      <c r="JYA16" s="169"/>
      <c r="JYB16" s="169"/>
      <c r="JYC16" s="169"/>
      <c r="JYD16" s="169"/>
      <c r="JYE16" s="169"/>
      <c r="JYF16" s="169"/>
      <c r="JYG16" s="169"/>
      <c r="JYH16" s="169"/>
      <c r="JYI16" s="169"/>
      <c r="JYJ16" s="169"/>
      <c r="JYK16" s="169"/>
      <c r="JYL16" s="169"/>
      <c r="JYM16" s="169"/>
      <c r="JYN16" s="169"/>
      <c r="JYO16" s="169"/>
      <c r="JYP16" s="169"/>
      <c r="JYQ16" s="169"/>
      <c r="JYR16" s="169"/>
      <c r="JYS16" s="169"/>
      <c r="JYT16" s="169"/>
      <c r="JYU16" s="169"/>
      <c r="JYV16" s="169"/>
      <c r="JYW16" s="169"/>
      <c r="JYX16" s="169"/>
      <c r="JYY16" s="169"/>
      <c r="JYZ16" s="169"/>
      <c r="JZA16" s="169"/>
      <c r="JZB16" s="169"/>
      <c r="JZC16" s="169"/>
      <c r="JZD16" s="169"/>
      <c r="JZE16" s="169"/>
      <c r="JZF16" s="169"/>
      <c r="JZG16" s="169"/>
      <c r="JZH16" s="169"/>
      <c r="JZI16" s="169"/>
      <c r="JZJ16" s="169"/>
      <c r="JZK16" s="169"/>
      <c r="JZL16" s="169"/>
      <c r="JZM16" s="169"/>
      <c r="JZN16" s="169"/>
      <c r="JZO16" s="169"/>
      <c r="JZP16" s="169"/>
      <c r="JZQ16" s="169"/>
      <c r="JZR16" s="169"/>
      <c r="JZS16" s="169"/>
      <c r="JZT16" s="169"/>
      <c r="JZU16" s="169"/>
      <c r="JZV16" s="169"/>
      <c r="JZW16" s="169"/>
      <c r="JZX16" s="169"/>
      <c r="JZY16" s="169"/>
      <c r="JZZ16" s="169"/>
      <c r="KAA16" s="169"/>
      <c r="KAB16" s="169"/>
      <c r="KAC16" s="169"/>
      <c r="KAD16" s="169"/>
      <c r="KAE16" s="169"/>
      <c r="KAF16" s="169"/>
      <c r="KAG16" s="169"/>
      <c r="KAH16" s="169"/>
      <c r="KAI16" s="169"/>
      <c r="KAJ16" s="169"/>
      <c r="KAK16" s="169"/>
      <c r="KAL16" s="169"/>
      <c r="KAM16" s="169"/>
      <c r="KAN16" s="169"/>
      <c r="KAO16" s="169"/>
      <c r="KAP16" s="169"/>
      <c r="KAQ16" s="169"/>
      <c r="KAR16" s="169"/>
      <c r="KAS16" s="169"/>
      <c r="KAT16" s="169"/>
      <c r="KAU16" s="169"/>
      <c r="KAV16" s="169"/>
      <c r="KAW16" s="169"/>
      <c r="KAX16" s="169"/>
      <c r="KAY16" s="169"/>
      <c r="KAZ16" s="169"/>
      <c r="KBA16" s="169"/>
      <c r="KBB16" s="169"/>
      <c r="KBC16" s="169"/>
      <c r="KBD16" s="169"/>
      <c r="KBE16" s="169"/>
      <c r="KBF16" s="169"/>
      <c r="KBG16" s="169"/>
      <c r="KBH16" s="169"/>
      <c r="KBI16" s="169"/>
      <c r="KBJ16" s="169"/>
      <c r="KBK16" s="169"/>
      <c r="KBL16" s="169"/>
      <c r="KBM16" s="169"/>
      <c r="KBN16" s="169"/>
      <c r="KBO16" s="169"/>
      <c r="KBP16" s="169"/>
      <c r="KBQ16" s="169"/>
      <c r="KBR16" s="169"/>
      <c r="KBS16" s="169"/>
      <c r="KBT16" s="169"/>
      <c r="KBU16" s="169"/>
      <c r="KBV16" s="169"/>
      <c r="KBW16" s="169"/>
      <c r="KBX16" s="169"/>
      <c r="KBY16" s="169"/>
      <c r="KBZ16" s="169"/>
      <c r="KCA16" s="169"/>
      <c r="KCB16" s="169"/>
      <c r="KCC16" s="169"/>
      <c r="KCD16" s="169"/>
      <c r="KCE16" s="169"/>
      <c r="KCF16" s="169"/>
      <c r="KCG16" s="169"/>
      <c r="KCH16" s="169"/>
      <c r="KCI16" s="169"/>
      <c r="KCJ16" s="169"/>
      <c r="KCK16" s="169"/>
      <c r="KCL16" s="169"/>
      <c r="KCM16" s="169"/>
      <c r="KCN16" s="169"/>
      <c r="KCO16" s="169"/>
      <c r="KCP16" s="169"/>
      <c r="KCQ16" s="169"/>
      <c r="KCR16" s="169"/>
      <c r="KCS16" s="169"/>
      <c r="KCT16" s="169"/>
      <c r="KCU16" s="169"/>
      <c r="KCV16" s="169"/>
      <c r="KCW16" s="169"/>
      <c r="KCX16" s="169"/>
      <c r="KCY16" s="169"/>
      <c r="KCZ16" s="169"/>
      <c r="KDA16" s="169"/>
      <c r="KDB16" s="169"/>
      <c r="KDC16" s="169"/>
      <c r="KDD16" s="169"/>
      <c r="KDE16" s="169"/>
      <c r="KDF16" s="169"/>
      <c r="KDG16" s="169"/>
      <c r="KDH16" s="169"/>
      <c r="KDI16" s="169"/>
      <c r="KDJ16" s="169"/>
      <c r="KDK16" s="169"/>
      <c r="KDL16" s="169"/>
      <c r="KDM16" s="169"/>
      <c r="KDN16" s="169"/>
      <c r="KDO16" s="169"/>
      <c r="KDP16" s="169"/>
      <c r="KDQ16" s="169"/>
      <c r="KDR16" s="169"/>
      <c r="KDS16" s="169"/>
      <c r="KDT16" s="169"/>
      <c r="KDU16" s="169"/>
      <c r="KDV16" s="169"/>
      <c r="KDW16" s="169"/>
      <c r="KDX16" s="169"/>
      <c r="KDY16" s="169"/>
      <c r="KDZ16" s="169"/>
      <c r="KEA16" s="169"/>
      <c r="KEB16" s="169"/>
      <c r="KEC16" s="169"/>
      <c r="KED16" s="169"/>
      <c r="KEE16" s="169"/>
      <c r="KEF16" s="169"/>
      <c r="KEG16" s="169"/>
      <c r="KEH16" s="169"/>
      <c r="KEI16" s="169"/>
      <c r="KEJ16" s="169"/>
      <c r="KEK16" s="169"/>
      <c r="KEL16" s="169"/>
      <c r="KEM16" s="169"/>
      <c r="KEN16" s="169"/>
      <c r="KEO16" s="169"/>
      <c r="KEP16" s="169"/>
      <c r="KEQ16" s="169"/>
      <c r="KER16" s="169"/>
      <c r="KES16" s="169"/>
      <c r="KET16" s="169"/>
      <c r="KEU16" s="169"/>
      <c r="KEV16" s="169"/>
      <c r="KEW16" s="169"/>
      <c r="KEX16" s="169"/>
      <c r="KEY16" s="169"/>
      <c r="KEZ16" s="169"/>
      <c r="KFA16" s="169"/>
      <c r="KFB16" s="169"/>
      <c r="KFC16" s="169"/>
      <c r="KFD16" s="169"/>
      <c r="KFE16" s="169"/>
      <c r="KFF16" s="169"/>
      <c r="KFG16" s="169"/>
      <c r="KFH16" s="169"/>
      <c r="KFI16" s="169"/>
      <c r="KFJ16" s="169"/>
      <c r="KFK16" s="169"/>
      <c r="KFL16" s="169"/>
      <c r="KFM16" s="169"/>
      <c r="KFN16" s="169"/>
      <c r="KFO16" s="169"/>
      <c r="KFP16" s="169"/>
      <c r="KFQ16" s="169"/>
      <c r="KFR16" s="169"/>
      <c r="KFS16" s="169"/>
      <c r="KFT16" s="169"/>
      <c r="KFU16" s="169"/>
      <c r="KFV16" s="169"/>
      <c r="KFW16" s="169"/>
      <c r="KFX16" s="169"/>
      <c r="KFY16" s="169"/>
      <c r="KFZ16" s="169"/>
      <c r="KGA16" s="169"/>
      <c r="KGB16" s="169"/>
      <c r="KGC16" s="169"/>
      <c r="KGD16" s="169"/>
      <c r="KGE16" s="169"/>
      <c r="KGF16" s="169"/>
      <c r="KGG16" s="169"/>
      <c r="KGH16" s="169"/>
      <c r="KGI16" s="169"/>
      <c r="KGJ16" s="169"/>
      <c r="KGK16" s="169"/>
      <c r="KGL16" s="169"/>
      <c r="KGM16" s="169"/>
      <c r="KGN16" s="169"/>
      <c r="KGO16" s="169"/>
      <c r="KGP16" s="169"/>
      <c r="KGQ16" s="169"/>
      <c r="KGR16" s="169"/>
      <c r="KGS16" s="169"/>
      <c r="KGT16" s="169"/>
      <c r="KGU16" s="169"/>
      <c r="KGV16" s="169"/>
      <c r="KGW16" s="169"/>
      <c r="KGX16" s="169"/>
      <c r="KGY16" s="169"/>
      <c r="KGZ16" s="169"/>
      <c r="KHA16" s="169"/>
      <c r="KHB16" s="169"/>
      <c r="KHC16" s="169"/>
      <c r="KHD16" s="169"/>
      <c r="KHE16" s="169"/>
      <c r="KHF16" s="169"/>
      <c r="KHG16" s="169"/>
      <c r="KHH16" s="169"/>
      <c r="KHI16" s="169"/>
      <c r="KHJ16" s="169"/>
      <c r="KHK16" s="169"/>
      <c r="KHL16" s="169"/>
      <c r="KHM16" s="169"/>
      <c r="KHN16" s="169"/>
      <c r="KHO16" s="169"/>
      <c r="KHP16" s="169"/>
      <c r="KHQ16" s="169"/>
      <c r="KHR16" s="169"/>
      <c r="KHS16" s="169"/>
      <c r="KHT16" s="169"/>
      <c r="KHU16" s="169"/>
      <c r="KHV16" s="169"/>
      <c r="KHW16" s="169"/>
      <c r="KHX16" s="169"/>
      <c r="KHY16" s="169"/>
      <c r="KHZ16" s="169"/>
      <c r="KIA16" s="169"/>
      <c r="KIB16" s="169"/>
      <c r="KIC16" s="169"/>
      <c r="KID16" s="169"/>
      <c r="KIE16" s="169"/>
      <c r="KIF16" s="169"/>
      <c r="KIG16" s="169"/>
      <c r="KIH16" s="169"/>
      <c r="KII16" s="169"/>
      <c r="KIJ16" s="169"/>
      <c r="KIK16" s="169"/>
      <c r="KIL16" s="169"/>
      <c r="KIM16" s="169"/>
      <c r="KIN16" s="169"/>
      <c r="KIO16" s="169"/>
      <c r="KIP16" s="169"/>
      <c r="KIQ16" s="169"/>
      <c r="KIR16" s="169"/>
      <c r="KIS16" s="169"/>
      <c r="KIT16" s="169"/>
      <c r="KIU16" s="169"/>
      <c r="KIV16" s="169"/>
      <c r="KIW16" s="169"/>
      <c r="KIX16" s="169"/>
      <c r="KIY16" s="169"/>
      <c r="KIZ16" s="169"/>
      <c r="KJA16" s="169"/>
      <c r="KJB16" s="169"/>
      <c r="KJC16" s="169"/>
      <c r="KJD16" s="169"/>
      <c r="KJE16" s="169"/>
      <c r="KJF16" s="169"/>
      <c r="KJG16" s="169"/>
      <c r="KJH16" s="169"/>
      <c r="KJI16" s="169"/>
      <c r="KJJ16" s="169"/>
      <c r="KJK16" s="169"/>
      <c r="KJL16" s="169"/>
      <c r="KJM16" s="169"/>
      <c r="KJN16" s="169"/>
      <c r="KJO16" s="169"/>
      <c r="KJP16" s="169"/>
      <c r="KJQ16" s="169"/>
      <c r="KJR16" s="169"/>
      <c r="KJS16" s="169"/>
      <c r="KJT16" s="169"/>
      <c r="KJU16" s="169"/>
      <c r="KJV16" s="169"/>
      <c r="KJW16" s="169"/>
      <c r="KJX16" s="169"/>
      <c r="KJY16" s="169"/>
      <c r="KJZ16" s="169"/>
      <c r="KKA16" s="169"/>
      <c r="KKB16" s="169"/>
      <c r="KKC16" s="169"/>
      <c r="KKD16" s="169"/>
      <c r="KKE16" s="169"/>
      <c r="KKF16" s="169"/>
      <c r="KKG16" s="169"/>
      <c r="KKH16" s="169"/>
      <c r="KKI16" s="169"/>
      <c r="KKJ16" s="169"/>
      <c r="KKK16" s="169"/>
      <c r="KKL16" s="169"/>
      <c r="KKM16" s="169"/>
      <c r="KKN16" s="169"/>
      <c r="KKO16" s="169"/>
      <c r="KKP16" s="169"/>
      <c r="KKQ16" s="169"/>
      <c r="KKR16" s="169"/>
      <c r="KKS16" s="169"/>
      <c r="KKT16" s="169"/>
      <c r="KKU16" s="169"/>
      <c r="KKV16" s="169"/>
      <c r="KKW16" s="169"/>
      <c r="KKX16" s="169"/>
      <c r="KKY16" s="169"/>
      <c r="KKZ16" s="169"/>
      <c r="KLA16" s="169"/>
      <c r="KLB16" s="169"/>
      <c r="KLC16" s="169"/>
      <c r="KLD16" s="169"/>
      <c r="KLE16" s="169"/>
      <c r="KLF16" s="169"/>
      <c r="KLG16" s="169"/>
      <c r="KLH16" s="169"/>
      <c r="KLI16" s="169"/>
      <c r="KLJ16" s="169"/>
      <c r="KLK16" s="169"/>
      <c r="KLL16" s="169"/>
      <c r="KLM16" s="169"/>
      <c r="KLN16" s="169"/>
      <c r="KLO16" s="169"/>
      <c r="KLP16" s="169"/>
      <c r="KLQ16" s="169"/>
      <c r="KLR16" s="169"/>
      <c r="KLS16" s="169"/>
      <c r="KLT16" s="169"/>
      <c r="KLU16" s="169"/>
      <c r="KLV16" s="169"/>
      <c r="KLW16" s="169"/>
      <c r="KLX16" s="169"/>
      <c r="KLY16" s="169"/>
      <c r="KLZ16" s="169"/>
      <c r="KMA16" s="169"/>
      <c r="KMB16" s="169"/>
      <c r="KMC16" s="169"/>
      <c r="KMD16" s="169"/>
      <c r="KME16" s="169"/>
      <c r="KMF16" s="169"/>
      <c r="KMG16" s="169"/>
      <c r="KMH16" s="169"/>
      <c r="KMI16" s="169"/>
      <c r="KMJ16" s="169"/>
      <c r="KMK16" s="169"/>
      <c r="KML16" s="169"/>
      <c r="KMM16" s="169"/>
      <c r="KMN16" s="169"/>
      <c r="KMO16" s="169"/>
      <c r="KMP16" s="169"/>
      <c r="KMQ16" s="169"/>
      <c r="KMR16" s="169"/>
      <c r="KMS16" s="169"/>
      <c r="KMT16" s="169"/>
      <c r="KMU16" s="169"/>
      <c r="KMV16" s="169"/>
      <c r="KMW16" s="169"/>
      <c r="KMX16" s="169"/>
      <c r="KMY16" s="169"/>
      <c r="KMZ16" s="169"/>
      <c r="KNA16" s="169"/>
      <c r="KNB16" s="169"/>
      <c r="KNC16" s="169"/>
      <c r="KND16" s="169"/>
      <c r="KNE16" s="169"/>
      <c r="KNF16" s="169"/>
      <c r="KNG16" s="169"/>
      <c r="KNH16" s="169"/>
      <c r="KNI16" s="169"/>
      <c r="KNJ16" s="169"/>
      <c r="KNK16" s="169"/>
      <c r="KNL16" s="169"/>
      <c r="KNM16" s="169"/>
      <c r="KNN16" s="169"/>
      <c r="KNO16" s="169"/>
      <c r="KNP16" s="169"/>
      <c r="KNQ16" s="169"/>
      <c r="KNR16" s="169"/>
      <c r="KNS16" s="169"/>
      <c r="KNT16" s="169"/>
      <c r="KNU16" s="169"/>
      <c r="KNV16" s="169"/>
      <c r="KNW16" s="169"/>
      <c r="KNX16" s="169"/>
      <c r="KNY16" s="169"/>
      <c r="KNZ16" s="169"/>
      <c r="KOA16" s="169"/>
      <c r="KOB16" s="169"/>
      <c r="KOC16" s="169"/>
      <c r="KOD16" s="169"/>
      <c r="KOE16" s="169"/>
      <c r="KOF16" s="169"/>
      <c r="KOG16" s="169"/>
      <c r="KOH16" s="169"/>
      <c r="KOI16" s="169"/>
      <c r="KOJ16" s="169"/>
      <c r="KOK16" s="169"/>
      <c r="KOL16" s="169"/>
      <c r="KOM16" s="169"/>
      <c r="KON16" s="169"/>
      <c r="KOO16" s="169"/>
      <c r="KOP16" s="169"/>
      <c r="KOQ16" s="169"/>
      <c r="KOR16" s="169"/>
      <c r="KOS16" s="169"/>
      <c r="KOT16" s="169"/>
      <c r="KOU16" s="169"/>
      <c r="KOV16" s="169"/>
      <c r="KOW16" s="169"/>
      <c r="KOX16" s="169"/>
      <c r="KOY16" s="169"/>
      <c r="KOZ16" s="169"/>
      <c r="KPA16" s="169"/>
      <c r="KPB16" s="169"/>
      <c r="KPC16" s="169"/>
      <c r="KPD16" s="169"/>
      <c r="KPE16" s="169"/>
      <c r="KPF16" s="169"/>
      <c r="KPG16" s="169"/>
      <c r="KPH16" s="169"/>
      <c r="KPI16" s="169"/>
      <c r="KPJ16" s="169"/>
      <c r="KPK16" s="169"/>
      <c r="KPL16" s="169"/>
      <c r="KPM16" s="169"/>
      <c r="KPN16" s="169"/>
      <c r="KPO16" s="169"/>
      <c r="KPP16" s="169"/>
      <c r="KPQ16" s="169"/>
      <c r="KPR16" s="169"/>
      <c r="KPS16" s="169"/>
      <c r="KPT16" s="169"/>
      <c r="KPU16" s="169"/>
      <c r="KPV16" s="169"/>
      <c r="KPW16" s="169"/>
      <c r="KPX16" s="169"/>
      <c r="KPY16" s="169"/>
      <c r="KPZ16" s="169"/>
      <c r="KQA16" s="169"/>
      <c r="KQB16" s="169"/>
      <c r="KQC16" s="169"/>
      <c r="KQD16" s="169"/>
      <c r="KQE16" s="169"/>
      <c r="KQF16" s="169"/>
      <c r="KQG16" s="169"/>
      <c r="KQH16" s="169"/>
      <c r="KQI16" s="169"/>
      <c r="KQJ16" s="169"/>
      <c r="KQK16" s="169"/>
      <c r="KQL16" s="169"/>
      <c r="KQM16" s="169"/>
      <c r="KQN16" s="169"/>
      <c r="KQO16" s="169"/>
      <c r="KQP16" s="169"/>
      <c r="KQQ16" s="169"/>
      <c r="KQR16" s="169"/>
      <c r="KQS16" s="169"/>
      <c r="KQT16" s="169"/>
      <c r="KQU16" s="169"/>
      <c r="KQV16" s="169"/>
      <c r="KQW16" s="169"/>
      <c r="KQX16" s="169"/>
      <c r="KQY16" s="169"/>
      <c r="KQZ16" s="169"/>
      <c r="KRA16" s="169"/>
      <c r="KRB16" s="169"/>
      <c r="KRC16" s="169"/>
      <c r="KRD16" s="169"/>
      <c r="KRE16" s="169"/>
      <c r="KRF16" s="169"/>
      <c r="KRG16" s="169"/>
      <c r="KRH16" s="169"/>
      <c r="KRI16" s="169"/>
      <c r="KRJ16" s="169"/>
      <c r="KRK16" s="169"/>
      <c r="KRL16" s="169"/>
      <c r="KRM16" s="169"/>
      <c r="KRN16" s="169"/>
      <c r="KRO16" s="169"/>
      <c r="KRP16" s="169"/>
      <c r="KRQ16" s="169"/>
      <c r="KRR16" s="169"/>
      <c r="KRS16" s="169"/>
      <c r="KRT16" s="169"/>
      <c r="KRU16" s="169"/>
      <c r="KRV16" s="169"/>
      <c r="KRW16" s="169"/>
      <c r="KRX16" s="169"/>
      <c r="KRY16" s="169"/>
      <c r="KRZ16" s="169"/>
      <c r="KSA16" s="169"/>
      <c r="KSB16" s="169"/>
      <c r="KSC16" s="169"/>
      <c r="KSD16" s="169"/>
      <c r="KSE16" s="169"/>
      <c r="KSF16" s="169"/>
      <c r="KSG16" s="169"/>
      <c r="KSH16" s="169"/>
      <c r="KSI16" s="169"/>
      <c r="KSJ16" s="169"/>
      <c r="KSK16" s="169"/>
      <c r="KSL16" s="169"/>
      <c r="KSM16" s="169"/>
      <c r="KSN16" s="169"/>
      <c r="KSO16" s="169"/>
      <c r="KSP16" s="169"/>
      <c r="KSQ16" s="169"/>
      <c r="KSR16" s="169"/>
      <c r="KSS16" s="169"/>
      <c r="KST16" s="169"/>
      <c r="KSU16" s="169"/>
      <c r="KSV16" s="169"/>
      <c r="KSW16" s="169"/>
      <c r="KSX16" s="169"/>
      <c r="KSY16" s="169"/>
      <c r="KSZ16" s="169"/>
      <c r="KTA16" s="169"/>
      <c r="KTB16" s="169"/>
      <c r="KTC16" s="169"/>
      <c r="KTD16" s="169"/>
      <c r="KTE16" s="169"/>
      <c r="KTF16" s="169"/>
      <c r="KTG16" s="169"/>
      <c r="KTH16" s="169"/>
      <c r="KTI16" s="169"/>
      <c r="KTJ16" s="169"/>
      <c r="KTK16" s="169"/>
      <c r="KTL16" s="169"/>
      <c r="KTM16" s="169"/>
      <c r="KTN16" s="169"/>
      <c r="KTO16" s="169"/>
      <c r="KTP16" s="169"/>
      <c r="KTQ16" s="169"/>
      <c r="KTR16" s="169"/>
      <c r="KTS16" s="169"/>
      <c r="KTT16" s="169"/>
      <c r="KTU16" s="169"/>
      <c r="KTV16" s="169"/>
      <c r="KTW16" s="169"/>
      <c r="KTX16" s="169"/>
      <c r="KTY16" s="169"/>
      <c r="KTZ16" s="169"/>
      <c r="KUA16" s="169"/>
      <c r="KUB16" s="169"/>
      <c r="KUC16" s="169"/>
      <c r="KUD16" s="169"/>
      <c r="KUE16" s="169"/>
      <c r="KUF16" s="169"/>
      <c r="KUG16" s="169"/>
      <c r="KUH16" s="169"/>
      <c r="KUI16" s="169"/>
      <c r="KUJ16" s="169"/>
      <c r="KUK16" s="169"/>
      <c r="KUL16" s="169"/>
      <c r="KUM16" s="169"/>
      <c r="KUN16" s="169"/>
      <c r="KUO16" s="169"/>
      <c r="KUP16" s="169"/>
      <c r="KUQ16" s="169"/>
      <c r="KUR16" s="169"/>
      <c r="KUS16" s="169"/>
      <c r="KUT16" s="169"/>
      <c r="KUU16" s="169"/>
      <c r="KUV16" s="169"/>
      <c r="KUW16" s="169"/>
      <c r="KUX16" s="169"/>
      <c r="KUY16" s="169"/>
      <c r="KUZ16" s="169"/>
      <c r="KVA16" s="169"/>
      <c r="KVB16" s="169"/>
      <c r="KVC16" s="169"/>
      <c r="KVD16" s="169"/>
      <c r="KVE16" s="169"/>
      <c r="KVF16" s="169"/>
      <c r="KVG16" s="169"/>
      <c r="KVH16" s="169"/>
      <c r="KVI16" s="169"/>
      <c r="KVJ16" s="169"/>
      <c r="KVK16" s="169"/>
      <c r="KVL16" s="169"/>
      <c r="KVM16" s="169"/>
      <c r="KVN16" s="169"/>
      <c r="KVO16" s="169"/>
      <c r="KVP16" s="169"/>
      <c r="KVQ16" s="169"/>
      <c r="KVR16" s="169"/>
      <c r="KVS16" s="169"/>
      <c r="KVT16" s="169"/>
      <c r="KVU16" s="169"/>
      <c r="KVV16" s="169"/>
      <c r="KVW16" s="169"/>
      <c r="KVX16" s="169"/>
      <c r="KVY16" s="169"/>
      <c r="KVZ16" s="169"/>
      <c r="KWA16" s="169"/>
      <c r="KWB16" s="169"/>
      <c r="KWC16" s="169"/>
      <c r="KWD16" s="169"/>
      <c r="KWE16" s="169"/>
      <c r="KWF16" s="169"/>
      <c r="KWG16" s="169"/>
      <c r="KWH16" s="169"/>
      <c r="KWI16" s="169"/>
      <c r="KWJ16" s="169"/>
      <c r="KWK16" s="169"/>
      <c r="KWL16" s="169"/>
      <c r="KWM16" s="169"/>
      <c r="KWN16" s="169"/>
      <c r="KWO16" s="169"/>
      <c r="KWP16" s="169"/>
      <c r="KWQ16" s="169"/>
      <c r="KWR16" s="169"/>
      <c r="KWS16" s="169"/>
      <c r="KWT16" s="169"/>
      <c r="KWU16" s="169"/>
      <c r="KWV16" s="169"/>
      <c r="KWW16" s="169"/>
      <c r="KWX16" s="169"/>
      <c r="KWY16" s="169"/>
      <c r="KWZ16" s="169"/>
      <c r="KXA16" s="169"/>
      <c r="KXB16" s="169"/>
      <c r="KXC16" s="169"/>
      <c r="KXD16" s="169"/>
      <c r="KXE16" s="169"/>
      <c r="KXF16" s="169"/>
      <c r="KXG16" s="169"/>
      <c r="KXH16" s="169"/>
      <c r="KXI16" s="169"/>
      <c r="KXJ16" s="169"/>
      <c r="KXK16" s="169"/>
      <c r="KXL16" s="169"/>
      <c r="KXM16" s="169"/>
      <c r="KXN16" s="169"/>
      <c r="KXO16" s="169"/>
      <c r="KXP16" s="169"/>
      <c r="KXQ16" s="169"/>
      <c r="KXR16" s="169"/>
      <c r="KXS16" s="169"/>
      <c r="KXT16" s="169"/>
      <c r="KXU16" s="169"/>
      <c r="KXV16" s="169"/>
      <c r="KXW16" s="169"/>
      <c r="KXX16" s="169"/>
      <c r="KXY16" s="169"/>
      <c r="KXZ16" s="169"/>
      <c r="KYA16" s="169"/>
      <c r="KYB16" s="169"/>
      <c r="KYC16" s="169"/>
      <c r="KYD16" s="169"/>
      <c r="KYE16" s="169"/>
      <c r="KYF16" s="169"/>
      <c r="KYG16" s="169"/>
      <c r="KYH16" s="169"/>
      <c r="KYI16" s="169"/>
      <c r="KYJ16" s="169"/>
      <c r="KYK16" s="169"/>
      <c r="KYL16" s="169"/>
      <c r="KYM16" s="169"/>
      <c r="KYN16" s="169"/>
      <c r="KYO16" s="169"/>
      <c r="KYP16" s="169"/>
      <c r="KYQ16" s="169"/>
      <c r="KYR16" s="169"/>
      <c r="KYS16" s="169"/>
      <c r="KYT16" s="169"/>
      <c r="KYU16" s="169"/>
      <c r="KYV16" s="169"/>
      <c r="KYW16" s="169"/>
      <c r="KYX16" s="169"/>
      <c r="KYY16" s="169"/>
      <c r="KYZ16" s="169"/>
      <c r="KZA16" s="169"/>
      <c r="KZB16" s="169"/>
      <c r="KZC16" s="169"/>
      <c r="KZD16" s="169"/>
      <c r="KZE16" s="169"/>
      <c r="KZF16" s="169"/>
      <c r="KZG16" s="169"/>
      <c r="KZH16" s="169"/>
      <c r="KZI16" s="169"/>
      <c r="KZJ16" s="169"/>
      <c r="KZK16" s="169"/>
      <c r="KZL16" s="169"/>
      <c r="KZM16" s="169"/>
      <c r="KZN16" s="169"/>
      <c r="KZO16" s="169"/>
      <c r="KZP16" s="169"/>
      <c r="KZQ16" s="169"/>
      <c r="KZR16" s="169"/>
      <c r="KZS16" s="169"/>
      <c r="KZT16" s="169"/>
      <c r="KZU16" s="169"/>
      <c r="KZV16" s="169"/>
      <c r="KZW16" s="169"/>
      <c r="KZX16" s="169"/>
      <c r="KZY16" s="169"/>
      <c r="KZZ16" s="169"/>
      <c r="LAA16" s="169"/>
      <c r="LAB16" s="169"/>
      <c r="LAC16" s="169"/>
      <c r="LAD16" s="169"/>
      <c r="LAE16" s="169"/>
      <c r="LAF16" s="169"/>
      <c r="LAG16" s="169"/>
      <c r="LAH16" s="169"/>
      <c r="LAI16" s="169"/>
      <c r="LAJ16" s="169"/>
      <c r="LAK16" s="169"/>
      <c r="LAL16" s="169"/>
      <c r="LAM16" s="169"/>
      <c r="LAN16" s="169"/>
      <c r="LAO16" s="169"/>
      <c r="LAP16" s="169"/>
      <c r="LAQ16" s="169"/>
      <c r="LAR16" s="169"/>
      <c r="LAS16" s="169"/>
      <c r="LAT16" s="169"/>
      <c r="LAU16" s="169"/>
      <c r="LAV16" s="169"/>
      <c r="LAW16" s="169"/>
      <c r="LAX16" s="169"/>
      <c r="LAY16" s="169"/>
      <c r="LAZ16" s="169"/>
      <c r="LBA16" s="169"/>
      <c r="LBB16" s="169"/>
      <c r="LBC16" s="169"/>
      <c r="LBD16" s="169"/>
      <c r="LBE16" s="169"/>
      <c r="LBF16" s="169"/>
      <c r="LBG16" s="169"/>
      <c r="LBH16" s="169"/>
      <c r="LBI16" s="169"/>
      <c r="LBJ16" s="169"/>
      <c r="LBK16" s="169"/>
      <c r="LBL16" s="169"/>
      <c r="LBM16" s="169"/>
      <c r="LBN16" s="169"/>
      <c r="LBO16" s="169"/>
      <c r="LBP16" s="169"/>
      <c r="LBQ16" s="169"/>
      <c r="LBR16" s="169"/>
      <c r="LBS16" s="169"/>
      <c r="LBT16" s="169"/>
      <c r="LBU16" s="169"/>
      <c r="LBV16" s="169"/>
      <c r="LBW16" s="169"/>
      <c r="LBX16" s="169"/>
      <c r="LBY16" s="169"/>
      <c r="LBZ16" s="169"/>
      <c r="LCA16" s="169"/>
      <c r="LCB16" s="169"/>
      <c r="LCC16" s="169"/>
      <c r="LCD16" s="169"/>
      <c r="LCE16" s="169"/>
      <c r="LCF16" s="169"/>
      <c r="LCG16" s="169"/>
      <c r="LCH16" s="169"/>
      <c r="LCI16" s="169"/>
      <c r="LCJ16" s="169"/>
      <c r="LCK16" s="169"/>
      <c r="LCL16" s="169"/>
      <c r="LCM16" s="169"/>
      <c r="LCN16" s="169"/>
      <c r="LCO16" s="169"/>
      <c r="LCP16" s="169"/>
      <c r="LCQ16" s="169"/>
      <c r="LCR16" s="169"/>
      <c r="LCS16" s="169"/>
      <c r="LCT16" s="169"/>
      <c r="LCU16" s="169"/>
      <c r="LCV16" s="169"/>
      <c r="LCW16" s="169"/>
      <c r="LCX16" s="169"/>
      <c r="LCY16" s="169"/>
      <c r="LCZ16" s="169"/>
      <c r="LDA16" s="169"/>
      <c r="LDB16" s="169"/>
      <c r="LDC16" s="169"/>
      <c r="LDD16" s="169"/>
      <c r="LDE16" s="169"/>
      <c r="LDF16" s="169"/>
      <c r="LDG16" s="169"/>
      <c r="LDH16" s="169"/>
      <c r="LDI16" s="169"/>
      <c r="LDJ16" s="169"/>
      <c r="LDK16" s="169"/>
      <c r="LDL16" s="169"/>
      <c r="LDM16" s="169"/>
      <c r="LDN16" s="169"/>
      <c r="LDO16" s="169"/>
      <c r="LDP16" s="169"/>
      <c r="LDQ16" s="169"/>
      <c r="LDR16" s="169"/>
      <c r="LDS16" s="169"/>
      <c r="LDT16" s="169"/>
      <c r="LDU16" s="169"/>
      <c r="LDV16" s="169"/>
      <c r="LDW16" s="169"/>
      <c r="LDX16" s="169"/>
      <c r="LDY16" s="169"/>
      <c r="LDZ16" s="169"/>
      <c r="LEA16" s="169"/>
      <c r="LEB16" s="169"/>
      <c r="LEC16" s="169"/>
      <c r="LED16" s="169"/>
      <c r="LEE16" s="169"/>
      <c r="LEF16" s="169"/>
      <c r="LEG16" s="169"/>
      <c r="LEH16" s="169"/>
      <c r="LEI16" s="169"/>
      <c r="LEJ16" s="169"/>
      <c r="LEK16" s="169"/>
      <c r="LEL16" s="169"/>
      <c r="LEM16" s="169"/>
      <c r="LEN16" s="169"/>
      <c r="LEO16" s="169"/>
      <c r="LEP16" s="169"/>
      <c r="LEQ16" s="169"/>
      <c r="LER16" s="169"/>
      <c r="LES16" s="169"/>
      <c r="LET16" s="169"/>
      <c r="LEU16" s="169"/>
      <c r="LEV16" s="169"/>
      <c r="LEW16" s="169"/>
      <c r="LEX16" s="169"/>
      <c r="LEY16" s="169"/>
      <c r="LEZ16" s="169"/>
      <c r="LFA16" s="169"/>
      <c r="LFB16" s="169"/>
      <c r="LFC16" s="169"/>
      <c r="LFD16" s="169"/>
      <c r="LFE16" s="169"/>
      <c r="LFF16" s="169"/>
      <c r="LFG16" s="169"/>
      <c r="LFH16" s="169"/>
      <c r="LFI16" s="169"/>
      <c r="LFJ16" s="169"/>
      <c r="LFK16" s="169"/>
      <c r="LFL16" s="169"/>
      <c r="LFM16" s="169"/>
      <c r="LFN16" s="169"/>
      <c r="LFO16" s="169"/>
      <c r="LFP16" s="169"/>
      <c r="LFQ16" s="169"/>
      <c r="LFR16" s="169"/>
      <c r="LFS16" s="169"/>
      <c r="LFT16" s="169"/>
      <c r="LFU16" s="169"/>
      <c r="LFV16" s="169"/>
      <c r="LFW16" s="169"/>
      <c r="LFX16" s="169"/>
      <c r="LFY16" s="169"/>
      <c r="LFZ16" s="169"/>
      <c r="LGA16" s="169"/>
      <c r="LGB16" s="169"/>
      <c r="LGC16" s="169"/>
      <c r="LGD16" s="169"/>
      <c r="LGE16" s="169"/>
      <c r="LGF16" s="169"/>
      <c r="LGG16" s="169"/>
      <c r="LGH16" s="169"/>
      <c r="LGI16" s="169"/>
      <c r="LGJ16" s="169"/>
      <c r="LGK16" s="169"/>
      <c r="LGL16" s="169"/>
      <c r="LGM16" s="169"/>
      <c r="LGN16" s="169"/>
      <c r="LGO16" s="169"/>
      <c r="LGP16" s="169"/>
      <c r="LGQ16" s="169"/>
      <c r="LGR16" s="169"/>
      <c r="LGS16" s="169"/>
      <c r="LGT16" s="169"/>
      <c r="LGU16" s="169"/>
      <c r="LGV16" s="169"/>
      <c r="LGW16" s="169"/>
      <c r="LGX16" s="169"/>
      <c r="LGY16" s="169"/>
      <c r="LGZ16" s="169"/>
      <c r="LHA16" s="169"/>
      <c r="LHB16" s="169"/>
      <c r="LHC16" s="169"/>
      <c r="LHD16" s="169"/>
      <c r="LHE16" s="169"/>
      <c r="LHF16" s="169"/>
      <c r="LHG16" s="169"/>
      <c r="LHH16" s="169"/>
      <c r="LHI16" s="169"/>
      <c r="LHJ16" s="169"/>
      <c r="LHK16" s="169"/>
      <c r="LHL16" s="169"/>
      <c r="LHM16" s="169"/>
      <c r="LHN16" s="169"/>
      <c r="LHO16" s="169"/>
      <c r="LHP16" s="169"/>
      <c r="LHQ16" s="169"/>
      <c r="LHR16" s="169"/>
      <c r="LHS16" s="169"/>
      <c r="LHT16" s="169"/>
      <c r="LHU16" s="169"/>
      <c r="LHV16" s="169"/>
      <c r="LHW16" s="169"/>
      <c r="LHX16" s="169"/>
      <c r="LHY16" s="169"/>
      <c r="LHZ16" s="169"/>
      <c r="LIA16" s="169"/>
      <c r="LIB16" s="169"/>
      <c r="LIC16" s="169"/>
      <c r="LID16" s="169"/>
      <c r="LIE16" s="169"/>
      <c r="LIF16" s="169"/>
      <c r="LIG16" s="169"/>
      <c r="LIH16" s="169"/>
      <c r="LII16" s="169"/>
      <c r="LIJ16" s="169"/>
      <c r="LIK16" s="169"/>
      <c r="LIL16" s="169"/>
      <c r="LIM16" s="169"/>
      <c r="LIN16" s="169"/>
      <c r="LIO16" s="169"/>
      <c r="LIP16" s="169"/>
      <c r="LIQ16" s="169"/>
      <c r="LIR16" s="169"/>
      <c r="LIS16" s="169"/>
      <c r="LIT16" s="169"/>
      <c r="LIU16" s="169"/>
      <c r="LIV16" s="169"/>
      <c r="LIW16" s="169"/>
      <c r="LIX16" s="169"/>
      <c r="LIY16" s="169"/>
      <c r="LIZ16" s="169"/>
      <c r="LJA16" s="169"/>
      <c r="LJB16" s="169"/>
      <c r="LJC16" s="169"/>
      <c r="LJD16" s="169"/>
      <c r="LJE16" s="169"/>
      <c r="LJF16" s="169"/>
      <c r="LJG16" s="169"/>
      <c r="LJH16" s="169"/>
      <c r="LJI16" s="169"/>
      <c r="LJJ16" s="169"/>
      <c r="LJK16" s="169"/>
      <c r="LJL16" s="169"/>
      <c r="LJM16" s="169"/>
      <c r="LJN16" s="169"/>
      <c r="LJO16" s="169"/>
      <c r="LJP16" s="169"/>
      <c r="LJQ16" s="169"/>
      <c r="LJR16" s="169"/>
      <c r="LJS16" s="169"/>
      <c r="LJT16" s="169"/>
      <c r="LJU16" s="169"/>
      <c r="LJV16" s="169"/>
      <c r="LJW16" s="169"/>
      <c r="LJX16" s="169"/>
      <c r="LJY16" s="169"/>
      <c r="LJZ16" s="169"/>
      <c r="LKA16" s="169"/>
      <c r="LKB16" s="169"/>
      <c r="LKC16" s="169"/>
      <c r="LKD16" s="169"/>
      <c r="LKE16" s="169"/>
      <c r="LKF16" s="169"/>
      <c r="LKG16" s="169"/>
      <c r="LKH16" s="169"/>
      <c r="LKI16" s="169"/>
      <c r="LKJ16" s="169"/>
      <c r="LKK16" s="169"/>
      <c r="LKL16" s="169"/>
      <c r="LKM16" s="169"/>
      <c r="LKN16" s="169"/>
      <c r="LKO16" s="169"/>
      <c r="LKP16" s="169"/>
      <c r="LKQ16" s="169"/>
      <c r="LKR16" s="169"/>
      <c r="LKS16" s="169"/>
      <c r="LKT16" s="169"/>
      <c r="LKU16" s="169"/>
      <c r="LKV16" s="169"/>
      <c r="LKW16" s="169"/>
      <c r="LKX16" s="169"/>
      <c r="LKY16" s="169"/>
      <c r="LKZ16" s="169"/>
      <c r="LLA16" s="169"/>
      <c r="LLB16" s="169"/>
      <c r="LLC16" s="169"/>
      <c r="LLD16" s="169"/>
      <c r="LLE16" s="169"/>
      <c r="LLF16" s="169"/>
      <c r="LLG16" s="169"/>
      <c r="LLH16" s="169"/>
      <c r="LLI16" s="169"/>
      <c r="LLJ16" s="169"/>
      <c r="LLK16" s="169"/>
      <c r="LLL16" s="169"/>
      <c r="LLM16" s="169"/>
      <c r="LLN16" s="169"/>
      <c r="LLO16" s="169"/>
      <c r="LLP16" s="169"/>
      <c r="LLQ16" s="169"/>
      <c r="LLR16" s="169"/>
      <c r="LLS16" s="169"/>
      <c r="LLT16" s="169"/>
      <c r="LLU16" s="169"/>
      <c r="LLV16" s="169"/>
      <c r="LLW16" s="169"/>
      <c r="LLX16" s="169"/>
      <c r="LLY16" s="169"/>
      <c r="LLZ16" s="169"/>
      <c r="LMA16" s="169"/>
      <c r="LMB16" s="169"/>
      <c r="LMC16" s="169"/>
      <c r="LMD16" s="169"/>
      <c r="LME16" s="169"/>
      <c r="LMF16" s="169"/>
      <c r="LMG16" s="169"/>
      <c r="LMH16" s="169"/>
      <c r="LMI16" s="169"/>
      <c r="LMJ16" s="169"/>
      <c r="LMK16" s="169"/>
      <c r="LML16" s="169"/>
      <c r="LMM16" s="169"/>
      <c r="LMN16" s="169"/>
      <c r="LMO16" s="169"/>
      <c r="LMP16" s="169"/>
      <c r="LMQ16" s="169"/>
      <c r="LMR16" s="169"/>
      <c r="LMS16" s="169"/>
      <c r="LMT16" s="169"/>
      <c r="LMU16" s="169"/>
      <c r="LMV16" s="169"/>
      <c r="LMW16" s="169"/>
      <c r="LMX16" s="169"/>
      <c r="LMY16" s="169"/>
      <c r="LMZ16" s="169"/>
      <c r="LNA16" s="169"/>
      <c r="LNB16" s="169"/>
      <c r="LNC16" s="169"/>
      <c r="LND16" s="169"/>
      <c r="LNE16" s="169"/>
      <c r="LNF16" s="169"/>
      <c r="LNG16" s="169"/>
      <c r="LNH16" s="169"/>
      <c r="LNI16" s="169"/>
      <c r="LNJ16" s="169"/>
      <c r="LNK16" s="169"/>
      <c r="LNL16" s="169"/>
      <c r="LNM16" s="169"/>
      <c r="LNN16" s="169"/>
      <c r="LNO16" s="169"/>
      <c r="LNP16" s="169"/>
      <c r="LNQ16" s="169"/>
      <c r="LNR16" s="169"/>
      <c r="LNS16" s="169"/>
      <c r="LNT16" s="169"/>
      <c r="LNU16" s="169"/>
      <c r="LNV16" s="169"/>
      <c r="LNW16" s="169"/>
      <c r="LNX16" s="169"/>
      <c r="LNY16" s="169"/>
      <c r="LNZ16" s="169"/>
      <c r="LOA16" s="169"/>
      <c r="LOB16" s="169"/>
      <c r="LOC16" s="169"/>
      <c r="LOD16" s="169"/>
      <c r="LOE16" s="169"/>
      <c r="LOF16" s="169"/>
      <c r="LOG16" s="169"/>
      <c r="LOH16" s="169"/>
      <c r="LOI16" s="169"/>
      <c r="LOJ16" s="169"/>
      <c r="LOK16" s="169"/>
      <c r="LOL16" s="169"/>
      <c r="LOM16" s="169"/>
      <c r="LON16" s="169"/>
      <c r="LOO16" s="169"/>
      <c r="LOP16" s="169"/>
      <c r="LOQ16" s="169"/>
      <c r="LOR16" s="169"/>
      <c r="LOS16" s="169"/>
      <c r="LOT16" s="169"/>
      <c r="LOU16" s="169"/>
      <c r="LOV16" s="169"/>
      <c r="LOW16" s="169"/>
      <c r="LOX16" s="169"/>
      <c r="LOY16" s="169"/>
      <c r="LOZ16" s="169"/>
      <c r="LPA16" s="169"/>
      <c r="LPB16" s="169"/>
      <c r="LPC16" s="169"/>
      <c r="LPD16" s="169"/>
      <c r="LPE16" s="169"/>
      <c r="LPF16" s="169"/>
      <c r="LPG16" s="169"/>
      <c r="LPH16" s="169"/>
      <c r="LPI16" s="169"/>
      <c r="LPJ16" s="169"/>
      <c r="LPK16" s="169"/>
      <c r="LPL16" s="169"/>
      <c r="LPM16" s="169"/>
      <c r="LPN16" s="169"/>
      <c r="LPO16" s="169"/>
      <c r="LPP16" s="169"/>
      <c r="LPQ16" s="169"/>
      <c r="LPR16" s="169"/>
      <c r="LPS16" s="169"/>
      <c r="LPT16" s="169"/>
      <c r="LPU16" s="169"/>
      <c r="LPV16" s="169"/>
      <c r="LPW16" s="169"/>
      <c r="LPX16" s="169"/>
      <c r="LPY16" s="169"/>
      <c r="LPZ16" s="169"/>
      <c r="LQA16" s="169"/>
      <c r="LQB16" s="169"/>
      <c r="LQC16" s="169"/>
      <c r="LQD16" s="169"/>
      <c r="LQE16" s="169"/>
      <c r="LQF16" s="169"/>
      <c r="LQG16" s="169"/>
      <c r="LQH16" s="169"/>
      <c r="LQI16" s="169"/>
      <c r="LQJ16" s="169"/>
      <c r="LQK16" s="169"/>
      <c r="LQL16" s="169"/>
      <c r="LQM16" s="169"/>
      <c r="LQN16" s="169"/>
      <c r="LQO16" s="169"/>
      <c r="LQP16" s="169"/>
      <c r="LQQ16" s="169"/>
      <c r="LQR16" s="169"/>
      <c r="LQS16" s="169"/>
      <c r="LQT16" s="169"/>
      <c r="LQU16" s="169"/>
      <c r="LQV16" s="169"/>
      <c r="LQW16" s="169"/>
      <c r="LQX16" s="169"/>
      <c r="LQY16" s="169"/>
      <c r="LQZ16" s="169"/>
      <c r="LRA16" s="169"/>
      <c r="LRB16" s="169"/>
      <c r="LRC16" s="169"/>
      <c r="LRD16" s="169"/>
      <c r="LRE16" s="169"/>
      <c r="LRF16" s="169"/>
      <c r="LRG16" s="169"/>
      <c r="LRH16" s="169"/>
      <c r="LRI16" s="169"/>
      <c r="LRJ16" s="169"/>
      <c r="LRK16" s="169"/>
      <c r="LRL16" s="169"/>
      <c r="LRM16" s="169"/>
      <c r="LRN16" s="169"/>
      <c r="LRO16" s="169"/>
      <c r="LRP16" s="169"/>
      <c r="LRQ16" s="169"/>
      <c r="LRR16" s="169"/>
      <c r="LRS16" s="169"/>
      <c r="LRT16" s="169"/>
      <c r="LRU16" s="169"/>
      <c r="LRV16" s="169"/>
      <c r="LRW16" s="169"/>
      <c r="LRX16" s="169"/>
      <c r="LRY16" s="169"/>
      <c r="LRZ16" s="169"/>
      <c r="LSA16" s="169"/>
      <c r="LSB16" s="169"/>
      <c r="LSC16" s="169"/>
      <c r="LSD16" s="169"/>
      <c r="LSE16" s="169"/>
      <c r="LSF16" s="169"/>
      <c r="LSG16" s="169"/>
      <c r="LSH16" s="169"/>
      <c r="LSI16" s="169"/>
      <c r="LSJ16" s="169"/>
      <c r="LSK16" s="169"/>
      <c r="LSL16" s="169"/>
      <c r="LSM16" s="169"/>
      <c r="LSN16" s="169"/>
      <c r="LSO16" s="169"/>
      <c r="LSP16" s="169"/>
      <c r="LSQ16" s="169"/>
      <c r="LSR16" s="169"/>
      <c r="LSS16" s="169"/>
      <c r="LST16" s="169"/>
      <c r="LSU16" s="169"/>
      <c r="LSV16" s="169"/>
      <c r="LSW16" s="169"/>
      <c r="LSX16" s="169"/>
      <c r="LSY16" s="169"/>
      <c r="LSZ16" s="169"/>
      <c r="LTA16" s="169"/>
      <c r="LTB16" s="169"/>
      <c r="LTC16" s="169"/>
      <c r="LTD16" s="169"/>
      <c r="LTE16" s="169"/>
      <c r="LTF16" s="169"/>
      <c r="LTG16" s="169"/>
      <c r="LTH16" s="169"/>
      <c r="LTI16" s="169"/>
      <c r="LTJ16" s="169"/>
      <c r="LTK16" s="169"/>
      <c r="LTL16" s="169"/>
      <c r="LTM16" s="169"/>
      <c r="LTN16" s="169"/>
      <c r="LTO16" s="169"/>
      <c r="LTP16" s="169"/>
      <c r="LTQ16" s="169"/>
      <c r="LTR16" s="169"/>
      <c r="LTS16" s="169"/>
      <c r="LTT16" s="169"/>
      <c r="LTU16" s="169"/>
      <c r="LTV16" s="169"/>
      <c r="LTW16" s="169"/>
      <c r="LTX16" s="169"/>
      <c r="LTY16" s="169"/>
      <c r="LTZ16" s="169"/>
      <c r="LUA16" s="169"/>
      <c r="LUB16" s="169"/>
      <c r="LUC16" s="169"/>
      <c r="LUD16" s="169"/>
      <c r="LUE16" s="169"/>
      <c r="LUF16" s="169"/>
      <c r="LUG16" s="169"/>
      <c r="LUH16" s="169"/>
      <c r="LUI16" s="169"/>
      <c r="LUJ16" s="169"/>
      <c r="LUK16" s="169"/>
      <c r="LUL16" s="169"/>
      <c r="LUM16" s="169"/>
      <c r="LUN16" s="169"/>
      <c r="LUO16" s="169"/>
      <c r="LUP16" s="169"/>
      <c r="LUQ16" s="169"/>
      <c r="LUR16" s="169"/>
      <c r="LUS16" s="169"/>
      <c r="LUT16" s="169"/>
      <c r="LUU16" s="169"/>
      <c r="LUV16" s="169"/>
      <c r="LUW16" s="169"/>
      <c r="LUX16" s="169"/>
      <c r="LUY16" s="169"/>
      <c r="LUZ16" s="169"/>
      <c r="LVA16" s="169"/>
      <c r="LVB16" s="169"/>
      <c r="LVC16" s="169"/>
      <c r="LVD16" s="169"/>
      <c r="LVE16" s="169"/>
      <c r="LVF16" s="169"/>
      <c r="LVG16" s="169"/>
      <c r="LVH16" s="169"/>
      <c r="LVI16" s="169"/>
      <c r="LVJ16" s="169"/>
      <c r="LVK16" s="169"/>
      <c r="LVL16" s="169"/>
      <c r="LVM16" s="169"/>
      <c r="LVN16" s="169"/>
      <c r="LVO16" s="169"/>
      <c r="LVP16" s="169"/>
      <c r="LVQ16" s="169"/>
      <c r="LVR16" s="169"/>
      <c r="LVS16" s="169"/>
      <c r="LVT16" s="169"/>
      <c r="LVU16" s="169"/>
      <c r="LVV16" s="169"/>
      <c r="LVW16" s="169"/>
      <c r="LVX16" s="169"/>
      <c r="LVY16" s="169"/>
      <c r="LVZ16" s="169"/>
      <c r="LWA16" s="169"/>
      <c r="LWB16" s="169"/>
      <c r="LWC16" s="169"/>
      <c r="LWD16" s="169"/>
      <c r="LWE16" s="169"/>
      <c r="LWF16" s="169"/>
      <c r="LWG16" s="169"/>
      <c r="LWH16" s="169"/>
      <c r="LWI16" s="169"/>
      <c r="LWJ16" s="169"/>
      <c r="LWK16" s="169"/>
      <c r="LWL16" s="169"/>
      <c r="LWM16" s="169"/>
      <c r="LWN16" s="169"/>
      <c r="LWO16" s="169"/>
      <c r="LWP16" s="169"/>
      <c r="LWQ16" s="169"/>
      <c r="LWR16" s="169"/>
      <c r="LWS16" s="169"/>
      <c r="LWT16" s="169"/>
      <c r="LWU16" s="169"/>
      <c r="LWV16" s="169"/>
      <c r="LWW16" s="169"/>
      <c r="LWX16" s="169"/>
      <c r="LWY16" s="169"/>
      <c r="LWZ16" s="169"/>
      <c r="LXA16" s="169"/>
      <c r="LXB16" s="169"/>
      <c r="LXC16" s="169"/>
      <c r="LXD16" s="169"/>
      <c r="LXE16" s="169"/>
      <c r="LXF16" s="169"/>
      <c r="LXG16" s="169"/>
      <c r="LXH16" s="169"/>
      <c r="LXI16" s="169"/>
      <c r="LXJ16" s="169"/>
      <c r="LXK16" s="169"/>
      <c r="LXL16" s="169"/>
      <c r="LXM16" s="169"/>
      <c r="LXN16" s="169"/>
      <c r="LXO16" s="169"/>
      <c r="LXP16" s="169"/>
      <c r="LXQ16" s="169"/>
      <c r="LXR16" s="169"/>
      <c r="LXS16" s="169"/>
      <c r="LXT16" s="169"/>
      <c r="LXU16" s="169"/>
      <c r="LXV16" s="169"/>
      <c r="LXW16" s="169"/>
      <c r="LXX16" s="169"/>
      <c r="LXY16" s="169"/>
      <c r="LXZ16" s="169"/>
      <c r="LYA16" s="169"/>
      <c r="LYB16" s="169"/>
      <c r="LYC16" s="169"/>
      <c r="LYD16" s="169"/>
      <c r="LYE16" s="169"/>
      <c r="LYF16" s="169"/>
      <c r="LYG16" s="169"/>
      <c r="LYH16" s="169"/>
      <c r="LYI16" s="169"/>
      <c r="LYJ16" s="169"/>
      <c r="LYK16" s="169"/>
      <c r="LYL16" s="169"/>
      <c r="LYM16" s="169"/>
      <c r="LYN16" s="169"/>
      <c r="LYO16" s="169"/>
      <c r="LYP16" s="169"/>
      <c r="LYQ16" s="169"/>
      <c r="LYR16" s="169"/>
      <c r="LYS16" s="169"/>
      <c r="LYT16" s="169"/>
      <c r="LYU16" s="169"/>
      <c r="LYV16" s="169"/>
      <c r="LYW16" s="169"/>
      <c r="LYX16" s="169"/>
      <c r="LYY16" s="169"/>
      <c r="LYZ16" s="169"/>
      <c r="LZA16" s="169"/>
      <c r="LZB16" s="169"/>
      <c r="LZC16" s="169"/>
      <c r="LZD16" s="169"/>
      <c r="LZE16" s="169"/>
      <c r="LZF16" s="169"/>
      <c r="LZG16" s="169"/>
      <c r="LZH16" s="169"/>
      <c r="LZI16" s="169"/>
      <c r="LZJ16" s="169"/>
      <c r="LZK16" s="169"/>
      <c r="LZL16" s="169"/>
      <c r="LZM16" s="169"/>
      <c r="LZN16" s="169"/>
      <c r="LZO16" s="169"/>
      <c r="LZP16" s="169"/>
      <c r="LZQ16" s="169"/>
      <c r="LZR16" s="169"/>
      <c r="LZS16" s="169"/>
      <c r="LZT16" s="169"/>
      <c r="LZU16" s="169"/>
      <c r="LZV16" s="169"/>
      <c r="LZW16" s="169"/>
      <c r="LZX16" s="169"/>
      <c r="LZY16" s="169"/>
      <c r="LZZ16" s="169"/>
      <c r="MAA16" s="169"/>
      <c r="MAB16" s="169"/>
      <c r="MAC16" s="169"/>
      <c r="MAD16" s="169"/>
      <c r="MAE16" s="169"/>
      <c r="MAF16" s="169"/>
      <c r="MAG16" s="169"/>
      <c r="MAH16" s="169"/>
      <c r="MAI16" s="169"/>
      <c r="MAJ16" s="169"/>
      <c r="MAK16" s="169"/>
      <c r="MAL16" s="169"/>
      <c r="MAM16" s="169"/>
      <c r="MAN16" s="169"/>
      <c r="MAO16" s="169"/>
      <c r="MAP16" s="169"/>
      <c r="MAQ16" s="169"/>
      <c r="MAR16" s="169"/>
      <c r="MAS16" s="169"/>
      <c r="MAT16" s="169"/>
      <c r="MAU16" s="169"/>
      <c r="MAV16" s="169"/>
      <c r="MAW16" s="169"/>
      <c r="MAX16" s="169"/>
      <c r="MAY16" s="169"/>
      <c r="MAZ16" s="169"/>
      <c r="MBA16" s="169"/>
      <c r="MBB16" s="169"/>
      <c r="MBC16" s="169"/>
      <c r="MBD16" s="169"/>
      <c r="MBE16" s="169"/>
      <c r="MBF16" s="169"/>
      <c r="MBG16" s="169"/>
      <c r="MBH16" s="169"/>
      <c r="MBI16" s="169"/>
      <c r="MBJ16" s="169"/>
      <c r="MBK16" s="169"/>
      <c r="MBL16" s="169"/>
      <c r="MBM16" s="169"/>
      <c r="MBN16" s="169"/>
      <c r="MBO16" s="169"/>
      <c r="MBP16" s="169"/>
      <c r="MBQ16" s="169"/>
      <c r="MBR16" s="169"/>
      <c r="MBS16" s="169"/>
      <c r="MBT16" s="169"/>
      <c r="MBU16" s="169"/>
      <c r="MBV16" s="169"/>
      <c r="MBW16" s="169"/>
      <c r="MBX16" s="169"/>
      <c r="MBY16" s="169"/>
      <c r="MBZ16" s="169"/>
      <c r="MCA16" s="169"/>
      <c r="MCB16" s="169"/>
      <c r="MCC16" s="169"/>
      <c r="MCD16" s="169"/>
      <c r="MCE16" s="169"/>
      <c r="MCF16" s="169"/>
      <c r="MCG16" s="169"/>
      <c r="MCH16" s="169"/>
      <c r="MCI16" s="169"/>
      <c r="MCJ16" s="169"/>
      <c r="MCK16" s="169"/>
      <c r="MCL16" s="169"/>
      <c r="MCM16" s="169"/>
      <c r="MCN16" s="169"/>
      <c r="MCO16" s="169"/>
      <c r="MCP16" s="169"/>
      <c r="MCQ16" s="169"/>
      <c r="MCR16" s="169"/>
      <c r="MCS16" s="169"/>
      <c r="MCT16" s="169"/>
      <c r="MCU16" s="169"/>
      <c r="MCV16" s="169"/>
      <c r="MCW16" s="169"/>
      <c r="MCX16" s="169"/>
      <c r="MCY16" s="169"/>
      <c r="MCZ16" s="169"/>
      <c r="MDA16" s="169"/>
      <c r="MDB16" s="169"/>
      <c r="MDC16" s="169"/>
      <c r="MDD16" s="169"/>
      <c r="MDE16" s="169"/>
      <c r="MDF16" s="169"/>
      <c r="MDG16" s="169"/>
      <c r="MDH16" s="169"/>
      <c r="MDI16" s="169"/>
      <c r="MDJ16" s="169"/>
      <c r="MDK16" s="169"/>
      <c r="MDL16" s="169"/>
      <c r="MDM16" s="169"/>
      <c r="MDN16" s="169"/>
      <c r="MDO16" s="169"/>
      <c r="MDP16" s="169"/>
      <c r="MDQ16" s="169"/>
      <c r="MDR16" s="169"/>
      <c r="MDS16" s="169"/>
      <c r="MDT16" s="169"/>
      <c r="MDU16" s="169"/>
      <c r="MDV16" s="169"/>
      <c r="MDW16" s="169"/>
      <c r="MDX16" s="169"/>
      <c r="MDY16" s="169"/>
      <c r="MDZ16" s="169"/>
      <c r="MEA16" s="169"/>
      <c r="MEB16" s="169"/>
      <c r="MEC16" s="169"/>
      <c r="MED16" s="169"/>
      <c r="MEE16" s="169"/>
      <c r="MEF16" s="169"/>
      <c r="MEG16" s="169"/>
      <c r="MEH16" s="169"/>
      <c r="MEI16" s="169"/>
      <c r="MEJ16" s="169"/>
      <c r="MEK16" s="169"/>
      <c r="MEL16" s="169"/>
      <c r="MEM16" s="169"/>
      <c r="MEN16" s="169"/>
      <c r="MEO16" s="169"/>
      <c r="MEP16" s="169"/>
      <c r="MEQ16" s="169"/>
      <c r="MER16" s="169"/>
      <c r="MES16" s="169"/>
      <c r="MET16" s="169"/>
      <c r="MEU16" s="169"/>
      <c r="MEV16" s="169"/>
      <c r="MEW16" s="169"/>
      <c r="MEX16" s="169"/>
      <c r="MEY16" s="169"/>
      <c r="MEZ16" s="169"/>
      <c r="MFA16" s="169"/>
      <c r="MFB16" s="169"/>
      <c r="MFC16" s="169"/>
      <c r="MFD16" s="169"/>
      <c r="MFE16" s="169"/>
      <c r="MFF16" s="169"/>
      <c r="MFG16" s="169"/>
      <c r="MFH16" s="169"/>
      <c r="MFI16" s="169"/>
      <c r="MFJ16" s="169"/>
      <c r="MFK16" s="169"/>
      <c r="MFL16" s="169"/>
      <c r="MFM16" s="169"/>
      <c r="MFN16" s="169"/>
      <c r="MFO16" s="169"/>
      <c r="MFP16" s="169"/>
      <c r="MFQ16" s="169"/>
      <c r="MFR16" s="169"/>
      <c r="MFS16" s="169"/>
      <c r="MFT16" s="169"/>
      <c r="MFU16" s="169"/>
      <c r="MFV16" s="169"/>
      <c r="MFW16" s="169"/>
      <c r="MFX16" s="169"/>
      <c r="MFY16" s="169"/>
      <c r="MFZ16" s="169"/>
      <c r="MGA16" s="169"/>
      <c r="MGB16" s="169"/>
      <c r="MGC16" s="169"/>
      <c r="MGD16" s="169"/>
      <c r="MGE16" s="169"/>
      <c r="MGF16" s="169"/>
      <c r="MGG16" s="169"/>
      <c r="MGH16" s="169"/>
      <c r="MGI16" s="169"/>
      <c r="MGJ16" s="169"/>
      <c r="MGK16" s="169"/>
      <c r="MGL16" s="169"/>
      <c r="MGM16" s="169"/>
      <c r="MGN16" s="169"/>
      <c r="MGO16" s="169"/>
      <c r="MGP16" s="169"/>
      <c r="MGQ16" s="169"/>
      <c r="MGR16" s="169"/>
      <c r="MGS16" s="169"/>
      <c r="MGT16" s="169"/>
      <c r="MGU16" s="169"/>
      <c r="MGV16" s="169"/>
      <c r="MGW16" s="169"/>
      <c r="MGX16" s="169"/>
      <c r="MGY16" s="169"/>
      <c r="MGZ16" s="169"/>
      <c r="MHA16" s="169"/>
      <c r="MHB16" s="169"/>
      <c r="MHC16" s="169"/>
      <c r="MHD16" s="169"/>
      <c r="MHE16" s="169"/>
      <c r="MHF16" s="169"/>
      <c r="MHG16" s="169"/>
      <c r="MHH16" s="169"/>
      <c r="MHI16" s="169"/>
      <c r="MHJ16" s="169"/>
      <c r="MHK16" s="169"/>
      <c r="MHL16" s="169"/>
      <c r="MHM16" s="169"/>
      <c r="MHN16" s="169"/>
      <c r="MHO16" s="169"/>
      <c r="MHP16" s="169"/>
      <c r="MHQ16" s="169"/>
      <c r="MHR16" s="169"/>
      <c r="MHS16" s="169"/>
      <c r="MHT16" s="169"/>
      <c r="MHU16" s="169"/>
      <c r="MHV16" s="169"/>
      <c r="MHW16" s="169"/>
      <c r="MHX16" s="169"/>
      <c r="MHY16" s="169"/>
      <c r="MHZ16" s="169"/>
      <c r="MIA16" s="169"/>
      <c r="MIB16" s="169"/>
      <c r="MIC16" s="169"/>
      <c r="MID16" s="169"/>
      <c r="MIE16" s="169"/>
      <c r="MIF16" s="169"/>
      <c r="MIG16" s="169"/>
      <c r="MIH16" s="169"/>
      <c r="MII16" s="169"/>
      <c r="MIJ16" s="169"/>
      <c r="MIK16" s="169"/>
      <c r="MIL16" s="169"/>
      <c r="MIM16" s="169"/>
      <c r="MIN16" s="169"/>
      <c r="MIO16" s="169"/>
      <c r="MIP16" s="169"/>
      <c r="MIQ16" s="169"/>
      <c r="MIR16" s="169"/>
      <c r="MIS16" s="169"/>
      <c r="MIT16" s="169"/>
      <c r="MIU16" s="169"/>
      <c r="MIV16" s="169"/>
      <c r="MIW16" s="169"/>
      <c r="MIX16" s="169"/>
      <c r="MIY16" s="169"/>
      <c r="MIZ16" s="169"/>
      <c r="MJA16" s="169"/>
      <c r="MJB16" s="169"/>
      <c r="MJC16" s="169"/>
      <c r="MJD16" s="169"/>
      <c r="MJE16" s="169"/>
      <c r="MJF16" s="169"/>
      <c r="MJG16" s="169"/>
      <c r="MJH16" s="169"/>
      <c r="MJI16" s="169"/>
      <c r="MJJ16" s="169"/>
      <c r="MJK16" s="169"/>
      <c r="MJL16" s="169"/>
      <c r="MJM16" s="169"/>
      <c r="MJN16" s="169"/>
      <c r="MJO16" s="169"/>
      <c r="MJP16" s="169"/>
      <c r="MJQ16" s="169"/>
      <c r="MJR16" s="169"/>
      <c r="MJS16" s="169"/>
      <c r="MJT16" s="169"/>
      <c r="MJU16" s="169"/>
      <c r="MJV16" s="169"/>
      <c r="MJW16" s="169"/>
      <c r="MJX16" s="169"/>
      <c r="MJY16" s="169"/>
      <c r="MJZ16" s="169"/>
      <c r="MKA16" s="169"/>
      <c r="MKB16" s="169"/>
      <c r="MKC16" s="169"/>
      <c r="MKD16" s="169"/>
      <c r="MKE16" s="169"/>
      <c r="MKF16" s="169"/>
      <c r="MKG16" s="169"/>
      <c r="MKH16" s="169"/>
      <c r="MKI16" s="169"/>
      <c r="MKJ16" s="169"/>
      <c r="MKK16" s="169"/>
      <c r="MKL16" s="169"/>
      <c r="MKM16" s="169"/>
      <c r="MKN16" s="169"/>
      <c r="MKO16" s="169"/>
      <c r="MKP16" s="169"/>
      <c r="MKQ16" s="169"/>
      <c r="MKR16" s="169"/>
      <c r="MKS16" s="169"/>
      <c r="MKT16" s="169"/>
      <c r="MKU16" s="169"/>
      <c r="MKV16" s="169"/>
      <c r="MKW16" s="169"/>
      <c r="MKX16" s="169"/>
      <c r="MKY16" s="169"/>
      <c r="MKZ16" s="169"/>
      <c r="MLA16" s="169"/>
      <c r="MLB16" s="169"/>
      <c r="MLC16" s="169"/>
      <c r="MLD16" s="169"/>
      <c r="MLE16" s="169"/>
      <c r="MLF16" s="169"/>
      <c r="MLG16" s="169"/>
      <c r="MLH16" s="169"/>
      <c r="MLI16" s="169"/>
      <c r="MLJ16" s="169"/>
      <c r="MLK16" s="169"/>
      <c r="MLL16" s="169"/>
      <c r="MLM16" s="169"/>
      <c r="MLN16" s="169"/>
      <c r="MLO16" s="169"/>
      <c r="MLP16" s="169"/>
      <c r="MLQ16" s="169"/>
      <c r="MLR16" s="169"/>
      <c r="MLS16" s="169"/>
      <c r="MLT16" s="169"/>
      <c r="MLU16" s="169"/>
      <c r="MLV16" s="169"/>
      <c r="MLW16" s="169"/>
      <c r="MLX16" s="169"/>
      <c r="MLY16" s="169"/>
      <c r="MLZ16" s="169"/>
      <c r="MMA16" s="169"/>
      <c r="MMB16" s="169"/>
      <c r="MMC16" s="169"/>
      <c r="MMD16" s="169"/>
      <c r="MME16" s="169"/>
      <c r="MMF16" s="169"/>
      <c r="MMG16" s="169"/>
      <c r="MMH16" s="169"/>
      <c r="MMI16" s="169"/>
      <c r="MMJ16" s="169"/>
      <c r="MMK16" s="169"/>
      <c r="MML16" s="169"/>
      <c r="MMM16" s="169"/>
      <c r="MMN16" s="169"/>
      <c r="MMO16" s="169"/>
      <c r="MMP16" s="169"/>
      <c r="MMQ16" s="169"/>
      <c r="MMR16" s="169"/>
      <c r="MMS16" s="169"/>
      <c r="MMT16" s="169"/>
      <c r="MMU16" s="169"/>
      <c r="MMV16" s="169"/>
      <c r="MMW16" s="169"/>
      <c r="MMX16" s="169"/>
      <c r="MMY16" s="169"/>
      <c r="MMZ16" s="169"/>
      <c r="MNA16" s="169"/>
      <c r="MNB16" s="169"/>
      <c r="MNC16" s="169"/>
      <c r="MND16" s="169"/>
      <c r="MNE16" s="169"/>
      <c r="MNF16" s="169"/>
      <c r="MNG16" s="169"/>
      <c r="MNH16" s="169"/>
      <c r="MNI16" s="169"/>
      <c r="MNJ16" s="169"/>
      <c r="MNK16" s="169"/>
      <c r="MNL16" s="169"/>
      <c r="MNM16" s="169"/>
      <c r="MNN16" s="169"/>
      <c r="MNO16" s="169"/>
      <c r="MNP16" s="169"/>
      <c r="MNQ16" s="169"/>
      <c r="MNR16" s="169"/>
      <c r="MNS16" s="169"/>
      <c r="MNT16" s="169"/>
      <c r="MNU16" s="169"/>
      <c r="MNV16" s="169"/>
      <c r="MNW16" s="169"/>
      <c r="MNX16" s="169"/>
      <c r="MNY16" s="169"/>
      <c r="MNZ16" s="169"/>
      <c r="MOA16" s="169"/>
      <c r="MOB16" s="169"/>
      <c r="MOC16" s="169"/>
      <c r="MOD16" s="169"/>
      <c r="MOE16" s="169"/>
      <c r="MOF16" s="169"/>
      <c r="MOG16" s="169"/>
      <c r="MOH16" s="169"/>
      <c r="MOI16" s="169"/>
      <c r="MOJ16" s="169"/>
      <c r="MOK16" s="169"/>
      <c r="MOL16" s="169"/>
      <c r="MOM16" s="169"/>
      <c r="MON16" s="169"/>
      <c r="MOO16" s="169"/>
      <c r="MOP16" s="169"/>
      <c r="MOQ16" s="169"/>
      <c r="MOR16" s="169"/>
      <c r="MOS16" s="169"/>
      <c r="MOT16" s="169"/>
      <c r="MOU16" s="169"/>
      <c r="MOV16" s="169"/>
      <c r="MOW16" s="169"/>
      <c r="MOX16" s="169"/>
      <c r="MOY16" s="169"/>
      <c r="MOZ16" s="169"/>
      <c r="MPA16" s="169"/>
      <c r="MPB16" s="169"/>
      <c r="MPC16" s="169"/>
      <c r="MPD16" s="169"/>
      <c r="MPE16" s="169"/>
      <c r="MPF16" s="169"/>
      <c r="MPG16" s="169"/>
      <c r="MPH16" s="169"/>
      <c r="MPI16" s="169"/>
      <c r="MPJ16" s="169"/>
      <c r="MPK16" s="169"/>
      <c r="MPL16" s="169"/>
      <c r="MPM16" s="169"/>
      <c r="MPN16" s="169"/>
      <c r="MPO16" s="169"/>
      <c r="MPP16" s="169"/>
      <c r="MPQ16" s="169"/>
      <c r="MPR16" s="169"/>
      <c r="MPS16" s="169"/>
      <c r="MPT16" s="169"/>
      <c r="MPU16" s="169"/>
      <c r="MPV16" s="169"/>
      <c r="MPW16" s="169"/>
      <c r="MPX16" s="169"/>
      <c r="MPY16" s="169"/>
      <c r="MPZ16" s="169"/>
      <c r="MQA16" s="169"/>
      <c r="MQB16" s="169"/>
      <c r="MQC16" s="169"/>
      <c r="MQD16" s="169"/>
      <c r="MQE16" s="169"/>
      <c r="MQF16" s="169"/>
      <c r="MQG16" s="169"/>
      <c r="MQH16" s="169"/>
      <c r="MQI16" s="169"/>
      <c r="MQJ16" s="169"/>
      <c r="MQK16" s="169"/>
      <c r="MQL16" s="169"/>
      <c r="MQM16" s="169"/>
      <c r="MQN16" s="169"/>
      <c r="MQO16" s="169"/>
      <c r="MQP16" s="169"/>
      <c r="MQQ16" s="169"/>
      <c r="MQR16" s="169"/>
      <c r="MQS16" s="169"/>
      <c r="MQT16" s="169"/>
      <c r="MQU16" s="169"/>
      <c r="MQV16" s="169"/>
      <c r="MQW16" s="169"/>
      <c r="MQX16" s="169"/>
      <c r="MQY16" s="169"/>
      <c r="MQZ16" s="169"/>
      <c r="MRA16" s="169"/>
      <c r="MRB16" s="169"/>
      <c r="MRC16" s="169"/>
      <c r="MRD16" s="169"/>
      <c r="MRE16" s="169"/>
      <c r="MRF16" s="169"/>
      <c r="MRG16" s="169"/>
      <c r="MRH16" s="169"/>
      <c r="MRI16" s="169"/>
      <c r="MRJ16" s="169"/>
      <c r="MRK16" s="169"/>
      <c r="MRL16" s="169"/>
      <c r="MRM16" s="169"/>
      <c r="MRN16" s="169"/>
      <c r="MRO16" s="169"/>
      <c r="MRP16" s="169"/>
      <c r="MRQ16" s="169"/>
      <c r="MRR16" s="169"/>
      <c r="MRS16" s="169"/>
      <c r="MRT16" s="169"/>
      <c r="MRU16" s="169"/>
      <c r="MRV16" s="169"/>
      <c r="MRW16" s="169"/>
      <c r="MRX16" s="169"/>
      <c r="MRY16" s="169"/>
      <c r="MRZ16" s="169"/>
      <c r="MSA16" s="169"/>
      <c r="MSB16" s="169"/>
      <c r="MSC16" s="169"/>
      <c r="MSD16" s="169"/>
      <c r="MSE16" s="169"/>
      <c r="MSF16" s="169"/>
      <c r="MSG16" s="169"/>
      <c r="MSH16" s="169"/>
      <c r="MSI16" s="169"/>
      <c r="MSJ16" s="169"/>
      <c r="MSK16" s="169"/>
      <c r="MSL16" s="169"/>
      <c r="MSM16" s="169"/>
      <c r="MSN16" s="169"/>
      <c r="MSO16" s="169"/>
      <c r="MSP16" s="169"/>
      <c r="MSQ16" s="169"/>
      <c r="MSR16" s="169"/>
      <c r="MSS16" s="169"/>
      <c r="MST16" s="169"/>
      <c r="MSU16" s="169"/>
      <c r="MSV16" s="169"/>
      <c r="MSW16" s="169"/>
      <c r="MSX16" s="169"/>
      <c r="MSY16" s="169"/>
      <c r="MSZ16" s="169"/>
      <c r="MTA16" s="169"/>
      <c r="MTB16" s="169"/>
      <c r="MTC16" s="169"/>
      <c r="MTD16" s="169"/>
      <c r="MTE16" s="169"/>
      <c r="MTF16" s="169"/>
      <c r="MTG16" s="169"/>
      <c r="MTH16" s="169"/>
      <c r="MTI16" s="169"/>
      <c r="MTJ16" s="169"/>
      <c r="MTK16" s="169"/>
      <c r="MTL16" s="169"/>
      <c r="MTM16" s="169"/>
      <c r="MTN16" s="169"/>
      <c r="MTO16" s="169"/>
      <c r="MTP16" s="169"/>
      <c r="MTQ16" s="169"/>
      <c r="MTR16" s="169"/>
      <c r="MTS16" s="169"/>
      <c r="MTT16" s="169"/>
      <c r="MTU16" s="169"/>
      <c r="MTV16" s="169"/>
      <c r="MTW16" s="169"/>
      <c r="MTX16" s="169"/>
      <c r="MTY16" s="169"/>
      <c r="MTZ16" s="169"/>
      <c r="MUA16" s="169"/>
      <c r="MUB16" s="169"/>
      <c r="MUC16" s="169"/>
      <c r="MUD16" s="169"/>
      <c r="MUE16" s="169"/>
      <c r="MUF16" s="169"/>
      <c r="MUG16" s="169"/>
      <c r="MUH16" s="169"/>
      <c r="MUI16" s="169"/>
      <c r="MUJ16" s="169"/>
      <c r="MUK16" s="169"/>
      <c r="MUL16" s="169"/>
      <c r="MUM16" s="169"/>
      <c r="MUN16" s="169"/>
      <c r="MUO16" s="169"/>
      <c r="MUP16" s="169"/>
      <c r="MUQ16" s="169"/>
      <c r="MUR16" s="169"/>
      <c r="MUS16" s="169"/>
      <c r="MUT16" s="169"/>
      <c r="MUU16" s="169"/>
      <c r="MUV16" s="169"/>
      <c r="MUW16" s="169"/>
      <c r="MUX16" s="169"/>
      <c r="MUY16" s="169"/>
      <c r="MUZ16" s="169"/>
      <c r="MVA16" s="169"/>
      <c r="MVB16" s="169"/>
      <c r="MVC16" s="169"/>
      <c r="MVD16" s="169"/>
      <c r="MVE16" s="169"/>
      <c r="MVF16" s="169"/>
      <c r="MVG16" s="169"/>
      <c r="MVH16" s="169"/>
      <c r="MVI16" s="169"/>
      <c r="MVJ16" s="169"/>
      <c r="MVK16" s="169"/>
      <c r="MVL16" s="169"/>
      <c r="MVM16" s="169"/>
      <c r="MVN16" s="169"/>
      <c r="MVO16" s="169"/>
      <c r="MVP16" s="169"/>
      <c r="MVQ16" s="169"/>
      <c r="MVR16" s="169"/>
      <c r="MVS16" s="169"/>
      <c r="MVT16" s="169"/>
      <c r="MVU16" s="169"/>
      <c r="MVV16" s="169"/>
      <c r="MVW16" s="169"/>
      <c r="MVX16" s="169"/>
      <c r="MVY16" s="169"/>
      <c r="MVZ16" s="169"/>
      <c r="MWA16" s="169"/>
      <c r="MWB16" s="169"/>
      <c r="MWC16" s="169"/>
      <c r="MWD16" s="169"/>
      <c r="MWE16" s="169"/>
      <c r="MWF16" s="169"/>
      <c r="MWG16" s="169"/>
      <c r="MWH16" s="169"/>
      <c r="MWI16" s="169"/>
      <c r="MWJ16" s="169"/>
      <c r="MWK16" s="169"/>
      <c r="MWL16" s="169"/>
      <c r="MWM16" s="169"/>
      <c r="MWN16" s="169"/>
      <c r="MWO16" s="169"/>
      <c r="MWP16" s="169"/>
      <c r="MWQ16" s="169"/>
      <c r="MWR16" s="169"/>
      <c r="MWS16" s="169"/>
      <c r="MWT16" s="169"/>
      <c r="MWU16" s="169"/>
      <c r="MWV16" s="169"/>
      <c r="MWW16" s="169"/>
      <c r="MWX16" s="169"/>
      <c r="MWY16" s="169"/>
      <c r="MWZ16" s="169"/>
      <c r="MXA16" s="169"/>
      <c r="MXB16" s="169"/>
      <c r="MXC16" s="169"/>
      <c r="MXD16" s="169"/>
      <c r="MXE16" s="169"/>
      <c r="MXF16" s="169"/>
      <c r="MXG16" s="169"/>
      <c r="MXH16" s="169"/>
      <c r="MXI16" s="169"/>
      <c r="MXJ16" s="169"/>
      <c r="MXK16" s="169"/>
      <c r="MXL16" s="169"/>
      <c r="MXM16" s="169"/>
      <c r="MXN16" s="169"/>
      <c r="MXO16" s="169"/>
      <c r="MXP16" s="169"/>
      <c r="MXQ16" s="169"/>
      <c r="MXR16" s="169"/>
      <c r="MXS16" s="169"/>
      <c r="MXT16" s="169"/>
      <c r="MXU16" s="169"/>
      <c r="MXV16" s="169"/>
      <c r="MXW16" s="169"/>
      <c r="MXX16" s="169"/>
      <c r="MXY16" s="169"/>
      <c r="MXZ16" s="169"/>
      <c r="MYA16" s="169"/>
      <c r="MYB16" s="169"/>
      <c r="MYC16" s="169"/>
      <c r="MYD16" s="169"/>
      <c r="MYE16" s="169"/>
      <c r="MYF16" s="169"/>
      <c r="MYG16" s="169"/>
      <c r="MYH16" s="169"/>
      <c r="MYI16" s="169"/>
      <c r="MYJ16" s="169"/>
      <c r="MYK16" s="169"/>
      <c r="MYL16" s="169"/>
      <c r="MYM16" s="169"/>
      <c r="MYN16" s="169"/>
      <c r="MYO16" s="169"/>
      <c r="MYP16" s="169"/>
      <c r="MYQ16" s="169"/>
      <c r="MYR16" s="169"/>
      <c r="MYS16" s="169"/>
      <c r="MYT16" s="169"/>
      <c r="MYU16" s="169"/>
      <c r="MYV16" s="169"/>
      <c r="MYW16" s="169"/>
      <c r="MYX16" s="169"/>
      <c r="MYY16" s="169"/>
      <c r="MYZ16" s="169"/>
      <c r="MZA16" s="169"/>
      <c r="MZB16" s="169"/>
      <c r="MZC16" s="169"/>
      <c r="MZD16" s="169"/>
      <c r="MZE16" s="169"/>
      <c r="MZF16" s="169"/>
      <c r="MZG16" s="169"/>
      <c r="MZH16" s="169"/>
      <c r="MZI16" s="169"/>
      <c r="MZJ16" s="169"/>
      <c r="MZK16" s="169"/>
      <c r="MZL16" s="169"/>
      <c r="MZM16" s="169"/>
      <c r="MZN16" s="169"/>
      <c r="MZO16" s="169"/>
      <c r="MZP16" s="169"/>
      <c r="MZQ16" s="169"/>
      <c r="MZR16" s="169"/>
      <c r="MZS16" s="169"/>
      <c r="MZT16" s="169"/>
      <c r="MZU16" s="169"/>
      <c r="MZV16" s="169"/>
      <c r="MZW16" s="169"/>
      <c r="MZX16" s="169"/>
      <c r="MZY16" s="169"/>
      <c r="MZZ16" s="169"/>
      <c r="NAA16" s="169"/>
      <c r="NAB16" s="169"/>
      <c r="NAC16" s="169"/>
      <c r="NAD16" s="169"/>
      <c r="NAE16" s="169"/>
      <c r="NAF16" s="169"/>
      <c r="NAG16" s="169"/>
      <c r="NAH16" s="169"/>
      <c r="NAI16" s="169"/>
      <c r="NAJ16" s="169"/>
      <c r="NAK16" s="169"/>
      <c r="NAL16" s="169"/>
      <c r="NAM16" s="169"/>
      <c r="NAN16" s="169"/>
      <c r="NAO16" s="169"/>
      <c r="NAP16" s="169"/>
      <c r="NAQ16" s="169"/>
      <c r="NAR16" s="169"/>
      <c r="NAS16" s="169"/>
      <c r="NAT16" s="169"/>
      <c r="NAU16" s="169"/>
      <c r="NAV16" s="169"/>
      <c r="NAW16" s="169"/>
      <c r="NAX16" s="169"/>
      <c r="NAY16" s="169"/>
      <c r="NAZ16" s="169"/>
      <c r="NBA16" s="169"/>
      <c r="NBB16" s="169"/>
      <c r="NBC16" s="169"/>
      <c r="NBD16" s="169"/>
      <c r="NBE16" s="169"/>
      <c r="NBF16" s="169"/>
      <c r="NBG16" s="169"/>
      <c r="NBH16" s="169"/>
      <c r="NBI16" s="169"/>
      <c r="NBJ16" s="169"/>
      <c r="NBK16" s="169"/>
      <c r="NBL16" s="169"/>
      <c r="NBM16" s="169"/>
      <c r="NBN16" s="169"/>
      <c r="NBO16" s="169"/>
      <c r="NBP16" s="169"/>
      <c r="NBQ16" s="169"/>
      <c r="NBR16" s="169"/>
      <c r="NBS16" s="169"/>
      <c r="NBT16" s="169"/>
      <c r="NBU16" s="169"/>
      <c r="NBV16" s="169"/>
      <c r="NBW16" s="169"/>
      <c r="NBX16" s="169"/>
      <c r="NBY16" s="169"/>
      <c r="NBZ16" s="169"/>
      <c r="NCA16" s="169"/>
      <c r="NCB16" s="169"/>
      <c r="NCC16" s="169"/>
      <c r="NCD16" s="169"/>
      <c r="NCE16" s="169"/>
      <c r="NCF16" s="169"/>
      <c r="NCG16" s="169"/>
      <c r="NCH16" s="169"/>
      <c r="NCI16" s="169"/>
      <c r="NCJ16" s="169"/>
      <c r="NCK16" s="169"/>
      <c r="NCL16" s="169"/>
      <c r="NCM16" s="169"/>
      <c r="NCN16" s="169"/>
      <c r="NCO16" s="169"/>
      <c r="NCP16" s="169"/>
      <c r="NCQ16" s="169"/>
      <c r="NCR16" s="169"/>
      <c r="NCS16" s="169"/>
      <c r="NCT16" s="169"/>
      <c r="NCU16" s="169"/>
      <c r="NCV16" s="169"/>
      <c r="NCW16" s="169"/>
      <c r="NCX16" s="169"/>
      <c r="NCY16" s="169"/>
      <c r="NCZ16" s="169"/>
      <c r="NDA16" s="169"/>
      <c r="NDB16" s="169"/>
      <c r="NDC16" s="169"/>
      <c r="NDD16" s="169"/>
      <c r="NDE16" s="169"/>
      <c r="NDF16" s="169"/>
      <c r="NDG16" s="169"/>
      <c r="NDH16" s="169"/>
      <c r="NDI16" s="169"/>
      <c r="NDJ16" s="169"/>
      <c r="NDK16" s="169"/>
      <c r="NDL16" s="169"/>
      <c r="NDM16" s="169"/>
      <c r="NDN16" s="169"/>
      <c r="NDO16" s="169"/>
      <c r="NDP16" s="169"/>
      <c r="NDQ16" s="169"/>
      <c r="NDR16" s="169"/>
      <c r="NDS16" s="169"/>
      <c r="NDT16" s="169"/>
      <c r="NDU16" s="169"/>
      <c r="NDV16" s="169"/>
      <c r="NDW16" s="169"/>
      <c r="NDX16" s="169"/>
      <c r="NDY16" s="169"/>
      <c r="NDZ16" s="169"/>
      <c r="NEA16" s="169"/>
      <c r="NEB16" s="169"/>
      <c r="NEC16" s="169"/>
      <c r="NED16" s="169"/>
      <c r="NEE16" s="169"/>
      <c r="NEF16" s="169"/>
      <c r="NEG16" s="169"/>
      <c r="NEH16" s="169"/>
      <c r="NEI16" s="169"/>
      <c r="NEJ16" s="169"/>
      <c r="NEK16" s="169"/>
      <c r="NEL16" s="169"/>
      <c r="NEM16" s="169"/>
      <c r="NEN16" s="169"/>
      <c r="NEO16" s="169"/>
      <c r="NEP16" s="169"/>
      <c r="NEQ16" s="169"/>
      <c r="NER16" s="169"/>
      <c r="NES16" s="169"/>
      <c r="NET16" s="169"/>
      <c r="NEU16" s="169"/>
      <c r="NEV16" s="169"/>
      <c r="NEW16" s="169"/>
      <c r="NEX16" s="169"/>
      <c r="NEY16" s="169"/>
      <c r="NEZ16" s="169"/>
      <c r="NFA16" s="169"/>
      <c r="NFB16" s="169"/>
      <c r="NFC16" s="169"/>
      <c r="NFD16" s="169"/>
      <c r="NFE16" s="169"/>
      <c r="NFF16" s="169"/>
      <c r="NFG16" s="169"/>
      <c r="NFH16" s="169"/>
      <c r="NFI16" s="169"/>
      <c r="NFJ16" s="169"/>
      <c r="NFK16" s="169"/>
      <c r="NFL16" s="169"/>
      <c r="NFM16" s="169"/>
      <c r="NFN16" s="169"/>
      <c r="NFO16" s="169"/>
      <c r="NFP16" s="169"/>
      <c r="NFQ16" s="169"/>
      <c r="NFR16" s="169"/>
      <c r="NFS16" s="169"/>
      <c r="NFT16" s="169"/>
      <c r="NFU16" s="169"/>
      <c r="NFV16" s="169"/>
      <c r="NFW16" s="169"/>
      <c r="NFX16" s="169"/>
      <c r="NFY16" s="169"/>
      <c r="NFZ16" s="169"/>
      <c r="NGA16" s="169"/>
      <c r="NGB16" s="169"/>
      <c r="NGC16" s="169"/>
      <c r="NGD16" s="169"/>
      <c r="NGE16" s="169"/>
      <c r="NGF16" s="169"/>
      <c r="NGG16" s="169"/>
      <c r="NGH16" s="169"/>
      <c r="NGI16" s="169"/>
      <c r="NGJ16" s="169"/>
      <c r="NGK16" s="169"/>
      <c r="NGL16" s="169"/>
      <c r="NGM16" s="169"/>
      <c r="NGN16" s="169"/>
      <c r="NGO16" s="169"/>
      <c r="NGP16" s="169"/>
      <c r="NGQ16" s="169"/>
      <c r="NGR16" s="169"/>
      <c r="NGS16" s="169"/>
      <c r="NGT16" s="169"/>
      <c r="NGU16" s="169"/>
      <c r="NGV16" s="169"/>
      <c r="NGW16" s="169"/>
      <c r="NGX16" s="169"/>
      <c r="NGY16" s="169"/>
      <c r="NGZ16" s="169"/>
      <c r="NHA16" s="169"/>
      <c r="NHB16" s="169"/>
      <c r="NHC16" s="169"/>
      <c r="NHD16" s="169"/>
      <c r="NHE16" s="169"/>
      <c r="NHF16" s="169"/>
      <c r="NHG16" s="169"/>
      <c r="NHH16" s="169"/>
      <c r="NHI16" s="169"/>
      <c r="NHJ16" s="169"/>
      <c r="NHK16" s="169"/>
      <c r="NHL16" s="169"/>
      <c r="NHM16" s="169"/>
      <c r="NHN16" s="169"/>
      <c r="NHO16" s="169"/>
      <c r="NHP16" s="169"/>
      <c r="NHQ16" s="169"/>
      <c r="NHR16" s="169"/>
      <c r="NHS16" s="169"/>
      <c r="NHT16" s="169"/>
      <c r="NHU16" s="169"/>
      <c r="NHV16" s="169"/>
      <c r="NHW16" s="169"/>
      <c r="NHX16" s="169"/>
      <c r="NHY16" s="169"/>
      <c r="NHZ16" s="169"/>
      <c r="NIA16" s="169"/>
      <c r="NIB16" s="169"/>
      <c r="NIC16" s="169"/>
      <c r="NID16" s="169"/>
      <c r="NIE16" s="169"/>
      <c r="NIF16" s="169"/>
      <c r="NIG16" s="169"/>
      <c r="NIH16" s="169"/>
      <c r="NII16" s="169"/>
      <c r="NIJ16" s="169"/>
      <c r="NIK16" s="169"/>
      <c r="NIL16" s="169"/>
      <c r="NIM16" s="169"/>
      <c r="NIN16" s="169"/>
      <c r="NIO16" s="169"/>
      <c r="NIP16" s="169"/>
      <c r="NIQ16" s="169"/>
      <c r="NIR16" s="169"/>
      <c r="NIS16" s="169"/>
      <c r="NIT16" s="169"/>
      <c r="NIU16" s="169"/>
      <c r="NIV16" s="169"/>
      <c r="NIW16" s="169"/>
      <c r="NIX16" s="169"/>
      <c r="NIY16" s="169"/>
      <c r="NIZ16" s="169"/>
      <c r="NJA16" s="169"/>
      <c r="NJB16" s="169"/>
      <c r="NJC16" s="169"/>
      <c r="NJD16" s="169"/>
      <c r="NJE16" s="169"/>
      <c r="NJF16" s="169"/>
      <c r="NJG16" s="169"/>
      <c r="NJH16" s="169"/>
      <c r="NJI16" s="169"/>
      <c r="NJJ16" s="169"/>
      <c r="NJK16" s="169"/>
      <c r="NJL16" s="169"/>
      <c r="NJM16" s="169"/>
      <c r="NJN16" s="169"/>
      <c r="NJO16" s="169"/>
      <c r="NJP16" s="169"/>
      <c r="NJQ16" s="169"/>
      <c r="NJR16" s="169"/>
      <c r="NJS16" s="169"/>
      <c r="NJT16" s="169"/>
      <c r="NJU16" s="169"/>
      <c r="NJV16" s="169"/>
      <c r="NJW16" s="169"/>
      <c r="NJX16" s="169"/>
      <c r="NJY16" s="169"/>
      <c r="NJZ16" s="169"/>
      <c r="NKA16" s="169"/>
      <c r="NKB16" s="169"/>
      <c r="NKC16" s="169"/>
      <c r="NKD16" s="169"/>
      <c r="NKE16" s="169"/>
      <c r="NKF16" s="169"/>
      <c r="NKG16" s="169"/>
      <c r="NKH16" s="169"/>
      <c r="NKI16" s="169"/>
      <c r="NKJ16" s="169"/>
      <c r="NKK16" s="169"/>
      <c r="NKL16" s="169"/>
      <c r="NKM16" s="169"/>
      <c r="NKN16" s="169"/>
      <c r="NKO16" s="169"/>
      <c r="NKP16" s="169"/>
      <c r="NKQ16" s="169"/>
      <c r="NKR16" s="169"/>
      <c r="NKS16" s="169"/>
      <c r="NKT16" s="169"/>
      <c r="NKU16" s="169"/>
      <c r="NKV16" s="169"/>
      <c r="NKW16" s="169"/>
      <c r="NKX16" s="169"/>
      <c r="NKY16" s="169"/>
      <c r="NKZ16" s="169"/>
      <c r="NLA16" s="169"/>
      <c r="NLB16" s="169"/>
      <c r="NLC16" s="169"/>
      <c r="NLD16" s="169"/>
      <c r="NLE16" s="169"/>
      <c r="NLF16" s="169"/>
      <c r="NLG16" s="169"/>
      <c r="NLH16" s="169"/>
      <c r="NLI16" s="169"/>
      <c r="NLJ16" s="169"/>
      <c r="NLK16" s="169"/>
      <c r="NLL16" s="169"/>
      <c r="NLM16" s="169"/>
      <c r="NLN16" s="169"/>
      <c r="NLO16" s="169"/>
      <c r="NLP16" s="169"/>
      <c r="NLQ16" s="169"/>
      <c r="NLR16" s="169"/>
      <c r="NLS16" s="169"/>
      <c r="NLT16" s="169"/>
      <c r="NLU16" s="169"/>
      <c r="NLV16" s="169"/>
      <c r="NLW16" s="169"/>
      <c r="NLX16" s="169"/>
      <c r="NLY16" s="169"/>
      <c r="NLZ16" s="169"/>
      <c r="NMA16" s="169"/>
      <c r="NMB16" s="169"/>
      <c r="NMC16" s="169"/>
      <c r="NMD16" s="169"/>
      <c r="NME16" s="169"/>
      <c r="NMF16" s="169"/>
      <c r="NMG16" s="169"/>
      <c r="NMH16" s="169"/>
      <c r="NMI16" s="169"/>
      <c r="NMJ16" s="169"/>
      <c r="NMK16" s="169"/>
      <c r="NML16" s="169"/>
      <c r="NMM16" s="169"/>
      <c r="NMN16" s="169"/>
      <c r="NMO16" s="169"/>
      <c r="NMP16" s="169"/>
      <c r="NMQ16" s="169"/>
      <c r="NMR16" s="169"/>
      <c r="NMS16" s="169"/>
      <c r="NMT16" s="169"/>
      <c r="NMU16" s="169"/>
      <c r="NMV16" s="169"/>
      <c r="NMW16" s="169"/>
      <c r="NMX16" s="169"/>
      <c r="NMY16" s="169"/>
      <c r="NMZ16" s="169"/>
      <c r="NNA16" s="169"/>
      <c r="NNB16" s="169"/>
      <c r="NNC16" s="169"/>
      <c r="NND16" s="169"/>
      <c r="NNE16" s="169"/>
      <c r="NNF16" s="169"/>
      <c r="NNG16" s="169"/>
      <c r="NNH16" s="169"/>
      <c r="NNI16" s="169"/>
      <c r="NNJ16" s="169"/>
      <c r="NNK16" s="169"/>
      <c r="NNL16" s="169"/>
      <c r="NNM16" s="169"/>
      <c r="NNN16" s="169"/>
      <c r="NNO16" s="169"/>
      <c r="NNP16" s="169"/>
      <c r="NNQ16" s="169"/>
      <c r="NNR16" s="169"/>
      <c r="NNS16" s="169"/>
      <c r="NNT16" s="169"/>
      <c r="NNU16" s="169"/>
      <c r="NNV16" s="169"/>
      <c r="NNW16" s="169"/>
      <c r="NNX16" s="169"/>
      <c r="NNY16" s="169"/>
      <c r="NNZ16" s="169"/>
      <c r="NOA16" s="169"/>
      <c r="NOB16" s="169"/>
      <c r="NOC16" s="169"/>
      <c r="NOD16" s="169"/>
      <c r="NOE16" s="169"/>
      <c r="NOF16" s="169"/>
      <c r="NOG16" s="169"/>
      <c r="NOH16" s="169"/>
      <c r="NOI16" s="169"/>
      <c r="NOJ16" s="169"/>
      <c r="NOK16" s="169"/>
      <c r="NOL16" s="169"/>
      <c r="NOM16" s="169"/>
      <c r="NON16" s="169"/>
      <c r="NOO16" s="169"/>
      <c r="NOP16" s="169"/>
      <c r="NOQ16" s="169"/>
      <c r="NOR16" s="169"/>
      <c r="NOS16" s="169"/>
      <c r="NOT16" s="169"/>
      <c r="NOU16" s="169"/>
      <c r="NOV16" s="169"/>
      <c r="NOW16" s="169"/>
      <c r="NOX16" s="169"/>
      <c r="NOY16" s="169"/>
      <c r="NOZ16" s="169"/>
      <c r="NPA16" s="169"/>
      <c r="NPB16" s="169"/>
      <c r="NPC16" s="169"/>
      <c r="NPD16" s="169"/>
      <c r="NPE16" s="169"/>
      <c r="NPF16" s="169"/>
      <c r="NPG16" s="169"/>
      <c r="NPH16" s="169"/>
      <c r="NPI16" s="169"/>
      <c r="NPJ16" s="169"/>
      <c r="NPK16" s="169"/>
      <c r="NPL16" s="169"/>
      <c r="NPM16" s="169"/>
      <c r="NPN16" s="169"/>
      <c r="NPO16" s="169"/>
      <c r="NPP16" s="169"/>
      <c r="NPQ16" s="169"/>
      <c r="NPR16" s="169"/>
      <c r="NPS16" s="169"/>
      <c r="NPT16" s="169"/>
      <c r="NPU16" s="169"/>
      <c r="NPV16" s="169"/>
      <c r="NPW16" s="169"/>
      <c r="NPX16" s="169"/>
      <c r="NPY16" s="169"/>
      <c r="NPZ16" s="169"/>
      <c r="NQA16" s="169"/>
      <c r="NQB16" s="169"/>
      <c r="NQC16" s="169"/>
      <c r="NQD16" s="169"/>
      <c r="NQE16" s="169"/>
      <c r="NQF16" s="169"/>
      <c r="NQG16" s="169"/>
      <c r="NQH16" s="169"/>
      <c r="NQI16" s="169"/>
      <c r="NQJ16" s="169"/>
      <c r="NQK16" s="169"/>
      <c r="NQL16" s="169"/>
      <c r="NQM16" s="169"/>
      <c r="NQN16" s="169"/>
      <c r="NQO16" s="169"/>
      <c r="NQP16" s="169"/>
      <c r="NQQ16" s="169"/>
      <c r="NQR16" s="169"/>
      <c r="NQS16" s="169"/>
      <c r="NQT16" s="169"/>
      <c r="NQU16" s="169"/>
      <c r="NQV16" s="169"/>
      <c r="NQW16" s="169"/>
      <c r="NQX16" s="169"/>
      <c r="NQY16" s="169"/>
      <c r="NQZ16" s="169"/>
      <c r="NRA16" s="169"/>
      <c r="NRB16" s="169"/>
      <c r="NRC16" s="169"/>
      <c r="NRD16" s="169"/>
      <c r="NRE16" s="169"/>
      <c r="NRF16" s="169"/>
      <c r="NRG16" s="169"/>
      <c r="NRH16" s="169"/>
      <c r="NRI16" s="169"/>
      <c r="NRJ16" s="169"/>
      <c r="NRK16" s="169"/>
      <c r="NRL16" s="169"/>
      <c r="NRM16" s="169"/>
      <c r="NRN16" s="169"/>
      <c r="NRO16" s="169"/>
      <c r="NRP16" s="169"/>
      <c r="NRQ16" s="169"/>
      <c r="NRR16" s="169"/>
      <c r="NRS16" s="169"/>
      <c r="NRT16" s="169"/>
      <c r="NRU16" s="169"/>
      <c r="NRV16" s="169"/>
      <c r="NRW16" s="169"/>
      <c r="NRX16" s="169"/>
      <c r="NRY16" s="169"/>
      <c r="NRZ16" s="169"/>
      <c r="NSA16" s="169"/>
      <c r="NSB16" s="169"/>
      <c r="NSC16" s="169"/>
      <c r="NSD16" s="169"/>
      <c r="NSE16" s="169"/>
      <c r="NSF16" s="169"/>
      <c r="NSG16" s="169"/>
      <c r="NSH16" s="169"/>
      <c r="NSI16" s="169"/>
      <c r="NSJ16" s="169"/>
      <c r="NSK16" s="169"/>
      <c r="NSL16" s="169"/>
      <c r="NSM16" s="169"/>
      <c r="NSN16" s="169"/>
      <c r="NSO16" s="169"/>
      <c r="NSP16" s="169"/>
      <c r="NSQ16" s="169"/>
      <c r="NSR16" s="169"/>
      <c r="NSS16" s="169"/>
      <c r="NST16" s="169"/>
      <c r="NSU16" s="169"/>
      <c r="NSV16" s="169"/>
      <c r="NSW16" s="169"/>
      <c r="NSX16" s="169"/>
      <c r="NSY16" s="169"/>
      <c r="NSZ16" s="169"/>
      <c r="NTA16" s="169"/>
      <c r="NTB16" s="169"/>
      <c r="NTC16" s="169"/>
      <c r="NTD16" s="169"/>
      <c r="NTE16" s="169"/>
      <c r="NTF16" s="169"/>
      <c r="NTG16" s="169"/>
      <c r="NTH16" s="169"/>
      <c r="NTI16" s="169"/>
      <c r="NTJ16" s="169"/>
      <c r="NTK16" s="169"/>
      <c r="NTL16" s="169"/>
      <c r="NTM16" s="169"/>
      <c r="NTN16" s="169"/>
      <c r="NTO16" s="169"/>
      <c r="NTP16" s="169"/>
      <c r="NTQ16" s="169"/>
      <c r="NTR16" s="169"/>
      <c r="NTS16" s="169"/>
      <c r="NTT16" s="169"/>
      <c r="NTU16" s="169"/>
      <c r="NTV16" s="169"/>
      <c r="NTW16" s="169"/>
      <c r="NTX16" s="169"/>
      <c r="NTY16" s="169"/>
      <c r="NTZ16" s="169"/>
      <c r="NUA16" s="169"/>
      <c r="NUB16" s="169"/>
      <c r="NUC16" s="169"/>
      <c r="NUD16" s="169"/>
      <c r="NUE16" s="169"/>
      <c r="NUF16" s="169"/>
      <c r="NUG16" s="169"/>
      <c r="NUH16" s="169"/>
      <c r="NUI16" s="169"/>
      <c r="NUJ16" s="169"/>
      <c r="NUK16" s="169"/>
      <c r="NUL16" s="169"/>
      <c r="NUM16" s="169"/>
      <c r="NUN16" s="169"/>
      <c r="NUO16" s="169"/>
      <c r="NUP16" s="169"/>
      <c r="NUQ16" s="169"/>
      <c r="NUR16" s="169"/>
      <c r="NUS16" s="169"/>
      <c r="NUT16" s="169"/>
      <c r="NUU16" s="169"/>
      <c r="NUV16" s="169"/>
      <c r="NUW16" s="169"/>
      <c r="NUX16" s="169"/>
      <c r="NUY16" s="169"/>
      <c r="NUZ16" s="169"/>
      <c r="NVA16" s="169"/>
      <c r="NVB16" s="169"/>
      <c r="NVC16" s="169"/>
      <c r="NVD16" s="169"/>
      <c r="NVE16" s="169"/>
      <c r="NVF16" s="169"/>
      <c r="NVG16" s="169"/>
      <c r="NVH16" s="169"/>
      <c r="NVI16" s="169"/>
      <c r="NVJ16" s="169"/>
      <c r="NVK16" s="169"/>
      <c r="NVL16" s="169"/>
      <c r="NVM16" s="169"/>
      <c r="NVN16" s="169"/>
      <c r="NVO16" s="169"/>
      <c r="NVP16" s="169"/>
      <c r="NVQ16" s="169"/>
      <c r="NVR16" s="169"/>
      <c r="NVS16" s="169"/>
      <c r="NVT16" s="169"/>
      <c r="NVU16" s="169"/>
      <c r="NVV16" s="169"/>
      <c r="NVW16" s="169"/>
      <c r="NVX16" s="169"/>
      <c r="NVY16" s="169"/>
      <c r="NVZ16" s="169"/>
      <c r="NWA16" s="169"/>
      <c r="NWB16" s="169"/>
      <c r="NWC16" s="169"/>
      <c r="NWD16" s="169"/>
      <c r="NWE16" s="169"/>
      <c r="NWF16" s="169"/>
      <c r="NWG16" s="169"/>
      <c r="NWH16" s="169"/>
      <c r="NWI16" s="169"/>
      <c r="NWJ16" s="169"/>
      <c r="NWK16" s="169"/>
      <c r="NWL16" s="169"/>
      <c r="NWM16" s="169"/>
      <c r="NWN16" s="169"/>
      <c r="NWO16" s="169"/>
      <c r="NWP16" s="169"/>
      <c r="NWQ16" s="169"/>
      <c r="NWR16" s="169"/>
      <c r="NWS16" s="169"/>
      <c r="NWT16" s="169"/>
      <c r="NWU16" s="169"/>
      <c r="NWV16" s="169"/>
      <c r="NWW16" s="169"/>
      <c r="NWX16" s="169"/>
      <c r="NWY16" s="169"/>
      <c r="NWZ16" s="169"/>
      <c r="NXA16" s="169"/>
      <c r="NXB16" s="169"/>
      <c r="NXC16" s="169"/>
      <c r="NXD16" s="169"/>
      <c r="NXE16" s="169"/>
      <c r="NXF16" s="169"/>
      <c r="NXG16" s="169"/>
      <c r="NXH16" s="169"/>
      <c r="NXI16" s="169"/>
      <c r="NXJ16" s="169"/>
      <c r="NXK16" s="169"/>
      <c r="NXL16" s="169"/>
      <c r="NXM16" s="169"/>
      <c r="NXN16" s="169"/>
      <c r="NXO16" s="169"/>
      <c r="NXP16" s="169"/>
      <c r="NXQ16" s="169"/>
      <c r="NXR16" s="169"/>
      <c r="NXS16" s="169"/>
      <c r="NXT16" s="169"/>
      <c r="NXU16" s="169"/>
      <c r="NXV16" s="169"/>
      <c r="NXW16" s="169"/>
      <c r="NXX16" s="169"/>
      <c r="NXY16" s="169"/>
      <c r="NXZ16" s="169"/>
      <c r="NYA16" s="169"/>
      <c r="NYB16" s="169"/>
      <c r="NYC16" s="169"/>
      <c r="NYD16" s="169"/>
      <c r="NYE16" s="169"/>
      <c r="NYF16" s="169"/>
      <c r="NYG16" s="169"/>
      <c r="NYH16" s="169"/>
      <c r="NYI16" s="169"/>
      <c r="NYJ16" s="169"/>
      <c r="NYK16" s="169"/>
      <c r="NYL16" s="169"/>
      <c r="NYM16" s="169"/>
      <c r="NYN16" s="169"/>
      <c r="NYO16" s="169"/>
      <c r="NYP16" s="169"/>
      <c r="NYQ16" s="169"/>
      <c r="NYR16" s="169"/>
      <c r="NYS16" s="169"/>
      <c r="NYT16" s="169"/>
      <c r="NYU16" s="169"/>
      <c r="NYV16" s="169"/>
      <c r="NYW16" s="169"/>
      <c r="NYX16" s="169"/>
      <c r="NYY16" s="169"/>
      <c r="NYZ16" s="169"/>
      <c r="NZA16" s="169"/>
      <c r="NZB16" s="169"/>
      <c r="NZC16" s="169"/>
      <c r="NZD16" s="169"/>
      <c r="NZE16" s="169"/>
      <c r="NZF16" s="169"/>
      <c r="NZG16" s="169"/>
      <c r="NZH16" s="169"/>
      <c r="NZI16" s="169"/>
      <c r="NZJ16" s="169"/>
      <c r="NZK16" s="169"/>
      <c r="NZL16" s="169"/>
      <c r="NZM16" s="169"/>
      <c r="NZN16" s="169"/>
      <c r="NZO16" s="169"/>
      <c r="NZP16" s="169"/>
      <c r="NZQ16" s="169"/>
      <c r="NZR16" s="169"/>
      <c r="NZS16" s="169"/>
      <c r="NZT16" s="169"/>
      <c r="NZU16" s="169"/>
      <c r="NZV16" s="169"/>
      <c r="NZW16" s="169"/>
      <c r="NZX16" s="169"/>
      <c r="NZY16" s="169"/>
      <c r="NZZ16" s="169"/>
      <c r="OAA16" s="169"/>
      <c r="OAB16" s="169"/>
      <c r="OAC16" s="169"/>
      <c r="OAD16" s="169"/>
      <c r="OAE16" s="169"/>
      <c r="OAF16" s="169"/>
      <c r="OAG16" s="169"/>
      <c r="OAH16" s="169"/>
      <c r="OAI16" s="169"/>
      <c r="OAJ16" s="169"/>
      <c r="OAK16" s="169"/>
      <c r="OAL16" s="169"/>
      <c r="OAM16" s="169"/>
      <c r="OAN16" s="169"/>
      <c r="OAO16" s="169"/>
      <c r="OAP16" s="169"/>
      <c r="OAQ16" s="169"/>
      <c r="OAR16" s="169"/>
      <c r="OAS16" s="169"/>
      <c r="OAT16" s="169"/>
      <c r="OAU16" s="169"/>
      <c r="OAV16" s="169"/>
      <c r="OAW16" s="169"/>
      <c r="OAX16" s="169"/>
      <c r="OAY16" s="169"/>
      <c r="OAZ16" s="169"/>
      <c r="OBA16" s="169"/>
      <c r="OBB16" s="169"/>
      <c r="OBC16" s="169"/>
      <c r="OBD16" s="169"/>
      <c r="OBE16" s="169"/>
      <c r="OBF16" s="169"/>
      <c r="OBG16" s="169"/>
      <c r="OBH16" s="169"/>
      <c r="OBI16" s="169"/>
      <c r="OBJ16" s="169"/>
      <c r="OBK16" s="169"/>
      <c r="OBL16" s="169"/>
      <c r="OBM16" s="169"/>
      <c r="OBN16" s="169"/>
      <c r="OBO16" s="169"/>
      <c r="OBP16" s="169"/>
      <c r="OBQ16" s="169"/>
      <c r="OBR16" s="169"/>
      <c r="OBS16" s="169"/>
      <c r="OBT16" s="169"/>
      <c r="OBU16" s="169"/>
      <c r="OBV16" s="169"/>
      <c r="OBW16" s="169"/>
      <c r="OBX16" s="169"/>
      <c r="OBY16" s="169"/>
      <c r="OBZ16" s="169"/>
      <c r="OCA16" s="169"/>
      <c r="OCB16" s="169"/>
      <c r="OCC16" s="169"/>
      <c r="OCD16" s="169"/>
      <c r="OCE16" s="169"/>
      <c r="OCF16" s="169"/>
      <c r="OCG16" s="169"/>
      <c r="OCH16" s="169"/>
      <c r="OCI16" s="169"/>
      <c r="OCJ16" s="169"/>
      <c r="OCK16" s="169"/>
      <c r="OCL16" s="169"/>
      <c r="OCM16" s="169"/>
      <c r="OCN16" s="169"/>
      <c r="OCO16" s="169"/>
      <c r="OCP16" s="169"/>
      <c r="OCQ16" s="169"/>
      <c r="OCR16" s="169"/>
      <c r="OCS16" s="169"/>
      <c r="OCT16" s="169"/>
      <c r="OCU16" s="169"/>
      <c r="OCV16" s="169"/>
      <c r="OCW16" s="169"/>
      <c r="OCX16" s="169"/>
      <c r="OCY16" s="169"/>
      <c r="OCZ16" s="169"/>
      <c r="ODA16" s="169"/>
      <c r="ODB16" s="169"/>
      <c r="ODC16" s="169"/>
      <c r="ODD16" s="169"/>
      <c r="ODE16" s="169"/>
      <c r="ODF16" s="169"/>
      <c r="ODG16" s="169"/>
      <c r="ODH16" s="169"/>
      <c r="ODI16" s="169"/>
      <c r="ODJ16" s="169"/>
      <c r="ODK16" s="169"/>
      <c r="ODL16" s="169"/>
      <c r="ODM16" s="169"/>
      <c r="ODN16" s="169"/>
      <c r="ODO16" s="169"/>
      <c r="ODP16" s="169"/>
      <c r="ODQ16" s="169"/>
      <c r="ODR16" s="169"/>
      <c r="ODS16" s="169"/>
      <c r="ODT16" s="169"/>
      <c r="ODU16" s="169"/>
      <c r="ODV16" s="169"/>
      <c r="ODW16" s="169"/>
      <c r="ODX16" s="169"/>
      <c r="ODY16" s="169"/>
      <c r="ODZ16" s="169"/>
      <c r="OEA16" s="169"/>
      <c r="OEB16" s="169"/>
      <c r="OEC16" s="169"/>
      <c r="OED16" s="169"/>
      <c r="OEE16" s="169"/>
      <c r="OEF16" s="169"/>
      <c r="OEG16" s="169"/>
      <c r="OEH16" s="169"/>
      <c r="OEI16" s="169"/>
      <c r="OEJ16" s="169"/>
      <c r="OEK16" s="169"/>
      <c r="OEL16" s="169"/>
      <c r="OEM16" s="169"/>
      <c r="OEN16" s="169"/>
      <c r="OEO16" s="169"/>
      <c r="OEP16" s="169"/>
      <c r="OEQ16" s="169"/>
      <c r="OER16" s="169"/>
      <c r="OES16" s="169"/>
      <c r="OET16" s="169"/>
      <c r="OEU16" s="169"/>
      <c r="OEV16" s="169"/>
      <c r="OEW16" s="169"/>
      <c r="OEX16" s="169"/>
      <c r="OEY16" s="169"/>
      <c r="OEZ16" s="169"/>
      <c r="OFA16" s="169"/>
      <c r="OFB16" s="169"/>
      <c r="OFC16" s="169"/>
      <c r="OFD16" s="169"/>
      <c r="OFE16" s="169"/>
      <c r="OFF16" s="169"/>
      <c r="OFG16" s="169"/>
      <c r="OFH16" s="169"/>
      <c r="OFI16" s="169"/>
      <c r="OFJ16" s="169"/>
      <c r="OFK16" s="169"/>
      <c r="OFL16" s="169"/>
      <c r="OFM16" s="169"/>
      <c r="OFN16" s="169"/>
      <c r="OFO16" s="169"/>
      <c r="OFP16" s="169"/>
      <c r="OFQ16" s="169"/>
      <c r="OFR16" s="169"/>
      <c r="OFS16" s="169"/>
      <c r="OFT16" s="169"/>
      <c r="OFU16" s="169"/>
      <c r="OFV16" s="169"/>
      <c r="OFW16" s="169"/>
      <c r="OFX16" s="169"/>
      <c r="OFY16" s="169"/>
      <c r="OFZ16" s="169"/>
      <c r="OGA16" s="169"/>
      <c r="OGB16" s="169"/>
      <c r="OGC16" s="169"/>
      <c r="OGD16" s="169"/>
      <c r="OGE16" s="169"/>
      <c r="OGF16" s="169"/>
      <c r="OGG16" s="169"/>
      <c r="OGH16" s="169"/>
      <c r="OGI16" s="169"/>
      <c r="OGJ16" s="169"/>
      <c r="OGK16" s="169"/>
      <c r="OGL16" s="169"/>
      <c r="OGM16" s="169"/>
      <c r="OGN16" s="169"/>
      <c r="OGO16" s="169"/>
      <c r="OGP16" s="169"/>
      <c r="OGQ16" s="169"/>
      <c r="OGR16" s="169"/>
      <c r="OGS16" s="169"/>
      <c r="OGT16" s="169"/>
      <c r="OGU16" s="169"/>
      <c r="OGV16" s="169"/>
      <c r="OGW16" s="169"/>
      <c r="OGX16" s="169"/>
      <c r="OGY16" s="169"/>
      <c r="OGZ16" s="169"/>
      <c r="OHA16" s="169"/>
      <c r="OHB16" s="169"/>
      <c r="OHC16" s="169"/>
      <c r="OHD16" s="169"/>
      <c r="OHE16" s="169"/>
      <c r="OHF16" s="169"/>
      <c r="OHG16" s="169"/>
      <c r="OHH16" s="169"/>
      <c r="OHI16" s="169"/>
      <c r="OHJ16" s="169"/>
      <c r="OHK16" s="169"/>
      <c r="OHL16" s="169"/>
      <c r="OHM16" s="169"/>
      <c r="OHN16" s="169"/>
      <c r="OHO16" s="169"/>
      <c r="OHP16" s="169"/>
      <c r="OHQ16" s="169"/>
      <c r="OHR16" s="169"/>
      <c r="OHS16" s="169"/>
      <c r="OHT16" s="169"/>
      <c r="OHU16" s="169"/>
      <c r="OHV16" s="169"/>
      <c r="OHW16" s="169"/>
      <c r="OHX16" s="169"/>
      <c r="OHY16" s="169"/>
      <c r="OHZ16" s="169"/>
      <c r="OIA16" s="169"/>
      <c r="OIB16" s="169"/>
      <c r="OIC16" s="169"/>
      <c r="OID16" s="169"/>
      <c r="OIE16" s="169"/>
      <c r="OIF16" s="169"/>
      <c r="OIG16" s="169"/>
      <c r="OIH16" s="169"/>
      <c r="OII16" s="169"/>
      <c r="OIJ16" s="169"/>
      <c r="OIK16" s="169"/>
      <c r="OIL16" s="169"/>
      <c r="OIM16" s="169"/>
      <c r="OIN16" s="169"/>
      <c r="OIO16" s="169"/>
      <c r="OIP16" s="169"/>
      <c r="OIQ16" s="169"/>
      <c r="OIR16" s="169"/>
      <c r="OIS16" s="169"/>
      <c r="OIT16" s="169"/>
      <c r="OIU16" s="169"/>
      <c r="OIV16" s="169"/>
      <c r="OIW16" s="169"/>
      <c r="OIX16" s="169"/>
      <c r="OIY16" s="169"/>
      <c r="OIZ16" s="169"/>
      <c r="OJA16" s="169"/>
      <c r="OJB16" s="169"/>
      <c r="OJC16" s="169"/>
      <c r="OJD16" s="169"/>
      <c r="OJE16" s="169"/>
      <c r="OJF16" s="169"/>
      <c r="OJG16" s="169"/>
      <c r="OJH16" s="169"/>
      <c r="OJI16" s="169"/>
      <c r="OJJ16" s="169"/>
      <c r="OJK16" s="169"/>
      <c r="OJL16" s="169"/>
      <c r="OJM16" s="169"/>
      <c r="OJN16" s="169"/>
      <c r="OJO16" s="169"/>
      <c r="OJP16" s="169"/>
      <c r="OJQ16" s="169"/>
      <c r="OJR16" s="169"/>
      <c r="OJS16" s="169"/>
      <c r="OJT16" s="169"/>
      <c r="OJU16" s="169"/>
      <c r="OJV16" s="169"/>
      <c r="OJW16" s="169"/>
      <c r="OJX16" s="169"/>
      <c r="OJY16" s="169"/>
      <c r="OJZ16" s="169"/>
      <c r="OKA16" s="169"/>
      <c r="OKB16" s="169"/>
      <c r="OKC16" s="169"/>
      <c r="OKD16" s="169"/>
      <c r="OKE16" s="169"/>
      <c r="OKF16" s="169"/>
      <c r="OKG16" s="169"/>
      <c r="OKH16" s="169"/>
      <c r="OKI16" s="169"/>
      <c r="OKJ16" s="169"/>
      <c r="OKK16" s="169"/>
      <c r="OKL16" s="169"/>
      <c r="OKM16" s="169"/>
      <c r="OKN16" s="169"/>
      <c r="OKO16" s="169"/>
      <c r="OKP16" s="169"/>
      <c r="OKQ16" s="169"/>
      <c r="OKR16" s="169"/>
      <c r="OKS16" s="169"/>
      <c r="OKT16" s="169"/>
      <c r="OKU16" s="169"/>
      <c r="OKV16" s="169"/>
      <c r="OKW16" s="169"/>
      <c r="OKX16" s="169"/>
      <c r="OKY16" s="169"/>
      <c r="OKZ16" s="169"/>
      <c r="OLA16" s="169"/>
      <c r="OLB16" s="169"/>
      <c r="OLC16" s="169"/>
      <c r="OLD16" s="169"/>
      <c r="OLE16" s="169"/>
      <c r="OLF16" s="169"/>
      <c r="OLG16" s="169"/>
      <c r="OLH16" s="169"/>
      <c r="OLI16" s="169"/>
      <c r="OLJ16" s="169"/>
      <c r="OLK16" s="169"/>
      <c r="OLL16" s="169"/>
      <c r="OLM16" s="169"/>
      <c r="OLN16" s="169"/>
      <c r="OLO16" s="169"/>
      <c r="OLP16" s="169"/>
      <c r="OLQ16" s="169"/>
      <c r="OLR16" s="169"/>
      <c r="OLS16" s="169"/>
      <c r="OLT16" s="169"/>
      <c r="OLU16" s="169"/>
      <c r="OLV16" s="169"/>
      <c r="OLW16" s="169"/>
      <c r="OLX16" s="169"/>
      <c r="OLY16" s="169"/>
      <c r="OLZ16" s="169"/>
      <c r="OMA16" s="169"/>
      <c r="OMB16" s="169"/>
      <c r="OMC16" s="169"/>
      <c r="OMD16" s="169"/>
      <c r="OME16" s="169"/>
      <c r="OMF16" s="169"/>
      <c r="OMG16" s="169"/>
      <c r="OMH16" s="169"/>
      <c r="OMI16" s="169"/>
      <c r="OMJ16" s="169"/>
      <c r="OMK16" s="169"/>
      <c r="OML16" s="169"/>
      <c r="OMM16" s="169"/>
      <c r="OMN16" s="169"/>
      <c r="OMO16" s="169"/>
      <c r="OMP16" s="169"/>
      <c r="OMQ16" s="169"/>
      <c r="OMR16" s="169"/>
      <c r="OMS16" s="169"/>
      <c r="OMT16" s="169"/>
      <c r="OMU16" s="169"/>
      <c r="OMV16" s="169"/>
      <c r="OMW16" s="169"/>
      <c r="OMX16" s="169"/>
      <c r="OMY16" s="169"/>
      <c r="OMZ16" s="169"/>
      <c r="ONA16" s="169"/>
      <c r="ONB16" s="169"/>
      <c r="ONC16" s="169"/>
      <c r="OND16" s="169"/>
      <c r="ONE16" s="169"/>
      <c r="ONF16" s="169"/>
      <c r="ONG16" s="169"/>
      <c r="ONH16" s="169"/>
      <c r="ONI16" s="169"/>
      <c r="ONJ16" s="169"/>
      <c r="ONK16" s="169"/>
      <c r="ONL16" s="169"/>
      <c r="ONM16" s="169"/>
      <c r="ONN16" s="169"/>
      <c r="ONO16" s="169"/>
      <c r="ONP16" s="169"/>
      <c r="ONQ16" s="169"/>
      <c r="ONR16" s="169"/>
      <c r="ONS16" s="169"/>
      <c r="ONT16" s="169"/>
      <c r="ONU16" s="169"/>
      <c r="ONV16" s="169"/>
      <c r="ONW16" s="169"/>
      <c r="ONX16" s="169"/>
      <c r="ONY16" s="169"/>
      <c r="ONZ16" s="169"/>
      <c r="OOA16" s="169"/>
      <c r="OOB16" s="169"/>
      <c r="OOC16" s="169"/>
      <c r="OOD16" s="169"/>
      <c r="OOE16" s="169"/>
      <c r="OOF16" s="169"/>
      <c r="OOG16" s="169"/>
      <c r="OOH16" s="169"/>
      <c r="OOI16" s="169"/>
      <c r="OOJ16" s="169"/>
      <c r="OOK16" s="169"/>
      <c r="OOL16" s="169"/>
      <c r="OOM16" s="169"/>
      <c r="OON16" s="169"/>
      <c r="OOO16" s="169"/>
      <c r="OOP16" s="169"/>
      <c r="OOQ16" s="169"/>
      <c r="OOR16" s="169"/>
      <c r="OOS16" s="169"/>
      <c r="OOT16" s="169"/>
      <c r="OOU16" s="169"/>
      <c r="OOV16" s="169"/>
      <c r="OOW16" s="169"/>
      <c r="OOX16" s="169"/>
      <c r="OOY16" s="169"/>
      <c r="OOZ16" s="169"/>
      <c r="OPA16" s="169"/>
      <c r="OPB16" s="169"/>
      <c r="OPC16" s="169"/>
      <c r="OPD16" s="169"/>
      <c r="OPE16" s="169"/>
      <c r="OPF16" s="169"/>
      <c r="OPG16" s="169"/>
      <c r="OPH16" s="169"/>
      <c r="OPI16" s="169"/>
      <c r="OPJ16" s="169"/>
      <c r="OPK16" s="169"/>
      <c r="OPL16" s="169"/>
      <c r="OPM16" s="169"/>
      <c r="OPN16" s="169"/>
      <c r="OPO16" s="169"/>
      <c r="OPP16" s="169"/>
      <c r="OPQ16" s="169"/>
      <c r="OPR16" s="169"/>
      <c r="OPS16" s="169"/>
      <c r="OPT16" s="169"/>
      <c r="OPU16" s="169"/>
      <c r="OPV16" s="169"/>
      <c r="OPW16" s="169"/>
      <c r="OPX16" s="169"/>
      <c r="OPY16" s="169"/>
      <c r="OPZ16" s="169"/>
      <c r="OQA16" s="169"/>
      <c r="OQB16" s="169"/>
      <c r="OQC16" s="169"/>
      <c r="OQD16" s="169"/>
      <c r="OQE16" s="169"/>
      <c r="OQF16" s="169"/>
      <c r="OQG16" s="169"/>
      <c r="OQH16" s="169"/>
      <c r="OQI16" s="169"/>
      <c r="OQJ16" s="169"/>
      <c r="OQK16" s="169"/>
      <c r="OQL16" s="169"/>
      <c r="OQM16" s="169"/>
      <c r="OQN16" s="169"/>
      <c r="OQO16" s="169"/>
      <c r="OQP16" s="169"/>
      <c r="OQQ16" s="169"/>
      <c r="OQR16" s="169"/>
      <c r="OQS16" s="169"/>
      <c r="OQT16" s="169"/>
      <c r="OQU16" s="169"/>
      <c r="OQV16" s="169"/>
      <c r="OQW16" s="169"/>
      <c r="OQX16" s="169"/>
      <c r="OQY16" s="169"/>
      <c r="OQZ16" s="169"/>
      <c r="ORA16" s="169"/>
      <c r="ORB16" s="169"/>
      <c r="ORC16" s="169"/>
      <c r="ORD16" s="169"/>
      <c r="ORE16" s="169"/>
      <c r="ORF16" s="169"/>
      <c r="ORG16" s="169"/>
      <c r="ORH16" s="169"/>
      <c r="ORI16" s="169"/>
      <c r="ORJ16" s="169"/>
      <c r="ORK16" s="169"/>
      <c r="ORL16" s="169"/>
      <c r="ORM16" s="169"/>
      <c r="ORN16" s="169"/>
      <c r="ORO16" s="169"/>
      <c r="ORP16" s="169"/>
      <c r="ORQ16" s="169"/>
      <c r="ORR16" s="169"/>
      <c r="ORS16" s="169"/>
      <c r="ORT16" s="169"/>
      <c r="ORU16" s="169"/>
      <c r="ORV16" s="169"/>
      <c r="ORW16" s="169"/>
      <c r="ORX16" s="169"/>
      <c r="ORY16" s="169"/>
      <c r="ORZ16" s="169"/>
      <c r="OSA16" s="169"/>
      <c r="OSB16" s="169"/>
      <c r="OSC16" s="169"/>
      <c r="OSD16" s="169"/>
      <c r="OSE16" s="169"/>
      <c r="OSF16" s="169"/>
      <c r="OSG16" s="169"/>
      <c r="OSH16" s="169"/>
      <c r="OSI16" s="169"/>
      <c r="OSJ16" s="169"/>
      <c r="OSK16" s="169"/>
      <c r="OSL16" s="169"/>
      <c r="OSM16" s="169"/>
      <c r="OSN16" s="169"/>
      <c r="OSO16" s="169"/>
      <c r="OSP16" s="169"/>
      <c r="OSQ16" s="169"/>
      <c r="OSR16" s="169"/>
      <c r="OSS16" s="169"/>
      <c r="OST16" s="169"/>
      <c r="OSU16" s="169"/>
      <c r="OSV16" s="169"/>
      <c r="OSW16" s="169"/>
      <c r="OSX16" s="169"/>
      <c r="OSY16" s="169"/>
      <c r="OSZ16" s="169"/>
      <c r="OTA16" s="169"/>
      <c r="OTB16" s="169"/>
      <c r="OTC16" s="169"/>
      <c r="OTD16" s="169"/>
      <c r="OTE16" s="169"/>
      <c r="OTF16" s="169"/>
      <c r="OTG16" s="169"/>
      <c r="OTH16" s="169"/>
      <c r="OTI16" s="169"/>
      <c r="OTJ16" s="169"/>
      <c r="OTK16" s="169"/>
      <c r="OTL16" s="169"/>
      <c r="OTM16" s="169"/>
      <c r="OTN16" s="169"/>
      <c r="OTO16" s="169"/>
      <c r="OTP16" s="169"/>
      <c r="OTQ16" s="169"/>
      <c r="OTR16" s="169"/>
      <c r="OTS16" s="169"/>
      <c r="OTT16" s="169"/>
      <c r="OTU16" s="169"/>
      <c r="OTV16" s="169"/>
      <c r="OTW16" s="169"/>
      <c r="OTX16" s="169"/>
      <c r="OTY16" s="169"/>
      <c r="OTZ16" s="169"/>
      <c r="OUA16" s="169"/>
      <c r="OUB16" s="169"/>
      <c r="OUC16" s="169"/>
      <c r="OUD16" s="169"/>
      <c r="OUE16" s="169"/>
      <c r="OUF16" s="169"/>
      <c r="OUG16" s="169"/>
      <c r="OUH16" s="169"/>
      <c r="OUI16" s="169"/>
      <c r="OUJ16" s="169"/>
      <c r="OUK16" s="169"/>
      <c r="OUL16" s="169"/>
      <c r="OUM16" s="169"/>
      <c r="OUN16" s="169"/>
      <c r="OUO16" s="169"/>
      <c r="OUP16" s="169"/>
      <c r="OUQ16" s="169"/>
      <c r="OUR16" s="169"/>
      <c r="OUS16" s="169"/>
      <c r="OUT16" s="169"/>
      <c r="OUU16" s="169"/>
      <c r="OUV16" s="169"/>
      <c r="OUW16" s="169"/>
      <c r="OUX16" s="169"/>
      <c r="OUY16" s="169"/>
      <c r="OUZ16" s="169"/>
      <c r="OVA16" s="169"/>
      <c r="OVB16" s="169"/>
      <c r="OVC16" s="169"/>
      <c r="OVD16" s="169"/>
      <c r="OVE16" s="169"/>
      <c r="OVF16" s="169"/>
      <c r="OVG16" s="169"/>
      <c r="OVH16" s="169"/>
      <c r="OVI16" s="169"/>
      <c r="OVJ16" s="169"/>
      <c r="OVK16" s="169"/>
      <c r="OVL16" s="169"/>
      <c r="OVM16" s="169"/>
      <c r="OVN16" s="169"/>
      <c r="OVO16" s="169"/>
      <c r="OVP16" s="169"/>
      <c r="OVQ16" s="169"/>
      <c r="OVR16" s="169"/>
      <c r="OVS16" s="169"/>
      <c r="OVT16" s="169"/>
      <c r="OVU16" s="169"/>
      <c r="OVV16" s="169"/>
      <c r="OVW16" s="169"/>
      <c r="OVX16" s="169"/>
      <c r="OVY16" s="169"/>
      <c r="OVZ16" s="169"/>
      <c r="OWA16" s="169"/>
      <c r="OWB16" s="169"/>
      <c r="OWC16" s="169"/>
      <c r="OWD16" s="169"/>
      <c r="OWE16" s="169"/>
      <c r="OWF16" s="169"/>
      <c r="OWG16" s="169"/>
      <c r="OWH16" s="169"/>
      <c r="OWI16" s="169"/>
      <c r="OWJ16" s="169"/>
      <c r="OWK16" s="169"/>
      <c r="OWL16" s="169"/>
      <c r="OWM16" s="169"/>
      <c r="OWN16" s="169"/>
      <c r="OWO16" s="169"/>
      <c r="OWP16" s="169"/>
      <c r="OWQ16" s="169"/>
      <c r="OWR16" s="169"/>
      <c r="OWS16" s="169"/>
      <c r="OWT16" s="169"/>
      <c r="OWU16" s="169"/>
      <c r="OWV16" s="169"/>
      <c r="OWW16" s="169"/>
      <c r="OWX16" s="169"/>
      <c r="OWY16" s="169"/>
      <c r="OWZ16" s="169"/>
      <c r="OXA16" s="169"/>
      <c r="OXB16" s="169"/>
      <c r="OXC16" s="169"/>
      <c r="OXD16" s="169"/>
      <c r="OXE16" s="169"/>
      <c r="OXF16" s="169"/>
      <c r="OXG16" s="169"/>
      <c r="OXH16" s="169"/>
      <c r="OXI16" s="169"/>
      <c r="OXJ16" s="169"/>
      <c r="OXK16" s="169"/>
      <c r="OXL16" s="169"/>
      <c r="OXM16" s="169"/>
      <c r="OXN16" s="169"/>
      <c r="OXO16" s="169"/>
      <c r="OXP16" s="169"/>
      <c r="OXQ16" s="169"/>
      <c r="OXR16" s="169"/>
      <c r="OXS16" s="169"/>
      <c r="OXT16" s="169"/>
      <c r="OXU16" s="169"/>
      <c r="OXV16" s="169"/>
      <c r="OXW16" s="169"/>
      <c r="OXX16" s="169"/>
      <c r="OXY16" s="169"/>
      <c r="OXZ16" s="169"/>
      <c r="OYA16" s="169"/>
      <c r="OYB16" s="169"/>
      <c r="OYC16" s="169"/>
      <c r="OYD16" s="169"/>
      <c r="OYE16" s="169"/>
      <c r="OYF16" s="169"/>
      <c r="OYG16" s="169"/>
      <c r="OYH16" s="169"/>
      <c r="OYI16" s="169"/>
      <c r="OYJ16" s="169"/>
      <c r="OYK16" s="169"/>
      <c r="OYL16" s="169"/>
      <c r="OYM16" s="169"/>
      <c r="OYN16" s="169"/>
      <c r="OYO16" s="169"/>
      <c r="OYP16" s="169"/>
      <c r="OYQ16" s="169"/>
      <c r="OYR16" s="169"/>
      <c r="OYS16" s="169"/>
      <c r="OYT16" s="169"/>
      <c r="OYU16" s="169"/>
      <c r="OYV16" s="169"/>
      <c r="OYW16" s="169"/>
      <c r="OYX16" s="169"/>
      <c r="OYY16" s="169"/>
      <c r="OYZ16" s="169"/>
      <c r="OZA16" s="169"/>
      <c r="OZB16" s="169"/>
      <c r="OZC16" s="169"/>
      <c r="OZD16" s="169"/>
      <c r="OZE16" s="169"/>
      <c r="OZF16" s="169"/>
      <c r="OZG16" s="169"/>
      <c r="OZH16" s="169"/>
      <c r="OZI16" s="169"/>
      <c r="OZJ16" s="169"/>
      <c r="OZK16" s="169"/>
      <c r="OZL16" s="169"/>
      <c r="OZM16" s="169"/>
      <c r="OZN16" s="169"/>
      <c r="OZO16" s="169"/>
      <c r="OZP16" s="169"/>
      <c r="OZQ16" s="169"/>
      <c r="OZR16" s="169"/>
      <c r="OZS16" s="169"/>
      <c r="OZT16" s="169"/>
      <c r="OZU16" s="169"/>
      <c r="OZV16" s="169"/>
      <c r="OZW16" s="169"/>
      <c r="OZX16" s="169"/>
      <c r="OZY16" s="169"/>
      <c r="OZZ16" s="169"/>
      <c r="PAA16" s="169"/>
      <c r="PAB16" s="169"/>
      <c r="PAC16" s="169"/>
      <c r="PAD16" s="169"/>
      <c r="PAE16" s="169"/>
      <c r="PAF16" s="169"/>
      <c r="PAG16" s="169"/>
      <c r="PAH16" s="169"/>
      <c r="PAI16" s="169"/>
      <c r="PAJ16" s="169"/>
      <c r="PAK16" s="169"/>
      <c r="PAL16" s="169"/>
      <c r="PAM16" s="169"/>
      <c r="PAN16" s="169"/>
      <c r="PAO16" s="169"/>
      <c r="PAP16" s="169"/>
      <c r="PAQ16" s="169"/>
      <c r="PAR16" s="169"/>
      <c r="PAS16" s="169"/>
      <c r="PAT16" s="169"/>
      <c r="PAU16" s="169"/>
      <c r="PAV16" s="169"/>
      <c r="PAW16" s="169"/>
      <c r="PAX16" s="169"/>
      <c r="PAY16" s="169"/>
      <c r="PAZ16" s="169"/>
      <c r="PBA16" s="169"/>
      <c r="PBB16" s="169"/>
      <c r="PBC16" s="169"/>
      <c r="PBD16" s="169"/>
      <c r="PBE16" s="169"/>
      <c r="PBF16" s="169"/>
      <c r="PBG16" s="169"/>
      <c r="PBH16" s="169"/>
      <c r="PBI16" s="169"/>
      <c r="PBJ16" s="169"/>
      <c r="PBK16" s="169"/>
      <c r="PBL16" s="169"/>
      <c r="PBM16" s="169"/>
      <c r="PBN16" s="169"/>
      <c r="PBO16" s="169"/>
      <c r="PBP16" s="169"/>
      <c r="PBQ16" s="169"/>
      <c r="PBR16" s="169"/>
      <c r="PBS16" s="169"/>
      <c r="PBT16" s="169"/>
      <c r="PBU16" s="169"/>
      <c r="PBV16" s="169"/>
      <c r="PBW16" s="169"/>
      <c r="PBX16" s="169"/>
      <c r="PBY16" s="169"/>
      <c r="PBZ16" s="169"/>
      <c r="PCA16" s="169"/>
      <c r="PCB16" s="169"/>
      <c r="PCC16" s="169"/>
      <c r="PCD16" s="169"/>
      <c r="PCE16" s="169"/>
      <c r="PCF16" s="169"/>
      <c r="PCG16" s="169"/>
      <c r="PCH16" s="169"/>
      <c r="PCI16" s="169"/>
      <c r="PCJ16" s="169"/>
      <c r="PCK16" s="169"/>
      <c r="PCL16" s="169"/>
      <c r="PCM16" s="169"/>
      <c r="PCN16" s="169"/>
      <c r="PCO16" s="169"/>
      <c r="PCP16" s="169"/>
      <c r="PCQ16" s="169"/>
      <c r="PCR16" s="169"/>
      <c r="PCS16" s="169"/>
      <c r="PCT16" s="169"/>
      <c r="PCU16" s="169"/>
      <c r="PCV16" s="169"/>
      <c r="PCW16" s="169"/>
      <c r="PCX16" s="169"/>
      <c r="PCY16" s="169"/>
      <c r="PCZ16" s="169"/>
      <c r="PDA16" s="169"/>
      <c r="PDB16" s="169"/>
      <c r="PDC16" s="169"/>
      <c r="PDD16" s="169"/>
      <c r="PDE16" s="169"/>
      <c r="PDF16" s="169"/>
      <c r="PDG16" s="169"/>
      <c r="PDH16" s="169"/>
      <c r="PDI16" s="169"/>
      <c r="PDJ16" s="169"/>
      <c r="PDK16" s="169"/>
      <c r="PDL16" s="169"/>
      <c r="PDM16" s="169"/>
      <c r="PDN16" s="169"/>
      <c r="PDO16" s="169"/>
      <c r="PDP16" s="169"/>
      <c r="PDQ16" s="169"/>
      <c r="PDR16" s="169"/>
      <c r="PDS16" s="169"/>
      <c r="PDT16" s="169"/>
      <c r="PDU16" s="169"/>
      <c r="PDV16" s="169"/>
      <c r="PDW16" s="169"/>
      <c r="PDX16" s="169"/>
      <c r="PDY16" s="169"/>
      <c r="PDZ16" s="169"/>
      <c r="PEA16" s="169"/>
      <c r="PEB16" s="169"/>
      <c r="PEC16" s="169"/>
      <c r="PED16" s="169"/>
      <c r="PEE16" s="169"/>
      <c r="PEF16" s="169"/>
      <c r="PEG16" s="169"/>
      <c r="PEH16" s="169"/>
      <c r="PEI16" s="169"/>
      <c r="PEJ16" s="169"/>
      <c r="PEK16" s="169"/>
      <c r="PEL16" s="169"/>
      <c r="PEM16" s="169"/>
      <c r="PEN16" s="169"/>
      <c r="PEO16" s="169"/>
      <c r="PEP16" s="169"/>
      <c r="PEQ16" s="169"/>
      <c r="PER16" s="169"/>
      <c r="PES16" s="169"/>
      <c r="PET16" s="169"/>
      <c r="PEU16" s="169"/>
      <c r="PEV16" s="169"/>
      <c r="PEW16" s="169"/>
      <c r="PEX16" s="169"/>
      <c r="PEY16" s="169"/>
      <c r="PEZ16" s="169"/>
      <c r="PFA16" s="169"/>
      <c r="PFB16" s="169"/>
      <c r="PFC16" s="169"/>
      <c r="PFD16" s="169"/>
      <c r="PFE16" s="169"/>
      <c r="PFF16" s="169"/>
      <c r="PFG16" s="169"/>
      <c r="PFH16" s="169"/>
      <c r="PFI16" s="169"/>
      <c r="PFJ16" s="169"/>
      <c r="PFK16" s="169"/>
      <c r="PFL16" s="169"/>
      <c r="PFM16" s="169"/>
      <c r="PFN16" s="169"/>
      <c r="PFO16" s="169"/>
      <c r="PFP16" s="169"/>
      <c r="PFQ16" s="169"/>
      <c r="PFR16" s="169"/>
      <c r="PFS16" s="169"/>
      <c r="PFT16" s="169"/>
      <c r="PFU16" s="169"/>
      <c r="PFV16" s="169"/>
      <c r="PFW16" s="169"/>
      <c r="PFX16" s="169"/>
      <c r="PFY16" s="169"/>
      <c r="PFZ16" s="169"/>
      <c r="PGA16" s="169"/>
      <c r="PGB16" s="169"/>
      <c r="PGC16" s="169"/>
      <c r="PGD16" s="169"/>
      <c r="PGE16" s="169"/>
      <c r="PGF16" s="169"/>
      <c r="PGG16" s="169"/>
      <c r="PGH16" s="169"/>
      <c r="PGI16" s="169"/>
      <c r="PGJ16" s="169"/>
      <c r="PGK16" s="169"/>
      <c r="PGL16" s="169"/>
      <c r="PGM16" s="169"/>
      <c r="PGN16" s="169"/>
      <c r="PGO16" s="169"/>
      <c r="PGP16" s="169"/>
      <c r="PGQ16" s="169"/>
      <c r="PGR16" s="169"/>
      <c r="PGS16" s="169"/>
      <c r="PGT16" s="169"/>
      <c r="PGU16" s="169"/>
      <c r="PGV16" s="169"/>
      <c r="PGW16" s="169"/>
      <c r="PGX16" s="169"/>
      <c r="PGY16" s="169"/>
      <c r="PGZ16" s="169"/>
      <c r="PHA16" s="169"/>
      <c r="PHB16" s="169"/>
      <c r="PHC16" s="169"/>
      <c r="PHD16" s="169"/>
      <c r="PHE16" s="169"/>
      <c r="PHF16" s="169"/>
      <c r="PHG16" s="169"/>
      <c r="PHH16" s="169"/>
      <c r="PHI16" s="169"/>
      <c r="PHJ16" s="169"/>
      <c r="PHK16" s="169"/>
      <c r="PHL16" s="169"/>
      <c r="PHM16" s="169"/>
      <c r="PHN16" s="169"/>
      <c r="PHO16" s="169"/>
      <c r="PHP16" s="169"/>
      <c r="PHQ16" s="169"/>
      <c r="PHR16" s="169"/>
      <c r="PHS16" s="169"/>
      <c r="PHT16" s="169"/>
      <c r="PHU16" s="169"/>
      <c r="PHV16" s="169"/>
      <c r="PHW16" s="169"/>
      <c r="PHX16" s="169"/>
      <c r="PHY16" s="169"/>
      <c r="PHZ16" s="169"/>
      <c r="PIA16" s="169"/>
      <c r="PIB16" s="169"/>
      <c r="PIC16" s="169"/>
      <c r="PID16" s="169"/>
      <c r="PIE16" s="169"/>
      <c r="PIF16" s="169"/>
      <c r="PIG16" s="169"/>
      <c r="PIH16" s="169"/>
      <c r="PII16" s="169"/>
      <c r="PIJ16" s="169"/>
      <c r="PIK16" s="169"/>
      <c r="PIL16" s="169"/>
      <c r="PIM16" s="169"/>
      <c r="PIN16" s="169"/>
      <c r="PIO16" s="169"/>
      <c r="PIP16" s="169"/>
      <c r="PIQ16" s="169"/>
      <c r="PIR16" s="169"/>
      <c r="PIS16" s="169"/>
      <c r="PIT16" s="169"/>
      <c r="PIU16" s="169"/>
      <c r="PIV16" s="169"/>
      <c r="PIW16" s="169"/>
      <c r="PIX16" s="169"/>
      <c r="PIY16" s="169"/>
      <c r="PIZ16" s="169"/>
      <c r="PJA16" s="169"/>
      <c r="PJB16" s="169"/>
      <c r="PJC16" s="169"/>
      <c r="PJD16" s="169"/>
      <c r="PJE16" s="169"/>
      <c r="PJF16" s="169"/>
      <c r="PJG16" s="169"/>
      <c r="PJH16" s="169"/>
      <c r="PJI16" s="169"/>
      <c r="PJJ16" s="169"/>
      <c r="PJK16" s="169"/>
      <c r="PJL16" s="169"/>
      <c r="PJM16" s="169"/>
      <c r="PJN16" s="169"/>
      <c r="PJO16" s="169"/>
      <c r="PJP16" s="169"/>
      <c r="PJQ16" s="169"/>
      <c r="PJR16" s="169"/>
      <c r="PJS16" s="169"/>
      <c r="PJT16" s="169"/>
      <c r="PJU16" s="169"/>
      <c r="PJV16" s="169"/>
      <c r="PJW16" s="169"/>
      <c r="PJX16" s="169"/>
      <c r="PJY16" s="169"/>
      <c r="PJZ16" s="169"/>
      <c r="PKA16" s="169"/>
      <c r="PKB16" s="169"/>
      <c r="PKC16" s="169"/>
      <c r="PKD16" s="169"/>
      <c r="PKE16" s="169"/>
      <c r="PKF16" s="169"/>
      <c r="PKG16" s="169"/>
      <c r="PKH16" s="169"/>
      <c r="PKI16" s="169"/>
      <c r="PKJ16" s="169"/>
      <c r="PKK16" s="169"/>
      <c r="PKL16" s="169"/>
      <c r="PKM16" s="169"/>
      <c r="PKN16" s="169"/>
      <c r="PKO16" s="169"/>
      <c r="PKP16" s="169"/>
      <c r="PKQ16" s="169"/>
      <c r="PKR16" s="169"/>
      <c r="PKS16" s="169"/>
      <c r="PKT16" s="169"/>
      <c r="PKU16" s="169"/>
      <c r="PKV16" s="169"/>
      <c r="PKW16" s="169"/>
      <c r="PKX16" s="169"/>
      <c r="PKY16" s="169"/>
      <c r="PKZ16" s="169"/>
      <c r="PLA16" s="169"/>
      <c r="PLB16" s="169"/>
      <c r="PLC16" s="169"/>
      <c r="PLD16" s="169"/>
      <c r="PLE16" s="169"/>
      <c r="PLF16" s="169"/>
      <c r="PLG16" s="169"/>
      <c r="PLH16" s="169"/>
      <c r="PLI16" s="169"/>
      <c r="PLJ16" s="169"/>
      <c r="PLK16" s="169"/>
      <c r="PLL16" s="169"/>
      <c r="PLM16" s="169"/>
      <c r="PLN16" s="169"/>
      <c r="PLO16" s="169"/>
      <c r="PLP16" s="169"/>
      <c r="PLQ16" s="169"/>
      <c r="PLR16" s="169"/>
      <c r="PLS16" s="169"/>
      <c r="PLT16" s="169"/>
      <c r="PLU16" s="169"/>
      <c r="PLV16" s="169"/>
      <c r="PLW16" s="169"/>
      <c r="PLX16" s="169"/>
      <c r="PLY16" s="169"/>
      <c r="PLZ16" s="169"/>
      <c r="PMA16" s="169"/>
      <c r="PMB16" s="169"/>
      <c r="PMC16" s="169"/>
      <c r="PMD16" s="169"/>
      <c r="PME16" s="169"/>
      <c r="PMF16" s="169"/>
      <c r="PMG16" s="169"/>
      <c r="PMH16" s="169"/>
      <c r="PMI16" s="169"/>
      <c r="PMJ16" s="169"/>
      <c r="PMK16" s="169"/>
      <c r="PML16" s="169"/>
      <c r="PMM16" s="169"/>
      <c r="PMN16" s="169"/>
      <c r="PMO16" s="169"/>
      <c r="PMP16" s="169"/>
      <c r="PMQ16" s="169"/>
      <c r="PMR16" s="169"/>
      <c r="PMS16" s="169"/>
      <c r="PMT16" s="169"/>
      <c r="PMU16" s="169"/>
      <c r="PMV16" s="169"/>
      <c r="PMW16" s="169"/>
      <c r="PMX16" s="169"/>
      <c r="PMY16" s="169"/>
      <c r="PMZ16" s="169"/>
      <c r="PNA16" s="169"/>
      <c r="PNB16" s="169"/>
      <c r="PNC16" s="169"/>
      <c r="PND16" s="169"/>
      <c r="PNE16" s="169"/>
      <c r="PNF16" s="169"/>
      <c r="PNG16" s="169"/>
      <c r="PNH16" s="169"/>
      <c r="PNI16" s="169"/>
      <c r="PNJ16" s="169"/>
      <c r="PNK16" s="169"/>
      <c r="PNL16" s="169"/>
      <c r="PNM16" s="169"/>
      <c r="PNN16" s="169"/>
      <c r="PNO16" s="169"/>
      <c r="PNP16" s="169"/>
      <c r="PNQ16" s="169"/>
      <c r="PNR16" s="169"/>
      <c r="PNS16" s="169"/>
      <c r="PNT16" s="169"/>
      <c r="PNU16" s="169"/>
      <c r="PNV16" s="169"/>
      <c r="PNW16" s="169"/>
      <c r="PNX16" s="169"/>
      <c r="PNY16" s="169"/>
      <c r="PNZ16" s="169"/>
      <c r="POA16" s="169"/>
      <c r="POB16" s="169"/>
      <c r="POC16" s="169"/>
      <c r="POD16" s="169"/>
      <c r="POE16" s="169"/>
      <c r="POF16" s="169"/>
      <c r="POG16" s="169"/>
      <c r="POH16" s="169"/>
      <c r="POI16" s="169"/>
      <c r="POJ16" s="169"/>
      <c r="POK16" s="169"/>
      <c r="POL16" s="169"/>
      <c r="POM16" s="169"/>
      <c r="PON16" s="169"/>
      <c r="POO16" s="169"/>
      <c r="POP16" s="169"/>
      <c r="POQ16" s="169"/>
      <c r="POR16" s="169"/>
      <c r="POS16" s="169"/>
      <c r="POT16" s="169"/>
      <c r="POU16" s="169"/>
      <c r="POV16" s="169"/>
      <c r="POW16" s="169"/>
      <c r="POX16" s="169"/>
      <c r="POY16" s="169"/>
      <c r="POZ16" s="169"/>
      <c r="PPA16" s="169"/>
      <c r="PPB16" s="169"/>
      <c r="PPC16" s="169"/>
      <c r="PPD16" s="169"/>
      <c r="PPE16" s="169"/>
      <c r="PPF16" s="169"/>
      <c r="PPG16" s="169"/>
      <c r="PPH16" s="169"/>
      <c r="PPI16" s="169"/>
      <c r="PPJ16" s="169"/>
      <c r="PPK16" s="169"/>
      <c r="PPL16" s="169"/>
      <c r="PPM16" s="169"/>
      <c r="PPN16" s="169"/>
      <c r="PPO16" s="169"/>
      <c r="PPP16" s="169"/>
      <c r="PPQ16" s="169"/>
      <c r="PPR16" s="169"/>
      <c r="PPS16" s="169"/>
      <c r="PPT16" s="169"/>
      <c r="PPU16" s="169"/>
      <c r="PPV16" s="169"/>
      <c r="PPW16" s="169"/>
      <c r="PPX16" s="169"/>
      <c r="PPY16" s="169"/>
      <c r="PPZ16" s="169"/>
      <c r="PQA16" s="169"/>
      <c r="PQB16" s="169"/>
      <c r="PQC16" s="169"/>
      <c r="PQD16" s="169"/>
      <c r="PQE16" s="169"/>
      <c r="PQF16" s="169"/>
      <c r="PQG16" s="169"/>
      <c r="PQH16" s="169"/>
      <c r="PQI16" s="169"/>
      <c r="PQJ16" s="169"/>
      <c r="PQK16" s="169"/>
      <c r="PQL16" s="169"/>
      <c r="PQM16" s="169"/>
      <c r="PQN16" s="169"/>
      <c r="PQO16" s="169"/>
      <c r="PQP16" s="169"/>
      <c r="PQQ16" s="169"/>
      <c r="PQR16" s="169"/>
      <c r="PQS16" s="169"/>
      <c r="PQT16" s="169"/>
      <c r="PQU16" s="169"/>
      <c r="PQV16" s="169"/>
      <c r="PQW16" s="169"/>
      <c r="PQX16" s="169"/>
      <c r="PQY16" s="169"/>
      <c r="PQZ16" s="169"/>
      <c r="PRA16" s="169"/>
      <c r="PRB16" s="169"/>
      <c r="PRC16" s="169"/>
      <c r="PRD16" s="169"/>
      <c r="PRE16" s="169"/>
      <c r="PRF16" s="169"/>
      <c r="PRG16" s="169"/>
      <c r="PRH16" s="169"/>
      <c r="PRI16" s="169"/>
      <c r="PRJ16" s="169"/>
      <c r="PRK16" s="169"/>
      <c r="PRL16" s="169"/>
      <c r="PRM16" s="169"/>
      <c r="PRN16" s="169"/>
      <c r="PRO16" s="169"/>
      <c r="PRP16" s="169"/>
      <c r="PRQ16" s="169"/>
      <c r="PRR16" s="169"/>
      <c r="PRS16" s="169"/>
      <c r="PRT16" s="169"/>
      <c r="PRU16" s="169"/>
      <c r="PRV16" s="169"/>
      <c r="PRW16" s="169"/>
      <c r="PRX16" s="169"/>
      <c r="PRY16" s="169"/>
      <c r="PRZ16" s="169"/>
      <c r="PSA16" s="169"/>
      <c r="PSB16" s="169"/>
      <c r="PSC16" s="169"/>
      <c r="PSD16" s="169"/>
      <c r="PSE16" s="169"/>
      <c r="PSF16" s="169"/>
      <c r="PSG16" s="169"/>
      <c r="PSH16" s="169"/>
      <c r="PSI16" s="169"/>
      <c r="PSJ16" s="169"/>
      <c r="PSK16" s="169"/>
      <c r="PSL16" s="169"/>
      <c r="PSM16" s="169"/>
      <c r="PSN16" s="169"/>
      <c r="PSO16" s="169"/>
      <c r="PSP16" s="169"/>
      <c r="PSQ16" s="169"/>
      <c r="PSR16" s="169"/>
      <c r="PSS16" s="169"/>
      <c r="PST16" s="169"/>
      <c r="PSU16" s="169"/>
      <c r="PSV16" s="169"/>
      <c r="PSW16" s="169"/>
      <c r="PSX16" s="169"/>
      <c r="PSY16" s="169"/>
      <c r="PSZ16" s="169"/>
      <c r="PTA16" s="169"/>
      <c r="PTB16" s="169"/>
      <c r="PTC16" s="169"/>
      <c r="PTD16" s="169"/>
      <c r="PTE16" s="169"/>
      <c r="PTF16" s="169"/>
      <c r="PTG16" s="169"/>
      <c r="PTH16" s="169"/>
      <c r="PTI16" s="169"/>
      <c r="PTJ16" s="169"/>
      <c r="PTK16" s="169"/>
      <c r="PTL16" s="169"/>
      <c r="PTM16" s="169"/>
      <c r="PTN16" s="169"/>
      <c r="PTO16" s="169"/>
      <c r="PTP16" s="169"/>
      <c r="PTQ16" s="169"/>
      <c r="PTR16" s="169"/>
      <c r="PTS16" s="169"/>
      <c r="PTT16" s="169"/>
      <c r="PTU16" s="169"/>
      <c r="PTV16" s="169"/>
      <c r="PTW16" s="169"/>
      <c r="PTX16" s="169"/>
      <c r="PTY16" s="169"/>
      <c r="PTZ16" s="169"/>
      <c r="PUA16" s="169"/>
      <c r="PUB16" s="169"/>
      <c r="PUC16" s="169"/>
      <c r="PUD16" s="169"/>
      <c r="PUE16" s="169"/>
      <c r="PUF16" s="169"/>
      <c r="PUG16" s="169"/>
      <c r="PUH16" s="169"/>
      <c r="PUI16" s="169"/>
      <c r="PUJ16" s="169"/>
      <c r="PUK16" s="169"/>
      <c r="PUL16" s="169"/>
      <c r="PUM16" s="169"/>
      <c r="PUN16" s="169"/>
      <c r="PUO16" s="169"/>
      <c r="PUP16" s="169"/>
      <c r="PUQ16" s="169"/>
      <c r="PUR16" s="169"/>
      <c r="PUS16" s="169"/>
      <c r="PUT16" s="169"/>
      <c r="PUU16" s="169"/>
      <c r="PUV16" s="169"/>
      <c r="PUW16" s="169"/>
      <c r="PUX16" s="169"/>
      <c r="PUY16" s="169"/>
      <c r="PUZ16" s="169"/>
      <c r="PVA16" s="169"/>
      <c r="PVB16" s="169"/>
      <c r="PVC16" s="169"/>
      <c r="PVD16" s="169"/>
      <c r="PVE16" s="169"/>
      <c r="PVF16" s="169"/>
      <c r="PVG16" s="169"/>
      <c r="PVH16" s="169"/>
      <c r="PVI16" s="169"/>
      <c r="PVJ16" s="169"/>
      <c r="PVK16" s="169"/>
      <c r="PVL16" s="169"/>
      <c r="PVM16" s="169"/>
      <c r="PVN16" s="169"/>
      <c r="PVO16" s="169"/>
      <c r="PVP16" s="169"/>
      <c r="PVQ16" s="169"/>
      <c r="PVR16" s="169"/>
      <c r="PVS16" s="169"/>
      <c r="PVT16" s="169"/>
      <c r="PVU16" s="169"/>
      <c r="PVV16" s="169"/>
      <c r="PVW16" s="169"/>
      <c r="PVX16" s="169"/>
      <c r="PVY16" s="169"/>
      <c r="PVZ16" s="169"/>
      <c r="PWA16" s="169"/>
      <c r="PWB16" s="169"/>
      <c r="PWC16" s="169"/>
      <c r="PWD16" s="169"/>
      <c r="PWE16" s="169"/>
      <c r="PWF16" s="169"/>
      <c r="PWG16" s="169"/>
      <c r="PWH16" s="169"/>
      <c r="PWI16" s="169"/>
      <c r="PWJ16" s="169"/>
      <c r="PWK16" s="169"/>
      <c r="PWL16" s="169"/>
      <c r="PWM16" s="169"/>
      <c r="PWN16" s="169"/>
      <c r="PWO16" s="169"/>
      <c r="PWP16" s="169"/>
      <c r="PWQ16" s="169"/>
      <c r="PWR16" s="169"/>
      <c r="PWS16" s="169"/>
      <c r="PWT16" s="169"/>
      <c r="PWU16" s="169"/>
      <c r="PWV16" s="169"/>
      <c r="PWW16" s="169"/>
      <c r="PWX16" s="169"/>
      <c r="PWY16" s="169"/>
      <c r="PWZ16" s="169"/>
      <c r="PXA16" s="169"/>
      <c r="PXB16" s="169"/>
      <c r="PXC16" s="169"/>
      <c r="PXD16" s="169"/>
      <c r="PXE16" s="169"/>
      <c r="PXF16" s="169"/>
      <c r="PXG16" s="169"/>
      <c r="PXH16" s="169"/>
      <c r="PXI16" s="169"/>
      <c r="PXJ16" s="169"/>
      <c r="PXK16" s="169"/>
      <c r="PXL16" s="169"/>
      <c r="PXM16" s="169"/>
      <c r="PXN16" s="169"/>
      <c r="PXO16" s="169"/>
      <c r="PXP16" s="169"/>
      <c r="PXQ16" s="169"/>
      <c r="PXR16" s="169"/>
      <c r="PXS16" s="169"/>
      <c r="PXT16" s="169"/>
      <c r="PXU16" s="169"/>
      <c r="PXV16" s="169"/>
      <c r="PXW16" s="169"/>
      <c r="PXX16" s="169"/>
      <c r="PXY16" s="169"/>
      <c r="PXZ16" s="169"/>
      <c r="PYA16" s="169"/>
      <c r="PYB16" s="169"/>
      <c r="PYC16" s="169"/>
      <c r="PYD16" s="169"/>
      <c r="PYE16" s="169"/>
      <c r="PYF16" s="169"/>
      <c r="PYG16" s="169"/>
      <c r="PYH16" s="169"/>
      <c r="PYI16" s="169"/>
      <c r="PYJ16" s="169"/>
      <c r="PYK16" s="169"/>
      <c r="PYL16" s="169"/>
      <c r="PYM16" s="169"/>
      <c r="PYN16" s="169"/>
      <c r="PYO16" s="169"/>
      <c r="PYP16" s="169"/>
      <c r="PYQ16" s="169"/>
      <c r="PYR16" s="169"/>
      <c r="PYS16" s="169"/>
      <c r="PYT16" s="169"/>
      <c r="PYU16" s="169"/>
      <c r="PYV16" s="169"/>
      <c r="PYW16" s="169"/>
      <c r="PYX16" s="169"/>
      <c r="PYY16" s="169"/>
      <c r="PYZ16" s="169"/>
      <c r="PZA16" s="169"/>
      <c r="PZB16" s="169"/>
      <c r="PZC16" s="169"/>
      <c r="PZD16" s="169"/>
      <c r="PZE16" s="169"/>
      <c r="PZF16" s="169"/>
      <c r="PZG16" s="169"/>
      <c r="PZH16" s="169"/>
      <c r="PZI16" s="169"/>
      <c r="PZJ16" s="169"/>
      <c r="PZK16" s="169"/>
      <c r="PZL16" s="169"/>
      <c r="PZM16" s="169"/>
      <c r="PZN16" s="169"/>
      <c r="PZO16" s="169"/>
      <c r="PZP16" s="169"/>
      <c r="PZQ16" s="169"/>
      <c r="PZR16" s="169"/>
      <c r="PZS16" s="169"/>
      <c r="PZT16" s="169"/>
      <c r="PZU16" s="169"/>
      <c r="PZV16" s="169"/>
      <c r="PZW16" s="169"/>
      <c r="PZX16" s="169"/>
      <c r="PZY16" s="169"/>
      <c r="PZZ16" s="169"/>
      <c r="QAA16" s="169"/>
      <c r="QAB16" s="169"/>
      <c r="QAC16" s="169"/>
      <c r="QAD16" s="169"/>
      <c r="QAE16" s="169"/>
      <c r="QAF16" s="169"/>
      <c r="QAG16" s="169"/>
      <c r="QAH16" s="169"/>
      <c r="QAI16" s="169"/>
      <c r="QAJ16" s="169"/>
      <c r="QAK16" s="169"/>
      <c r="QAL16" s="169"/>
      <c r="QAM16" s="169"/>
      <c r="QAN16" s="169"/>
      <c r="QAO16" s="169"/>
      <c r="QAP16" s="169"/>
      <c r="QAQ16" s="169"/>
      <c r="QAR16" s="169"/>
      <c r="QAS16" s="169"/>
      <c r="QAT16" s="169"/>
      <c r="QAU16" s="169"/>
      <c r="QAV16" s="169"/>
      <c r="QAW16" s="169"/>
      <c r="QAX16" s="169"/>
      <c r="QAY16" s="169"/>
      <c r="QAZ16" s="169"/>
      <c r="QBA16" s="169"/>
      <c r="QBB16" s="169"/>
      <c r="QBC16" s="169"/>
      <c r="QBD16" s="169"/>
      <c r="QBE16" s="169"/>
      <c r="QBF16" s="169"/>
      <c r="QBG16" s="169"/>
      <c r="QBH16" s="169"/>
      <c r="QBI16" s="169"/>
      <c r="QBJ16" s="169"/>
      <c r="QBK16" s="169"/>
      <c r="QBL16" s="169"/>
      <c r="QBM16" s="169"/>
      <c r="QBN16" s="169"/>
      <c r="QBO16" s="169"/>
      <c r="QBP16" s="169"/>
      <c r="QBQ16" s="169"/>
      <c r="QBR16" s="169"/>
      <c r="QBS16" s="169"/>
      <c r="QBT16" s="169"/>
      <c r="QBU16" s="169"/>
      <c r="QBV16" s="169"/>
      <c r="QBW16" s="169"/>
      <c r="QBX16" s="169"/>
      <c r="QBY16" s="169"/>
      <c r="QBZ16" s="169"/>
      <c r="QCA16" s="169"/>
      <c r="QCB16" s="169"/>
      <c r="QCC16" s="169"/>
      <c r="QCD16" s="169"/>
      <c r="QCE16" s="169"/>
      <c r="QCF16" s="169"/>
      <c r="QCG16" s="169"/>
      <c r="QCH16" s="169"/>
      <c r="QCI16" s="169"/>
      <c r="QCJ16" s="169"/>
      <c r="QCK16" s="169"/>
      <c r="QCL16" s="169"/>
      <c r="QCM16" s="169"/>
      <c r="QCN16" s="169"/>
      <c r="QCO16" s="169"/>
      <c r="QCP16" s="169"/>
      <c r="QCQ16" s="169"/>
      <c r="QCR16" s="169"/>
      <c r="QCS16" s="169"/>
      <c r="QCT16" s="169"/>
      <c r="QCU16" s="169"/>
      <c r="QCV16" s="169"/>
      <c r="QCW16" s="169"/>
      <c r="QCX16" s="169"/>
      <c r="QCY16" s="169"/>
      <c r="QCZ16" s="169"/>
      <c r="QDA16" s="169"/>
      <c r="QDB16" s="169"/>
      <c r="QDC16" s="169"/>
      <c r="QDD16" s="169"/>
      <c r="QDE16" s="169"/>
      <c r="QDF16" s="169"/>
      <c r="QDG16" s="169"/>
      <c r="QDH16" s="169"/>
      <c r="QDI16" s="169"/>
      <c r="QDJ16" s="169"/>
      <c r="QDK16" s="169"/>
      <c r="QDL16" s="169"/>
      <c r="QDM16" s="169"/>
      <c r="QDN16" s="169"/>
      <c r="QDO16" s="169"/>
      <c r="QDP16" s="169"/>
      <c r="QDQ16" s="169"/>
      <c r="QDR16" s="169"/>
      <c r="QDS16" s="169"/>
      <c r="QDT16" s="169"/>
      <c r="QDU16" s="169"/>
      <c r="QDV16" s="169"/>
      <c r="QDW16" s="169"/>
      <c r="QDX16" s="169"/>
      <c r="QDY16" s="169"/>
      <c r="QDZ16" s="169"/>
      <c r="QEA16" s="169"/>
      <c r="QEB16" s="169"/>
      <c r="QEC16" s="169"/>
      <c r="QED16" s="169"/>
      <c r="QEE16" s="169"/>
      <c r="QEF16" s="169"/>
      <c r="QEG16" s="169"/>
      <c r="QEH16" s="169"/>
      <c r="QEI16" s="169"/>
      <c r="QEJ16" s="169"/>
      <c r="QEK16" s="169"/>
      <c r="QEL16" s="169"/>
      <c r="QEM16" s="169"/>
      <c r="QEN16" s="169"/>
      <c r="QEO16" s="169"/>
      <c r="QEP16" s="169"/>
      <c r="QEQ16" s="169"/>
      <c r="QER16" s="169"/>
      <c r="QES16" s="169"/>
      <c r="QET16" s="169"/>
      <c r="QEU16" s="169"/>
      <c r="QEV16" s="169"/>
      <c r="QEW16" s="169"/>
      <c r="QEX16" s="169"/>
      <c r="QEY16" s="169"/>
      <c r="QEZ16" s="169"/>
      <c r="QFA16" s="169"/>
      <c r="QFB16" s="169"/>
      <c r="QFC16" s="169"/>
      <c r="QFD16" s="169"/>
      <c r="QFE16" s="169"/>
      <c r="QFF16" s="169"/>
      <c r="QFG16" s="169"/>
      <c r="QFH16" s="169"/>
      <c r="QFI16" s="169"/>
      <c r="QFJ16" s="169"/>
      <c r="QFK16" s="169"/>
      <c r="QFL16" s="169"/>
      <c r="QFM16" s="169"/>
      <c r="QFN16" s="169"/>
      <c r="QFO16" s="169"/>
      <c r="QFP16" s="169"/>
      <c r="QFQ16" s="169"/>
      <c r="QFR16" s="169"/>
      <c r="QFS16" s="169"/>
      <c r="QFT16" s="169"/>
      <c r="QFU16" s="169"/>
      <c r="QFV16" s="169"/>
      <c r="QFW16" s="169"/>
      <c r="QFX16" s="169"/>
      <c r="QFY16" s="169"/>
      <c r="QFZ16" s="169"/>
      <c r="QGA16" s="169"/>
      <c r="QGB16" s="169"/>
      <c r="QGC16" s="169"/>
      <c r="QGD16" s="169"/>
      <c r="QGE16" s="169"/>
      <c r="QGF16" s="169"/>
      <c r="QGG16" s="169"/>
      <c r="QGH16" s="169"/>
      <c r="QGI16" s="169"/>
      <c r="QGJ16" s="169"/>
      <c r="QGK16" s="169"/>
      <c r="QGL16" s="169"/>
      <c r="QGM16" s="169"/>
      <c r="QGN16" s="169"/>
      <c r="QGO16" s="169"/>
      <c r="QGP16" s="169"/>
      <c r="QGQ16" s="169"/>
      <c r="QGR16" s="169"/>
      <c r="QGS16" s="169"/>
      <c r="QGT16" s="169"/>
      <c r="QGU16" s="169"/>
      <c r="QGV16" s="169"/>
      <c r="QGW16" s="169"/>
      <c r="QGX16" s="169"/>
      <c r="QGY16" s="169"/>
      <c r="QGZ16" s="169"/>
      <c r="QHA16" s="169"/>
      <c r="QHB16" s="169"/>
      <c r="QHC16" s="169"/>
      <c r="QHD16" s="169"/>
      <c r="QHE16" s="169"/>
      <c r="QHF16" s="169"/>
      <c r="QHG16" s="169"/>
      <c r="QHH16" s="169"/>
      <c r="QHI16" s="169"/>
      <c r="QHJ16" s="169"/>
      <c r="QHK16" s="169"/>
      <c r="QHL16" s="169"/>
      <c r="QHM16" s="169"/>
      <c r="QHN16" s="169"/>
      <c r="QHO16" s="169"/>
      <c r="QHP16" s="169"/>
      <c r="QHQ16" s="169"/>
      <c r="QHR16" s="169"/>
      <c r="QHS16" s="169"/>
      <c r="QHT16" s="169"/>
      <c r="QHU16" s="169"/>
      <c r="QHV16" s="169"/>
      <c r="QHW16" s="169"/>
      <c r="QHX16" s="169"/>
      <c r="QHY16" s="169"/>
      <c r="QHZ16" s="169"/>
      <c r="QIA16" s="169"/>
      <c r="QIB16" s="169"/>
      <c r="QIC16" s="169"/>
      <c r="QID16" s="169"/>
      <c r="QIE16" s="169"/>
      <c r="QIF16" s="169"/>
      <c r="QIG16" s="169"/>
      <c r="QIH16" s="169"/>
      <c r="QII16" s="169"/>
      <c r="QIJ16" s="169"/>
      <c r="QIK16" s="169"/>
      <c r="QIL16" s="169"/>
      <c r="QIM16" s="169"/>
      <c r="QIN16" s="169"/>
      <c r="QIO16" s="169"/>
      <c r="QIP16" s="169"/>
      <c r="QIQ16" s="169"/>
      <c r="QIR16" s="169"/>
      <c r="QIS16" s="169"/>
      <c r="QIT16" s="169"/>
      <c r="QIU16" s="169"/>
      <c r="QIV16" s="169"/>
      <c r="QIW16" s="169"/>
      <c r="QIX16" s="169"/>
      <c r="QIY16" s="169"/>
      <c r="QIZ16" s="169"/>
      <c r="QJA16" s="169"/>
      <c r="QJB16" s="169"/>
      <c r="QJC16" s="169"/>
      <c r="QJD16" s="169"/>
      <c r="QJE16" s="169"/>
      <c r="QJF16" s="169"/>
      <c r="QJG16" s="169"/>
      <c r="QJH16" s="169"/>
      <c r="QJI16" s="169"/>
      <c r="QJJ16" s="169"/>
      <c r="QJK16" s="169"/>
      <c r="QJL16" s="169"/>
      <c r="QJM16" s="169"/>
      <c r="QJN16" s="169"/>
      <c r="QJO16" s="169"/>
      <c r="QJP16" s="169"/>
      <c r="QJQ16" s="169"/>
      <c r="QJR16" s="169"/>
      <c r="QJS16" s="169"/>
      <c r="QJT16" s="169"/>
      <c r="QJU16" s="169"/>
      <c r="QJV16" s="169"/>
      <c r="QJW16" s="169"/>
      <c r="QJX16" s="169"/>
      <c r="QJY16" s="169"/>
      <c r="QJZ16" s="169"/>
      <c r="QKA16" s="169"/>
      <c r="QKB16" s="169"/>
      <c r="QKC16" s="169"/>
      <c r="QKD16" s="169"/>
      <c r="QKE16" s="169"/>
      <c r="QKF16" s="169"/>
      <c r="QKG16" s="169"/>
      <c r="QKH16" s="169"/>
      <c r="QKI16" s="169"/>
      <c r="QKJ16" s="169"/>
      <c r="QKK16" s="169"/>
      <c r="QKL16" s="169"/>
      <c r="QKM16" s="169"/>
      <c r="QKN16" s="169"/>
      <c r="QKO16" s="169"/>
      <c r="QKP16" s="169"/>
      <c r="QKQ16" s="169"/>
      <c r="QKR16" s="169"/>
      <c r="QKS16" s="169"/>
      <c r="QKT16" s="169"/>
      <c r="QKU16" s="169"/>
      <c r="QKV16" s="169"/>
      <c r="QKW16" s="169"/>
      <c r="QKX16" s="169"/>
      <c r="QKY16" s="169"/>
      <c r="QKZ16" s="169"/>
      <c r="QLA16" s="169"/>
      <c r="QLB16" s="169"/>
      <c r="QLC16" s="169"/>
      <c r="QLD16" s="169"/>
      <c r="QLE16" s="169"/>
      <c r="QLF16" s="169"/>
      <c r="QLG16" s="169"/>
      <c r="QLH16" s="169"/>
      <c r="QLI16" s="169"/>
      <c r="QLJ16" s="169"/>
      <c r="QLK16" s="169"/>
      <c r="QLL16" s="169"/>
      <c r="QLM16" s="169"/>
      <c r="QLN16" s="169"/>
      <c r="QLO16" s="169"/>
      <c r="QLP16" s="169"/>
      <c r="QLQ16" s="169"/>
      <c r="QLR16" s="169"/>
      <c r="QLS16" s="169"/>
      <c r="QLT16" s="169"/>
      <c r="QLU16" s="169"/>
      <c r="QLV16" s="169"/>
      <c r="QLW16" s="169"/>
      <c r="QLX16" s="169"/>
      <c r="QLY16" s="169"/>
      <c r="QLZ16" s="169"/>
      <c r="QMA16" s="169"/>
      <c r="QMB16" s="169"/>
      <c r="QMC16" s="169"/>
      <c r="QMD16" s="169"/>
      <c r="QME16" s="169"/>
      <c r="QMF16" s="169"/>
      <c r="QMG16" s="169"/>
      <c r="QMH16" s="169"/>
      <c r="QMI16" s="169"/>
      <c r="QMJ16" s="169"/>
      <c r="QMK16" s="169"/>
      <c r="QML16" s="169"/>
      <c r="QMM16" s="169"/>
      <c r="QMN16" s="169"/>
      <c r="QMO16" s="169"/>
      <c r="QMP16" s="169"/>
      <c r="QMQ16" s="169"/>
      <c r="QMR16" s="169"/>
      <c r="QMS16" s="169"/>
      <c r="QMT16" s="169"/>
      <c r="QMU16" s="169"/>
      <c r="QMV16" s="169"/>
      <c r="QMW16" s="169"/>
      <c r="QMX16" s="169"/>
      <c r="QMY16" s="169"/>
      <c r="QMZ16" s="169"/>
      <c r="QNA16" s="169"/>
      <c r="QNB16" s="169"/>
      <c r="QNC16" s="169"/>
      <c r="QND16" s="169"/>
      <c r="QNE16" s="169"/>
      <c r="QNF16" s="169"/>
      <c r="QNG16" s="169"/>
      <c r="QNH16" s="169"/>
      <c r="QNI16" s="169"/>
      <c r="QNJ16" s="169"/>
      <c r="QNK16" s="169"/>
      <c r="QNL16" s="169"/>
      <c r="QNM16" s="169"/>
      <c r="QNN16" s="169"/>
      <c r="QNO16" s="169"/>
      <c r="QNP16" s="169"/>
      <c r="QNQ16" s="169"/>
      <c r="QNR16" s="169"/>
      <c r="QNS16" s="169"/>
      <c r="QNT16" s="169"/>
      <c r="QNU16" s="169"/>
      <c r="QNV16" s="169"/>
      <c r="QNW16" s="169"/>
      <c r="QNX16" s="169"/>
      <c r="QNY16" s="169"/>
      <c r="QNZ16" s="169"/>
      <c r="QOA16" s="169"/>
      <c r="QOB16" s="169"/>
      <c r="QOC16" s="169"/>
      <c r="QOD16" s="169"/>
      <c r="QOE16" s="169"/>
      <c r="QOF16" s="169"/>
      <c r="QOG16" s="169"/>
      <c r="QOH16" s="169"/>
      <c r="QOI16" s="169"/>
      <c r="QOJ16" s="169"/>
      <c r="QOK16" s="169"/>
      <c r="QOL16" s="169"/>
      <c r="QOM16" s="169"/>
      <c r="QON16" s="169"/>
      <c r="QOO16" s="169"/>
      <c r="QOP16" s="169"/>
      <c r="QOQ16" s="169"/>
      <c r="QOR16" s="169"/>
      <c r="QOS16" s="169"/>
      <c r="QOT16" s="169"/>
      <c r="QOU16" s="169"/>
      <c r="QOV16" s="169"/>
      <c r="QOW16" s="169"/>
      <c r="QOX16" s="169"/>
      <c r="QOY16" s="169"/>
      <c r="QOZ16" s="169"/>
      <c r="QPA16" s="169"/>
      <c r="QPB16" s="169"/>
      <c r="QPC16" s="169"/>
      <c r="QPD16" s="169"/>
      <c r="QPE16" s="169"/>
      <c r="QPF16" s="169"/>
      <c r="QPG16" s="169"/>
      <c r="QPH16" s="169"/>
      <c r="QPI16" s="169"/>
      <c r="QPJ16" s="169"/>
      <c r="QPK16" s="169"/>
      <c r="QPL16" s="169"/>
      <c r="QPM16" s="169"/>
      <c r="QPN16" s="169"/>
      <c r="QPO16" s="169"/>
      <c r="QPP16" s="169"/>
      <c r="QPQ16" s="169"/>
      <c r="QPR16" s="169"/>
      <c r="QPS16" s="169"/>
      <c r="QPT16" s="169"/>
      <c r="QPU16" s="169"/>
      <c r="QPV16" s="169"/>
      <c r="QPW16" s="169"/>
      <c r="QPX16" s="169"/>
      <c r="QPY16" s="169"/>
      <c r="QPZ16" s="169"/>
      <c r="QQA16" s="169"/>
      <c r="QQB16" s="169"/>
      <c r="QQC16" s="169"/>
      <c r="QQD16" s="169"/>
      <c r="QQE16" s="169"/>
      <c r="QQF16" s="169"/>
      <c r="QQG16" s="169"/>
      <c r="QQH16" s="169"/>
      <c r="QQI16" s="169"/>
      <c r="QQJ16" s="169"/>
      <c r="QQK16" s="169"/>
      <c r="QQL16" s="169"/>
      <c r="QQM16" s="169"/>
      <c r="QQN16" s="169"/>
      <c r="QQO16" s="169"/>
      <c r="QQP16" s="169"/>
      <c r="QQQ16" s="169"/>
      <c r="QQR16" s="169"/>
      <c r="QQS16" s="169"/>
      <c r="QQT16" s="169"/>
      <c r="QQU16" s="169"/>
      <c r="QQV16" s="169"/>
      <c r="QQW16" s="169"/>
      <c r="QQX16" s="169"/>
      <c r="QQY16" s="169"/>
      <c r="QQZ16" s="169"/>
      <c r="QRA16" s="169"/>
      <c r="QRB16" s="169"/>
      <c r="QRC16" s="169"/>
      <c r="QRD16" s="169"/>
      <c r="QRE16" s="169"/>
      <c r="QRF16" s="169"/>
      <c r="QRG16" s="169"/>
      <c r="QRH16" s="169"/>
      <c r="QRI16" s="169"/>
      <c r="QRJ16" s="169"/>
      <c r="QRK16" s="169"/>
      <c r="QRL16" s="169"/>
      <c r="QRM16" s="169"/>
      <c r="QRN16" s="169"/>
      <c r="QRO16" s="169"/>
      <c r="QRP16" s="169"/>
      <c r="QRQ16" s="169"/>
      <c r="QRR16" s="169"/>
      <c r="QRS16" s="169"/>
      <c r="QRT16" s="169"/>
      <c r="QRU16" s="169"/>
      <c r="QRV16" s="169"/>
      <c r="QRW16" s="169"/>
      <c r="QRX16" s="169"/>
      <c r="QRY16" s="169"/>
      <c r="QRZ16" s="169"/>
      <c r="QSA16" s="169"/>
      <c r="QSB16" s="169"/>
      <c r="QSC16" s="169"/>
      <c r="QSD16" s="169"/>
      <c r="QSE16" s="169"/>
      <c r="QSF16" s="169"/>
      <c r="QSG16" s="169"/>
      <c r="QSH16" s="169"/>
      <c r="QSI16" s="169"/>
      <c r="QSJ16" s="169"/>
      <c r="QSK16" s="169"/>
      <c r="QSL16" s="169"/>
      <c r="QSM16" s="169"/>
      <c r="QSN16" s="169"/>
      <c r="QSO16" s="169"/>
      <c r="QSP16" s="169"/>
      <c r="QSQ16" s="169"/>
      <c r="QSR16" s="169"/>
      <c r="QSS16" s="169"/>
      <c r="QST16" s="169"/>
      <c r="QSU16" s="169"/>
      <c r="QSV16" s="169"/>
      <c r="QSW16" s="169"/>
      <c r="QSX16" s="169"/>
      <c r="QSY16" s="169"/>
      <c r="QSZ16" s="169"/>
      <c r="QTA16" s="169"/>
      <c r="QTB16" s="169"/>
      <c r="QTC16" s="169"/>
      <c r="QTD16" s="169"/>
      <c r="QTE16" s="169"/>
      <c r="QTF16" s="169"/>
      <c r="QTG16" s="169"/>
      <c r="QTH16" s="169"/>
      <c r="QTI16" s="169"/>
      <c r="QTJ16" s="169"/>
      <c r="QTK16" s="169"/>
      <c r="QTL16" s="169"/>
      <c r="QTM16" s="169"/>
      <c r="QTN16" s="169"/>
      <c r="QTO16" s="169"/>
      <c r="QTP16" s="169"/>
      <c r="QTQ16" s="169"/>
      <c r="QTR16" s="169"/>
      <c r="QTS16" s="169"/>
      <c r="QTT16" s="169"/>
      <c r="QTU16" s="169"/>
      <c r="QTV16" s="169"/>
      <c r="QTW16" s="169"/>
      <c r="QTX16" s="169"/>
      <c r="QTY16" s="169"/>
      <c r="QTZ16" s="169"/>
      <c r="QUA16" s="169"/>
      <c r="QUB16" s="169"/>
      <c r="QUC16" s="169"/>
      <c r="QUD16" s="169"/>
      <c r="QUE16" s="169"/>
      <c r="QUF16" s="169"/>
      <c r="QUG16" s="169"/>
      <c r="QUH16" s="169"/>
      <c r="QUI16" s="169"/>
      <c r="QUJ16" s="169"/>
      <c r="QUK16" s="169"/>
      <c r="QUL16" s="169"/>
      <c r="QUM16" s="169"/>
      <c r="QUN16" s="169"/>
      <c r="QUO16" s="169"/>
      <c r="QUP16" s="169"/>
      <c r="QUQ16" s="169"/>
      <c r="QUR16" s="169"/>
      <c r="QUS16" s="169"/>
      <c r="QUT16" s="169"/>
      <c r="QUU16" s="169"/>
      <c r="QUV16" s="169"/>
      <c r="QUW16" s="169"/>
      <c r="QUX16" s="169"/>
      <c r="QUY16" s="169"/>
      <c r="QUZ16" s="169"/>
      <c r="QVA16" s="169"/>
      <c r="QVB16" s="169"/>
      <c r="QVC16" s="169"/>
      <c r="QVD16" s="169"/>
      <c r="QVE16" s="169"/>
      <c r="QVF16" s="169"/>
      <c r="QVG16" s="169"/>
      <c r="QVH16" s="169"/>
      <c r="QVI16" s="169"/>
      <c r="QVJ16" s="169"/>
      <c r="QVK16" s="169"/>
      <c r="QVL16" s="169"/>
      <c r="QVM16" s="169"/>
      <c r="QVN16" s="169"/>
      <c r="QVO16" s="169"/>
      <c r="QVP16" s="169"/>
      <c r="QVQ16" s="169"/>
      <c r="QVR16" s="169"/>
      <c r="QVS16" s="169"/>
      <c r="QVT16" s="169"/>
      <c r="QVU16" s="169"/>
      <c r="QVV16" s="169"/>
      <c r="QVW16" s="169"/>
      <c r="QVX16" s="169"/>
      <c r="QVY16" s="169"/>
      <c r="QVZ16" s="169"/>
      <c r="QWA16" s="169"/>
      <c r="QWB16" s="169"/>
      <c r="QWC16" s="169"/>
      <c r="QWD16" s="169"/>
      <c r="QWE16" s="169"/>
      <c r="QWF16" s="169"/>
      <c r="QWG16" s="169"/>
      <c r="QWH16" s="169"/>
      <c r="QWI16" s="169"/>
      <c r="QWJ16" s="169"/>
      <c r="QWK16" s="169"/>
      <c r="QWL16" s="169"/>
      <c r="QWM16" s="169"/>
      <c r="QWN16" s="169"/>
      <c r="QWO16" s="169"/>
      <c r="QWP16" s="169"/>
      <c r="QWQ16" s="169"/>
      <c r="QWR16" s="169"/>
      <c r="QWS16" s="169"/>
      <c r="QWT16" s="169"/>
      <c r="QWU16" s="169"/>
      <c r="QWV16" s="169"/>
      <c r="QWW16" s="169"/>
      <c r="QWX16" s="169"/>
      <c r="QWY16" s="169"/>
      <c r="QWZ16" s="169"/>
      <c r="QXA16" s="169"/>
      <c r="QXB16" s="169"/>
      <c r="QXC16" s="169"/>
      <c r="QXD16" s="169"/>
      <c r="QXE16" s="169"/>
      <c r="QXF16" s="169"/>
      <c r="QXG16" s="169"/>
      <c r="QXH16" s="169"/>
      <c r="QXI16" s="169"/>
      <c r="QXJ16" s="169"/>
      <c r="QXK16" s="169"/>
      <c r="QXL16" s="169"/>
      <c r="QXM16" s="169"/>
      <c r="QXN16" s="169"/>
      <c r="QXO16" s="169"/>
      <c r="QXP16" s="169"/>
      <c r="QXQ16" s="169"/>
      <c r="QXR16" s="169"/>
      <c r="QXS16" s="169"/>
      <c r="QXT16" s="169"/>
      <c r="QXU16" s="169"/>
      <c r="QXV16" s="169"/>
      <c r="QXW16" s="169"/>
      <c r="QXX16" s="169"/>
      <c r="QXY16" s="169"/>
      <c r="QXZ16" s="169"/>
      <c r="QYA16" s="169"/>
      <c r="QYB16" s="169"/>
      <c r="QYC16" s="169"/>
      <c r="QYD16" s="169"/>
      <c r="QYE16" s="169"/>
      <c r="QYF16" s="169"/>
      <c r="QYG16" s="169"/>
      <c r="QYH16" s="169"/>
      <c r="QYI16" s="169"/>
      <c r="QYJ16" s="169"/>
      <c r="QYK16" s="169"/>
      <c r="QYL16" s="169"/>
      <c r="QYM16" s="169"/>
      <c r="QYN16" s="169"/>
      <c r="QYO16" s="169"/>
      <c r="QYP16" s="169"/>
      <c r="QYQ16" s="169"/>
      <c r="QYR16" s="169"/>
      <c r="QYS16" s="169"/>
      <c r="QYT16" s="169"/>
      <c r="QYU16" s="169"/>
      <c r="QYV16" s="169"/>
      <c r="QYW16" s="169"/>
      <c r="QYX16" s="169"/>
      <c r="QYY16" s="169"/>
      <c r="QYZ16" s="169"/>
      <c r="QZA16" s="169"/>
      <c r="QZB16" s="169"/>
      <c r="QZC16" s="169"/>
      <c r="QZD16" s="169"/>
      <c r="QZE16" s="169"/>
      <c r="QZF16" s="169"/>
      <c r="QZG16" s="169"/>
      <c r="QZH16" s="169"/>
      <c r="QZI16" s="169"/>
      <c r="QZJ16" s="169"/>
      <c r="QZK16" s="169"/>
      <c r="QZL16" s="169"/>
      <c r="QZM16" s="169"/>
      <c r="QZN16" s="169"/>
      <c r="QZO16" s="169"/>
      <c r="QZP16" s="169"/>
      <c r="QZQ16" s="169"/>
      <c r="QZR16" s="169"/>
      <c r="QZS16" s="169"/>
      <c r="QZT16" s="169"/>
      <c r="QZU16" s="169"/>
      <c r="QZV16" s="169"/>
      <c r="QZW16" s="169"/>
      <c r="QZX16" s="169"/>
      <c r="QZY16" s="169"/>
      <c r="QZZ16" s="169"/>
      <c r="RAA16" s="169"/>
      <c r="RAB16" s="169"/>
      <c r="RAC16" s="169"/>
      <c r="RAD16" s="169"/>
      <c r="RAE16" s="169"/>
      <c r="RAF16" s="169"/>
      <c r="RAG16" s="169"/>
      <c r="RAH16" s="169"/>
      <c r="RAI16" s="169"/>
      <c r="RAJ16" s="169"/>
      <c r="RAK16" s="169"/>
      <c r="RAL16" s="169"/>
      <c r="RAM16" s="169"/>
      <c r="RAN16" s="169"/>
      <c r="RAO16" s="169"/>
      <c r="RAP16" s="169"/>
      <c r="RAQ16" s="169"/>
      <c r="RAR16" s="169"/>
      <c r="RAS16" s="169"/>
      <c r="RAT16" s="169"/>
      <c r="RAU16" s="169"/>
      <c r="RAV16" s="169"/>
      <c r="RAW16" s="169"/>
      <c r="RAX16" s="169"/>
      <c r="RAY16" s="169"/>
      <c r="RAZ16" s="169"/>
      <c r="RBA16" s="169"/>
      <c r="RBB16" s="169"/>
      <c r="RBC16" s="169"/>
      <c r="RBD16" s="169"/>
      <c r="RBE16" s="169"/>
      <c r="RBF16" s="169"/>
      <c r="RBG16" s="169"/>
      <c r="RBH16" s="169"/>
      <c r="RBI16" s="169"/>
      <c r="RBJ16" s="169"/>
      <c r="RBK16" s="169"/>
      <c r="RBL16" s="169"/>
      <c r="RBM16" s="169"/>
      <c r="RBN16" s="169"/>
      <c r="RBO16" s="169"/>
      <c r="RBP16" s="169"/>
      <c r="RBQ16" s="169"/>
      <c r="RBR16" s="169"/>
      <c r="RBS16" s="169"/>
      <c r="RBT16" s="169"/>
      <c r="RBU16" s="169"/>
      <c r="RBV16" s="169"/>
      <c r="RBW16" s="169"/>
      <c r="RBX16" s="169"/>
      <c r="RBY16" s="169"/>
      <c r="RBZ16" s="169"/>
      <c r="RCA16" s="169"/>
      <c r="RCB16" s="169"/>
      <c r="RCC16" s="169"/>
      <c r="RCD16" s="169"/>
      <c r="RCE16" s="169"/>
      <c r="RCF16" s="169"/>
      <c r="RCG16" s="169"/>
      <c r="RCH16" s="169"/>
      <c r="RCI16" s="169"/>
      <c r="RCJ16" s="169"/>
      <c r="RCK16" s="169"/>
      <c r="RCL16" s="169"/>
      <c r="RCM16" s="169"/>
      <c r="RCN16" s="169"/>
      <c r="RCO16" s="169"/>
      <c r="RCP16" s="169"/>
      <c r="RCQ16" s="169"/>
      <c r="RCR16" s="169"/>
      <c r="RCS16" s="169"/>
      <c r="RCT16" s="169"/>
      <c r="RCU16" s="169"/>
      <c r="RCV16" s="169"/>
      <c r="RCW16" s="169"/>
      <c r="RCX16" s="169"/>
      <c r="RCY16" s="169"/>
      <c r="RCZ16" s="169"/>
      <c r="RDA16" s="169"/>
      <c r="RDB16" s="169"/>
      <c r="RDC16" s="169"/>
      <c r="RDD16" s="169"/>
      <c r="RDE16" s="169"/>
      <c r="RDF16" s="169"/>
      <c r="RDG16" s="169"/>
      <c r="RDH16" s="169"/>
      <c r="RDI16" s="169"/>
      <c r="RDJ16" s="169"/>
      <c r="RDK16" s="169"/>
      <c r="RDL16" s="169"/>
      <c r="RDM16" s="169"/>
      <c r="RDN16" s="169"/>
      <c r="RDO16" s="169"/>
      <c r="RDP16" s="169"/>
      <c r="RDQ16" s="169"/>
      <c r="RDR16" s="169"/>
      <c r="RDS16" s="169"/>
      <c r="RDT16" s="169"/>
      <c r="RDU16" s="169"/>
      <c r="RDV16" s="169"/>
      <c r="RDW16" s="169"/>
      <c r="RDX16" s="169"/>
      <c r="RDY16" s="169"/>
      <c r="RDZ16" s="169"/>
      <c r="REA16" s="169"/>
      <c r="REB16" s="169"/>
      <c r="REC16" s="169"/>
      <c r="RED16" s="169"/>
      <c r="REE16" s="169"/>
      <c r="REF16" s="169"/>
      <c r="REG16" s="169"/>
      <c r="REH16" s="169"/>
      <c r="REI16" s="169"/>
      <c r="REJ16" s="169"/>
      <c r="REK16" s="169"/>
      <c r="REL16" s="169"/>
      <c r="REM16" s="169"/>
      <c r="REN16" s="169"/>
      <c r="REO16" s="169"/>
      <c r="REP16" s="169"/>
      <c r="REQ16" s="169"/>
      <c r="RER16" s="169"/>
      <c r="RES16" s="169"/>
      <c r="RET16" s="169"/>
      <c r="REU16" s="169"/>
      <c r="REV16" s="169"/>
      <c r="REW16" s="169"/>
      <c r="REX16" s="169"/>
      <c r="REY16" s="169"/>
      <c r="REZ16" s="169"/>
      <c r="RFA16" s="169"/>
      <c r="RFB16" s="169"/>
      <c r="RFC16" s="169"/>
      <c r="RFD16" s="169"/>
      <c r="RFE16" s="169"/>
      <c r="RFF16" s="169"/>
      <c r="RFG16" s="169"/>
      <c r="RFH16" s="169"/>
      <c r="RFI16" s="169"/>
      <c r="RFJ16" s="169"/>
      <c r="RFK16" s="169"/>
      <c r="RFL16" s="169"/>
      <c r="RFM16" s="169"/>
      <c r="RFN16" s="169"/>
      <c r="RFO16" s="169"/>
      <c r="RFP16" s="169"/>
      <c r="RFQ16" s="169"/>
      <c r="RFR16" s="169"/>
      <c r="RFS16" s="169"/>
      <c r="RFT16" s="169"/>
      <c r="RFU16" s="169"/>
      <c r="RFV16" s="169"/>
      <c r="RFW16" s="169"/>
      <c r="RFX16" s="169"/>
      <c r="RFY16" s="169"/>
      <c r="RFZ16" s="169"/>
      <c r="RGA16" s="169"/>
      <c r="RGB16" s="169"/>
      <c r="RGC16" s="169"/>
      <c r="RGD16" s="169"/>
      <c r="RGE16" s="169"/>
      <c r="RGF16" s="169"/>
      <c r="RGG16" s="169"/>
      <c r="RGH16" s="169"/>
      <c r="RGI16" s="169"/>
      <c r="RGJ16" s="169"/>
      <c r="RGK16" s="169"/>
      <c r="RGL16" s="169"/>
      <c r="RGM16" s="169"/>
      <c r="RGN16" s="169"/>
      <c r="RGO16" s="169"/>
      <c r="RGP16" s="169"/>
      <c r="RGQ16" s="169"/>
      <c r="RGR16" s="169"/>
      <c r="RGS16" s="169"/>
      <c r="RGT16" s="169"/>
      <c r="RGU16" s="169"/>
      <c r="RGV16" s="169"/>
      <c r="RGW16" s="169"/>
      <c r="RGX16" s="169"/>
      <c r="RGY16" s="169"/>
      <c r="RGZ16" s="169"/>
      <c r="RHA16" s="169"/>
      <c r="RHB16" s="169"/>
      <c r="RHC16" s="169"/>
      <c r="RHD16" s="169"/>
      <c r="RHE16" s="169"/>
      <c r="RHF16" s="169"/>
      <c r="RHG16" s="169"/>
      <c r="RHH16" s="169"/>
      <c r="RHI16" s="169"/>
      <c r="RHJ16" s="169"/>
      <c r="RHK16" s="169"/>
      <c r="RHL16" s="169"/>
      <c r="RHM16" s="169"/>
      <c r="RHN16" s="169"/>
      <c r="RHO16" s="169"/>
      <c r="RHP16" s="169"/>
      <c r="RHQ16" s="169"/>
      <c r="RHR16" s="169"/>
      <c r="RHS16" s="169"/>
      <c r="RHT16" s="169"/>
      <c r="RHU16" s="169"/>
      <c r="RHV16" s="169"/>
      <c r="RHW16" s="169"/>
      <c r="RHX16" s="169"/>
      <c r="RHY16" s="169"/>
      <c r="RHZ16" s="169"/>
      <c r="RIA16" s="169"/>
      <c r="RIB16" s="169"/>
      <c r="RIC16" s="169"/>
      <c r="RID16" s="169"/>
      <c r="RIE16" s="169"/>
      <c r="RIF16" s="169"/>
      <c r="RIG16" s="169"/>
      <c r="RIH16" s="169"/>
      <c r="RII16" s="169"/>
      <c r="RIJ16" s="169"/>
      <c r="RIK16" s="169"/>
      <c r="RIL16" s="169"/>
      <c r="RIM16" s="169"/>
      <c r="RIN16" s="169"/>
      <c r="RIO16" s="169"/>
      <c r="RIP16" s="169"/>
      <c r="RIQ16" s="169"/>
      <c r="RIR16" s="169"/>
      <c r="RIS16" s="169"/>
      <c r="RIT16" s="169"/>
      <c r="RIU16" s="169"/>
      <c r="RIV16" s="169"/>
      <c r="RIW16" s="169"/>
      <c r="RIX16" s="169"/>
      <c r="RIY16" s="169"/>
      <c r="RIZ16" s="169"/>
      <c r="RJA16" s="169"/>
      <c r="RJB16" s="169"/>
      <c r="RJC16" s="169"/>
      <c r="RJD16" s="169"/>
      <c r="RJE16" s="169"/>
      <c r="RJF16" s="169"/>
      <c r="RJG16" s="169"/>
      <c r="RJH16" s="169"/>
      <c r="RJI16" s="169"/>
      <c r="RJJ16" s="169"/>
      <c r="RJK16" s="169"/>
      <c r="RJL16" s="169"/>
      <c r="RJM16" s="169"/>
      <c r="RJN16" s="169"/>
      <c r="RJO16" s="169"/>
      <c r="RJP16" s="169"/>
      <c r="RJQ16" s="169"/>
      <c r="RJR16" s="169"/>
      <c r="RJS16" s="169"/>
      <c r="RJT16" s="169"/>
      <c r="RJU16" s="169"/>
      <c r="RJV16" s="169"/>
      <c r="RJW16" s="169"/>
      <c r="RJX16" s="169"/>
      <c r="RJY16" s="169"/>
      <c r="RJZ16" s="169"/>
      <c r="RKA16" s="169"/>
      <c r="RKB16" s="169"/>
      <c r="RKC16" s="169"/>
      <c r="RKD16" s="169"/>
      <c r="RKE16" s="169"/>
      <c r="RKF16" s="169"/>
      <c r="RKG16" s="169"/>
      <c r="RKH16" s="169"/>
      <c r="RKI16" s="169"/>
      <c r="RKJ16" s="169"/>
      <c r="RKK16" s="169"/>
      <c r="RKL16" s="169"/>
      <c r="RKM16" s="169"/>
      <c r="RKN16" s="169"/>
      <c r="RKO16" s="169"/>
      <c r="RKP16" s="169"/>
      <c r="RKQ16" s="169"/>
      <c r="RKR16" s="169"/>
      <c r="RKS16" s="169"/>
      <c r="RKT16" s="169"/>
      <c r="RKU16" s="169"/>
      <c r="RKV16" s="169"/>
      <c r="RKW16" s="169"/>
      <c r="RKX16" s="169"/>
      <c r="RKY16" s="169"/>
      <c r="RKZ16" s="169"/>
      <c r="RLA16" s="169"/>
      <c r="RLB16" s="169"/>
      <c r="RLC16" s="169"/>
      <c r="RLD16" s="169"/>
      <c r="RLE16" s="169"/>
      <c r="RLF16" s="169"/>
      <c r="RLG16" s="169"/>
      <c r="RLH16" s="169"/>
      <c r="RLI16" s="169"/>
      <c r="RLJ16" s="169"/>
      <c r="RLK16" s="169"/>
      <c r="RLL16" s="169"/>
      <c r="RLM16" s="169"/>
      <c r="RLN16" s="169"/>
      <c r="RLO16" s="169"/>
      <c r="RLP16" s="169"/>
      <c r="RLQ16" s="169"/>
      <c r="RLR16" s="169"/>
      <c r="RLS16" s="169"/>
      <c r="RLT16" s="169"/>
      <c r="RLU16" s="169"/>
      <c r="RLV16" s="169"/>
      <c r="RLW16" s="169"/>
      <c r="RLX16" s="169"/>
      <c r="RLY16" s="169"/>
      <c r="RLZ16" s="169"/>
      <c r="RMA16" s="169"/>
      <c r="RMB16" s="169"/>
      <c r="RMC16" s="169"/>
      <c r="RMD16" s="169"/>
      <c r="RME16" s="169"/>
      <c r="RMF16" s="169"/>
      <c r="RMG16" s="169"/>
      <c r="RMH16" s="169"/>
      <c r="RMI16" s="169"/>
      <c r="RMJ16" s="169"/>
      <c r="RMK16" s="169"/>
      <c r="RML16" s="169"/>
      <c r="RMM16" s="169"/>
      <c r="RMN16" s="169"/>
      <c r="RMO16" s="169"/>
      <c r="RMP16" s="169"/>
      <c r="RMQ16" s="169"/>
      <c r="RMR16" s="169"/>
      <c r="RMS16" s="169"/>
      <c r="RMT16" s="169"/>
      <c r="RMU16" s="169"/>
      <c r="RMV16" s="169"/>
      <c r="RMW16" s="169"/>
      <c r="RMX16" s="169"/>
      <c r="RMY16" s="169"/>
      <c r="RMZ16" s="169"/>
      <c r="RNA16" s="169"/>
      <c r="RNB16" s="169"/>
      <c r="RNC16" s="169"/>
      <c r="RND16" s="169"/>
      <c r="RNE16" s="169"/>
      <c r="RNF16" s="169"/>
      <c r="RNG16" s="169"/>
      <c r="RNH16" s="169"/>
      <c r="RNI16" s="169"/>
      <c r="RNJ16" s="169"/>
      <c r="RNK16" s="169"/>
      <c r="RNL16" s="169"/>
      <c r="RNM16" s="169"/>
      <c r="RNN16" s="169"/>
      <c r="RNO16" s="169"/>
      <c r="RNP16" s="169"/>
      <c r="RNQ16" s="169"/>
      <c r="RNR16" s="169"/>
      <c r="RNS16" s="169"/>
      <c r="RNT16" s="169"/>
      <c r="RNU16" s="169"/>
      <c r="RNV16" s="169"/>
      <c r="RNW16" s="169"/>
      <c r="RNX16" s="169"/>
      <c r="RNY16" s="169"/>
      <c r="RNZ16" s="169"/>
      <c r="ROA16" s="169"/>
      <c r="ROB16" s="169"/>
      <c r="ROC16" s="169"/>
      <c r="ROD16" s="169"/>
      <c r="ROE16" s="169"/>
      <c r="ROF16" s="169"/>
      <c r="ROG16" s="169"/>
      <c r="ROH16" s="169"/>
      <c r="ROI16" s="169"/>
      <c r="ROJ16" s="169"/>
      <c r="ROK16" s="169"/>
      <c r="ROL16" s="169"/>
      <c r="ROM16" s="169"/>
      <c r="RON16" s="169"/>
      <c r="ROO16" s="169"/>
      <c r="ROP16" s="169"/>
      <c r="ROQ16" s="169"/>
      <c r="ROR16" s="169"/>
      <c r="ROS16" s="169"/>
      <c r="ROT16" s="169"/>
      <c r="ROU16" s="169"/>
      <c r="ROV16" s="169"/>
      <c r="ROW16" s="169"/>
      <c r="ROX16" s="169"/>
      <c r="ROY16" s="169"/>
      <c r="ROZ16" s="169"/>
      <c r="RPA16" s="169"/>
      <c r="RPB16" s="169"/>
      <c r="RPC16" s="169"/>
      <c r="RPD16" s="169"/>
      <c r="RPE16" s="169"/>
      <c r="RPF16" s="169"/>
      <c r="RPG16" s="169"/>
      <c r="RPH16" s="169"/>
      <c r="RPI16" s="169"/>
      <c r="RPJ16" s="169"/>
      <c r="RPK16" s="169"/>
      <c r="RPL16" s="169"/>
      <c r="RPM16" s="169"/>
      <c r="RPN16" s="169"/>
      <c r="RPO16" s="169"/>
      <c r="RPP16" s="169"/>
      <c r="RPQ16" s="169"/>
      <c r="RPR16" s="169"/>
      <c r="RPS16" s="169"/>
      <c r="RPT16" s="169"/>
      <c r="RPU16" s="169"/>
      <c r="RPV16" s="169"/>
      <c r="RPW16" s="169"/>
      <c r="RPX16" s="169"/>
      <c r="RPY16" s="169"/>
      <c r="RPZ16" s="169"/>
      <c r="RQA16" s="169"/>
      <c r="RQB16" s="169"/>
      <c r="RQC16" s="169"/>
      <c r="RQD16" s="169"/>
      <c r="RQE16" s="169"/>
      <c r="RQF16" s="169"/>
      <c r="RQG16" s="169"/>
      <c r="RQH16" s="169"/>
      <c r="RQI16" s="169"/>
      <c r="RQJ16" s="169"/>
      <c r="RQK16" s="169"/>
      <c r="RQL16" s="169"/>
      <c r="RQM16" s="169"/>
      <c r="RQN16" s="169"/>
      <c r="RQO16" s="169"/>
      <c r="RQP16" s="169"/>
      <c r="RQQ16" s="169"/>
      <c r="RQR16" s="169"/>
      <c r="RQS16" s="169"/>
      <c r="RQT16" s="169"/>
      <c r="RQU16" s="169"/>
      <c r="RQV16" s="169"/>
      <c r="RQW16" s="169"/>
      <c r="RQX16" s="169"/>
      <c r="RQY16" s="169"/>
      <c r="RQZ16" s="169"/>
      <c r="RRA16" s="169"/>
      <c r="RRB16" s="169"/>
      <c r="RRC16" s="169"/>
      <c r="RRD16" s="169"/>
      <c r="RRE16" s="169"/>
      <c r="RRF16" s="169"/>
      <c r="RRG16" s="169"/>
      <c r="RRH16" s="169"/>
      <c r="RRI16" s="169"/>
      <c r="RRJ16" s="169"/>
      <c r="RRK16" s="169"/>
      <c r="RRL16" s="169"/>
      <c r="RRM16" s="169"/>
      <c r="RRN16" s="169"/>
      <c r="RRO16" s="169"/>
      <c r="RRP16" s="169"/>
      <c r="RRQ16" s="169"/>
      <c r="RRR16" s="169"/>
      <c r="RRS16" s="169"/>
      <c r="RRT16" s="169"/>
      <c r="RRU16" s="169"/>
      <c r="RRV16" s="169"/>
      <c r="RRW16" s="169"/>
      <c r="RRX16" s="169"/>
      <c r="RRY16" s="169"/>
      <c r="RRZ16" s="169"/>
      <c r="RSA16" s="169"/>
      <c r="RSB16" s="169"/>
      <c r="RSC16" s="169"/>
      <c r="RSD16" s="169"/>
      <c r="RSE16" s="169"/>
      <c r="RSF16" s="169"/>
      <c r="RSG16" s="169"/>
      <c r="RSH16" s="169"/>
      <c r="RSI16" s="169"/>
      <c r="RSJ16" s="169"/>
      <c r="RSK16" s="169"/>
      <c r="RSL16" s="169"/>
      <c r="RSM16" s="169"/>
      <c r="RSN16" s="169"/>
      <c r="RSO16" s="169"/>
      <c r="RSP16" s="169"/>
      <c r="RSQ16" s="169"/>
      <c r="RSR16" s="169"/>
      <c r="RSS16" s="169"/>
      <c r="RST16" s="169"/>
      <c r="RSU16" s="169"/>
      <c r="RSV16" s="169"/>
      <c r="RSW16" s="169"/>
      <c r="RSX16" s="169"/>
      <c r="RSY16" s="169"/>
      <c r="RSZ16" s="169"/>
      <c r="RTA16" s="169"/>
      <c r="RTB16" s="169"/>
      <c r="RTC16" s="169"/>
      <c r="RTD16" s="169"/>
      <c r="RTE16" s="169"/>
      <c r="RTF16" s="169"/>
      <c r="RTG16" s="169"/>
      <c r="RTH16" s="169"/>
      <c r="RTI16" s="169"/>
      <c r="RTJ16" s="169"/>
      <c r="RTK16" s="169"/>
      <c r="RTL16" s="169"/>
      <c r="RTM16" s="169"/>
      <c r="RTN16" s="169"/>
      <c r="RTO16" s="169"/>
      <c r="RTP16" s="169"/>
      <c r="RTQ16" s="169"/>
      <c r="RTR16" s="169"/>
      <c r="RTS16" s="169"/>
      <c r="RTT16" s="169"/>
      <c r="RTU16" s="169"/>
      <c r="RTV16" s="169"/>
      <c r="RTW16" s="169"/>
      <c r="RTX16" s="169"/>
      <c r="RTY16" s="169"/>
      <c r="RTZ16" s="169"/>
      <c r="RUA16" s="169"/>
      <c r="RUB16" s="169"/>
      <c r="RUC16" s="169"/>
      <c r="RUD16" s="169"/>
      <c r="RUE16" s="169"/>
      <c r="RUF16" s="169"/>
      <c r="RUG16" s="169"/>
      <c r="RUH16" s="169"/>
      <c r="RUI16" s="169"/>
      <c r="RUJ16" s="169"/>
      <c r="RUK16" s="169"/>
      <c r="RUL16" s="169"/>
      <c r="RUM16" s="169"/>
      <c r="RUN16" s="169"/>
      <c r="RUO16" s="169"/>
      <c r="RUP16" s="169"/>
      <c r="RUQ16" s="169"/>
      <c r="RUR16" s="169"/>
      <c r="RUS16" s="169"/>
      <c r="RUT16" s="169"/>
      <c r="RUU16" s="169"/>
      <c r="RUV16" s="169"/>
      <c r="RUW16" s="169"/>
      <c r="RUX16" s="169"/>
      <c r="RUY16" s="169"/>
      <c r="RUZ16" s="169"/>
      <c r="RVA16" s="169"/>
      <c r="RVB16" s="169"/>
      <c r="RVC16" s="169"/>
      <c r="RVD16" s="169"/>
      <c r="RVE16" s="169"/>
      <c r="RVF16" s="169"/>
      <c r="RVG16" s="169"/>
      <c r="RVH16" s="169"/>
      <c r="RVI16" s="169"/>
      <c r="RVJ16" s="169"/>
      <c r="RVK16" s="169"/>
      <c r="RVL16" s="169"/>
      <c r="RVM16" s="169"/>
      <c r="RVN16" s="169"/>
      <c r="RVO16" s="169"/>
      <c r="RVP16" s="169"/>
      <c r="RVQ16" s="169"/>
      <c r="RVR16" s="169"/>
      <c r="RVS16" s="169"/>
      <c r="RVT16" s="169"/>
      <c r="RVU16" s="169"/>
      <c r="RVV16" s="169"/>
      <c r="RVW16" s="169"/>
      <c r="RVX16" s="169"/>
      <c r="RVY16" s="169"/>
      <c r="RVZ16" s="169"/>
      <c r="RWA16" s="169"/>
      <c r="RWB16" s="169"/>
      <c r="RWC16" s="169"/>
      <c r="RWD16" s="169"/>
      <c r="RWE16" s="169"/>
      <c r="RWF16" s="169"/>
      <c r="RWG16" s="169"/>
      <c r="RWH16" s="169"/>
      <c r="RWI16" s="169"/>
      <c r="RWJ16" s="169"/>
      <c r="RWK16" s="169"/>
      <c r="RWL16" s="169"/>
      <c r="RWM16" s="169"/>
      <c r="RWN16" s="169"/>
      <c r="RWO16" s="169"/>
      <c r="RWP16" s="169"/>
      <c r="RWQ16" s="169"/>
      <c r="RWR16" s="169"/>
      <c r="RWS16" s="169"/>
      <c r="RWT16" s="169"/>
      <c r="RWU16" s="169"/>
      <c r="RWV16" s="169"/>
      <c r="RWW16" s="169"/>
      <c r="RWX16" s="169"/>
      <c r="RWY16" s="169"/>
      <c r="RWZ16" s="169"/>
      <c r="RXA16" s="169"/>
      <c r="RXB16" s="169"/>
      <c r="RXC16" s="169"/>
      <c r="RXD16" s="169"/>
      <c r="RXE16" s="169"/>
      <c r="RXF16" s="169"/>
      <c r="RXG16" s="169"/>
      <c r="RXH16" s="169"/>
      <c r="RXI16" s="169"/>
      <c r="RXJ16" s="169"/>
      <c r="RXK16" s="169"/>
      <c r="RXL16" s="169"/>
      <c r="RXM16" s="169"/>
      <c r="RXN16" s="169"/>
      <c r="RXO16" s="169"/>
      <c r="RXP16" s="169"/>
      <c r="RXQ16" s="169"/>
      <c r="RXR16" s="169"/>
      <c r="RXS16" s="169"/>
      <c r="RXT16" s="169"/>
      <c r="RXU16" s="169"/>
      <c r="RXV16" s="169"/>
      <c r="RXW16" s="169"/>
      <c r="RXX16" s="169"/>
      <c r="RXY16" s="169"/>
      <c r="RXZ16" s="169"/>
      <c r="RYA16" s="169"/>
      <c r="RYB16" s="169"/>
      <c r="RYC16" s="169"/>
      <c r="RYD16" s="169"/>
      <c r="RYE16" s="169"/>
      <c r="RYF16" s="169"/>
      <c r="RYG16" s="169"/>
      <c r="RYH16" s="169"/>
      <c r="RYI16" s="169"/>
      <c r="RYJ16" s="169"/>
      <c r="RYK16" s="169"/>
      <c r="RYL16" s="169"/>
      <c r="RYM16" s="169"/>
      <c r="RYN16" s="169"/>
      <c r="RYO16" s="169"/>
      <c r="RYP16" s="169"/>
      <c r="RYQ16" s="169"/>
      <c r="RYR16" s="169"/>
      <c r="RYS16" s="169"/>
      <c r="RYT16" s="169"/>
      <c r="RYU16" s="169"/>
      <c r="RYV16" s="169"/>
      <c r="RYW16" s="169"/>
      <c r="RYX16" s="169"/>
      <c r="RYY16" s="169"/>
      <c r="RYZ16" s="169"/>
      <c r="RZA16" s="169"/>
      <c r="RZB16" s="169"/>
      <c r="RZC16" s="169"/>
      <c r="RZD16" s="169"/>
      <c r="RZE16" s="169"/>
      <c r="RZF16" s="169"/>
      <c r="RZG16" s="169"/>
      <c r="RZH16" s="169"/>
      <c r="RZI16" s="169"/>
      <c r="RZJ16" s="169"/>
      <c r="RZK16" s="169"/>
      <c r="RZL16" s="169"/>
      <c r="RZM16" s="169"/>
      <c r="RZN16" s="169"/>
      <c r="RZO16" s="169"/>
      <c r="RZP16" s="169"/>
      <c r="RZQ16" s="169"/>
      <c r="RZR16" s="169"/>
      <c r="RZS16" s="169"/>
      <c r="RZT16" s="169"/>
      <c r="RZU16" s="169"/>
      <c r="RZV16" s="169"/>
      <c r="RZW16" s="169"/>
      <c r="RZX16" s="169"/>
      <c r="RZY16" s="169"/>
      <c r="RZZ16" s="169"/>
      <c r="SAA16" s="169"/>
      <c r="SAB16" s="169"/>
      <c r="SAC16" s="169"/>
      <c r="SAD16" s="169"/>
      <c r="SAE16" s="169"/>
      <c r="SAF16" s="169"/>
      <c r="SAG16" s="169"/>
      <c r="SAH16" s="169"/>
      <c r="SAI16" s="169"/>
      <c r="SAJ16" s="169"/>
      <c r="SAK16" s="169"/>
      <c r="SAL16" s="169"/>
      <c r="SAM16" s="169"/>
      <c r="SAN16" s="169"/>
      <c r="SAO16" s="169"/>
      <c r="SAP16" s="169"/>
      <c r="SAQ16" s="169"/>
      <c r="SAR16" s="169"/>
      <c r="SAS16" s="169"/>
      <c r="SAT16" s="169"/>
      <c r="SAU16" s="169"/>
      <c r="SAV16" s="169"/>
      <c r="SAW16" s="169"/>
      <c r="SAX16" s="169"/>
      <c r="SAY16" s="169"/>
      <c r="SAZ16" s="169"/>
      <c r="SBA16" s="169"/>
      <c r="SBB16" s="169"/>
      <c r="SBC16" s="169"/>
      <c r="SBD16" s="169"/>
      <c r="SBE16" s="169"/>
      <c r="SBF16" s="169"/>
      <c r="SBG16" s="169"/>
      <c r="SBH16" s="169"/>
      <c r="SBI16" s="169"/>
      <c r="SBJ16" s="169"/>
      <c r="SBK16" s="169"/>
      <c r="SBL16" s="169"/>
      <c r="SBM16" s="169"/>
      <c r="SBN16" s="169"/>
      <c r="SBO16" s="169"/>
      <c r="SBP16" s="169"/>
      <c r="SBQ16" s="169"/>
      <c r="SBR16" s="169"/>
      <c r="SBS16" s="169"/>
      <c r="SBT16" s="169"/>
      <c r="SBU16" s="169"/>
      <c r="SBV16" s="169"/>
      <c r="SBW16" s="169"/>
      <c r="SBX16" s="169"/>
      <c r="SBY16" s="169"/>
      <c r="SBZ16" s="169"/>
      <c r="SCA16" s="169"/>
      <c r="SCB16" s="169"/>
      <c r="SCC16" s="169"/>
      <c r="SCD16" s="169"/>
      <c r="SCE16" s="169"/>
      <c r="SCF16" s="169"/>
      <c r="SCG16" s="169"/>
      <c r="SCH16" s="169"/>
      <c r="SCI16" s="169"/>
      <c r="SCJ16" s="169"/>
      <c r="SCK16" s="169"/>
      <c r="SCL16" s="169"/>
      <c r="SCM16" s="169"/>
      <c r="SCN16" s="169"/>
      <c r="SCO16" s="169"/>
      <c r="SCP16" s="169"/>
      <c r="SCQ16" s="169"/>
      <c r="SCR16" s="169"/>
      <c r="SCS16" s="169"/>
      <c r="SCT16" s="169"/>
      <c r="SCU16" s="169"/>
      <c r="SCV16" s="169"/>
      <c r="SCW16" s="169"/>
      <c r="SCX16" s="169"/>
      <c r="SCY16" s="169"/>
      <c r="SCZ16" s="169"/>
      <c r="SDA16" s="169"/>
      <c r="SDB16" s="169"/>
      <c r="SDC16" s="169"/>
      <c r="SDD16" s="169"/>
      <c r="SDE16" s="169"/>
      <c r="SDF16" s="169"/>
      <c r="SDG16" s="169"/>
      <c r="SDH16" s="169"/>
      <c r="SDI16" s="169"/>
      <c r="SDJ16" s="169"/>
      <c r="SDK16" s="169"/>
      <c r="SDL16" s="169"/>
      <c r="SDM16" s="169"/>
      <c r="SDN16" s="169"/>
      <c r="SDO16" s="169"/>
      <c r="SDP16" s="169"/>
      <c r="SDQ16" s="169"/>
      <c r="SDR16" s="169"/>
      <c r="SDS16" s="169"/>
      <c r="SDT16" s="169"/>
      <c r="SDU16" s="169"/>
      <c r="SDV16" s="169"/>
      <c r="SDW16" s="169"/>
      <c r="SDX16" s="169"/>
      <c r="SDY16" s="169"/>
      <c r="SDZ16" s="169"/>
      <c r="SEA16" s="169"/>
      <c r="SEB16" s="169"/>
      <c r="SEC16" s="169"/>
      <c r="SED16" s="169"/>
      <c r="SEE16" s="169"/>
      <c r="SEF16" s="169"/>
      <c r="SEG16" s="169"/>
      <c r="SEH16" s="169"/>
      <c r="SEI16" s="169"/>
      <c r="SEJ16" s="169"/>
      <c r="SEK16" s="169"/>
      <c r="SEL16" s="169"/>
      <c r="SEM16" s="169"/>
      <c r="SEN16" s="169"/>
      <c r="SEO16" s="169"/>
      <c r="SEP16" s="169"/>
      <c r="SEQ16" s="169"/>
      <c r="SER16" s="169"/>
      <c r="SES16" s="169"/>
      <c r="SET16" s="169"/>
      <c r="SEU16" s="169"/>
      <c r="SEV16" s="169"/>
      <c r="SEW16" s="169"/>
      <c r="SEX16" s="169"/>
      <c r="SEY16" s="169"/>
      <c r="SEZ16" s="169"/>
      <c r="SFA16" s="169"/>
      <c r="SFB16" s="169"/>
      <c r="SFC16" s="169"/>
      <c r="SFD16" s="169"/>
      <c r="SFE16" s="169"/>
      <c r="SFF16" s="169"/>
      <c r="SFG16" s="169"/>
      <c r="SFH16" s="169"/>
      <c r="SFI16" s="169"/>
      <c r="SFJ16" s="169"/>
      <c r="SFK16" s="169"/>
      <c r="SFL16" s="169"/>
      <c r="SFM16" s="169"/>
      <c r="SFN16" s="169"/>
      <c r="SFO16" s="169"/>
      <c r="SFP16" s="169"/>
      <c r="SFQ16" s="169"/>
      <c r="SFR16" s="169"/>
      <c r="SFS16" s="169"/>
      <c r="SFT16" s="169"/>
      <c r="SFU16" s="169"/>
      <c r="SFV16" s="169"/>
      <c r="SFW16" s="169"/>
      <c r="SFX16" s="169"/>
      <c r="SFY16" s="169"/>
      <c r="SFZ16" s="169"/>
      <c r="SGA16" s="169"/>
      <c r="SGB16" s="169"/>
      <c r="SGC16" s="169"/>
      <c r="SGD16" s="169"/>
      <c r="SGE16" s="169"/>
      <c r="SGF16" s="169"/>
      <c r="SGG16" s="169"/>
      <c r="SGH16" s="169"/>
      <c r="SGI16" s="169"/>
      <c r="SGJ16" s="169"/>
      <c r="SGK16" s="169"/>
      <c r="SGL16" s="169"/>
      <c r="SGM16" s="169"/>
      <c r="SGN16" s="169"/>
      <c r="SGO16" s="169"/>
      <c r="SGP16" s="169"/>
      <c r="SGQ16" s="169"/>
      <c r="SGR16" s="169"/>
      <c r="SGS16" s="169"/>
      <c r="SGT16" s="169"/>
      <c r="SGU16" s="169"/>
      <c r="SGV16" s="169"/>
      <c r="SGW16" s="169"/>
      <c r="SGX16" s="169"/>
      <c r="SGY16" s="169"/>
      <c r="SGZ16" s="169"/>
      <c r="SHA16" s="169"/>
      <c r="SHB16" s="169"/>
      <c r="SHC16" s="169"/>
      <c r="SHD16" s="169"/>
      <c r="SHE16" s="169"/>
      <c r="SHF16" s="169"/>
      <c r="SHG16" s="169"/>
      <c r="SHH16" s="169"/>
      <c r="SHI16" s="169"/>
      <c r="SHJ16" s="169"/>
      <c r="SHK16" s="169"/>
      <c r="SHL16" s="169"/>
      <c r="SHM16" s="169"/>
      <c r="SHN16" s="169"/>
      <c r="SHO16" s="169"/>
      <c r="SHP16" s="169"/>
      <c r="SHQ16" s="169"/>
      <c r="SHR16" s="169"/>
      <c r="SHS16" s="169"/>
      <c r="SHT16" s="169"/>
      <c r="SHU16" s="169"/>
      <c r="SHV16" s="169"/>
      <c r="SHW16" s="169"/>
      <c r="SHX16" s="169"/>
      <c r="SHY16" s="169"/>
      <c r="SHZ16" s="169"/>
      <c r="SIA16" s="169"/>
      <c r="SIB16" s="169"/>
      <c r="SIC16" s="169"/>
      <c r="SID16" s="169"/>
      <c r="SIE16" s="169"/>
      <c r="SIF16" s="169"/>
      <c r="SIG16" s="169"/>
      <c r="SIH16" s="169"/>
      <c r="SII16" s="169"/>
      <c r="SIJ16" s="169"/>
      <c r="SIK16" s="169"/>
      <c r="SIL16" s="169"/>
      <c r="SIM16" s="169"/>
      <c r="SIN16" s="169"/>
      <c r="SIO16" s="169"/>
      <c r="SIP16" s="169"/>
      <c r="SIQ16" s="169"/>
      <c r="SIR16" s="169"/>
      <c r="SIS16" s="169"/>
      <c r="SIT16" s="169"/>
      <c r="SIU16" s="169"/>
      <c r="SIV16" s="169"/>
      <c r="SIW16" s="169"/>
      <c r="SIX16" s="169"/>
      <c r="SIY16" s="169"/>
      <c r="SIZ16" s="169"/>
      <c r="SJA16" s="169"/>
      <c r="SJB16" s="169"/>
      <c r="SJC16" s="169"/>
      <c r="SJD16" s="169"/>
      <c r="SJE16" s="169"/>
      <c r="SJF16" s="169"/>
      <c r="SJG16" s="169"/>
      <c r="SJH16" s="169"/>
      <c r="SJI16" s="169"/>
      <c r="SJJ16" s="169"/>
      <c r="SJK16" s="169"/>
      <c r="SJL16" s="169"/>
      <c r="SJM16" s="169"/>
      <c r="SJN16" s="169"/>
      <c r="SJO16" s="169"/>
      <c r="SJP16" s="169"/>
      <c r="SJQ16" s="169"/>
      <c r="SJR16" s="169"/>
      <c r="SJS16" s="169"/>
      <c r="SJT16" s="169"/>
      <c r="SJU16" s="169"/>
      <c r="SJV16" s="169"/>
      <c r="SJW16" s="169"/>
      <c r="SJX16" s="169"/>
      <c r="SJY16" s="169"/>
      <c r="SJZ16" s="169"/>
      <c r="SKA16" s="169"/>
      <c r="SKB16" s="169"/>
      <c r="SKC16" s="169"/>
      <c r="SKD16" s="169"/>
      <c r="SKE16" s="169"/>
      <c r="SKF16" s="169"/>
      <c r="SKG16" s="169"/>
      <c r="SKH16" s="169"/>
      <c r="SKI16" s="169"/>
      <c r="SKJ16" s="169"/>
      <c r="SKK16" s="169"/>
      <c r="SKL16" s="169"/>
      <c r="SKM16" s="169"/>
      <c r="SKN16" s="169"/>
      <c r="SKO16" s="169"/>
      <c r="SKP16" s="169"/>
      <c r="SKQ16" s="169"/>
      <c r="SKR16" s="169"/>
      <c r="SKS16" s="169"/>
      <c r="SKT16" s="169"/>
      <c r="SKU16" s="169"/>
      <c r="SKV16" s="169"/>
      <c r="SKW16" s="169"/>
      <c r="SKX16" s="169"/>
      <c r="SKY16" s="169"/>
      <c r="SKZ16" s="169"/>
      <c r="SLA16" s="169"/>
      <c r="SLB16" s="169"/>
      <c r="SLC16" s="169"/>
      <c r="SLD16" s="169"/>
      <c r="SLE16" s="169"/>
      <c r="SLF16" s="169"/>
      <c r="SLG16" s="169"/>
      <c r="SLH16" s="169"/>
      <c r="SLI16" s="169"/>
      <c r="SLJ16" s="169"/>
      <c r="SLK16" s="169"/>
      <c r="SLL16" s="169"/>
      <c r="SLM16" s="169"/>
      <c r="SLN16" s="169"/>
      <c r="SLO16" s="169"/>
      <c r="SLP16" s="169"/>
      <c r="SLQ16" s="169"/>
      <c r="SLR16" s="169"/>
      <c r="SLS16" s="169"/>
      <c r="SLT16" s="169"/>
      <c r="SLU16" s="169"/>
      <c r="SLV16" s="169"/>
      <c r="SLW16" s="169"/>
      <c r="SLX16" s="169"/>
      <c r="SLY16" s="169"/>
      <c r="SLZ16" s="169"/>
      <c r="SMA16" s="169"/>
      <c r="SMB16" s="169"/>
      <c r="SMC16" s="169"/>
      <c r="SMD16" s="169"/>
      <c r="SME16" s="169"/>
      <c r="SMF16" s="169"/>
      <c r="SMG16" s="169"/>
      <c r="SMH16" s="169"/>
      <c r="SMI16" s="169"/>
      <c r="SMJ16" s="169"/>
      <c r="SMK16" s="169"/>
      <c r="SML16" s="169"/>
      <c r="SMM16" s="169"/>
      <c r="SMN16" s="169"/>
      <c r="SMO16" s="169"/>
      <c r="SMP16" s="169"/>
      <c r="SMQ16" s="169"/>
      <c r="SMR16" s="169"/>
      <c r="SMS16" s="169"/>
      <c r="SMT16" s="169"/>
      <c r="SMU16" s="169"/>
      <c r="SMV16" s="169"/>
      <c r="SMW16" s="169"/>
      <c r="SMX16" s="169"/>
      <c r="SMY16" s="169"/>
      <c r="SMZ16" s="169"/>
      <c r="SNA16" s="169"/>
      <c r="SNB16" s="169"/>
      <c r="SNC16" s="169"/>
      <c r="SND16" s="169"/>
      <c r="SNE16" s="169"/>
      <c r="SNF16" s="169"/>
      <c r="SNG16" s="169"/>
      <c r="SNH16" s="169"/>
      <c r="SNI16" s="169"/>
      <c r="SNJ16" s="169"/>
      <c r="SNK16" s="169"/>
      <c r="SNL16" s="169"/>
      <c r="SNM16" s="169"/>
      <c r="SNN16" s="169"/>
      <c r="SNO16" s="169"/>
      <c r="SNP16" s="169"/>
      <c r="SNQ16" s="169"/>
      <c r="SNR16" s="169"/>
      <c r="SNS16" s="169"/>
      <c r="SNT16" s="169"/>
      <c r="SNU16" s="169"/>
      <c r="SNV16" s="169"/>
      <c r="SNW16" s="169"/>
      <c r="SNX16" s="169"/>
      <c r="SNY16" s="169"/>
      <c r="SNZ16" s="169"/>
      <c r="SOA16" s="169"/>
      <c r="SOB16" s="169"/>
      <c r="SOC16" s="169"/>
      <c r="SOD16" s="169"/>
      <c r="SOE16" s="169"/>
      <c r="SOF16" s="169"/>
      <c r="SOG16" s="169"/>
      <c r="SOH16" s="169"/>
      <c r="SOI16" s="169"/>
      <c r="SOJ16" s="169"/>
      <c r="SOK16" s="169"/>
      <c r="SOL16" s="169"/>
      <c r="SOM16" s="169"/>
      <c r="SON16" s="169"/>
      <c r="SOO16" s="169"/>
      <c r="SOP16" s="169"/>
      <c r="SOQ16" s="169"/>
      <c r="SOR16" s="169"/>
      <c r="SOS16" s="169"/>
      <c r="SOT16" s="169"/>
      <c r="SOU16" s="169"/>
      <c r="SOV16" s="169"/>
      <c r="SOW16" s="169"/>
      <c r="SOX16" s="169"/>
      <c r="SOY16" s="169"/>
      <c r="SOZ16" s="169"/>
      <c r="SPA16" s="169"/>
      <c r="SPB16" s="169"/>
      <c r="SPC16" s="169"/>
      <c r="SPD16" s="169"/>
      <c r="SPE16" s="169"/>
      <c r="SPF16" s="169"/>
      <c r="SPG16" s="169"/>
      <c r="SPH16" s="169"/>
      <c r="SPI16" s="169"/>
      <c r="SPJ16" s="169"/>
      <c r="SPK16" s="169"/>
      <c r="SPL16" s="169"/>
      <c r="SPM16" s="169"/>
      <c r="SPN16" s="169"/>
      <c r="SPO16" s="169"/>
      <c r="SPP16" s="169"/>
      <c r="SPQ16" s="169"/>
      <c r="SPR16" s="169"/>
      <c r="SPS16" s="169"/>
      <c r="SPT16" s="169"/>
      <c r="SPU16" s="169"/>
      <c r="SPV16" s="169"/>
      <c r="SPW16" s="169"/>
      <c r="SPX16" s="169"/>
      <c r="SPY16" s="169"/>
      <c r="SPZ16" s="169"/>
      <c r="SQA16" s="169"/>
      <c r="SQB16" s="169"/>
      <c r="SQC16" s="169"/>
      <c r="SQD16" s="169"/>
      <c r="SQE16" s="169"/>
      <c r="SQF16" s="169"/>
      <c r="SQG16" s="169"/>
      <c r="SQH16" s="169"/>
      <c r="SQI16" s="169"/>
      <c r="SQJ16" s="169"/>
      <c r="SQK16" s="169"/>
      <c r="SQL16" s="169"/>
      <c r="SQM16" s="169"/>
      <c r="SQN16" s="169"/>
      <c r="SQO16" s="169"/>
      <c r="SQP16" s="169"/>
      <c r="SQQ16" s="169"/>
      <c r="SQR16" s="169"/>
      <c r="SQS16" s="169"/>
      <c r="SQT16" s="169"/>
      <c r="SQU16" s="169"/>
      <c r="SQV16" s="169"/>
      <c r="SQW16" s="169"/>
      <c r="SQX16" s="169"/>
      <c r="SQY16" s="169"/>
      <c r="SQZ16" s="169"/>
      <c r="SRA16" s="169"/>
      <c r="SRB16" s="169"/>
      <c r="SRC16" s="169"/>
      <c r="SRD16" s="169"/>
      <c r="SRE16" s="169"/>
      <c r="SRF16" s="169"/>
      <c r="SRG16" s="169"/>
      <c r="SRH16" s="169"/>
      <c r="SRI16" s="169"/>
      <c r="SRJ16" s="169"/>
      <c r="SRK16" s="169"/>
      <c r="SRL16" s="169"/>
      <c r="SRM16" s="169"/>
      <c r="SRN16" s="169"/>
      <c r="SRO16" s="169"/>
      <c r="SRP16" s="169"/>
      <c r="SRQ16" s="169"/>
      <c r="SRR16" s="169"/>
      <c r="SRS16" s="169"/>
      <c r="SRT16" s="169"/>
      <c r="SRU16" s="169"/>
      <c r="SRV16" s="169"/>
      <c r="SRW16" s="169"/>
      <c r="SRX16" s="169"/>
      <c r="SRY16" s="169"/>
      <c r="SRZ16" s="169"/>
      <c r="SSA16" s="169"/>
      <c r="SSB16" s="169"/>
      <c r="SSC16" s="169"/>
      <c r="SSD16" s="169"/>
      <c r="SSE16" s="169"/>
      <c r="SSF16" s="169"/>
      <c r="SSG16" s="169"/>
      <c r="SSH16" s="169"/>
      <c r="SSI16" s="169"/>
      <c r="SSJ16" s="169"/>
      <c r="SSK16" s="169"/>
      <c r="SSL16" s="169"/>
      <c r="SSM16" s="169"/>
      <c r="SSN16" s="169"/>
      <c r="SSO16" s="169"/>
      <c r="SSP16" s="169"/>
      <c r="SSQ16" s="169"/>
      <c r="SSR16" s="169"/>
      <c r="SSS16" s="169"/>
      <c r="SST16" s="169"/>
      <c r="SSU16" s="169"/>
      <c r="SSV16" s="169"/>
      <c r="SSW16" s="169"/>
      <c r="SSX16" s="169"/>
      <c r="SSY16" s="169"/>
      <c r="SSZ16" s="169"/>
      <c r="STA16" s="169"/>
      <c r="STB16" s="169"/>
      <c r="STC16" s="169"/>
      <c r="STD16" s="169"/>
      <c r="STE16" s="169"/>
      <c r="STF16" s="169"/>
      <c r="STG16" s="169"/>
      <c r="STH16" s="169"/>
      <c r="STI16" s="169"/>
      <c r="STJ16" s="169"/>
      <c r="STK16" s="169"/>
      <c r="STL16" s="169"/>
      <c r="STM16" s="169"/>
      <c r="STN16" s="169"/>
      <c r="STO16" s="169"/>
      <c r="STP16" s="169"/>
      <c r="STQ16" s="169"/>
      <c r="STR16" s="169"/>
      <c r="STS16" s="169"/>
      <c r="STT16" s="169"/>
      <c r="STU16" s="169"/>
      <c r="STV16" s="169"/>
      <c r="STW16" s="169"/>
      <c r="STX16" s="169"/>
      <c r="STY16" s="169"/>
      <c r="STZ16" s="169"/>
      <c r="SUA16" s="169"/>
      <c r="SUB16" s="169"/>
      <c r="SUC16" s="169"/>
      <c r="SUD16" s="169"/>
      <c r="SUE16" s="169"/>
      <c r="SUF16" s="169"/>
      <c r="SUG16" s="169"/>
      <c r="SUH16" s="169"/>
      <c r="SUI16" s="169"/>
      <c r="SUJ16" s="169"/>
      <c r="SUK16" s="169"/>
      <c r="SUL16" s="169"/>
      <c r="SUM16" s="169"/>
      <c r="SUN16" s="169"/>
      <c r="SUO16" s="169"/>
      <c r="SUP16" s="169"/>
      <c r="SUQ16" s="169"/>
      <c r="SUR16" s="169"/>
      <c r="SUS16" s="169"/>
      <c r="SUT16" s="169"/>
      <c r="SUU16" s="169"/>
      <c r="SUV16" s="169"/>
      <c r="SUW16" s="169"/>
      <c r="SUX16" s="169"/>
      <c r="SUY16" s="169"/>
      <c r="SUZ16" s="169"/>
      <c r="SVA16" s="169"/>
      <c r="SVB16" s="169"/>
      <c r="SVC16" s="169"/>
      <c r="SVD16" s="169"/>
      <c r="SVE16" s="169"/>
      <c r="SVF16" s="169"/>
      <c r="SVG16" s="169"/>
      <c r="SVH16" s="169"/>
      <c r="SVI16" s="169"/>
      <c r="SVJ16" s="169"/>
      <c r="SVK16" s="169"/>
      <c r="SVL16" s="169"/>
      <c r="SVM16" s="169"/>
      <c r="SVN16" s="169"/>
      <c r="SVO16" s="169"/>
      <c r="SVP16" s="169"/>
      <c r="SVQ16" s="169"/>
      <c r="SVR16" s="169"/>
      <c r="SVS16" s="169"/>
      <c r="SVT16" s="169"/>
      <c r="SVU16" s="169"/>
      <c r="SVV16" s="169"/>
      <c r="SVW16" s="169"/>
      <c r="SVX16" s="169"/>
      <c r="SVY16" s="169"/>
      <c r="SVZ16" s="169"/>
      <c r="SWA16" s="169"/>
      <c r="SWB16" s="169"/>
      <c r="SWC16" s="169"/>
      <c r="SWD16" s="169"/>
      <c r="SWE16" s="169"/>
      <c r="SWF16" s="169"/>
      <c r="SWG16" s="169"/>
      <c r="SWH16" s="169"/>
      <c r="SWI16" s="169"/>
      <c r="SWJ16" s="169"/>
      <c r="SWK16" s="169"/>
      <c r="SWL16" s="169"/>
      <c r="SWM16" s="169"/>
      <c r="SWN16" s="169"/>
      <c r="SWO16" s="169"/>
      <c r="SWP16" s="169"/>
      <c r="SWQ16" s="169"/>
      <c r="SWR16" s="169"/>
      <c r="SWS16" s="169"/>
      <c r="SWT16" s="169"/>
      <c r="SWU16" s="169"/>
      <c r="SWV16" s="169"/>
      <c r="SWW16" s="169"/>
      <c r="SWX16" s="169"/>
      <c r="SWY16" s="169"/>
      <c r="SWZ16" s="169"/>
      <c r="SXA16" s="169"/>
      <c r="SXB16" s="169"/>
      <c r="SXC16" s="169"/>
      <c r="SXD16" s="169"/>
      <c r="SXE16" s="169"/>
      <c r="SXF16" s="169"/>
      <c r="SXG16" s="169"/>
      <c r="SXH16" s="169"/>
      <c r="SXI16" s="169"/>
      <c r="SXJ16" s="169"/>
      <c r="SXK16" s="169"/>
      <c r="SXL16" s="169"/>
      <c r="SXM16" s="169"/>
      <c r="SXN16" s="169"/>
      <c r="SXO16" s="169"/>
      <c r="SXP16" s="169"/>
      <c r="SXQ16" s="169"/>
      <c r="SXR16" s="169"/>
      <c r="SXS16" s="169"/>
      <c r="SXT16" s="169"/>
      <c r="SXU16" s="169"/>
      <c r="SXV16" s="169"/>
      <c r="SXW16" s="169"/>
      <c r="SXX16" s="169"/>
      <c r="SXY16" s="169"/>
      <c r="SXZ16" s="169"/>
      <c r="SYA16" s="169"/>
      <c r="SYB16" s="169"/>
      <c r="SYC16" s="169"/>
      <c r="SYD16" s="169"/>
      <c r="SYE16" s="169"/>
      <c r="SYF16" s="169"/>
      <c r="SYG16" s="169"/>
      <c r="SYH16" s="169"/>
      <c r="SYI16" s="169"/>
      <c r="SYJ16" s="169"/>
      <c r="SYK16" s="169"/>
      <c r="SYL16" s="169"/>
      <c r="SYM16" s="169"/>
      <c r="SYN16" s="169"/>
      <c r="SYO16" s="169"/>
      <c r="SYP16" s="169"/>
      <c r="SYQ16" s="169"/>
      <c r="SYR16" s="169"/>
      <c r="SYS16" s="169"/>
      <c r="SYT16" s="169"/>
      <c r="SYU16" s="169"/>
      <c r="SYV16" s="169"/>
      <c r="SYW16" s="169"/>
      <c r="SYX16" s="169"/>
      <c r="SYY16" s="169"/>
      <c r="SYZ16" s="169"/>
      <c r="SZA16" s="169"/>
      <c r="SZB16" s="169"/>
      <c r="SZC16" s="169"/>
      <c r="SZD16" s="169"/>
      <c r="SZE16" s="169"/>
      <c r="SZF16" s="169"/>
      <c r="SZG16" s="169"/>
      <c r="SZH16" s="169"/>
      <c r="SZI16" s="169"/>
      <c r="SZJ16" s="169"/>
      <c r="SZK16" s="169"/>
      <c r="SZL16" s="169"/>
      <c r="SZM16" s="169"/>
      <c r="SZN16" s="169"/>
      <c r="SZO16" s="169"/>
      <c r="SZP16" s="169"/>
      <c r="SZQ16" s="169"/>
      <c r="SZR16" s="169"/>
      <c r="SZS16" s="169"/>
      <c r="SZT16" s="169"/>
      <c r="SZU16" s="169"/>
      <c r="SZV16" s="169"/>
      <c r="SZW16" s="169"/>
      <c r="SZX16" s="169"/>
      <c r="SZY16" s="169"/>
      <c r="SZZ16" s="169"/>
      <c r="TAA16" s="169"/>
      <c r="TAB16" s="169"/>
      <c r="TAC16" s="169"/>
      <c r="TAD16" s="169"/>
      <c r="TAE16" s="169"/>
      <c r="TAF16" s="169"/>
      <c r="TAG16" s="169"/>
      <c r="TAH16" s="169"/>
      <c r="TAI16" s="169"/>
      <c r="TAJ16" s="169"/>
      <c r="TAK16" s="169"/>
      <c r="TAL16" s="169"/>
      <c r="TAM16" s="169"/>
      <c r="TAN16" s="169"/>
      <c r="TAO16" s="169"/>
      <c r="TAP16" s="169"/>
      <c r="TAQ16" s="169"/>
      <c r="TAR16" s="169"/>
      <c r="TAS16" s="169"/>
      <c r="TAT16" s="169"/>
      <c r="TAU16" s="169"/>
      <c r="TAV16" s="169"/>
      <c r="TAW16" s="169"/>
      <c r="TAX16" s="169"/>
      <c r="TAY16" s="169"/>
      <c r="TAZ16" s="169"/>
      <c r="TBA16" s="169"/>
      <c r="TBB16" s="169"/>
      <c r="TBC16" s="169"/>
      <c r="TBD16" s="169"/>
      <c r="TBE16" s="169"/>
      <c r="TBF16" s="169"/>
      <c r="TBG16" s="169"/>
      <c r="TBH16" s="169"/>
      <c r="TBI16" s="169"/>
      <c r="TBJ16" s="169"/>
      <c r="TBK16" s="169"/>
      <c r="TBL16" s="169"/>
      <c r="TBM16" s="169"/>
      <c r="TBN16" s="169"/>
      <c r="TBO16" s="169"/>
      <c r="TBP16" s="169"/>
      <c r="TBQ16" s="169"/>
      <c r="TBR16" s="169"/>
      <c r="TBS16" s="169"/>
      <c r="TBT16" s="169"/>
      <c r="TBU16" s="169"/>
      <c r="TBV16" s="169"/>
      <c r="TBW16" s="169"/>
      <c r="TBX16" s="169"/>
      <c r="TBY16" s="169"/>
      <c r="TBZ16" s="169"/>
      <c r="TCA16" s="169"/>
      <c r="TCB16" s="169"/>
      <c r="TCC16" s="169"/>
      <c r="TCD16" s="169"/>
      <c r="TCE16" s="169"/>
      <c r="TCF16" s="169"/>
      <c r="TCG16" s="169"/>
      <c r="TCH16" s="169"/>
      <c r="TCI16" s="169"/>
      <c r="TCJ16" s="169"/>
      <c r="TCK16" s="169"/>
      <c r="TCL16" s="169"/>
      <c r="TCM16" s="169"/>
      <c r="TCN16" s="169"/>
      <c r="TCO16" s="169"/>
      <c r="TCP16" s="169"/>
      <c r="TCQ16" s="169"/>
      <c r="TCR16" s="169"/>
      <c r="TCS16" s="169"/>
      <c r="TCT16" s="169"/>
      <c r="TCU16" s="169"/>
      <c r="TCV16" s="169"/>
      <c r="TCW16" s="169"/>
      <c r="TCX16" s="169"/>
      <c r="TCY16" s="169"/>
      <c r="TCZ16" s="169"/>
      <c r="TDA16" s="169"/>
      <c r="TDB16" s="169"/>
      <c r="TDC16" s="169"/>
      <c r="TDD16" s="169"/>
      <c r="TDE16" s="169"/>
      <c r="TDF16" s="169"/>
      <c r="TDG16" s="169"/>
      <c r="TDH16" s="169"/>
      <c r="TDI16" s="169"/>
      <c r="TDJ16" s="169"/>
      <c r="TDK16" s="169"/>
      <c r="TDL16" s="169"/>
      <c r="TDM16" s="169"/>
      <c r="TDN16" s="169"/>
      <c r="TDO16" s="169"/>
      <c r="TDP16" s="169"/>
      <c r="TDQ16" s="169"/>
      <c r="TDR16" s="169"/>
      <c r="TDS16" s="169"/>
      <c r="TDT16" s="169"/>
      <c r="TDU16" s="169"/>
      <c r="TDV16" s="169"/>
      <c r="TDW16" s="169"/>
      <c r="TDX16" s="169"/>
      <c r="TDY16" s="169"/>
      <c r="TDZ16" s="169"/>
      <c r="TEA16" s="169"/>
      <c r="TEB16" s="169"/>
      <c r="TEC16" s="169"/>
      <c r="TED16" s="169"/>
      <c r="TEE16" s="169"/>
      <c r="TEF16" s="169"/>
      <c r="TEG16" s="169"/>
      <c r="TEH16" s="169"/>
      <c r="TEI16" s="169"/>
      <c r="TEJ16" s="169"/>
      <c r="TEK16" s="169"/>
      <c r="TEL16" s="169"/>
      <c r="TEM16" s="169"/>
      <c r="TEN16" s="169"/>
      <c r="TEO16" s="169"/>
      <c r="TEP16" s="169"/>
      <c r="TEQ16" s="169"/>
      <c r="TER16" s="169"/>
      <c r="TES16" s="169"/>
      <c r="TET16" s="169"/>
      <c r="TEU16" s="169"/>
      <c r="TEV16" s="169"/>
      <c r="TEW16" s="169"/>
      <c r="TEX16" s="169"/>
      <c r="TEY16" s="169"/>
      <c r="TEZ16" s="169"/>
      <c r="TFA16" s="169"/>
      <c r="TFB16" s="169"/>
      <c r="TFC16" s="169"/>
      <c r="TFD16" s="169"/>
      <c r="TFE16" s="169"/>
      <c r="TFF16" s="169"/>
      <c r="TFG16" s="169"/>
      <c r="TFH16" s="169"/>
      <c r="TFI16" s="169"/>
      <c r="TFJ16" s="169"/>
      <c r="TFK16" s="169"/>
      <c r="TFL16" s="169"/>
      <c r="TFM16" s="169"/>
      <c r="TFN16" s="169"/>
      <c r="TFO16" s="169"/>
      <c r="TFP16" s="169"/>
      <c r="TFQ16" s="169"/>
      <c r="TFR16" s="169"/>
      <c r="TFS16" s="169"/>
      <c r="TFT16" s="169"/>
      <c r="TFU16" s="169"/>
      <c r="TFV16" s="169"/>
      <c r="TFW16" s="169"/>
      <c r="TFX16" s="169"/>
      <c r="TFY16" s="169"/>
      <c r="TFZ16" s="169"/>
      <c r="TGA16" s="169"/>
      <c r="TGB16" s="169"/>
      <c r="TGC16" s="169"/>
      <c r="TGD16" s="169"/>
      <c r="TGE16" s="169"/>
      <c r="TGF16" s="169"/>
      <c r="TGG16" s="169"/>
      <c r="TGH16" s="169"/>
      <c r="TGI16" s="169"/>
      <c r="TGJ16" s="169"/>
      <c r="TGK16" s="169"/>
      <c r="TGL16" s="169"/>
      <c r="TGM16" s="169"/>
      <c r="TGN16" s="169"/>
      <c r="TGO16" s="169"/>
      <c r="TGP16" s="169"/>
      <c r="TGQ16" s="169"/>
      <c r="TGR16" s="169"/>
      <c r="TGS16" s="169"/>
      <c r="TGT16" s="169"/>
      <c r="TGU16" s="169"/>
      <c r="TGV16" s="169"/>
      <c r="TGW16" s="169"/>
      <c r="TGX16" s="169"/>
      <c r="TGY16" s="169"/>
      <c r="TGZ16" s="169"/>
      <c r="THA16" s="169"/>
      <c r="THB16" s="169"/>
      <c r="THC16" s="169"/>
      <c r="THD16" s="169"/>
      <c r="THE16" s="169"/>
      <c r="THF16" s="169"/>
      <c r="THG16" s="169"/>
      <c r="THH16" s="169"/>
      <c r="THI16" s="169"/>
      <c r="THJ16" s="169"/>
      <c r="THK16" s="169"/>
      <c r="THL16" s="169"/>
      <c r="THM16" s="169"/>
      <c r="THN16" s="169"/>
      <c r="THO16" s="169"/>
      <c r="THP16" s="169"/>
      <c r="THQ16" s="169"/>
      <c r="THR16" s="169"/>
      <c r="THS16" s="169"/>
      <c r="THT16" s="169"/>
      <c r="THU16" s="169"/>
      <c r="THV16" s="169"/>
      <c r="THW16" s="169"/>
      <c r="THX16" s="169"/>
      <c r="THY16" s="169"/>
      <c r="THZ16" s="169"/>
      <c r="TIA16" s="169"/>
      <c r="TIB16" s="169"/>
      <c r="TIC16" s="169"/>
      <c r="TID16" s="169"/>
      <c r="TIE16" s="169"/>
      <c r="TIF16" s="169"/>
      <c r="TIG16" s="169"/>
      <c r="TIH16" s="169"/>
      <c r="TII16" s="169"/>
      <c r="TIJ16" s="169"/>
      <c r="TIK16" s="169"/>
      <c r="TIL16" s="169"/>
      <c r="TIM16" s="169"/>
      <c r="TIN16" s="169"/>
      <c r="TIO16" s="169"/>
      <c r="TIP16" s="169"/>
      <c r="TIQ16" s="169"/>
      <c r="TIR16" s="169"/>
      <c r="TIS16" s="169"/>
      <c r="TIT16" s="169"/>
      <c r="TIU16" s="169"/>
      <c r="TIV16" s="169"/>
      <c r="TIW16" s="169"/>
      <c r="TIX16" s="169"/>
      <c r="TIY16" s="169"/>
      <c r="TIZ16" s="169"/>
      <c r="TJA16" s="169"/>
      <c r="TJB16" s="169"/>
      <c r="TJC16" s="169"/>
      <c r="TJD16" s="169"/>
      <c r="TJE16" s="169"/>
      <c r="TJF16" s="169"/>
      <c r="TJG16" s="169"/>
      <c r="TJH16" s="169"/>
      <c r="TJI16" s="169"/>
      <c r="TJJ16" s="169"/>
      <c r="TJK16" s="169"/>
      <c r="TJL16" s="169"/>
      <c r="TJM16" s="169"/>
      <c r="TJN16" s="169"/>
      <c r="TJO16" s="169"/>
      <c r="TJP16" s="169"/>
      <c r="TJQ16" s="169"/>
      <c r="TJR16" s="169"/>
      <c r="TJS16" s="169"/>
      <c r="TJT16" s="169"/>
      <c r="TJU16" s="169"/>
      <c r="TJV16" s="169"/>
      <c r="TJW16" s="169"/>
      <c r="TJX16" s="169"/>
      <c r="TJY16" s="169"/>
      <c r="TJZ16" s="169"/>
      <c r="TKA16" s="169"/>
      <c r="TKB16" s="169"/>
      <c r="TKC16" s="169"/>
      <c r="TKD16" s="169"/>
      <c r="TKE16" s="169"/>
      <c r="TKF16" s="169"/>
      <c r="TKG16" s="169"/>
      <c r="TKH16" s="169"/>
      <c r="TKI16" s="169"/>
      <c r="TKJ16" s="169"/>
      <c r="TKK16" s="169"/>
      <c r="TKL16" s="169"/>
      <c r="TKM16" s="169"/>
      <c r="TKN16" s="169"/>
      <c r="TKO16" s="169"/>
      <c r="TKP16" s="169"/>
      <c r="TKQ16" s="169"/>
      <c r="TKR16" s="169"/>
      <c r="TKS16" s="169"/>
      <c r="TKT16" s="169"/>
      <c r="TKU16" s="169"/>
      <c r="TKV16" s="169"/>
      <c r="TKW16" s="169"/>
      <c r="TKX16" s="169"/>
      <c r="TKY16" s="169"/>
      <c r="TKZ16" s="169"/>
      <c r="TLA16" s="169"/>
      <c r="TLB16" s="169"/>
      <c r="TLC16" s="169"/>
      <c r="TLD16" s="169"/>
      <c r="TLE16" s="169"/>
      <c r="TLF16" s="169"/>
      <c r="TLG16" s="169"/>
      <c r="TLH16" s="169"/>
      <c r="TLI16" s="169"/>
      <c r="TLJ16" s="169"/>
      <c r="TLK16" s="169"/>
      <c r="TLL16" s="169"/>
      <c r="TLM16" s="169"/>
      <c r="TLN16" s="169"/>
      <c r="TLO16" s="169"/>
      <c r="TLP16" s="169"/>
      <c r="TLQ16" s="169"/>
      <c r="TLR16" s="169"/>
      <c r="TLS16" s="169"/>
      <c r="TLT16" s="169"/>
      <c r="TLU16" s="169"/>
      <c r="TLV16" s="169"/>
      <c r="TLW16" s="169"/>
      <c r="TLX16" s="169"/>
      <c r="TLY16" s="169"/>
      <c r="TLZ16" s="169"/>
      <c r="TMA16" s="169"/>
      <c r="TMB16" s="169"/>
      <c r="TMC16" s="169"/>
      <c r="TMD16" s="169"/>
      <c r="TME16" s="169"/>
      <c r="TMF16" s="169"/>
      <c r="TMG16" s="169"/>
      <c r="TMH16" s="169"/>
      <c r="TMI16" s="169"/>
      <c r="TMJ16" s="169"/>
      <c r="TMK16" s="169"/>
      <c r="TML16" s="169"/>
      <c r="TMM16" s="169"/>
      <c r="TMN16" s="169"/>
      <c r="TMO16" s="169"/>
      <c r="TMP16" s="169"/>
      <c r="TMQ16" s="169"/>
      <c r="TMR16" s="169"/>
      <c r="TMS16" s="169"/>
      <c r="TMT16" s="169"/>
      <c r="TMU16" s="169"/>
      <c r="TMV16" s="169"/>
      <c r="TMW16" s="169"/>
      <c r="TMX16" s="169"/>
      <c r="TMY16" s="169"/>
      <c r="TMZ16" s="169"/>
      <c r="TNA16" s="169"/>
      <c r="TNB16" s="169"/>
      <c r="TNC16" s="169"/>
      <c r="TND16" s="169"/>
      <c r="TNE16" s="169"/>
      <c r="TNF16" s="169"/>
      <c r="TNG16" s="169"/>
      <c r="TNH16" s="169"/>
      <c r="TNI16" s="169"/>
      <c r="TNJ16" s="169"/>
      <c r="TNK16" s="169"/>
      <c r="TNL16" s="169"/>
      <c r="TNM16" s="169"/>
      <c r="TNN16" s="169"/>
      <c r="TNO16" s="169"/>
      <c r="TNP16" s="169"/>
      <c r="TNQ16" s="169"/>
      <c r="TNR16" s="169"/>
      <c r="TNS16" s="169"/>
      <c r="TNT16" s="169"/>
      <c r="TNU16" s="169"/>
      <c r="TNV16" s="169"/>
      <c r="TNW16" s="169"/>
      <c r="TNX16" s="169"/>
      <c r="TNY16" s="169"/>
      <c r="TNZ16" s="169"/>
      <c r="TOA16" s="169"/>
      <c r="TOB16" s="169"/>
      <c r="TOC16" s="169"/>
      <c r="TOD16" s="169"/>
      <c r="TOE16" s="169"/>
      <c r="TOF16" s="169"/>
      <c r="TOG16" s="169"/>
      <c r="TOH16" s="169"/>
      <c r="TOI16" s="169"/>
      <c r="TOJ16" s="169"/>
      <c r="TOK16" s="169"/>
      <c r="TOL16" s="169"/>
      <c r="TOM16" s="169"/>
      <c r="TON16" s="169"/>
      <c r="TOO16" s="169"/>
      <c r="TOP16" s="169"/>
      <c r="TOQ16" s="169"/>
      <c r="TOR16" s="169"/>
      <c r="TOS16" s="169"/>
      <c r="TOT16" s="169"/>
      <c r="TOU16" s="169"/>
      <c r="TOV16" s="169"/>
      <c r="TOW16" s="169"/>
      <c r="TOX16" s="169"/>
      <c r="TOY16" s="169"/>
      <c r="TOZ16" s="169"/>
      <c r="TPA16" s="169"/>
      <c r="TPB16" s="169"/>
      <c r="TPC16" s="169"/>
      <c r="TPD16" s="169"/>
      <c r="TPE16" s="169"/>
      <c r="TPF16" s="169"/>
      <c r="TPG16" s="169"/>
      <c r="TPH16" s="169"/>
      <c r="TPI16" s="169"/>
      <c r="TPJ16" s="169"/>
      <c r="TPK16" s="169"/>
      <c r="TPL16" s="169"/>
      <c r="TPM16" s="169"/>
      <c r="TPN16" s="169"/>
      <c r="TPO16" s="169"/>
      <c r="TPP16" s="169"/>
      <c r="TPQ16" s="169"/>
      <c r="TPR16" s="169"/>
      <c r="TPS16" s="169"/>
      <c r="TPT16" s="169"/>
      <c r="TPU16" s="169"/>
      <c r="TPV16" s="169"/>
      <c r="TPW16" s="169"/>
      <c r="TPX16" s="169"/>
      <c r="TPY16" s="169"/>
      <c r="TPZ16" s="169"/>
      <c r="TQA16" s="169"/>
      <c r="TQB16" s="169"/>
      <c r="TQC16" s="169"/>
      <c r="TQD16" s="169"/>
      <c r="TQE16" s="169"/>
      <c r="TQF16" s="169"/>
      <c r="TQG16" s="169"/>
      <c r="TQH16" s="169"/>
      <c r="TQI16" s="169"/>
      <c r="TQJ16" s="169"/>
      <c r="TQK16" s="169"/>
      <c r="TQL16" s="169"/>
      <c r="TQM16" s="169"/>
      <c r="TQN16" s="169"/>
      <c r="TQO16" s="169"/>
      <c r="TQP16" s="169"/>
      <c r="TQQ16" s="169"/>
      <c r="TQR16" s="169"/>
      <c r="TQS16" s="169"/>
      <c r="TQT16" s="169"/>
      <c r="TQU16" s="169"/>
      <c r="TQV16" s="169"/>
      <c r="TQW16" s="169"/>
      <c r="TQX16" s="169"/>
      <c r="TQY16" s="169"/>
      <c r="TQZ16" s="169"/>
      <c r="TRA16" s="169"/>
      <c r="TRB16" s="169"/>
      <c r="TRC16" s="169"/>
      <c r="TRD16" s="169"/>
      <c r="TRE16" s="169"/>
      <c r="TRF16" s="169"/>
      <c r="TRG16" s="169"/>
      <c r="TRH16" s="169"/>
      <c r="TRI16" s="169"/>
      <c r="TRJ16" s="169"/>
      <c r="TRK16" s="169"/>
      <c r="TRL16" s="169"/>
      <c r="TRM16" s="169"/>
      <c r="TRN16" s="169"/>
      <c r="TRO16" s="169"/>
      <c r="TRP16" s="169"/>
      <c r="TRQ16" s="169"/>
      <c r="TRR16" s="169"/>
      <c r="TRS16" s="169"/>
      <c r="TRT16" s="169"/>
      <c r="TRU16" s="169"/>
      <c r="TRV16" s="169"/>
      <c r="TRW16" s="169"/>
      <c r="TRX16" s="169"/>
      <c r="TRY16" s="169"/>
      <c r="TRZ16" s="169"/>
      <c r="TSA16" s="169"/>
      <c r="TSB16" s="169"/>
      <c r="TSC16" s="169"/>
      <c r="TSD16" s="169"/>
      <c r="TSE16" s="169"/>
      <c r="TSF16" s="169"/>
      <c r="TSG16" s="169"/>
      <c r="TSH16" s="169"/>
      <c r="TSI16" s="169"/>
      <c r="TSJ16" s="169"/>
      <c r="TSK16" s="169"/>
      <c r="TSL16" s="169"/>
      <c r="TSM16" s="169"/>
      <c r="TSN16" s="169"/>
      <c r="TSO16" s="169"/>
      <c r="TSP16" s="169"/>
      <c r="TSQ16" s="169"/>
      <c r="TSR16" s="169"/>
      <c r="TSS16" s="169"/>
      <c r="TST16" s="169"/>
      <c r="TSU16" s="169"/>
      <c r="TSV16" s="169"/>
      <c r="TSW16" s="169"/>
      <c r="TSX16" s="169"/>
      <c r="TSY16" s="169"/>
      <c r="TSZ16" s="169"/>
      <c r="TTA16" s="169"/>
      <c r="TTB16" s="169"/>
      <c r="TTC16" s="169"/>
      <c r="TTD16" s="169"/>
      <c r="TTE16" s="169"/>
      <c r="TTF16" s="169"/>
      <c r="TTG16" s="169"/>
      <c r="TTH16" s="169"/>
      <c r="TTI16" s="169"/>
      <c r="TTJ16" s="169"/>
      <c r="TTK16" s="169"/>
      <c r="TTL16" s="169"/>
      <c r="TTM16" s="169"/>
      <c r="TTN16" s="169"/>
      <c r="TTO16" s="169"/>
      <c r="TTP16" s="169"/>
      <c r="TTQ16" s="169"/>
      <c r="TTR16" s="169"/>
      <c r="TTS16" s="169"/>
      <c r="TTT16" s="169"/>
      <c r="TTU16" s="169"/>
      <c r="TTV16" s="169"/>
      <c r="TTW16" s="169"/>
      <c r="TTX16" s="169"/>
      <c r="TTY16" s="169"/>
      <c r="TTZ16" s="169"/>
      <c r="TUA16" s="169"/>
      <c r="TUB16" s="169"/>
      <c r="TUC16" s="169"/>
      <c r="TUD16" s="169"/>
      <c r="TUE16" s="169"/>
      <c r="TUF16" s="169"/>
      <c r="TUG16" s="169"/>
      <c r="TUH16" s="169"/>
      <c r="TUI16" s="169"/>
      <c r="TUJ16" s="169"/>
      <c r="TUK16" s="169"/>
      <c r="TUL16" s="169"/>
      <c r="TUM16" s="169"/>
      <c r="TUN16" s="169"/>
      <c r="TUO16" s="169"/>
      <c r="TUP16" s="169"/>
      <c r="TUQ16" s="169"/>
      <c r="TUR16" s="169"/>
      <c r="TUS16" s="169"/>
      <c r="TUT16" s="169"/>
      <c r="TUU16" s="169"/>
      <c r="TUV16" s="169"/>
      <c r="TUW16" s="169"/>
      <c r="TUX16" s="169"/>
      <c r="TUY16" s="169"/>
      <c r="TUZ16" s="169"/>
      <c r="TVA16" s="169"/>
      <c r="TVB16" s="169"/>
      <c r="TVC16" s="169"/>
      <c r="TVD16" s="169"/>
      <c r="TVE16" s="169"/>
      <c r="TVF16" s="169"/>
      <c r="TVG16" s="169"/>
      <c r="TVH16" s="169"/>
      <c r="TVI16" s="169"/>
      <c r="TVJ16" s="169"/>
      <c r="TVK16" s="169"/>
      <c r="TVL16" s="169"/>
      <c r="TVM16" s="169"/>
      <c r="TVN16" s="169"/>
      <c r="TVO16" s="169"/>
      <c r="TVP16" s="169"/>
      <c r="TVQ16" s="169"/>
      <c r="TVR16" s="169"/>
      <c r="TVS16" s="169"/>
      <c r="TVT16" s="169"/>
      <c r="TVU16" s="169"/>
      <c r="TVV16" s="169"/>
      <c r="TVW16" s="169"/>
      <c r="TVX16" s="169"/>
      <c r="TVY16" s="169"/>
      <c r="TVZ16" s="169"/>
      <c r="TWA16" s="169"/>
      <c r="TWB16" s="169"/>
      <c r="TWC16" s="169"/>
      <c r="TWD16" s="169"/>
      <c r="TWE16" s="169"/>
      <c r="TWF16" s="169"/>
      <c r="TWG16" s="169"/>
      <c r="TWH16" s="169"/>
      <c r="TWI16" s="169"/>
      <c r="TWJ16" s="169"/>
      <c r="TWK16" s="169"/>
      <c r="TWL16" s="169"/>
      <c r="TWM16" s="169"/>
      <c r="TWN16" s="169"/>
      <c r="TWO16" s="169"/>
      <c r="TWP16" s="169"/>
      <c r="TWQ16" s="169"/>
      <c r="TWR16" s="169"/>
      <c r="TWS16" s="169"/>
      <c r="TWT16" s="169"/>
      <c r="TWU16" s="169"/>
      <c r="TWV16" s="169"/>
      <c r="TWW16" s="169"/>
      <c r="TWX16" s="169"/>
      <c r="TWY16" s="169"/>
      <c r="TWZ16" s="169"/>
      <c r="TXA16" s="169"/>
      <c r="TXB16" s="169"/>
      <c r="TXC16" s="169"/>
      <c r="TXD16" s="169"/>
      <c r="TXE16" s="169"/>
      <c r="TXF16" s="169"/>
      <c r="TXG16" s="169"/>
      <c r="TXH16" s="169"/>
      <c r="TXI16" s="169"/>
      <c r="TXJ16" s="169"/>
      <c r="TXK16" s="169"/>
      <c r="TXL16" s="169"/>
      <c r="TXM16" s="169"/>
      <c r="TXN16" s="169"/>
      <c r="TXO16" s="169"/>
      <c r="TXP16" s="169"/>
      <c r="TXQ16" s="169"/>
      <c r="TXR16" s="169"/>
      <c r="TXS16" s="169"/>
      <c r="TXT16" s="169"/>
      <c r="TXU16" s="169"/>
      <c r="TXV16" s="169"/>
      <c r="TXW16" s="169"/>
      <c r="TXX16" s="169"/>
      <c r="TXY16" s="169"/>
      <c r="TXZ16" s="169"/>
      <c r="TYA16" s="169"/>
      <c r="TYB16" s="169"/>
      <c r="TYC16" s="169"/>
      <c r="TYD16" s="169"/>
      <c r="TYE16" s="169"/>
      <c r="TYF16" s="169"/>
      <c r="TYG16" s="169"/>
      <c r="TYH16" s="169"/>
      <c r="TYI16" s="169"/>
      <c r="TYJ16" s="169"/>
      <c r="TYK16" s="169"/>
      <c r="TYL16" s="169"/>
      <c r="TYM16" s="169"/>
      <c r="TYN16" s="169"/>
      <c r="TYO16" s="169"/>
      <c r="TYP16" s="169"/>
      <c r="TYQ16" s="169"/>
      <c r="TYR16" s="169"/>
      <c r="TYS16" s="169"/>
      <c r="TYT16" s="169"/>
      <c r="TYU16" s="169"/>
      <c r="TYV16" s="169"/>
      <c r="TYW16" s="169"/>
      <c r="TYX16" s="169"/>
      <c r="TYY16" s="169"/>
      <c r="TYZ16" s="169"/>
      <c r="TZA16" s="169"/>
      <c r="TZB16" s="169"/>
      <c r="TZC16" s="169"/>
      <c r="TZD16" s="169"/>
      <c r="TZE16" s="169"/>
      <c r="TZF16" s="169"/>
      <c r="TZG16" s="169"/>
      <c r="TZH16" s="169"/>
      <c r="TZI16" s="169"/>
      <c r="TZJ16" s="169"/>
      <c r="TZK16" s="169"/>
      <c r="TZL16" s="169"/>
      <c r="TZM16" s="169"/>
      <c r="TZN16" s="169"/>
      <c r="TZO16" s="169"/>
      <c r="TZP16" s="169"/>
      <c r="TZQ16" s="169"/>
      <c r="TZR16" s="169"/>
      <c r="TZS16" s="169"/>
      <c r="TZT16" s="169"/>
      <c r="TZU16" s="169"/>
      <c r="TZV16" s="169"/>
      <c r="TZW16" s="169"/>
      <c r="TZX16" s="169"/>
      <c r="TZY16" s="169"/>
      <c r="TZZ16" s="169"/>
      <c r="UAA16" s="169"/>
      <c r="UAB16" s="169"/>
      <c r="UAC16" s="169"/>
      <c r="UAD16" s="169"/>
      <c r="UAE16" s="169"/>
      <c r="UAF16" s="169"/>
      <c r="UAG16" s="169"/>
      <c r="UAH16" s="169"/>
      <c r="UAI16" s="169"/>
      <c r="UAJ16" s="169"/>
      <c r="UAK16" s="169"/>
      <c r="UAL16" s="169"/>
      <c r="UAM16" s="169"/>
      <c r="UAN16" s="169"/>
      <c r="UAO16" s="169"/>
      <c r="UAP16" s="169"/>
      <c r="UAQ16" s="169"/>
      <c r="UAR16" s="169"/>
      <c r="UAS16" s="169"/>
      <c r="UAT16" s="169"/>
      <c r="UAU16" s="169"/>
      <c r="UAV16" s="169"/>
      <c r="UAW16" s="169"/>
      <c r="UAX16" s="169"/>
      <c r="UAY16" s="169"/>
      <c r="UAZ16" s="169"/>
      <c r="UBA16" s="169"/>
      <c r="UBB16" s="169"/>
      <c r="UBC16" s="169"/>
      <c r="UBD16" s="169"/>
      <c r="UBE16" s="169"/>
      <c r="UBF16" s="169"/>
      <c r="UBG16" s="169"/>
      <c r="UBH16" s="169"/>
      <c r="UBI16" s="169"/>
      <c r="UBJ16" s="169"/>
      <c r="UBK16" s="169"/>
      <c r="UBL16" s="169"/>
      <c r="UBM16" s="169"/>
      <c r="UBN16" s="169"/>
      <c r="UBO16" s="169"/>
      <c r="UBP16" s="169"/>
      <c r="UBQ16" s="169"/>
      <c r="UBR16" s="169"/>
      <c r="UBS16" s="169"/>
      <c r="UBT16" s="169"/>
      <c r="UBU16" s="169"/>
      <c r="UBV16" s="169"/>
      <c r="UBW16" s="169"/>
      <c r="UBX16" s="169"/>
      <c r="UBY16" s="169"/>
      <c r="UBZ16" s="169"/>
      <c r="UCA16" s="169"/>
      <c r="UCB16" s="169"/>
      <c r="UCC16" s="169"/>
      <c r="UCD16" s="169"/>
      <c r="UCE16" s="169"/>
      <c r="UCF16" s="169"/>
      <c r="UCG16" s="169"/>
      <c r="UCH16" s="169"/>
      <c r="UCI16" s="169"/>
      <c r="UCJ16" s="169"/>
      <c r="UCK16" s="169"/>
      <c r="UCL16" s="169"/>
      <c r="UCM16" s="169"/>
      <c r="UCN16" s="169"/>
      <c r="UCO16" s="169"/>
      <c r="UCP16" s="169"/>
      <c r="UCQ16" s="169"/>
      <c r="UCR16" s="169"/>
      <c r="UCS16" s="169"/>
      <c r="UCT16" s="169"/>
      <c r="UCU16" s="169"/>
      <c r="UCV16" s="169"/>
      <c r="UCW16" s="169"/>
      <c r="UCX16" s="169"/>
      <c r="UCY16" s="169"/>
      <c r="UCZ16" s="169"/>
      <c r="UDA16" s="169"/>
      <c r="UDB16" s="169"/>
      <c r="UDC16" s="169"/>
      <c r="UDD16" s="169"/>
      <c r="UDE16" s="169"/>
      <c r="UDF16" s="169"/>
      <c r="UDG16" s="169"/>
      <c r="UDH16" s="169"/>
      <c r="UDI16" s="169"/>
      <c r="UDJ16" s="169"/>
      <c r="UDK16" s="169"/>
      <c r="UDL16" s="169"/>
      <c r="UDM16" s="169"/>
      <c r="UDN16" s="169"/>
      <c r="UDO16" s="169"/>
      <c r="UDP16" s="169"/>
      <c r="UDQ16" s="169"/>
      <c r="UDR16" s="169"/>
      <c r="UDS16" s="169"/>
      <c r="UDT16" s="169"/>
      <c r="UDU16" s="169"/>
      <c r="UDV16" s="169"/>
      <c r="UDW16" s="169"/>
      <c r="UDX16" s="169"/>
      <c r="UDY16" s="169"/>
      <c r="UDZ16" s="169"/>
      <c r="UEA16" s="169"/>
      <c r="UEB16" s="169"/>
      <c r="UEC16" s="169"/>
      <c r="UED16" s="169"/>
      <c r="UEE16" s="169"/>
      <c r="UEF16" s="169"/>
      <c r="UEG16" s="169"/>
      <c r="UEH16" s="169"/>
      <c r="UEI16" s="169"/>
      <c r="UEJ16" s="169"/>
      <c r="UEK16" s="169"/>
      <c r="UEL16" s="169"/>
      <c r="UEM16" s="169"/>
      <c r="UEN16" s="169"/>
      <c r="UEO16" s="169"/>
      <c r="UEP16" s="169"/>
      <c r="UEQ16" s="169"/>
      <c r="UER16" s="169"/>
      <c r="UES16" s="169"/>
      <c r="UET16" s="169"/>
      <c r="UEU16" s="169"/>
      <c r="UEV16" s="169"/>
      <c r="UEW16" s="169"/>
      <c r="UEX16" s="169"/>
      <c r="UEY16" s="169"/>
      <c r="UEZ16" s="169"/>
      <c r="UFA16" s="169"/>
      <c r="UFB16" s="169"/>
      <c r="UFC16" s="169"/>
      <c r="UFD16" s="169"/>
      <c r="UFE16" s="169"/>
      <c r="UFF16" s="169"/>
      <c r="UFG16" s="169"/>
      <c r="UFH16" s="169"/>
      <c r="UFI16" s="169"/>
      <c r="UFJ16" s="169"/>
      <c r="UFK16" s="169"/>
      <c r="UFL16" s="169"/>
      <c r="UFM16" s="169"/>
      <c r="UFN16" s="169"/>
      <c r="UFO16" s="169"/>
      <c r="UFP16" s="169"/>
      <c r="UFQ16" s="169"/>
      <c r="UFR16" s="169"/>
      <c r="UFS16" s="169"/>
      <c r="UFT16" s="169"/>
      <c r="UFU16" s="169"/>
      <c r="UFV16" s="169"/>
      <c r="UFW16" s="169"/>
      <c r="UFX16" s="169"/>
      <c r="UFY16" s="169"/>
      <c r="UFZ16" s="169"/>
      <c r="UGA16" s="169"/>
      <c r="UGB16" s="169"/>
      <c r="UGC16" s="169"/>
      <c r="UGD16" s="169"/>
      <c r="UGE16" s="169"/>
      <c r="UGF16" s="169"/>
      <c r="UGG16" s="169"/>
      <c r="UGH16" s="169"/>
      <c r="UGI16" s="169"/>
      <c r="UGJ16" s="169"/>
      <c r="UGK16" s="169"/>
      <c r="UGL16" s="169"/>
      <c r="UGM16" s="169"/>
      <c r="UGN16" s="169"/>
      <c r="UGO16" s="169"/>
      <c r="UGP16" s="169"/>
      <c r="UGQ16" s="169"/>
      <c r="UGR16" s="169"/>
      <c r="UGS16" s="169"/>
      <c r="UGT16" s="169"/>
      <c r="UGU16" s="169"/>
      <c r="UGV16" s="169"/>
      <c r="UGW16" s="169"/>
      <c r="UGX16" s="169"/>
      <c r="UGY16" s="169"/>
      <c r="UGZ16" s="169"/>
      <c r="UHA16" s="169"/>
      <c r="UHB16" s="169"/>
      <c r="UHC16" s="169"/>
      <c r="UHD16" s="169"/>
      <c r="UHE16" s="169"/>
      <c r="UHF16" s="169"/>
      <c r="UHG16" s="169"/>
      <c r="UHH16" s="169"/>
      <c r="UHI16" s="169"/>
      <c r="UHJ16" s="169"/>
      <c r="UHK16" s="169"/>
      <c r="UHL16" s="169"/>
      <c r="UHM16" s="169"/>
      <c r="UHN16" s="169"/>
      <c r="UHO16" s="169"/>
      <c r="UHP16" s="169"/>
      <c r="UHQ16" s="169"/>
      <c r="UHR16" s="169"/>
      <c r="UHS16" s="169"/>
      <c r="UHT16" s="169"/>
      <c r="UHU16" s="169"/>
      <c r="UHV16" s="169"/>
      <c r="UHW16" s="169"/>
      <c r="UHX16" s="169"/>
      <c r="UHY16" s="169"/>
      <c r="UHZ16" s="169"/>
      <c r="UIA16" s="169"/>
      <c r="UIB16" s="169"/>
      <c r="UIC16" s="169"/>
      <c r="UID16" s="169"/>
      <c r="UIE16" s="169"/>
      <c r="UIF16" s="169"/>
      <c r="UIG16" s="169"/>
      <c r="UIH16" s="169"/>
      <c r="UII16" s="169"/>
      <c r="UIJ16" s="169"/>
      <c r="UIK16" s="169"/>
      <c r="UIL16" s="169"/>
      <c r="UIM16" s="169"/>
      <c r="UIN16" s="169"/>
      <c r="UIO16" s="169"/>
      <c r="UIP16" s="169"/>
      <c r="UIQ16" s="169"/>
      <c r="UIR16" s="169"/>
      <c r="UIS16" s="169"/>
      <c r="UIT16" s="169"/>
      <c r="UIU16" s="169"/>
      <c r="UIV16" s="169"/>
      <c r="UIW16" s="169"/>
      <c r="UIX16" s="169"/>
      <c r="UIY16" s="169"/>
      <c r="UIZ16" s="169"/>
      <c r="UJA16" s="169"/>
      <c r="UJB16" s="169"/>
      <c r="UJC16" s="169"/>
      <c r="UJD16" s="169"/>
      <c r="UJE16" s="169"/>
      <c r="UJF16" s="169"/>
      <c r="UJG16" s="169"/>
      <c r="UJH16" s="169"/>
      <c r="UJI16" s="169"/>
      <c r="UJJ16" s="169"/>
      <c r="UJK16" s="169"/>
      <c r="UJL16" s="169"/>
      <c r="UJM16" s="169"/>
      <c r="UJN16" s="169"/>
      <c r="UJO16" s="169"/>
      <c r="UJP16" s="169"/>
      <c r="UJQ16" s="169"/>
      <c r="UJR16" s="169"/>
      <c r="UJS16" s="169"/>
      <c r="UJT16" s="169"/>
      <c r="UJU16" s="169"/>
      <c r="UJV16" s="169"/>
      <c r="UJW16" s="169"/>
      <c r="UJX16" s="169"/>
      <c r="UJY16" s="169"/>
      <c r="UJZ16" s="169"/>
      <c r="UKA16" s="169"/>
      <c r="UKB16" s="169"/>
      <c r="UKC16" s="169"/>
      <c r="UKD16" s="169"/>
      <c r="UKE16" s="169"/>
      <c r="UKF16" s="169"/>
      <c r="UKG16" s="169"/>
      <c r="UKH16" s="169"/>
      <c r="UKI16" s="169"/>
      <c r="UKJ16" s="169"/>
      <c r="UKK16" s="169"/>
      <c r="UKL16" s="169"/>
      <c r="UKM16" s="169"/>
      <c r="UKN16" s="169"/>
      <c r="UKO16" s="169"/>
      <c r="UKP16" s="169"/>
      <c r="UKQ16" s="169"/>
      <c r="UKR16" s="169"/>
      <c r="UKS16" s="169"/>
      <c r="UKT16" s="169"/>
      <c r="UKU16" s="169"/>
      <c r="UKV16" s="169"/>
      <c r="UKW16" s="169"/>
      <c r="UKX16" s="169"/>
      <c r="UKY16" s="169"/>
      <c r="UKZ16" s="169"/>
      <c r="ULA16" s="169"/>
      <c r="ULB16" s="169"/>
      <c r="ULC16" s="169"/>
      <c r="ULD16" s="169"/>
      <c r="ULE16" s="169"/>
      <c r="ULF16" s="169"/>
      <c r="ULG16" s="169"/>
      <c r="ULH16" s="169"/>
      <c r="ULI16" s="169"/>
      <c r="ULJ16" s="169"/>
      <c r="ULK16" s="169"/>
      <c r="ULL16" s="169"/>
      <c r="ULM16" s="169"/>
      <c r="ULN16" s="169"/>
      <c r="ULO16" s="169"/>
      <c r="ULP16" s="169"/>
      <c r="ULQ16" s="169"/>
      <c r="ULR16" s="169"/>
      <c r="ULS16" s="169"/>
      <c r="ULT16" s="169"/>
      <c r="ULU16" s="169"/>
      <c r="ULV16" s="169"/>
      <c r="ULW16" s="169"/>
      <c r="ULX16" s="169"/>
      <c r="ULY16" s="169"/>
      <c r="ULZ16" s="169"/>
      <c r="UMA16" s="169"/>
      <c r="UMB16" s="169"/>
      <c r="UMC16" s="169"/>
      <c r="UMD16" s="169"/>
      <c r="UME16" s="169"/>
      <c r="UMF16" s="169"/>
      <c r="UMG16" s="169"/>
      <c r="UMH16" s="169"/>
      <c r="UMI16" s="169"/>
      <c r="UMJ16" s="169"/>
      <c r="UMK16" s="169"/>
      <c r="UML16" s="169"/>
      <c r="UMM16" s="169"/>
      <c r="UMN16" s="169"/>
      <c r="UMO16" s="169"/>
      <c r="UMP16" s="169"/>
      <c r="UMQ16" s="169"/>
      <c r="UMR16" s="169"/>
      <c r="UMS16" s="169"/>
      <c r="UMT16" s="169"/>
      <c r="UMU16" s="169"/>
      <c r="UMV16" s="169"/>
      <c r="UMW16" s="169"/>
      <c r="UMX16" s="169"/>
      <c r="UMY16" s="169"/>
      <c r="UMZ16" s="169"/>
      <c r="UNA16" s="169"/>
      <c r="UNB16" s="169"/>
      <c r="UNC16" s="169"/>
      <c r="UND16" s="169"/>
      <c r="UNE16" s="169"/>
      <c r="UNF16" s="169"/>
      <c r="UNG16" s="169"/>
      <c r="UNH16" s="169"/>
      <c r="UNI16" s="169"/>
      <c r="UNJ16" s="169"/>
      <c r="UNK16" s="169"/>
      <c r="UNL16" s="169"/>
      <c r="UNM16" s="169"/>
      <c r="UNN16" s="169"/>
      <c r="UNO16" s="169"/>
      <c r="UNP16" s="169"/>
      <c r="UNQ16" s="169"/>
      <c r="UNR16" s="169"/>
      <c r="UNS16" s="169"/>
      <c r="UNT16" s="169"/>
      <c r="UNU16" s="169"/>
      <c r="UNV16" s="169"/>
      <c r="UNW16" s="169"/>
      <c r="UNX16" s="169"/>
      <c r="UNY16" s="169"/>
      <c r="UNZ16" s="169"/>
      <c r="UOA16" s="169"/>
      <c r="UOB16" s="169"/>
      <c r="UOC16" s="169"/>
      <c r="UOD16" s="169"/>
      <c r="UOE16" s="169"/>
      <c r="UOF16" s="169"/>
      <c r="UOG16" s="169"/>
      <c r="UOH16" s="169"/>
      <c r="UOI16" s="169"/>
      <c r="UOJ16" s="169"/>
      <c r="UOK16" s="169"/>
      <c r="UOL16" s="169"/>
      <c r="UOM16" s="169"/>
      <c r="UON16" s="169"/>
      <c r="UOO16" s="169"/>
      <c r="UOP16" s="169"/>
      <c r="UOQ16" s="169"/>
      <c r="UOR16" s="169"/>
      <c r="UOS16" s="169"/>
      <c r="UOT16" s="169"/>
      <c r="UOU16" s="169"/>
      <c r="UOV16" s="169"/>
      <c r="UOW16" s="169"/>
      <c r="UOX16" s="169"/>
      <c r="UOY16" s="169"/>
      <c r="UOZ16" s="169"/>
      <c r="UPA16" s="169"/>
      <c r="UPB16" s="169"/>
      <c r="UPC16" s="169"/>
      <c r="UPD16" s="169"/>
      <c r="UPE16" s="169"/>
      <c r="UPF16" s="169"/>
      <c r="UPG16" s="169"/>
      <c r="UPH16" s="169"/>
      <c r="UPI16" s="169"/>
      <c r="UPJ16" s="169"/>
      <c r="UPK16" s="169"/>
      <c r="UPL16" s="169"/>
      <c r="UPM16" s="169"/>
      <c r="UPN16" s="169"/>
      <c r="UPO16" s="169"/>
      <c r="UPP16" s="169"/>
      <c r="UPQ16" s="169"/>
      <c r="UPR16" s="169"/>
      <c r="UPS16" s="169"/>
      <c r="UPT16" s="169"/>
      <c r="UPU16" s="169"/>
      <c r="UPV16" s="169"/>
      <c r="UPW16" s="169"/>
      <c r="UPX16" s="169"/>
      <c r="UPY16" s="169"/>
      <c r="UPZ16" s="169"/>
      <c r="UQA16" s="169"/>
      <c r="UQB16" s="169"/>
      <c r="UQC16" s="169"/>
      <c r="UQD16" s="169"/>
      <c r="UQE16" s="169"/>
      <c r="UQF16" s="169"/>
      <c r="UQG16" s="169"/>
      <c r="UQH16" s="169"/>
      <c r="UQI16" s="169"/>
      <c r="UQJ16" s="169"/>
      <c r="UQK16" s="169"/>
      <c r="UQL16" s="169"/>
      <c r="UQM16" s="169"/>
      <c r="UQN16" s="169"/>
      <c r="UQO16" s="169"/>
      <c r="UQP16" s="169"/>
      <c r="UQQ16" s="169"/>
      <c r="UQR16" s="169"/>
      <c r="UQS16" s="169"/>
      <c r="UQT16" s="169"/>
      <c r="UQU16" s="169"/>
      <c r="UQV16" s="169"/>
      <c r="UQW16" s="169"/>
      <c r="UQX16" s="169"/>
      <c r="UQY16" s="169"/>
      <c r="UQZ16" s="169"/>
      <c r="URA16" s="169"/>
      <c r="URB16" s="169"/>
      <c r="URC16" s="169"/>
      <c r="URD16" s="169"/>
      <c r="URE16" s="169"/>
      <c r="URF16" s="169"/>
      <c r="URG16" s="169"/>
      <c r="URH16" s="169"/>
      <c r="URI16" s="169"/>
      <c r="URJ16" s="169"/>
      <c r="URK16" s="169"/>
      <c r="URL16" s="169"/>
      <c r="URM16" s="169"/>
      <c r="URN16" s="169"/>
      <c r="URO16" s="169"/>
      <c r="URP16" s="169"/>
      <c r="URQ16" s="169"/>
      <c r="URR16" s="169"/>
      <c r="URS16" s="169"/>
      <c r="URT16" s="169"/>
      <c r="URU16" s="169"/>
      <c r="URV16" s="169"/>
      <c r="URW16" s="169"/>
      <c r="URX16" s="169"/>
      <c r="URY16" s="169"/>
      <c r="URZ16" s="169"/>
      <c r="USA16" s="169"/>
      <c r="USB16" s="169"/>
      <c r="USC16" s="169"/>
      <c r="USD16" s="169"/>
      <c r="USE16" s="169"/>
      <c r="USF16" s="169"/>
      <c r="USG16" s="169"/>
      <c r="USH16" s="169"/>
      <c r="USI16" s="169"/>
      <c r="USJ16" s="169"/>
      <c r="USK16" s="169"/>
      <c r="USL16" s="169"/>
      <c r="USM16" s="169"/>
      <c r="USN16" s="169"/>
      <c r="USO16" s="169"/>
      <c r="USP16" s="169"/>
      <c r="USQ16" s="169"/>
      <c r="USR16" s="169"/>
      <c r="USS16" s="169"/>
      <c r="UST16" s="169"/>
      <c r="USU16" s="169"/>
      <c r="USV16" s="169"/>
      <c r="USW16" s="169"/>
      <c r="USX16" s="169"/>
      <c r="USY16" s="169"/>
      <c r="USZ16" s="169"/>
      <c r="UTA16" s="169"/>
      <c r="UTB16" s="169"/>
      <c r="UTC16" s="169"/>
      <c r="UTD16" s="169"/>
      <c r="UTE16" s="169"/>
      <c r="UTF16" s="169"/>
      <c r="UTG16" s="169"/>
      <c r="UTH16" s="169"/>
      <c r="UTI16" s="169"/>
      <c r="UTJ16" s="169"/>
      <c r="UTK16" s="169"/>
      <c r="UTL16" s="169"/>
      <c r="UTM16" s="169"/>
      <c r="UTN16" s="169"/>
      <c r="UTO16" s="169"/>
      <c r="UTP16" s="169"/>
      <c r="UTQ16" s="169"/>
      <c r="UTR16" s="169"/>
      <c r="UTS16" s="169"/>
      <c r="UTT16" s="169"/>
      <c r="UTU16" s="169"/>
      <c r="UTV16" s="169"/>
      <c r="UTW16" s="169"/>
      <c r="UTX16" s="169"/>
      <c r="UTY16" s="169"/>
      <c r="UTZ16" s="169"/>
      <c r="UUA16" s="169"/>
      <c r="UUB16" s="169"/>
      <c r="UUC16" s="169"/>
      <c r="UUD16" s="169"/>
      <c r="UUE16" s="169"/>
      <c r="UUF16" s="169"/>
      <c r="UUG16" s="169"/>
      <c r="UUH16" s="169"/>
      <c r="UUI16" s="169"/>
      <c r="UUJ16" s="169"/>
      <c r="UUK16" s="169"/>
      <c r="UUL16" s="169"/>
      <c r="UUM16" s="169"/>
      <c r="UUN16" s="169"/>
      <c r="UUO16" s="169"/>
      <c r="UUP16" s="169"/>
      <c r="UUQ16" s="169"/>
      <c r="UUR16" s="169"/>
      <c r="UUS16" s="169"/>
      <c r="UUT16" s="169"/>
      <c r="UUU16" s="169"/>
      <c r="UUV16" s="169"/>
      <c r="UUW16" s="169"/>
      <c r="UUX16" s="169"/>
      <c r="UUY16" s="169"/>
      <c r="UUZ16" s="169"/>
      <c r="UVA16" s="169"/>
      <c r="UVB16" s="169"/>
      <c r="UVC16" s="169"/>
      <c r="UVD16" s="169"/>
      <c r="UVE16" s="169"/>
      <c r="UVF16" s="169"/>
      <c r="UVG16" s="169"/>
      <c r="UVH16" s="169"/>
      <c r="UVI16" s="169"/>
      <c r="UVJ16" s="169"/>
      <c r="UVK16" s="169"/>
      <c r="UVL16" s="169"/>
      <c r="UVM16" s="169"/>
      <c r="UVN16" s="169"/>
      <c r="UVO16" s="169"/>
      <c r="UVP16" s="169"/>
      <c r="UVQ16" s="169"/>
      <c r="UVR16" s="169"/>
      <c r="UVS16" s="169"/>
      <c r="UVT16" s="169"/>
      <c r="UVU16" s="169"/>
      <c r="UVV16" s="169"/>
      <c r="UVW16" s="169"/>
      <c r="UVX16" s="169"/>
      <c r="UVY16" s="169"/>
      <c r="UVZ16" s="169"/>
      <c r="UWA16" s="169"/>
      <c r="UWB16" s="169"/>
      <c r="UWC16" s="169"/>
      <c r="UWD16" s="169"/>
      <c r="UWE16" s="169"/>
      <c r="UWF16" s="169"/>
      <c r="UWG16" s="169"/>
      <c r="UWH16" s="169"/>
      <c r="UWI16" s="169"/>
      <c r="UWJ16" s="169"/>
      <c r="UWK16" s="169"/>
      <c r="UWL16" s="169"/>
      <c r="UWM16" s="169"/>
      <c r="UWN16" s="169"/>
      <c r="UWO16" s="169"/>
      <c r="UWP16" s="169"/>
      <c r="UWQ16" s="169"/>
      <c r="UWR16" s="169"/>
      <c r="UWS16" s="169"/>
      <c r="UWT16" s="169"/>
      <c r="UWU16" s="169"/>
      <c r="UWV16" s="169"/>
      <c r="UWW16" s="169"/>
      <c r="UWX16" s="169"/>
      <c r="UWY16" s="169"/>
      <c r="UWZ16" s="169"/>
      <c r="UXA16" s="169"/>
      <c r="UXB16" s="169"/>
      <c r="UXC16" s="169"/>
      <c r="UXD16" s="169"/>
      <c r="UXE16" s="169"/>
      <c r="UXF16" s="169"/>
      <c r="UXG16" s="169"/>
      <c r="UXH16" s="169"/>
      <c r="UXI16" s="169"/>
      <c r="UXJ16" s="169"/>
      <c r="UXK16" s="169"/>
      <c r="UXL16" s="169"/>
      <c r="UXM16" s="169"/>
      <c r="UXN16" s="169"/>
      <c r="UXO16" s="169"/>
      <c r="UXP16" s="169"/>
      <c r="UXQ16" s="169"/>
      <c r="UXR16" s="169"/>
      <c r="UXS16" s="169"/>
      <c r="UXT16" s="169"/>
      <c r="UXU16" s="169"/>
      <c r="UXV16" s="169"/>
      <c r="UXW16" s="169"/>
      <c r="UXX16" s="169"/>
      <c r="UXY16" s="169"/>
      <c r="UXZ16" s="169"/>
      <c r="UYA16" s="169"/>
      <c r="UYB16" s="169"/>
      <c r="UYC16" s="169"/>
      <c r="UYD16" s="169"/>
      <c r="UYE16" s="169"/>
      <c r="UYF16" s="169"/>
      <c r="UYG16" s="169"/>
      <c r="UYH16" s="169"/>
      <c r="UYI16" s="169"/>
      <c r="UYJ16" s="169"/>
      <c r="UYK16" s="169"/>
      <c r="UYL16" s="169"/>
      <c r="UYM16" s="169"/>
      <c r="UYN16" s="169"/>
      <c r="UYO16" s="169"/>
      <c r="UYP16" s="169"/>
      <c r="UYQ16" s="169"/>
      <c r="UYR16" s="169"/>
      <c r="UYS16" s="169"/>
      <c r="UYT16" s="169"/>
      <c r="UYU16" s="169"/>
      <c r="UYV16" s="169"/>
      <c r="UYW16" s="169"/>
      <c r="UYX16" s="169"/>
      <c r="UYY16" s="169"/>
      <c r="UYZ16" s="169"/>
      <c r="UZA16" s="169"/>
      <c r="UZB16" s="169"/>
      <c r="UZC16" s="169"/>
      <c r="UZD16" s="169"/>
      <c r="UZE16" s="169"/>
      <c r="UZF16" s="169"/>
      <c r="UZG16" s="169"/>
      <c r="UZH16" s="169"/>
      <c r="UZI16" s="169"/>
      <c r="UZJ16" s="169"/>
      <c r="UZK16" s="169"/>
      <c r="UZL16" s="169"/>
      <c r="UZM16" s="169"/>
      <c r="UZN16" s="169"/>
      <c r="UZO16" s="169"/>
      <c r="UZP16" s="169"/>
      <c r="UZQ16" s="169"/>
      <c r="UZR16" s="169"/>
      <c r="UZS16" s="169"/>
      <c r="UZT16" s="169"/>
      <c r="UZU16" s="169"/>
      <c r="UZV16" s="169"/>
      <c r="UZW16" s="169"/>
      <c r="UZX16" s="169"/>
      <c r="UZY16" s="169"/>
      <c r="UZZ16" s="169"/>
      <c r="VAA16" s="169"/>
      <c r="VAB16" s="169"/>
      <c r="VAC16" s="169"/>
      <c r="VAD16" s="169"/>
      <c r="VAE16" s="169"/>
      <c r="VAF16" s="169"/>
      <c r="VAG16" s="169"/>
      <c r="VAH16" s="169"/>
      <c r="VAI16" s="169"/>
      <c r="VAJ16" s="169"/>
      <c r="VAK16" s="169"/>
      <c r="VAL16" s="169"/>
      <c r="VAM16" s="169"/>
      <c r="VAN16" s="169"/>
      <c r="VAO16" s="169"/>
      <c r="VAP16" s="169"/>
      <c r="VAQ16" s="169"/>
      <c r="VAR16" s="169"/>
      <c r="VAS16" s="169"/>
      <c r="VAT16" s="169"/>
      <c r="VAU16" s="169"/>
      <c r="VAV16" s="169"/>
      <c r="VAW16" s="169"/>
      <c r="VAX16" s="169"/>
      <c r="VAY16" s="169"/>
      <c r="VAZ16" s="169"/>
      <c r="VBA16" s="169"/>
      <c r="VBB16" s="169"/>
      <c r="VBC16" s="169"/>
      <c r="VBD16" s="169"/>
      <c r="VBE16" s="169"/>
      <c r="VBF16" s="169"/>
      <c r="VBG16" s="169"/>
      <c r="VBH16" s="169"/>
      <c r="VBI16" s="169"/>
      <c r="VBJ16" s="169"/>
      <c r="VBK16" s="169"/>
      <c r="VBL16" s="169"/>
      <c r="VBM16" s="169"/>
      <c r="VBN16" s="169"/>
      <c r="VBO16" s="169"/>
      <c r="VBP16" s="169"/>
      <c r="VBQ16" s="169"/>
      <c r="VBR16" s="169"/>
      <c r="VBS16" s="169"/>
      <c r="VBT16" s="169"/>
      <c r="VBU16" s="169"/>
      <c r="VBV16" s="169"/>
      <c r="VBW16" s="169"/>
      <c r="VBX16" s="169"/>
      <c r="VBY16" s="169"/>
      <c r="VBZ16" s="169"/>
      <c r="VCA16" s="169"/>
      <c r="VCB16" s="169"/>
      <c r="VCC16" s="169"/>
      <c r="VCD16" s="169"/>
      <c r="VCE16" s="169"/>
      <c r="VCF16" s="169"/>
      <c r="VCG16" s="169"/>
      <c r="VCH16" s="169"/>
      <c r="VCI16" s="169"/>
      <c r="VCJ16" s="169"/>
      <c r="VCK16" s="169"/>
      <c r="VCL16" s="169"/>
      <c r="VCM16" s="169"/>
      <c r="VCN16" s="169"/>
      <c r="VCO16" s="169"/>
      <c r="VCP16" s="169"/>
      <c r="VCQ16" s="169"/>
      <c r="VCR16" s="169"/>
      <c r="VCS16" s="169"/>
      <c r="VCT16" s="169"/>
      <c r="VCU16" s="169"/>
      <c r="VCV16" s="169"/>
      <c r="VCW16" s="169"/>
      <c r="VCX16" s="169"/>
      <c r="VCY16" s="169"/>
      <c r="VCZ16" s="169"/>
      <c r="VDA16" s="169"/>
      <c r="VDB16" s="169"/>
      <c r="VDC16" s="169"/>
      <c r="VDD16" s="169"/>
      <c r="VDE16" s="169"/>
      <c r="VDF16" s="169"/>
      <c r="VDG16" s="169"/>
      <c r="VDH16" s="169"/>
      <c r="VDI16" s="169"/>
      <c r="VDJ16" s="169"/>
      <c r="VDK16" s="169"/>
      <c r="VDL16" s="169"/>
      <c r="VDM16" s="169"/>
      <c r="VDN16" s="169"/>
      <c r="VDO16" s="169"/>
      <c r="VDP16" s="169"/>
      <c r="VDQ16" s="169"/>
      <c r="VDR16" s="169"/>
      <c r="VDS16" s="169"/>
      <c r="VDT16" s="169"/>
      <c r="VDU16" s="169"/>
      <c r="VDV16" s="169"/>
      <c r="VDW16" s="169"/>
      <c r="VDX16" s="169"/>
      <c r="VDY16" s="169"/>
      <c r="VDZ16" s="169"/>
      <c r="VEA16" s="169"/>
      <c r="VEB16" s="169"/>
      <c r="VEC16" s="169"/>
      <c r="VED16" s="169"/>
      <c r="VEE16" s="169"/>
      <c r="VEF16" s="169"/>
      <c r="VEG16" s="169"/>
      <c r="VEH16" s="169"/>
      <c r="VEI16" s="169"/>
      <c r="VEJ16" s="169"/>
      <c r="VEK16" s="169"/>
      <c r="VEL16" s="169"/>
      <c r="VEM16" s="169"/>
      <c r="VEN16" s="169"/>
      <c r="VEO16" s="169"/>
      <c r="VEP16" s="169"/>
      <c r="VEQ16" s="169"/>
      <c r="VER16" s="169"/>
      <c r="VES16" s="169"/>
      <c r="VET16" s="169"/>
      <c r="VEU16" s="169"/>
      <c r="VEV16" s="169"/>
      <c r="VEW16" s="169"/>
      <c r="VEX16" s="169"/>
      <c r="VEY16" s="169"/>
      <c r="VEZ16" s="169"/>
      <c r="VFA16" s="169"/>
      <c r="VFB16" s="169"/>
      <c r="VFC16" s="169"/>
      <c r="VFD16" s="169"/>
      <c r="VFE16" s="169"/>
      <c r="VFF16" s="169"/>
      <c r="VFG16" s="169"/>
      <c r="VFH16" s="169"/>
      <c r="VFI16" s="169"/>
      <c r="VFJ16" s="169"/>
      <c r="VFK16" s="169"/>
      <c r="VFL16" s="169"/>
      <c r="VFM16" s="169"/>
      <c r="VFN16" s="169"/>
      <c r="VFO16" s="169"/>
      <c r="VFP16" s="169"/>
      <c r="VFQ16" s="169"/>
      <c r="VFR16" s="169"/>
      <c r="VFS16" s="169"/>
      <c r="VFT16" s="169"/>
      <c r="VFU16" s="169"/>
      <c r="VFV16" s="169"/>
      <c r="VFW16" s="169"/>
      <c r="VFX16" s="169"/>
      <c r="VFY16" s="169"/>
      <c r="VFZ16" s="169"/>
      <c r="VGA16" s="169"/>
      <c r="VGB16" s="169"/>
      <c r="VGC16" s="169"/>
      <c r="VGD16" s="169"/>
      <c r="VGE16" s="169"/>
      <c r="VGF16" s="169"/>
      <c r="VGG16" s="169"/>
      <c r="VGH16" s="169"/>
      <c r="VGI16" s="169"/>
      <c r="VGJ16" s="169"/>
      <c r="VGK16" s="169"/>
      <c r="VGL16" s="169"/>
      <c r="VGM16" s="169"/>
      <c r="VGN16" s="169"/>
      <c r="VGO16" s="169"/>
      <c r="VGP16" s="169"/>
      <c r="VGQ16" s="169"/>
      <c r="VGR16" s="169"/>
      <c r="VGS16" s="169"/>
      <c r="VGT16" s="169"/>
      <c r="VGU16" s="169"/>
      <c r="VGV16" s="169"/>
      <c r="VGW16" s="169"/>
      <c r="VGX16" s="169"/>
      <c r="VGY16" s="169"/>
      <c r="VGZ16" s="169"/>
      <c r="VHA16" s="169"/>
      <c r="VHB16" s="169"/>
      <c r="VHC16" s="169"/>
      <c r="VHD16" s="169"/>
      <c r="VHE16" s="169"/>
      <c r="VHF16" s="169"/>
      <c r="VHG16" s="169"/>
      <c r="VHH16" s="169"/>
      <c r="VHI16" s="169"/>
      <c r="VHJ16" s="169"/>
      <c r="VHK16" s="169"/>
      <c r="VHL16" s="169"/>
      <c r="VHM16" s="169"/>
      <c r="VHN16" s="169"/>
      <c r="VHO16" s="169"/>
      <c r="VHP16" s="169"/>
      <c r="VHQ16" s="169"/>
      <c r="VHR16" s="169"/>
      <c r="VHS16" s="169"/>
      <c r="VHT16" s="169"/>
      <c r="VHU16" s="169"/>
      <c r="VHV16" s="169"/>
      <c r="VHW16" s="169"/>
      <c r="VHX16" s="169"/>
      <c r="VHY16" s="169"/>
      <c r="VHZ16" s="169"/>
      <c r="VIA16" s="169"/>
      <c r="VIB16" s="169"/>
      <c r="VIC16" s="169"/>
      <c r="VID16" s="169"/>
      <c r="VIE16" s="169"/>
      <c r="VIF16" s="169"/>
      <c r="VIG16" s="169"/>
      <c r="VIH16" s="169"/>
      <c r="VII16" s="169"/>
      <c r="VIJ16" s="169"/>
      <c r="VIK16" s="169"/>
      <c r="VIL16" s="169"/>
      <c r="VIM16" s="169"/>
      <c r="VIN16" s="169"/>
      <c r="VIO16" s="169"/>
      <c r="VIP16" s="169"/>
      <c r="VIQ16" s="169"/>
      <c r="VIR16" s="169"/>
      <c r="VIS16" s="169"/>
      <c r="VIT16" s="169"/>
      <c r="VIU16" s="169"/>
      <c r="VIV16" s="169"/>
      <c r="VIW16" s="169"/>
      <c r="VIX16" s="169"/>
      <c r="VIY16" s="169"/>
      <c r="VIZ16" s="169"/>
      <c r="VJA16" s="169"/>
      <c r="VJB16" s="169"/>
      <c r="VJC16" s="169"/>
      <c r="VJD16" s="169"/>
      <c r="VJE16" s="169"/>
      <c r="VJF16" s="169"/>
      <c r="VJG16" s="169"/>
      <c r="VJH16" s="169"/>
      <c r="VJI16" s="169"/>
      <c r="VJJ16" s="169"/>
      <c r="VJK16" s="169"/>
      <c r="VJL16" s="169"/>
      <c r="VJM16" s="169"/>
      <c r="VJN16" s="169"/>
      <c r="VJO16" s="169"/>
      <c r="VJP16" s="169"/>
      <c r="VJQ16" s="169"/>
      <c r="VJR16" s="169"/>
      <c r="VJS16" s="169"/>
      <c r="VJT16" s="169"/>
      <c r="VJU16" s="169"/>
      <c r="VJV16" s="169"/>
      <c r="VJW16" s="169"/>
      <c r="VJX16" s="169"/>
      <c r="VJY16" s="169"/>
      <c r="VJZ16" s="169"/>
      <c r="VKA16" s="169"/>
      <c r="VKB16" s="169"/>
      <c r="VKC16" s="169"/>
      <c r="VKD16" s="169"/>
      <c r="VKE16" s="169"/>
      <c r="VKF16" s="169"/>
      <c r="VKG16" s="169"/>
      <c r="VKH16" s="169"/>
      <c r="VKI16" s="169"/>
      <c r="VKJ16" s="169"/>
      <c r="VKK16" s="169"/>
      <c r="VKL16" s="169"/>
      <c r="VKM16" s="169"/>
      <c r="VKN16" s="169"/>
      <c r="VKO16" s="169"/>
      <c r="VKP16" s="169"/>
      <c r="VKQ16" s="169"/>
      <c r="VKR16" s="169"/>
      <c r="VKS16" s="169"/>
      <c r="VKT16" s="169"/>
      <c r="VKU16" s="169"/>
      <c r="VKV16" s="169"/>
      <c r="VKW16" s="169"/>
      <c r="VKX16" s="169"/>
      <c r="VKY16" s="169"/>
      <c r="VKZ16" s="169"/>
      <c r="VLA16" s="169"/>
      <c r="VLB16" s="169"/>
      <c r="VLC16" s="169"/>
      <c r="VLD16" s="169"/>
      <c r="VLE16" s="169"/>
      <c r="VLF16" s="169"/>
      <c r="VLG16" s="169"/>
      <c r="VLH16" s="169"/>
      <c r="VLI16" s="169"/>
      <c r="VLJ16" s="169"/>
      <c r="VLK16" s="169"/>
      <c r="VLL16" s="169"/>
      <c r="VLM16" s="169"/>
      <c r="VLN16" s="169"/>
      <c r="VLO16" s="169"/>
      <c r="VLP16" s="169"/>
      <c r="VLQ16" s="169"/>
      <c r="VLR16" s="169"/>
      <c r="VLS16" s="169"/>
      <c r="VLT16" s="169"/>
      <c r="VLU16" s="169"/>
      <c r="VLV16" s="169"/>
      <c r="VLW16" s="169"/>
      <c r="VLX16" s="169"/>
      <c r="VLY16" s="169"/>
      <c r="VLZ16" s="169"/>
      <c r="VMA16" s="169"/>
      <c r="VMB16" s="169"/>
      <c r="VMC16" s="169"/>
      <c r="VMD16" s="169"/>
      <c r="VME16" s="169"/>
      <c r="VMF16" s="169"/>
      <c r="VMG16" s="169"/>
      <c r="VMH16" s="169"/>
      <c r="VMI16" s="169"/>
      <c r="VMJ16" s="169"/>
      <c r="VMK16" s="169"/>
      <c r="VML16" s="169"/>
      <c r="VMM16" s="169"/>
      <c r="VMN16" s="169"/>
      <c r="VMO16" s="169"/>
      <c r="VMP16" s="169"/>
      <c r="VMQ16" s="169"/>
      <c r="VMR16" s="169"/>
      <c r="VMS16" s="169"/>
      <c r="VMT16" s="169"/>
      <c r="VMU16" s="169"/>
      <c r="VMV16" s="169"/>
      <c r="VMW16" s="169"/>
      <c r="VMX16" s="169"/>
      <c r="VMY16" s="169"/>
      <c r="VMZ16" s="169"/>
      <c r="VNA16" s="169"/>
      <c r="VNB16" s="169"/>
      <c r="VNC16" s="169"/>
      <c r="VND16" s="169"/>
      <c r="VNE16" s="169"/>
      <c r="VNF16" s="169"/>
      <c r="VNG16" s="169"/>
      <c r="VNH16" s="169"/>
      <c r="VNI16" s="169"/>
      <c r="VNJ16" s="169"/>
      <c r="VNK16" s="169"/>
      <c r="VNL16" s="169"/>
      <c r="VNM16" s="169"/>
      <c r="VNN16" s="169"/>
      <c r="VNO16" s="169"/>
      <c r="VNP16" s="169"/>
      <c r="VNQ16" s="169"/>
      <c r="VNR16" s="169"/>
      <c r="VNS16" s="169"/>
      <c r="VNT16" s="169"/>
      <c r="VNU16" s="169"/>
      <c r="VNV16" s="169"/>
      <c r="VNW16" s="169"/>
      <c r="VNX16" s="169"/>
      <c r="VNY16" s="169"/>
      <c r="VNZ16" s="169"/>
      <c r="VOA16" s="169"/>
      <c r="VOB16" s="169"/>
      <c r="VOC16" s="169"/>
      <c r="VOD16" s="169"/>
      <c r="VOE16" s="169"/>
      <c r="VOF16" s="169"/>
      <c r="VOG16" s="169"/>
      <c r="VOH16" s="169"/>
      <c r="VOI16" s="169"/>
      <c r="VOJ16" s="169"/>
      <c r="VOK16" s="169"/>
      <c r="VOL16" s="169"/>
      <c r="VOM16" s="169"/>
      <c r="VON16" s="169"/>
      <c r="VOO16" s="169"/>
      <c r="VOP16" s="169"/>
      <c r="VOQ16" s="169"/>
      <c r="VOR16" s="169"/>
      <c r="VOS16" s="169"/>
      <c r="VOT16" s="169"/>
      <c r="VOU16" s="169"/>
      <c r="VOV16" s="169"/>
      <c r="VOW16" s="169"/>
      <c r="VOX16" s="169"/>
      <c r="VOY16" s="169"/>
      <c r="VOZ16" s="169"/>
      <c r="VPA16" s="169"/>
      <c r="VPB16" s="169"/>
      <c r="VPC16" s="169"/>
      <c r="VPD16" s="169"/>
      <c r="VPE16" s="169"/>
      <c r="VPF16" s="169"/>
      <c r="VPG16" s="169"/>
      <c r="VPH16" s="169"/>
      <c r="VPI16" s="169"/>
      <c r="VPJ16" s="169"/>
      <c r="VPK16" s="169"/>
      <c r="VPL16" s="169"/>
      <c r="VPM16" s="169"/>
      <c r="VPN16" s="169"/>
      <c r="VPO16" s="169"/>
      <c r="VPP16" s="169"/>
      <c r="VPQ16" s="169"/>
      <c r="VPR16" s="169"/>
      <c r="VPS16" s="169"/>
      <c r="VPT16" s="169"/>
      <c r="VPU16" s="169"/>
      <c r="VPV16" s="169"/>
      <c r="VPW16" s="169"/>
      <c r="VPX16" s="169"/>
      <c r="VPY16" s="169"/>
      <c r="VPZ16" s="169"/>
      <c r="VQA16" s="169"/>
      <c r="VQB16" s="169"/>
      <c r="VQC16" s="169"/>
      <c r="VQD16" s="169"/>
      <c r="VQE16" s="169"/>
      <c r="VQF16" s="169"/>
      <c r="VQG16" s="169"/>
      <c r="VQH16" s="169"/>
      <c r="VQI16" s="169"/>
      <c r="VQJ16" s="169"/>
      <c r="VQK16" s="169"/>
      <c r="VQL16" s="169"/>
      <c r="VQM16" s="169"/>
      <c r="VQN16" s="169"/>
      <c r="VQO16" s="169"/>
      <c r="VQP16" s="169"/>
      <c r="VQQ16" s="169"/>
      <c r="VQR16" s="169"/>
      <c r="VQS16" s="169"/>
      <c r="VQT16" s="169"/>
      <c r="VQU16" s="169"/>
      <c r="VQV16" s="169"/>
      <c r="VQW16" s="169"/>
      <c r="VQX16" s="169"/>
      <c r="VQY16" s="169"/>
      <c r="VQZ16" s="169"/>
      <c r="VRA16" s="169"/>
      <c r="VRB16" s="169"/>
      <c r="VRC16" s="169"/>
      <c r="VRD16" s="169"/>
      <c r="VRE16" s="169"/>
      <c r="VRF16" s="169"/>
      <c r="VRG16" s="169"/>
      <c r="VRH16" s="169"/>
      <c r="VRI16" s="169"/>
      <c r="VRJ16" s="169"/>
      <c r="VRK16" s="169"/>
      <c r="VRL16" s="169"/>
      <c r="VRM16" s="169"/>
      <c r="VRN16" s="169"/>
      <c r="VRO16" s="169"/>
      <c r="VRP16" s="169"/>
      <c r="VRQ16" s="169"/>
      <c r="VRR16" s="169"/>
      <c r="VRS16" s="169"/>
      <c r="VRT16" s="169"/>
      <c r="VRU16" s="169"/>
      <c r="VRV16" s="169"/>
      <c r="VRW16" s="169"/>
      <c r="VRX16" s="169"/>
      <c r="VRY16" s="169"/>
      <c r="VRZ16" s="169"/>
      <c r="VSA16" s="169"/>
      <c r="VSB16" s="169"/>
      <c r="VSC16" s="169"/>
      <c r="VSD16" s="169"/>
      <c r="VSE16" s="169"/>
      <c r="VSF16" s="169"/>
      <c r="VSG16" s="169"/>
      <c r="VSH16" s="169"/>
      <c r="VSI16" s="169"/>
      <c r="VSJ16" s="169"/>
      <c r="VSK16" s="169"/>
      <c r="VSL16" s="169"/>
      <c r="VSM16" s="169"/>
      <c r="VSN16" s="169"/>
      <c r="VSO16" s="169"/>
      <c r="VSP16" s="169"/>
      <c r="VSQ16" s="169"/>
      <c r="VSR16" s="169"/>
      <c r="VSS16" s="169"/>
      <c r="VST16" s="169"/>
      <c r="VSU16" s="169"/>
      <c r="VSV16" s="169"/>
      <c r="VSW16" s="169"/>
      <c r="VSX16" s="169"/>
      <c r="VSY16" s="169"/>
      <c r="VSZ16" s="169"/>
      <c r="VTA16" s="169"/>
      <c r="VTB16" s="169"/>
      <c r="VTC16" s="169"/>
      <c r="VTD16" s="169"/>
      <c r="VTE16" s="169"/>
      <c r="VTF16" s="169"/>
      <c r="VTG16" s="169"/>
      <c r="VTH16" s="169"/>
      <c r="VTI16" s="169"/>
      <c r="VTJ16" s="169"/>
      <c r="VTK16" s="169"/>
      <c r="VTL16" s="169"/>
      <c r="VTM16" s="169"/>
      <c r="VTN16" s="169"/>
      <c r="VTO16" s="169"/>
      <c r="VTP16" s="169"/>
      <c r="VTQ16" s="169"/>
      <c r="VTR16" s="169"/>
      <c r="VTS16" s="169"/>
      <c r="VTT16" s="169"/>
      <c r="VTU16" s="169"/>
      <c r="VTV16" s="169"/>
      <c r="VTW16" s="169"/>
      <c r="VTX16" s="169"/>
      <c r="VTY16" s="169"/>
      <c r="VTZ16" s="169"/>
      <c r="VUA16" s="169"/>
      <c r="VUB16" s="169"/>
      <c r="VUC16" s="169"/>
      <c r="VUD16" s="169"/>
      <c r="VUE16" s="169"/>
      <c r="VUF16" s="169"/>
      <c r="VUG16" s="169"/>
      <c r="VUH16" s="169"/>
      <c r="VUI16" s="169"/>
      <c r="VUJ16" s="169"/>
      <c r="VUK16" s="169"/>
      <c r="VUL16" s="169"/>
      <c r="VUM16" s="169"/>
      <c r="VUN16" s="169"/>
      <c r="VUO16" s="169"/>
      <c r="VUP16" s="169"/>
      <c r="VUQ16" s="169"/>
      <c r="VUR16" s="169"/>
      <c r="VUS16" s="169"/>
      <c r="VUT16" s="169"/>
      <c r="VUU16" s="169"/>
      <c r="VUV16" s="169"/>
      <c r="VUW16" s="169"/>
      <c r="VUX16" s="169"/>
      <c r="VUY16" s="169"/>
      <c r="VUZ16" s="169"/>
      <c r="VVA16" s="169"/>
      <c r="VVB16" s="169"/>
      <c r="VVC16" s="169"/>
      <c r="VVD16" s="169"/>
      <c r="VVE16" s="169"/>
      <c r="VVF16" s="169"/>
      <c r="VVG16" s="169"/>
      <c r="VVH16" s="169"/>
      <c r="VVI16" s="169"/>
      <c r="VVJ16" s="169"/>
      <c r="VVK16" s="169"/>
      <c r="VVL16" s="169"/>
      <c r="VVM16" s="169"/>
      <c r="VVN16" s="169"/>
      <c r="VVO16" s="169"/>
      <c r="VVP16" s="169"/>
      <c r="VVQ16" s="169"/>
      <c r="VVR16" s="169"/>
      <c r="VVS16" s="169"/>
      <c r="VVT16" s="169"/>
      <c r="VVU16" s="169"/>
      <c r="VVV16" s="169"/>
      <c r="VVW16" s="169"/>
      <c r="VVX16" s="169"/>
      <c r="VVY16" s="169"/>
      <c r="VVZ16" s="169"/>
      <c r="VWA16" s="169"/>
      <c r="VWB16" s="169"/>
      <c r="VWC16" s="169"/>
      <c r="VWD16" s="169"/>
      <c r="VWE16" s="169"/>
      <c r="VWF16" s="169"/>
      <c r="VWG16" s="169"/>
      <c r="VWH16" s="169"/>
      <c r="VWI16" s="169"/>
      <c r="VWJ16" s="169"/>
      <c r="VWK16" s="169"/>
      <c r="VWL16" s="169"/>
      <c r="VWM16" s="169"/>
      <c r="VWN16" s="169"/>
      <c r="VWO16" s="169"/>
      <c r="VWP16" s="169"/>
      <c r="VWQ16" s="169"/>
      <c r="VWR16" s="169"/>
      <c r="VWS16" s="169"/>
      <c r="VWT16" s="169"/>
      <c r="VWU16" s="169"/>
      <c r="VWV16" s="169"/>
      <c r="VWW16" s="169"/>
      <c r="VWX16" s="169"/>
      <c r="VWY16" s="169"/>
      <c r="VWZ16" s="169"/>
      <c r="VXA16" s="169"/>
      <c r="VXB16" s="169"/>
      <c r="VXC16" s="169"/>
      <c r="VXD16" s="169"/>
      <c r="VXE16" s="169"/>
      <c r="VXF16" s="169"/>
      <c r="VXG16" s="169"/>
      <c r="VXH16" s="169"/>
      <c r="VXI16" s="169"/>
      <c r="VXJ16" s="169"/>
      <c r="VXK16" s="169"/>
      <c r="VXL16" s="169"/>
      <c r="VXM16" s="169"/>
      <c r="VXN16" s="169"/>
      <c r="VXO16" s="169"/>
      <c r="VXP16" s="169"/>
      <c r="VXQ16" s="169"/>
      <c r="VXR16" s="169"/>
      <c r="VXS16" s="169"/>
      <c r="VXT16" s="169"/>
      <c r="VXU16" s="169"/>
      <c r="VXV16" s="169"/>
      <c r="VXW16" s="169"/>
      <c r="VXX16" s="169"/>
      <c r="VXY16" s="169"/>
      <c r="VXZ16" s="169"/>
      <c r="VYA16" s="169"/>
      <c r="VYB16" s="169"/>
      <c r="VYC16" s="169"/>
      <c r="VYD16" s="169"/>
      <c r="VYE16" s="169"/>
      <c r="VYF16" s="169"/>
      <c r="VYG16" s="169"/>
      <c r="VYH16" s="169"/>
      <c r="VYI16" s="169"/>
      <c r="VYJ16" s="169"/>
      <c r="VYK16" s="169"/>
      <c r="VYL16" s="169"/>
      <c r="VYM16" s="169"/>
      <c r="VYN16" s="169"/>
      <c r="VYO16" s="169"/>
      <c r="VYP16" s="169"/>
      <c r="VYQ16" s="169"/>
      <c r="VYR16" s="169"/>
      <c r="VYS16" s="169"/>
      <c r="VYT16" s="169"/>
      <c r="VYU16" s="169"/>
      <c r="VYV16" s="169"/>
      <c r="VYW16" s="169"/>
      <c r="VYX16" s="169"/>
      <c r="VYY16" s="169"/>
      <c r="VYZ16" s="169"/>
      <c r="VZA16" s="169"/>
      <c r="VZB16" s="169"/>
      <c r="VZC16" s="169"/>
      <c r="VZD16" s="169"/>
      <c r="VZE16" s="169"/>
      <c r="VZF16" s="169"/>
      <c r="VZG16" s="169"/>
      <c r="VZH16" s="169"/>
      <c r="VZI16" s="169"/>
      <c r="VZJ16" s="169"/>
      <c r="VZK16" s="169"/>
      <c r="VZL16" s="169"/>
      <c r="VZM16" s="169"/>
      <c r="VZN16" s="169"/>
      <c r="VZO16" s="169"/>
      <c r="VZP16" s="169"/>
      <c r="VZQ16" s="169"/>
      <c r="VZR16" s="169"/>
      <c r="VZS16" s="169"/>
      <c r="VZT16" s="169"/>
      <c r="VZU16" s="169"/>
      <c r="VZV16" s="169"/>
      <c r="VZW16" s="169"/>
      <c r="VZX16" s="169"/>
      <c r="VZY16" s="169"/>
      <c r="VZZ16" s="169"/>
      <c r="WAA16" s="169"/>
      <c r="WAB16" s="169"/>
      <c r="WAC16" s="169"/>
      <c r="WAD16" s="169"/>
      <c r="WAE16" s="169"/>
      <c r="WAF16" s="169"/>
      <c r="WAG16" s="169"/>
      <c r="WAH16" s="169"/>
      <c r="WAI16" s="169"/>
      <c r="WAJ16" s="169"/>
      <c r="WAK16" s="169"/>
      <c r="WAL16" s="169"/>
      <c r="WAM16" s="169"/>
      <c r="WAN16" s="169"/>
      <c r="WAO16" s="169"/>
      <c r="WAP16" s="169"/>
      <c r="WAQ16" s="169"/>
      <c r="WAR16" s="169"/>
      <c r="WAS16" s="169"/>
      <c r="WAT16" s="169"/>
      <c r="WAU16" s="169"/>
      <c r="WAV16" s="169"/>
      <c r="WAW16" s="169"/>
      <c r="WAX16" s="169"/>
      <c r="WAY16" s="169"/>
      <c r="WAZ16" s="169"/>
      <c r="WBA16" s="169"/>
      <c r="WBB16" s="169"/>
      <c r="WBC16" s="169"/>
      <c r="WBD16" s="169"/>
      <c r="WBE16" s="169"/>
      <c r="WBF16" s="169"/>
      <c r="WBG16" s="169"/>
      <c r="WBH16" s="169"/>
      <c r="WBI16" s="169"/>
      <c r="WBJ16" s="169"/>
      <c r="WBK16" s="169"/>
      <c r="WBL16" s="169"/>
      <c r="WBM16" s="169"/>
      <c r="WBN16" s="169"/>
      <c r="WBO16" s="169"/>
      <c r="WBP16" s="169"/>
      <c r="WBQ16" s="169"/>
      <c r="WBR16" s="169"/>
      <c r="WBS16" s="169"/>
      <c r="WBT16" s="169"/>
      <c r="WBU16" s="169"/>
      <c r="WBV16" s="169"/>
      <c r="WBW16" s="169"/>
      <c r="WBX16" s="169"/>
      <c r="WBY16" s="169"/>
      <c r="WBZ16" s="169"/>
      <c r="WCA16" s="169"/>
      <c r="WCB16" s="169"/>
      <c r="WCC16" s="169"/>
      <c r="WCD16" s="169"/>
      <c r="WCE16" s="169"/>
      <c r="WCF16" s="169"/>
      <c r="WCG16" s="169"/>
      <c r="WCH16" s="169"/>
      <c r="WCI16" s="169"/>
      <c r="WCJ16" s="169"/>
      <c r="WCK16" s="169"/>
      <c r="WCL16" s="169"/>
      <c r="WCM16" s="169"/>
      <c r="WCN16" s="169"/>
      <c r="WCO16" s="169"/>
      <c r="WCP16" s="169"/>
      <c r="WCQ16" s="169"/>
      <c r="WCR16" s="169"/>
      <c r="WCS16" s="169"/>
      <c r="WCT16" s="169"/>
      <c r="WCU16" s="169"/>
      <c r="WCV16" s="169"/>
      <c r="WCW16" s="169"/>
      <c r="WCX16" s="169"/>
      <c r="WCY16" s="169"/>
      <c r="WCZ16" s="169"/>
      <c r="WDA16" s="169"/>
      <c r="WDB16" s="169"/>
      <c r="WDC16" s="169"/>
      <c r="WDD16" s="169"/>
      <c r="WDE16" s="169"/>
      <c r="WDF16" s="169"/>
      <c r="WDG16" s="169"/>
      <c r="WDH16" s="169"/>
      <c r="WDI16" s="169"/>
      <c r="WDJ16" s="169"/>
      <c r="WDK16" s="169"/>
      <c r="WDL16" s="169"/>
      <c r="WDM16" s="169"/>
      <c r="WDN16" s="169"/>
      <c r="WDO16" s="169"/>
      <c r="WDP16" s="169"/>
      <c r="WDQ16" s="169"/>
      <c r="WDR16" s="169"/>
      <c r="WDS16" s="169"/>
      <c r="WDT16" s="169"/>
      <c r="WDU16" s="169"/>
      <c r="WDV16" s="169"/>
      <c r="WDW16" s="169"/>
      <c r="WDX16" s="169"/>
      <c r="WDY16" s="169"/>
      <c r="WDZ16" s="169"/>
      <c r="WEA16" s="169"/>
      <c r="WEB16" s="169"/>
      <c r="WEC16" s="169"/>
      <c r="WED16" s="169"/>
      <c r="WEE16" s="169"/>
      <c r="WEF16" s="169"/>
      <c r="WEG16" s="169"/>
      <c r="WEH16" s="169"/>
      <c r="WEI16" s="169"/>
      <c r="WEJ16" s="169"/>
      <c r="WEK16" s="169"/>
      <c r="WEL16" s="169"/>
      <c r="WEM16" s="169"/>
      <c r="WEN16" s="169"/>
      <c r="WEO16" s="169"/>
      <c r="WEP16" s="169"/>
      <c r="WEQ16" s="169"/>
      <c r="WER16" s="169"/>
      <c r="WES16" s="169"/>
      <c r="WET16" s="169"/>
      <c r="WEU16" s="169"/>
      <c r="WEV16" s="169"/>
      <c r="WEW16" s="169"/>
      <c r="WEX16" s="169"/>
      <c r="WEY16" s="169"/>
      <c r="WEZ16" s="169"/>
      <c r="WFA16" s="169"/>
      <c r="WFB16" s="169"/>
      <c r="WFC16" s="169"/>
      <c r="WFD16" s="169"/>
      <c r="WFE16" s="169"/>
      <c r="WFF16" s="169"/>
      <c r="WFG16" s="169"/>
      <c r="WFH16" s="169"/>
      <c r="WFI16" s="169"/>
      <c r="WFJ16" s="169"/>
      <c r="WFK16" s="169"/>
      <c r="WFL16" s="169"/>
      <c r="WFM16" s="169"/>
      <c r="WFN16" s="169"/>
      <c r="WFO16" s="169"/>
      <c r="WFP16" s="169"/>
      <c r="WFQ16" s="169"/>
      <c r="WFR16" s="169"/>
      <c r="WFS16" s="169"/>
      <c r="WFT16" s="169"/>
      <c r="WFU16" s="169"/>
      <c r="WFV16" s="169"/>
      <c r="WFW16" s="169"/>
      <c r="WFX16" s="169"/>
      <c r="WFY16" s="169"/>
      <c r="WFZ16" s="169"/>
      <c r="WGA16" s="169"/>
      <c r="WGB16" s="169"/>
      <c r="WGC16" s="169"/>
      <c r="WGD16" s="169"/>
      <c r="WGE16" s="169"/>
      <c r="WGF16" s="169"/>
      <c r="WGG16" s="169"/>
      <c r="WGH16" s="169"/>
      <c r="WGI16" s="169"/>
      <c r="WGJ16" s="169"/>
      <c r="WGK16" s="169"/>
      <c r="WGL16" s="169"/>
      <c r="WGM16" s="169"/>
      <c r="WGN16" s="169"/>
      <c r="WGO16" s="169"/>
      <c r="WGP16" s="169"/>
      <c r="WGQ16" s="169"/>
      <c r="WGR16" s="169"/>
      <c r="WGS16" s="169"/>
      <c r="WGT16" s="169"/>
      <c r="WGU16" s="169"/>
      <c r="WGV16" s="169"/>
      <c r="WGW16" s="169"/>
      <c r="WGX16" s="169"/>
      <c r="WGY16" s="169"/>
      <c r="WGZ16" s="169"/>
      <c r="WHA16" s="169"/>
      <c r="WHB16" s="169"/>
      <c r="WHC16" s="169"/>
      <c r="WHD16" s="169"/>
      <c r="WHE16" s="169"/>
      <c r="WHF16" s="169"/>
      <c r="WHG16" s="169"/>
      <c r="WHH16" s="169"/>
      <c r="WHI16" s="169"/>
      <c r="WHJ16" s="169"/>
      <c r="WHK16" s="169"/>
      <c r="WHL16" s="169"/>
      <c r="WHM16" s="169"/>
      <c r="WHN16" s="169"/>
      <c r="WHO16" s="169"/>
      <c r="WHP16" s="169"/>
      <c r="WHQ16" s="169"/>
      <c r="WHR16" s="169"/>
      <c r="WHS16" s="169"/>
      <c r="WHT16" s="169"/>
      <c r="WHU16" s="169"/>
      <c r="WHV16" s="169"/>
      <c r="WHW16" s="169"/>
      <c r="WHX16" s="169"/>
      <c r="WHY16" s="169"/>
      <c r="WHZ16" s="169"/>
      <c r="WIA16" s="169"/>
      <c r="WIB16" s="169"/>
      <c r="WIC16" s="169"/>
      <c r="WID16" s="169"/>
      <c r="WIE16" s="169"/>
      <c r="WIF16" s="169"/>
      <c r="WIG16" s="169"/>
      <c r="WIH16" s="169"/>
      <c r="WII16" s="169"/>
      <c r="WIJ16" s="169"/>
      <c r="WIK16" s="169"/>
      <c r="WIL16" s="169"/>
      <c r="WIM16" s="169"/>
      <c r="WIN16" s="169"/>
      <c r="WIO16" s="169"/>
      <c r="WIP16" s="169"/>
      <c r="WIQ16" s="169"/>
      <c r="WIR16" s="169"/>
      <c r="WIS16" s="169"/>
      <c r="WIT16" s="169"/>
      <c r="WIU16" s="169"/>
      <c r="WIV16" s="169"/>
      <c r="WIW16" s="169"/>
      <c r="WIX16" s="169"/>
      <c r="WIY16" s="169"/>
      <c r="WIZ16" s="169"/>
      <c r="WJA16" s="169"/>
      <c r="WJB16" s="169"/>
      <c r="WJC16" s="169"/>
      <c r="WJD16" s="169"/>
      <c r="WJE16" s="169"/>
      <c r="WJF16" s="169"/>
      <c r="WJG16" s="169"/>
      <c r="WJH16" s="169"/>
      <c r="WJI16" s="169"/>
      <c r="WJJ16" s="169"/>
      <c r="WJK16" s="169"/>
      <c r="WJL16" s="169"/>
      <c r="WJM16" s="169"/>
      <c r="WJN16" s="169"/>
      <c r="WJO16" s="169"/>
      <c r="WJP16" s="169"/>
      <c r="WJQ16" s="169"/>
      <c r="WJR16" s="169"/>
      <c r="WJS16" s="169"/>
      <c r="WJT16" s="169"/>
      <c r="WJU16" s="169"/>
      <c r="WJV16" s="169"/>
      <c r="WJW16" s="169"/>
      <c r="WJX16" s="169"/>
      <c r="WJY16" s="169"/>
      <c r="WJZ16" s="169"/>
      <c r="WKA16" s="169"/>
      <c r="WKB16" s="169"/>
      <c r="WKC16" s="169"/>
      <c r="WKD16" s="169"/>
      <c r="WKE16" s="169"/>
      <c r="WKF16" s="169"/>
      <c r="WKG16" s="169"/>
      <c r="WKH16" s="169"/>
      <c r="WKI16" s="169"/>
      <c r="WKJ16" s="169"/>
      <c r="WKK16" s="169"/>
      <c r="WKL16" s="169"/>
      <c r="WKM16" s="169"/>
      <c r="WKN16" s="169"/>
      <c r="WKO16" s="169"/>
      <c r="WKP16" s="169"/>
      <c r="WKQ16" s="169"/>
      <c r="WKR16" s="169"/>
      <c r="WKS16" s="169"/>
      <c r="WKT16" s="169"/>
      <c r="WKU16" s="169"/>
      <c r="WKV16" s="169"/>
      <c r="WKW16" s="169"/>
      <c r="WKX16" s="169"/>
      <c r="WKY16" s="169"/>
      <c r="WKZ16" s="169"/>
      <c r="WLA16" s="169"/>
      <c r="WLB16" s="169"/>
      <c r="WLC16" s="169"/>
      <c r="WLD16" s="169"/>
      <c r="WLE16" s="169"/>
      <c r="WLF16" s="169"/>
      <c r="WLG16" s="169"/>
      <c r="WLH16" s="169"/>
      <c r="WLI16" s="169"/>
      <c r="WLJ16" s="169"/>
      <c r="WLK16" s="169"/>
      <c r="WLL16" s="169"/>
      <c r="WLM16" s="169"/>
      <c r="WLN16" s="169"/>
      <c r="WLO16" s="169"/>
      <c r="WLP16" s="169"/>
      <c r="WLQ16" s="169"/>
      <c r="WLR16" s="169"/>
      <c r="WLS16" s="169"/>
      <c r="WLT16" s="169"/>
      <c r="WLU16" s="169"/>
      <c r="WLV16" s="169"/>
      <c r="WLW16" s="169"/>
      <c r="WLX16" s="169"/>
      <c r="WLY16" s="169"/>
      <c r="WLZ16" s="169"/>
      <c r="WMA16" s="169"/>
      <c r="WMB16" s="169"/>
      <c r="WMC16" s="169"/>
      <c r="WMD16" s="169"/>
      <c r="WME16" s="169"/>
      <c r="WMF16" s="169"/>
      <c r="WMG16" s="169"/>
      <c r="WMH16" s="169"/>
      <c r="WMI16" s="169"/>
      <c r="WMJ16" s="169"/>
      <c r="WMK16" s="169"/>
      <c r="WML16" s="169"/>
      <c r="WMM16" s="169"/>
      <c r="WMN16" s="169"/>
      <c r="WMO16" s="169"/>
      <c r="WMP16" s="169"/>
      <c r="WMQ16" s="169"/>
      <c r="WMR16" s="169"/>
      <c r="WMS16" s="169"/>
      <c r="WMT16" s="169"/>
      <c r="WMU16" s="169"/>
      <c r="WMV16" s="169"/>
      <c r="WMW16" s="169"/>
      <c r="WMX16" s="169"/>
      <c r="WMY16" s="169"/>
      <c r="WMZ16" s="169"/>
      <c r="WNA16" s="169"/>
      <c r="WNB16" s="169"/>
      <c r="WNC16" s="169"/>
      <c r="WND16" s="169"/>
      <c r="WNE16" s="169"/>
      <c r="WNF16" s="169"/>
      <c r="WNG16" s="169"/>
      <c r="WNH16" s="169"/>
      <c r="WNI16" s="169"/>
      <c r="WNJ16" s="169"/>
      <c r="WNK16" s="169"/>
      <c r="WNL16" s="169"/>
      <c r="WNM16" s="169"/>
      <c r="WNN16" s="169"/>
      <c r="WNO16" s="169"/>
      <c r="WNP16" s="169"/>
      <c r="WNQ16" s="169"/>
      <c r="WNR16" s="169"/>
      <c r="WNS16" s="169"/>
      <c r="WNT16" s="169"/>
      <c r="WNU16" s="169"/>
      <c r="WNV16" s="169"/>
      <c r="WNW16" s="169"/>
      <c r="WNX16" s="169"/>
      <c r="WNY16" s="169"/>
      <c r="WNZ16" s="169"/>
      <c r="WOA16" s="169"/>
      <c r="WOB16" s="169"/>
      <c r="WOC16" s="169"/>
      <c r="WOD16" s="169"/>
      <c r="WOE16" s="169"/>
      <c r="WOF16" s="169"/>
      <c r="WOG16" s="169"/>
      <c r="WOH16" s="169"/>
      <c r="WOI16" s="169"/>
      <c r="WOJ16" s="169"/>
      <c r="WOK16" s="169"/>
      <c r="WOL16" s="169"/>
      <c r="WOM16" s="169"/>
      <c r="WON16" s="169"/>
      <c r="WOO16" s="169"/>
      <c r="WOP16" s="169"/>
      <c r="WOQ16" s="169"/>
      <c r="WOR16" s="169"/>
      <c r="WOS16" s="169"/>
      <c r="WOT16" s="169"/>
      <c r="WOU16" s="169"/>
      <c r="WOV16" s="169"/>
      <c r="WOW16" s="169"/>
      <c r="WOX16" s="169"/>
      <c r="WOY16" s="169"/>
      <c r="WOZ16" s="169"/>
      <c r="WPA16" s="169"/>
      <c r="WPB16" s="169"/>
      <c r="WPC16" s="169"/>
      <c r="WPD16" s="169"/>
      <c r="WPE16" s="169"/>
      <c r="WPF16" s="169"/>
      <c r="WPG16" s="169"/>
      <c r="WPH16" s="169"/>
      <c r="WPI16" s="169"/>
      <c r="WPJ16" s="169"/>
      <c r="WPK16" s="169"/>
      <c r="WPL16" s="169"/>
      <c r="WPM16" s="169"/>
      <c r="WPN16" s="169"/>
      <c r="WPO16" s="169"/>
      <c r="WPP16" s="169"/>
      <c r="WPQ16" s="169"/>
      <c r="WPR16" s="169"/>
      <c r="WPS16" s="169"/>
      <c r="WPT16" s="169"/>
      <c r="WPU16" s="169"/>
      <c r="WPV16" s="169"/>
      <c r="WPW16" s="169"/>
      <c r="WPX16" s="169"/>
      <c r="WPY16" s="169"/>
      <c r="WPZ16" s="169"/>
      <c r="WQA16" s="169"/>
      <c r="WQB16" s="169"/>
      <c r="WQC16" s="169"/>
      <c r="WQD16" s="169"/>
      <c r="WQE16" s="169"/>
      <c r="WQF16" s="169"/>
      <c r="WQG16" s="169"/>
      <c r="WQH16" s="169"/>
      <c r="WQI16" s="169"/>
      <c r="WQJ16" s="169"/>
      <c r="WQK16" s="169"/>
      <c r="WQL16" s="169"/>
      <c r="WQM16" s="169"/>
      <c r="WQN16" s="169"/>
      <c r="WQO16" s="169"/>
      <c r="WQP16" s="169"/>
      <c r="WQQ16" s="169"/>
      <c r="WQR16" s="169"/>
      <c r="WQS16" s="169"/>
      <c r="WQT16" s="169"/>
      <c r="WQU16" s="169"/>
      <c r="WQV16" s="169"/>
      <c r="WQW16" s="169"/>
      <c r="WQX16" s="169"/>
      <c r="WQY16" s="169"/>
      <c r="WQZ16" s="169"/>
      <c r="WRA16" s="169"/>
      <c r="WRB16" s="169"/>
      <c r="WRC16" s="169"/>
      <c r="WRD16" s="169"/>
      <c r="WRE16" s="169"/>
      <c r="WRF16" s="169"/>
      <c r="WRG16" s="169"/>
      <c r="WRH16" s="169"/>
      <c r="WRI16" s="169"/>
      <c r="WRJ16" s="169"/>
      <c r="WRK16" s="169"/>
      <c r="WRL16" s="169"/>
      <c r="WRM16" s="169"/>
      <c r="WRN16" s="169"/>
      <c r="WRO16" s="169"/>
      <c r="WRP16" s="169"/>
      <c r="WRQ16" s="169"/>
      <c r="WRR16" s="169"/>
      <c r="WRS16" s="169"/>
      <c r="WRT16" s="169"/>
      <c r="WRU16" s="169"/>
      <c r="WRV16" s="169"/>
      <c r="WRW16" s="169"/>
      <c r="WRX16" s="169"/>
      <c r="WRY16" s="169"/>
      <c r="WRZ16" s="169"/>
      <c r="WSA16" s="169"/>
      <c r="WSB16" s="169"/>
      <c r="WSC16" s="169"/>
      <c r="WSD16" s="169"/>
      <c r="WSE16" s="169"/>
      <c r="WSF16" s="169"/>
      <c r="WSG16" s="169"/>
      <c r="WSH16" s="169"/>
      <c r="WSI16" s="169"/>
      <c r="WSJ16" s="169"/>
      <c r="WSK16" s="169"/>
      <c r="WSL16" s="169"/>
      <c r="WSM16" s="169"/>
      <c r="WSN16" s="169"/>
      <c r="WSO16" s="169"/>
      <c r="WSP16" s="169"/>
      <c r="WSQ16" s="169"/>
      <c r="WSR16" s="169"/>
      <c r="WSS16" s="169"/>
      <c r="WST16" s="169"/>
      <c r="WSU16" s="169"/>
      <c r="WSV16" s="169"/>
      <c r="WSW16" s="169"/>
      <c r="WSX16" s="169"/>
      <c r="WSY16" s="169"/>
      <c r="WSZ16" s="169"/>
      <c r="WTA16" s="169"/>
      <c r="WTB16" s="169"/>
      <c r="WTC16" s="169"/>
      <c r="WTD16" s="169"/>
      <c r="WTE16" s="169"/>
      <c r="WTF16" s="169"/>
      <c r="WTG16" s="169"/>
      <c r="WTH16" s="169"/>
      <c r="WTI16" s="169"/>
      <c r="WTJ16" s="169"/>
      <c r="WTK16" s="169"/>
      <c r="WTL16" s="169"/>
      <c r="WTM16" s="169"/>
      <c r="WTN16" s="169"/>
      <c r="WTO16" s="169"/>
      <c r="WTP16" s="169"/>
      <c r="WTQ16" s="169"/>
      <c r="WTR16" s="169"/>
      <c r="WTS16" s="169"/>
      <c r="WTT16" s="169"/>
      <c r="WTU16" s="169"/>
      <c r="WTV16" s="169"/>
      <c r="WTW16" s="169"/>
      <c r="WTX16" s="169"/>
      <c r="WTY16" s="169"/>
      <c r="WTZ16" s="169"/>
      <c r="WUA16" s="169"/>
      <c r="WUB16" s="169"/>
      <c r="WUC16" s="169"/>
      <c r="WUD16" s="169"/>
      <c r="WUE16" s="169"/>
      <c r="WUF16" s="169"/>
      <c r="WUG16" s="169"/>
      <c r="WUH16" s="169"/>
      <c r="WUI16" s="169"/>
      <c r="WUJ16" s="169"/>
      <c r="WUK16" s="169"/>
      <c r="WUL16" s="169"/>
      <c r="WUM16" s="169"/>
      <c r="WUN16" s="169"/>
      <c r="WUO16" s="169"/>
      <c r="WUP16" s="169"/>
      <c r="WUQ16" s="169"/>
      <c r="WUR16" s="169"/>
      <c r="WUS16" s="169"/>
      <c r="WUT16" s="169"/>
      <c r="WUU16" s="169"/>
      <c r="WUV16" s="169"/>
      <c r="WUW16" s="169"/>
      <c r="WUX16" s="169"/>
      <c r="WUY16" s="169"/>
      <c r="WUZ16" s="169"/>
      <c r="WVA16" s="169"/>
      <c r="WVB16" s="169"/>
      <c r="WVC16" s="169"/>
      <c r="WVD16" s="169"/>
      <c r="WVE16" s="169"/>
      <c r="WVF16" s="169"/>
      <c r="WVG16" s="169"/>
      <c r="WVH16" s="169"/>
      <c r="WVI16" s="169"/>
      <c r="WVJ16" s="169"/>
      <c r="WVK16" s="169"/>
      <c r="WVL16" s="169"/>
      <c r="WVM16" s="169"/>
      <c r="WVN16" s="169"/>
      <c r="WVO16" s="169"/>
      <c r="WVP16" s="169"/>
      <c r="WVQ16" s="169"/>
      <c r="WVR16" s="169"/>
      <c r="WVS16" s="169"/>
      <c r="WVT16" s="169"/>
      <c r="WVU16" s="169"/>
      <c r="WVV16" s="169"/>
      <c r="WVW16" s="169"/>
      <c r="WVX16" s="169"/>
      <c r="WVY16" s="169"/>
      <c r="WVZ16" s="169"/>
      <c r="WWA16" s="169"/>
      <c r="WWB16" s="169"/>
      <c r="WWC16" s="169"/>
      <c r="WWD16" s="169"/>
      <c r="WWE16" s="169"/>
      <c r="WWF16" s="169"/>
      <c r="WWG16" s="169"/>
      <c r="WWH16" s="169"/>
      <c r="WWI16" s="169"/>
      <c r="WWJ16" s="169"/>
      <c r="WWK16" s="169"/>
      <c r="WWL16" s="169"/>
      <c r="WWM16" s="169"/>
      <c r="WWN16" s="169"/>
      <c r="WWO16" s="169"/>
      <c r="WWP16" s="169"/>
      <c r="WWQ16" s="169"/>
      <c r="WWR16" s="169"/>
      <c r="WWS16" s="169"/>
      <c r="WWT16" s="169"/>
      <c r="WWU16" s="169"/>
      <c r="WWV16" s="169"/>
      <c r="WWW16" s="169"/>
      <c r="WWX16" s="169"/>
      <c r="WWY16" s="169"/>
      <c r="WWZ16" s="169"/>
      <c r="WXA16" s="169"/>
      <c r="WXB16" s="169"/>
      <c r="WXC16" s="169"/>
      <c r="WXD16" s="169"/>
      <c r="WXE16" s="169"/>
      <c r="WXF16" s="169"/>
      <c r="WXG16" s="169"/>
      <c r="WXH16" s="169"/>
      <c r="WXI16" s="169"/>
      <c r="WXJ16" s="169"/>
      <c r="WXK16" s="169"/>
      <c r="WXL16" s="169"/>
      <c r="WXM16" s="169"/>
      <c r="WXN16" s="169"/>
      <c r="WXO16" s="169"/>
      <c r="WXP16" s="169"/>
      <c r="WXQ16" s="169"/>
      <c r="WXR16" s="169"/>
      <c r="WXS16" s="169"/>
      <c r="WXT16" s="169"/>
      <c r="WXU16" s="169"/>
      <c r="WXV16" s="169"/>
      <c r="WXW16" s="169"/>
      <c r="WXX16" s="169"/>
      <c r="WXY16" s="169"/>
      <c r="WXZ16" s="169"/>
      <c r="WYA16" s="169"/>
      <c r="WYB16" s="169"/>
      <c r="WYC16" s="169"/>
      <c r="WYD16" s="169"/>
      <c r="WYE16" s="169"/>
      <c r="WYF16" s="169"/>
      <c r="WYG16" s="169"/>
      <c r="WYH16" s="169"/>
      <c r="WYI16" s="169"/>
      <c r="WYJ16" s="169"/>
      <c r="WYK16" s="169"/>
      <c r="WYL16" s="169"/>
      <c r="WYM16" s="169"/>
      <c r="WYN16" s="169"/>
      <c r="WYO16" s="169"/>
      <c r="WYP16" s="169"/>
      <c r="WYQ16" s="169"/>
      <c r="WYR16" s="169"/>
      <c r="WYS16" s="169"/>
      <c r="WYT16" s="169"/>
      <c r="WYU16" s="169"/>
      <c r="WYV16" s="169"/>
      <c r="WYW16" s="169"/>
      <c r="WYX16" s="169"/>
      <c r="WYY16" s="169"/>
      <c r="WYZ16" s="169"/>
      <c r="WZA16" s="169"/>
      <c r="WZB16" s="169"/>
      <c r="WZC16" s="169"/>
      <c r="WZD16" s="169"/>
      <c r="WZE16" s="169"/>
      <c r="WZF16" s="169"/>
      <c r="WZG16" s="169"/>
      <c r="WZH16" s="169"/>
      <c r="WZI16" s="169"/>
      <c r="WZJ16" s="169"/>
      <c r="WZK16" s="169"/>
      <c r="WZL16" s="169"/>
      <c r="WZM16" s="169"/>
      <c r="WZN16" s="169"/>
      <c r="WZO16" s="169"/>
      <c r="WZP16" s="169"/>
      <c r="WZQ16" s="169"/>
      <c r="WZR16" s="169"/>
      <c r="WZS16" s="169"/>
      <c r="WZT16" s="169"/>
      <c r="WZU16" s="169"/>
      <c r="WZV16" s="169"/>
      <c r="WZW16" s="169"/>
      <c r="WZX16" s="169"/>
      <c r="WZY16" s="169"/>
      <c r="WZZ16" s="169"/>
      <c r="XAA16" s="169"/>
      <c r="XAB16" s="169"/>
      <c r="XAC16" s="169"/>
      <c r="XAD16" s="169"/>
      <c r="XAE16" s="169"/>
      <c r="XAF16" s="169"/>
      <c r="XAG16" s="169"/>
      <c r="XAH16" s="169"/>
      <c r="XAI16" s="169"/>
      <c r="XAJ16" s="169"/>
      <c r="XAK16" s="169"/>
      <c r="XAL16" s="169"/>
      <c r="XAM16" s="169"/>
      <c r="XAN16" s="169"/>
      <c r="XAO16" s="169"/>
      <c r="XAP16" s="169"/>
      <c r="XAQ16" s="169"/>
      <c r="XAR16" s="169"/>
      <c r="XAS16" s="169"/>
      <c r="XAT16" s="169"/>
      <c r="XAU16" s="169"/>
      <c r="XAV16" s="169"/>
      <c r="XAW16" s="169"/>
      <c r="XAX16" s="169"/>
      <c r="XAY16" s="169"/>
      <c r="XAZ16" s="169"/>
      <c r="XBA16" s="169"/>
      <c r="XBB16" s="169"/>
      <c r="XBC16" s="169"/>
      <c r="XBD16" s="169"/>
      <c r="XBE16" s="169"/>
      <c r="XBF16" s="169"/>
      <c r="XBG16" s="169"/>
      <c r="XBH16" s="169"/>
      <c r="XBI16" s="169"/>
      <c r="XBJ16" s="169"/>
      <c r="XBK16" s="169"/>
      <c r="XBL16" s="169"/>
      <c r="XBM16" s="169"/>
      <c r="XBN16" s="169"/>
      <c r="XBO16" s="169"/>
      <c r="XBP16" s="169"/>
      <c r="XBQ16" s="169"/>
      <c r="XBR16" s="169"/>
      <c r="XBS16" s="169"/>
      <c r="XBT16" s="169"/>
      <c r="XBU16" s="169"/>
      <c r="XBV16" s="169"/>
      <c r="XBW16" s="169"/>
      <c r="XBX16" s="169"/>
      <c r="XBY16" s="169"/>
      <c r="XBZ16" s="169"/>
      <c r="XCA16" s="169"/>
      <c r="XCB16" s="169"/>
      <c r="XCC16" s="169"/>
      <c r="XCD16" s="169"/>
      <c r="XCE16" s="169"/>
      <c r="XCF16" s="169"/>
      <c r="XCG16" s="169"/>
      <c r="XCH16" s="169"/>
      <c r="XCI16" s="169"/>
      <c r="XCJ16" s="169"/>
      <c r="XCK16" s="169"/>
      <c r="XCL16" s="169"/>
      <c r="XCM16" s="169"/>
      <c r="XCN16" s="169"/>
      <c r="XCO16" s="169"/>
      <c r="XCP16" s="169"/>
      <c r="XCQ16" s="169"/>
      <c r="XCR16" s="169"/>
      <c r="XCS16" s="169"/>
      <c r="XCT16" s="169"/>
      <c r="XCU16" s="169"/>
      <c r="XCV16" s="169"/>
      <c r="XCW16" s="169"/>
      <c r="XCX16" s="169"/>
      <c r="XCY16" s="169"/>
      <c r="XCZ16" s="169"/>
      <c r="XDA16" s="169"/>
      <c r="XDB16" s="169"/>
      <c r="XDC16" s="169"/>
      <c r="XDD16" s="169"/>
      <c r="XDE16" s="169"/>
      <c r="XDF16" s="169"/>
      <c r="XDG16" s="169"/>
      <c r="XDH16" s="169"/>
      <c r="XDI16" s="169"/>
      <c r="XDJ16" s="169"/>
      <c r="XDK16" s="169"/>
      <c r="XDL16" s="169"/>
      <c r="XDM16" s="169"/>
      <c r="XDN16" s="169"/>
      <c r="XDO16" s="169"/>
      <c r="XDP16" s="169"/>
      <c r="XDQ16" s="169"/>
      <c r="XDR16" s="169"/>
      <c r="XDS16" s="169"/>
      <c r="XDT16" s="169"/>
      <c r="XDU16" s="169"/>
      <c r="XDV16" s="169"/>
      <c r="XDW16" s="169"/>
      <c r="XDX16" s="169"/>
      <c r="XDY16" s="169"/>
      <c r="XDZ16" s="169"/>
      <c r="XEA16" s="169"/>
      <c r="XEB16" s="169"/>
      <c r="XEC16" s="169"/>
      <c r="XED16" s="169"/>
      <c r="XEE16" s="169"/>
      <c r="XEF16" s="169"/>
      <c r="XEG16" s="169"/>
      <c r="XEH16" s="169"/>
      <c r="XEI16" s="169"/>
      <c r="XEJ16" s="169"/>
      <c r="XEK16" s="169"/>
      <c r="XEL16" s="169"/>
      <c r="XEM16" s="169"/>
      <c r="XEN16" s="169"/>
      <c r="XEO16" s="169"/>
      <c r="XEP16" s="169"/>
      <c r="XEQ16" s="169"/>
      <c r="XER16" s="169"/>
      <c r="XES16" s="169"/>
      <c r="XET16" s="169"/>
      <c r="XEU16" s="169"/>
      <c r="XEV16" s="169"/>
      <c r="XEW16" s="169"/>
      <c r="XEX16" s="169"/>
      <c r="XEY16" s="169"/>
      <c r="XEZ16" s="169"/>
      <c r="XFA16" s="169"/>
      <c r="XFB16" s="169"/>
    </row>
    <row r="17" spans="1:18" s="169" customFormat="1" ht="13.5" customHeight="1">
      <c r="A17" s="74"/>
      <c r="B17" s="311"/>
      <c r="C17" s="329"/>
      <c r="D17" s="329"/>
      <c r="E17" s="330"/>
      <c r="J17" s="196"/>
      <c r="K17" s="196"/>
      <c r="L17" s="197"/>
      <c r="M17" s="197"/>
      <c r="N17" s="197"/>
      <c r="O17" s="196"/>
      <c r="P17" s="198"/>
      <c r="Q17" s="196"/>
      <c r="R17" s="196"/>
    </row>
    <row r="18" spans="1:18" s="169" customFormat="1" ht="13.5" customHeight="1">
      <c r="A18" s="74"/>
      <c r="B18" s="154" t="str">
        <f>IF(C18="-","-",IF(C18=FACTORES!$AG$3,"POA",IF(C18="","","POB")))</f>
        <v/>
      </c>
      <c r="C18" s="274"/>
      <c r="D18" s="273"/>
      <c r="E18" s="235" t="s">
        <v>81</v>
      </c>
      <c r="J18" s="196"/>
      <c r="K18" s="196"/>
      <c r="L18" s="197"/>
      <c r="M18" s="197"/>
      <c r="N18" s="197"/>
      <c r="O18" s="196"/>
      <c r="P18" s="198"/>
      <c r="Q18" s="196"/>
      <c r="R18" s="196"/>
    </row>
    <row r="19" spans="1:18" s="169" customFormat="1" ht="13.5" customHeight="1">
      <c r="A19" s="74"/>
      <c r="B19" s="154" t="str">
        <f>+IF(C19="-","-",IF(C19="","","RGM"))</f>
        <v/>
      </c>
      <c r="C19" s="274"/>
      <c r="D19" s="275"/>
      <c r="E19" s="276"/>
      <c r="F19" s="237" t="str">
        <f>IF(OR(B19="-",B19=""),"No Aplica Deducible","Introduzca el Deducible")</f>
        <v>No Aplica Deducible</v>
      </c>
      <c r="J19" s="196"/>
      <c r="K19" s="196"/>
      <c r="L19" s="197"/>
      <c r="M19" s="197"/>
      <c r="N19" s="197"/>
      <c r="O19" s="196"/>
      <c r="P19" s="198"/>
      <c r="Q19" s="196"/>
      <c r="R19" s="196"/>
    </row>
    <row r="20" spans="1:18" s="169" customFormat="1" ht="13.5" customHeight="1">
      <c r="A20" s="74"/>
      <c r="B20" s="176"/>
      <c r="C20" s="176"/>
      <c r="D20" s="177"/>
      <c r="E20" s="178"/>
      <c r="F20" s="312">
        <f>+IF(OR(D18&gt;D14,D19&gt;D14,E5="Cotización no permitida",H24="EDAD NO PERMITIDA",H25="EDAD NO PERMITIDA",H26="EDAD NO PERMITIDA",H27="EDAD NO PERMITIDA",H28="EDAD NO PERMITIDA",H29="EDAD NO PERMITIDA",H30="EDAD NO PERMITIDA",H31="EDAD NO PERMITIDA"),1,0)</f>
        <v>0</v>
      </c>
      <c r="J20" s="196"/>
      <c r="K20" s="196"/>
      <c r="L20" s="197"/>
      <c r="M20" s="197"/>
      <c r="N20" s="197"/>
      <c r="O20" s="196"/>
      <c r="P20" s="198"/>
      <c r="Q20" s="196"/>
      <c r="R20" s="196"/>
    </row>
    <row r="21" spans="1:18" s="2" customFormat="1" ht="13.5" customHeight="1">
      <c r="A21" s="74"/>
      <c r="B21" s="176"/>
      <c r="C21" s="176"/>
      <c r="D21" s="238" t="str">
        <f>IF(OR(H24&lt;&gt;"",H25&lt;&gt;"",H26&lt;&gt;"",H27&lt;&gt;"",H28&lt;&gt;"",H29&lt;&gt;"",H30&lt;&gt;"",H31&lt;&gt;""),"Edad no permitida","")</f>
        <v/>
      </c>
      <c r="E21" s="178"/>
      <c r="F21" s="312"/>
      <c r="G21" s="74"/>
      <c r="H21" s="74"/>
      <c r="J21" s="123"/>
      <c r="K21" s="123"/>
      <c r="L21" s="21"/>
      <c r="M21" s="21"/>
      <c r="N21" s="21"/>
      <c r="O21" s="123"/>
      <c r="P21" s="25"/>
      <c r="Q21" s="123"/>
      <c r="R21" s="123"/>
    </row>
    <row r="22" spans="1:18" s="2" customFormat="1" ht="13.5" customHeight="1">
      <c r="A22" s="74"/>
      <c r="B22" s="283" t="s">
        <v>35</v>
      </c>
      <c r="C22" s="308" t="s">
        <v>12</v>
      </c>
      <c r="D22" s="308" t="s">
        <v>34</v>
      </c>
      <c r="E22" s="308" t="s">
        <v>0</v>
      </c>
      <c r="F22" s="308" t="s">
        <v>337</v>
      </c>
      <c r="I22" s="123"/>
      <c r="J22" s="123"/>
      <c r="K22" s="21"/>
      <c r="L22" s="21"/>
      <c r="M22" s="21"/>
      <c r="N22" s="123"/>
      <c r="O22" s="25"/>
      <c r="P22" s="123"/>
      <c r="Q22" s="123"/>
    </row>
    <row r="23" spans="1:18" s="2" customFormat="1" ht="15" customHeight="1">
      <c r="A23" s="74"/>
      <c r="B23" s="323"/>
      <c r="C23" s="309"/>
      <c r="D23" s="309"/>
      <c r="E23" s="309"/>
      <c r="F23" s="309"/>
      <c r="I23" s="123"/>
      <c r="J23" s="123"/>
      <c r="K23" s="21"/>
      <c r="L23" s="21"/>
      <c r="M23" s="21"/>
      <c r="N23" s="123"/>
      <c r="O23" s="25"/>
      <c r="P23" s="123"/>
      <c r="Q23" s="123"/>
    </row>
    <row r="24" spans="1:18" s="2" customFormat="1" ht="20.25" customHeight="1">
      <c r="B24" s="219" t="s">
        <v>18</v>
      </c>
      <c r="C24" s="222"/>
      <c r="D24" s="110"/>
      <c r="E24" s="110"/>
      <c r="F24" s="110"/>
      <c r="H24" s="199" t="str">
        <f>IF(OR(E24&lt;18,E24&gt;69),IF(E24="","","EDAD NO PERMITIDA"),"")</f>
        <v/>
      </c>
      <c r="I24" s="123"/>
      <c r="J24" s="123"/>
      <c r="K24" s="21"/>
      <c r="L24" s="21"/>
      <c r="M24" s="21"/>
      <c r="N24" s="123"/>
      <c r="O24" s="25"/>
      <c r="P24" s="123"/>
      <c r="Q24" s="123"/>
    </row>
    <row r="25" spans="1:18" s="2" customFormat="1" ht="20.25" customHeight="1">
      <c r="B25" s="86" t="s">
        <v>80</v>
      </c>
      <c r="C25" s="222"/>
      <c r="D25" s="110"/>
      <c r="E25" s="110"/>
      <c r="F25" s="110"/>
      <c r="H25" s="199" t="str">
        <f>IF(OR(E25&lt;18,E25&gt;69),IF(E25="","","EDAD NO PERMITIDA"),"")</f>
        <v/>
      </c>
      <c r="I25" s="123"/>
      <c r="J25" s="123"/>
      <c r="K25" s="21"/>
      <c r="L25" s="21"/>
      <c r="M25" s="21"/>
      <c r="N25" s="123"/>
      <c r="O25" s="25"/>
      <c r="P25" s="123"/>
      <c r="Q25" s="123"/>
    </row>
    <row r="26" spans="1:18" s="2" customFormat="1" ht="19.5" customHeight="1">
      <c r="B26" s="86" t="s">
        <v>354</v>
      </c>
      <c r="C26" s="222"/>
      <c r="D26" s="110"/>
      <c r="E26" s="110"/>
      <c r="F26" s="110"/>
      <c r="H26" s="199" t="str">
        <f t="shared" ref="H26:H31" si="0">IF(OR(E26&gt;24,E26&lt;3),IF(E26="","","EDAD NO PERMITIDA"),"")</f>
        <v/>
      </c>
      <c r="I26" s="123"/>
      <c r="J26" s="123"/>
      <c r="K26" s="21"/>
      <c r="L26" s="21"/>
      <c r="M26" s="21"/>
      <c r="N26" s="123"/>
      <c r="O26" s="25"/>
      <c r="P26" s="123"/>
      <c r="Q26" s="123"/>
    </row>
    <row r="27" spans="1:18" s="2" customFormat="1" ht="19.5" customHeight="1">
      <c r="B27" s="86" t="s">
        <v>355</v>
      </c>
      <c r="C27" s="222"/>
      <c r="D27" s="110"/>
      <c r="E27" s="110"/>
      <c r="F27" s="110"/>
      <c r="H27" s="199" t="str">
        <f t="shared" si="0"/>
        <v/>
      </c>
      <c r="I27" s="123"/>
      <c r="J27" s="123"/>
      <c r="K27" s="21"/>
      <c r="L27" s="21"/>
      <c r="M27" s="21"/>
      <c r="N27" s="123"/>
      <c r="O27" s="25"/>
      <c r="P27" s="123"/>
      <c r="Q27" s="123"/>
    </row>
    <row r="28" spans="1:18" s="2" customFormat="1" ht="19.5" customHeight="1">
      <c r="B28" s="86" t="s">
        <v>356</v>
      </c>
      <c r="C28" s="222"/>
      <c r="D28" s="110"/>
      <c r="E28" s="110"/>
      <c r="F28" s="110"/>
      <c r="H28" s="199" t="str">
        <f t="shared" si="0"/>
        <v/>
      </c>
      <c r="I28" s="123"/>
      <c r="J28" s="123"/>
      <c r="K28" s="21"/>
      <c r="L28" s="21"/>
      <c r="M28" s="21"/>
      <c r="N28" s="123"/>
      <c r="O28" s="25"/>
      <c r="P28" s="123"/>
      <c r="Q28" s="123"/>
    </row>
    <row r="29" spans="1:18" s="2" customFormat="1" ht="19.5" customHeight="1">
      <c r="B29" s="86" t="s">
        <v>357</v>
      </c>
      <c r="C29" s="222"/>
      <c r="D29" s="110"/>
      <c r="E29" s="110"/>
      <c r="F29" s="110"/>
      <c r="H29" s="199" t="str">
        <f t="shared" si="0"/>
        <v/>
      </c>
      <c r="I29" s="123"/>
      <c r="J29" s="123"/>
      <c r="K29" s="21"/>
      <c r="L29" s="21"/>
      <c r="M29" s="21"/>
      <c r="N29" s="123"/>
      <c r="O29" s="25"/>
      <c r="P29" s="123"/>
      <c r="Q29" s="123"/>
    </row>
    <row r="30" spans="1:18" s="2" customFormat="1" ht="19.5" customHeight="1">
      <c r="B30" s="86" t="s">
        <v>358</v>
      </c>
      <c r="C30" s="222"/>
      <c r="D30" s="110"/>
      <c r="E30" s="110"/>
      <c r="F30" s="110"/>
      <c r="H30" s="199" t="str">
        <f t="shared" si="0"/>
        <v/>
      </c>
      <c r="I30" s="123"/>
      <c r="J30" s="123"/>
      <c r="K30" s="21"/>
      <c r="L30" s="21"/>
      <c r="M30" s="21"/>
      <c r="N30" s="123"/>
      <c r="O30" s="25"/>
      <c r="P30" s="123"/>
      <c r="Q30" s="123"/>
    </row>
    <row r="31" spans="1:18" s="2" customFormat="1" ht="19.5" customHeight="1">
      <c r="B31" s="86" t="s">
        <v>359</v>
      </c>
      <c r="C31" s="222"/>
      <c r="D31" s="110"/>
      <c r="E31" s="110"/>
      <c r="F31" s="110"/>
      <c r="H31" s="199" t="str">
        <f t="shared" si="0"/>
        <v/>
      </c>
      <c r="I31" s="123"/>
      <c r="J31" s="123"/>
      <c r="K31" s="21"/>
      <c r="L31" s="21"/>
      <c r="M31" s="21"/>
      <c r="N31" s="123"/>
      <c r="O31" s="25"/>
      <c r="P31" s="123"/>
      <c r="Q31" s="123"/>
    </row>
    <row r="32" spans="1:18" s="2" customFormat="1" ht="13.5" customHeight="1">
      <c r="A32" s="74"/>
      <c r="F32" s="96"/>
      <c r="J32" s="123"/>
      <c r="K32" s="123"/>
      <c r="L32" s="21"/>
      <c r="M32" s="21"/>
      <c r="N32" s="21"/>
      <c r="O32" s="123"/>
      <c r="P32" s="25"/>
      <c r="Q32" s="123"/>
      <c r="R32" s="123"/>
    </row>
    <row r="33" spans="1:16382" s="2" customFormat="1" ht="15.75" customHeight="1">
      <c r="A33" s="74"/>
      <c r="F33" s="149"/>
      <c r="J33" s="20"/>
      <c r="K33" s="123"/>
      <c r="L33" s="21"/>
      <c r="M33" s="26"/>
      <c r="N33" s="27"/>
      <c r="O33" s="123"/>
      <c r="P33" s="28"/>
      <c r="Q33" s="123"/>
      <c r="R33" s="123"/>
    </row>
    <row r="34" spans="1:16382" s="156" customFormat="1">
      <c r="A34" s="168"/>
      <c r="B34" s="314" t="s">
        <v>36</v>
      </c>
      <c r="C34" s="316" t="s">
        <v>37</v>
      </c>
      <c r="D34" s="316" t="s">
        <v>38</v>
      </c>
      <c r="E34" s="318" t="s">
        <v>39</v>
      </c>
      <c r="I34" s="2"/>
      <c r="J34" s="123"/>
      <c r="K34" s="123"/>
      <c r="L34" s="122"/>
      <c r="M34" s="26"/>
      <c r="N34" s="29"/>
      <c r="O34" s="30"/>
      <c r="P34" s="28"/>
      <c r="Q34" s="123"/>
      <c r="R34" s="123"/>
      <c r="S34" s="2"/>
      <c r="T34" s="2"/>
      <c r="U34" s="2"/>
      <c r="V34" s="2"/>
      <c r="W34" s="2"/>
      <c r="X34" s="2"/>
      <c r="Y34" s="2"/>
      <c r="Z34" s="2"/>
      <c r="AA34" s="2"/>
      <c r="AB34" s="2"/>
      <c r="AC34" s="2"/>
      <c r="AD34" s="2"/>
      <c r="AE34" s="2"/>
      <c r="AF34" s="2"/>
      <c r="AG34" s="2"/>
      <c r="AH34" s="2"/>
      <c r="AI34" s="2"/>
      <c r="AJ34" s="2"/>
      <c r="AK34" s="2"/>
      <c r="AL34" s="2"/>
      <c r="AM34" s="2"/>
      <c r="AN34" s="2"/>
      <c r="AO34" s="2"/>
      <c r="AP34" s="2"/>
      <c r="AQ34" s="2"/>
      <c r="AR34" s="2"/>
      <c r="AS34" s="2"/>
      <c r="AT34" s="2"/>
      <c r="AU34" s="2"/>
      <c r="AV34" s="2"/>
      <c r="AW34" s="2"/>
      <c r="AX34" s="2"/>
      <c r="AY34" s="2"/>
      <c r="AZ34" s="2"/>
      <c r="BA34" s="2"/>
      <c r="BB34" s="2"/>
      <c r="BC34" s="2"/>
      <c r="BD34" s="2"/>
      <c r="BE34" s="2"/>
      <c r="BF34" s="2"/>
      <c r="BG34" s="2"/>
      <c r="BH34" s="2"/>
      <c r="BI34" s="2"/>
      <c r="BJ34" s="2"/>
      <c r="BK34" s="2"/>
      <c r="BL34" s="2"/>
      <c r="BM34" s="2"/>
      <c r="BN34" s="2"/>
      <c r="BO34" s="2"/>
      <c r="BP34" s="2"/>
      <c r="BQ34" s="2"/>
      <c r="BR34" s="2"/>
      <c r="BS34" s="2"/>
      <c r="BT34" s="2"/>
      <c r="BU34" s="2"/>
      <c r="BV34" s="2"/>
      <c r="BW34" s="2"/>
      <c r="BX34" s="2"/>
      <c r="BY34" s="2"/>
      <c r="BZ34" s="2"/>
      <c r="CA34" s="2"/>
      <c r="CB34" s="2"/>
      <c r="CC34" s="2"/>
      <c r="CD34" s="2"/>
      <c r="CE34" s="2"/>
      <c r="CF34" s="2"/>
      <c r="CG34" s="2"/>
      <c r="CH34" s="2"/>
      <c r="CI34" s="2"/>
      <c r="CJ34" s="2"/>
      <c r="CK34" s="2"/>
      <c r="CL34" s="2"/>
      <c r="CM34" s="2"/>
      <c r="CN34" s="2"/>
      <c r="CO34" s="2"/>
      <c r="CP34" s="2"/>
      <c r="CQ34" s="2"/>
      <c r="CR34" s="2"/>
      <c r="CS34" s="2"/>
      <c r="CT34" s="2"/>
      <c r="CU34" s="2"/>
      <c r="CV34" s="2"/>
      <c r="CW34" s="2"/>
      <c r="CX34" s="2"/>
      <c r="CY34" s="2"/>
      <c r="CZ34" s="2"/>
      <c r="DA34" s="2"/>
      <c r="DB34" s="2"/>
      <c r="DC34" s="2"/>
      <c r="DD34" s="2"/>
      <c r="DE34" s="2"/>
      <c r="DF34" s="2"/>
      <c r="DG34" s="2"/>
      <c r="DH34" s="2"/>
      <c r="DI34" s="2"/>
      <c r="DJ34" s="2"/>
      <c r="DK34" s="2"/>
      <c r="DL34" s="2"/>
      <c r="DM34" s="2"/>
      <c r="DN34" s="2"/>
      <c r="DO34" s="2"/>
      <c r="DP34" s="2"/>
      <c r="DQ34" s="2"/>
      <c r="DR34" s="2"/>
      <c r="DS34" s="2"/>
      <c r="DT34" s="2"/>
      <c r="DU34" s="2"/>
      <c r="DV34" s="2"/>
      <c r="DW34" s="2"/>
      <c r="DX34" s="2"/>
      <c r="DY34" s="2"/>
      <c r="DZ34" s="2"/>
      <c r="EA34" s="2"/>
      <c r="EB34" s="2"/>
      <c r="EC34" s="2"/>
      <c r="ED34" s="2"/>
      <c r="EE34" s="2"/>
      <c r="EF34" s="2"/>
      <c r="EG34" s="2"/>
      <c r="EH34" s="2"/>
      <c r="EI34" s="2"/>
      <c r="EJ34" s="2"/>
      <c r="EK34" s="2"/>
      <c r="EL34" s="2"/>
      <c r="EM34" s="2"/>
      <c r="EN34" s="2"/>
      <c r="EO34" s="2"/>
      <c r="EP34" s="2"/>
      <c r="EQ34" s="2"/>
      <c r="ER34" s="2"/>
      <c r="ES34" s="2"/>
      <c r="ET34" s="2"/>
      <c r="EU34" s="2"/>
      <c r="EV34" s="2"/>
      <c r="EW34" s="2"/>
      <c r="EX34" s="2"/>
      <c r="EY34" s="2"/>
      <c r="EZ34" s="2"/>
      <c r="FA34" s="2"/>
      <c r="FB34" s="2"/>
      <c r="FC34" s="2"/>
      <c r="FD34" s="2"/>
      <c r="FE34" s="2"/>
      <c r="FF34" s="2"/>
      <c r="FG34" s="2"/>
      <c r="FH34" s="2"/>
      <c r="FI34" s="2"/>
      <c r="FJ34" s="2"/>
      <c r="FK34" s="2"/>
      <c r="FL34" s="2"/>
      <c r="FM34" s="2"/>
      <c r="FN34" s="2"/>
      <c r="FO34" s="2"/>
      <c r="FP34" s="2"/>
      <c r="FQ34" s="2"/>
      <c r="FR34" s="2"/>
      <c r="FS34" s="2"/>
      <c r="FT34" s="2"/>
      <c r="FU34" s="2"/>
      <c r="FV34" s="2"/>
      <c r="FW34" s="2"/>
      <c r="FX34" s="2"/>
      <c r="FY34" s="2"/>
      <c r="FZ34" s="2"/>
      <c r="GA34" s="2"/>
      <c r="GB34" s="2"/>
      <c r="GC34" s="2"/>
      <c r="GD34" s="2"/>
      <c r="GE34" s="2"/>
      <c r="GF34" s="2"/>
      <c r="GG34" s="2"/>
      <c r="GH34" s="2"/>
      <c r="GI34" s="2"/>
      <c r="GJ34" s="2"/>
      <c r="GK34" s="2"/>
      <c r="GL34" s="2"/>
      <c r="GM34" s="2"/>
      <c r="GN34" s="2"/>
      <c r="GO34" s="2"/>
      <c r="GP34" s="2"/>
      <c r="GQ34" s="2"/>
      <c r="GR34" s="2"/>
      <c r="GS34" s="2"/>
      <c r="GT34" s="2"/>
      <c r="GU34" s="2"/>
      <c r="GV34" s="2"/>
      <c r="GW34" s="2"/>
      <c r="GX34" s="2"/>
      <c r="GY34" s="2"/>
      <c r="GZ34" s="2"/>
      <c r="HA34" s="2"/>
      <c r="HB34" s="2"/>
      <c r="HC34" s="2"/>
      <c r="HD34" s="2"/>
      <c r="HE34" s="2"/>
      <c r="HF34" s="2"/>
      <c r="HG34" s="2"/>
      <c r="HH34" s="2"/>
      <c r="HI34" s="2"/>
      <c r="HJ34" s="2"/>
      <c r="HK34" s="2"/>
      <c r="HL34" s="2"/>
      <c r="HM34" s="2"/>
      <c r="HN34" s="2"/>
      <c r="HO34" s="2"/>
      <c r="HP34" s="2"/>
      <c r="HQ34" s="2"/>
      <c r="HR34" s="2"/>
      <c r="HS34" s="2"/>
      <c r="HT34" s="2"/>
      <c r="HU34" s="2"/>
      <c r="HV34" s="2"/>
      <c r="HW34" s="2"/>
      <c r="HX34" s="2"/>
      <c r="HY34" s="2"/>
      <c r="HZ34" s="2"/>
      <c r="IA34" s="2"/>
      <c r="IB34" s="2"/>
      <c r="IC34" s="2"/>
      <c r="ID34" s="2"/>
      <c r="IE34" s="2"/>
      <c r="IF34" s="2"/>
      <c r="IG34" s="2"/>
      <c r="IH34" s="2"/>
      <c r="II34" s="2"/>
      <c r="IJ34" s="2"/>
      <c r="IK34" s="2"/>
      <c r="IL34" s="2"/>
      <c r="IM34" s="2"/>
      <c r="IN34" s="2"/>
      <c r="IO34" s="2"/>
      <c r="IP34" s="2"/>
      <c r="IQ34" s="2"/>
      <c r="IR34" s="2"/>
      <c r="IS34" s="2"/>
      <c r="IT34" s="2"/>
      <c r="IU34" s="2"/>
      <c r="IV34" s="2"/>
      <c r="IW34" s="2"/>
      <c r="IX34" s="2"/>
      <c r="IY34" s="2"/>
      <c r="IZ34" s="2"/>
      <c r="JA34" s="2"/>
      <c r="JB34" s="2"/>
      <c r="JC34" s="2"/>
      <c r="JD34" s="2"/>
      <c r="JE34" s="2"/>
      <c r="JF34" s="2"/>
      <c r="JG34" s="2"/>
      <c r="JH34" s="2"/>
      <c r="JI34" s="2"/>
      <c r="JJ34" s="2"/>
      <c r="JK34" s="2"/>
      <c r="JL34" s="2"/>
      <c r="JM34" s="2"/>
      <c r="JN34" s="2"/>
      <c r="JO34" s="2"/>
      <c r="JP34" s="2"/>
      <c r="JQ34" s="2"/>
      <c r="JR34" s="2"/>
      <c r="JS34" s="2"/>
      <c r="JT34" s="2"/>
      <c r="JU34" s="2"/>
      <c r="JV34" s="2"/>
      <c r="JW34" s="2"/>
      <c r="JX34" s="2"/>
      <c r="JY34" s="2"/>
      <c r="JZ34" s="2"/>
      <c r="KA34" s="2"/>
      <c r="KB34" s="2"/>
      <c r="KC34" s="2"/>
      <c r="KD34" s="2"/>
      <c r="KE34" s="2"/>
      <c r="KF34" s="2"/>
      <c r="KG34" s="2"/>
      <c r="KH34" s="2"/>
      <c r="KI34" s="2"/>
      <c r="KJ34" s="2"/>
      <c r="KK34" s="2"/>
      <c r="KL34" s="2"/>
      <c r="KM34" s="2"/>
      <c r="KN34" s="2"/>
      <c r="KO34" s="2"/>
      <c r="KP34" s="2"/>
      <c r="KQ34" s="2"/>
      <c r="KR34" s="2"/>
      <c r="KS34" s="2"/>
      <c r="KT34" s="2"/>
      <c r="KU34" s="2"/>
      <c r="KV34" s="2"/>
      <c r="KW34" s="2"/>
      <c r="KX34" s="2"/>
      <c r="KY34" s="2"/>
      <c r="KZ34" s="2"/>
      <c r="LA34" s="2"/>
      <c r="LB34" s="2"/>
      <c r="LC34" s="2"/>
      <c r="LD34" s="2"/>
      <c r="LE34" s="2"/>
      <c r="LF34" s="2"/>
      <c r="LG34" s="2"/>
      <c r="LH34" s="2"/>
      <c r="LI34" s="2"/>
      <c r="LJ34" s="2"/>
      <c r="LK34" s="2"/>
      <c r="LL34" s="2"/>
      <c r="LM34" s="2"/>
      <c r="LN34" s="2"/>
      <c r="LO34" s="2"/>
      <c r="LP34" s="2"/>
      <c r="LQ34" s="2"/>
      <c r="LR34" s="2"/>
      <c r="LS34" s="2"/>
      <c r="LT34" s="2"/>
      <c r="LU34" s="2"/>
      <c r="LV34" s="2"/>
      <c r="LW34" s="2"/>
      <c r="LX34" s="2"/>
      <c r="LY34" s="2"/>
      <c r="LZ34" s="2"/>
      <c r="MA34" s="2"/>
      <c r="MB34" s="2"/>
      <c r="MC34" s="2"/>
      <c r="MD34" s="2"/>
      <c r="ME34" s="2"/>
      <c r="MF34" s="2"/>
      <c r="MG34" s="2"/>
      <c r="MH34" s="2"/>
      <c r="MI34" s="2"/>
      <c r="MJ34" s="2"/>
      <c r="MK34" s="2"/>
      <c r="ML34" s="2"/>
      <c r="MM34" s="2"/>
      <c r="MN34" s="2"/>
      <c r="MO34" s="2"/>
      <c r="MP34" s="2"/>
      <c r="MQ34" s="2"/>
      <c r="MR34" s="2"/>
      <c r="MS34" s="2"/>
      <c r="MT34" s="2"/>
      <c r="MU34" s="2"/>
      <c r="MV34" s="2"/>
      <c r="MW34" s="2"/>
      <c r="MX34" s="2"/>
      <c r="MY34" s="2"/>
      <c r="MZ34" s="2"/>
      <c r="NA34" s="2"/>
      <c r="NB34" s="2"/>
      <c r="NC34" s="2"/>
      <c r="ND34" s="2"/>
      <c r="NE34" s="2"/>
      <c r="NF34" s="2"/>
      <c r="NG34" s="2"/>
      <c r="NH34" s="2"/>
      <c r="NI34" s="2"/>
      <c r="NJ34" s="2"/>
      <c r="NK34" s="2"/>
      <c r="NL34" s="2"/>
      <c r="NM34" s="2"/>
      <c r="NN34" s="2"/>
      <c r="NO34" s="2"/>
      <c r="NP34" s="2"/>
      <c r="NQ34" s="2"/>
      <c r="NR34" s="2"/>
      <c r="NS34" s="2"/>
      <c r="NT34" s="2"/>
      <c r="NU34" s="2"/>
      <c r="NV34" s="2"/>
      <c r="NW34" s="2"/>
      <c r="NX34" s="2"/>
      <c r="NY34" s="2"/>
      <c r="NZ34" s="2"/>
      <c r="OA34" s="2"/>
      <c r="OB34" s="2"/>
      <c r="OC34" s="2"/>
      <c r="OD34" s="2"/>
      <c r="OE34" s="2"/>
      <c r="OF34" s="2"/>
      <c r="OG34" s="2"/>
      <c r="OH34" s="2"/>
      <c r="OI34" s="2"/>
      <c r="OJ34" s="2"/>
      <c r="OK34" s="2"/>
      <c r="OL34" s="2"/>
      <c r="OM34" s="2"/>
      <c r="ON34" s="2"/>
      <c r="OO34" s="2"/>
      <c r="OP34" s="2"/>
      <c r="OQ34" s="2"/>
      <c r="OR34" s="2"/>
      <c r="OS34" s="2"/>
      <c r="OT34" s="2"/>
      <c r="OU34" s="2"/>
      <c r="OV34" s="2"/>
      <c r="OW34" s="2"/>
      <c r="OX34" s="2"/>
      <c r="OY34" s="2"/>
      <c r="OZ34" s="2"/>
      <c r="PA34" s="2"/>
      <c r="PB34" s="2"/>
      <c r="PC34" s="2"/>
      <c r="PD34" s="2"/>
      <c r="PE34" s="2"/>
      <c r="PF34" s="2"/>
      <c r="PG34" s="2"/>
      <c r="PH34" s="2"/>
      <c r="PI34" s="2"/>
      <c r="PJ34" s="2"/>
      <c r="PK34" s="2"/>
      <c r="PL34" s="2"/>
      <c r="PM34" s="2"/>
      <c r="PN34" s="2"/>
      <c r="PO34" s="2"/>
      <c r="PP34" s="2"/>
      <c r="PQ34" s="2"/>
      <c r="PR34" s="2"/>
      <c r="PS34" s="2"/>
      <c r="PT34" s="2"/>
      <c r="PU34" s="2"/>
      <c r="PV34" s="2"/>
      <c r="PW34" s="2"/>
      <c r="PX34" s="2"/>
      <c r="PY34" s="2"/>
      <c r="PZ34" s="2"/>
      <c r="QA34" s="2"/>
      <c r="QB34" s="2"/>
      <c r="QC34" s="2"/>
      <c r="QD34" s="2"/>
      <c r="QE34" s="2"/>
      <c r="QF34" s="2"/>
      <c r="QG34" s="2"/>
      <c r="QH34" s="2"/>
      <c r="QI34" s="2"/>
      <c r="QJ34" s="2"/>
      <c r="QK34" s="2"/>
      <c r="QL34" s="2"/>
      <c r="QM34" s="2"/>
      <c r="QN34" s="2"/>
      <c r="QO34" s="2"/>
      <c r="QP34" s="2"/>
      <c r="QQ34" s="2"/>
      <c r="QR34" s="2"/>
      <c r="QS34" s="2"/>
      <c r="QT34" s="2"/>
      <c r="QU34" s="2"/>
      <c r="QV34" s="2"/>
      <c r="QW34" s="2"/>
      <c r="QX34" s="2"/>
      <c r="QY34" s="2"/>
      <c r="QZ34" s="2"/>
      <c r="RA34" s="2"/>
      <c r="RB34" s="2"/>
      <c r="RC34" s="2"/>
      <c r="RD34" s="2"/>
      <c r="RE34" s="2"/>
      <c r="RF34" s="2"/>
      <c r="RG34" s="2"/>
      <c r="RH34" s="2"/>
      <c r="RI34" s="2"/>
      <c r="RJ34" s="2"/>
      <c r="RK34" s="2"/>
      <c r="RL34" s="2"/>
      <c r="RM34" s="2"/>
      <c r="RN34" s="2"/>
      <c r="RO34" s="2"/>
      <c r="RP34" s="2"/>
      <c r="RQ34" s="2"/>
      <c r="RR34" s="2"/>
      <c r="RS34" s="2"/>
      <c r="RT34" s="2"/>
      <c r="RU34" s="2"/>
      <c r="RV34" s="2"/>
      <c r="RW34" s="2"/>
      <c r="RX34" s="2"/>
      <c r="RY34" s="2"/>
      <c r="RZ34" s="2"/>
      <c r="SA34" s="2"/>
      <c r="SB34" s="2"/>
      <c r="SC34" s="2"/>
      <c r="SD34" s="2"/>
      <c r="SE34" s="2"/>
      <c r="SF34" s="2"/>
      <c r="SG34" s="2"/>
      <c r="SH34" s="2"/>
      <c r="SI34" s="2"/>
      <c r="SJ34" s="2"/>
      <c r="SK34" s="2"/>
      <c r="SL34" s="2"/>
      <c r="SM34" s="2"/>
      <c r="SN34" s="2"/>
      <c r="SO34" s="2"/>
      <c r="SP34" s="2"/>
      <c r="SQ34" s="2"/>
      <c r="SR34" s="2"/>
      <c r="SS34" s="2"/>
      <c r="ST34" s="2"/>
      <c r="SU34" s="2"/>
      <c r="SV34" s="2"/>
      <c r="SW34" s="2"/>
      <c r="SX34" s="2"/>
      <c r="SY34" s="2"/>
      <c r="SZ34" s="2"/>
      <c r="TA34" s="2"/>
      <c r="TB34" s="2"/>
      <c r="TC34" s="2"/>
      <c r="TD34" s="2"/>
      <c r="TE34" s="2"/>
      <c r="TF34" s="2"/>
      <c r="TG34" s="2"/>
      <c r="TH34" s="2"/>
      <c r="TI34" s="2"/>
      <c r="TJ34" s="2"/>
      <c r="TK34" s="2"/>
      <c r="TL34" s="2"/>
      <c r="TM34" s="2"/>
      <c r="TN34" s="2"/>
      <c r="TO34" s="2"/>
      <c r="TP34" s="2"/>
      <c r="TQ34" s="2"/>
      <c r="TR34" s="2"/>
      <c r="TS34" s="2"/>
      <c r="TT34" s="2"/>
      <c r="TU34" s="2"/>
      <c r="TV34" s="2"/>
      <c r="TW34" s="2"/>
      <c r="TX34" s="2"/>
      <c r="TY34" s="2"/>
      <c r="TZ34" s="2"/>
      <c r="UA34" s="2"/>
      <c r="UB34" s="2"/>
      <c r="UC34" s="2"/>
      <c r="UD34" s="2"/>
      <c r="UE34" s="2"/>
      <c r="UF34" s="2"/>
      <c r="UG34" s="2"/>
      <c r="UH34" s="2"/>
      <c r="UI34" s="2"/>
      <c r="UJ34" s="2"/>
      <c r="UK34" s="2"/>
      <c r="UL34" s="2"/>
      <c r="UM34" s="2"/>
      <c r="UN34" s="2"/>
      <c r="UO34" s="2"/>
      <c r="UP34" s="2"/>
      <c r="UQ34" s="2"/>
      <c r="UR34" s="2"/>
      <c r="US34" s="2"/>
      <c r="UT34" s="2"/>
      <c r="UU34" s="2"/>
      <c r="UV34" s="2"/>
      <c r="UW34" s="2"/>
      <c r="UX34" s="2"/>
      <c r="UY34" s="2"/>
      <c r="UZ34" s="2"/>
      <c r="VA34" s="2"/>
      <c r="VB34" s="2"/>
      <c r="VC34" s="2"/>
      <c r="VD34" s="2"/>
      <c r="VE34" s="2"/>
      <c r="VF34" s="2"/>
      <c r="VG34" s="2"/>
      <c r="VH34" s="2"/>
      <c r="VI34" s="2"/>
      <c r="VJ34" s="2"/>
      <c r="VK34" s="2"/>
      <c r="VL34" s="2"/>
      <c r="VM34" s="2"/>
      <c r="VN34" s="2"/>
      <c r="VO34" s="2"/>
      <c r="VP34" s="2"/>
      <c r="VQ34" s="2"/>
      <c r="VR34" s="2"/>
      <c r="VS34" s="2"/>
      <c r="VT34" s="2"/>
      <c r="VU34" s="2"/>
      <c r="VV34" s="2"/>
      <c r="VW34" s="2"/>
      <c r="VX34" s="2"/>
      <c r="VY34" s="2"/>
      <c r="VZ34" s="2"/>
      <c r="WA34" s="2"/>
      <c r="WB34" s="2"/>
      <c r="WC34" s="2"/>
      <c r="WD34" s="2"/>
      <c r="WE34" s="2"/>
      <c r="WF34" s="2"/>
      <c r="WG34" s="2"/>
      <c r="WH34" s="2"/>
      <c r="WI34" s="2"/>
      <c r="WJ34" s="2"/>
      <c r="WK34" s="2"/>
      <c r="WL34" s="2"/>
      <c r="WM34" s="2"/>
      <c r="WN34" s="2"/>
      <c r="WO34" s="2"/>
      <c r="WP34" s="2"/>
      <c r="WQ34" s="2"/>
      <c r="WR34" s="2"/>
      <c r="WS34" s="2"/>
      <c r="WT34" s="2"/>
      <c r="WU34" s="2"/>
      <c r="WV34" s="2"/>
      <c r="WW34" s="2"/>
      <c r="WX34" s="2"/>
      <c r="WY34" s="2"/>
      <c r="WZ34" s="2"/>
      <c r="XA34" s="2"/>
      <c r="XB34" s="2"/>
      <c r="XC34" s="2"/>
      <c r="XD34" s="2"/>
      <c r="XE34" s="2"/>
      <c r="XF34" s="2"/>
      <c r="XG34" s="2"/>
      <c r="XH34" s="2"/>
      <c r="XI34" s="2"/>
      <c r="XJ34" s="2"/>
      <c r="XK34" s="2"/>
      <c r="XL34" s="2"/>
      <c r="XM34" s="2"/>
      <c r="XN34" s="2"/>
      <c r="XO34" s="2"/>
      <c r="XP34" s="2"/>
      <c r="XQ34" s="2"/>
      <c r="XR34" s="2"/>
      <c r="XS34" s="2"/>
      <c r="XT34" s="2"/>
      <c r="XU34" s="2"/>
      <c r="XV34" s="2"/>
      <c r="XW34" s="2"/>
      <c r="XX34" s="2"/>
      <c r="XY34" s="2"/>
      <c r="XZ34" s="2"/>
      <c r="YA34" s="2"/>
      <c r="YB34" s="2"/>
      <c r="YC34" s="2"/>
      <c r="YD34" s="2"/>
      <c r="YE34" s="2"/>
      <c r="YF34" s="2"/>
      <c r="YG34" s="2"/>
      <c r="YH34" s="2"/>
      <c r="YI34" s="2"/>
      <c r="YJ34" s="2"/>
      <c r="YK34" s="2"/>
      <c r="YL34" s="2"/>
      <c r="YM34" s="2"/>
      <c r="YN34" s="2"/>
      <c r="YO34" s="2"/>
      <c r="YP34" s="2"/>
      <c r="YQ34" s="2"/>
      <c r="YR34" s="2"/>
      <c r="YS34" s="2"/>
      <c r="YT34" s="2"/>
      <c r="YU34" s="2"/>
      <c r="YV34" s="2"/>
      <c r="YW34" s="2"/>
      <c r="YX34" s="2"/>
      <c r="YY34" s="2"/>
      <c r="YZ34" s="2"/>
      <c r="ZA34" s="2"/>
      <c r="ZB34" s="2"/>
      <c r="ZC34" s="2"/>
      <c r="ZD34" s="2"/>
      <c r="ZE34" s="2"/>
      <c r="ZF34" s="2"/>
      <c r="ZG34" s="2"/>
      <c r="ZH34" s="2"/>
      <c r="ZI34" s="2"/>
      <c r="ZJ34" s="2"/>
      <c r="ZK34" s="2"/>
      <c r="ZL34" s="2"/>
      <c r="ZM34" s="2"/>
      <c r="ZN34" s="2"/>
      <c r="ZO34" s="2"/>
      <c r="ZP34" s="2"/>
      <c r="ZQ34" s="2"/>
      <c r="ZR34" s="2"/>
      <c r="ZS34" s="2"/>
      <c r="ZT34" s="2"/>
      <c r="ZU34" s="2"/>
      <c r="ZV34" s="2"/>
      <c r="ZW34" s="2"/>
      <c r="ZX34" s="2"/>
      <c r="ZY34" s="2"/>
      <c r="ZZ34" s="2"/>
      <c r="AAA34" s="2"/>
      <c r="AAB34" s="2"/>
      <c r="AAC34" s="2"/>
      <c r="AAD34" s="2"/>
      <c r="AAE34" s="2"/>
      <c r="AAF34" s="2"/>
      <c r="AAG34" s="2"/>
      <c r="AAH34" s="2"/>
      <c r="AAI34" s="2"/>
      <c r="AAJ34" s="2"/>
      <c r="AAK34" s="2"/>
      <c r="AAL34" s="2"/>
      <c r="AAM34" s="2"/>
      <c r="AAN34" s="2"/>
      <c r="AAO34" s="2"/>
      <c r="AAP34" s="2"/>
      <c r="AAQ34" s="2"/>
      <c r="AAR34" s="2"/>
      <c r="AAS34" s="2"/>
      <c r="AAT34" s="2"/>
      <c r="AAU34" s="2"/>
      <c r="AAV34" s="2"/>
      <c r="AAW34" s="2"/>
      <c r="AAX34" s="2"/>
      <c r="AAY34" s="2"/>
      <c r="AAZ34" s="2"/>
      <c r="ABA34" s="2"/>
      <c r="ABB34" s="2"/>
      <c r="ABC34" s="2"/>
      <c r="ABD34" s="2"/>
      <c r="ABE34" s="2"/>
      <c r="ABF34" s="2"/>
      <c r="ABG34" s="2"/>
      <c r="ABH34" s="2"/>
      <c r="ABI34" s="2"/>
      <c r="ABJ34" s="2"/>
      <c r="ABK34" s="2"/>
      <c r="ABL34" s="2"/>
      <c r="ABM34" s="2"/>
      <c r="ABN34" s="2"/>
      <c r="ABO34" s="2"/>
      <c r="ABP34" s="2"/>
      <c r="ABQ34" s="2"/>
      <c r="ABR34" s="2"/>
      <c r="ABS34" s="2"/>
      <c r="ABT34" s="2"/>
      <c r="ABU34" s="2"/>
      <c r="ABV34" s="2"/>
      <c r="ABW34" s="2"/>
      <c r="ABX34" s="2"/>
      <c r="ABY34" s="2"/>
      <c r="ABZ34" s="2"/>
      <c r="ACA34" s="2"/>
      <c r="ACB34" s="2"/>
      <c r="ACC34" s="2"/>
      <c r="ACD34" s="2"/>
      <c r="ACE34" s="2"/>
      <c r="ACF34" s="2"/>
      <c r="ACG34" s="2"/>
      <c r="ACH34" s="2"/>
      <c r="ACI34" s="2"/>
      <c r="ACJ34" s="2"/>
      <c r="ACK34" s="2"/>
      <c r="ACL34" s="2"/>
      <c r="ACM34" s="2"/>
      <c r="ACN34" s="2"/>
      <c r="ACO34" s="2"/>
      <c r="ACP34" s="2"/>
      <c r="ACQ34" s="2"/>
      <c r="ACR34" s="2"/>
      <c r="ACS34" s="2"/>
      <c r="ACT34" s="2"/>
      <c r="ACU34" s="2"/>
      <c r="ACV34" s="2"/>
      <c r="ACW34" s="2"/>
      <c r="ACX34" s="2"/>
      <c r="ACY34" s="2"/>
      <c r="ACZ34" s="2"/>
      <c r="ADA34" s="2"/>
      <c r="ADB34" s="2"/>
      <c r="ADC34" s="2"/>
      <c r="ADD34" s="2"/>
      <c r="ADE34" s="2"/>
      <c r="ADF34" s="2"/>
      <c r="ADG34" s="2"/>
      <c r="ADH34" s="2"/>
      <c r="ADI34" s="2"/>
      <c r="ADJ34" s="2"/>
      <c r="ADK34" s="2"/>
      <c r="ADL34" s="2"/>
      <c r="ADM34" s="2"/>
      <c r="ADN34" s="2"/>
      <c r="ADO34" s="2"/>
      <c r="ADP34" s="2"/>
      <c r="ADQ34" s="2"/>
      <c r="ADR34" s="2"/>
      <c r="ADS34" s="2"/>
      <c r="ADT34" s="2"/>
      <c r="ADU34" s="2"/>
      <c r="ADV34" s="2"/>
      <c r="ADW34" s="2"/>
      <c r="ADX34" s="2"/>
      <c r="ADY34" s="2"/>
      <c r="ADZ34" s="2"/>
      <c r="AEA34" s="2"/>
      <c r="AEB34" s="2"/>
      <c r="AEC34" s="2"/>
      <c r="AED34" s="2"/>
      <c r="AEE34" s="2"/>
      <c r="AEF34" s="2"/>
      <c r="AEG34" s="2"/>
      <c r="AEH34" s="2"/>
      <c r="AEI34" s="2"/>
      <c r="AEJ34" s="2"/>
      <c r="AEK34" s="2"/>
      <c r="AEL34" s="2"/>
      <c r="AEM34" s="2"/>
      <c r="AEN34" s="2"/>
      <c r="AEO34" s="2"/>
      <c r="AEP34" s="2"/>
      <c r="AEQ34" s="2"/>
      <c r="AER34" s="2"/>
      <c r="AES34" s="2"/>
      <c r="AET34" s="2"/>
      <c r="AEU34" s="2"/>
      <c r="AEV34" s="2"/>
      <c r="AEW34" s="2"/>
      <c r="AEX34" s="2"/>
      <c r="AEY34" s="2"/>
      <c r="AEZ34" s="2"/>
      <c r="AFA34" s="2"/>
      <c r="AFB34" s="2"/>
      <c r="AFC34" s="2"/>
      <c r="AFD34" s="2"/>
      <c r="AFE34" s="2"/>
      <c r="AFF34" s="2"/>
      <c r="AFG34" s="2"/>
      <c r="AFH34" s="2"/>
      <c r="AFI34" s="2"/>
      <c r="AFJ34" s="2"/>
      <c r="AFK34" s="2"/>
      <c r="AFL34" s="2"/>
      <c r="AFM34" s="2"/>
      <c r="AFN34" s="2"/>
      <c r="AFO34" s="2"/>
      <c r="AFP34" s="2"/>
      <c r="AFQ34" s="2"/>
      <c r="AFR34" s="2"/>
      <c r="AFS34" s="2"/>
      <c r="AFT34" s="2"/>
      <c r="AFU34" s="2"/>
      <c r="AFV34" s="2"/>
      <c r="AFW34" s="2"/>
      <c r="AFX34" s="2"/>
      <c r="AFY34" s="2"/>
      <c r="AFZ34" s="2"/>
      <c r="AGA34" s="2"/>
      <c r="AGB34" s="2"/>
      <c r="AGC34" s="2"/>
      <c r="AGD34" s="2"/>
      <c r="AGE34" s="2"/>
      <c r="AGF34" s="2"/>
      <c r="AGG34" s="2"/>
      <c r="AGH34" s="2"/>
      <c r="AGI34" s="2"/>
      <c r="AGJ34" s="2"/>
      <c r="AGK34" s="2"/>
      <c r="AGL34" s="2"/>
      <c r="AGM34" s="2"/>
      <c r="AGN34" s="2"/>
      <c r="AGO34" s="2"/>
      <c r="AGP34" s="2"/>
      <c r="AGQ34" s="2"/>
      <c r="AGR34" s="2"/>
      <c r="AGS34" s="2"/>
      <c r="AGT34" s="2"/>
      <c r="AGU34" s="2"/>
      <c r="AGV34" s="2"/>
      <c r="AGW34" s="2"/>
      <c r="AGX34" s="2"/>
      <c r="AGY34" s="2"/>
      <c r="AGZ34" s="2"/>
      <c r="AHA34" s="2"/>
      <c r="AHB34" s="2"/>
      <c r="AHC34" s="2"/>
      <c r="AHD34" s="2"/>
      <c r="AHE34" s="2"/>
      <c r="AHF34" s="2"/>
      <c r="AHG34" s="2"/>
      <c r="AHH34" s="2"/>
      <c r="AHI34" s="2"/>
      <c r="AHJ34" s="2"/>
      <c r="AHK34" s="2"/>
      <c r="AHL34" s="2"/>
      <c r="AHM34" s="2"/>
      <c r="AHN34" s="2"/>
      <c r="AHO34" s="2"/>
      <c r="AHP34" s="2"/>
      <c r="AHQ34" s="2"/>
      <c r="AHR34" s="2"/>
      <c r="AHS34" s="2"/>
      <c r="AHT34" s="2"/>
      <c r="AHU34" s="2"/>
      <c r="AHV34" s="2"/>
      <c r="AHW34" s="2"/>
      <c r="AHX34" s="2"/>
      <c r="AHY34" s="2"/>
      <c r="AHZ34" s="2"/>
      <c r="AIA34" s="2"/>
      <c r="AIB34" s="2"/>
      <c r="AIC34" s="2"/>
      <c r="AID34" s="2"/>
      <c r="AIE34" s="2"/>
      <c r="AIF34" s="2"/>
      <c r="AIG34" s="2"/>
      <c r="AIH34" s="2"/>
      <c r="AII34" s="2"/>
      <c r="AIJ34" s="2"/>
      <c r="AIK34" s="2"/>
      <c r="AIL34" s="2"/>
      <c r="AIM34" s="2"/>
      <c r="AIN34" s="2"/>
      <c r="AIO34" s="2"/>
      <c r="AIP34" s="2"/>
      <c r="AIQ34" s="2"/>
      <c r="AIR34" s="2"/>
      <c r="AIS34" s="2"/>
      <c r="AIT34" s="2"/>
      <c r="AIU34" s="2"/>
      <c r="AIV34" s="2"/>
      <c r="AIW34" s="2"/>
      <c r="AIX34" s="2"/>
      <c r="AIY34" s="2"/>
      <c r="AIZ34" s="2"/>
      <c r="AJA34" s="2"/>
      <c r="AJB34" s="2"/>
      <c r="AJC34" s="2"/>
      <c r="AJD34" s="2"/>
      <c r="AJE34" s="2"/>
      <c r="AJF34" s="2"/>
      <c r="AJG34" s="2"/>
      <c r="AJH34" s="2"/>
      <c r="AJI34" s="2"/>
      <c r="AJJ34" s="2"/>
      <c r="AJK34" s="2"/>
      <c r="AJL34" s="2"/>
      <c r="AJM34" s="2"/>
      <c r="AJN34" s="2"/>
      <c r="AJO34" s="2"/>
      <c r="AJP34" s="2"/>
      <c r="AJQ34" s="2"/>
      <c r="AJR34" s="2"/>
      <c r="AJS34" s="2"/>
      <c r="AJT34" s="2"/>
      <c r="AJU34" s="2"/>
      <c r="AJV34" s="2"/>
      <c r="AJW34" s="2"/>
      <c r="AJX34" s="2"/>
      <c r="AJY34" s="2"/>
      <c r="AJZ34" s="2"/>
      <c r="AKA34" s="2"/>
      <c r="AKB34" s="2"/>
      <c r="AKC34" s="2"/>
      <c r="AKD34" s="2"/>
      <c r="AKE34" s="2"/>
      <c r="AKF34" s="2"/>
      <c r="AKG34" s="2"/>
      <c r="AKH34" s="2"/>
      <c r="AKI34" s="2"/>
      <c r="AKJ34" s="2"/>
      <c r="AKK34" s="2"/>
      <c r="AKL34" s="2"/>
      <c r="AKM34" s="2"/>
      <c r="AKN34" s="2"/>
      <c r="AKO34" s="2"/>
      <c r="AKP34" s="2"/>
      <c r="AKQ34" s="2"/>
      <c r="AKR34" s="2"/>
      <c r="AKS34" s="2"/>
      <c r="AKT34" s="2"/>
      <c r="AKU34" s="2"/>
      <c r="AKV34" s="2"/>
      <c r="AKW34" s="2"/>
      <c r="AKX34" s="2"/>
      <c r="AKY34" s="2"/>
      <c r="AKZ34" s="2"/>
      <c r="ALA34" s="2"/>
      <c r="ALB34" s="2"/>
      <c r="ALC34" s="2"/>
      <c r="ALD34" s="2"/>
      <c r="ALE34" s="2"/>
      <c r="ALF34" s="2"/>
      <c r="ALG34" s="2"/>
      <c r="ALH34" s="2"/>
      <c r="ALI34" s="2"/>
      <c r="ALJ34" s="2"/>
      <c r="ALK34" s="2"/>
      <c r="ALL34" s="2"/>
      <c r="ALM34" s="2"/>
      <c r="ALN34" s="2"/>
      <c r="ALO34" s="2"/>
      <c r="ALP34" s="2"/>
      <c r="ALQ34" s="2"/>
      <c r="ALR34" s="2"/>
      <c r="ALS34" s="2"/>
      <c r="ALT34" s="2"/>
      <c r="ALU34" s="2"/>
      <c r="ALV34" s="2"/>
      <c r="ALW34" s="2"/>
      <c r="ALX34" s="2"/>
      <c r="ALY34" s="2"/>
      <c r="ALZ34" s="2"/>
      <c r="AMA34" s="2"/>
      <c r="AMB34" s="2"/>
      <c r="AMC34" s="2"/>
      <c r="AMD34" s="2"/>
      <c r="AME34" s="2"/>
      <c r="AMF34" s="2"/>
      <c r="AMG34" s="2"/>
      <c r="AMH34" s="2"/>
      <c r="AMI34" s="2"/>
      <c r="AMJ34" s="2"/>
      <c r="AMK34" s="2"/>
      <c r="AML34" s="2"/>
      <c r="AMM34" s="2"/>
      <c r="AMN34" s="2"/>
      <c r="AMO34" s="2"/>
      <c r="AMP34" s="2"/>
      <c r="AMQ34" s="2"/>
      <c r="AMR34" s="2"/>
      <c r="AMS34" s="2"/>
      <c r="AMT34" s="2"/>
      <c r="AMU34" s="2"/>
      <c r="AMV34" s="2"/>
      <c r="AMW34" s="2"/>
      <c r="AMX34" s="2"/>
      <c r="AMY34" s="2"/>
      <c r="AMZ34" s="2"/>
      <c r="ANA34" s="2"/>
      <c r="ANB34" s="2"/>
      <c r="ANC34" s="2"/>
      <c r="AND34" s="2"/>
      <c r="ANE34" s="2"/>
      <c r="ANF34" s="2"/>
      <c r="ANG34" s="2"/>
      <c r="ANH34" s="2"/>
      <c r="ANI34" s="2"/>
      <c r="ANJ34" s="2"/>
      <c r="ANK34" s="2"/>
      <c r="ANL34" s="2"/>
      <c r="ANM34" s="2"/>
      <c r="ANN34" s="2"/>
      <c r="ANO34" s="2"/>
      <c r="ANP34" s="2"/>
      <c r="ANQ34" s="2"/>
      <c r="ANR34" s="2"/>
      <c r="ANS34" s="2"/>
      <c r="ANT34" s="2"/>
      <c r="ANU34" s="2"/>
      <c r="ANV34" s="2"/>
      <c r="ANW34" s="2"/>
      <c r="ANX34" s="2"/>
      <c r="ANY34" s="2"/>
      <c r="ANZ34" s="2"/>
      <c r="AOA34" s="2"/>
      <c r="AOB34" s="2"/>
      <c r="AOC34" s="2"/>
      <c r="AOD34" s="2"/>
      <c r="AOE34" s="2"/>
      <c r="AOF34" s="2"/>
      <c r="AOG34" s="2"/>
      <c r="AOH34" s="2"/>
      <c r="AOI34" s="2"/>
      <c r="AOJ34" s="2"/>
      <c r="AOK34" s="2"/>
      <c r="AOL34" s="2"/>
      <c r="AOM34" s="2"/>
      <c r="AON34" s="2"/>
      <c r="AOO34" s="2"/>
      <c r="AOP34" s="2"/>
      <c r="AOQ34" s="2"/>
      <c r="AOR34" s="2"/>
      <c r="AOS34" s="2"/>
      <c r="AOT34" s="2"/>
      <c r="AOU34" s="2"/>
      <c r="AOV34" s="2"/>
      <c r="AOW34" s="2"/>
      <c r="AOX34" s="2"/>
      <c r="AOY34" s="2"/>
      <c r="AOZ34" s="2"/>
      <c r="APA34" s="2"/>
      <c r="APB34" s="2"/>
      <c r="APC34" s="2"/>
      <c r="APD34" s="2"/>
      <c r="APE34" s="2"/>
      <c r="APF34" s="2"/>
      <c r="APG34" s="2"/>
      <c r="APH34" s="2"/>
      <c r="API34" s="2"/>
      <c r="APJ34" s="2"/>
      <c r="APK34" s="2"/>
      <c r="APL34" s="2"/>
      <c r="APM34" s="2"/>
      <c r="APN34" s="2"/>
      <c r="APO34" s="2"/>
      <c r="APP34" s="2"/>
      <c r="APQ34" s="2"/>
      <c r="APR34" s="2"/>
      <c r="APS34" s="2"/>
      <c r="APT34" s="2"/>
      <c r="APU34" s="2"/>
      <c r="APV34" s="2"/>
      <c r="APW34" s="2"/>
      <c r="APX34" s="2"/>
      <c r="APY34" s="2"/>
      <c r="APZ34" s="2"/>
      <c r="AQA34" s="2"/>
      <c r="AQB34" s="2"/>
      <c r="AQC34" s="2"/>
      <c r="AQD34" s="2"/>
      <c r="AQE34" s="2"/>
      <c r="AQF34" s="2"/>
      <c r="AQG34" s="2"/>
      <c r="AQH34" s="2"/>
      <c r="AQI34" s="2"/>
      <c r="AQJ34" s="2"/>
      <c r="AQK34" s="2"/>
      <c r="AQL34" s="2"/>
      <c r="AQM34" s="2"/>
      <c r="AQN34" s="2"/>
      <c r="AQO34" s="2"/>
      <c r="AQP34" s="2"/>
      <c r="AQQ34" s="2"/>
      <c r="AQR34" s="2"/>
      <c r="AQS34" s="2"/>
      <c r="AQT34" s="2"/>
      <c r="AQU34" s="2"/>
      <c r="AQV34" s="2"/>
      <c r="AQW34" s="2"/>
      <c r="AQX34" s="2"/>
      <c r="AQY34" s="2"/>
      <c r="AQZ34" s="2"/>
      <c r="ARA34" s="2"/>
      <c r="ARB34" s="2"/>
      <c r="ARC34" s="2"/>
      <c r="ARD34" s="2"/>
      <c r="ARE34" s="2"/>
      <c r="ARF34" s="2"/>
      <c r="ARG34" s="2"/>
      <c r="ARH34" s="2"/>
      <c r="ARI34" s="2"/>
      <c r="ARJ34" s="2"/>
      <c r="ARK34" s="2"/>
      <c r="ARL34" s="2"/>
      <c r="ARM34" s="2"/>
      <c r="ARN34" s="2"/>
      <c r="ARO34" s="2"/>
      <c r="ARP34" s="2"/>
      <c r="ARQ34" s="2"/>
      <c r="ARR34" s="2"/>
      <c r="ARS34" s="2"/>
      <c r="ART34" s="2"/>
      <c r="ARU34" s="2"/>
      <c r="ARV34" s="2"/>
      <c r="ARW34" s="2"/>
      <c r="ARX34" s="2"/>
      <c r="ARY34" s="2"/>
      <c r="ARZ34" s="2"/>
      <c r="ASA34" s="2"/>
      <c r="ASB34" s="2"/>
      <c r="ASC34" s="2"/>
      <c r="ASD34" s="2"/>
      <c r="ASE34" s="2"/>
      <c r="ASF34" s="2"/>
      <c r="ASG34" s="2"/>
      <c r="ASH34" s="2"/>
      <c r="ASI34" s="2"/>
      <c r="ASJ34" s="2"/>
      <c r="ASK34" s="2"/>
      <c r="ASL34" s="2"/>
      <c r="ASM34" s="2"/>
      <c r="ASN34" s="2"/>
      <c r="ASO34" s="2"/>
      <c r="ASP34" s="2"/>
      <c r="ASQ34" s="2"/>
      <c r="ASR34" s="2"/>
      <c r="ASS34" s="2"/>
      <c r="AST34" s="2"/>
      <c r="ASU34" s="2"/>
      <c r="ASV34" s="2"/>
      <c r="ASW34" s="2"/>
      <c r="ASX34" s="2"/>
      <c r="ASY34" s="2"/>
      <c r="ASZ34" s="2"/>
      <c r="ATA34" s="2"/>
      <c r="ATB34" s="2"/>
      <c r="ATC34" s="2"/>
      <c r="ATD34" s="2"/>
      <c r="ATE34" s="2"/>
      <c r="ATF34" s="2"/>
      <c r="ATG34" s="2"/>
      <c r="ATH34" s="2"/>
      <c r="ATI34" s="2"/>
      <c r="ATJ34" s="2"/>
      <c r="ATK34" s="2"/>
      <c r="ATL34" s="2"/>
      <c r="ATM34" s="2"/>
      <c r="ATN34" s="2"/>
      <c r="ATO34" s="2"/>
      <c r="ATP34" s="2"/>
      <c r="ATQ34" s="2"/>
      <c r="ATR34" s="2"/>
      <c r="ATS34" s="2"/>
      <c r="ATT34" s="2"/>
      <c r="ATU34" s="2"/>
      <c r="ATV34" s="2"/>
      <c r="ATW34" s="2"/>
      <c r="ATX34" s="2"/>
      <c r="ATY34" s="2"/>
      <c r="ATZ34" s="2"/>
      <c r="AUA34" s="2"/>
      <c r="AUB34" s="2"/>
      <c r="AUC34" s="2"/>
      <c r="AUD34" s="2"/>
      <c r="AUE34" s="2"/>
      <c r="AUF34" s="2"/>
      <c r="AUG34" s="2"/>
      <c r="AUH34" s="2"/>
      <c r="AUI34" s="2"/>
      <c r="AUJ34" s="2"/>
      <c r="AUK34" s="2"/>
      <c r="AUL34" s="2"/>
      <c r="AUM34" s="2"/>
      <c r="AUN34" s="2"/>
      <c r="AUO34" s="2"/>
      <c r="AUP34" s="2"/>
      <c r="AUQ34" s="2"/>
      <c r="AUR34" s="2"/>
      <c r="AUS34" s="2"/>
      <c r="AUT34" s="2"/>
      <c r="AUU34" s="2"/>
      <c r="AUV34" s="2"/>
      <c r="AUW34" s="2"/>
      <c r="AUX34" s="2"/>
      <c r="AUY34" s="2"/>
      <c r="AUZ34" s="2"/>
      <c r="AVA34" s="2"/>
      <c r="AVB34" s="2"/>
      <c r="AVC34" s="2"/>
      <c r="AVD34" s="2"/>
      <c r="AVE34" s="2"/>
      <c r="AVF34" s="2"/>
      <c r="AVG34" s="2"/>
      <c r="AVH34" s="2"/>
      <c r="AVI34" s="2"/>
      <c r="AVJ34" s="2"/>
      <c r="AVK34" s="2"/>
      <c r="AVL34" s="2"/>
      <c r="AVM34" s="2"/>
      <c r="AVN34" s="2"/>
      <c r="AVO34" s="2"/>
      <c r="AVP34" s="2"/>
      <c r="AVQ34" s="2"/>
      <c r="AVR34" s="2"/>
      <c r="AVS34" s="2"/>
      <c r="AVT34" s="2"/>
      <c r="AVU34" s="2"/>
      <c r="AVV34" s="2"/>
      <c r="AVW34" s="2"/>
      <c r="AVX34" s="2"/>
      <c r="AVY34" s="2"/>
      <c r="AVZ34" s="2"/>
      <c r="AWA34" s="2"/>
      <c r="AWB34" s="2"/>
      <c r="AWC34" s="2"/>
      <c r="AWD34" s="2"/>
      <c r="AWE34" s="2"/>
      <c r="AWF34" s="2"/>
      <c r="AWG34" s="2"/>
      <c r="AWH34" s="2"/>
      <c r="AWI34" s="2"/>
      <c r="AWJ34" s="2"/>
      <c r="AWK34" s="2"/>
      <c r="AWL34" s="2"/>
      <c r="AWM34" s="2"/>
      <c r="AWN34" s="2"/>
      <c r="AWO34" s="2"/>
      <c r="AWP34" s="2"/>
      <c r="AWQ34" s="2"/>
      <c r="AWR34" s="2"/>
      <c r="AWS34" s="2"/>
      <c r="AWT34" s="2"/>
      <c r="AWU34" s="2"/>
      <c r="AWV34" s="2"/>
      <c r="AWW34" s="2"/>
      <c r="AWX34" s="2"/>
      <c r="AWY34" s="2"/>
      <c r="AWZ34" s="2"/>
      <c r="AXA34" s="2"/>
      <c r="AXB34" s="2"/>
      <c r="AXC34" s="2"/>
      <c r="AXD34" s="2"/>
      <c r="AXE34" s="2"/>
      <c r="AXF34" s="2"/>
      <c r="AXG34" s="2"/>
      <c r="AXH34" s="2"/>
      <c r="AXI34" s="2"/>
      <c r="AXJ34" s="2"/>
      <c r="AXK34" s="2"/>
      <c r="AXL34" s="2"/>
      <c r="AXM34" s="2"/>
      <c r="AXN34" s="2"/>
      <c r="AXO34" s="2"/>
      <c r="AXP34" s="2"/>
      <c r="AXQ34" s="2"/>
      <c r="AXR34" s="2"/>
      <c r="AXS34" s="2"/>
      <c r="AXT34" s="2"/>
      <c r="AXU34" s="2"/>
      <c r="AXV34" s="2"/>
      <c r="AXW34" s="2"/>
      <c r="AXX34" s="2"/>
      <c r="AXY34" s="2"/>
      <c r="AXZ34" s="2"/>
      <c r="AYA34" s="2"/>
      <c r="AYB34" s="2"/>
      <c r="AYC34" s="2"/>
      <c r="AYD34" s="2"/>
      <c r="AYE34" s="2"/>
      <c r="AYF34" s="2"/>
      <c r="AYG34" s="2"/>
      <c r="AYH34" s="2"/>
      <c r="AYI34" s="2"/>
      <c r="AYJ34" s="2"/>
      <c r="AYK34" s="2"/>
      <c r="AYL34" s="2"/>
      <c r="AYM34" s="2"/>
      <c r="AYN34" s="2"/>
      <c r="AYO34" s="2"/>
      <c r="AYP34" s="2"/>
      <c r="AYQ34" s="2"/>
      <c r="AYR34" s="2"/>
      <c r="AYS34" s="2"/>
      <c r="AYT34" s="2"/>
      <c r="AYU34" s="2"/>
      <c r="AYV34" s="2"/>
      <c r="AYW34" s="2"/>
      <c r="AYX34" s="2"/>
      <c r="AYY34" s="2"/>
      <c r="AYZ34" s="2"/>
      <c r="AZA34" s="2"/>
      <c r="AZB34" s="2"/>
      <c r="AZC34" s="2"/>
      <c r="AZD34" s="2"/>
      <c r="AZE34" s="2"/>
      <c r="AZF34" s="2"/>
      <c r="AZG34" s="2"/>
      <c r="AZH34" s="2"/>
      <c r="AZI34" s="2"/>
      <c r="AZJ34" s="2"/>
      <c r="AZK34" s="2"/>
      <c r="AZL34" s="2"/>
      <c r="AZM34" s="2"/>
      <c r="AZN34" s="2"/>
      <c r="AZO34" s="2"/>
      <c r="AZP34" s="2"/>
      <c r="AZQ34" s="2"/>
      <c r="AZR34" s="2"/>
      <c r="AZS34" s="2"/>
      <c r="AZT34" s="2"/>
      <c r="AZU34" s="2"/>
      <c r="AZV34" s="2"/>
      <c r="AZW34" s="2"/>
      <c r="AZX34" s="2"/>
      <c r="AZY34" s="2"/>
      <c r="AZZ34" s="2"/>
      <c r="BAA34" s="2"/>
      <c r="BAB34" s="2"/>
      <c r="BAC34" s="2"/>
      <c r="BAD34" s="2"/>
      <c r="BAE34" s="2"/>
      <c r="BAF34" s="2"/>
      <c r="BAG34" s="2"/>
      <c r="BAH34" s="2"/>
      <c r="BAI34" s="2"/>
      <c r="BAJ34" s="2"/>
      <c r="BAK34" s="2"/>
      <c r="BAL34" s="2"/>
      <c r="BAM34" s="2"/>
      <c r="BAN34" s="2"/>
      <c r="BAO34" s="2"/>
      <c r="BAP34" s="2"/>
      <c r="BAQ34" s="2"/>
      <c r="BAR34" s="2"/>
      <c r="BAS34" s="2"/>
      <c r="BAT34" s="2"/>
      <c r="BAU34" s="2"/>
      <c r="BAV34" s="2"/>
      <c r="BAW34" s="2"/>
      <c r="BAX34" s="2"/>
      <c r="BAY34" s="2"/>
      <c r="BAZ34" s="2"/>
      <c r="BBA34" s="2"/>
      <c r="BBB34" s="2"/>
      <c r="BBC34" s="2"/>
      <c r="BBD34" s="2"/>
      <c r="BBE34" s="2"/>
      <c r="BBF34" s="2"/>
      <c r="BBG34" s="2"/>
      <c r="BBH34" s="2"/>
      <c r="BBI34" s="2"/>
      <c r="BBJ34" s="2"/>
      <c r="BBK34" s="2"/>
      <c r="BBL34" s="2"/>
      <c r="BBM34" s="2"/>
      <c r="BBN34" s="2"/>
      <c r="BBO34" s="2"/>
      <c r="BBP34" s="2"/>
      <c r="BBQ34" s="2"/>
      <c r="BBR34" s="2"/>
      <c r="BBS34" s="2"/>
      <c r="BBT34" s="2"/>
      <c r="BBU34" s="2"/>
      <c r="BBV34" s="2"/>
      <c r="BBW34" s="2"/>
      <c r="BBX34" s="2"/>
      <c r="BBY34" s="2"/>
      <c r="BBZ34" s="2"/>
      <c r="BCA34" s="2"/>
      <c r="BCB34" s="2"/>
      <c r="BCC34" s="2"/>
      <c r="BCD34" s="2"/>
      <c r="BCE34" s="2"/>
      <c r="BCF34" s="2"/>
      <c r="BCG34" s="2"/>
      <c r="BCH34" s="2"/>
      <c r="BCI34" s="2"/>
      <c r="BCJ34" s="2"/>
      <c r="BCK34" s="2"/>
      <c r="BCL34" s="2"/>
      <c r="BCM34" s="2"/>
      <c r="BCN34" s="2"/>
      <c r="BCO34" s="2"/>
      <c r="BCP34" s="2"/>
      <c r="BCQ34" s="2"/>
      <c r="BCR34" s="2"/>
      <c r="BCS34" s="2"/>
      <c r="BCT34" s="2"/>
      <c r="BCU34" s="2"/>
      <c r="BCV34" s="2"/>
      <c r="BCW34" s="2"/>
      <c r="BCX34" s="2"/>
      <c r="BCY34" s="2"/>
      <c r="BCZ34" s="2"/>
      <c r="BDA34" s="2"/>
      <c r="BDB34" s="2"/>
      <c r="BDC34" s="2"/>
      <c r="BDD34" s="2"/>
      <c r="BDE34" s="2"/>
      <c r="BDF34" s="2"/>
      <c r="BDG34" s="2"/>
      <c r="BDH34" s="2"/>
      <c r="BDI34" s="2"/>
      <c r="BDJ34" s="2"/>
      <c r="BDK34" s="2"/>
      <c r="BDL34" s="2"/>
      <c r="BDM34" s="2"/>
      <c r="BDN34" s="2"/>
      <c r="BDO34" s="2"/>
      <c r="BDP34" s="2"/>
      <c r="BDQ34" s="2"/>
      <c r="BDR34" s="2"/>
      <c r="BDS34" s="2"/>
      <c r="BDT34" s="2"/>
      <c r="BDU34" s="2"/>
      <c r="BDV34" s="2"/>
      <c r="BDW34" s="2"/>
      <c r="BDX34" s="2"/>
      <c r="BDY34" s="2"/>
      <c r="BDZ34" s="2"/>
      <c r="BEA34" s="2"/>
      <c r="BEB34" s="2"/>
      <c r="BEC34" s="2"/>
      <c r="BED34" s="2"/>
      <c r="BEE34" s="2"/>
      <c r="BEF34" s="2"/>
      <c r="BEG34" s="2"/>
      <c r="BEH34" s="2"/>
      <c r="BEI34" s="2"/>
      <c r="BEJ34" s="2"/>
      <c r="BEK34" s="2"/>
      <c r="BEL34" s="2"/>
      <c r="BEM34" s="2"/>
      <c r="BEN34" s="2"/>
      <c r="BEO34" s="2"/>
      <c r="BEP34" s="2"/>
      <c r="BEQ34" s="2"/>
      <c r="BER34" s="2"/>
      <c r="BES34" s="2"/>
      <c r="BET34" s="2"/>
      <c r="BEU34" s="2"/>
      <c r="BEV34" s="2"/>
      <c r="BEW34" s="2"/>
      <c r="BEX34" s="2"/>
      <c r="BEY34" s="2"/>
      <c r="BEZ34" s="2"/>
      <c r="BFA34" s="2"/>
      <c r="BFB34" s="2"/>
      <c r="BFC34" s="2"/>
      <c r="BFD34" s="2"/>
      <c r="BFE34" s="2"/>
      <c r="BFF34" s="2"/>
      <c r="BFG34" s="2"/>
      <c r="BFH34" s="2"/>
      <c r="BFI34" s="2"/>
      <c r="BFJ34" s="2"/>
      <c r="BFK34" s="2"/>
      <c r="BFL34" s="2"/>
      <c r="BFM34" s="2"/>
      <c r="BFN34" s="2"/>
      <c r="BFO34" s="2"/>
      <c r="BFP34" s="2"/>
      <c r="BFQ34" s="2"/>
      <c r="BFR34" s="2"/>
      <c r="BFS34" s="2"/>
      <c r="BFT34" s="2"/>
      <c r="BFU34" s="2"/>
      <c r="BFV34" s="2"/>
      <c r="BFW34" s="2"/>
      <c r="BFX34" s="2"/>
      <c r="BFY34" s="2"/>
      <c r="BFZ34" s="2"/>
      <c r="BGA34" s="2"/>
      <c r="BGB34" s="2"/>
      <c r="BGC34" s="2"/>
      <c r="BGD34" s="2"/>
      <c r="BGE34" s="2"/>
      <c r="BGF34" s="2"/>
      <c r="BGG34" s="2"/>
      <c r="BGH34" s="2"/>
      <c r="BGI34" s="2"/>
      <c r="BGJ34" s="2"/>
      <c r="BGK34" s="2"/>
      <c r="BGL34" s="2"/>
      <c r="BGM34" s="2"/>
      <c r="BGN34" s="2"/>
      <c r="BGO34" s="2"/>
      <c r="BGP34" s="2"/>
      <c r="BGQ34" s="2"/>
      <c r="BGR34" s="2"/>
      <c r="BGS34" s="2"/>
      <c r="BGT34" s="2"/>
      <c r="BGU34" s="2"/>
      <c r="BGV34" s="2"/>
      <c r="BGW34" s="2"/>
      <c r="BGX34" s="2"/>
      <c r="BGY34" s="2"/>
      <c r="BGZ34" s="2"/>
      <c r="BHA34" s="2"/>
      <c r="BHB34" s="2"/>
      <c r="BHC34" s="2"/>
      <c r="BHD34" s="2"/>
      <c r="BHE34" s="2"/>
      <c r="BHF34" s="2"/>
      <c r="BHG34" s="2"/>
      <c r="BHH34" s="2"/>
      <c r="BHI34" s="2"/>
      <c r="BHJ34" s="2"/>
      <c r="BHK34" s="2"/>
      <c r="BHL34" s="2"/>
      <c r="BHM34" s="2"/>
      <c r="BHN34" s="2"/>
      <c r="BHO34" s="2"/>
      <c r="BHP34" s="2"/>
      <c r="BHQ34" s="2"/>
      <c r="BHR34" s="2"/>
      <c r="BHS34" s="2"/>
      <c r="BHT34" s="2"/>
      <c r="BHU34" s="2"/>
      <c r="BHV34" s="2"/>
      <c r="BHW34" s="2"/>
      <c r="BHX34" s="2"/>
      <c r="BHY34" s="2"/>
      <c r="BHZ34" s="2"/>
      <c r="BIA34" s="2"/>
      <c r="BIB34" s="2"/>
      <c r="BIC34" s="2"/>
      <c r="BID34" s="2"/>
      <c r="BIE34" s="2"/>
      <c r="BIF34" s="2"/>
      <c r="BIG34" s="2"/>
      <c r="BIH34" s="2"/>
      <c r="BII34" s="2"/>
      <c r="BIJ34" s="2"/>
      <c r="BIK34" s="2"/>
      <c r="BIL34" s="2"/>
      <c r="BIM34" s="2"/>
      <c r="BIN34" s="2"/>
      <c r="BIO34" s="2"/>
      <c r="BIP34" s="2"/>
      <c r="BIQ34" s="2"/>
      <c r="BIR34" s="2"/>
      <c r="BIS34" s="2"/>
      <c r="BIT34" s="2"/>
      <c r="BIU34" s="2"/>
      <c r="BIV34" s="2"/>
      <c r="BIW34" s="2"/>
      <c r="BIX34" s="2"/>
      <c r="BIY34" s="2"/>
      <c r="BIZ34" s="2"/>
      <c r="BJA34" s="2"/>
      <c r="BJB34" s="2"/>
      <c r="BJC34" s="2"/>
      <c r="BJD34" s="2"/>
      <c r="BJE34" s="2"/>
      <c r="BJF34" s="2"/>
      <c r="BJG34" s="2"/>
      <c r="BJH34" s="2"/>
      <c r="BJI34" s="2"/>
      <c r="BJJ34" s="2"/>
      <c r="BJK34" s="2"/>
      <c r="BJL34" s="2"/>
      <c r="BJM34" s="2"/>
      <c r="BJN34" s="2"/>
      <c r="BJO34" s="2"/>
      <c r="BJP34" s="2"/>
      <c r="BJQ34" s="2"/>
      <c r="BJR34" s="2"/>
      <c r="BJS34" s="2"/>
      <c r="BJT34" s="2"/>
      <c r="BJU34" s="2"/>
      <c r="BJV34" s="2"/>
      <c r="BJW34" s="2"/>
      <c r="BJX34" s="2"/>
      <c r="BJY34" s="2"/>
      <c r="BJZ34" s="2"/>
      <c r="BKA34" s="2"/>
      <c r="BKB34" s="2"/>
      <c r="BKC34" s="2"/>
      <c r="BKD34" s="2"/>
      <c r="BKE34" s="2"/>
      <c r="BKF34" s="2"/>
      <c r="BKG34" s="2"/>
      <c r="BKH34" s="2"/>
      <c r="BKI34" s="2"/>
      <c r="BKJ34" s="2"/>
      <c r="BKK34" s="2"/>
      <c r="BKL34" s="2"/>
      <c r="BKM34" s="2"/>
      <c r="BKN34" s="2"/>
      <c r="BKO34" s="2"/>
      <c r="BKP34" s="2"/>
      <c r="BKQ34" s="2"/>
      <c r="BKR34" s="2"/>
      <c r="BKS34" s="2"/>
      <c r="BKT34" s="2"/>
      <c r="BKU34" s="2"/>
      <c r="BKV34" s="2"/>
      <c r="BKW34" s="2"/>
      <c r="BKX34" s="2"/>
      <c r="BKY34" s="2"/>
      <c r="BKZ34" s="2"/>
      <c r="BLA34" s="2"/>
      <c r="BLB34" s="2"/>
      <c r="BLC34" s="2"/>
      <c r="BLD34" s="2"/>
      <c r="BLE34" s="2"/>
      <c r="BLF34" s="2"/>
      <c r="BLG34" s="2"/>
      <c r="BLH34" s="2"/>
      <c r="BLI34" s="2"/>
      <c r="BLJ34" s="2"/>
      <c r="BLK34" s="2"/>
      <c r="BLL34" s="2"/>
      <c r="BLM34" s="2"/>
      <c r="BLN34" s="2"/>
      <c r="BLO34" s="2"/>
      <c r="BLP34" s="2"/>
      <c r="BLQ34" s="2"/>
      <c r="BLR34" s="2"/>
      <c r="BLS34" s="2"/>
      <c r="BLT34" s="2"/>
      <c r="BLU34" s="2"/>
      <c r="BLV34" s="2"/>
      <c r="BLW34" s="2"/>
      <c r="BLX34" s="2"/>
      <c r="BLY34" s="2"/>
      <c r="BLZ34" s="2"/>
      <c r="BMA34" s="2"/>
      <c r="BMB34" s="2"/>
      <c r="BMC34" s="2"/>
      <c r="BMD34" s="2"/>
      <c r="BME34" s="2"/>
      <c r="BMF34" s="2"/>
      <c r="BMG34" s="2"/>
      <c r="BMH34" s="2"/>
      <c r="BMI34" s="2"/>
      <c r="BMJ34" s="2"/>
      <c r="BMK34" s="2"/>
      <c r="BML34" s="2"/>
      <c r="BMM34" s="2"/>
      <c r="BMN34" s="2"/>
      <c r="BMO34" s="2"/>
      <c r="BMP34" s="2"/>
      <c r="BMQ34" s="2"/>
      <c r="BMR34" s="2"/>
      <c r="BMS34" s="2"/>
      <c r="BMT34" s="2"/>
      <c r="BMU34" s="2"/>
      <c r="BMV34" s="2"/>
      <c r="BMW34" s="2"/>
      <c r="BMX34" s="2"/>
      <c r="BMY34" s="2"/>
      <c r="BMZ34" s="2"/>
      <c r="BNA34" s="2"/>
      <c r="BNB34" s="2"/>
      <c r="BNC34" s="2"/>
      <c r="BND34" s="2"/>
      <c r="BNE34" s="2"/>
      <c r="BNF34" s="2"/>
      <c r="BNG34" s="2"/>
      <c r="BNH34" s="2"/>
      <c r="BNI34" s="2"/>
      <c r="BNJ34" s="2"/>
      <c r="BNK34" s="2"/>
      <c r="BNL34" s="2"/>
      <c r="BNM34" s="2"/>
      <c r="BNN34" s="2"/>
      <c r="BNO34" s="2"/>
      <c r="BNP34" s="2"/>
      <c r="BNQ34" s="2"/>
      <c r="BNR34" s="2"/>
      <c r="BNS34" s="2"/>
      <c r="BNT34" s="2"/>
      <c r="BNU34" s="2"/>
      <c r="BNV34" s="2"/>
      <c r="BNW34" s="2"/>
      <c r="BNX34" s="2"/>
      <c r="BNY34" s="2"/>
      <c r="BNZ34" s="2"/>
      <c r="BOA34" s="2"/>
      <c r="BOB34" s="2"/>
      <c r="BOC34" s="2"/>
      <c r="BOD34" s="2"/>
      <c r="BOE34" s="2"/>
      <c r="BOF34" s="2"/>
      <c r="BOG34" s="2"/>
      <c r="BOH34" s="2"/>
      <c r="BOI34" s="2"/>
      <c r="BOJ34" s="2"/>
      <c r="BOK34" s="2"/>
      <c r="BOL34" s="2"/>
      <c r="BOM34" s="2"/>
      <c r="BON34" s="2"/>
      <c r="BOO34" s="2"/>
      <c r="BOP34" s="2"/>
      <c r="BOQ34" s="2"/>
      <c r="BOR34" s="2"/>
      <c r="BOS34" s="2"/>
      <c r="BOT34" s="2"/>
      <c r="BOU34" s="2"/>
      <c r="BOV34" s="2"/>
      <c r="BOW34" s="2"/>
      <c r="BOX34" s="2"/>
      <c r="BOY34" s="2"/>
      <c r="BOZ34" s="2"/>
      <c r="BPA34" s="2"/>
      <c r="BPB34" s="2"/>
      <c r="BPC34" s="2"/>
      <c r="BPD34" s="2"/>
      <c r="BPE34" s="2"/>
      <c r="BPF34" s="2"/>
      <c r="BPG34" s="2"/>
      <c r="BPH34" s="2"/>
      <c r="BPI34" s="2"/>
      <c r="BPJ34" s="2"/>
      <c r="BPK34" s="2"/>
      <c r="BPL34" s="2"/>
      <c r="BPM34" s="2"/>
      <c r="BPN34" s="2"/>
      <c r="BPO34" s="2"/>
      <c r="BPP34" s="2"/>
      <c r="BPQ34" s="2"/>
      <c r="BPR34" s="2"/>
      <c r="BPS34" s="2"/>
      <c r="BPT34" s="2"/>
      <c r="BPU34" s="2"/>
      <c r="BPV34" s="2"/>
      <c r="BPW34" s="2"/>
      <c r="BPX34" s="2"/>
      <c r="BPY34" s="2"/>
      <c r="BPZ34" s="2"/>
      <c r="BQA34" s="2"/>
      <c r="BQB34" s="2"/>
      <c r="BQC34" s="2"/>
      <c r="BQD34" s="2"/>
      <c r="BQE34" s="2"/>
      <c r="BQF34" s="2"/>
      <c r="BQG34" s="2"/>
      <c r="BQH34" s="2"/>
      <c r="BQI34" s="2"/>
      <c r="BQJ34" s="2"/>
      <c r="BQK34" s="2"/>
      <c r="BQL34" s="2"/>
      <c r="BQM34" s="2"/>
      <c r="BQN34" s="2"/>
      <c r="BQO34" s="2"/>
      <c r="BQP34" s="2"/>
      <c r="BQQ34" s="2"/>
      <c r="BQR34" s="2"/>
      <c r="BQS34" s="2"/>
      <c r="BQT34" s="2"/>
      <c r="BQU34" s="2"/>
      <c r="BQV34" s="2"/>
      <c r="BQW34" s="2"/>
      <c r="BQX34" s="2"/>
      <c r="BQY34" s="2"/>
      <c r="BQZ34" s="2"/>
      <c r="BRA34" s="2"/>
      <c r="BRB34" s="2"/>
      <c r="BRC34" s="2"/>
      <c r="BRD34" s="2"/>
      <c r="BRE34" s="2"/>
      <c r="BRF34" s="2"/>
      <c r="BRG34" s="2"/>
      <c r="BRH34" s="2"/>
      <c r="BRI34" s="2"/>
      <c r="BRJ34" s="2"/>
      <c r="BRK34" s="2"/>
      <c r="BRL34" s="2"/>
      <c r="BRM34" s="2"/>
      <c r="BRN34" s="2"/>
      <c r="BRO34" s="2"/>
      <c r="BRP34" s="2"/>
      <c r="BRQ34" s="2"/>
      <c r="BRR34" s="2"/>
      <c r="BRS34" s="2"/>
      <c r="BRT34" s="2"/>
      <c r="BRU34" s="2"/>
      <c r="BRV34" s="2"/>
      <c r="BRW34" s="2"/>
      <c r="BRX34" s="2"/>
      <c r="BRY34" s="2"/>
      <c r="BRZ34" s="2"/>
      <c r="BSA34" s="2"/>
      <c r="BSB34" s="2"/>
      <c r="BSC34" s="2"/>
      <c r="BSD34" s="2"/>
      <c r="BSE34" s="2"/>
      <c r="BSF34" s="2"/>
      <c r="BSG34" s="2"/>
      <c r="BSH34" s="2"/>
      <c r="BSI34" s="2"/>
      <c r="BSJ34" s="2"/>
      <c r="BSK34" s="2"/>
      <c r="BSL34" s="2"/>
      <c r="BSM34" s="2"/>
      <c r="BSN34" s="2"/>
      <c r="BSO34" s="2"/>
      <c r="BSP34" s="2"/>
      <c r="BSQ34" s="2"/>
      <c r="BSR34" s="2"/>
      <c r="BSS34" s="2"/>
      <c r="BST34" s="2"/>
      <c r="BSU34" s="2"/>
      <c r="BSV34" s="2"/>
      <c r="BSW34" s="2"/>
      <c r="BSX34" s="2"/>
      <c r="BSY34" s="2"/>
      <c r="BSZ34" s="2"/>
      <c r="BTA34" s="2"/>
      <c r="BTB34" s="2"/>
      <c r="BTC34" s="2"/>
      <c r="BTD34" s="2"/>
      <c r="BTE34" s="2"/>
      <c r="BTF34" s="2"/>
      <c r="BTG34" s="2"/>
      <c r="BTH34" s="2"/>
      <c r="BTI34" s="2"/>
      <c r="BTJ34" s="2"/>
      <c r="BTK34" s="2"/>
      <c r="BTL34" s="2"/>
      <c r="BTM34" s="2"/>
      <c r="BTN34" s="2"/>
      <c r="BTO34" s="2"/>
      <c r="BTP34" s="2"/>
      <c r="BTQ34" s="2"/>
      <c r="BTR34" s="2"/>
      <c r="BTS34" s="2"/>
      <c r="BTT34" s="2"/>
      <c r="BTU34" s="2"/>
      <c r="BTV34" s="2"/>
      <c r="BTW34" s="2"/>
      <c r="BTX34" s="2"/>
      <c r="BTY34" s="2"/>
      <c r="BTZ34" s="2"/>
      <c r="BUA34" s="2"/>
      <c r="BUB34" s="2"/>
      <c r="BUC34" s="2"/>
      <c r="BUD34" s="2"/>
      <c r="BUE34" s="2"/>
      <c r="BUF34" s="2"/>
      <c r="BUG34" s="2"/>
      <c r="BUH34" s="2"/>
      <c r="BUI34" s="2"/>
      <c r="BUJ34" s="2"/>
      <c r="BUK34" s="2"/>
      <c r="BUL34" s="2"/>
      <c r="BUM34" s="2"/>
      <c r="BUN34" s="2"/>
      <c r="BUO34" s="2"/>
      <c r="BUP34" s="2"/>
      <c r="BUQ34" s="2"/>
      <c r="BUR34" s="2"/>
      <c r="BUS34" s="2"/>
      <c r="BUT34" s="2"/>
      <c r="BUU34" s="2"/>
      <c r="BUV34" s="2"/>
      <c r="BUW34" s="2"/>
      <c r="BUX34" s="2"/>
      <c r="BUY34" s="2"/>
      <c r="BUZ34" s="2"/>
      <c r="BVA34" s="2"/>
      <c r="BVB34" s="2"/>
      <c r="BVC34" s="2"/>
      <c r="BVD34" s="2"/>
      <c r="BVE34" s="2"/>
      <c r="BVF34" s="2"/>
      <c r="BVG34" s="2"/>
      <c r="BVH34" s="2"/>
      <c r="BVI34" s="2"/>
      <c r="BVJ34" s="2"/>
      <c r="BVK34" s="2"/>
      <c r="BVL34" s="2"/>
      <c r="BVM34" s="2"/>
      <c r="BVN34" s="2"/>
      <c r="BVO34" s="2"/>
      <c r="BVP34" s="2"/>
      <c r="BVQ34" s="2"/>
      <c r="BVR34" s="2"/>
      <c r="BVS34" s="2"/>
      <c r="BVT34" s="2"/>
      <c r="BVU34" s="2"/>
      <c r="BVV34" s="2"/>
      <c r="BVW34" s="2"/>
      <c r="BVX34" s="2"/>
      <c r="BVY34" s="2"/>
      <c r="BVZ34" s="2"/>
      <c r="BWA34" s="2"/>
      <c r="BWB34" s="2"/>
      <c r="BWC34" s="2"/>
      <c r="BWD34" s="2"/>
      <c r="BWE34" s="2"/>
      <c r="BWF34" s="2"/>
      <c r="BWG34" s="2"/>
      <c r="BWH34" s="2"/>
      <c r="BWI34" s="2"/>
      <c r="BWJ34" s="2"/>
      <c r="BWK34" s="2"/>
      <c r="BWL34" s="2"/>
      <c r="BWM34" s="2"/>
      <c r="BWN34" s="2"/>
      <c r="BWO34" s="2"/>
      <c r="BWP34" s="2"/>
      <c r="BWQ34" s="2"/>
      <c r="BWR34" s="2"/>
      <c r="BWS34" s="2"/>
      <c r="BWT34" s="2"/>
      <c r="BWU34" s="2"/>
      <c r="BWV34" s="2"/>
      <c r="BWW34" s="2"/>
      <c r="BWX34" s="2"/>
      <c r="BWY34" s="2"/>
      <c r="BWZ34" s="2"/>
      <c r="BXA34" s="2"/>
      <c r="BXB34" s="2"/>
      <c r="BXC34" s="2"/>
      <c r="BXD34" s="2"/>
      <c r="BXE34" s="2"/>
      <c r="BXF34" s="2"/>
      <c r="BXG34" s="2"/>
      <c r="BXH34" s="2"/>
      <c r="BXI34" s="2"/>
      <c r="BXJ34" s="2"/>
      <c r="BXK34" s="2"/>
      <c r="BXL34" s="2"/>
      <c r="BXM34" s="2"/>
      <c r="BXN34" s="2"/>
      <c r="BXO34" s="2"/>
      <c r="BXP34" s="2"/>
      <c r="BXQ34" s="2"/>
      <c r="BXR34" s="2"/>
      <c r="BXS34" s="2"/>
      <c r="BXT34" s="2"/>
      <c r="BXU34" s="2"/>
      <c r="BXV34" s="2"/>
      <c r="BXW34" s="2"/>
      <c r="BXX34" s="2"/>
      <c r="BXY34" s="2"/>
      <c r="BXZ34" s="2"/>
      <c r="BYA34" s="2"/>
      <c r="BYB34" s="2"/>
      <c r="BYC34" s="2"/>
      <c r="BYD34" s="2"/>
      <c r="BYE34" s="2"/>
      <c r="BYF34" s="2"/>
      <c r="BYG34" s="2"/>
      <c r="BYH34" s="2"/>
      <c r="BYI34" s="2"/>
      <c r="BYJ34" s="2"/>
      <c r="BYK34" s="2"/>
      <c r="BYL34" s="2"/>
      <c r="BYM34" s="2"/>
      <c r="BYN34" s="2"/>
      <c r="BYO34" s="2"/>
      <c r="BYP34" s="2"/>
      <c r="BYQ34" s="2"/>
      <c r="BYR34" s="2"/>
      <c r="BYS34" s="2"/>
      <c r="BYT34" s="2"/>
      <c r="BYU34" s="2"/>
      <c r="BYV34" s="2"/>
      <c r="BYW34" s="2"/>
      <c r="BYX34" s="2"/>
      <c r="BYY34" s="2"/>
      <c r="BYZ34" s="2"/>
      <c r="BZA34" s="2"/>
      <c r="BZB34" s="2"/>
      <c r="BZC34" s="2"/>
      <c r="BZD34" s="2"/>
      <c r="BZE34" s="2"/>
      <c r="BZF34" s="2"/>
      <c r="BZG34" s="2"/>
      <c r="BZH34" s="2"/>
      <c r="BZI34" s="2"/>
      <c r="BZJ34" s="2"/>
      <c r="BZK34" s="2"/>
      <c r="BZL34" s="2"/>
      <c r="BZM34" s="2"/>
      <c r="BZN34" s="2"/>
      <c r="BZO34" s="2"/>
      <c r="BZP34" s="2"/>
      <c r="BZQ34" s="2"/>
      <c r="BZR34" s="2"/>
      <c r="BZS34" s="2"/>
      <c r="BZT34" s="2"/>
      <c r="BZU34" s="2"/>
      <c r="BZV34" s="2"/>
      <c r="BZW34" s="2"/>
      <c r="BZX34" s="2"/>
      <c r="BZY34" s="2"/>
      <c r="BZZ34" s="2"/>
      <c r="CAA34" s="2"/>
      <c r="CAB34" s="2"/>
      <c r="CAC34" s="2"/>
      <c r="CAD34" s="2"/>
      <c r="CAE34" s="2"/>
      <c r="CAF34" s="2"/>
      <c r="CAG34" s="2"/>
      <c r="CAH34" s="2"/>
      <c r="CAI34" s="2"/>
      <c r="CAJ34" s="2"/>
      <c r="CAK34" s="2"/>
      <c r="CAL34" s="2"/>
      <c r="CAM34" s="2"/>
      <c r="CAN34" s="2"/>
      <c r="CAO34" s="2"/>
      <c r="CAP34" s="2"/>
      <c r="CAQ34" s="2"/>
      <c r="CAR34" s="2"/>
      <c r="CAS34" s="2"/>
      <c r="CAT34" s="2"/>
      <c r="CAU34" s="2"/>
      <c r="CAV34" s="2"/>
      <c r="CAW34" s="2"/>
      <c r="CAX34" s="2"/>
      <c r="CAY34" s="2"/>
      <c r="CAZ34" s="2"/>
      <c r="CBA34" s="2"/>
      <c r="CBB34" s="2"/>
      <c r="CBC34" s="2"/>
      <c r="CBD34" s="2"/>
      <c r="CBE34" s="2"/>
      <c r="CBF34" s="2"/>
      <c r="CBG34" s="2"/>
      <c r="CBH34" s="2"/>
      <c r="CBI34" s="2"/>
      <c r="CBJ34" s="2"/>
      <c r="CBK34" s="2"/>
      <c r="CBL34" s="2"/>
      <c r="CBM34" s="2"/>
      <c r="CBN34" s="2"/>
      <c r="CBO34" s="2"/>
      <c r="CBP34" s="2"/>
      <c r="CBQ34" s="2"/>
      <c r="CBR34" s="2"/>
      <c r="CBS34" s="2"/>
      <c r="CBT34" s="2"/>
      <c r="CBU34" s="2"/>
      <c r="CBV34" s="2"/>
      <c r="CBW34" s="2"/>
      <c r="CBX34" s="2"/>
      <c r="CBY34" s="2"/>
      <c r="CBZ34" s="2"/>
      <c r="CCA34" s="2"/>
      <c r="CCB34" s="2"/>
      <c r="CCC34" s="2"/>
      <c r="CCD34" s="2"/>
      <c r="CCE34" s="2"/>
      <c r="CCF34" s="2"/>
      <c r="CCG34" s="2"/>
      <c r="CCH34" s="2"/>
      <c r="CCI34" s="2"/>
      <c r="CCJ34" s="2"/>
      <c r="CCK34" s="2"/>
      <c r="CCL34" s="2"/>
      <c r="CCM34" s="2"/>
      <c r="CCN34" s="2"/>
      <c r="CCO34" s="2"/>
      <c r="CCP34" s="2"/>
      <c r="CCQ34" s="2"/>
      <c r="CCR34" s="2"/>
      <c r="CCS34" s="2"/>
      <c r="CCT34" s="2"/>
      <c r="CCU34" s="2"/>
      <c r="CCV34" s="2"/>
      <c r="CCW34" s="2"/>
      <c r="CCX34" s="2"/>
      <c r="CCY34" s="2"/>
      <c r="CCZ34" s="2"/>
      <c r="CDA34" s="2"/>
      <c r="CDB34" s="2"/>
      <c r="CDC34" s="2"/>
      <c r="CDD34" s="2"/>
      <c r="CDE34" s="2"/>
      <c r="CDF34" s="2"/>
      <c r="CDG34" s="2"/>
      <c r="CDH34" s="2"/>
      <c r="CDI34" s="2"/>
      <c r="CDJ34" s="2"/>
      <c r="CDK34" s="2"/>
      <c r="CDL34" s="2"/>
      <c r="CDM34" s="2"/>
      <c r="CDN34" s="2"/>
      <c r="CDO34" s="2"/>
      <c r="CDP34" s="2"/>
      <c r="CDQ34" s="2"/>
      <c r="CDR34" s="2"/>
      <c r="CDS34" s="2"/>
      <c r="CDT34" s="2"/>
      <c r="CDU34" s="2"/>
      <c r="CDV34" s="2"/>
      <c r="CDW34" s="2"/>
      <c r="CDX34" s="2"/>
      <c r="CDY34" s="2"/>
      <c r="CDZ34" s="2"/>
      <c r="CEA34" s="2"/>
      <c r="CEB34" s="2"/>
      <c r="CEC34" s="2"/>
      <c r="CED34" s="2"/>
      <c r="CEE34" s="2"/>
      <c r="CEF34" s="2"/>
      <c r="CEG34" s="2"/>
      <c r="CEH34" s="2"/>
      <c r="CEI34" s="2"/>
      <c r="CEJ34" s="2"/>
      <c r="CEK34" s="2"/>
      <c r="CEL34" s="2"/>
      <c r="CEM34" s="2"/>
      <c r="CEN34" s="2"/>
      <c r="CEO34" s="2"/>
      <c r="CEP34" s="2"/>
      <c r="CEQ34" s="2"/>
      <c r="CER34" s="2"/>
      <c r="CES34" s="2"/>
      <c r="CET34" s="2"/>
      <c r="CEU34" s="2"/>
      <c r="CEV34" s="2"/>
      <c r="CEW34" s="2"/>
      <c r="CEX34" s="2"/>
      <c r="CEY34" s="2"/>
      <c r="CEZ34" s="2"/>
      <c r="CFA34" s="2"/>
      <c r="CFB34" s="2"/>
      <c r="CFC34" s="2"/>
      <c r="CFD34" s="2"/>
      <c r="CFE34" s="2"/>
      <c r="CFF34" s="2"/>
      <c r="CFG34" s="2"/>
      <c r="CFH34" s="2"/>
      <c r="CFI34" s="2"/>
      <c r="CFJ34" s="2"/>
      <c r="CFK34" s="2"/>
      <c r="CFL34" s="2"/>
      <c r="CFM34" s="2"/>
      <c r="CFN34" s="2"/>
      <c r="CFO34" s="2"/>
      <c r="CFP34" s="2"/>
      <c r="CFQ34" s="2"/>
      <c r="CFR34" s="2"/>
      <c r="CFS34" s="2"/>
      <c r="CFT34" s="2"/>
      <c r="CFU34" s="2"/>
      <c r="CFV34" s="2"/>
      <c r="CFW34" s="2"/>
      <c r="CFX34" s="2"/>
      <c r="CFY34" s="2"/>
      <c r="CFZ34" s="2"/>
      <c r="CGA34" s="2"/>
      <c r="CGB34" s="2"/>
      <c r="CGC34" s="2"/>
      <c r="CGD34" s="2"/>
      <c r="CGE34" s="2"/>
      <c r="CGF34" s="2"/>
      <c r="CGG34" s="2"/>
      <c r="CGH34" s="2"/>
      <c r="CGI34" s="2"/>
      <c r="CGJ34" s="2"/>
      <c r="CGK34" s="2"/>
      <c r="CGL34" s="2"/>
      <c r="CGM34" s="2"/>
      <c r="CGN34" s="2"/>
      <c r="CGO34" s="2"/>
      <c r="CGP34" s="2"/>
      <c r="CGQ34" s="2"/>
      <c r="CGR34" s="2"/>
      <c r="CGS34" s="2"/>
      <c r="CGT34" s="2"/>
      <c r="CGU34" s="2"/>
      <c r="CGV34" s="2"/>
      <c r="CGW34" s="2"/>
      <c r="CGX34" s="2"/>
      <c r="CGY34" s="2"/>
      <c r="CGZ34" s="2"/>
      <c r="CHA34" s="2"/>
      <c r="CHB34" s="2"/>
      <c r="CHC34" s="2"/>
      <c r="CHD34" s="2"/>
      <c r="CHE34" s="2"/>
      <c r="CHF34" s="2"/>
      <c r="CHG34" s="2"/>
      <c r="CHH34" s="2"/>
      <c r="CHI34" s="2"/>
      <c r="CHJ34" s="2"/>
      <c r="CHK34" s="2"/>
      <c r="CHL34" s="2"/>
      <c r="CHM34" s="2"/>
      <c r="CHN34" s="2"/>
      <c r="CHO34" s="2"/>
      <c r="CHP34" s="2"/>
      <c r="CHQ34" s="2"/>
      <c r="CHR34" s="2"/>
      <c r="CHS34" s="2"/>
      <c r="CHT34" s="2"/>
      <c r="CHU34" s="2"/>
      <c r="CHV34" s="2"/>
      <c r="CHW34" s="2"/>
      <c r="CHX34" s="2"/>
      <c r="CHY34" s="2"/>
      <c r="CHZ34" s="2"/>
      <c r="CIA34" s="2"/>
      <c r="CIB34" s="2"/>
      <c r="CIC34" s="2"/>
      <c r="CID34" s="2"/>
      <c r="CIE34" s="2"/>
      <c r="CIF34" s="2"/>
      <c r="CIG34" s="2"/>
      <c r="CIH34" s="2"/>
      <c r="CII34" s="2"/>
      <c r="CIJ34" s="2"/>
      <c r="CIK34" s="2"/>
      <c r="CIL34" s="2"/>
      <c r="CIM34" s="2"/>
      <c r="CIN34" s="2"/>
      <c r="CIO34" s="2"/>
      <c r="CIP34" s="2"/>
      <c r="CIQ34" s="2"/>
      <c r="CIR34" s="2"/>
      <c r="CIS34" s="2"/>
      <c r="CIT34" s="2"/>
      <c r="CIU34" s="2"/>
      <c r="CIV34" s="2"/>
      <c r="CIW34" s="2"/>
      <c r="CIX34" s="2"/>
      <c r="CIY34" s="2"/>
      <c r="CIZ34" s="2"/>
      <c r="CJA34" s="2"/>
      <c r="CJB34" s="2"/>
      <c r="CJC34" s="2"/>
      <c r="CJD34" s="2"/>
      <c r="CJE34" s="2"/>
      <c r="CJF34" s="2"/>
      <c r="CJG34" s="2"/>
      <c r="CJH34" s="2"/>
      <c r="CJI34" s="2"/>
      <c r="CJJ34" s="2"/>
      <c r="CJK34" s="2"/>
      <c r="CJL34" s="2"/>
      <c r="CJM34" s="2"/>
      <c r="CJN34" s="2"/>
      <c r="CJO34" s="2"/>
      <c r="CJP34" s="2"/>
      <c r="CJQ34" s="2"/>
      <c r="CJR34" s="2"/>
      <c r="CJS34" s="2"/>
      <c r="CJT34" s="2"/>
      <c r="CJU34" s="2"/>
      <c r="CJV34" s="2"/>
      <c r="CJW34" s="2"/>
      <c r="CJX34" s="2"/>
      <c r="CJY34" s="2"/>
      <c r="CJZ34" s="2"/>
      <c r="CKA34" s="2"/>
      <c r="CKB34" s="2"/>
      <c r="CKC34" s="2"/>
      <c r="CKD34" s="2"/>
      <c r="CKE34" s="2"/>
      <c r="CKF34" s="2"/>
      <c r="CKG34" s="2"/>
      <c r="CKH34" s="2"/>
      <c r="CKI34" s="2"/>
      <c r="CKJ34" s="2"/>
      <c r="CKK34" s="2"/>
      <c r="CKL34" s="2"/>
      <c r="CKM34" s="2"/>
      <c r="CKN34" s="2"/>
      <c r="CKO34" s="2"/>
      <c r="CKP34" s="2"/>
      <c r="CKQ34" s="2"/>
      <c r="CKR34" s="2"/>
      <c r="CKS34" s="2"/>
      <c r="CKT34" s="2"/>
      <c r="CKU34" s="2"/>
      <c r="CKV34" s="2"/>
      <c r="CKW34" s="2"/>
      <c r="CKX34" s="2"/>
      <c r="CKY34" s="2"/>
      <c r="CKZ34" s="2"/>
      <c r="CLA34" s="2"/>
      <c r="CLB34" s="2"/>
      <c r="CLC34" s="2"/>
      <c r="CLD34" s="2"/>
      <c r="CLE34" s="2"/>
      <c r="CLF34" s="2"/>
      <c r="CLG34" s="2"/>
      <c r="CLH34" s="2"/>
      <c r="CLI34" s="2"/>
      <c r="CLJ34" s="2"/>
      <c r="CLK34" s="2"/>
      <c r="CLL34" s="2"/>
      <c r="CLM34" s="2"/>
      <c r="CLN34" s="2"/>
      <c r="CLO34" s="2"/>
      <c r="CLP34" s="2"/>
      <c r="CLQ34" s="2"/>
      <c r="CLR34" s="2"/>
      <c r="CLS34" s="2"/>
      <c r="CLT34" s="2"/>
      <c r="CLU34" s="2"/>
      <c r="CLV34" s="2"/>
      <c r="CLW34" s="2"/>
      <c r="CLX34" s="2"/>
      <c r="CLY34" s="2"/>
      <c r="CLZ34" s="2"/>
      <c r="CMA34" s="2"/>
      <c r="CMB34" s="2"/>
      <c r="CMC34" s="2"/>
      <c r="CMD34" s="2"/>
      <c r="CME34" s="2"/>
      <c r="CMF34" s="2"/>
      <c r="CMG34" s="2"/>
      <c r="CMH34" s="2"/>
      <c r="CMI34" s="2"/>
      <c r="CMJ34" s="2"/>
      <c r="CMK34" s="2"/>
      <c r="CML34" s="2"/>
      <c r="CMM34" s="2"/>
      <c r="CMN34" s="2"/>
      <c r="CMO34" s="2"/>
      <c r="CMP34" s="2"/>
      <c r="CMQ34" s="2"/>
      <c r="CMR34" s="2"/>
      <c r="CMS34" s="2"/>
      <c r="CMT34" s="2"/>
      <c r="CMU34" s="2"/>
      <c r="CMV34" s="2"/>
      <c r="CMW34" s="2"/>
      <c r="CMX34" s="2"/>
      <c r="CMY34" s="2"/>
      <c r="CMZ34" s="2"/>
      <c r="CNA34" s="2"/>
      <c r="CNB34" s="2"/>
      <c r="CNC34" s="2"/>
      <c r="CND34" s="2"/>
      <c r="CNE34" s="2"/>
      <c r="CNF34" s="2"/>
      <c r="CNG34" s="2"/>
      <c r="CNH34" s="2"/>
      <c r="CNI34" s="2"/>
      <c r="CNJ34" s="2"/>
      <c r="CNK34" s="2"/>
      <c r="CNL34" s="2"/>
      <c r="CNM34" s="2"/>
      <c r="CNN34" s="2"/>
      <c r="CNO34" s="2"/>
      <c r="CNP34" s="2"/>
      <c r="CNQ34" s="2"/>
      <c r="CNR34" s="2"/>
      <c r="CNS34" s="2"/>
      <c r="CNT34" s="2"/>
      <c r="CNU34" s="2"/>
      <c r="CNV34" s="2"/>
      <c r="CNW34" s="2"/>
      <c r="CNX34" s="2"/>
      <c r="CNY34" s="2"/>
      <c r="CNZ34" s="2"/>
      <c r="COA34" s="2"/>
      <c r="COB34" s="2"/>
      <c r="COC34" s="2"/>
      <c r="COD34" s="2"/>
      <c r="COE34" s="2"/>
      <c r="COF34" s="2"/>
      <c r="COG34" s="2"/>
      <c r="COH34" s="2"/>
      <c r="COI34" s="2"/>
      <c r="COJ34" s="2"/>
      <c r="COK34" s="2"/>
      <c r="COL34" s="2"/>
      <c r="COM34" s="2"/>
      <c r="CON34" s="2"/>
      <c r="COO34" s="2"/>
      <c r="COP34" s="2"/>
      <c r="COQ34" s="2"/>
      <c r="COR34" s="2"/>
      <c r="COS34" s="2"/>
      <c r="COT34" s="2"/>
      <c r="COU34" s="2"/>
      <c r="COV34" s="2"/>
      <c r="COW34" s="2"/>
      <c r="COX34" s="2"/>
      <c r="COY34" s="2"/>
      <c r="COZ34" s="2"/>
      <c r="CPA34" s="2"/>
      <c r="CPB34" s="2"/>
      <c r="CPC34" s="2"/>
      <c r="CPD34" s="2"/>
      <c r="CPE34" s="2"/>
      <c r="CPF34" s="2"/>
      <c r="CPG34" s="2"/>
      <c r="CPH34" s="2"/>
      <c r="CPI34" s="2"/>
      <c r="CPJ34" s="2"/>
      <c r="CPK34" s="2"/>
      <c r="CPL34" s="2"/>
      <c r="CPM34" s="2"/>
      <c r="CPN34" s="2"/>
      <c r="CPO34" s="2"/>
      <c r="CPP34" s="2"/>
      <c r="CPQ34" s="2"/>
      <c r="CPR34" s="2"/>
      <c r="CPS34" s="2"/>
      <c r="CPT34" s="2"/>
      <c r="CPU34" s="2"/>
      <c r="CPV34" s="2"/>
      <c r="CPW34" s="2"/>
      <c r="CPX34" s="2"/>
      <c r="CPY34" s="2"/>
      <c r="CPZ34" s="2"/>
      <c r="CQA34" s="2"/>
      <c r="CQB34" s="2"/>
      <c r="CQC34" s="2"/>
      <c r="CQD34" s="2"/>
      <c r="CQE34" s="2"/>
      <c r="CQF34" s="2"/>
      <c r="CQG34" s="2"/>
      <c r="CQH34" s="2"/>
      <c r="CQI34" s="2"/>
      <c r="CQJ34" s="2"/>
      <c r="CQK34" s="2"/>
      <c r="CQL34" s="2"/>
      <c r="CQM34" s="2"/>
      <c r="CQN34" s="2"/>
      <c r="CQO34" s="2"/>
      <c r="CQP34" s="2"/>
      <c r="CQQ34" s="2"/>
      <c r="CQR34" s="2"/>
      <c r="CQS34" s="2"/>
      <c r="CQT34" s="2"/>
      <c r="CQU34" s="2"/>
      <c r="CQV34" s="2"/>
      <c r="CQW34" s="2"/>
      <c r="CQX34" s="2"/>
      <c r="CQY34" s="2"/>
      <c r="CQZ34" s="2"/>
      <c r="CRA34" s="2"/>
      <c r="CRB34" s="2"/>
      <c r="CRC34" s="2"/>
      <c r="CRD34" s="2"/>
      <c r="CRE34" s="2"/>
      <c r="CRF34" s="2"/>
      <c r="CRG34" s="2"/>
      <c r="CRH34" s="2"/>
      <c r="CRI34" s="2"/>
      <c r="CRJ34" s="2"/>
      <c r="CRK34" s="2"/>
      <c r="CRL34" s="2"/>
      <c r="CRM34" s="2"/>
      <c r="CRN34" s="2"/>
      <c r="CRO34" s="2"/>
      <c r="CRP34" s="2"/>
      <c r="CRQ34" s="2"/>
      <c r="CRR34" s="2"/>
      <c r="CRS34" s="2"/>
      <c r="CRT34" s="2"/>
      <c r="CRU34" s="2"/>
      <c r="CRV34" s="2"/>
      <c r="CRW34" s="2"/>
      <c r="CRX34" s="2"/>
      <c r="CRY34" s="2"/>
      <c r="CRZ34" s="2"/>
      <c r="CSA34" s="2"/>
      <c r="CSB34" s="2"/>
      <c r="CSC34" s="2"/>
      <c r="CSD34" s="2"/>
      <c r="CSE34" s="2"/>
      <c r="CSF34" s="2"/>
      <c r="CSG34" s="2"/>
      <c r="CSH34" s="2"/>
      <c r="CSI34" s="2"/>
      <c r="CSJ34" s="2"/>
      <c r="CSK34" s="2"/>
      <c r="CSL34" s="2"/>
      <c r="CSM34" s="2"/>
      <c r="CSN34" s="2"/>
      <c r="CSO34" s="2"/>
      <c r="CSP34" s="2"/>
      <c r="CSQ34" s="2"/>
      <c r="CSR34" s="2"/>
      <c r="CSS34" s="2"/>
      <c r="CST34" s="2"/>
      <c r="CSU34" s="2"/>
      <c r="CSV34" s="2"/>
      <c r="CSW34" s="2"/>
      <c r="CSX34" s="2"/>
      <c r="CSY34" s="2"/>
      <c r="CSZ34" s="2"/>
      <c r="CTA34" s="2"/>
      <c r="CTB34" s="2"/>
      <c r="CTC34" s="2"/>
      <c r="CTD34" s="2"/>
      <c r="CTE34" s="2"/>
      <c r="CTF34" s="2"/>
      <c r="CTG34" s="2"/>
      <c r="CTH34" s="2"/>
      <c r="CTI34" s="2"/>
      <c r="CTJ34" s="2"/>
      <c r="CTK34" s="2"/>
      <c r="CTL34" s="2"/>
      <c r="CTM34" s="2"/>
      <c r="CTN34" s="2"/>
      <c r="CTO34" s="2"/>
      <c r="CTP34" s="2"/>
      <c r="CTQ34" s="2"/>
      <c r="CTR34" s="2"/>
      <c r="CTS34" s="2"/>
      <c r="CTT34" s="2"/>
      <c r="CTU34" s="2"/>
      <c r="CTV34" s="2"/>
      <c r="CTW34" s="2"/>
      <c r="CTX34" s="2"/>
      <c r="CTY34" s="2"/>
      <c r="CTZ34" s="2"/>
      <c r="CUA34" s="2"/>
      <c r="CUB34" s="2"/>
      <c r="CUC34" s="2"/>
      <c r="CUD34" s="2"/>
      <c r="CUE34" s="2"/>
      <c r="CUF34" s="2"/>
      <c r="CUG34" s="2"/>
      <c r="CUH34" s="2"/>
      <c r="CUI34" s="2"/>
      <c r="CUJ34" s="2"/>
      <c r="CUK34" s="2"/>
      <c r="CUL34" s="2"/>
      <c r="CUM34" s="2"/>
      <c r="CUN34" s="2"/>
      <c r="CUO34" s="2"/>
      <c r="CUP34" s="2"/>
      <c r="CUQ34" s="2"/>
      <c r="CUR34" s="2"/>
      <c r="CUS34" s="2"/>
      <c r="CUT34" s="2"/>
      <c r="CUU34" s="2"/>
      <c r="CUV34" s="2"/>
      <c r="CUW34" s="2"/>
      <c r="CUX34" s="2"/>
      <c r="CUY34" s="2"/>
      <c r="CUZ34" s="2"/>
      <c r="CVA34" s="2"/>
      <c r="CVB34" s="2"/>
      <c r="CVC34" s="2"/>
      <c r="CVD34" s="2"/>
      <c r="CVE34" s="2"/>
      <c r="CVF34" s="2"/>
      <c r="CVG34" s="2"/>
      <c r="CVH34" s="2"/>
      <c r="CVI34" s="2"/>
      <c r="CVJ34" s="2"/>
      <c r="CVK34" s="2"/>
      <c r="CVL34" s="2"/>
      <c r="CVM34" s="2"/>
      <c r="CVN34" s="2"/>
      <c r="CVO34" s="2"/>
      <c r="CVP34" s="2"/>
      <c r="CVQ34" s="2"/>
      <c r="CVR34" s="2"/>
      <c r="CVS34" s="2"/>
      <c r="CVT34" s="2"/>
      <c r="CVU34" s="2"/>
      <c r="CVV34" s="2"/>
      <c r="CVW34" s="2"/>
      <c r="CVX34" s="2"/>
      <c r="CVY34" s="2"/>
      <c r="CVZ34" s="2"/>
      <c r="CWA34" s="2"/>
      <c r="CWB34" s="2"/>
      <c r="CWC34" s="2"/>
      <c r="CWD34" s="2"/>
      <c r="CWE34" s="2"/>
      <c r="CWF34" s="2"/>
      <c r="CWG34" s="2"/>
      <c r="CWH34" s="2"/>
      <c r="CWI34" s="2"/>
      <c r="CWJ34" s="2"/>
      <c r="CWK34" s="2"/>
      <c r="CWL34" s="2"/>
      <c r="CWM34" s="2"/>
      <c r="CWN34" s="2"/>
      <c r="CWO34" s="2"/>
      <c r="CWP34" s="2"/>
      <c r="CWQ34" s="2"/>
      <c r="CWR34" s="2"/>
      <c r="CWS34" s="2"/>
      <c r="CWT34" s="2"/>
      <c r="CWU34" s="2"/>
      <c r="CWV34" s="2"/>
      <c r="CWW34" s="2"/>
      <c r="CWX34" s="2"/>
      <c r="CWY34" s="2"/>
      <c r="CWZ34" s="2"/>
      <c r="CXA34" s="2"/>
      <c r="CXB34" s="2"/>
      <c r="CXC34" s="2"/>
      <c r="CXD34" s="2"/>
      <c r="CXE34" s="2"/>
      <c r="CXF34" s="2"/>
      <c r="CXG34" s="2"/>
      <c r="CXH34" s="2"/>
      <c r="CXI34" s="2"/>
      <c r="CXJ34" s="2"/>
      <c r="CXK34" s="2"/>
      <c r="CXL34" s="2"/>
      <c r="CXM34" s="2"/>
      <c r="CXN34" s="2"/>
      <c r="CXO34" s="2"/>
      <c r="CXP34" s="2"/>
      <c r="CXQ34" s="2"/>
      <c r="CXR34" s="2"/>
      <c r="CXS34" s="2"/>
      <c r="CXT34" s="2"/>
      <c r="CXU34" s="2"/>
      <c r="CXV34" s="2"/>
      <c r="CXW34" s="2"/>
      <c r="CXX34" s="2"/>
      <c r="CXY34" s="2"/>
      <c r="CXZ34" s="2"/>
      <c r="CYA34" s="2"/>
      <c r="CYB34" s="2"/>
      <c r="CYC34" s="2"/>
      <c r="CYD34" s="2"/>
      <c r="CYE34" s="2"/>
      <c r="CYF34" s="2"/>
      <c r="CYG34" s="2"/>
      <c r="CYH34" s="2"/>
      <c r="CYI34" s="2"/>
      <c r="CYJ34" s="2"/>
      <c r="CYK34" s="2"/>
      <c r="CYL34" s="2"/>
      <c r="CYM34" s="2"/>
      <c r="CYN34" s="2"/>
      <c r="CYO34" s="2"/>
      <c r="CYP34" s="2"/>
      <c r="CYQ34" s="2"/>
      <c r="CYR34" s="2"/>
      <c r="CYS34" s="2"/>
      <c r="CYT34" s="2"/>
      <c r="CYU34" s="2"/>
      <c r="CYV34" s="2"/>
      <c r="CYW34" s="2"/>
      <c r="CYX34" s="2"/>
      <c r="CYY34" s="2"/>
      <c r="CYZ34" s="2"/>
      <c r="CZA34" s="2"/>
      <c r="CZB34" s="2"/>
      <c r="CZC34" s="2"/>
      <c r="CZD34" s="2"/>
      <c r="CZE34" s="2"/>
      <c r="CZF34" s="2"/>
      <c r="CZG34" s="2"/>
      <c r="CZH34" s="2"/>
      <c r="CZI34" s="2"/>
      <c r="CZJ34" s="2"/>
      <c r="CZK34" s="2"/>
      <c r="CZL34" s="2"/>
      <c r="CZM34" s="2"/>
      <c r="CZN34" s="2"/>
      <c r="CZO34" s="2"/>
      <c r="CZP34" s="2"/>
      <c r="CZQ34" s="2"/>
      <c r="CZR34" s="2"/>
      <c r="CZS34" s="2"/>
      <c r="CZT34" s="2"/>
      <c r="CZU34" s="2"/>
      <c r="CZV34" s="2"/>
      <c r="CZW34" s="2"/>
      <c r="CZX34" s="2"/>
      <c r="CZY34" s="2"/>
      <c r="CZZ34" s="2"/>
      <c r="DAA34" s="2"/>
      <c r="DAB34" s="2"/>
      <c r="DAC34" s="2"/>
      <c r="DAD34" s="2"/>
      <c r="DAE34" s="2"/>
      <c r="DAF34" s="2"/>
      <c r="DAG34" s="2"/>
      <c r="DAH34" s="2"/>
      <c r="DAI34" s="2"/>
      <c r="DAJ34" s="2"/>
      <c r="DAK34" s="2"/>
      <c r="DAL34" s="2"/>
      <c r="DAM34" s="2"/>
      <c r="DAN34" s="2"/>
      <c r="DAO34" s="2"/>
      <c r="DAP34" s="2"/>
      <c r="DAQ34" s="2"/>
      <c r="DAR34" s="2"/>
      <c r="DAS34" s="2"/>
      <c r="DAT34" s="2"/>
      <c r="DAU34" s="2"/>
      <c r="DAV34" s="2"/>
      <c r="DAW34" s="2"/>
      <c r="DAX34" s="2"/>
      <c r="DAY34" s="2"/>
      <c r="DAZ34" s="2"/>
      <c r="DBA34" s="2"/>
      <c r="DBB34" s="2"/>
      <c r="DBC34" s="2"/>
      <c r="DBD34" s="2"/>
      <c r="DBE34" s="2"/>
      <c r="DBF34" s="2"/>
      <c r="DBG34" s="2"/>
      <c r="DBH34" s="2"/>
      <c r="DBI34" s="2"/>
      <c r="DBJ34" s="2"/>
      <c r="DBK34" s="2"/>
      <c r="DBL34" s="2"/>
      <c r="DBM34" s="2"/>
      <c r="DBN34" s="2"/>
      <c r="DBO34" s="2"/>
      <c r="DBP34" s="2"/>
      <c r="DBQ34" s="2"/>
      <c r="DBR34" s="2"/>
      <c r="DBS34" s="2"/>
      <c r="DBT34" s="2"/>
      <c r="DBU34" s="2"/>
      <c r="DBV34" s="2"/>
      <c r="DBW34" s="2"/>
      <c r="DBX34" s="2"/>
      <c r="DBY34" s="2"/>
      <c r="DBZ34" s="2"/>
      <c r="DCA34" s="2"/>
      <c r="DCB34" s="2"/>
      <c r="DCC34" s="2"/>
      <c r="DCD34" s="2"/>
      <c r="DCE34" s="2"/>
      <c r="DCF34" s="2"/>
      <c r="DCG34" s="2"/>
      <c r="DCH34" s="2"/>
      <c r="DCI34" s="2"/>
      <c r="DCJ34" s="2"/>
      <c r="DCK34" s="2"/>
      <c r="DCL34" s="2"/>
      <c r="DCM34" s="2"/>
      <c r="DCN34" s="2"/>
      <c r="DCO34" s="2"/>
      <c r="DCP34" s="2"/>
      <c r="DCQ34" s="2"/>
      <c r="DCR34" s="2"/>
      <c r="DCS34" s="2"/>
      <c r="DCT34" s="2"/>
      <c r="DCU34" s="2"/>
      <c r="DCV34" s="2"/>
      <c r="DCW34" s="2"/>
      <c r="DCX34" s="2"/>
      <c r="DCY34" s="2"/>
      <c r="DCZ34" s="2"/>
      <c r="DDA34" s="2"/>
      <c r="DDB34" s="2"/>
      <c r="DDC34" s="2"/>
      <c r="DDD34" s="2"/>
      <c r="DDE34" s="2"/>
      <c r="DDF34" s="2"/>
      <c r="DDG34" s="2"/>
      <c r="DDH34" s="2"/>
      <c r="DDI34" s="2"/>
      <c r="DDJ34" s="2"/>
      <c r="DDK34" s="2"/>
      <c r="DDL34" s="2"/>
      <c r="DDM34" s="2"/>
      <c r="DDN34" s="2"/>
      <c r="DDO34" s="2"/>
      <c r="DDP34" s="2"/>
      <c r="DDQ34" s="2"/>
      <c r="DDR34" s="2"/>
      <c r="DDS34" s="2"/>
      <c r="DDT34" s="2"/>
      <c r="DDU34" s="2"/>
      <c r="DDV34" s="2"/>
      <c r="DDW34" s="2"/>
      <c r="DDX34" s="2"/>
      <c r="DDY34" s="2"/>
      <c r="DDZ34" s="2"/>
      <c r="DEA34" s="2"/>
      <c r="DEB34" s="2"/>
      <c r="DEC34" s="2"/>
      <c r="DED34" s="2"/>
      <c r="DEE34" s="2"/>
      <c r="DEF34" s="2"/>
      <c r="DEG34" s="2"/>
      <c r="DEH34" s="2"/>
      <c r="DEI34" s="2"/>
      <c r="DEJ34" s="2"/>
      <c r="DEK34" s="2"/>
      <c r="DEL34" s="2"/>
      <c r="DEM34" s="2"/>
      <c r="DEN34" s="2"/>
      <c r="DEO34" s="2"/>
      <c r="DEP34" s="2"/>
      <c r="DEQ34" s="2"/>
      <c r="DER34" s="2"/>
      <c r="DES34" s="2"/>
      <c r="DET34" s="2"/>
      <c r="DEU34" s="2"/>
      <c r="DEV34" s="2"/>
      <c r="DEW34" s="2"/>
      <c r="DEX34" s="2"/>
      <c r="DEY34" s="2"/>
      <c r="DEZ34" s="2"/>
      <c r="DFA34" s="2"/>
      <c r="DFB34" s="2"/>
      <c r="DFC34" s="2"/>
      <c r="DFD34" s="2"/>
      <c r="DFE34" s="2"/>
      <c r="DFF34" s="2"/>
      <c r="DFG34" s="2"/>
      <c r="DFH34" s="2"/>
      <c r="DFI34" s="2"/>
      <c r="DFJ34" s="2"/>
      <c r="DFK34" s="2"/>
      <c r="DFL34" s="2"/>
      <c r="DFM34" s="2"/>
      <c r="DFN34" s="2"/>
      <c r="DFO34" s="2"/>
      <c r="DFP34" s="2"/>
      <c r="DFQ34" s="2"/>
      <c r="DFR34" s="2"/>
      <c r="DFS34" s="2"/>
      <c r="DFT34" s="2"/>
      <c r="DFU34" s="2"/>
      <c r="DFV34" s="2"/>
      <c r="DFW34" s="2"/>
      <c r="DFX34" s="2"/>
      <c r="DFY34" s="2"/>
      <c r="DFZ34" s="2"/>
      <c r="DGA34" s="2"/>
      <c r="DGB34" s="2"/>
      <c r="DGC34" s="2"/>
      <c r="DGD34" s="2"/>
      <c r="DGE34" s="2"/>
      <c r="DGF34" s="2"/>
      <c r="DGG34" s="2"/>
      <c r="DGH34" s="2"/>
      <c r="DGI34" s="2"/>
      <c r="DGJ34" s="2"/>
      <c r="DGK34" s="2"/>
      <c r="DGL34" s="2"/>
      <c r="DGM34" s="2"/>
      <c r="DGN34" s="2"/>
      <c r="DGO34" s="2"/>
      <c r="DGP34" s="2"/>
      <c r="DGQ34" s="2"/>
      <c r="DGR34" s="2"/>
      <c r="DGS34" s="2"/>
      <c r="DGT34" s="2"/>
      <c r="DGU34" s="2"/>
      <c r="DGV34" s="2"/>
      <c r="DGW34" s="2"/>
      <c r="DGX34" s="2"/>
      <c r="DGY34" s="2"/>
      <c r="DGZ34" s="2"/>
      <c r="DHA34" s="2"/>
      <c r="DHB34" s="2"/>
      <c r="DHC34" s="2"/>
      <c r="DHD34" s="2"/>
      <c r="DHE34" s="2"/>
      <c r="DHF34" s="2"/>
      <c r="DHG34" s="2"/>
      <c r="DHH34" s="2"/>
      <c r="DHI34" s="2"/>
      <c r="DHJ34" s="2"/>
      <c r="DHK34" s="2"/>
      <c r="DHL34" s="2"/>
      <c r="DHM34" s="2"/>
      <c r="DHN34" s="2"/>
      <c r="DHO34" s="2"/>
      <c r="DHP34" s="2"/>
      <c r="DHQ34" s="2"/>
      <c r="DHR34" s="2"/>
      <c r="DHS34" s="2"/>
      <c r="DHT34" s="2"/>
      <c r="DHU34" s="2"/>
      <c r="DHV34" s="2"/>
      <c r="DHW34" s="2"/>
      <c r="DHX34" s="2"/>
      <c r="DHY34" s="2"/>
      <c r="DHZ34" s="2"/>
      <c r="DIA34" s="2"/>
      <c r="DIB34" s="2"/>
      <c r="DIC34" s="2"/>
      <c r="DID34" s="2"/>
      <c r="DIE34" s="2"/>
      <c r="DIF34" s="2"/>
      <c r="DIG34" s="2"/>
      <c r="DIH34" s="2"/>
      <c r="DII34" s="2"/>
      <c r="DIJ34" s="2"/>
      <c r="DIK34" s="2"/>
      <c r="DIL34" s="2"/>
      <c r="DIM34" s="2"/>
      <c r="DIN34" s="2"/>
      <c r="DIO34" s="2"/>
      <c r="DIP34" s="2"/>
      <c r="DIQ34" s="2"/>
      <c r="DIR34" s="2"/>
      <c r="DIS34" s="2"/>
      <c r="DIT34" s="2"/>
      <c r="DIU34" s="2"/>
      <c r="DIV34" s="2"/>
      <c r="DIW34" s="2"/>
      <c r="DIX34" s="2"/>
      <c r="DIY34" s="2"/>
      <c r="DIZ34" s="2"/>
      <c r="DJA34" s="2"/>
      <c r="DJB34" s="2"/>
      <c r="DJC34" s="2"/>
      <c r="DJD34" s="2"/>
      <c r="DJE34" s="2"/>
      <c r="DJF34" s="2"/>
      <c r="DJG34" s="2"/>
      <c r="DJH34" s="2"/>
      <c r="DJI34" s="2"/>
      <c r="DJJ34" s="2"/>
      <c r="DJK34" s="2"/>
      <c r="DJL34" s="2"/>
      <c r="DJM34" s="2"/>
      <c r="DJN34" s="2"/>
      <c r="DJO34" s="2"/>
      <c r="DJP34" s="2"/>
      <c r="DJQ34" s="2"/>
      <c r="DJR34" s="2"/>
      <c r="DJS34" s="2"/>
      <c r="DJT34" s="2"/>
      <c r="DJU34" s="2"/>
      <c r="DJV34" s="2"/>
      <c r="DJW34" s="2"/>
      <c r="DJX34" s="2"/>
      <c r="DJY34" s="2"/>
      <c r="DJZ34" s="2"/>
      <c r="DKA34" s="2"/>
      <c r="DKB34" s="2"/>
      <c r="DKC34" s="2"/>
      <c r="DKD34" s="2"/>
      <c r="DKE34" s="2"/>
      <c r="DKF34" s="2"/>
      <c r="DKG34" s="2"/>
      <c r="DKH34" s="2"/>
      <c r="DKI34" s="2"/>
      <c r="DKJ34" s="2"/>
      <c r="DKK34" s="2"/>
      <c r="DKL34" s="2"/>
      <c r="DKM34" s="2"/>
      <c r="DKN34" s="2"/>
      <c r="DKO34" s="2"/>
      <c r="DKP34" s="2"/>
      <c r="DKQ34" s="2"/>
      <c r="DKR34" s="2"/>
      <c r="DKS34" s="2"/>
      <c r="DKT34" s="2"/>
      <c r="DKU34" s="2"/>
      <c r="DKV34" s="2"/>
      <c r="DKW34" s="2"/>
      <c r="DKX34" s="2"/>
      <c r="DKY34" s="2"/>
      <c r="DKZ34" s="2"/>
      <c r="DLA34" s="2"/>
      <c r="DLB34" s="2"/>
      <c r="DLC34" s="2"/>
      <c r="DLD34" s="2"/>
      <c r="DLE34" s="2"/>
      <c r="DLF34" s="2"/>
      <c r="DLG34" s="2"/>
      <c r="DLH34" s="2"/>
      <c r="DLI34" s="2"/>
      <c r="DLJ34" s="2"/>
      <c r="DLK34" s="2"/>
      <c r="DLL34" s="2"/>
      <c r="DLM34" s="2"/>
      <c r="DLN34" s="2"/>
      <c r="DLO34" s="2"/>
      <c r="DLP34" s="2"/>
      <c r="DLQ34" s="2"/>
      <c r="DLR34" s="2"/>
      <c r="DLS34" s="2"/>
      <c r="DLT34" s="2"/>
      <c r="DLU34" s="2"/>
      <c r="DLV34" s="2"/>
      <c r="DLW34" s="2"/>
      <c r="DLX34" s="2"/>
      <c r="DLY34" s="2"/>
      <c r="DLZ34" s="2"/>
      <c r="DMA34" s="2"/>
      <c r="DMB34" s="2"/>
      <c r="DMC34" s="2"/>
      <c r="DMD34" s="2"/>
      <c r="DME34" s="2"/>
      <c r="DMF34" s="2"/>
      <c r="DMG34" s="2"/>
      <c r="DMH34" s="2"/>
      <c r="DMI34" s="2"/>
      <c r="DMJ34" s="2"/>
      <c r="DMK34" s="2"/>
      <c r="DML34" s="2"/>
      <c r="DMM34" s="2"/>
      <c r="DMN34" s="2"/>
      <c r="DMO34" s="2"/>
      <c r="DMP34" s="2"/>
      <c r="DMQ34" s="2"/>
      <c r="DMR34" s="2"/>
      <c r="DMS34" s="2"/>
      <c r="DMT34" s="2"/>
      <c r="DMU34" s="2"/>
      <c r="DMV34" s="2"/>
      <c r="DMW34" s="2"/>
      <c r="DMX34" s="2"/>
      <c r="DMY34" s="2"/>
      <c r="DMZ34" s="2"/>
      <c r="DNA34" s="2"/>
      <c r="DNB34" s="2"/>
      <c r="DNC34" s="2"/>
      <c r="DND34" s="2"/>
      <c r="DNE34" s="2"/>
      <c r="DNF34" s="2"/>
      <c r="DNG34" s="2"/>
      <c r="DNH34" s="2"/>
      <c r="DNI34" s="2"/>
      <c r="DNJ34" s="2"/>
      <c r="DNK34" s="2"/>
      <c r="DNL34" s="2"/>
      <c r="DNM34" s="2"/>
      <c r="DNN34" s="2"/>
      <c r="DNO34" s="2"/>
      <c r="DNP34" s="2"/>
      <c r="DNQ34" s="2"/>
      <c r="DNR34" s="2"/>
      <c r="DNS34" s="2"/>
      <c r="DNT34" s="2"/>
      <c r="DNU34" s="2"/>
      <c r="DNV34" s="2"/>
      <c r="DNW34" s="2"/>
      <c r="DNX34" s="2"/>
      <c r="DNY34" s="2"/>
      <c r="DNZ34" s="2"/>
      <c r="DOA34" s="2"/>
      <c r="DOB34" s="2"/>
      <c r="DOC34" s="2"/>
      <c r="DOD34" s="2"/>
      <c r="DOE34" s="2"/>
      <c r="DOF34" s="2"/>
      <c r="DOG34" s="2"/>
      <c r="DOH34" s="2"/>
      <c r="DOI34" s="2"/>
      <c r="DOJ34" s="2"/>
      <c r="DOK34" s="2"/>
      <c r="DOL34" s="2"/>
      <c r="DOM34" s="2"/>
      <c r="DON34" s="2"/>
      <c r="DOO34" s="2"/>
      <c r="DOP34" s="2"/>
      <c r="DOQ34" s="2"/>
      <c r="DOR34" s="2"/>
      <c r="DOS34" s="2"/>
      <c r="DOT34" s="2"/>
      <c r="DOU34" s="2"/>
      <c r="DOV34" s="2"/>
      <c r="DOW34" s="2"/>
      <c r="DOX34" s="2"/>
      <c r="DOY34" s="2"/>
      <c r="DOZ34" s="2"/>
      <c r="DPA34" s="2"/>
      <c r="DPB34" s="2"/>
      <c r="DPC34" s="2"/>
      <c r="DPD34" s="2"/>
      <c r="DPE34" s="2"/>
      <c r="DPF34" s="2"/>
      <c r="DPG34" s="2"/>
      <c r="DPH34" s="2"/>
      <c r="DPI34" s="2"/>
      <c r="DPJ34" s="2"/>
      <c r="DPK34" s="2"/>
      <c r="DPL34" s="2"/>
      <c r="DPM34" s="2"/>
      <c r="DPN34" s="2"/>
      <c r="DPO34" s="2"/>
      <c r="DPP34" s="2"/>
      <c r="DPQ34" s="2"/>
      <c r="DPR34" s="2"/>
      <c r="DPS34" s="2"/>
      <c r="DPT34" s="2"/>
      <c r="DPU34" s="2"/>
      <c r="DPV34" s="2"/>
      <c r="DPW34" s="2"/>
      <c r="DPX34" s="2"/>
      <c r="DPY34" s="2"/>
      <c r="DPZ34" s="2"/>
      <c r="DQA34" s="2"/>
      <c r="DQB34" s="2"/>
      <c r="DQC34" s="2"/>
      <c r="DQD34" s="2"/>
      <c r="DQE34" s="2"/>
      <c r="DQF34" s="2"/>
      <c r="DQG34" s="2"/>
      <c r="DQH34" s="2"/>
      <c r="DQI34" s="2"/>
      <c r="DQJ34" s="2"/>
      <c r="DQK34" s="2"/>
      <c r="DQL34" s="2"/>
      <c r="DQM34" s="2"/>
      <c r="DQN34" s="2"/>
      <c r="DQO34" s="2"/>
      <c r="DQP34" s="2"/>
      <c r="DQQ34" s="2"/>
      <c r="DQR34" s="2"/>
      <c r="DQS34" s="2"/>
      <c r="DQT34" s="2"/>
      <c r="DQU34" s="2"/>
      <c r="DQV34" s="2"/>
      <c r="DQW34" s="2"/>
      <c r="DQX34" s="2"/>
      <c r="DQY34" s="2"/>
      <c r="DQZ34" s="2"/>
      <c r="DRA34" s="2"/>
      <c r="DRB34" s="2"/>
      <c r="DRC34" s="2"/>
      <c r="DRD34" s="2"/>
      <c r="DRE34" s="2"/>
      <c r="DRF34" s="2"/>
      <c r="DRG34" s="2"/>
      <c r="DRH34" s="2"/>
      <c r="DRI34" s="2"/>
      <c r="DRJ34" s="2"/>
      <c r="DRK34" s="2"/>
      <c r="DRL34" s="2"/>
      <c r="DRM34" s="2"/>
      <c r="DRN34" s="2"/>
      <c r="DRO34" s="2"/>
      <c r="DRP34" s="2"/>
      <c r="DRQ34" s="2"/>
      <c r="DRR34" s="2"/>
      <c r="DRS34" s="2"/>
      <c r="DRT34" s="2"/>
      <c r="DRU34" s="2"/>
      <c r="DRV34" s="2"/>
      <c r="DRW34" s="2"/>
      <c r="DRX34" s="2"/>
      <c r="DRY34" s="2"/>
      <c r="DRZ34" s="2"/>
      <c r="DSA34" s="2"/>
      <c r="DSB34" s="2"/>
      <c r="DSC34" s="2"/>
      <c r="DSD34" s="2"/>
      <c r="DSE34" s="2"/>
      <c r="DSF34" s="2"/>
      <c r="DSG34" s="2"/>
      <c r="DSH34" s="2"/>
      <c r="DSI34" s="2"/>
      <c r="DSJ34" s="2"/>
      <c r="DSK34" s="2"/>
      <c r="DSL34" s="2"/>
      <c r="DSM34" s="2"/>
      <c r="DSN34" s="2"/>
      <c r="DSO34" s="2"/>
      <c r="DSP34" s="2"/>
      <c r="DSQ34" s="2"/>
      <c r="DSR34" s="2"/>
      <c r="DSS34" s="2"/>
      <c r="DST34" s="2"/>
      <c r="DSU34" s="2"/>
      <c r="DSV34" s="2"/>
      <c r="DSW34" s="2"/>
      <c r="DSX34" s="2"/>
      <c r="DSY34" s="2"/>
      <c r="DSZ34" s="2"/>
      <c r="DTA34" s="2"/>
      <c r="DTB34" s="2"/>
      <c r="DTC34" s="2"/>
      <c r="DTD34" s="2"/>
      <c r="DTE34" s="2"/>
      <c r="DTF34" s="2"/>
      <c r="DTG34" s="2"/>
      <c r="DTH34" s="2"/>
      <c r="DTI34" s="2"/>
      <c r="DTJ34" s="2"/>
      <c r="DTK34" s="2"/>
      <c r="DTL34" s="2"/>
      <c r="DTM34" s="2"/>
      <c r="DTN34" s="2"/>
      <c r="DTO34" s="2"/>
      <c r="DTP34" s="2"/>
      <c r="DTQ34" s="2"/>
      <c r="DTR34" s="2"/>
      <c r="DTS34" s="2"/>
      <c r="DTT34" s="2"/>
      <c r="DTU34" s="2"/>
      <c r="DTV34" s="2"/>
      <c r="DTW34" s="2"/>
      <c r="DTX34" s="2"/>
      <c r="DTY34" s="2"/>
      <c r="DTZ34" s="2"/>
      <c r="DUA34" s="2"/>
      <c r="DUB34" s="2"/>
      <c r="DUC34" s="2"/>
      <c r="DUD34" s="2"/>
      <c r="DUE34" s="2"/>
      <c r="DUF34" s="2"/>
      <c r="DUG34" s="2"/>
      <c r="DUH34" s="2"/>
      <c r="DUI34" s="2"/>
      <c r="DUJ34" s="2"/>
      <c r="DUK34" s="2"/>
      <c r="DUL34" s="2"/>
      <c r="DUM34" s="2"/>
      <c r="DUN34" s="2"/>
      <c r="DUO34" s="2"/>
      <c r="DUP34" s="2"/>
      <c r="DUQ34" s="2"/>
      <c r="DUR34" s="2"/>
      <c r="DUS34" s="2"/>
      <c r="DUT34" s="2"/>
      <c r="DUU34" s="2"/>
      <c r="DUV34" s="2"/>
      <c r="DUW34" s="2"/>
      <c r="DUX34" s="2"/>
      <c r="DUY34" s="2"/>
      <c r="DUZ34" s="2"/>
      <c r="DVA34" s="2"/>
      <c r="DVB34" s="2"/>
      <c r="DVC34" s="2"/>
      <c r="DVD34" s="2"/>
      <c r="DVE34" s="2"/>
      <c r="DVF34" s="2"/>
      <c r="DVG34" s="2"/>
      <c r="DVH34" s="2"/>
      <c r="DVI34" s="2"/>
      <c r="DVJ34" s="2"/>
      <c r="DVK34" s="2"/>
      <c r="DVL34" s="2"/>
      <c r="DVM34" s="2"/>
      <c r="DVN34" s="2"/>
      <c r="DVO34" s="2"/>
      <c r="DVP34" s="2"/>
      <c r="DVQ34" s="2"/>
      <c r="DVR34" s="2"/>
      <c r="DVS34" s="2"/>
      <c r="DVT34" s="2"/>
      <c r="DVU34" s="2"/>
      <c r="DVV34" s="2"/>
      <c r="DVW34" s="2"/>
      <c r="DVX34" s="2"/>
      <c r="DVY34" s="2"/>
      <c r="DVZ34" s="2"/>
      <c r="DWA34" s="2"/>
      <c r="DWB34" s="2"/>
      <c r="DWC34" s="2"/>
      <c r="DWD34" s="2"/>
      <c r="DWE34" s="2"/>
      <c r="DWF34" s="2"/>
      <c r="DWG34" s="2"/>
      <c r="DWH34" s="2"/>
      <c r="DWI34" s="2"/>
      <c r="DWJ34" s="2"/>
      <c r="DWK34" s="2"/>
      <c r="DWL34" s="2"/>
      <c r="DWM34" s="2"/>
      <c r="DWN34" s="2"/>
      <c r="DWO34" s="2"/>
      <c r="DWP34" s="2"/>
      <c r="DWQ34" s="2"/>
      <c r="DWR34" s="2"/>
      <c r="DWS34" s="2"/>
      <c r="DWT34" s="2"/>
      <c r="DWU34" s="2"/>
      <c r="DWV34" s="2"/>
      <c r="DWW34" s="2"/>
      <c r="DWX34" s="2"/>
      <c r="DWY34" s="2"/>
      <c r="DWZ34" s="2"/>
      <c r="DXA34" s="2"/>
      <c r="DXB34" s="2"/>
      <c r="DXC34" s="2"/>
      <c r="DXD34" s="2"/>
      <c r="DXE34" s="2"/>
      <c r="DXF34" s="2"/>
      <c r="DXG34" s="2"/>
      <c r="DXH34" s="2"/>
      <c r="DXI34" s="2"/>
      <c r="DXJ34" s="2"/>
      <c r="DXK34" s="2"/>
      <c r="DXL34" s="2"/>
      <c r="DXM34" s="2"/>
      <c r="DXN34" s="2"/>
      <c r="DXO34" s="2"/>
      <c r="DXP34" s="2"/>
      <c r="DXQ34" s="2"/>
      <c r="DXR34" s="2"/>
      <c r="DXS34" s="2"/>
      <c r="DXT34" s="2"/>
      <c r="DXU34" s="2"/>
      <c r="DXV34" s="2"/>
      <c r="DXW34" s="2"/>
      <c r="DXX34" s="2"/>
      <c r="DXY34" s="2"/>
      <c r="DXZ34" s="2"/>
      <c r="DYA34" s="2"/>
      <c r="DYB34" s="2"/>
      <c r="DYC34" s="2"/>
      <c r="DYD34" s="2"/>
      <c r="DYE34" s="2"/>
      <c r="DYF34" s="2"/>
      <c r="DYG34" s="2"/>
      <c r="DYH34" s="2"/>
      <c r="DYI34" s="2"/>
      <c r="DYJ34" s="2"/>
      <c r="DYK34" s="2"/>
      <c r="DYL34" s="2"/>
      <c r="DYM34" s="2"/>
      <c r="DYN34" s="2"/>
      <c r="DYO34" s="2"/>
      <c r="DYP34" s="2"/>
      <c r="DYQ34" s="2"/>
      <c r="DYR34" s="2"/>
      <c r="DYS34" s="2"/>
      <c r="DYT34" s="2"/>
      <c r="DYU34" s="2"/>
      <c r="DYV34" s="2"/>
      <c r="DYW34" s="2"/>
      <c r="DYX34" s="2"/>
      <c r="DYY34" s="2"/>
      <c r="DYZ34" s="2"/>
      <c r="DZA34" s="2"/>
      <c r="DZB34" s="2"/>
      <c r="DZC34" s="2"/>
      <c r="DZD34" s="2"/>
      <c r="DZE34" s="2"/>
      <c r="DZF34" s="2"/>
      <c r="DZG34" s="2"/>
      <c r="DZH34" s="2"/>
      <c r="DZI34" s="2"/>
      <c r="DZJ34" s="2"/>
      <c r="DZK34" s="2"/>
      <c r="DZL34" s="2"/>
      <c r="DZM34" s="2"/>
      <c r="DZN34" s="2"/>
      <c r="DZO34" s="2"/>
      <c r="DZP34" s="2"/>
      <c r="DZQ34" s="2"/>
      <c r="DZR34" s="2"/>
      <c r="DZS34" s="2"/>
      <c r="DZT34" s="2"/>
      <c r="DZU34" s="2"/>
      <c r="DZV34" s="2"/>
      <c r="DZW34" s="2"/>
      <c r="DZX34" s="2"/>
      <c r="DZY34" s="2"/>
      <c r="DZZ34" s="2"/>
      <c r="EAA34" s="2"/>
      <c r="EAB34" s="2"/>
      <c r="EAC34" s="2"/>
      <c r="EAD34" s="2"/>
      <c r="EAE34" s="2"/>
      <c r="EAF34" s="2"/>
      <c r="EAG34" s="2"/>
      <c r="EAH34" s="2"/>
      <c r="EAI34" s="2"/>
      <c r="EAJ34" s="2"/>
      <c r="EAK34" s="2"/>
      <c r="EAL34" s="2"/>
      <c r="EAM34" s="2"/>
      <c r="EAN34" s="2"/>
      <c r="EAO34" s="2"/>
      <c r="EAP34" s="2"/>
      <c r="EAQ34" s="2"/>
      <c r="EAR34" s="2"/>
      <c r="EAS34" s="2"/>
      <c r="EAT34" s="2"/>
      <c r="EAU34" s="2"/>
      <c r="EAV34" s="2"/>
      <c r="EAW34" s="2"/>
      <c r="EAX34" s="2"/>
      <c r="EAY34" s="2"/>
      <c r="EAZ34" s="2"/>
      <c r="EBA34" s="2"/>
      <c r="EBB34" s="2"/>
      <c r="EBC34" s="2"/>
      <c r="EBD34" s="2"/>
      <c r="EBE34" s="2"/>
      <c r="EBF34" s="2"/>
      <c r="EBG34" s="2"/>
      <c r="EBH34" s="2"/>
      <c r="EBI34" s="2"/>
      <c r="EBJ34" s="2"/>
      <c r="EBK34" s="2"/>
      <c r="EBL34" s="2"/>
      <c r="EBM34" s="2"/>
      <c r="EBN34" s="2"/>
      <c r="EBO34" s="2"/>
      <c r="EBP34" s="2"/>
      <c r="EBQ34" s="2"/>
      <c r="EBR34" s="2"/>
      <c r="EBS34" s="2"/>
      <c r="EBT34" s="2"/>
      <c r="EBU34" s="2"/>
      <c r="EBV34" s="2"/>
      <c r="EBW34" s="2"/>
      <c r="EBX34" s="2"/>
      <c r="EBY34" s="2"/>
      <c r="EBZ34" s="2"/>
      <c r="ECA34" s="2"/>
      <c r="ECB34" s="2"/>
      <c r="ECC34" s="2"/>
      <c r="ECD34" s="2"/>
      <c r="ECE34" s="2"/>
      <c r="ECF34" s="2"/>
      <c r="ECG34" s="2"/>
      <c r="ECH34" s="2"/>
      <c r="ECI34" s="2"/>
      <c r="ECJ34" s="2"/>
      <c r="ECK34" s="2"/>
      <c r="ECL34" s="2"/>
      <c r="ECM34" s="2"/>
      <c r="ECN34" s="2"/>
      <c r="ECO34" s="2"/>
      <c r="ECP34" s="2"/>
      <c r="ECQ34" s="2"/>
      <c r="ECR34" s="2"/>
      <c r="ECS34" s="2"/>
      <c r="ECT34" s="2"/>
      <c r="ECU34" s="2"/>
      <c r="ECV34" s="2"/>
      <c r="ECW34" s="2"/>
      <c r="ECX34" s="2"/>
      <c r="ECY34" s="2"/>
      <c r="ECZ34" s="2"/>
      <c r="EDA34" s="2"/>
      <c r="EDB34" s="2"/>
      <c r="EDC34" s="2"/>
      <c r="EDD34" s="2"/>
      <c r="EDE34" s="2"/>
      <c r="EDF34" s="2"/>
      <c r="EDG34" s="2"/>
      <c r="EDH34" s="2"/>
      <c r="EDI34" s="2"/>
      <c r="EDJ34" s="2"/>
      <c r="EDK34" s="2"/>
      <c r="EDL34" s="2"/>
      <c r="EDM34" s="2"/>
      <c r="EDN34" s="2"/>
      <c r="EDO34" s="2"/>
      <c r="EDP34" s="2"/>
      <c r="EDQ34" s="2"/>
      <c r="EDR34" s="2"/>
      <c r="EDS34" s="2"/>
      <c r="EDT34" s="2"/>
      <c r="EDU34" s="2"/>
      <c r="EDV34" s="2"/>
      <c r="EDW34" s="2"/>
      <c r="EDX34" s="2"/>
      <c r="EDY34" s="2"/>
      <c r="EDZ34" s="2"/>
      <c r="EEA34" s="2"/>
      <c r="EEB34" s="2"/>
      <c r="EEC34" s="2"/>
      <c r="EED34" s="2"/>
      <c r="EEE34" s="2"/>
      <c r="EEF34" s="2"/>
      <c r="EEG34" s="2"/>
      <c r="EEH34" s="2"/>
      <c r="EEI34" s="2"/>
      <c r="EEJ34" s="2"/>
      <c r="EEK34" s="2"/>
      <c r="EEL34" s="2"/>
      <c r="EEM34" s="2"/>
      <c r="EEN34" s="2"/>
      <c r="EEO34" s="2"/>
      <c r="EEP34" s="2"/>
      <c r="EEQ34" s="2"/>
      <c r="EER34" s="2"/>
      <c r="EES34" s="2"/>
      <c r="EET34" s="2"/>
      <c r="EEU34" s="2"/>
      <c r="EEV34" s="2"/>
      <c r="EEW34" s="2"/>
      <c r="EEX34" s="2"/>
      <c r="EEY34" s="2"/>
      <c r="EEZ34" s="2"/>
      <c r="EFA34" s="2"/>
      <c r="EFB34" s="2"/>
      <c r="EFC34" s="2"/>
      <c r="EFD34" s="2"/>
      <c r="EFE34" s="2"/>
      <c r="EFF34" s="2"/>
      <c r="EFG34" s="2"/>
      <c r="EFH34" s="2"/>
      <c r="EFI34" s="2"/>
      <c r="EFJ34" s="2"/>
      <c r="EFK34" s="2"/>
      <c r="EFL34" s="2"/>
      <c r="EFM34" s="2"/>
      <c r="EFN34" s="2"/>
      <c r="EFO34" s="2"/>
      <c r="EFP34" s="2"/>
      <c r="EFQ34" s="2"/>
      <c r="EFR34" s="2"/>
      <c r="EFS34" s="2"/>
      <c r="EFT34" s="2"/>
      <c r="EFU34" s="2"/>
      <c r="EFV34" s="2"/>
      <c r="EFW34" s="2"/>
      <c r="EFX34" s="2"/>
      <c r="EFY34" s="2"/>
      <c r="EFZ34" s="2"/>
      <c r="EGA34" s="2"/>
      <c r="EGB34" s="2"/>
      <c r="EGC34" s="2"/>
      <c r="EGD34" s="2"/>
      <c r="EGE34" s="2"/>
      <c r="EGF34" s="2"/>
      <c r="EGG34" s="2"/>
      <c r="EGH34" s="2"/>
      <c r="EGI34" s="2"/>
      <c r="EGJ34" s="2"/>
      <c r="EGK34" s="2"/>
      <c r="EGL34" s="2"/>
      <c r="EGM34" s="2"/>
      <c r="EGN34" s="2"/>
      <c r="EGO34" s="2"/>
      <c r="EGP34" s="2"/>
      <c r="EGQ34" s="2"/>
      <c r="EGR34" s="2"/>
      <c r="EGS34" s="2"/>
      <c r="EGT34" s="2"/>
      <c r="EGU34" s="2"/>
      <c r="EGV34" s="2"/>
      <c r="EGW34" s="2"/>
      <c r="EGX34" s="2"/>
      <c r="EGY34" s="2"/>
      <c r="EGZ34" s="2"/>
      <c r="EHA34" s="2"/>
      <c r="EHB34" s="2"/>
      <c r="EHC34" s="2"/>
      <c r="EHD34" s="2"/>
      <c r="EHE34" s="2"/>
      <c r="EHF34" s="2"/>
      <c r="EHG34" s="2"/>
      <c r="EHH34" s="2"/>
      <c r="EHI34" s="2"/>
      <c r="EHJ34" s="2"/>
      <c r="EHK34" s="2"/>
      <c r="EHL34" s="2"/>
      <c r="EHM34" s="2"/>
      <c r="EHN34" s="2"/>
      <c r="EHO34" s="2"/>
      <c r="EHP34" s="2"/>
      <c r="EHQ34" s="2"/>
      <c r="EHR34" s="2"/>
      <c r="EHS34" s="2"/>
      <c r="EHT34" s="2"/>
      <c r="EHU34" s="2"/>
      <c r="EHV34" s="2"/>
      <c r="EHW34" s="2"/>
      <c r="EHX34" s="2"/>
      <c r="EHY34" s="2"/>
      <c r="EHZ34" s="2"/>
      <c r="EIA34" s="2"/>
      <c r="EIB34" s="2"/>
      <c r="EIC34" s="2"/>
      <c r="EID34" s="2"/>
      <c r="EIE34" s="2"/>
      <c r="EIF34" s="2"/>
      <c r="EIG34" s="2"/>
      <c r="EIH34" s="2"/>
      <c r="EII34" s="2"/>
      <c r="EIJ34" s="2"/>
      <c r="EIK34" s="2"/>
      <c r="EIL34" s="2"/>
      <c r="EIM34" s="2"/>
      <c r="EIN34" s="2"/>
      <c r="EIO34" s="2"/>
      <c r="EIP34" s="2"/>
      <c r="EIQ34" s="2"/>
      <c r="EIR34" s="2"/>
      <c r="EIS34" s="2"/>
      <c r="EIT34" s="2"/>
      <c r="EIU34" s="2"/>
      <c r="EIV34" s="2"/>
      <c r="EIW34" s="2"/>
      <c r="EIX34" s="2"/>
      <c r="EIY34" s="2"/>
      <c r="EIZ34" s="2"/>
      <c r="EJA34" s="2"/>
      <c r="EJB34" s="2"/>
      <c r="EJC34" s="2"/>
      <c r="EJD34" s="2"/>
      <c r="EJE34" s="2"/>
      <c r="EJF34" s="2"/>
      <c r="EJG34" s="2"/>
      <c r="EJH34" s="2"/>
      <c r="EJI34" s="2"/>
      <c r="EJJ34" s="2"/>
      <c r="EJK34" s="2"/>
      <c r="EJL34" s="2"/>
      <c r="EJM34" s="2"/>
      <c r="EJN34" s="2"/>
      <c r="EJO34" s="2"/>
      <c r="EJP34" s="2"/>
      <c r="EJQ34" s="2"/>
      <c r="EJR34" s="2"/>
      <c r="EJS34" s="2"/>
      <c r="EJT34" s="2"/>
      <c r="EJU34" s="2"/>
      <c r="EJV34" s="2"/>
      <c r="EJW34" s="2"/>
      <c r="EJX34" s="2"/>
      <c r="EJY34" s="2"/>
      <c r="EJZ34" s="2"/>
      <c r="EKA34" s="2"/>
      <c r="EKB34" s="2"/>
      <c r="EKC34" s="2"/>
      <c r="EKD34" s="2"/>
      <c r="EKE34" s="2"/>
      <c r="EKF34" s="2"/>
      <c r="EKG34" s="2"/>
      <c r="EKH34" s="2"/>
      <c r="EKI34" s="2"/>
      <c r="EKJ34" s="2"/>
      <c r="EKK34" s="2"/>
      <c r="EKL34" s="2"/>
      <c r="EKM34" s="2"/>
      <c r="EKN34" s="2"/>
      <c r="EKO34" s="2"/>
      <c r="EKP34" s="2"/>
      <c r="EKQ34" s="2"/>
      <c r="EKR34" s="2"/>
      <c r="EKS34" s="2"/>
      <c r="EKT34" s="2"/>
      <c r="EKU34" s="2"/>
      <c r="EKV34" s="2"/>
      <c r="EKW34" s="2"/>
      <c r="EKX34" s="2"/>
      <c r="EKY34" s="2"/>
      <c r="EKZ34" s="2"/>
      <c r="ELA34" s="2"/>
      <c r="ELB34" s="2"/>
      <c r="ELC34" s="2"/>
      <c r="ELD34" s="2"/>
      <c r="ELE34" s="2"/>
      <c r="ELF34" s="2"/>
      <c r="ELG34" s="2"/>
      <c r="ELH34" s="2"/>
      <c r="ELI34" s="2"/>
      <c r="ELJ34" s="2"/>
      <c r="ELK34" s="2"/>
      <c r="ELL34" s="2"/>
      <c r="ELM34" s="2"/>
      <c r="ELN34" s="2"/>
      <c r="ELO34" s="2"/>
      <c r="ELP34" s="2"/>
      <c r="ELQ34" s="2"/>
      <c r="ELR34" s="2"/>
      <c r="ELS34" s="2"/>
      <c r="ELT34" s="2"/>
      <c r="ELU34" s="2"/>
      <c r="ELV34" s="2"/>
      <c r="ELW34" s="2"/>
      <c r="ELX34" s="2"/>
      <c r="ELY34" s="2"/>
      <c r="ELZ34" s="2"/>
      <c r="EMA34" s="2"/>
      <c r="EMB34" s="2"/>
      <c r="EMC34" s="2"/>
      <c r="EMD34" s="2"/>
      <c r="EME34" s="2"/>
      <c r="EMF34" s="2"/>
      <c r="EMG34" s="2"/>
      <c r="EMH34" s="2"/>
      <c r="EMI34" s="2"/>
      <c r="EMJ34" s="2"/>
      <c r="EMK34" s="2"/>
      <c r="EML34" s="2"/>
      <c r="EMM34" s="2"/>
      <c r="EMN34" s="2"/>
      <c r="EMO34" s="2"/>
      <c r="EMP34" s="2"/>
      <c r="EMQ34" s="2"/>
      <c r="EMR34" s="2"/>
      <c r="EMS34" s="2"/>
      <c r="EMT34" s="2"/>
      <c r="EMU34" s="2"/>
      <c r="EMV34" s="2"/>
      <c r="EMW34" s="2"/>
      <c r="EMX34" s="2"/>
      <c r="EMY34" s="2"/>
      <c r="EMZ34" s="2"/>
      <c r="ENA34" s="2"/>
      <c r="ENB34" s="2"/>
      <c r="ENC34" s="2"/>
      <c r="END34" s="2"/>
      <c r="ENE34" s="2"/>
      <c r="ENF34" s="2"/>
      <c r="ENG34" s="2"/>
      <c r="ENH34" s="2"/>
      <c r="ENI34" s="2"/>
      <c r="ENJ34" s="2"/>
      <c r="ENK34" s="2"/>
      <c r="ENL34" s="2"/>
      <c r="ENM34" s="2"/>
      <c r="ENN34" s="2"/>
      <c r="ENO34" s="2"/>
      <c r="ENP34" s="2"/>
      <c r="ENQ34" s="2"/>
      <c r="ENR34" s="2"/>
      <c r="ENS34" s="2"/>
      <c r="ENT34" s="2"/>
      <c r="ENU34" s="2"/>
      <c r="ENV34" s="2"/>
      <c r="ENW34" s="2"/>
      <c r="ENX34" s="2"/>
      <c r="ENY34" s="2"/>
      <c r="ENZ34" s="2"/>
      <c r="EOA34" s="2"/>
      <c r="EOB34" s="2"/>
      <c r="EOC34" s="2"/>
      <c r="EOD34" s="2"/>
      <c r="EOE34" s="2"/>
      <c r="EOF34" s="2"/>
      <c r="EOG34" s="2"/>
      <c r="EOH34" s="2"/>
      <c r="EOI34" s="2"/>
      <c r="EOJ34" s="2"/>
      <c r="EOK34" s="2"/>
      <c r="EOL34" s="2"/>
      <c r="EOM34" s="2"/>
      <c r="EON34" s="2"/>
      <c r="EOO34" s="2"/>
      <c r="EOP34" s="2"/>
      <c r="EOQ34" s="2"/>
      <c r="EOR34" s="2"/>
      <c r="EOS34" s="2"/>
      <c r="EOT34" s="2"/>
      <c r="EOU34" s="2"/>
      <c r="EOV34" s="2"/>
      <c r="EOW34" s="2"/>
      <c r="EOX34" s="2"/>
      <c r="EOY34" s="2"/>
      <c r="EOZ34" s="2"/>
      <c r="EPA34" s="2"/>
      <c r="EPB34" s="2"/>
      <c r="EPC34" s="2"/>
      <c r="EPD34" s="2"/>
      <c r="EPE34" s="2"/>
      <c r="EPF34" s="2"/>
      <c r="EPG34" s="2"/>
      <c r="EPH34" s="2"/>
      <c r="EPI34" s="2"/>
      <c r="EPJ34" s="2"/>
      <c r="EPK34" s="2"/>
      <c r="EPL34" s="2"/>
      <c r="EPM34" s="2"/>
      <c r="EPN34" s="2"/>
      <c r="EPO34" s="2"/>
      <c r="EPP34" s="2"/>
      <c r="EPQ34" s="2"/>
      <c r="EPR34" s="2"/>
      <c r="EPS34" s="2"/>
      <c r="EPT34" s="2"/>
      <c r="EPU34" s="2"/>
      <c r="EPV34" s="2"/>
      <c r="EPW34" s="2"/>
      <c r="EPX34" s="2"/>
      <c r="EPY34" s="2"/>
      <c r="EPZ34" s="2"/>
      <c r="EQA34" s="2"/>
      <c r="EQB34" s="2"/>
      <c r="EQC34" s="2"/>
      <c r="EQD34" s="2"/>
      <c r="EQE34" s="2"/>
      <c r="EQF34" s="2"/>
      <c r="EQG34" s="2"/>
      <c r="EQH34" s="2"/>
      <c r="EQI34" s="2"/>
      <c r="EQJ34" s="2"/>
      <c r="EQK34" s="2"/>
      <c r="EQL34" s="2"/>
      <c r="EQM34" s="2"/>
      <c r="EQN34" s="2"/>
      <c r="EQO34" s="2"/>
      <c r="EQP34" s="2"/>
      <c r="EQQ34" s="2"/>
      <c r="EQR34" s="2"/>
      <c r="EQS34" s="2"/>
      <c r="EQT34" s="2"/>
      <c r="EQU34" s="2"/>
      <c r="EQV34" s="2"/>
      <c r="EQW34" s="2"/>
      <c r="EQX34" s="2"/>
      <c r="EQY34" s="2"/>
      <c r="EQZ34" s="2"/>
      <c r="ERA34" s="2"/>
      <c r="ERB34" s="2"/>
      <c r="ERC34" s="2"/>
      <c r="ERD34" s="2"/>
      <c r="ERE34" s="2"/>
      <c r="ERF34" s="2"/>
      <c r="ERG34" s="2"/>
      <c r="ERH34" s="2"/>
      <c r="ERI34" s="2"/>
      <c r="ERJ34" s="2"/>
      <c r="ERK34" s="2"/>
      <c r="ERL34" s="2"/>
      <c r="ERM34" s="2"/>
      <c r="ERN34" s="2"/>
      <c r="ERO34" s="2"/>
      <c r="ERP34" s="2"/>
      <c r="ERQ34" s="2"/>
      <c r="ERR34" s="2"/>
      <c r="ERS34" s="2"/>
      <c r="ERT34" s="2"/>
      <c r="ERU34" s="2"/>
      <c r="ERV34" s="2"/>
      <c r="ERW34" s="2"/>
      <c r="ERX34" s="2"/>
      <c r="ERY34" s="2"/>
      <c r="ERZ34" s="2"/>
      <c r="ESA34" s="2"/>
      <c r="ESB34" s="2"/>
      <c r="ESC34" s="2"/>
      <c r="ESD34" s="2"/>
      <c r="ESE34" s="2"/>
      <c r="ESF34" s="2"/>
      <c r="ESG34" s="2"/>
      <c r="ESH34" s="2"/>
      <c r="ESI34" s="2"/>
      <c r="ESJ34" s="2"/>
      <c r="ESK34" s="2"/>
      <c r="ESL34" s="2"/>
      <c r="ESM34" s="2"/>
      <c r="ESN34" s="2"/>
      <c r="ESO34" s="2"/>
      <c r="ESP34" s="2"/>
      <c r="ESQ34" s="2"/>
      <c r="ESR34" s="2"/>
      <c r="ESS34" s="2"/>
      <c r="EST34" s="2"/>
      <c r="ESU34" s="2"/>
      <c r="ESV34" s="2"/>
      <c r="ESW34" s="2"/>
      <c r="ESX34" s="2"/>
      <c r="ESY34" s="2"/>
      <c r="ESZ34" s="2"/>
      <c r="ETA34" s="2"/>
      <c r="ETB34" s="2"/>
      <c r="ETC34" s="2"/>
      <c r="ETD34" s="2"/>
      <c r="ETE34" s="2"/>
      <c r="ETF34" s="2"/>
      <c r="ETG34" s="2"/>
      <c r="ETH34" s="2"/>
      <c r="ETI34" s="2"/>
      <c r="ETJ34" s="2"/>
      <c r="ETK34" s="2"/>
      <c r="ETL34" s="2"/>
      <c r="ETM34" s="2"/>
      <c r="ETN34" s="2"/>
      <c r="ETO34" s="2"/>
      <c r="ETP34" s="2"/>
      <c r="ETQ34" s="2"/>
      <c r="ETR34" s="2"/>
      <c r="ETS34" s="2"/>
      <c r="ETT34" s="2"/>
      <c r="ETU34" s="2"/>
      <c r="ETV34" s="2"/>
      <c r="ETW34" s="2"/>
      <c r="ETX34" s="2"/>
      <c r="ETY34" s="2"/>
      <c r="ETZ34" s="2"/>
      <c r="EUA34" s="2"/>
      <c r="EUB34" s="2"/>
      <c r="EUC34" s="2"/>
      <c r="EUD34" s="2"/>
      <c r="EUE34" s="2"/>
      <c r="EUF34" s="2"/>
      <c r="EUG34" s="2"/>
      <c r="EUH34" s="2"/>
      <c r="EUI34" s="2"/>
      <c r="EUJ34" s="2"/>
      <c r="EUK34" s="2"/>
      <c r="EUL34" s="2"/>
      <c r="EUM34" s="2"/>
      <c r="EUN34" s="2"/>
      <c r="EUO34" s="2"/>
      <c r="EUP34" s="2"/>
      <c r="EUQ34" s="2"/>
      <c r="EUR34" s="2"/>
      <c r="EUS34" s="2"/>
      <c r="EUT34" s="2"/>
      <c r="EUU34" s="2"/>
      <c r="EUV34" s="2"/>
      <c r="EUW34" s="2"/>
      <c r="EUX34" s="2"/>
      <c r="EUY34" s="2"/>
      <c r="EUZ34" s="2"/>
      <c r="EVA34" s="2"/>
      <c r="EVB34" s="2"/>
      <c r="EVC34" s="2"/>
      <c r="EVD34" s="2"/>
      <c r="EVE34" s="2"/>
      <c r="EVF34" s="2"/>
      <c r="EVG34" s="2"/>
      <c r="EVH34" s="2"/>
      <c r="EVI34" s="2"/>
      <c r="EVJ34" s="2"/>
      <c r="EVK34" s="2"/>
      <c r="EVL34" s="2"/>
      <c r="EVM34" s="2"/>
      <c r="EVN34" s="2"/>
      <c r="EVO34" s="2"/>
      <c r="EVP34" s="2"/>
      <c r="EVQ34" s="2"/>
      <c r="EVR34" s="2"/>
      <c r="EVS34" s="2"/>
      <c r="EVT34" s="2"/>
      <c r="EVU34" s="2"/>
      <c r="EVV34" s="2"/>
      <c r="EVW34" s="2"/>
      <c r="EVX34" s="2"/>
      <c r="EVY34" s="2"/>
      <c r="EVZ34" s="2"/>
      <c r="EWA34" s="2"/>
      <c r="EWB34" s="2"/>
      <c r="EWC34" s="2"/>
      <c r="EWD34" s="2"/>
      <c r="EWE34" s="2"/>
      <c r="EWF34" s="2"/>
      <c r="EWG34" s="2"/>
      <c r="EWH34" s="2"/>
      <c r="EWI34" s="2"/>
      <c r="EWJ34" s="2"/>
      <c r="EWK34" s="2"/>
      <c r="EWL34" s="2"/>
      <c r="EWM34" s="2"/>
      <c r="EWN34" s="2"/>
      <c r="EWO34" s="2"/>
      <c r="EWP34" s="2"/>
      <c r="EWQ34" s="2"/>
      <c r="EWR34" s="2"/>
      <c r="EWS34" s="2"/>
      <c r="EWT34" s="2"/>
      <c r="EWU34" s="2"/>
      <c r="EWV34" s="2"/>
      <c r="EWW34" s="2"/>
      <c r="EWX34" s="2"/>
      <c r="EWY34" s="2"/>
      <c r="EWZ34" s="2"/>
      <c r="EXA34" s="2"/>
      <c r="EXB34" s="2"/>
      <c r="EXC34" s="2"/>
      <c r="EXD34" s="2"/>
      <c r="EXE34" s="2"/>
      <c r="EXF34" s="2"/>
      <c r="EXG34" s="2"/>
      <c r="EXH34" s="2"/>
      <c r="EXI34" s="2"/>
      <c r="EXJ34" s="2"/>
      <c r="EXK34" s="2"/>
      <c r="EXL34" s="2"/>
      <c r="EXM34" s="2"/>
      <c r="EXN34" s="2"/>
      <c r="EXO34" s="2"/>
      <c r="EXP34" s="2"/>
      <c r="EXQ34" s="2"/>
      <c r="EXR34" s="2"/>
      <c r="EXS34" s="2"/>
      <c r="EXT34" s="2"/>
      <c r="EXU34" s="2"/>
      <c r="EXV34" s="2"/>
      <c r="EXW34" s="2"/>
      <c r="EXX34" s="2"/>
      <c r="EXY34" s="2"/>
      <c r="EXZ34" s="2"/>
      <c r="EYA34" s="2"/>
      <c r="EYB34" s="2"/>
      <c r="EYC34" s="2"/>
      <c r="EYD34" s="2"/>
      <c r="EYE34" s="2"/>
      <c r="EYF34" s="2"/>
      <c r="EYG34" s="2"/>
      <c r="EYH34" s="2"/>
      <c r="EYI34" s="2"/>
      <c r="EYJ34" s="2"/>
      <c r="EYK34" s="2"/>
      <c r="EYL34" s="2"/>
      <c r="EYM34" s="2"/>
      <c r="EYN34" s="2"/>
      <c r="EYO34" s="2"/>
      <c r="EYP34" s="2"/>
      <c r="EYQ34" s="2"/>
      <c r="EYR34" s="2"/>
      <c r="EYS34" s="2"/>
      <c r="EYT34" s="2"/>
      <c r="EYU34" s="2"/>
      <c r="EYV34" s="2"/>
      <c r="EYW34" s="2"/>
      <c r="EYX34" s="2"/>
      <c r="EYY34" s="2"/>
      <c r="EYZ34" s="2"/>
      <c r="EZA34" s="2"/>
      <c r="EZB34" s="2"/>
      <c r="EZC34" s="2"/>
      <c r="EZD34" s="2"/>
      <c r="EZE34" s="2"/>
      <c r="EZF34" s="2"/>
      <c r="EZG34" s="2"/>
      <c r="EZH34" s="2"/>
      <c r="EZI34" s="2"/>
      <c r="EZJ34" s="2"/>
      <c r="EZK34" s="2"/>
      <c r="EZL34" s="2"/>
      <c r="EZM34" s="2"/>
      <c r="EZN34" s="2"/>
      <c r="EZO34" s="2"/>
      <c r="EZP34" s="2"/>
      <c r="EZQ34" s="2"/>
      <c r="EZR34" s="2"/>
      <c r="EZS34" s="2"/>
      <c r="EZT34" s="2"/>
      <c r="EZU34" s="2"/>
      <c r="EZV34" s="2"/>
      <c r="EZW34" s="2"/>
      <c r="EZX34" s="2"/>
      <c r="EZY34" s="2"/>
      <c r="EZZ34" s="2"/>
      <c r="FAA34" s="2"/>
      <c r="FAB34" s="2"/>
      <c r="FAC34" s="2"/>
      <c r="FAD34" s="2"/>
      <c r="FAE34" s="2"/>
      <c r="FAF34" s="2"/>
      <c r="FAG34" s="2"/>
      <c r="FAH34" s="2"/>
      <c r="FAI34" s="2"/>
      <c r="FAJ34" s="2"/>
      <c r="FAK34" s="2"/>
      <c r="FAL34" s="2"/>
      <c r="FAM34" s="2"/>
      <c r="FAN34" s="2"/>
      <c r="FAO34" s="2"/>
      <c r="FAP34" s="2"/>
      <c r="FAQ34" s="2"/>
      <c r="FAR34" s="2"/>
      <c r="FAS34" s="2"/>
      <c r="FAT34" s="2"/>
      <c r="FAU34" s="2"/>
      <c r="FAV34" s="2"/>
      <c r="FAW34" s="2"/>
      <c r="FAX34" s="2"/>
      <c r="FAY34" s="2"/>
      <c r="FAZ34" s="2"/>
      <c r="FBA34" s="2"/>
      <c r="FBB34" s="2"/>
      <c r="FBC34" s="2"/>
      <c r="FBD34" s="2"/>
      <c r="FBE34" s="2"/>
      <c r="FBF34" s="2"/>
      <c r="FBG34" s="2"/>
      <c r="FBH34" s="2"/>
      <c r="FBI34" s="2"/>
      <c r="FBJ34" s="2"/>
      <c r="FBK34" s="2"/>
      <c r="FBL34" s="2"/>
      <c r="FBM34" s="2"/>
      <c r="FBN34" s="2"/>
      <c r="FBO34" s="2"/>
      <c r="FBP34" s="2"/>
      <c r="FBQ34" s="2"/>
      <c r="FBR34" s="2"/>
      <c r="FBS34" s="2"/>
      <c r="FBT34" s="2"/>
      <c r="FBU34" s="2"/>
      <c r="FBV34" s="2"/>
      <c r="FBW34" s="2"/>
      <c r="FBX34" s="2"/>
      <c r="FBY34" s="2"/>
      <c r="FBZ34" s="2"/>
      <c r="FCA34" s="2"/>
      <c r="FCB34" s="2"/>
      <c r="FCC34" s="2"/>
      <c r="FCD34" s="2"/>
      <c r="FCE34" s="2"/>
      <c r="FCF34" s="2"/>
      <c r="FCG34" s="2"/>
      <c r="FCH34" s="2"/>
      <c r="FCI34" s="2"/>
      <c r="FCJ34" s="2"/>
      <c r="FCK34" s="2"/>
      <c r="FCL34" s="2"/>
      <c r="FCM34" s="2"/>
      <c r="FCN34" s="2"/>
      <c r="FCO34" s="2"/>
      <c r="FCP34" s="2"/>
      <c r="FCQ34" s="2"/>
      <c r="FCR34" s="2"/>
      <c r="FCS34" s="2"/>
      <c r="FCT34" s="2"/>
      <c r="FCU34" s="2"/>
      <c r="FCV34" s="2"/>
      <c r="FCW34" s="2"/>
      <c r="FCX34" s="2"/>
      <c r="FCY34" s="2"/>
      <c r="FCZ34" s="2"/>
      <c r="FDA34" s="2"/>
      <c r="FDB34" s="2"/>
      <c r="FDC34" s="2"/>
      <c r="FDD34" s="2"/>
      <c r="FDE34" s="2"/>
      <c r="FDF34" s="2"/>
      <c r="FDG34" s="2"/>
      <c r="FDH34" s="2"/>
      <c r="FDI34" s="2"/>
      <c r="FDJ34" s="2"/>
      <c r="FDK34" s="2"/>
      <c r="FDL34" s="2"/>
      <c r="FDM34" s="2"/>
      <c r="FDN34" s="2"/>
      <c r="FDO34" s="2"/>
      <c r="FDP34" s="2"/>
      <c r="FDQ34" s="2"/>
      <c r="FDR34" s="2"/>
      <c r="FDS34" s="2"/>
      <c r="FDT34" s="2"/>
      <c r="FDU34" s="2"/>
      <c r="FDV34" s="2"/>
      <c r="FDW34" s="2"/>
      <c r="FDX34" s="2"/>
      <c r="FDY34" s="2"/>
      <c r="FDZ34" s="2"/>
      <c r="FEA34" s="2"/>
      <c r="FEB34" s="2"/>
      <c r="FEC34" s="2"/>
      <c r="FED34" s="2"/>
      <c r="FEE34" s="2"/>
      <c r="FEF34" s="2"/>
      <c r="FEG34" s="2"/>
      <c r="FEH34" s="2"/>
      <c r="FEI34" s="2"/>
      <c r="FEJ34" s="2"/>
      <c r="FEK34" s="2"/>
      <c r="FEL34" s="2"/>
      <c r="FEM34" s="2"/>
      <c r="FEN34" s="2"/>
      <c r="FEO34" s="2"/>
      <c r="FEP34" s="2"/>
      <c r="FEQ34" s="2"/>
      <c r="FER34" s="2"/>
      <c r="FES34" s="2"/>
      <c r="FET34" s="2"/>
      <c r="FEU34" s="2"/>
      <c r="FEV34" s="2"/>
      <c r="FEW34" s="2"/>
      <c r="FEX34" s="2"/>
      <c r="FEY34" s="2"/>
      <c r="FEZ34" s="2"/>
      <c r="FFA34" s="2"/>
      <c r="FFB34" s="2"/>
      <c r="FFC34" s="2"/>
      <c r="FFD34" s="2"/>
      <c r="FFE34" s="2"/>
      <c r="FFF34" s="2"/>
      <c r="FFG34" s="2"/>
      <c r="FFH34" s="2"/>
      <c r="FFI34" s="2"/>
      <c r="FFJ34" s="2"/>
      <c r="FFK34" s="2"/>
      <c r="FFL34" s="2"/>
      <c r="FFM34" s="2"/>
      <c r="FFN34" s="2"/>
      <c r="FFO34" s="2"/>
      <c r="FFP34" s="2"/>
      <c r="FFQ34" s="2"/>
      <c r="FFR34" s="2"/>
      <c r="FFS34" s="2"/>
      <c r="FFT34" s="2"/>
      <c r="FFU34" s="2"/>
      <c r="FFV34" s="2"/>
      <c r="FFW34" s="2"/>
      <c r="FFX34" s="2"/>
      <c r="FFY34" s="2"/>
      <c r="FFZ34" s="2"/>
      <c r="FGA34" s="2"/>
      <c r="FGB34" s="2"/>
      <c r="FGC34" s="2"/>
      <c r="FGD34" s="2"/>
      <c r="FGE34" s="2"/>
      <c r="FGF34" s="2"/>
      <c r="FGG34" s="2"/>
      <c r="FGH34" s="2"/>
      <c r="FGI34" s="2"/>
      <c r="FGJ34" s="2"/>
      <c r="FGK34" s="2"/>
      <c r="FGL34" s="2"/>
      <c r="FGM34" s="2"/>
      <c r="FGN34" s="2"/>
      <c r="FGO34" s="2"/>
      <c r="FGP34" s="2"/>
      <c r="FGQ34" s="2"/>
      <c r="FGR34" s="2"/>
      <c r="FGS34" s="2"/>
      <c r="FGT34" s="2"/>
      <c r="FGU34" s="2"/>
      <c r="FGV34" s="2"/>
      <c r="FGW34" s="2"/>
      <c r="FGX34" s="2"/>
      <c r="FGY34" s="2"/>
      <c r="FGZ34" s="2"/>
      <c r="FHA34" s="2"/>
      <c r="FHB34" s="2"/>
      <c r="FHC34" s="2"/>
      <c r="FHD34" s="2"/>
      <c r="FHE34" s="2"/>
      <c r="FHF34" s="2"/>
      <c r="FHG34" s="2"/>
      <c r="FHH34" s="2"/>
      <c r="FHI34" s="2"/>
      <c r="FHJ34" s="2"/>
      <c r="FHK34" s="2"/>
      <c r="FHL34" s="2"/>
      <c r="FHM34" s="2"/>
      <c r="FHN34" s="2"/>
      <c r="FHO34" s="2"/>
      <c r="FHP34" s="2"/>
      <c r="FHQ34" s="2"/>
      <c r="FHR34" s="2"/>
      <c r="FHS34" s="2"/>
      <c r="FHT34" s="2"/>
      <c r="FHU34" s="2"/>
      <c r="FHV34" s="2"/>
      <c r="FHW34" s="2"/>
      <c r="FHX34" s="2"/>
      <c r="FHY34" s="2"/>
      <c r="FHZ34" s="2"/>
      <c r="FIA34" s="2"/>
      <c r="FIB34" s="2"/>
      <c r="FIC34" s="2"/>
      <c r="FID34" s="2"/>
      <c r="FIE34" s="2"/>
      <c r="FIF34" s="2"/>
      <c r="FIG34" s="2"/>
      <c r="FIH34" s="2"/>
      <c r="FII34" s="2"/>
      <c r="FIJ34" s="2"/>
      <c r="FIK34" s="2"/>
      <c r="FIL34" s="2"/>
      <c r="FIM34" s="2"/>
      <c r="FIN34" s="2"/>
      <c r="FIO34" s="2"/>
      <c r="FIP34" s="2"/>
      <c r="FIQ34" s="2"/>
      <c r="FIR34" s="2"/>
      <c r="FIS34" s="2"/>
      <c r="FIT34" s="2"/>
      <c r="FIU34" s="2"/>
      <c r="FIV34" s="2"/>
      <c r="FIW34" s="2"/>
      <c r="FIX34" s="2"/>
      <c r="FIY34" s="2"/>
      <c r="FIZ34" s="2"/>
      <c r="FJA34" s="2"/>
      <c r="FJB34" s="2"/>
      <c r="FJC34" s="2"/>
      <c r="FJD34" s="2"/>
      <c r="FJE34" s="2"/>
      <c r="FJF34" s="2"/>
      <c r="FJG34" s="2"/>
      <c r="FJH34" s="2"/>
      <c r="FJI34" s="2"/>
      <c r="FJJ34" s="2"/>
      <c r="FJK34" s="2"/>
      <c r="FJL34" s="2"/>
      <c r="FJM34" s="2"/>
      <c r="FJN34" s="2"/>
      <c r="FJO34" s="2"/>
      <c r="FJP34" s="2"/>
      <c r="FJQ34" s="2"/>
      <c r="FJR34" s="2"/>
      <c r="FJS34" s="2"/>
      <c r="FJT34" s="2"/>
      <c r="FJU34" s="2"/>
      <c r="FJV34" s="2"/>
      <c r="FJW34" s="2"/>
      <c r="FJX34" s="2"/>
      <c r="FJY34" s="2"/>
      <c r="FJZ34" s="2"/>
      <c r="FKA34" s="2"/>
      <c r="FKB34" s="2"/>
      <c r="FKC34" s="2"/>
      <c r="FKD34" s="2"/>
      <c r="FKE34" s="2"/>
      <c r="FKF34" s="2"/>
      <c r="FKG34" s="2"/>
      <c r="FKH34" s="2"/>
      <c r="FKI34" s="2"/>
      <c r="FKJ34" s="2"/>
      <c r="FKK34" s="2"/>
      <c r="FKL34" s="2"/>
      <c r="FKM34" s="2"/>
      <c r="FKN34" s="2"/>
      <c r="FKO34" s="2"/>
      <c r="FKP34" s="2"/>
      <c r="FKQ34" s="2"/>
      <c r="FKR34" s="2"/>
      <c r="FKS34" s="2"/>
      <c r="FKT34" s="2"/>
      <c r="FKU34" s="2"/>
      <c r="FKV34" s="2"/>
      <c r="FKW34" s="2"/>
      <c r="FKX34" s="2"/>
      <c r="FKY34" s="2"/>
      <c r="FKZ34" s="2"/>
      <c r="FLA34" s="2"/>
      <c r="FLB34" s="2"/>
      <c r="FLC34" s="2"/>
      <c r="FLD34" s="2"/>
      <c r="FLE34" s="2"/>
      <c r="FLF34" s="2"/>
      <c r="FLG34" s="2"/>
      <c r="FLH34" s="2"/>
      <c r="FLI34" s="2"/>
      <c r="FLJ34" s="2"/>
      <c r="FLK34" s="2"/>
      <c r="FLL34" s="2"/>
      <c r="FLM34" s="2"/>
      <c r="FLN34" s="2"/>
      <c r="FLO34" s="2"/>
      <c r="FLP34" s="2"/>
      <c r="FLQ34" s="2"/>
      <c r="FLR34" s="2"/>
      <c r="FLS34" s="2"/>
      <c r="FLT34" s="2"/>
      <c r="FLU34" s="2"/>
      <c r="FLV34" s="2"/>
      <c r="FLW34" s="2"/>
      <c r="FLX34" s="2"/>
      <c r="FLY34" s="2"/>
      <c r="FLZ34" s="2"/>
      <c r="FMA34" s="2"/>
      <c r="FMB34" s="2"/>
      <c r="FMC34" s="2"/>
      <c r="FMD34" s="2"/>
      <c r="FME34" s="2"/>
      <c r="FMF34" s="2"/>
      <c r="FMG34" s="2"/>
      <c r="FMH34" s="2"/>
      <c r="FMI34" s="2"/>
      <c r="FMJ34" s="2"/>
      <c r="FMK34" s="2"/>
      <c r="FML34" s="2"/>
      <c r="FMM34" s="2"/>
      <c r="FMN34" s="2"/>
      <c r="FMO34" s="2"/>
      <c r="FMP34" s="2"/>
      <c r="FMQ34" s="2"/>
      <c r="FMR34" s="2"/>
      <c r="FMS34" s="2"/>
      <c r="FMT34" s="2"/>
      <c r="FMU34" s="2"/>
      <c r="FMV34" s="2"/>
      <c r="FMW34" s="2"/>
      <c r="FMX34" s="2"/>
      <c r="FMY34" s="2"/>
      <c r="FMZ34" s="2"/>
      <c r="FNA34" s="2"/>
      <c r="FNB34" s="2"/>
      <c r="FNC34" s="2"/>
      <c r="FND34" s="2"/>
      <c r="FNE34" s="2"/>
      <c r="FNF34" s="2"/>
      <c r="FNG34" s="2"/>
      <c r="FNH34" s="2"/>
      <c r="FNI34" s="2"/>
      <c r="FNJ34" s="2"/>
      <c r="FNK34" s="2"/>
      <c r="FNL34" s="2"/>
      <c r="FNM34" s="2"/>
      <c r="FNN34" s="2"/>
      <c r="FNO34" s="2"/>
      <c r="FNP34" s="2"/>
      <c r="FNQ34" s="2"/>
      <c r="FNR34" s="2"/>
      <c r="FNS34" s="2"/>
      <c r="FNT34" s="2"/>
      <c r="FNU34" s="2"/>
      <c r="FNV34" s="2"/>
      <c r="FNW34" s="2"/>
      <c r="FNX34" s="2"/>
      <c r="FNY34" s="2"/>
      <c r="FNZ34" s="2"/>
      <c r="FOA34" s="2"/>
      <c r="FOB34" s="2"/>
      <c r="FOC34" s="2"/>
      <c r="FOD34" s="2"/>
      <c r="FOE34" s="2"/>
      <c r="FOF34" s="2"/>
      <c r="FOG34" s="2"/>
      <c r="FOH34" s="2"/>
      <c r="FOI34" s="2"/>
      <c r="FOJ34" s="2"/>
      <c r="FOK34" s="2"/>
      <c r="FOL34" s="2"/>
      <c r="FOM34" s="2"/>
      <c r="FON34" s="2"/>
      <c r="FOO34" s="2"/>
      <c r="FOP34" s="2"/>
      <c r="FOQ34" s="2"/>
      <c r="FOR34" s="2"/>
      <c r="FOS34" s="2"/>
      <c r="FOT34" s="2"/>
      <c r="FOU34" s="2"/>
      <c r="FOV34" s="2"/>
      <c r="FOW34" s="2"/>
      <c r="FOX34" s="2"/>
      <c r="FOY34" s="2"/>
      <c r="FOZ34" s="2"/>
      <c r="FPA34" s="2"/>
      <c r="FPB34" s="2"/>
      <c r="FPC34" s="2"/>
      <c r="FPD34" s="2"/>
      <c r="FPE34" s="2"/>
      <c r="FPF34" s="2"/>
      <c r="FPG34" s="2"/>
      <c r="FPH34" s="2"/>
      <c r="FPI34" s="2"/>
      <c r="FPJ34" s="2"/>
      <c r="FPK34" s="2"/>
      <c r="FPL34" s="2"/>
      <c r="FPM34" s="2"/>
      <c r="FPN34" s="2"/>
      <c r="FPO34" s="2"/>
      <c r="FPP34" s="2"/>
      <c r="FPQ34" s="2"/>
      <c r="FPR34" s="2"/>
      <c r="FPS34" s="2"/>
      <c r="FPT34" s="2"/>
      <c r="FPU34" s="2"/>
      <c r="FPV34" s="2"/>
      <c r="FPW34" s="2"/>
      <c r="FPX34" s="2"/>
      <c r="FPY34" s="2"/>
      <c r="FPZ34" s="2"/>
      <c r="FQA34" s="2"/>
      <c r="FQB34" s="2"/>
      <c r="FQC34" s="2"/>
      <c r="FQD34" s="2"/>
      <c r="FQE34" s="2"/>
      <c r="FQF34" s="2"/>
      <c r="FQG34" s="2"/>
      <c r="FQH34" s="2"/>
      <c r="FQI34" s="2"/>
      <c r="FQJ34" s="2"/>
      <c r="FQK34" s="2"/>
      <c r="FQL34" s="2"/>
      <c r="FQM34" s="2"/>
      <c r="FQN34" s="2"/>
      <c r="FQO34" s="2"/>
      <c r="FQP34" s="2"/>
      <c r="FQQ34" s="2"/>
      <c r="FQR34" s="2"/>
      <c r="FQS34" s="2"/>
      <c r="FQT34" s="2"/>
      <c r="FQU34" s="2"/>
      <c r="FQV34" s="2"/>
      <c r="FQW34" s="2"/>
      <c r="FQX34" s="2"/>
      <c r="FQY34" s="2"/>
      <c r="FQZ34" s="2"/>
      <c r="FRA34" s="2"/>
      <c r="FRB34" s="2"/>
      <c r="FRC34" s="2"/>
      <c r="FRD34" s="2"/>
      <c r="FRE34" s="2"/>
      <c r="FRF34" s="2"/>
      <c r="FRG34" s="2"/>
      <c r="FRH34" s="2"/>
      <c r="FRI34" s="2"/>
      <c r="FRJ34" s="2"/>
      <c r="FRK34" s="2"/>
      <c r="FRL34" s="2"/>
      <c r="FRM34" s="2"/>
      <c r="FRN34" s="2"/>
      <c r="FRO34" s="2"/>
      <c r="FRP34" s="2"/>
      <c r="FRQ34" s="2"/>
      <c r="FRR34" s="2"/>
      <c r="FRS34" s="2"/>
      <c r="FRT34" s="2"/>
      <c r="FRU34" s="2"/>
      <c r="FRV34" s="2"/>
      <c r="FRW34" s="2"/>
      <c r="FRX34" s="2"/>
      <c r="FRY34" s="2"/>
      <c r="FRZ34" s="2"/>
      <c r="FSA34" s="2"/>
      <c r="FSB34" s="2"/>
      <c r="FSC34" s="2"/>
      <c r="FSD34" s="2"/>
      <c r="FSE34" s="2"/>
      <c r="FSF34" s="2"/>
      <c r="FSG34" s="2"/>
      <c r="FSH34" s="2"/>
      <c r="FSI34" s="2"/>
      <c r="FSJ34" s="2"/>
      <c r="FSK34" s="2"/>
      <c r="FSL34" s="2"/>
      <c r="FSM34" s="2"/>
      <c r="FSN34" s="2"/>
      <c r="FSO34" s="2"/>
      <c r="FSP34" s="2"/>
      <c r="FSQ34" s="2"/>
      <c r="FSR34" s="2"/>
      <c r="FSS34" s="2"/>
      <c r="FST34" s="2"/>
      <c r="FSU34" s="2"/>
      <c r="FSV34" s="2"/>
      <c r="FSW34" s="2"/>
      <c r="FSX34" s="2"/>
      <c r="FSY34" s="2"/>
      <c r="FSZ34" s="2"/>
      <c r="FTA34" s="2"/>
      <c r="FTB34" s="2"/>
      <c r="FTC34" s="2"/>
      <c r="FTD34" s="2"/>
      <c r="FTE34" s="2"/>
      <c r="FTF34" s="2"/>
      <c r="FTG34" s="2"/>
      <c r="FTH34" s="2"/>
      <c r="FTI34" s="2"/>
      <c r="FTJ34" s="2"/>
      <c r="FTK34" s="2"/>
      <c r="FTL34" s="2"/>
      <c r="FTM34" s="2"/>
      <c r="FTN34" s="2"/>
      <c r="FTO34" s="2"/>
      <c r="FTP34" s="2"/>
      <c r="FTQ34" s="2"/>
      <c r="FTR34" s="2"/>
      <c r="FTS34" s="2"/>
      <c r="FTT34" s="2"/>
      <c r="FTU34" s="2"/>
      <c r="FTV34" s="2"/>
      <c r="FTW34" s="2"/>
      <c r="FTX34" s="2"/>
      <c r="FTY34" s="2"/>
      <c r="FTZ34" s="2"/>
      <c r="FUA34" s="2"/>
      <c r="FUB34" s="2"/>
      <c r="FUC34" s="2"/>
      <c r="FUD34" s="2"/>
      <c r="FUE34" s="2"/>
      <c r="FUF34" s="2"/>
      <c r="FUG34" s="2"/>
      <c r="FUH34" s="2"/>
      <c r="FUI34" s="2"/>
      <c r="FUJ34" s="2"/>
      <c r="FUK34" s="2"/>
      <c r="FUL34" s="2"/>
      <c r="FUM34" s="2"/>
      <c r="FUN34" s="2"/>
      <c r="FUO34" s="2"/>
      <c r="FUP34" s="2"/>
      <c r="FUQ34" s="2"/>
      <c r="FUR34" s="2"/>
      <c r="FUS34" s="2"/>
      <c r="FUT34" s="2"/>
      <c r="FUU34" s="2"/>
      <c r="FUV34" s="2"/>
      <c r="FUW34" s="2"/>
      <c r="FUX34" s="2"/>
      <c r="FUY34" s="2"/>
      <c r="FUZ34" s="2"/>
      <c r="FVA34" s="2"/>
      <c r="FVB34" s="2"/>
      <c r="FVC34" s="2"/>
      <c r="FVD34" s="2"/>
      <c r="FVE34" s="2"/>
      <c r="FVF34" s="2"/>
      <c r="FVG34" s="2"/>
      <c r="FVH34" s="2"/>
      <c r="FVI34" s="2"/>
      <c r="FVJ34" s="2"/>
      <c r="FVK34" s="2"/>
      <c r="FVL34" s="2"/>
      <c r="FVM34" s="2"/>
      <c r="FVN34" s="2"/>
      <c r="FVO34" s="2"/>
      <c r="FVP34" s="2"/>
      <c r="FVQ34" s="2"/>
      <c r="FVR34" s="2"/>
      <c r="FVS34" s="2"/>
      <c r="FVT34" s="2"/>
      <c r="FVU34" s="2"/>
      <c r="FVV34" s="2"/>
      <c r="FVW34" s="2"/>
      <c r="FVX34" s="2"/>
      <c r="FVY34" s="2"/>
      <c r="FVZ34" s="2"/>
      <c r="FWA34" s="2"/>
      <c r="FWB34" s="2"/>
      <c r="FWC34" s="2"/>
      <c r="FWD34" s="2"/>
      <c r="FWE34" s="2"/>
      <c r="FWF34" s="2"/>
      <c r="FWG34" s="2"/>
      <c r="FWH34" s="2"/>
      <c r="FWI34" s="2"/>
      <c r="FWJ34" s="2"/>
      <c r="FWK34" s="2"/>
      <c r="FWL34" s="2"/>
      <c r="FWM34" s="2"/>
      <c r="FWN34" s="2"/>
      <c r="FWO34" s="2"/>
      <c r="FWP34" s="2"/>
      <c r="FWQ34" s="2"/>
      <c r="FWR34" s="2"/>
      <c r="FWS34" s="2"/>
      <c r="FWT34" s="2"/>
      <c r="FWU34" s="2"/>
      <c r="FWV34" s="2"/>
      <c r="FWW34" s="2"/>
      <c r="FWX34" s="2"/>
      <c r="FWY34" s="2"/>
      <c r="FWZ34" s="2"/>
      <c r="FXA34" s="2"/>
      <c r="FXB34" s="2"/>
      <c r="FXC34" s="2"/>
      <c r="FXD34" s="2"/>
      <c r="FXE34" s="2"/>
      <c r="FXF34" s="2"/>
      <c r="FXG34" s="2"/>
      <c r="FXH34" s="2"/>
      <c r="FXI34" s="2"/>
      <c r="FXJ34" s="2"/>
      <c r="FXK34" s="2"/>
      <c r="FXL34" s="2"/>
      <c r="FXM34" s="2"/>
      <c r="FXN34" s="2"/>
      <c r="FXO34" s="2"/>
      <c r="FXP34" s="2"/>
      <c r="FXQ34" s="2"/>
      <c r="FXR34" s="2"/>
      <c r="FXS34" s="2"/>
      <c r="FXT34" s="2"/>
      <c r="FXU34" s="2"/>
      <c r="FXV34" s="2"/>
      <c r="FXW34" s="2"/>
      <c r="FXX34" s="2"/>
      <c r="FXY34" s="2"/>
      <c r="FXZ34" s="2"/>
      <c r="FYA34" s="2"/>
      <c r="FYB34" s="2"/>
      <c r="FYC34" s="2"/>
      <c r="FYD34" s="2"/>
      <c r="FYE34" s="2"/>
      <c r="FYF34" s="2"/>
      <c r="FYG34" s="2"/>
      <c r="FYH34" s="2"/>
      <c r="FYI34" s="2"/>
      <c r="FYJ34" s="2"/>
      <c r="FYK34" s="2"/>
      <c r="FYL34" s="2"/>
      <c r="FYM34" s="2"/>
      <c r="FYN34" s="2"/>
      <c r="FYO34" s="2"/>
      <c r="FYP34" s="2"/>
      <c r="FYQ34" s="2"/>
      <c r="FYR34" s="2"/>
      <c r="FYS34" s="2"/>
      <c r="FYT34" s="2"/>
      <c r="FYU34" s="2"/>
      <c r="FYV34" s="2"/>
      <c r="FYW34" s="2"/>
      <c r="FYX34" s="2"/>
      <c r="FYY34" s="2"/>
      <c r="FYZ34" s="2"/>
      <c r="FZA34" s="2"/>
      <c r="FZB34" s="2"/>
      <c r="FZC34" s="2"/>
      <c r="FZD34" s="2"/>
      <c r="FZE34" s="2"/>
      <c r="FZF34" s="2"/>
      <c r="FZG34" s="2"/>
      <c r="FZH34" s="2"/>
      <c r="FZI34" s="2"/>
      <c r="FZJ34" s="2"/>
      <c r="FZK34" s="2"/>
      <c r="FZL34" s="2"/>
      <c r="FZM34" s="2"/>
      <c r="FZN34" s="2"/>
      <c r="FZO34" s="2"/>
      <c r="FZP34" s="2"/>
      <c r="FZQ34" s="2"/>
      <c r="FZR34" s="2"/>
      <c r="FZS34" s="2"/>
      <c r="FZT34" s="2"/>
      <c r="FZU34" s="2"/>
      <c r="FZV34" s="2"/>
      <c r="FZW34" s="2"/>
      <c r="FZX34" s="2"/>
      <c r="FZY34" s="2"/>
      <c r="FZZ34" s="2"/>
      <c r="GAA34" s="2"/>
      <c r="GAB34" s="2"/>
      <c r="GAC34" s="2"/>
      <c r="GAD34" s="2"/>
      <c r="GAE34" s="2"/>
      <c r="GAF34" s="2"/>
      <c r="GAG34" s="2"/>
      <c r="GAH34" s="2"/>
      <c r="GAI34" s="2"/>
      <c r="GAJ34" s="2"/>
      <c r="GAK34" s="2"/>
      <c r="GAL34" s="2"/>
      <c r="GAM34" s="2"/>
      <c r="GAN34" s="2"/>
      <c r="GAO34" s="2"/>
      <c r="GAP34" s="2"/>
      <c r="GAQ34" s="2"/>
      <c r="GAR34" s="2"/>
      <c r="GAS34" s="2"/>
      <c r="GAT34" s="2"/>
      <c r="GAU34" s="2"/>
      <c r="GAV34" s="2"/>
      <c r="GAW34" s="2"/>
      <c r="GAX34" s="2"/>
      <c r="GAY34" s="2"/>
      <c r="GAZ34" s="2"/>
      <c r="GBA34" s="2"/>
      <c r="GBB34" s="2"/>
      <c r="GBC34" s="2"/>
      <c r="GBD34" s="2"/>
      <c r="GBE34" s="2"/>
      <c r="GBF34" s="2"/>
      <c r="GBG34" s="2"/>
      <c r="GBH34" s="2"/>
      <c r="GBI34" s="2"/>
      <c r="GBJ34" s="2"/>
      <c r="GBK34" s="2"/>
      <c r="GBL34" s="2"/>
      <c r="GBM34" s="2"/>
      <c r="GBN34" s="2"/>
      <c r="GBO34" s="2"/>
      <c r="GBP34" s="2"/>
      <c r="GBQ34" s="2"/>
      <c r="GBR34" s="2"/>
      <c r="GBS34" s="2"/>
      <c r="GBT34" s="2"/>
      <c r="GBU34" s="2"/>
      <c r="GBV34" s="2"/>
      <c r="GBW34" s="2"/>
      <c r="GBX34" s="2"/>
      <c r="GBY34" s="2"/>
      <c r="GBZ34" s="2"/>
      <c r="GCA34" s="2"/>
      <c r="GCB34" s="2"/>
      <c r="GCC34" s="2"/>
      <c r="GCD34" s="2"/>
      <c r="GCE34" s="2"/>
      <c r="GCF34" s="2"/>
      <c r="GCG34" s="2"/>
      <c r="GCH34" s="2"/>
      <c r="GCI34" s="2"/>
      <c r="GCJ34" s="2"/>
      <c r="GCK34" s="2"/>
      <c r="GCL34" s="2"/>
      <c r="GCM34" s="2"/>
      <c r="GCN34" s="2"/>
      <c r="GCO34" s="2"/>
      <c r="GCP34" s="2"/>
      <c r="GCQ34" s="2"/>
      <c r="GCR34" s="2"/>
      <c r="GCS34" s="2"/>
      <c r="GCT34" s="2"/>
      <c r="GCU34" s="2"/>
      <c r="GCV34" s="2"/>
      <c r="GCW34" s="2"/>
      <c r="GCX34" s="2"/>
      <c r="GCY34" s="2"/>
      <c r="GCZ34" s="2"/>
      <c r="GDA34" s="2"/>
      <c r="GDB34" s="2"/>
      <c r="GDC34" s="2"/>
      <c r="GDD34" s="2"/>
      <c r="GDE34" s="2"/>
      <c r="GDF34" s="2"/>
      <c r="GDG34" s="2"/>
      <c r="GDH34" s="2"/>
      <c r="GDI34" s="2"/>
      <c r="GDJ34" s="2"/>
      <c r="GDK34" s="2"/>
      <c r="GDL34" s="2"/>
      <c r="GDM34" s="2"/>
      <c r="GDN34" s="2"/>
      <c r="GDO34" s="2"/>
      <c r="GDP34" s="2"/>
      <c r="GDQ34" s="2"/>
      <c r="GDR34" s="2"/>
      <c r="GDS34" s="2"/>
      <c r="GDT34" s="2"/>
      <c r="GDU34" s="2"/>
      <c r="GDV34" s="2"/>
      <c r="GDW34" s="2"/>
      <c r="GDX34" s="2"/>
      <c r="GDY34" s="2"/>
      <c r="GDZ34" s="2"/>
      <c r="GEA34" s="2"/>
      <c r="GEB34" s="2"/>
      <c r="GEC34" s="2"/>
      <c r="GED34" s="2"/>
      <c r="GEE34" s="2"/>
      <c r="GEF34" s="2"/>
      <c r="GEG34" s="2"/>
      <c r="GEH34" s="2"/>
      <c r="GEI34" s="2"/>
      <c r="GEJ34" s="2"/>
      <c r="GEK34" s="2"/>
      <c r="GEL34" s="2"/>
      <c r="GEM34" s="2"/>
      <c r="GEN34" s="2"/>
      <c r="GEO34" s="2"/>
      <c r="GEP34" s="2"/>
      <c r="GEQ34" s="2"/>
      <c r="GER34" s="2"/>
      <c r="GES34" s="2"/>
      <c r="GET34" s="2"/>
      <c r="GEU34" s="2"/>
      <c r="GEV34" s="2"/>
      <c r="GEW34" s="2"/>
      <c r="GEX34" s="2"/>
      <c r="GEY34" s="2"/>
      <c r="GEZ34" s="2"/>
      <c r="GFA34" s="2"/>
      <c r="GFB34" s="2"/>
      <c r="GFC34" s="2"/>
      <c r="GFD34" s="2"/>
      <c r="GFE34" s="2"/>
      <c r="GFF34" s="2"/>
      <c r="GFG34" s="2"/>
      <c r="GFH34" s="2"/>
      <c r="GFI34" s="2"/>
      <c r="GFJ34" s="2"/>
      <c r="GFK34" s="2"/>
      <c r="GFL34" s="2"/>
      <c r="GFM34" s="2"/>
      <c r="GFN34" s="2"/>
      <c r="GFO34" s="2"/>
      <c r="GFP34" s="2"/>
      <c r="GFQ34" s="2"/>
      <c r="GFR34" s="2"/>
      <c r="GFS34" s="2"/>
      <c r="GFT34" s="2"/>
      <c r="GFU34" s="2"/>
      <c r="GFV34" s="2"/>
      <c r="GFW34" s="2"/>
      <c r="GFX34" s="2"/>
      <c r="GFY34" s="2"/>
      <c r="GFZ34" s="2"/>
      <c r="GGA34" s="2"/>
      <c r="GGB34" s="2"/>
      <c r="GGC34" s="2"/>
      <c r="GGD34" s="2"/>
      <c r="GGE34" s="2"/>
      <c r="GGF34" s="2"/>
      <c r="GGG34" s="2"/>
      <c r="GGH34" s="2"/>
      <c r="GGI34" s="2"/>
      <c r="GGJ34" s="2"/>
      <c r="GGK34" s="2"/>
      <c r="GGL34" s="2"/>
      <c r="GGM34" s="2"/>
      <c r="GGN34" s="2"/>
      <c r="GGO34" s="2"/>
      <c r="GGP34" s="2"/>
      <c r="GGQ34" s="2"/>
      <c r="GGR34" s="2"/>
      <c r="GGS34" s="2"/>
      <c r="GGT34" s="2"/>
      <c r="GGU34" s="2"/>
      <c r="GGV34" s="2"/>
      <c r="GGW34" s="2"/>
      <c r="GGX34" s="2"/>
      <c r="GGY34" s="2"/>
      <c r="GGZ34" s="2"/>
      <c r="GHA34" s="2"/>
      <c r="GHB34" s="2"/>
      <c r="GHC34" s="2"/>
      <c r="GHD34" s="2"/>
      <c r="GHE34" s="2"/>
      <c r="GHF34" s="2"/>
      <c r="GHG34" s="2"/>
      <c r="GHH34" s="2"/>
      <c r="GHI34" s="2"/>
      <c r="GHJ34" s="2"/>
      <c r="GHK34" s="2"/>
      <c r="GHL34" s="2"/>
      <c r="GHM34" s="2"/>
      <c r="GHN34" s="2"/>
      <c r="GHO34" s="2"/>
      <c r="GHP34" s="2"/>
      <c r="GHQ34" s="2"/>
      <c r="GHR34" s="2"/>
      <c r="GHS34" s="2"/>
      <c r="GHT34" s="2"/>
      <c r="GHU34" s="2"/>
      <c r="GHV34" s="2"/>
      <c r="GHW34" s="2"/>
      <c r="GHX34" s="2"/>
      <c r="GHY34" s="2"/>
      <c r="GHZ34" s="2"/>
      <c r="GIA34" s="2"/>
      <c r="GIB34" s="2"/>
      <c r="GIC34" s="2"/>
      <c r="GID34" s="2"/>
      <c r="GIE34" s="2"/>
      <c r="GIF34" s="2"/>
      <c r="GIG34" s="2"/>
      <c r="GIH34" s="2"/>
      <c r="GII34" s="2"/>
      <c r="GIJ34" s="2"/>
      <c r="GIK34" s="2"/>
      <c r="GIL34" s="2"/>
      <c r="GIM34" s="2"/>
      <c r="GIN34" s="2"/>
      <c r="GIO34" s="2"/>
      <c r="GIP34" s="2"/>
      <c r="GIQ34" s="2"/>
      <c r="GIR34" s="2"/>
      <c r="GIS34" s="2"/>
      <c r="GIT34" s="2"/>
      <c r="GIU34" s="2"/>
      <c r="GIV34" s="2"/>
      <c r="GIW34" s="2"/>
      <c r="GIX34" s="2"/>
      <c r="GIY34" s="2"/>
      <c r="GIZ34" s="2"/>
      <c r="GJA34" s="2"/>
      <c r="GJB34" s="2"/>
      <c r="GJC34" s="2"/>
      <c r="GJD34" s="2"/>
      <c r="GJE34" s="2"/>
      <c r="GJF34" s="2"/>
      <c r="GJG34" s="2"/>
      <c r="GJH34" s="2"/>
      <c r="GJI34" s="2"/>
      <c r="GJJ34" s="2"/>
      <c r="GJK34" s="2"/>
      <c r="GJL34" s="2"/>
      <c r="GJM34" s="2"/>
      <c r="GJN34" s="2"/>
      <c r="GJO34" s="2"/>
      <c r="GJP34" s="2"/>
      <c r="GJQ34" s="2"/>
      <c r="GJR34" s="2"/>
      <c r="GJS34" s="2"/>
      <c r="GJT34" s="2"/>
      <c r="GJU34" s="2"/>
      <c r="GJV34" s="2"/>
      <c r="GJW34" s="2"/>
      <c r="GJX34" s="2"/>
      <c r="GJY34" s="2"/>
      <c r="GJZ34" s="2"/>
      <c r="GKA34" s="2"/>
      <c r="GKB34" s="2"/>
      <c r="GKC34" s="2"/>
      <c r="GKD34" s="2"/>
      <c r="GKE34" s="2"/>
      <c r="GKF34" s="2"/>
      <c r="GKG34" s="2"/>
      <c r="GKH34" s="2"/>
      <c r="GKI34" s="2"/>
      <c r="GKJ34" s="2"/>
      <c r="GKK34" s="2"/>
      <c r="GKL34" s="2"/>
      <c r="GKM34" s="2"/>
      <c r="GKN34" s="2"/>
      <c r="GKO34" s="2"/>
      <c r="GKP34" s="2"/>
      <c r="GKQ34" s="2"/>
      <c r="GKR34" s="2"/>
      <c r="GKS34" s="2"/>
      <c r="GKT34" s="2"/>
      <c r="GKU34" s="2"/>
      <c r="GKV34" s="2"/>
      <c r="GKW34" s="2"/>
      <c r="GKX34" s="2"/>
      <c r="GKY34" s="2"/>
      <c r="GKZ34" s="2"/>
      <c r="GLA34" s="2"/>
      <c r="GLB34" s="2"/>
      <c r="GLC34" s="2"/>
      <c r="GLD34" s="2"/>
      <c r="GLE34" s="2"/>
      <c r="GLF34" s="2"/>
      <c r="GLG34" s="2"/>
      <c r="GLH34" s="2"/>
      <c r="GLI34" s="2"/>
      <c r="GLJ34" s="2"/>
      <c r="GLK34" s="2"/>
      <c r="GLL34" s="2"/>
      <c r="GLM34" s="2"/>
      <c r="GLN34" s="2"/>
      <c r="GLO34" s="2"/>
      <c r="GLP34" s="2"/>
      <c r="GLQ34" s="2"/>
      <c r="GLR34" s="2"/>
      <c r="GLS34" s="2"/>
      <c r="GLT34" s="2"/>
      <c r="GLU34" s="2"/>
      <c r="GLV34" s="2"/>
      <c r="GLW34" s="2"/>
      <c r="GLX34" s="2"/>
      <c r="GLY34" s="2"/>
      <c r="GLZ34" s="2"/>
      <c r="GMA34" s="2"/>
      <c r="GMB34" s="2"/>
      <c r="GMC34" s="2"/>
      <c r="GMD34" s="2"/>
      <c r="GME34" s="2"/>
      <c r="GMF34" s="2"/>
      <c r="GMG34" s="2"/>
      <c r="GMH34" s="2"/>
      <c r="GMI34" s="2"/>
      <c r="GMJ34" s="2"/>
      <c r="GMK34" s="2"/>
      <c r="GML34" s="2"/>
      <c r="GMM34" s="2"/>
      <c r="GMN34" s="2"/>
      <c r="GMO34" s="2"/>
      <c r="GMP34" s="2"/>
      <c r="GMQ34" s="2"/>
      <c r="GMR34" s="2"/>
      <c r="GMS34" s="2"/>
      <c r="GMT34" s="2"/>
      <c r="GMU34" s="2"/>
      <c r="GMV34" s="2"/>
      <c r="GMW34" s="2"/>
      <c r="GMX34" s="2"/>
      <c r="GMY34" s="2"/>
      <c r="GMZ34" s="2"/>
      <c r="GNA34" s="2"/>
      <c r="GNB34" s="2"/>
      <c r="GNC34" s="2"/>
      <c r="GND34" s="2"/>
      <c r="GNE34" s="2"/>
      <c r="GNF34" s="2"/>
      <c r="GNG34" s="2"/>
      <c r="GNH34" s="2"/>
      <c r="GNI34" s="2"/>
      <c r="GNJ34" s="2"/>
      <c r="GNK34" s="2"/>
      <c r="GNL34" s="2"/>
      <c r="GNM34" s="2"/>
      <c r="GNN34" s="2"/>
      <c r="GNO34" s="2"/>
      <c r="GNP34" s="2"/>
      <c r="GNQ34" s="2"/>
      <c r="GNR34" s="2"/>
      <c r="GNS34" s="2"/>
      <c r="GNT34" s="2"/>
      <c r="GNU34" s="2"/>
      <c r="GNV34" s="2"/>
      <c r="GNW34" s="2"/>
      <c r="GNX34" s="2"/>
      <c r="GNY34" s="2"/>
      <c r="GNZ34" s="2"/>
      <c r="GOA34" s="2"/>
      <c r="GOB34" s="2"/>
      <c r="GOC34" s="2"/>
      <c r="GOD34" s="2"/>
      <c r="GOE34" s="2"/>
      <c r="GOF34" s="2"/>
      <c r="GOG34" s="2"/>
      <c r="GOH34" s="2"/>
      <c r="GOI34" s="2"/>
      <c r="GOJ34" s="2"/>
      <c r="GOK34" s="2"/>
      <c r="GOL34" s="2"/>
      <c r="GOM34" s="2"/>
      <c r="GON34" s="2"/>
      <c r="GOO34" s="2"/>
      <c r="GOP34" s="2"/>
      <c r="GOQ34" s="2"/>
      <c r="GOR34" s="2"/>
      <c r="GOS34" s="2"/>
      <c r="GOT34" s="2"/>
      <c r="GOU34" s="2"/>
      <c r="GOV34" s="2"/>
      <c r="GOW34" s="2"/>
      <c r="GOX34" s="2"/>
      <c r="GOY34" s="2"/>
      <c r="GOZ34" s="2"/>
      <c r="GPA34" s="2"/>
      <c r="GPB34" s="2"/>
      <c r="GPC34" s="2"/>
      <c r="GPD34" s="2"/>
      <c r="GPE34" s="2"/>
      <c r="GPF34" s="2"/>
      <c r="GPG34" s="2"/>
      <c r="GPH34" s="2"/>
      <c r="GPI34" s="2"/>
      <c r="GPJ34" s="2"/>
      <c r="GPK34" s="2"/>
      <c r="GPL34" s="2"/>
      <c r="GPM34" s="2"/>
      <c r="GPN34" s="2"/>
      <c r="GPO34" s="2"/>
      <c r="GPP34" s="2"/>
      <c r="GPQ34" s="2"/>
      <c r="GPR34" s="2"/>
      <c r="GPS34" s="2"/>
      <c r="GPT34" s="2"/>
      <c r="GPU34" s="2"/>
      <c r="GPV34" s="2"/>
      <c r="GPW34" s="2"/>
      <c r="GPX34" s="2"/>
      <c r="GPY34" s="2"/>
      <c r="GPZ34" s="2"/>
      <c r="GQA34" s="2"/>
      <c r="GQB34" s="2"/>
      <c r="GQC34" s="2"/>
      <c r="GQD34" s="2"/>
      <c r="GQE34" s="2"/>
      <c r="GQF34" s="2"/>
      <c r="GQG34" s="2"/>
      <c r="GQH34" s="2"/>
      <c r="GQI34" s="2"/>
      <c r="GQJ34" s="2"/>
      <c r="GQK34" s="2"/>
      <c r="GQL34" s="2"/>
      <c r="GQM34" s="2"/>
      <c r="GQN34" s="2"/>
      <c r="GQO34" s="2"/>
      <c r="GQP34" s="2"/>
      <c r="GQQ34" s="2"/>
      <c r="GQR34" s="2"/>
      <c r="GQS34" s="2"/>
      <c r="GQT34" s="2"/>
      <c r="GQU34" s="2"/>
      <c r="GQV34" s="2"/>
      <c r="GQW34" s="2"/>
      <c r="GQX34" s="2"/>
      <c r="GQY34" s="2"/>
      <c r="GQZ34" s="2"/>
      <c r="GRA34" s="2"/>
      <c r="GRB34" s="2"/>
      <c r="GRC34" s="2"/>
      <c r="GRD34" s="2"/>
      <c r="GRE34" s="2"/>
      <c r="GRF34" s="2"/>
      <c r="GRG34" s="2"/>
      <c r="GRH34" s="2"/>
      <c r="GRI34" s="2"/>
      <c r="GRJ34" s="2"/>
      <c r="GRK34" s="2"/>
      <c r="GRL34" s="2"/>
      <c r="GRM34" s="2"/>
      <c r="GRN34" s="2"/>
      <c r="GRO34" s="2"/>
      <c r="GRP34" s="2"/>
      <c r="GRQ34" s="2"/>
      <c r="GRR34" s="2"/>
      <c r="GRS34" s="2"/>
      <c r="GRT34" s="2"/>
      <c r="GRU34" s="2"/>
      <c r="GRV34" s="2"/>
      <c r="GRW34" s="2"/>
      <c r="GRX34" s="2"/>
      <c r="GRY34" s="2"/>
      <c r="GRZ34" s="2"/>
      <c r="GSA34" s="2"/>
      <c r="GSB34" s="2"/>
      <c r="GSC34" s="2"/>
      <c r="GSD34" s="2"/>
      <c r="GSE34" s="2"/>
      <c r="GSF34" s="2"/>
      <c r="GSG34" s="2"/>
      <c r="GSH34" s="2"/>
      <c r="GSI34" s="2"/>
      <c r="GSJ34" s="2"/>
      <c r="GSK34" s="2"/>
      <c r="GSL34" s="2"/>
      <c r="GSM34" s="2"/>
      <c r="GSN34" s="2"/>
      <c r="GSO34" s="2"/>
      <c r="GSP34" s="2"/>
      <c r="GSQ34" s="2"/>
      <c r="GSR34" s="2"/>
      <c r="GSS34" s="2"/>
      <c r="GST34" s="2"/>
      <c r="GSU34" s="2"/>
      <c r="GSV34" s="2"/>
      <c r="GSW34" s="2"/>
      <c r="GSX34" s="2"/>
      <c r="GSY34" s="2"/>
      <c r="GSZ34" s="2"/>
      <c r="GTA34" s="2"/>
      <c r="GTB34" s="2"/>
      <c r="GTC34" s="2"/>
      <c r="GTD34" s="2"/>
      <c r="GTE34" s="2"/>
      <c r="GTF34" s="2"/>
      <c r="GTG34" s="2"/>
      <c r="GTH34" s="2"/>
      <c r="GTI34" s="2"/>
      <c r="GTJ34" s="2"/>
      <c r="GTK34" s="2"/>
      <c r="GTL34" s="2"/>
      <c r="GTM34" s="2"/>
      <c r="GTN34" s="2"/>
      <c r="GTO34" s="2"/>
      <c r="GTP34" s="2"/>
      <c r="GTQ34" s="2"/>
      <c r="GTR34" s="2"/>
      <c r="GTS34" s="2"/>
      <c r="GTT34" s="2"/>
      <c r="GTU34" s="2"/>
      <c r="GTV34" s="2"/>
      <c r="GTW34" s="2"/>
      <c r="GTX34" s="2"/>
      <c r="GTY34" s="2"/>
      <c r="GTZ34" s="2"/>
      <c r="GUA34" s="2"/>
      <c r="GUB34" s="2"/>
      <c r="GUC34" s="2"/>
      <c r="GUD34" s="2"/>
      <c r="GUE34" s="2"/>
      <c r="GUF34" s="2"/>
      <c r="GUG34" s="2"/>
      <c r="GUH34" s="2"/>
      <c r="GUI34" s="2"/>
      <c r="GUJ34" s="2"/>
      <c r="GUK34" s="2"/>
      <c r="GUL34" s="2"/>
      <c r="GUM34" s="2"/>
      <c r="GUN34" s="2"/>
      <c r="GUO34" s="2"/>
      <c r="GUP34" s="2"/>
      <c r="GUQ34" s="2"/>
      <c r="GUR34" s="2"/>
      <c r="GUS34" s="2"/>
      <c r="GUT34" s="2"/>
      <c r="GUU34" s="2"/>
      <c r="GUV34" s="2"/>
      <c r="GUW34" s="2"/>
      <c r="GUX34" s="2"/>
      <c r="GUY34" s="2"/>
      <c r="GUZ34" s="2"/>
      <c r="GVA34" s="2"/>
      <c r="GVB34" s="2"/>
      <c r="GVC34" s="2"/>
      <c r="GVD34" s="2"/>
      <c r="GVE34" s="2"/>
      <c r="GVF34" s="2"/>
      <c r="GVG34" s="2"/>
      <c r="GVH34" s="2"/>
      <c r="GVI34" s="2"/>
      <c r="GVJ34" s="2"/>
      <c r="GVK34" s="2"/>
      <c r="GVL34" s="2"/>
      <c r="GVM34" s="2"/>
      <c r="GVN34" s="2"/>
      <c r="GVO34" s="2"/>
      <c r="GVP34" s="2"/>
      <c r="GVQ34" s="2"/>
      <c r="GVR34" s="2"/>
      <c r="GVS34" s="2"/>
      <c r="GVT34" s="2"/>
      <c r="GVU34" s="2"/>
      <c r="GVV34" s="2"/>
      <c r="GVW34" s="2"/>
      <c r="GVX34" s="2"/>
      <c r="GVY34" s="2"/>
      <c r="GVZ34" s="2"/>
      <c r="GWA34" s="2"/>
      <c r="GWB34" s="2"/>
      <c r="GWC34" s="2"/>
      <c r="GWD34" s="2"/>
      <c r="GWE34" s="2"/>
      <c r="GWF34" s="2"/>
      <c r="GWG34" s="2"/>
      <c r="GWH34" s="2"/>
      <c r="GWI34" s="2"/>
      <c r="GWJ34" s="2"/>
      <c r="GWK34" s="2"/>
      <c r="GWL34" s="2"/>
      <c r="GWM34" s="2"/>
      <c r="GWN34" s="2"/>
      <c r="GWO34" s="2"/>
      <c r="GWP34" s="2"/>
      <c r="GWQ34" s="2"/>
      <c r="GWR34" s="2"/>
      <c r="GWS34" s="2"/>
      <c r="GWT34" s="2"/>
      <c r="GWU34" s="2"/>
      <c r="GWV34" s="2"/>
      <c r="GWW34" s="2"/>
      <c r="GWX34" s="2"/>
      <c r="GWY34" s="2"/>
      <c r="GWZ34" s="2"/>
      <c r="GXA34" s="2"/>
      <c r="GXB34" s="2"/>
      <c r="GXC34" s="2"/>
      <c r="GXD34" s="2"/>
      <c r="GXE34" s="2"/>
      <c r="GXF34" s="2"/>
      <c r="GXG34" s="2"/>
      <c r="GXH34" s="2"/>
      <c r="GXI34" s="2"/>
      <c r="GXJ34" s="2"/>
      <c r="GXK34" s="2"/>
      <c r="GXL34" s="2"/>
      <c r="GXM34" s="2"/>
      <c r="GXN34" s="2"/>
      <c r="GXO34" s="2"/>
      <c r="GXP34" s="2"/>
      <c r="GXQ34" s="2"/>
      <c r="GXR34" s="2"/>
      <c r="GXS34" s="2"/>
      <c r="GXT34" s="2"/>
      <c r="GXU34" s="2"/>
      <c r="GXV34" s="2"/>
      <c r="GXW34" s="2"/>
      <c r="GXX34" s="2"/>
      <c r="GXY34" s="2"/>
      <c r="GXZ34" s="2"/>
      <c r="GYA34" s="2"/>
      <c r="GYB34" s="2"/>
      <c r="GYC34" s="2"/>
      <c r="GYD34" s="2"/>
      <c r="GYE34" s="2"/>
      <c r="GYF34" s="2"/>
      <c r="GYG34" s="2"/>
      <c r="GYH34" s="2"/>
      <c r="GYI34" s="2"/>
      <c r="GYJ34" s="2"/>
      <c r="GYK34" s="2"/>
      <c r="GYL34" s="2"/>
      <c r="GYM34" s="2"/>
      <c r="GYN34" s="2"/>
      <c r="GYO34" s="2"/>
      <c r="GYP34" s="2"/>
      <c r="GYQ34" s="2"/>
      <c r="GYR34" s="2"/>
      <c r="GYS34" s="2"/>
      <c r="GYT34" s="2"/>
      <c r="GYU34" s="2"/>
      <c r="GYV34" s="2"/>
      <c r="GYW34" s="2"/>
      <c r="GYX34" s="2"/>
      <c r="GYY34" s="2"/>
      <c r="GYZ34" s="2"/>
      <c r="GZA34" s="2"/>
      <c r="GZB34" s="2"/>
      <c r="GZC34" s="2"/>
      <c r="GZD34" s="2"/>
      <c r="GZE34" s="2"/>
      <c r="GZF34" s="2"/>
      <c r="GZG34" s="2"/>
      <c r="GZH34" s="2"/>
      <c r="GZI34" s="2"/>
      <c r="GZJ34" s="2"/>
      <c r="GZK34" s="2"/>
      <c r="GZL34" s="2"/>
      <c r="GZM34" s="2"/>
      <c r="GZN34" s="2"/>
      <c r="GZO34" s="2"/>
      <c r="GZP34" s="2"/>
      <c r="GZQ34" s="2"/>
      <c r="GZR34" s="2"/>
      <c r="GZS34" s="2"/>
      <c r="GZT34" s="2"/>
      <c r="GZU34" s="2"/>
      <c r="GZV34" s="2"/>
      <c r="GZW34" s="2"/>
      <c r="GZX34" s="2"/>
      <c r="GZY34" s="2"/>
      <c r="GZZ34" s="2"/>
      <c r="HAA34" s="2"/>
      <c r="HAB34" s="2"/>
      <c r="HAC34" s="2"/>
      <c r="HAD34" s="2"/>
      <c r="HAE34" s="2"/>
      <c r="HAF34" s="2"/>
      <c r="HAG34" s="2"/>
      <c r="HAH34" s="2"/>
      <c r="HAI34" s="2"/>
      <c r="HAJ34" s="2"/>
      <c r="HAK34" s="2"/>
      <c r="HAL34" s="2"/>
      <c r="HAM34" s="2"/>
      <c r="HAN34" s="2"/>
      <c r="HAO34" s="2"/>
      <c r="HAP34" s="2"/>
      <c r="HAQ34" s="2"/>
      <c r="HAR34" s="2"/>
      <c r="HAS34" s="2"/>
      <c r="HAT34" s="2"/>
      <c r="HAU34" s="2"/>
      <c r="HAV34" s="2"/>
      <c r="HAW34" s="2"/>
      <c r="HAX34" s="2"/>
      <c r="HAY34" s="2"/>
      <c r="HAZ34" s="2"/>
      <c r="HBA34" s="2"/>
      <c r="HBB34" s="2"/>
      <c r="HBC34" s="2"/>
      <c r="HBD34" s="2"/>
      <c r="HBE34" s="2"/>
      <c r="HBF34" s="2"/>
      <c r="HBG34" s="2"/>
      <c r="HBH34" s="2"/>
      <c r="HBI34" s="2"/>
      <c r="HBJ34" s="2"/>
      <c r="HBK34" s="2"/>
      <c r="HBL34" s="2"/>
      <c r="HBM34" s="2"/>
      <c r="HBN34" s="2"/>
      <c r="HBO34" s="2"/>
      <c r="HBP34" s="2"/>
      <c r="HBQ34" s="2"/>
      <c r="HBR34" s="2"/>
      <c r="HBS34" s="2"/>
      <c r="HBT34" s="2"/>
      <c r="HBU34" s="2"/>
      <c r="HBV34" s="2"/>
      <c r="HBW34" s="2"/>
      <c r="HBX34" s="2"/>
      <c r="HBY34" s="2"/>
      <c r="HBZ34" s="2"/>
      <c r="HCA34" s="2"/>
      <c r="HCB34" s="2"/>
      <c r="HCC34" s="2"/>
      <c r="HCD34" s="2"/>
      <c r="HCE34" s="2"/>
      <c r="HCF34" s="2"/>
      <c r="HCG34" s="2"/>
      <c r="HCH34" s="2"/>
      <c r="HCI34" s="2"/>
      <c r="HCJ34" s="2"/>
      <c r="HCK34" s="2"/>
      <c r="HCL34" s="2"/>
      <c r="HCM34" s="2"/>
      <c r="HCN34" s="2"/>
      <c r="HCO34" s="2"/>
      <c r="HCP34" s="2"/>
      <c r="HCQ34" s="2"/>
      <c r="HCR34" s="2"/>
      <c r="HCS34" s="2"/>
      <c r="HCT34" s="2"/>
      <c r="HCU34" s="2"/>
      <c r="HCV34" s="2"/>
      <c r="HCW34" s="2"/>
      <c r="HCX34" s="2"/>
      <c r="HCY34" s="2"/>
      <c r="HCZ34" s="2"/>
      <c r="HDA34" s="2"/>
      <c r="HDB34" s="2"/>
      <c r="HDC34" s="2"/>
      <c r="HDD34" s="2"/>
      <c r="HDE34" s="2"/>
      <c r="HDF34" s="2"/>
      <c r="HDG34" s="2"/>
      <c r="HDH34" s="2"/>
      <c r="HDI34" s="2"/>
      <c r="HDJ34" s="2"/>
      <c r="HDK34" s="2"/>
      <c r="HDL34" s="2"/>
      <c r="HDM34" s="2"/>
      <c r="HDN34" s="2"/>
      <c r="HDO34" s="2"/>
      <c r="HDP34" s="2"/>
      <c r="HDQ34" s="2"/>
      <c r="HDR34" s="2"/>
      <c r="HDS34" s="2"/>
      <c r="HDT34" s="2"/>
      <c r="HDU34" s="2"/>
      <c r="HDV34" s="2"/>
      <c r="HDW34" s="2"/>
      <c r="HDX34" s="2"/>
      <c r="HDY34" s="2"/>
      <c r="HDZ34" s="2"/>
      <c r="HEA34" s="2"/>
      <c r="HEB34" s="2"/>
      <c r="HEC34" s="2"/>
      <c r="HED34" s="2"/>
      <c r="HEE34" s="2"/>
      <c r="HEF34" s="2"/>
      <c r="HEG34" s="2"/>
      <c r="HEH34" s="2"/>
      <c r="HEI34" s="2"/>
      <c r="HEJ34" s="2"/>
      <c r="HEK34" s="2"/>
      <c r="HEL34" s="2"/>
      <c r="HEM34" s="2"/>
      <c r="HEN34" s="2"/>
      <c r="HEO34" s="2"/>
      <c r="HEP34" s="2"/>
      <c r="HEQ34" s="2"/>
      <c r="HER34" s="2"/>
      <c r="HES34" s="2"/>
      <c r="HET34" s="2"/>
      <c r="HEU34" s="2"/>
      <c r="HEV34" s="2"/>
      <c r="HEW34" s="2"/>
      <c r="HEX34" s="2"/>
      <c r="HEY34" s="2"/>
      <c r="HEZ34" s="2"/>
      <c r="HFA34" s="2"/>
      <c r="HFB34" s="2"/>
      <c r="HFC34" s="2"/>
      <c r="HFD34" s="2"/>
      <c r="HFE34" s="2"/>
      <c r="HFF34" s="2"/>
      <c r="HFG34" s="2"/>
      <c r="HFH34" s="2"/>
      <c r="HFI34" s="2"/>
      <c r="HFJ34" s="2"/>
      <c r="HFK34" s="2"/>
      <c r="HFL34" s="2"/>
      <c r="HFM34" s="2"/>
      <c r="HFN34" s="2"/>
      <c r="HFO34" s="2"/>
      <c r="HFP34" s="2"/>
      <c r="HFQ34" s="2"/>
      <c r="HFR34" s="2"/>
      <c r="HFS34" s="2"/>
      <c r="HFT34" s="2"/>
      <c r="HFU34" s="2"/>
      <c r="HFV34" s="2"/>
      <c r="HFW34" s="2"/>
      <c r="HFX34" s="2"/>
      <c r="HFY34" s="2"/>
      <c r="HFZ34" s="2"/>
      <c r="HGA34" s="2"/>
      <c r="HGB34" s="2"/>
      <c r="HGC34" s="2"/>
      <c r="HGD34" s="2"/>
      <c r="HGE34" s="2"/>
      <c r="HGF34" s="2"/>
      <c r="HGG34" s="2"/>
      <c r="HGH34" s="2"/>
      <c r="HGI34" s="2"/>
      <c r="HGJ34" s="2"/>
      <c r="HGK34" s="2"/>
      <c r="HGL34" s="2"/>
      <c r="HGM34" s="2"/>
      <c r="HGN34" s="2"/>
      <c r="HGO34" s="2"/>
      <c r="HGP34" s="2"/>
      <c r="HGQ34" s="2"/>
      <c r="HGR34" s="2"/>
      <c r="HGS34" s="2"/>
      <c r="HGT34" s="2"/>
      <c r="HGU34" s="2"/>
      <c r="HGV34" s="2"/>
      <c r="HGW34" s="2"/>
      <c r="HGX34" s="2"/>
      <c r="HGY34" s="2"/>
      <c r="HGZ34" s="2"/>
      <c r="HHA34" s="2"/>
      <c r="HHB34" s="2"/>
      <c r="HHC34" s="2"/>
      <c r="HHD34" s="2"/>
      <c r="HHE34" s="2"/>
      <c r="HHF34" s="2"/>
      <c r="HHG34" s="2"/>
      <c r="HHH34" s="2"/>
      <c r="HHI34" s="2"/>
      <c r="HHJ34" s="2"/>
      <c r="HHK34" s="2"/>
      <c r="HHL34" s="2"/>
      <c r="HHM34" s="2"/>
      <c r="HHN34" s="2"/>
      <c r="HHO34" s="2"/>
      <c r="HHP34" s="2"/>
      <c r="HHQ34" s="2"/>
      <c r="HHR34" s="2"/>
      <c r="HHS34" s="2"/>
      <c r="HHT34" s="2"/>
      <c r="HHU34" s="2"/>
      <c r="HHV34" s="2"/>
      <c r="HHW34" s="2"/>
      <c r="HHX34" s="2"/>
      <c r="HHY34" s="2"/>
      <c r="HHZ34" s="2"/>
      <c r="HIA34" s="2"/>
      <c r="HIB34" s="2"/>
      <c r="HIC34" s="2"/>
      <c r="HID34" s="2"/>
      <c r="HIE34" s="2"/>
      <c r="HIF34" s="2"/>
      <c r="HIG34" s="2"/>
      <c r="HIH34" s="2"/>
      <c r="HII34" s="2"/>
      <c r="HIJ34" s="2"/>
      <c r="HIK34" s="2"/>
      <c r="HIL34" s="2"/>
      <c r="HIM34" s="2"/>
      <c r="HIN34" s="2"/>
      <c r="HIO34" s="2"/>
      <c r="HIP34" s="2"/>
      <c r="HIQ34" s="2"/>
      <c r="HIR34" s="2"/>
      <c r="HIS34" s="2"/>
      <c r="HIT34" s="2"/>
      <c r="HIU34" s="2"/>
      <c r="HIV34" s="2"/>
      <c r="HIW34" s="2"/>
      <c r="HIX34" s="2"/>
      <c r="HIY34" s="2"/>
      <c r="HIZ34" s="2"/>
      <c r="HJA34" s="2"/>
      <c r="HJB34" s="2"/>
      <c r="HJC34" s="2"/>
      <c r="HJD34" s="2"/>
      <c r="HJE34" s="2"/>
      <c r="HJF34" s="2"/>
      <c r="HJG34" s="2"/>
      <c r="HJH34" s="2"/>
      <c r="HJI34" s="2"/>
      <c r="HJJ34" s="2"/>
      <c r="HJK34" s="2"/>
      <c r="HJL34" s="2"/>
      <c r="HJM34" s="2"/>
      <c r="HJN34" s="2"/>
      <c r="HJO34" s="2"/>
      <c r="HJP34" s="2"/>
      <c r="HJQ34" s="2"/>
      <c r="HJR34" s="2"/>
      <c r="HJS34" s="2"/>
      <c r="HJT34" s="2"/>
      <c r="HJU34" s="2"/>
      <c r="HJV34" s="2"/>
      <c r="HJW34" s="2"/>
      <c r="HJX34" s="2"/>
      <c r="HJY34" s="2"/>
      <c r="HJZ34" s="2"/>
      <c r="HKA34" s="2"/>
      <c r="HKB34" s="2"/>
      <c r="HKC34" s="2"/>
      <c r="HKD34" s="2"/>
      <c r="HKE34" s="2"/>
      <c r="HKF34" s="2"/>
      <c r="HKG34" s="2"/>
      <c r="HKH34" s="2"/>
      <c r="HKI34" s="2"/>
      <c r="HKJ34" s="2"/>
      <c r="HKK34" s="2"/>
      <c r="HKL34" s="2"/>
      <c r="HKM34" s="2"/>
      <c r="HKN34" s="2"/>
      <c r="HKO34" s="2"/>
      <c r="HKP34" s="2"/>
      <c r="HKQ34" s="2"/>
      <c r="HKR34" s="2"/>
      <c r="HKS34" s="2"/>
      <c r="HKT34" s="2"/>
      <c r="HKU34" s="2"/>
      <c r="HKV34" s="2"/>
      <c r="HKW34" s="2"/>
      <c r="HKX34" s="2"/>
      <c r="HKY34" s="2"/>
      <c r="HKZ34" s="2"/>
      <c r="HLA34" s="2"/>
      <c r="HLB34" s="2"/>
      <c r="HLC34" s="2"/>
      <c r="HLD34" s="2"/>
      <c r="HLE34" s="2"/>
      <c r="HLF34" s="2"/>
      <c r="HLG34" s="2"/>
      <c r="HLH34" s="2"/>
      <c r="HLI34" s="2"/>
      <c r="HLJ34" s="2"/>
      <c r="HLK34" s="2"/>
      <c r="HLL34" s="2"/>
      <c r="HLM34" s="2"/>
      <c r="HLN34" s="2"/>
      <c r="HLO34" s="2"/>
      <c r="HLP34" s="2"/>
      <c r="HLQ34" s="2"/>
      <c r="HLR34" s="2"/>
      <c r="HLS34" s="2"/>
      <c r="HLT34" s="2"/>
      <c r="HLU34" s="2"/>
      <c r="HLV34" s="2"/>
      <c r="HLW34" s="2"/>
      <c r="HLX34" s="2"/>
      <c r="HLY34" s="2"/>
      <c r="HLZ34" s="2"/>
      <c r="HMA34" s="2"/>
      <c r="HMB34" s="2"/>
      <c r="HMC34" s="2"/>
      <c r="HMD34" s="2"/>
      <c r="HME34" s="2"/>
      <c r="HMF34" s="2"/>
      <c r="HMG34" s="2"/>
      <c r="HMH34" s="2"/>
      <c r="HMI34" s="2"/>
      <c r="HMJ34" s="2"/>
      <c r="HMK34" s="2"/>
      <c r="HML34" s="2"/>
      <c r="HMM34" s="2"/>
      <c r="HMN34" s="2"/>
      <c r="HMO34" s="2"/>
      <c r="HMP34" s="2"/>
      <c r="HMQ34" s="2"/>
      <c r="HMR34" s="2"/>
      <c r="HMS34" s="2"/>
      <c r="HMT34" s="2"/>
      <c r="HMU34" s="2"/>
      <c r="HMV34" s="2"/>
      <c r="HMW34" s="2"/>
      <c r="HMX34" s="2"/>
      <c r="HMY34" s="2"/>
      <c r="HMZ34" s="2"/>
      <c r="HNA34" s="2"/>
      <c r="HNB34" s="2"/>
      <c r="HNC34" s="2"/>
      <c r="HND34" s="2"/>
      <c r="HNE34" s="2"/>
      <c r="HNF34" s="2"/>
      <c r="HNG34" s="2"/>
      <c r="HNH34" s="2"/>
      <c r="HNI34" s="2"/>
      <c r="HNJ34" s="2"/>
      <c r="HNK34" s="2"/>
      <c r="HNL34" s="2"/>
      <c r="HNM34" s="2"/>
      <c r="HNN34" s="2"/>
      <c r="HNO34" s="2"/>
      <c r="HNP34" s="2"/>
      <c r="HNQ34" s="2"/>
      <c r="HNR34" s="2"/>
      <c r="HNS34" s="2"/>
      <c r="HNT34" s="2"/>
      <c r="HNU34" s="2"/>
      <c r="HNV34" s="2"/>
      <c r="HNW34" s="2"/>
      <c r="HNX34" s="2"/>
      <c r="HNY34" s="2"/>
      <c r="HNZ34" s="2"/>
      <c r="HOA34" s="2"/>
      <c r="HOB34" s="2"/>
      <c r="HOC34" s="2"/>
      <c r="HOD34" s="2"/>
      <c r="HOE34" s="2"/>
      <c r="HOF34" s="2"/>
      <c r="HOG34" s="2"/>
      <c r="HOH34" s="2"/>
      <c r="HOI34" s="2"/>
      <c r="HOJ34" s="2"/>
      <c r="HOK34" s="2"/>
      <c r="HOL34" s="2"/>
      <c r="HOM34" s="2"/>
      <c r="HON34" s="2"/>
      <c r="HOO34" s="2"/>
      <c r="HOP34" s="2"/>
      <c r="HOQ34" s="2"/>
      <c r="HOR34" s="2"/>
      <c r="HOS34" s="2"/>
      <c r="HOT34" s="2"/>
      <c r="HOU34" s="2"/>
      <c r="HOV34" s="2"/>
      <c r="HOW34" s="2"/>
      <c r="HOX34" s="2"/>
      <c r="HOY34" s="2"/>
      <c r="HOZ34" s="2"/>
      <c r="HPA34" s="2"/>
      <c r="HPB34" s="2"/>
      <c r="HPC34" s="2"/>
      <c r="HPD34" s="2"/>
      <c r="HPE34" s="2"/>
      <c r="HPF34" s="2"/>
      <c r="HPG34" s="2"/>
      <c r="HPH34" s="2"/>
      <c r="HPI34" s="2"/>
      <c r="HPJ34" s="2"/>
      <c r="HPK34" s="2"/>
      <c r="HPL34" s="2"/>
      <c r="HPM34" s="2"/>
      <c r="HPN34" s="2"/>
      <c r="HPO34" s="2"/>
      <c r="HPP34" s="2"/>
      <c r="HPQ34" s="2"/>
      <c r="HPR34" s="2"/>
      <c r="HPS34" s="2"/>
      <c r="HPT34" s="2"/>
      <c r="HPU34" s="2"/>
      <c r="HPV34" s="2"/>
      <c r="HPW34" s="2"/>
      <c r="HPX34" s="2"/>
      <c r="HPY34" s="2"/>
      <c r="HPZ34" s="2"/>
      <c r="HQA34" s="2"/>
      <c r="HQB34" s="2"/>
      <c r="HQC34" s="2"/>
      <c r="HQD34" s="2"/>
      <c r="HQE34" s="2"/>
      <c r="HQF34" s="2"/>
      <c r="HQG34" s="2"/>
      <c r="HQH34" s="2"/>
      <c r="HQI34" s="2"/>
      <c r="HQJ34" s="2"/>
      <c r="HQK34" s="2"/>
      <c r="HQL34" s="2"/>
      <c r="HQM34" s="2"/>
      <c r="HQN34" s="2"/>
      <c r="HQO34" s="2"/>
      <c r="HQP34" s="2"/>
      <c r="HQQ34" s="2"/>
      <c r="HQR34" s="2"/>
      <c r="HQS34" s="2"/>
      <c r="HQT34" s="2"/>
      <c r="HQU34" s="2"/>
      <c r="HQV34" s="2"/>
      <c r="HQW34" s="2"/>
      <c r="HQX34" s="2"/>
      <c r="HQY34" s="2"/>
      <c r="HQZ34" s="2"/>
      <c r="HRA34" s="2"/>
      <c r="HRB34" s="2"/>
      <c r="HRC34" s="2"/>
      <c r="HRD34" s="2"/>
      <c r="HRE34" s="2"/>
      <c r="HRF34" s="2"/>
      <c r="HRG34" s="2"/>
      <c r="HRH34" s="2"/>
      <c r="HRI34" s="2"/>
      <c r="HRJ34" s="2"/>
      <c r="HRK34" s="2"/>
      <c r="HRL34" s="2"/>
      <c r="HRM34" s="2"/>
      <c r="HRN34" s="2"/>
      <c r="HRO34" s="2"/>
      <c r="HRP34" s="2"/>
      <c r="HRQ34" s="2"/>
      <c r="HRR34" s="2"/>
      <c r="HRS34" s="2"/>
      <c r="HRT34" s="2"/>
      <c r="HRU34" s="2"/>
      <c r="HRV34" s="2"/>
      <c r="HRW34" s="2"/>
      <c r="HRX34" s="2"/>
      <c r="HRY34" s="2"/>
      <c r="HRZ34" s="2"/>
      <c r="HSA34" s="2"/>
      <c r="HSB34" s="2"/>
      <c r="HSC34" s="2"/>
      <c r="HSD34" s="2"/>
      <c r="HSE34" s="2"/>
      <c r="HSF34" s="2"/>
      <c r="HSG34" s="2"/>
      <c r="HSH34" s="2"/>
      <c r="HSI34" s="2"/>
      <c r="HSJ34" s="2"/>
      <c r="HSK34" s="2"/>
      <c r="HSL34" s="2"/>
      <c r="HSM34" s="2"/>
      <c r="HSN34" s="2"/>
      <c r="HSO34" s="2"/>
      <c r="HSP34" s="2"/>
      <c r="HSQ34" s="2"/>
      <c r="HSR34" s="2"/>
      <c r="HSS34" s="2"/>
      <c r="HST34" s="2"/>
      <c r="HSU34" s="2"/>
      <c r="HSV34" s="2"/>
      <c r="HSW34" s="2"/>
      <c r="HSX34" s="2"/>
      <c r="HSY34" s="2"/>
      <c r="HSZ34" s="2"/>
      <c r="HTA34" s="2"/>
      <c r="HTB34" s="2"/>
      <c r="HTC34" s="2"/>
      <c r="HTD34" s="2"/>
      <c r="HTE34" s="2"/>
      <c r="HTF34" s="2"/>
      <c r="HTG34" s="2"/>
      <c r="HTH34" s="2"/>
      <c r="HTI34" s="2"/>
      <c r="HTJ34" s="2"/>
      <c r="HTK34" s="2"/>
      <c r="HTL34" s="2"/>
      <c r="HTM34" s="2"/>
      <c r="HTN34" s="2"/>
      <c r="HTO34" s="2"/>
      <c r="HTP34" s="2"/>
      <c r="HTQ34" s="2"/>
      <c r="HTR34" s="2"/>
      <c r="HTS34" s="2"/>
      <c r="HTT34" s="2"/>
      <c r="HTU34" s="2"/>
      <c r="HTV34" s="2"/>
      <c r="HTW34" s="2"/>
      <c r="HTX34" s="2"/>
      <c r="HTY34" s="2"/>
      <c r="HTZ34" s="2"/>
      <c r="HUA34" s="2"/>
      <c r="HUB34" s="2"/>
      <c r="HUC34" s="2"/>
      <c r="HUD34" s="2"/>
      <c r="HUE34" s="2"/>
      <c r="HUF34" s="2"/>
      <c r="HUG34" s="2"/>
      <c r="HUH34" s="2"/>
      <c r="HUI34" s="2"/>
      <c r="HUJ34" s="2"/>
      <c r="HUK34" s="2"/>
      <c r="HUL34" s="2"/>
      <c r="HUM34" s="2"/>
      <c r="HUN34" s="2"/>
      <c r="HUO34" s="2"/>
      <c r="HUP34" s="2"/>
      <c r="HUQ34" s="2"/>
      <c r="HUR34" s="2"/>
      <c r="HUS34" s="2"/>
      <c r="HUT34" s="2"/>
      <c r="HUU34" s="2"/>
      <c r="HUV34" s="2"/>
      <c r="HUW34" s="2"/>
      <c r="HUX34" s="2"/>
      <c r="HUY34" s="2"/>
      <c r="HUZ34" s="2"/>
      <c r="HVA34" s="2"/>
      <c r="HVB34" s="2"/>
      <c r="HVC34" s="2"/>
      <c r="HVD34" s="2"/>
      <c r="HVE34" s="2"/>
      <c r="HVF34" s="2"/>
      <c r="HVG34" s="2"/>
      <c r="HVH34" s="2"/>
      <c r="HVI34" s="2"/>
      <c r="HVJ34" s="2"/>
      <c r="HVK34" s="2"/>
      <c r="HVL34" s="2"/>
      <c r="HVM34" s="2"/>
      <c r="HVN34" s="2"/>
      <c r="HVO34" s="2"/>
      <c r="HVP34" s="2"/>
      <c r="HVQ34" s="2"/>
      <c r="HVR34" s="2"/>
      <c r="HVS34" s="2"/>
      <c r="HVT34" s="2"/>
      <c r="HVU34" s="2"/>
      <c r="HVV34" s="2"/>
      <c r="HVW34" s="2"/>
      <c r="HVX34" s="2"/>
      <c r="HVY34" s="2"/>
      <c r="HVZ34" s="2"/>
      <c r="HWA34" s="2"/>
      <c r="HWB34" s="2"/>
      <c r="HWC34" s="2"/>
      <c r="HWD34" s="2"/>
      <c r="HWE34" s="2"/>
      <c r="HWF34" s="2"/>
      <c r="HWG34" s="2"/>
      <c r="HWH34" s="2"/>
      <c r="HWI34" s="2"/>
      <c r="HWJ34" s="2"/>
      <c r="HWK34" s="2"/>
      <c r="HWL34" s="2"/>
      <c r="HWM34" s="2"/>
      <c r="HWN34" s="2"/>
      <c r="HWO34" s="2"/>
      <c r="HWP34" s="2"/>
      <c r="HWQ34" s="2"/>
      <c r="HWR34" s="2"/>
      <c r="HWS34" s="2"/>
      <c r="HWT34" s="2"/>
      <c r="HWU34" s="2"/>
      <c r="HWV34" s="2"/>
      <c r="HWW34" s="2"/>
      <c r="HWX34" s="2"/>
      <c r="HWY34" s="2"/>
      <c r="HWZ34" s="2"/>
      <c r="HXA34" s="2"/>
      <c r="HXB34" s="2"/>
      <c r="HXC34" s="2"/>
      <c r="HXD34" s="2"/>
      <c r="HXE34" s="2"/>
      <c r="HXF34" s="2"/>
      <c r="HXG34" s="2"/>
      <c r="HXH34" s="2"/>
      <c r="HXI34" s="2"/>
      <c r="HXJ34" s="2"/>
      <c r="HXK34" s="2"/>
      <c r="HXL34" s="2"/>
      <c r="HXM34" s="2"/>
      <c r="HXN34" s="2"/>
      <c r="HXO34" s="2"/>
      <c r="HXP34" s="2"/>
      <c r="HXQ34" s="2"/>
      <c r="HXR34" s="2"/>
      <c r="HXS34" s="2"/>
      <c r="HXT34" s="2"/>
      <c r="HXU34" s="2"/>
      <c r="HXV34" s="2"/>
      <c r="HXW34" s="2"/>
      <c r="HXX34" s="2"/>
      <c r="HXY34" s="2"/>
      <c r="HXZ34" s="2"/>
      <c r="HYA34" s="2"/>
      <c r="HYB34" s="2"/>
      <c r="HYC34" s="2"/>
      <c r="HYD34" s="2"/>
      <c r="HYE34" s="2"/>
      <c r="HYF34" s="2"/>
      <c r="HYG34" s="2"/>
      <c r="HYH34" s="2"/>
      <c r="HYI34" s="2"/>
      <c r="HYJ34" s="2"/>
      <c r="HYK34" s="2"/>
      <c r="HYL34" s="2"/>
      <c r="HYM34" s="2"/>
      <c r="HYN34" s="2"/>
      <c r="HYO34" s="2"/>
      <c r="HYP34" s="2"/>
      <c r="HYQ34" s="2"/>
      <c r="HYR34" s="2"/>
      <c r="HYS34" s="2"/>
      <c r="HYT34" s="2"/>
      <c r="HYU34" s="2"/>
      <c r="HYV34" s="2"/>
      <c r="HYW34" s="2"/>
      <c r="HYX34" s="2"/>
      <c r="HYY34" s="2"/>
      <c r="HYZ34" s="2"/>
      <c r="HZA34" s="2"/>
      <c r="HZB34" s="2"/>
      <c r="HZC34" s="2"/>
      <c r="HZD34" s="2"/>
      <c r="HZE34" s="2"/>
      <c r="HZF34" s="2"/>
      <c r="HZG34" s="2"/>
      <c r="HZH34" s="2"/>
      <c r="HZI34" s="2"/>
      <c r="HZJ34" s="2"/>
      <c r="HZK34" s="2"/>
      <c r="HZL34" s="2"/>
      <c r="HZM34" s="2"/>
      <c r="HZN34" s="2"/>
      <c r="HZO34" s="2"/>
      <c r="HZP34" s="2"/>
      <c r="HZQ34" s="2"/>
      <c r="HZR34" s="2"/>
      <c r="HZS34" s="2"/>
      <c r="HZT34" s="2"/>
      <c r="HZU34" s="2"/>
      <c r="HZV34" s="2"/>
      <c r="HZW34" s="2"/>
      <c r="HZX34" s="2"/>
      <c r="HZY34" s="2"/>
      <c r="HZZ34" s="2"/>
      <c r="IAA34" s="2"/>
      <c r="IAB34" s="2"/>
      <c r="IAC34" s="2"/>
      <c r="IAD34" s="2"/>
      <c r="IAE34" s="2"/>
      <c r="IAF34" s="2"/>
      <c r="IAG34" s="2"/>
      <c r="IAH34" s="2"/>
      <c r="IAI34" s="2"/>
      <c r="IAJ34" s="2"/>
      <c r="IAK34" s="2"/>
      <c r="IAL34" s="2"/>
      <c r="IAM34" s="2"/>
      <c r="IAN34" s="2"/>
      <c r="IAO34" s="2"/>
      <c r="IAP34" s="2"/>
      <c r="IAQ34" s="2"/>
      <c r="IAR34" s="2"/>
      <c r="IAS34" s="2"/>
      <c r="IAT34" s="2"/>
      <c r="IAU34" s="2"/>
      <c r="IAV34" s="2"/>
      <c r="IAW34" s="2"/>
      <c r="IAX34" s="2"/>
      <c r="IAY34" s="2"/>
      <c r="IAZ34" s="2"/>
      <c r="IBA34" s="2"/>
      <c r="IBB34" s="2"/>
      <c r="IBC34" s="2"/>
      <c r="IBD34" s="2"/>
      <c r="IBE34" s="2"/>
      <c r="IBF34" s="2"/>
      <c r="IBG34" s="2"/>
      <c r="IBH34" s="2"/>
      <c r="IBI34" s="2"/>
      <c r="IBJ34" s="2"/>
      <c r="IBK34" s="2"/>
      <c r="IBL34" s="2"/>
      <c r="IBM34" s="2"/>
      <c r="IBN34" s="2"/>
      <c r="IBO34" s="2"/>
      <c r="IBP34" s="2"/>
      <c r="IBQ34" s="2"/>
      <c r="IBR34" s="2"/>
      <c r="IBS34" s="2"/>
      <c r="IBT34" s="2"/>
      <c r="IBU34" s="2"/>
      <c r="IBV34" s="2"/>
      <c r="IBW34" s="2"/>
      <c r="IBX34" s="2"/>
      <c r="IBY34" s="2"/>
      <c r="IBZ34" s="2"/>
      <c r="ICA34" s="2"/>
      <c r="ICB34" s="2"/>
      <c r="ICC34" s="2"/>
      <c r="ICD34" s="2"/>
      <c r="ICE34" s="2"/>
      <c r="ICF34" s="2"/>
      <c r="ICG34" s="2"/>
      <c r="ICH34" s="2"/>
      <c r="ICI34" s="2"/>
      <c r="ICJ34" s="2"/>
      <c r="ICK34" s="2"/>
      <c r="ICL34" s="2"/>
      <c r="ICM34" s="2"/>
      <c r="ICN34" s="2"/>
      <c r="ICO34" s="2"/>
      <c r="ICP34" s="2"/>
      <c r="ICQ34" s="2"/>
      <c r="ICR34" s="2"/>
      <c r="ICS34" s="2"/>
      <c r="ICT34" s="2"/>
      <c r="ICU34" s="2"/>
      <c r="ICV34" s="2"/>
      <c r="ICW34" s="2"/>
      <c r="ICX34" s="2"/>
      <c r="ICY34" s="2"/>
      <c r="ICZ34" s="2"/>
      <c r="IDA34" s="2"/>
      <c r="IDB34" s="2"/>
      <c r="IDC34" s="2"/>
      <c r="IDD34" s="2"/>
      <c r="IDE34" s="2"/>
      <c r="IDF34" s="2"/>
      <c r="IDG34" s="2"/>
      <c r="IDH34" s="2"/>
      <c r="IDI34" s="2"/>
      <c r="IDJ34" s="2"/>
      <c r="IDK34" s="2"/>
      <c r="IDL34" s="2"/>
      <c r="IDM34" s="2"/>
      <c r="IDN34" s="2"/>
      <c r="IDO34" s="2"/>
      <c r="IDP34" s="2"/>
      <c r="IDQ34" s="2"/>
      <c r="IDR34" s="2"/>
      <c r="IDS34" s="2"/>
      <c r="IDT34" s="2"/>
      <c r="IDU34" s="2"/>
      <c r="IDV34" s="2"/>
      <c r="IDW34" s="2"/>
      <c r="IDX34" s="2"/>
      <c r="IDY34" s="2"/>
      <c r="IDZ34" s="2"/>
      <c r="IEA34" s="2"/>
      <c r="IEB34" s="2"/>
      <c r="IEC34" s="2"/>
      <c r="IED34" s="2"/>
      <c r="IEE34" s="2"/>
      <c r="IEF34" s="2"/>
      <c r="IEG34" s="2"/>
      <c r="IEH34" s="2"/>
      <c r="IEI34" s="2"/>
      <c r="IEJ34" s="2"/>
      <c r="IEK34" s="2"/>
      <c r="IEL34" s="2"/>
      <c r="IEM34" s="2"/>
      <c r="IEN34" s="2"/>
      <c r="IEO34" s="2"/>
      <c r="IEP34" s="2"/>
      <c r="IEQ34" s="2"/>
      <c r="IER34" s="2"/>
      <c r="IES34" s="2"/>
      <c r="IET34" s="2"/>
      <c r="IEU34" s="2"/>
      <c r="IEV34" s="2"/>
      <c r="IEW34" s="2"/>
      <c r="IEX34" s="2"/>
      <c r="IEY34" s="2"/>
      <c r="IEZ34" s="2"/>
      <c r="IFA34" s="2"/>
      <c r="IFB34" s="2"/>
      <c r="IFC34" s="2"/>
      <c r="IFD34" s="2"/>
      <c r="IFE34" s="2"/>
      <c r="IFF34" s="2"/>
      <c r="IFG34" s="2"/>
      <c r="IFH34" s="2"/>
      <c r="IFI34" s="2"/>
      <c r="IFJ34" s="2"/>
      <c r="IFK34" s="2"/>
      <c r="IFL34" s="2"/>
      <c r="IFM34" s="2"/>
      <c r="IFN34" s="2"/>
      <c r="IFO34" s="2"/>
      <c r="IFP34" s="2"/>
      <c r="IFQ34" s="2"/>
      <c r="IFR34" s="2"/>
      <c r="IFS34" s="2"/>
      <c r="IFT34" s="2"/>
      <c r="IFU34" s="2"/>
      <c r="IFV34" s="2"/>
      <c r="IFW34" s="2"/>
      <c r="IFX34" s="2"/>
      <c r="IFY34" s="2"/>
      <c r="IFZ34" s="2"/>
      <c r="IGA34" s="2"/>
      <c r="IGB34" s="2"/>
      <c r="IGC34" s="2"/>
      <c r="IGD34" s="2"/>
      <c r="IGE34" s="2"/>
      <c r="IGF34" s="2"/>
      <c r="IGG34" s="2"/>
      <c r="IGH34" s="2"/>
      <c r="IGI34" s="2"/>
      <c r="IGJ34" s="2"/>
      <c r="IGK34" s="2"/>
      <c r="IGL34" s="2"/>
      <c r="IGM34" s="2"/>
      <c r="IGN34" s="2"/>
      <c r="IGO34" s="2"/>
      <c r="IGP34" s="2"/>
      <c r="IGQ34" s="2"/>
      <c r="IGR34" s="2"/>
      <c r="IGS34" s="2"/>
      <c r="IGT34" s="2"/>
      <c r="IGU34" s="2"/>
      <c r="IGV34" s="2"/>
      <c r="IGW34" s="2"/>
      <c r="IGX34" s="2"/>
      <c r="IGY34" s="2"/>
      <c r="IGZ34" s="2"/>
      <c r="IHA34" s="2"/>
      <c r="IHB34" s="2"/>
      <c r="IHC34" s="2"/>
      <c r="IHD34" s="2"/>
      <c r="IHE34" s="2"/>
      <c r="IHF34" s="2"/>
      <c r="IHG34" s="2"/>
      <c r="IHH34" s="2"/>
      <c r="IHI34" s="2"/>
      <c r="IHJ34" s="2"/>
      <c r="IHK34" s="2"/>
      <c r="IHL34" s="2"/>
      <c r="IHM34" s="2"/>
      <c r="IHN34" s="2"/>
      <c r="IHO34" s="2"/>
      <c r="IHP34" s="2"/>
      <c r="IHQ34" s="2"/>
      <c r="IHR34" s="2"/>
      <c r="IHS34" s="2"/>
      <c r="IHT34" s="2"/>
      <c r="IHU34" s="2"/>
      <c r="IHV34" s="2"/>
      <c r="IHW34" s="2"/>
      <c r="IHX34" s="2"/>
      <c r="IHY34" s="2"/>
      <c r="IHZ34" s="2"/>
      <c r="IIA34" s="2"/>
      <c r="IIB34" s="2"/>
      <c r="IIC34" s="2"/>
      <c r="IID34" s="2"/>
      <c r="IIE34" s="2"/>
      <c r="IIF34" s="2"/>
      <c r="IIG34" s="2"/>
      <c r="IIH34" s="2"/>
      <c r="III34" s="2"/>
      <c r="IIJ34" s="2"/>
      <c r="IIK34" s="2"/>
      <c r="IIL34" s="2"/>
      <c r="IIM34" s="2"/>
      <c r="IIN34" s="2"/>
      <c r="IIO34" s="2"/>
      <c r="IIP34" s="2"/>
      <c r="IIQ34" s="2"/>
      <c r="IIR34" s="2"/>
      <c r="IIS34" s="2"/>
      <c r="IIT34" s="2"/>
      <c r="IIU34" s="2"/>
      <c r="IIV34" s="2"/>
      <c r="IIW34" s="2"/>
      <c r="IIX34" s="2"/>
      <c r="IIY34" s="2"/>
      <c r="IIZ34" s="2"/>
      <c r="IJA34" s="2"/>
      <c r="IJB34" s="2"/>
      <c r="IJC34" s="2"/>
      <c r="IJD34" s="2"/>
      <c r="IJE34" s="2"/>
      <c r="IJF34" s="2"/>
      <c r="IJG34" s="2"/>
      <c r="IJH34" s="2"/>
      <c r="IJI34" s="2"/>
      <c r="IJJ34" s="2"/>
      <c r="IJK34" s="2"/>
      <c r="IJL34" s="2"/>
      <c r="IJM34" s="2"/>
      <c r="IJN34" s="2"/>
      <c r="IJO34" s="2"/>
      <c r="IJP34" s="2"/>
      <c r="IJQ34" s="2"/>
      <c r="IJR34" s="2"/>
      <c r="IJS34" s="2"/>
      <c r="IJT34" s="2"/>
      <c r="IJU34" s="2"/>
      <c r="IJV34" s="2"/>
      <c r="IJW34" s="2"/>
      <c r="IJX34" s="2"/>
      <c r="IJY34" s="2"/>
      <c r="IJZ34" s="2"/>
      <c r="IKA34" s="2"/>
      <c r="IKB34" s="2"/>
      <c r="IKC34" s="2"/>
      <c r="IKD34" s="2"/>
      <c r="IKE34" s="2"/>
      <c r="IKF34" s="2"/>
      <c r="IKG34" s="2"/>
      <c r="IKH34" s="2"/>
      <c r="IKI34" s="2"/>
      <c r="IKJ34" s="2"/>
      <c r="IKK34" s="2"/>
      <c r="IKL34" s="2"/>
      <c r="IKM34" s="2"/>
      <c r="IKN34" s="2"/>
      <c r="IKO34" s="2"/>
      <c r="IKP34" s="2"/>
      <c r="IKQ34" s="2"/>
      <c r="IKR34" s="2"/>
      <c r="IKS34" s="2"/>
      <c r="IKT34" s="2"/>
      <c r="IKU34" s="2"/>
      <c r="IKV34" s="2"/>
      <c r="IKW34" s="2"/>
      <c r="IKX34" s="2"/>
      <c r="IKY34" s="2"/>
      <c r="IKZ34" s="2"/>
      <c r="ILA34" s="2"/>
      <c r="ILB34" s="2"/>
      <c r="ILC34" s="2"/>
      <c r="ILD34" s="2"/>
      <c r="ILE34" s="2"/>
      <c r="ILF34" s="2"/>
      <c r="ILG34" s="2"/>
      <c r="ILH34" s="2"/>
      <c r="ILI34" s="2"/>
      <c r="ILJ34" s="2"/>
      <c r="ILK34" s="2"/>
      <c r="ILL34" s="2"/>
      <c r="ILM34" s="2"/>
      <c r="ILN34" s="2"/>
      <c r="ILO34" s="2"/>
      <c r="ILP34" s="2"/>
      <c r="ILQ34" s="2"/>
      <c r="ILR34" s="2"/>
      <c r="ILS34" s="2"/>
      <c r="ILT34" s="2"/>
      <c r="ILU34" s="2"/>
      <c r="ILV34" s="2"/>
      <c r="ILW34" s="2"/>
      <c r="ILX34" s="2"/>
      <c r="ILY34" s="2"/>
      <c r="ILZ34" s="2"/>
      <c r="IMA34" s="2"/>
      <c r="IMB34" s="2"/>
      <c r="IMC34" s="2"/>
      <c r="IMD34" s="2"/>
      <c r="IME34" s="2"/>
      <c r="IMF34" s="2"/>
      <c r="IMG34" s="2"/>
      <c r="IMH34" s="2"/>
      <c r="IMI34" s="2"/>
      <c r="IMJ34" s="2"/>
      <c r="IMK34" s="2"/>
      <c r="IML34" s="2"/>
      <c r="IMM34" s="2"/>
      <c r="IMN34" s="2"/>
      <c r="IMO34" s="2"/>
      <c r="IMP34" s="2"/>
      <c r="IMQ34" s="2"/>
      <c r="IMR34" s="2"/>
      <c r="IMS34" s="2"/>
      <c r="IMT34" s="2"/>
      <c r="IMU34" s="2"/>
      <c r="IMV34" s="2"/>
      <c r="IMW34" s="2"/>
      <c r="IMX34" s="2"/>
      <c r="IMY34" s="2"/>
      <c r="IMZ34" s="2"/>
      <c r="INA34" s="2"/>
      <c r="INB34" s="2"/>
      <c r="INC34" s="2"/>
      <c r="IND34" s="2"/>
      <c r="INE34" s="2"/>
      <c r="INF34" s="2"/>
      <c r="ING34" s="2"/>
      <c r="INH34" s="2"/>
      <c r="INI34" s="2"/>
      <c r="INJ34" s="2"/>
      <c r="INK34" s="2"/>
      <c r="INL34" s="2"/>
      <c r="INM34" s="2"/>
      <c r="INN34" s="2"/>
      <c r="INO34" s="2"/>
      <c r="INP34" s="2"/>
      <c r="INQ34" s="2"/>
      <c r="INR34" s="2"/>
      <c r="INS34" s="2"/>
      <c r="INT34" s="2"/>
      <c r="INU34" s="2"/>
      <c r="INV34" s="2"/>
      <c r="INW34" s="2"/>
      <c r="INX34" s="2"/>
      <c r="INY34" s="2"/>
      <c r="INZ34" s="2"/>
      <c r="IOA34" s="2"/>
      <c r="IOB34" s="2"/>
      <c r="IOC34" s="2"/>
      <c r="IOD34" s="2"/>
      <c r="IOE34" s="2"/>
      <c r="IOF34" s="2"/>
      <c r="IOG34" s="2"/>
      <c r="IOH34" s="2"/>
      <c r="IOI34" s="2"/>
      <c r="IOJ34" s="2"/>
      <c r="IOK34" s="2"/>
      <c r="IOL34" s="2"/>
      <c r="IOM34" s="2"/>
      <c r="ION34" s="2"/>
      <c r="IOO34" s="2"/>
      <c r="IOP34" s="2"/>
      <c r="IOQ34" s="2"/>
      <c r="IOR34" s="2"/>
      <c r="IOS34" s="2"/>
      <c r="IOT34" s="2"/>
      <c r="IOU34" s="2"/>
      <c r="IOV34" s="2"/>
      <c r="IOW34" s="2"/>
      <c r="IOX34" s="2"/>
      <c r="IOY34" s="2"/>
      <c r="IOZ34" s="2"/>
      <c r="IPA34" s="2"/>
      <c r="IPB34" s="2"/>
      <c r="IPC34" s="2"/>
      <c r="IPD34" s="2"/>
      <c r="IPE34" s="2"/>
      <c r="IPF34" s="2"/>
      <c r="IPG34" s="2"/>
      <c r="IPH34" s="2"/>
      <c r="IPI34" s="2"/>
      <c r="IPJ34" s="2"/>
      <c r="IPK34" s="2"/>
      <c r="IPL34" s="2"/>
      <c r="IPM34" s="2"/>
      <c r="IPN34" s="2"/>
      <c r="IPO34" s="2"/>
      <c r="IPP34" s="2"/>
      <c r="IPQ34" s="2"/>
      <c r="IPR34" s="2"/>
      <c r="IPS34" s="2"/>
      <c r="IPT34" s="2"/>
      <c r="IPU34" s="2"/>
      <c r="IPV34" s="2"/>
      <c r="IPW34" s="2"/>
      <c r="IPX34" s="2"/>
      <c r="IPY34" s="2"/>
      <c r="IPZ34" s="2"/>
      <c r="IQA34" s="2"/>
      <c r="IQB34" s="2"/>
      <c r="IQC34" s="2"/>
      <c r="IQD34" s="2"/>
      <c r="IQE34" s="2"/>
      <c r="IQF34" s="2"/>
      <c r="IQG34" s="2"/>
      <c r="IQH34" s="2"/>
      <c r="IQI34" s="2"/>
      <c r="IQJ34" s="2"/>
      <c r="IQK34" s="2"/>
      <c r="IQL34" s="2"/>
      <c r="IQM34" s="2"/>
      <c r="IQN34" s="2"/>
      <c r="IQO34" s="2"/>
      <c r="IQP34" s="2"/>
      <c r="IQQ34" s="2"/>
      <c r="IQR34" s="2"/>
      <c r="IQS34" s="2"/>
      <c r="IQT34" s="2"/>
      <c r="IQU34" s="2"/>
      <c r="IQV34" s="2"/>
      <c r="IQW34" s="2"/>
      <c r="IQX34" s="2"/>
      <c r="IQY34" s="2"/>
      <c r="IQZ34" s="2"/>
      <c r="IRA34" s="2"/>
      <c r="IRB34" s="2"/>
      <c r="IRC34" s="2"/>
      <c r="IRD34" s="2"/>
      <c r="IRE34" s="2"/>
      <c r="IRF34" s="2"/>
      <c r="IRG34" s="2"/>
      <c r="IRH34" s="2"/>
      <c r="IRI34" s="2"/>
      <c r="IRJ34" s="2"/>
      <c r="IRK34" s="2"/>
      <c r="IRL34" s="2"/>
      <c r="IRM34" s="2"/>
      <c r="IRN34" s="2"/>
      <c r="IRO34" s="2"/>
      <c r="IRP34" s="2"/>
      <c r="IRQ34" s="2"/>
      <c r="IRR34" s="2"/>
      <c r="IRS34" s="2"/>
      <c r="IRT34" s="2"/>
      <c r="IRU34" s="2"/>
      <c r="IRV34" s="2"/>
      <c r="IRW34" s="2"/>
      <c r="IRX34" s="2"/>
      <c r="IRY34" s="2"/>
      <c r="IRZ34" s="2"/>
      <c r="ISA34" s="2"/>
      <c r="ISB34" s="2"/>
      <c r="ISC34" s="2"/>
      <c r="ISD34" s="2"/>
      <c r="ISE34" s="2"/>
      <c r="ISF34" s="2"/>
      <c r="ISG34" s="2"/>
      <c r="ISH34" s="2"/>
      <c r="ISI34" s="2"/>
      <c r="ISJ34" s="2"/>
      <c r="ISK34" s="2"/>
      <c r="ISL34" s="2"/>
      <c r="ISM34" s="2"/>
      <c r="ISN34" s="2"/>
      <c r="ISO34" s="2"/>
      <c r="ISP34" s="2"/>
      <c r="ISQ34" s="2"/>
      <c r="ISR34" s="2"/>
      <c r="ISS34" s="2"/>
      <c r="IST34" s="2"/>
      <c r="ISU34" s="2"/>
      <c r="ISV34" s="2"/>
      <c r="ISW34" s="2"/>
      <c r="ISX34" s="2"/>
      <c r="ISY34" s="2"/>
      <c r="ISZ34" s="2"/>
      <c r="ITA34" s="2"/>
      <c r="ITB34" s="2"/>
      <c r="ITC34" s="2"/>
      <c r="ITD34" s="2"/>
      <c r="ITE34" s="2"/>
      <c r="ITF34" s="2"/>
      <c r="ITG34" s="2"/>
      <c r="ITH34" s="2"/>
      <c r="ITI34" s="2"/>
      <c r="ITJ34" s="2"/>
      <c r="ITK34" s="2"/>
      <c r="ITL34" s="2"/>
      <c r="ITM34" s="2"/>
      <c r="ITN34" s="2"/>
      <c r="ITO34" s="2"/>
      <c r="ITP34" s="2"/>
      <c r="ITQ34" s="2"/>
      <c r="ITR34" s="2"/>
      <c r="ITS34" s="2"/>
      <c r="ITT34" s="2"/>
      <c r="ITU34" s="2"/>
      <c r="ITV34" s="2"/>
      <c r="ITW34" s="2"/>
      <c r="ITX34" s="2"/>
      <c r="ITY34" s="2"/>
      <c r="ITZ34" s="2"/>
      <c r="IUA34" s="2"/>
      <c r="IUB34" s="2"/>
      <c r="IUC34" s="2"/>
      <c r="IUD34" s="2"/>
      <c r="IUE34" s="2"/>
      <c r="IUF34" s="2"/>
      <c r="IUG34" s="2"/>
      <c r="IUH34" s="2"/>
      <c r="IUI34" s="2"/>
      <c r="IUJ34" s="2"/>
      <c r="IUK34" s="2"/>
      <c r="IUL34" s="2"/>
      <c r="IUM34" s="2"/>
      <c r="IUN34" s="2"/>
      <c r="IUO34" s="2"/>
      <c r="IUP34" s="2"/>
      <c r="IUQ34" s="2"/>
      <c r="IUR34" s="2"/>
      <c r="IUS34" s="2"/>
      <c r="IUT34" s="2"/>
      <c r="IUU34" s="2"/>
      <c r="IUV34" s="2"/>
      <c r="IUW34" s="2"/>
      <c r="IUX34" s="2"/>
      <c r="IUY34" s="2"/>
      <c r="IUZ34" s="2"/>
      <c r="IVA34" s="2"/>
      <c r="IVB34" s="2"/>
      <c r="IVC34" s="2"/>
      <c r="IVD34" s="2"/>
      <c r="IVE34" s="2"/>
      <c r="IVF34" s="2"/>
      <c r="IVG34" s="2"/>
      <c r="IVH34" s="2"/>
      <c r="IVI34" s="2"/>
      <c r="IVJ34" s="2"/>
      <c r="IVK34" s="2"/>
      <c r="IVL34" s="2"/>
      <c r="IVM34" s="2"/>
      <c r="IVN34" s="2"/>
      <c r="IVO34" s="2"/>
      <c r="IVP34" s="2"/>
      <c r="IVQ34" s="2"/>
      <c r="IVR34" s="2"/>
      <c r="IVS34" s="2"/>
      <c r="IVT34" s="2"/>
      <c r="IVU34" s="2"/>
      <c r="IVV34" s="2"/>
      <c r="IVW34" s="2"/>
      <c r="IVX34" s="2"/>
      <c r="IVY34" s="2"/>
      <c r="IVZ34" s="2"/>
      <c r="IWA34" s="2"/>
      <c r="IWB34" s="2"/>
      <c r="IWC34" s="2"/>
      <c r="IWD34" s="2"/>
      <c r="IWE34" s="2"/>
      <c r="IWF34" s="2"/>
      <c r="IWG34" s="2"/>
      <c r="IWH34" s="2"/>
      <c r="IWI34" s="2"/>
      <c r="IWJ34" s="2"/>
      <c r="IWK34" s="2"/>
      <c r="IWL34" s="2"/>
      <c r="IWM34" s="2"/>
      <c r="IWN34" s="2"/>
      <c r="IWO34" s="2"/>
      <c r="IWP34" s="2"/>
      <c r="IWQ34" s="2"/>
      <c r="IWR34" s="2"/>
      <c r="IWS34" s="2"/>
      <c r="IWT34" s="2"/>
      <c r="IWU34" s="2"/>
      <c r="IWV34" s="2"/>
      <c r="IWW34" s="2"/>
      <c r="IWX34" s="2"/>
      <c r="IWY34" s="2"/>
      <c r="IWZ34" s="2"/>
      <c r="IXA34" s="2"/>
      <c r="IXB34" s="2"/>
      <c r="IXC34" s="2"/>
      <c r="IXD34" s="2"/>
      <c r="IXE34" s="2"/>
      <c r="IXF34" s="2"/>
      <c r="IXG34" s="2"/>
      <c r="IXH34" s="2"/>
      <c r="IXI34" s="2"/>
      <c r="IXJ34" s="2"/>
      <c r="IXK34" s="2"/>
      <c r="IXL34" s="2"/>
      <c r="IXM34" s="2"/>
      <c r="IXN34" s="2"/>
      <c r="IXO34" s="2"/>
      <c r="IXP34" s="2"/>
      <c r="IXQ34" s="2"/>
      <c r="IXR34" s="2"/>
      <c r="IXS34" s="2"/>
      <c r="IXT34" s="2"/>
      <c r="IXU34" s="2"/>
      <c r="IXV34" s="2"/>
      <c r="IXW34" s="2"/>
      <c r="IXX34" s="2"/>
      <c r="IXY34" s="2"/>
      <c r="IXZ34" s="2"/>
      <c r="IYA34" s="2"/>
      <c r="IYB34" s="2"/>
      <c r="IYC34" s="2"/>
      <c r="IYD34" s="2"/>
      <c r="IYE34" s="2"/>
      <c r="IYF34" s="2"/>
      <c r="IYG34" s="2"/>
      <c r="IYH34" s="2"/>
      <c r="IYI34" s="2"/>
      <c r="IYJ34" s="2"/>
      <c r="IYK34" s="2"/>
      <c r="IYL34" s="2"/>
      <c r="IYM34" s="2"/>
      <c r="IYN34" s="2"/>
      <c r="IYO34" s="2"/>
      <c r="IYP34" s="2"/>
      <c r="IYQ34" s="2"/>
      <c r="IYR34" s="2"/>
      <c r="IYS34" s="2"/>
      <c r="IYT34" s="2"/>
      <c r="IYU34" s="2"/>
      <c r="IYV34" s="2"/>
      <c r="IYW34" s="2"/>
      <c r="IYX34" s="2"/>
      <c r="IYY34" s="2"/>
      <c r="IYZ34" s="2"/>
      <c r="IZA34" s="2"/>
      <c r="IZB34" s="2"/>
      <c r="IZC34" s="2"/>
      <c r="IZD34" s="2"/>
      <c r="IZE34" s="2"/>
      <c r="IZF34" s="2"/>
      <c r="IZG34" s="2"/>
      <c r="IZH34" s="2"/>
      <c r="IZI34" s="2"/>
      <c r="IZJ34" s="2"/>
      <c r="IZK34" s="2"/>
      <c r="IZL34" s="2"/>
      <c r="IZM34" s="2"/>
      <c r="IZN34" s="2"/>
      <c r="IZO34" s="2"/>
      <c r="IZP34" s="2"/>
      <c r="IZQ34" s="2"/>
      <c r="IZR34" s="2"/>
      <c r="IZS34" s="2"/>
      <c r="IZT34" s="2"/>
      <c r="IZU34" s="2"/>
      <c r="IZV34" s="2"/>
      <c r="IZW34" s="2"/>
      <c r="IZX34" s="2"/>
      <c r="IZY34" s="2"/>
      <c r="IZZ34" s="2"/>
      <c r="JAA34" s="2"/>
      <c r="JAB34" s="2"/>
      <c r="JAC34" s="2"/>
      <c r="JAD34" s="2"/>
      <c r="JAE34" s="2"/>
      <c r="JAF34" s="2"/>
      <c r="JAG34" s="2"/>
      <c r="JAH34" s="2"/>
      <c r="JAI34" s="2"/>
      <c r="JAJ34" s="2"/>
      <c r="JAK34" s="2"/>
      <c r="JAL34" s="2"/>
      <c r="JAM34" s="2"/>
      <c r="JAN34" s="2"/>
      <c r="JAO34" s="2"/>
      <c r="JAP34" s="2"/>
      <c r="JAQ34" s="2"/>
      <c r="JAR34" s="2"/>
      <c r="JAS34" s="2"/>
      <c r="JAT34" s="2"/>
      <c r="JAU34" s="2"/>
      <c r="JAV34" s="2"/>
      <c r="JAW34" s="2"/>
      <c r="JAX34" s="2"/>
      <c r="JAY34" s="2"/>
      <c r="JAZ34" s="2"/>
      <c r="JBA34" s="2"/>
      <c r="JBB34" s="2"/>
      <c r="JBC34" s="2"/>
      <c r="JBD34" s="2"/>
      <c r="JBE34" s="2"/>
      <c r="JBF34" s="2"/>
      <c r="JBG34" s="2"/>
      <c r="JBH34" s="2"/>
      <c r="JBI34" s="2"/>
      <c r="JBJ34" s="2"/>
      <c r="JBK34" s="2"/>
      <c r="JBL34" s="2"/>
      <c r="JBM34" s="2"/>
      <c r="JBN34" s="2"/>
      <c r="JBO34" s="2"/>
      <c r="JBP34" s="2"/>
      <c r="JBQ34" s="2"/>
      <c r="JBR34" s="2"/>
      <c r="JBS34" s="2"/>
      <c r="JBT34" s="2"/>
      <c r="JBU34" s="2"/>
      <c r="JBV34" s="2"/>
      <c r="JBW34" s="2"/>
      <c r="JBX34" s="2"/>
      <c r="JBY34" s="2"/>
      <c r="JBZ34" s="2"/>
      <c r="JCA34" s="2"/>
      <c r="JCB34" s="2"/>
      <c r="JCC34" s="2"/>
      <c r="JCD34" s="2"/>
      <c r="JCE34" s="2"/>
      <c r="JCF34" s="2"/>
      <c r="JCG34" s="2"/>
      <c r="JCH34" s="2"/>
      <c r="JCI34" s="2"/>
      <c r="JCJ34" s="2"/>
      <c r="JCK34" s="2"/>
      <c r="JCL34" s="2"/>
      <c r="JCM34" s="2"/>
      <c r="JCN34" s="2"/>
      <c r="JCO34" s="2"/>
      <c r="JCP34" s="2"/>
      <c r="JCQ34" s="2"/>
      <c r="JCR34" s="2"/>
      <c r="JCS34" s="2"/>
      <c r="JCT34" s="2"/>
      <c r="JCU34" s="2"/>
      <c r="JCV34" s="2"/>
      <c r="JCW34" s="2"/>
      <c r="JCX34" s="2"/>
      <c r="JCY34" s="2"/>
      <c r="JCZ34" s="2"/>
      <c r="JDA34" s="2"/>
      <c r="JDB34" s="2"/>
      <c r="JDC34" s="2"/>
      <c r="JDD34" s="2"/>
      <c r="JDE34" s="2"/>
      <c r="JDF34" s="2"/>
      <c r="JDG34" s="2"/>
      <c r="JDH34" s="2"/>
      <c r="JDI34" s="2"/>
      <c r="JDJ34" s="2"/>
      <c r="JDK34" s="2"/>
      <c r="JDL34" s="2"/>
      <c r="JDM34" s="2"/>
      <c r="JDN34" s="2"/>
      <c r="JDO34" s="2"/>
      <c r="JDP34" s="2"/>
      <c r="JDQ34" s="2"/>
      <c r="JDR34" s="2"/>
      <c r="JDS34" s="2"/>
      <c r="JDT34" s="2"/>
      <c r="JDU34" s="2"/>
      <c r="JDV34" s="2"/>
      <c r="JDW34" s="2"/>
      <c r="JDX34" s="2"/>
      <c r="JDY34" s="2"/>
      <c r="JDZ34" s="2"/>
      <c r="JEA34" s="2"/>
      <c r="JEB34" s="2"/>
      <c r="JEC34" s="2"/>
      <c r="JED34" s="2"/>
      <c r="JEE34" s="2"/>
      <c r="JEF34" s="2"/>
      <c r="JEG34" s="2"/>
      <c r="JEH34" s="2"/>
      <c r="JEI34" s="2"/>
      <c r="JEJ34" s="2"/>
      <c r="JEK34" s="2"/>
      <c r="JEL34" s="2"/>
      <c r="JEM34" s="2"/>
      <c r="JEN34" s="2"/>
      <c r="JEO34" s="2"/>
      <c r="JEP34" s="2"/>
      <c r="JEQ34" s="2"/>
      <c r="JER34" s="2"/>
      <c r="JES34" s="2"/>
      <c r="JET34" s="2"/>
      <c r="JEU34" s="2"/>
      <c r="JEV34" s="2"/>
      <c r="JEW34" s="2"/>
      <c r="JEX34" s="2"/>
      <c r="JEY34" s="2"/>
      <c r="JEZ34" s="2"/>
      <c r="JFA34" s="2"/>
      <c r="JFB34" s="2"/>
      <c r="JFC34" s="2"/>
      <c r="JFD34" s="2"/>
      <c r="JFE34" s="2"/>
      <c r="JFF34" s="2"/>
      <c r="JFG34" s="2"/>
      <c r="JFH34" s="2"/>
      <c r="JFI34" s="2"/>
      <c r="JFJ34" s="2"/>
      <c r="JFK34" s="2"/>
      <c r="JFL34" s="2"/>
      <c r="JFM34" s="2"/>
      <c r="JFN34" s="2"/>
      <c r="JFO34" s="2"/>
      <c r="JFP34" s="2"/>
      <c r="JFQ34" s="2"/>
      <c r="JFR34" s="2"/>
      <c r="JFS34" s="2"/>
      <c r="JFT34" s="2"/>
      <c r="JFU34" s="2"/>
      <c r="JFV34" s="2"/>
      <c r="JFW34" s="2"/>
      <c r="JFX34" s="2"/>
      <c r="JFY34" s="2"/>
      <c r="JFZ34" s="2"/>
      <c r="JGA34" s="2"/>
      <c r="JGB34" s="2"/>
      <c r="JGC34" s="2"/>
      <c r="JGD34" s="2"/>
      <c r="JGE34" s="2"/>
      <c r="JGF34" s="2"/>
      <c r="JGG34" s="2"/>
      <c r="JGH34" s="2"/>
      <c r="JGI34" s="2"/>
      <c r="JGJ34" s="2"/>
      <c r="JGK34" s="2"/>
      <c r="JGL34" s="2"/>
      <c r="JGM34" s="2"/>
      <c r="JGN34" s="2"/>
      <c r="JGO34" s="2"/>
      <c r="JGP34" s="2"/>
      <c r="JGQ34" s="2"/>
      <c r="JGR34" s="2"/>
      <c r="JGS34" s="2"/>
      <c r="JGT34" s="2"/>
      <c r="JGU34" s="2"/>
      <c r="JGV34" s="2"/>
      <c r="JGW34" s="2"/>
      <c r="JGX34" s="2"/>
      <c r="JGY34" s="2"/>
      <c r="JGZ34" s="2"/>
      <c r="JHA34" s="2"/>
      <c r="JHB34" s="2"/>
      <c r="JHC34" s="2"/>
      <c r="JHD34" s="2"/>
      <c r="JHE34" s="2"/>
      <c r="JHF34" s="2"/>
      <c r="JHG34" s="2"/>
      <c r="JHH34" s="2"/>
      <c r="JHI34" s="2"/>
      <c r="JHJ34" s="2"/>
      <c r="JHK34" s="2"/>
      <c r="JHL34" s="2"/>
      <c r="JHM34" s="2"/>
      <c r="JHN34" s="2"/>
      <c r="JHO34" s="2"/>
      <c r="JHP34" s="2"/>
      <c r="JHQ34" s="2"/>
      <c r="JHR34" s="2"/>
      <c r="JHS34" s="2"/>
      <c r="JHT34" s="2"/>
      <c r="JHU34" s="2"/>
      <c r="JHV34" s="2"/>
      <c r="JHW34" s="2"/>
      <c r="JHX34" s="2"/>
      <c r="JHY34" s="2"/>
      <c r="JHZ34" s="2"/>
      <c r="JIA34" s="2"/>
      <c r="JIB34" s="2"/>
      <c r="JIC34" s="2"/>
      <c r="JID34" s="2"/>
      <c r="JIE34" s="2"/>
      <c r="JIF34" s="2"/>
      <c r="JIG34" s="2"/>
      <c r="JIH34" s="2"/>
      <c r="JII34" s="2"/>
      <c r="JIJ34" s="2"/>
      <c r="JIK34" s="2"/>
      <c r="JIL34" s="2"/>
      <c r="JIM34" s="2"/>
      <c r="JIN34" s="2"/>
      <c r="JIO34" s="2"/>
      <c r="JIP34" s="2"/>
      <c r="JIQ34" s="2"/>
      <c r="JIR34" s="2"/>
      <c r="JIS34" s="2"/>
      <c r="JIT34" s="2"/>
      <c r="JIU34" s="2"/>
      <c r="JIV34" s="2"/>
      <c r="JIW34" s="2"/>
      <c r="JIX34" s="2"/>
      <c r="JIY34" s="2"/>
      <c r="JIZ34" s="2"/>
      <c r="JJA34" s="2"/>
      <c r="JJB34" s="2"/>
      <c r="JJC34" s="2"/>
      <c r="JJD34" s="2"/>
      <c r="JJE34" s="2"/>
      <c r="JJF34" s="2"/>
      <c r="JJG34" s="2"/>
      <c r="JJH34" s="2"/>
      <c r="JJI34" s="2"/>
      <c r="JJJ34" s="2"/>
      <c r="JJK34" s="2"/>
      <c r="JJL34" s="2"/>
      <c r="JJM34" s="2"/>
      <c r="JJN34" s="2"/>
      <c r="JJO34" s="2"/>
      <c r="JJP34" s="2"/>
      <c r="JJQ34" s="2"/>
      <c r="JJR34" s="2"/>
      <c r="JJS34" s="2"/>
      <c r="JJT34" s="2"/>
      <c r="JJU34" s="2"/>
      <c r="JJV34" s="2"/>
      <c r="JJW34" s="2"/>
      <c r="JJX34" s="2"/>
      <c r="JJY34" s="2"/>
      <c r="JJZ34" s="2"/>
      <c r="JKA34" s="2"/>
      <c r="JKB34" s="2"/>
      <c r="JKC34" s="2"/>
      <c r="JKD34" s="2"/>
      <c r="JKE34" s="2"/>
      <c r="JKF34" s="2"/>
      <c r="JKG34" s="2"/>
      <c r="JKH34" s="2"/>
      <c r="JKI34" s="2"/>
      <c r="JKJ34" s="2"/>
      <c r="JKK34" s="2"/>
      <c r="JKL34" s="2"/>
      <c r="JKM34" s="2"/>
      <c r="JKN34" s="2"/>
      <c r="JKO34" s="2"/>
      <c r="JKP34" s="2"/>
      <c r="JKQ34" s="2"/>
      <c r="JKR34" s="2"/>
      <c r="JKS34" s="2"/>
      <c r="JKT34" s="2"/>
      <c r="JKU34" s="2"/>
      <c r="JKV34" s="2"/>
      <c r="JKW34" s="2"/>
      <c r="JKX34" s="2"/>
      <c r="JKY34" s="2"/>
      <c r="JKZ34" s="2"/>
      <c r="JLA34" s="2"/>
      <c r="JLB34" s="2"/>
      <c r="JLC34" s="2"/>
      <c r="JLD34" s="2"/>
      <c r="JLE34" s="2"/>
      <c r="JLF34" s="2"/>
      <c r="JLG34" s="2"/>
      <c r="JLH34" s="2"/>
      <c r="JLI34" s="2"/>
      <c r="JLJ34" s="2"/>
      <c r="JLK34" s="2"/>
      <c r="JLL34" s="2"/>
      <c r="JLM34" s="2"/>
      <c r="JLN34" s="2"/>
      <c r="JLO34" s="2"/>
      <c r="JLP34" s="2"/>
      <c r="JLQ34" s="2"/>
      <c r="JLR34" s="2"/>
      <c r="JLS34" s="2"/>
      <c r="JLT34" s="2"/>
      <c r="JLU34" s="2"/>
      <c r="JLV34" s="2"/>
      <c r="JLW34" s="2"/>
      <c r="JLX34" s="2"/>
      <c r="JLY34" s="2"/>
      <c r="JLZ34" s="2"/>
      <c r="JMA34" s="2"/>
      <c r="JMB34" s="2"/>
      <c r="JMC34" s="2"/>
      <c r="JMD34" s="2"/>
      <c r="JME34" s="2"/>
      <c r="JMF34" s="2"/>
      <c r="JMG34" s="2"/>
      <c r="JMH34" s="2"/>
      <c r="JMI34" s="2"/>
      <c r="JMJ34" s="2"/>
      <c r="JMK34" s="2"/>
      <c r="JML34" s="2"/>
      <c r="JMM34" s="2"/>
      <c r="JMN34" s="2"/>
      <c r="JMO34" s="2"/>
      <c r="JMP34" s="2"/>
      <c r="JMQ34" s="2"/>
      <c r="JMR34" s="2"/>
      <c r="JMS34" s="2"/>
      <c r="JMT34" s="2"/>
      <c r="JMU34" s="2"/>
      <c r="JMV34" s="2"/>
      <c r="JMW34" s="2"/>
      <c r="JMX34" s="2"/>
      <c r="JMY34" s="2"/>
      <c r="JMZ34" s="2"/>
      <c r="JNA34" s="2"/>
      <c r="JNB34" s="2"/>
      <c r="JNC34" s="2"/>
      <c r="JND34" s="2"/>
      <c r="JNE34" s="2"/>
      <c r="JNF34" s="2"/>
      <c r="JNG34" s="2"/>
      <c r="JNH34" s="2"/>
      <c r="JNI34" s="2"/>
      <c r="JNJ34" s="2"/>
      <c r="JNK34" s="2"/>
      <c r="JNL34" s="2"/>
      <c r="JNM34" s="2"/>
      <c r="JNN34" s="2"/>
      <c r="JNO34" s="2"/>
      <c r="JNP34" s="2"/>
      <c r="JNQ34" s="2"/>
      <c r="JNR34" s="2"/>
      <c r="JNS34" s="2"/>
      <c r="JNT34" s="2"/>
      <c r="JNU34" s="2"/>
      <c r="JNV34" s="2"/>
      <c r="JNW34" s="2"/>
      <c r="JNX34" s="2"/>
      <c r="JNY34" s="2"/>
      <c r="JNZ34" s="2"/>
      <c r="JOA34" s="2"/>
      <c r="JOB34" s="2"/>
      <c r="JOC34" s="2"/>
      <c r="JOD34" s="2"/>
      <c r="JOE34" s="2"/>
      <c r="JOF34" s="2"/>
      <c r="JOG34" s="2"/>
      <c r="JOH34" s="2"/>
      <c r="JOI34" s="2"/>
      <c r="JOJ34" s="2"/>
      <c r="JOK34" s="2"/>
      <c r="JOL34" s="2"/>
      <c r="JOM34" s="2"/>
      <c r="JON34" s="2"/>
      <c r="JOO34" s="2"/>
      <c r="JOP34" s="2"/>
      <c r="JOQ34" s="2"/>
      <c r="JOR34" s="2"/>
      <c r="JOS34" s="2"/>
      <c r="JOT34" s="2"/>
      <c r="JOU34" s="2"/>
      <c r="JOV34" s="2"/>
      <c r="JOW34" s="2"/>
      <c r="JOX34" s="2"/>
      <c r="JOY34" s="2"/>
      <c r="JOZ34" s="2"/>
      <c r="JPA34" s="2"/>
      <c r="JPB34" s="2"/>
      <c r="JPC34" s="2"/>
      <c r="JPD34" s="2"/>
      <c r="JPE34" s="2"/>
      <c r="JPF34" s="2"/>
      <c r="JPG34" s="2"/>
      <c r="JPH34" s="2"/>
      <c r="JPI34" s="2"/>
      <c r="JPJ34" s="2"/>
      <c r="JPK34" s="2"/>
      <c r="JPL34" s="2"/>
      <c r="JPM34" s="2"/>
      <c r="JPN34" s="2"/>
      <c r="JPO34" s="2"/>
      <c r="JPP34" s="2"/>
      <c r="JPQ34" s="2"/>
      <c r="JPR34" s="2"/>
      <c r="JPS34" s="2"/>
      <c r="JPT34" s="2"/>
      <c r="JPU34" s="2"/>
      <c r="JPV34" s="2"/>
      <c r="JPW34" s="2"/>
      <c r="JPX34" s="2"/>
      <c r="JPY34" s="2"/>
      <c r="JPZ34" s="2"/>
      <c r="JQA34" s="2"/>
      <c r="JQB34" s="2"/>
      <c r="JQC34" s="2"/>
      <c r="JQD34" s="2"/>
      <c r="JQE34" s="2"/>
      <c r="JQF34" s="2"/>
      <c r="JQG34" s="2"/>
      <c r="JQH34" s="2"/>
      <c r="JQI34" s="2"/>
      <c r="JQJ34" s="2"/>
      <c r="JQK34" s="2"/>
      <c r="JQL34" s="2"/>
      <c r="JQM34" s="2"/>
      <c r="JQN34" s="2"/>
      <c r="JQO34" s="2"/>
      <c r="JQP34" s="2"/>
      <c r="JQQ34" s="2"/>
      <c r="JQR34" s="2"/>
      <c r="JQS34" s="2"/>
      <c r="JQT34" s="2"/>
      <c r="JQU34" s="2"/>
      <c r="JQV34" s="2"/>
      <c r="JQW34" s="2"/>
      <c r="JQX34" s="2"/>
      <c r="JQY34" s="2"/>
      <c r="JQZ34" s="2"/>
      <c r="JRA34" s="2"/>
      <c r="JRB34" s="2"/>
      <c r="JRC34" s="2"/>
      <c r="JRD34" s="2"/>
      <c r="JRE34" s="2"/>
      <c r="JRF34" s="2"/>
      <c r="JRG34" s="2"/>
      <c r="JRH34" s="2"/>
      <c r="JRI34" s="2"/>
      <c r="JRJ34" s="2"/>
      <c r="JRK34" s="2"/>
      <c r="JRL34" s="2"/>
      <c r="JRM34" s="2"/>
      <c r="JRN34" s="2"/>
      <c r="JRO34" s="2"/>
      <c r="JRP34" s="2"/>
      <c r="JRQ34" s="2"/>
      <c r="JRR34" s="2"/>
      <c r="JRS34" s="2"/>
      <c r="JRT34" s="2"/>
      <c r="JRU34" s="2"/>
      <c r="JRV34" s="2"/>
      <c r="JRW34" s="2"/>
      <c r="JRX34" s="2"/>
      <c r="JRY34" s="2"/>
      <c r="JRZ34" s="2"/>
      <c r="JSA34" s="2"/>
      <c r="JSB34" s="2"/>
      <c r="JSC34" s="2"/>
      <c r="JSD34" s="2"/>
      <c r="JSE34" s="2"/>
      <c r="JSF34" s="2"/>
      <c r="JSG34" s="2"/>
      <c r="JSH34" s="2"/>
      <c r="JSI34" s="2"/>
      <c r="JSJ34" s="2"/>
      <c r="JSK34" s="2"/>
      <c r="JSL34" s="2"/>
      <c r="JSM34" s="2"/>
      <c r="JSN34" s="2"/>
      <c r="JSO34" s="2"/>
      <c r="JSP34" s="2"/>
      <c r="JSQ34" s="2"/>
      <c r="JSR34" s="2"/>
      <c r="JSS34" s="2"/>
      <c r="JST34" s="2"/>
      <c r="JSU34" s="2"/>
      <c r="JSV34" s="2"/>
      <c r="JSW34" s="2"/>
      <c r="JSX34" s="2"/>
      <c r="JSY34" s="2"/>
      <c r="JSZ34" s="2"/>
      <c r="JTA34" s="2"/>
      <c r="JTB34" s="2"/>
      <c r="JTC34" s="2"/>
      <c r="JTD34" s="2"/>
      <c r="JTE34" s="2"/>
      <c r="JTF34" s="2"/>
      <c r="JTG34" s="2"/>
      <c r="JTH34" s="2"/>
      <c r="JTI34" s="2"/>
      <c r="JTJ34" s="2"/>
      <c r="JTK34" s="2"/>
      <c r="JTL34" s="2"/>
      <c r="JTM34" s="2"/>
      <c r="JTN34" s="2"/>
      <c r="JTO34" s="2"/>
      <c r="JTP34" s="2"/>
      <c r="JTQ34" s="2"/>
      <c r="JTR34" s="2"/>
      <c r="JTS34" s="2"/>
      <c r="JTT34" s="2"/>
      <c r="JTU34" s="2"/>
      <c r="JTV34" s="2"/>
      <c r="JTW34" s="2"/>
      <c r="JTX34" s="2"/>
      <c r="JTY34" s="2"/>
      <c r="JTZ34" s="2"/>
      <c r="JUA34" s="2"/>
      <c r="JUB34" s="2"/>
      <c r="JUC34" s="2"/>
      <c r="JUD34" s="2"/>
      <c r="JUE34" s="2"/>
      <c r="JUF34" s="2"/>
      <c r="JUG34" s="2"/>
      <c r="JUH34" s="2"/>
      <c r="JUI34" s="2"/>
      <c r="JUJ34" s="2"/>
      <c r="JUK34" s="2"/>
      <c r="JUL34" s="2"/>
      <c r="JUM34" s="2"/>
      <c r="JUN34" s="2"/>
      <c r="JUO34" s="2"/>
      <c r="JUP34" s="2"/>
      <c r="JUQ34" s="2"/>
      <c r="JUR34" s="2"/>
      <c r="JUS34" s="2"/>
      <c r="JUT34" s="2"/>
      <c r="JUU34" s="2"/>
      <c r="JUV34" s="2"/>
      <c r="JUW34" s="2"/>
      <c r="JUX34" s="2"/>
      <c r="JUY34" s="2"/>
      <c r="JUZ34" s="2"/>
      <c r="JVA34" s="2"/>
      <c r="JVB34" s="2"/>
      <c r="JVC34" s="2"/>
      <c r="JVD34" s="2"/>
      <c r="JVE34" s="2"/>
      <c r="JVF34" s="2"/>
      <c r="JVG34" s="2"/>
      <c r="JVH34" s="2"/>
      <c r="JVI34" s="2"/>
      <c r="JVJ34" s="2"/>
      <c r="JVK34" s="2"/>
      <c r="JVL34" s="2"/>
      <c r="JVM34" s="2"/>
      <c r="JVN34" s="2"/>
      <c r="JVO34" s="2"/>
      <c r="JVP34" s="2"/>
      <c r="JVQ34" s="2"/>
      <c r="JVR34" s="2"/>
      <c r="JVS34" s="2"/>
      <c r="JVT34" s="2"/>
      <c r="JVU34" s="2"/>
      <c r="JVV34" s="2"/>
      <c r="JVW34" s="2"/>
      <c r="JVX34" s="2"/>
      <c r="JVY34" s="2"/>
      <c r="JVZ34" s="2"/>
      <c r="JWA34" s="2"/>
      <c r="JWB34" s="2"/>
      <c r="JWC34" s="2"/>
      <c r="JWD34" s="2"/>
      <c r="JWE34" s="2"/>
      <c r="JWF34" s="2"/>
      <c r="JWG34" s="2"/>
      <c r="JWH34" s="2"/>
      <c r="JWI34" s="2"/>
      <c r="JWJ34" s="2"/>
      <c r="JWK34" s="2"/>
      <c r="JWL34" s="2"/>
      <c r="JWM34" s="2"/>
      <c r="JWN34" s="2"/>
      <c r="JWO34" s="2"/>
      <c r="JWP34" s="2"/>
      <c r="JWQ34" s="2"/>
      <c r="JWR34" s="2"/>
      <c r="JWS34" s="2"/>
      <c r="JWT34" s="2"/>
      <c r="JWU34" s="2"/>
      <c r="JWV34" s="2"/>
      <c r="JWW34" s="2"/>
      <c r="JWX34" s="2"/>
      <c r="JWY34" s="2"/>
      <c r="JWZ34" s="2"/>
      <c r="JXA34" s="2"/>
      <c r="JXB34" s="2"/>
      <c r="JXC34" s="2"/>
      <c r="JXD34" s="2"/>
      <c r="JXE34" s="2"/>
      <c r="JXF34" s="2"/>
      <c r="JXG34" s="2"/>
      <c r="JXH34" s="2"/>
      <c r="JXI34" s="2"/>
      <c r="JXJ34" s="2"/>
      <c r="JXK34" s="2"/>
      <c r="JXL34" s="2"/>
      <c r="JXM34" s="2"/>
      <c r="JXN34" s="2"/>
      <c r="JXO34" s="2"/>
      <c r="JXP34" s="2"/>
      <c r="JXQ34" s="2"/>
      <c r="JXR34" s="2"/>
      <c r="JXS34" s="2"/>
      <c r="JXT34" s="2"/>
      <c r="JXU34" s="2"/>
      <c r="JXV34" s="2"/>
      <c r="JXW34" s="2"/>
      <c r="JXX34" s="2"/>
      <c r="JXY34" s="2"/>
      <c r="JXZ34" s="2"/>
      <c r="JYA34" s="2"/>
      <c r="JYB34" s="2"/>
      <c r="JYC34" s="2"/>
      <c r="JYD34" s="2"/>
      <c r="JYE34" s="2"/>
      <c r="JYF34" s="2"/>
      <c r="JYG34" s="2"/>
      <c r="JYH34" s="2"/>
      <c r="JYI34" s="2"/>
      <c r="JYJ34" s="2"/>
      <c r="JYK34" s="2"/>
      <c r="JYL34" s="2"/>
      <c r="JYM34" s="2"/>
      <c r="JYN34" s="2"/>
      <c r="JYO34" s="2"/>
      <c r="JYP34" s="2"/>
      <c r="JYQ34" s="2"/>
      <c r="JYR34" s="2"/>
      <c r="JYS34" s="2"/>
      <c r="JYT34" s="2"/>
      <c r="JYU34" s="2"/>
      <c r="JYV34" s="2"/>
      <c r="JYW34" s="2"/>
      <c r="JYX34" s="2"/>
      <c r="JYY34" s="2"/>
      <c r="JYZ34" s="2"/>
      <c r="JZA34" s="2"/>
      <c r="JZB34" s="2"/>
      <c r="JZC34" s="2"/>
      <c r="JZD34" s="2"/>
      <c r="JZE34" s="2"/>
      <c r="JZF34" s="2"/>
      <c r="JZG34" s="2"/>
      <c r="JZH34" s="2"/>
      <c r="JZI34" s="2"/>
      <c r="JZJ34" s="2"/>
      <c r="JZK34" s="2"/>
      <c r="JZL34" s="2"/>
      <c r="JZM34" s="2"/>
      <c r="JZN34" s="2"/>
      <c r="JZO34" s="2"/>
      <c r="JZP34" s="2"/>
      <c r="JZQ34" s="2"/>
      <c r="JZR34" s="2"/>
      <c r="JZS34" s="2"/>
      <c r="JZT34" s="2"/>
      <c r="JZU34" s="2"/>
      <c r="JZV34" s="2"/>
      <c r="JZW34" s="2"/>
      <c r="JZX34" s="2"/>
      <c r="JZY34" s="2"/>
      <c r="JZZ34" s="2"/>
      <c r="KAA34" s="2"/>
      <c r="KAB34" s="2"/>
      <c r="KAC34" s="2"/>
      <c r="KAD34" s="2"/>
      <c r="KAE34" s="2"/>
      <c r="KAF34" s="2"/>
      <c r="KAG34" s="2"/>
      <c r="KAH34" s="2"/>
      <c r="KAI34" s="2"/>
      <c r="KAJ34" s="2"/>
      <c r="KAK34" s="2"/>
      <c r="KAL34" s="2"/>
      <c r="KAM34" s="2"/>
      <c r="KAN34" s="2"/>
      <c r="KAO34" s="2"/>
      <c r="KAP34" s="2"/>
      <c r="KAQ34" s="2"/>
      <c r="KAR34" s="2"/>
      <c r="KAS34" s="2"/>
      <c r="KAT34" s="2"/>
      <c r="KAU34" s="2"/>
      <c r="KAV34" s="2"/>
      <c r="KAW34" s="2"/>
      <c r="KAX34" s="2"/>
      <c r="KAY34" s="2"/>
      <c r="KAZ34" s="2"/>
      <c r="KBA34" s="2"/>
      <c r="KBB34" s="2"/>
      <c r="KBC34" s="2"/>
      <c r="KBD34" s="2"/>
      <c r="KBE34" s="2"/>
      <c r="KBF34" s="2"/>
      <c r="KBG34" s="2"/>
      <c r="KBH34" s="2"/>
      <c r="KBI34" s="2"/>
      <c r="KBJ34" s="2"/>
      <c r="KBK34" s="2"/>
      <c r="KBL34" s="2"/>
      <c r="KBM34" s="2"/>
      <c r="KBN34" s="2"/>
      <c r="KBO34" s="2"/>
      <c r="KBP34" s="2"/>
      <c r="KBQ34" s="2"/>
      <c r="KBR34" s="2"/>
      <c r="KBS34" s="2"/>
      <c r="KBT34" s="2"/>
      <c r="KBU34" s="2"/>
      <c r="KBV34" s="2"/>
      <c r="KBW34" s="2"/>
      <c r="KBX34" s="2"/>
      <c r="KBY34" s="2"/>
      <c r="KBZ34" s="2"/>
      <c r="KCA34" s="2"/>
      <c r="KCB34" s="2"/>
      <c r="KCC34" s="2"/>
      <c r="KCD34" s="2"/>
      <c r="KCE34" s="2"/>
      <c r="KCF34" s="2"/>
      <c r="KCG34" s="2"/>
      <c r="KCH34" s="2"/>
      <c r="KCI34" s="2"/>
      <c r="KCJ34" s="2"/>
      <c r="KCK34" s="2"/>
      <c r="KCL34" s="2"/>
      <c r="KCM34" s="2"/>
      <c r="KCN34" s="2"/>
      <c r="KCO34" s="2"/>
      <c r="KCP34" s="2"/>
      <c r="KCQ34" s="2"/>
      <c r="KCR34" s="2"/>
      <c r="KCS34" s="2"/>
      <c r="KCT34" s="2"/>
      <c r="KCU34" s="2"/>
      <c r="KCV34" s="2"/>
      <c r="KCW34" s="2"/>
      <c r="KCX34" s="2"/>
      <c r="KCY34" s="2"/>
      <c r="KCZ34" s="2"/>
      <c r="KDA34" s="2"/>
      <c r="KDB34" s="2"/>
      <c r="KDC34" s="2"/>
      <c r="KDD34" s="2"/>
      <c r="KDE34" s="2"/>
      <c r="KDF34" s="2"/>
      <c r="KDG34" s="2"/>
      <c r="KDH34" s="2"/>
      <c r="KDI34" s="2"/>
      <c r="KDJ34" s="2"/>
      <c r="KDK34" s="2"/>
      <c r="KDL34" s="2"/>
      <c r="KDM34" s="2"/>
      <c r="KDN34" s="2"/>
      <c r="KDO34" s="2"/>
      <c r="KDP34" s="2"/>
      <c r="KDQ34" s="2"/>
      <c r="KDR34" s="2"/>
      <c r="KDS34" s="2"/>
      <c r="KDT34" s="2"/>
      <c r="KDU34" s="2"/>
      <c r="KDV34" s="2"/>
      <c r="KDW34" s="2"/>
      <c r="KDX34" s="2"/>
      <c r="KDY34" s="2"/>
      <c r="KDZ34" s="2"/>
      <c r="KEA34" s="2"/>
      <c r="KEB34" s="2"/>
      <c r="KEC34" s="2"/>
      <c r="KED34" s="2"/>
      <c r="KEE34" s="2"/>
      <c r="KEF34" s="2"/>
      <c r="KEG34" s="2"/>
      <c r="KEH34" s="2"/>
      <c r="KEI34" s="2"/>
      <c r="KEJ34" s="2"/>
      <c r="KEK34" s="2"/>
      <c r="KEL34" s="2"/>
      <c r="KEM34" s="2"/>
      <c r="KEN34" s="2"/>
      <c r="KEO34" s="2"/>
      <c r="KEP34" s="2"/>
      <c r="KEQ34" s="2"/>
      <c r="KER34" s="2"/>
      <c r="KES34" s="2"/>
      <c r="KET34" s="2"/>
      <c r="KEU34" s="2"/>
      <c r="KEV34" s="2"/>
      <c r="KEW34" s="2"/>
      <c r="KEX34" s="2"/>
      <c r="KEY34" s="2"/>
      <c r="KEZ34" s="2"/>
      <c r="KFA34" s="2"/>
      <c r="KFB34" s="2"/>
      <c r="KFC34" s="2"/>
      <c r="KFD34" s="2"/>
      <c r="KFE34" s="2"/>
      <c r="KFF34" s="2"/>
      <c r="KFG34" s="2"/>
      <c r="KFH34" s="2"/>
      <c r="KFI34" s="2"/>
      <c r="KFJ34" s="2"/>
      <c r="KFK34" s="2"/>
      <c r="KFL34" s="2"/>
      <c r="KFM34" s="2"/>
      <c r="KFN34" s="2"/>
      <c r="KFO34" s="2"/>
      <c r="KFP34" s="2"/>
      <c r="KFQ34" s="2"/>
      <c r="KFR34" s="2"/>
      <c r="KFS34" s="2"/>
      <c r="KFT34" s="2"/>
      <c r="KFU34" s="2"/>
      <c r="KFV34" s="2"/>
      <c r="KFW34" s="2"/>
      <c r="KFX34" s="2"/>
      <c r="KFY34" s="2"/>
      <c r="KFZ34" s="2"/>
      <c r="KGA34" s="2"/>
      <c r="KGB34" s="2"/>
      <c r="KGC34" s="2"/>
      <c r="KGD34" s="2"/>
      <c r="KGE34" s="2"/>
      <c r="KGF34" s="2"/>
      <c r="KGG34" s="2"/>
      <c r="KGH34" s="2"/>
      <c r="KGI34" s="2"/>
      <c r="KGJ34" s="2"/>
      <c r="KGK34" s="2"/>
      <c r="KGL34" s="2"/>
      <c r="KGM34" s="2"/>
      <c r="KGN34" s="2"/>
      <c r="KGO34" s="2"/>
      <c r="KGP34" s="2"/>
      <c r="KGQ34" s="2"/>
      <c r="KGR34" s="2"/>
      <c r="KGS34" s="2"/>
      <c r="KGT34" s="2"/>
      <c r="KGU34" s="2"/>
      <c r="KGV34" s="2"/>
      <c r="KGW34" s="2"/>
      <c r="KGX34" s="2"/>
      <c r="KGY34" s="2"/>
      <c r="KGZ34" s="2"/>
      <c r="KHA34" s="2"/>
      <c r="KHB34" s="2"/>
      <c r="KHC34" s="2"/>
      <c r="KHD34" s="2"/>
      <c r="KHE34" s="2"/>
      <c r="KHF34" s="2"/>
      <c r="KHG34" s="2"/>
      <c r="KHH34" s="2"/>
      <c r="KHI34" s="2"/>
      <c r="KHJ34" s="2"/>
      <c r="KHK34" s="2"/>
      <c r="KHL34" s="2"/>
      <c r="KHM34" s="2"/>
      <c r="KHN34" s="2"/>
      <c r="KHO34" s="2"/>
      <c r="KHP34" s="2"/>
      <c r="KHQ34" s="2"/>
      <c r="KHR34" s="2"/>
      <c r="KHS34" s="2"/>
      <c r="KHT34" s="2"/>
      <c r="KHU34" s="2"/>
      <c r="KHV34" s="2"/>
      <c r="KHW34" s="2"/>
      <c r="KHX34" s="2"/>
      <c r="KHY34" s="2"/>
      <c r="KHZ34" s="2"/>
      <c r="KIA34" s="2"/>
      <c r="KIB34" s="2"/>
      <c r="KIC34" s="2"/>
      <c r="KID34" s="2"/>
      <c r="KIE34" s="2"/>
      <c r="KIF34" s="2"/>
      <c r="KIG34" s="2"/>
      <c r="KIH34" s="2"/>
      <c r="KII34" s="2"/>
      <c r="KIJ34" s="2"/>
      <c r="KIK34" s="2"/>
      <c r="KIL34" s="2"/>
      <c r="KIM34" s="2"/>
      <c r="KIN34" s="2"/>
      <c r="KIO34" s="2"/>
      <c r="KIP34" s="2"/>
      <c r="KIQ34" s="2"/>
      <c r="KIR34" s="2"/>
      <c r="KIS34" s="2"/>
      <c r="KIT34" s="2"/>
      <c r="KIU34" s="2"/>
      <c r="KIV34" s="2"/>
      <c r="KIW34" s="2"/>
      <c r="KIX34" s="2"/>
      <c r="KIY34" s="2"/>
      <c r="KIZ34" s="2"/>
      <c r="KJA34" s="2"/>
      <c r="KJB34" s="2"/>
      <c r="KJC34" s="2"/>
      <c r="KJD34" s="2"/>
      <c r="KJE34" s="2"/>
      <c r="KJF34" s="2"/>
      <c r="KJG34" s="2"/>
      <c r="KJH34" s="2"/>
      <c r="KJI34" s="2"/>
      <c r="KJJ34" s="2"/>
      <c r="KJK34" s="2"/>
      <c r="KJL34" s="2"/>
      <c r="KJM34" s="2"/>
      <c r="KJN34" s="2"/>
      <c r="KJO34" s="2"/>
      <c r="KJP34" s="2"/>
      <c r="KJQ34" s="2"/>
      <c r="KJR34" s="2"/>
      <c r="KJS34" s="2"/>
      <c r="KJT34" s="2"/>
      <c r="KJU34" s="2"/>
      <c r="KJV34" s="2"/>
      <c r="KJW34" s="2"/>
      <c r="KJX34" s="2"/>
      <c r="KJY34" s="2"/>
      <c r="KJZ34" s="2"/>
      <c r="KKA34" s="2"/>
      <c r="KKB34" s="2"/>
      <c r="KKC34" s="2"/>
      <c r="KKD34" s="2"/>
      <c r="KKE34" s="2"/>
      <c r="KKF34" s="2"/>
      <c r="KKG34" s="2"/>
      <c r="KKH34" s="2"/>
      <c r="KKI34" s="2"/>
      <c r="KKJ34" s="2"/>
      <c r="KKK34" s="2"/>
      <c r="KKL34" s="2"/>
      <c r="KKM34" s="2"/>
      <c r="KKN34" s="2"/>
      <c r="KKO34" s="2"/>
      <c r="KKP34" s="2"/>
      <c r="KKQ34" s="2"/>
      <c r="KKR34" s="2"/>
      <c r="KKS34" s="2"/>
      <c r="KKT34" s="2"/>
      <c r="KKU34" s="2"/>
      <c r="KKV34" s="2"/>
      <c r="KKW34" s="2"/>
      <c r="KKX34" s="2"/>
      <c r="KKY34" s="2"/>
      <c r="KKZ34" s="2"/>
      <c r="KLA34" s="2"/>
      <c r="KLB34" s="2"/>
      <c r="KLC34" s="2"/>
      <c r="KLD34" s="2"/>
      <c r="KLE34" s="2"/>
      <c r="KLF34" s="2"/>
      <c r="KLG34" s="2"/>
      <c r="KLH34" s="2"/>
      <c r="KLI34" s="2"/>
      <c r="KLJ34" s="2"/>
      <c r="KLK34" s="2"/>
      <c r="KLL34" s="2"/>
      <c r="KLM34" s="2"/>
      <c r="KLN34" s="2"/>
      <c r="KLO34" s="2"/>
      <c r="KLP34" s="2"/>
      <c r="KLQ34" s="2"/>
      <c r="KLR34" s="2"/>
      <c r="KLS34" s="2"/>
      <c r="KLT34" s="2"/>
      <c r="KLU34" s="2"/>
      <c r="KLV34" s="2"/>
      <c r="KLW34" s="2"/>
      <c r="KLX34" s="2"/>
      <c r="KLY34" s="2"/>
      <c r="KLZ34" s="2"/>
      <c r="KMA34" s="2"/>
      <c r="KMB34" s="2"/>
      <c r="KMC34" s="2"/>
      <c r="KMD34" s="2"/>
      <c r="KME34" s="2"/>
      <c r="KMF34" s="2"/>
      <c r="KMG34" s="2"/>
      <c r="KMH34" s="2"/>
      <c r="KMI34" s="2"/>
      <c r="KMJ34" s="2"/>
      <c r="KMK34" s="2"/>
      <c r="KML34" s="2"/>
      <c r="KMM34" s="2"/>
      <c r="KMN34" s="2"/>
      <c r="KMO34" s="2"/>
      <c r="KMP34" s="2"/>
      <c r="KMQ34" s="2"/>
      <c r="KMR34" s="2"/>
      <c r="KMS34" s="2"/>
      <c r="KMT34" s="2"/>
      <c r="KMU34" s="2"/>
      <c r="KMV34" s="2"/>
      <c r="KMW34" s="2"/>
      <c r="KMX34" s="2"/>
      <c r="KMY34" s="2"/>
      <c r="KMZ34" s="2"/>
      <c r="KNA34" s="2"/>
      <c r="KNB34" s="2"/>
      <c r="KNC34" s="2"/>
      <c r="KND34" s="2"/>
      <c r="KNE34" s="2"/>
      <c r="KNF34" s="2"/>
      <c r="KNG34" s="2"/>
      <c r="KNH34" s="2"/>
      <c r="KNI34" s="2"/>
      <c r="KNJ34" s="2"/>
      <c r="KNK34" s="2"/>
      <c r="KNL34" s="2"/>
      <c r="KNM34" s="2"/>
      <c r="KNN34" s="2"/>
      <c r="KNO34" s="2"/>
      <c r="KNP34" s="2"/>
      <c r="KNQ34" s="2"/>
      <c r="KNR34" s="2"/>
      <c r="KNS34" s="2"/>
      <c r="KNT34" s="2"/>
      <c r="KNU34" s="2"/>
      <c r="KNV34" s="2"/>
      <c r="KNW34" s="2"/>
      <c r="KNX34" s="2"/>
      <c r="KNY34" s="2"/>
      <c r="KNZ34" s="2"/>
      <c r="KOA34" s="2"/>
      <c r="KOB34" s="2"/>
      <c r="KOC34" s="2"/>
      <c r="KOD34" s="2"/>
      <c r="KOE34" s="2"/>
      <c r="KOF34" s="2"/>
      <c r="KOG34" s="2"/>
      <c r="KOH34" s="2"/>
      <c r="KOI34" s="2"/>
      <c r="KOJ34" s="2"/>
      <c r="KOK34" s="2"/>
      <c r="KOL34" s="2"/>
      <c r="KOM34" s="2"/>
      <c r="KON34" s="2"/>
      <c r="KOO34" s="2"/>
      <c r="KOP34" s="2"/>
      <c r="KOQ34" s="2"/>
      <c r="KOR34" s="2"/>
      <c r="KOS34" s="2"/>
      <c r="KOT34" s="2"/>
      <c r="KOU34" s="2"/>
      <c r="KOV34" s="2"/>
      <c r="KOW34" s="2"/>
      <c r="KOX34" s="2"/>
      <c r="KOY34" s="2"/>
      <c r="KOZ34" s="2"/>
      <c r="KPA34" s="2"/>
      <c r="KPB34" s="2"/>
      <c r="KPC34" s="2"/>
      <c r="KPD34" s="2"/>
      <c r="KPE34" s="2"/>
      <c r="KPF34" s="2"/>
      <c r="KPG34" s="2"/>
      <c r="KPH34" s="2"/>
      <c r="KPI34" s="2"/>
      <c r="KPJ34" s="2"/>
      <c r="KPK34" s="2"/>
      <c r="KPL34" s="2"/>
      <c r="KPM34" s="2"/>
      <c r="KPN34" s="2"/>
      <c r="KPO34" s="2"/>
      <c r="KPP34" s="2"/>
      <c r="KPQ34" s="2"/>
      <c r="KPR34" s="2"/>
      <c r="KPS34" s="2"/>
      <c r="KPT34" s="2"/>
      <c r="KPU34" s="2"/>
      <c r="KPV34" s="2"/>
      <c r="KPW34" s="2"/>
      <c r="KPX34" s="2"/>
      <c r="KPY34" s="2"/>
      <c r="KPZ34" s="2"/>
      <c r="KQA34" s="2"/>
      <c r="KQB34" s="2"/>
      <c r="KQC34" s="2"/>
      <c r="KQD34" s="2"/>
      <c r="KQE34" s="2"/>
      <c r="KQF34" s="2"/>
      <c r="KQG34" s="2"/>
      <c r="KQH34" s="2"/>
      <c r="KQI34" s="2"/>
      <c r="KQJ34" s="2"/>
      <c r="KQK34" s="2"/>
      <c r="KQL34" s="2"/>
      <c r="KQM34" s="2"/>
      <c r="KQN34" s="2"/>
      <c r="KQO34" s="2"/>
      <c r="KQP34" s="2"/>
      <c r="KQQ34" s="2"/>
      <c r="KQR34" s="2"/>
      <c r="KQS34" s="2"/>
      <c r="KQT34" s="2"/>
      <c r="KQU34" s="2"/>
      <c r="KQV34" s="2"/>
      <c r="KQW34" s="2"/>
      <c r="KQX34" s="2"/>
      <c r="KQY34" s="2"/>
      <c r="KQZ34" s="2"/>
      <c r="KRA34" s="2"/>
      <c r="KRB34" s="2"/>
      <c r="KRC34" s="2"/>
      <c r="KRD34" s="2"/>
      <c r="KRE34" s="2"/>
      <c r="KRF34" s="2"/>
      <c r="KRG34" s="2"/>
      <c r="KRH34" s="2"/>
      <c r="KRI34" s="2"/>
      <c r="KRJ34" s="2"/>
      <c r="KRK34" s="2"/>
      <c r="KRL34" s="2"/>
      <c r="KRM34" s="2"/>
      <c r="KRN34" s="2"/>
      <c r="KRO34" s="2"/>
      <c r="KRP34" s="2"/>
      <c r="KRQ34" s="2"/>
      <c r="KRR34" s="2"/>
      <c r="KRS34" s="2"/>
      <c r="KRT34" s="2"/>
      <c r="KRU34" s="2"/>
      <c r="KRV34" s="2"/>
      <c r="KRW34" s="2"/>
      <c r="KRX34" s="2"/>
      <c r="KRY34" s="2"/>
      <c r="KRZ34" s="2"/>
      <c r="KSA34" s="2"/>
      <c r="KSB34" s="2"/>
      <c r="KSC34" s="2"/>
      <c r="KSD34" s="2"/>
      <c r="KSE34" s="2"/>
      <c r="KSF34" s="2"/>
      <c r="KSG34" s="2"/>
      <c r="KSH34" s="2"/>
      <c r="KSI34" s="2"/>
      <c r="KSJ34" s="2"/>
      <c r="KSK34" s="2"/>
      <c r="KSL34" s="2"/>
      <c r="KSM34" s="2"/>
      <c r="KSN34" s="2"/>
      <c r="KSO34" s="2"/>
      <c r="KSP34" s="2"/>
      <c r="KSQ34" s="2"/>
      <c r="KSR34" s="2"/>
      <c r="KSS34" s="2"/>
      <c r="KST34" s="2"/>
      <c r="KSU34" s="2"/>
      <c r="KSV34" s="2"/>
      <c r="KSW34" s="2"/>
      <c r="KSX34" s="2"/>
      <c r="KSY34" s="2"/>
      <c r="KSZ34" s="2"/>
      <c r="KTA34" s="2"/>
      <c r="KTB34" s="2"/>
      <c r="KTC34" s="2"/>
      <c r="KTD34" s="2"/>
      <c r="KTE34" s="2"/>
      <c r="KTF34" s="2"/>
      <c r="KTG34" s="2"/>
      <c r="KTH34" s="2"/>
      <c r="KTI34" s="2"/>
      <c r="KTJ34" s="2"/>
      <c r="KTK34" s="2"/>
      <c r="KTL34" s="2"/>
      <c r="KTM34" s="2"/>
      <c r="KTN34" s="2"/>
      <c r="KTO34" s="2"/>
      <c r="KTP34" s="2"/>
      <c r="KTQ34" s="2"/>
      <c r="KTR34" s="2"/>
      <c r="KTS34" s="2"/>
      <c r="KTT34" s="2"/>
      <c r="KTU34" s="2"/>
      <c r="KTV34" s="2"/>
      <c r="KTW34" s="2"/>
      <c r="KTX34" s="2"/>
      <c r="KTY34" s="2"/>
      <c r="KTZ34" s="2"/>
      <c r="KUA34" s="2"/>
      <c r="KUB34" s="2"/>
      <c r="KUC34" s="2"/>
      <c r="KUD34" s="2"/>
      <c r="KUE34" s="2"/>
      <c r="KUF34" s="2"/>
      <c r="KUG34" s="2"/>
      <c r="KUH34" s="2"/>
      <c r="KUI34" s="2"/>
      <c r="KUJ34" s="2"/>
      <c r="KUK34" s="2"/>
      <c r="KUL34" s="2"/>
      <c r="KUM34" s="2"/>
      <c r="KUN34" s="2"/>
      <c r="KUO34" s="2"/>
      <c r="KUP34" s="2"/>
      <c r="KUQ34" s="2"/>
      <c r="KUR34" s="2"/>
      <c r="KUS34" s="2"/>
      <c r="KUT34" s="2"/>
      <c r="KUU34" s="2"/>
      <c r="KUV34" s="2"/>
      <c r="KUW34" s="2"/>
      <c r="KUX34" s="2"/>
      <c r="KUY34" s="2"/>
      <c r="KUZ34" s="2"/>
      <c r="KVA34" s="2"/>
      <c r="KVB34" s="2"/>
      <c r="KVC34" s="2"/>
      <c r="KVD34" s="2"/>
      <c r="KVE34" s="2"/>
      <c r="KVF34" s="2"/>
      <c r="KVG34" s="2"/>
      <c r="KVH34" s="2"/>
      <c r="KVI34" s="2"/>
      <c r="KVJ34" s="2"/>
      <c r="KVK34" s="2"/>
      <c r="KVL34" s="2"/>
      <c r="KVM34" s="2"/>
      <c r="KVN34" s="2"/>
      <c r="KVO34" s="2"/>
      <c r="KVP34" s="2"/>
      <c r="KVQ34" s="2"/>
      <c r="KVR34" s="2"/>
      <c r="KVS34" s="2"/>
      <c r="KVT34" s="2"/>
      <c r="KVU34" s="2"/>
      <c r="KVV34" s="2"/>
      <c r="KVW34" s="2"/>
      <c r="KVX34" s="2"/>
      <c r="KVY34" s="2"/>
      <c r="KVZ34" s="2"/>
      <c r="KWA34" s="2"/>
      <c r="KWB34" s="2"/>
      <c r="KWC34" s="2"/>
      <c r="KWD34" s="2"/>
      <c r="KWE34" s="2"/>
      <c r="KWF34" s="2"/>
      <c r="KWG34" s="2"/>
      <c r="KWH34" s="2"/>
      <c r="KWI34" s="2"/>
      <c r="KWJ34" s="2"/>
      <c r="KWK34" s="2"/>
      <c r="KWL34" s="2"/>
      <c r="KWM34" s="2"/>
      <c r="KWN34" s="2"/>
      <c r="KWO34" s="2"/>
      <c r="KWP34" s="2"/>
      <c r="KWQ34" s="2"/>
      <c r="KWR34" s="2"/>
      <c r="KWS34" s="2"/>
      <c r="KWT34" s="2"/>
      <c r="KWU34" s="2"/>
      <c r="KWV34" s="2"/>
      <c r="KWW34" s="2"/>
      <c r="KWX34" s="2"/>
      <c r="KWY34" s="2"/>
      <c r="KWZ34" s="2"/>
      <c r="KXA34" s="2"/>
      <c r="KXB34" s="2"/>
      <c r="KXC34" s="2"/>
      <c r="KXD34" s="2"/>
      <c r="KXE34" s="2"/>
      <c r="KXF34" s="2"/>
      <c r="KXG34" s="2"/>
      <c r="KXH34" s="2"/>
      <c r="KXI34" s="2"/>
      <c r="KXJ34" s="2"/>
      <c r="KXK34" s="2"/>
      <c r="KXL34" s="2"/>
      <c r="KXM34" s="2"/>
      <c r="KXN34" s="2"/>
      <c r="KXO34" s="2"/>
      <c r="KXP34" s="2"/>
      <c r="KXQ34" s="2"/>
      <c r="KXR34" s="2"/>
      <c r="KXS34" s="2"/>
      <c r="KXT34" s="2"/>
      <c r="KXU34" s="2"/>
      <c r="KXV34" s="2"/>
      <c r="KXW34" s="2"/>
      <c r="KXX34" s="2"/>
      <c r="KXY34" s="2"/>
      <c r="KXZ34" s="2"/>
      <c r="KYA34" s="2"/>
      <c r="KYB34" s="2"/>
      <c r="KYC34" s="2"/>
      <c r="KYD34" s="2"/>
      <c r="KYE34" s="2"/>
      <c r="KYF34" s="2"/>
      <c r="KYG34" s="2"/>
      <c r="KYH34" s="2"/>
      <c r="KYI34" s="2"/>
      <c r="KYJ34" s="2"/>
      <c r="KYK34" s="2"/>
      <c r="KYL34" s="2"/>
      <c r="KYM34" s="2"/>
      <c r="KYN34" s="2"/>
      <c r="KYO34" s="2"/>
      <c r="KYP34" s="2"/>
      <c r="KYQ34" s="2"/>
      <c r="KYR34" s="2"/>
      <c r="KYS34" s="2"/>
      <c r="KYT34" s="2"/>
      <c r="KYU34" s="2"/>
      <c r="KYV34" s="2"/>
      <c r="KYW34" s="2"/>
      <c r="KYX34" s="2"/>
      <c r="KYY34" s="2"/>
      <c r="KYZ34" s="2"/>
      <c r="KZA34" s="2"/>
      <c r="KZB34" s="2"/>
      <c r="KZC34" s="2"/>
      <c r="KZD34" s="2"/>
      <c r="KZE34" s="2"/>
      <c r="KZF34" s="2"/>
      <c r="KZG34" s="2"/>
      <c r="KZH34" s="2"/>
      <c r="KZI34" s="2"/>
      <c r="KZJ34" s="2"/>
      <c r="KZK34" s="2"/>
      <c r="KZL34" s="2"/>
      <c r="KZM34" s="2"/>
      <c r="KZN34" s="2"/>
      <c r="KZO34" s="2"/>
      <c r="KZP34" s="2"/>
      <c r="KZQ34" s="2"/>
      <c r="KZR34" s="2"/>
      <c r="KZS34" s="2"/>
      <c r="KZT34" s="2"/>
      <c r="KZU34" s="2"/>
      <c r="KZV34" s="2"/>
      <c r="KZW34" s="2"/>
      <c r="KZX34" s="2"/>
      <c r="KZY34" s="2"/>
      <c r="KZZ34" s="2"/>
      <c r="LAA34" s="2"/>
      <c r="LAB34" s="2"/>
      <c r="LAC34" s="2"/>
      <c r="LAD34" s="2"/>
      <c r="LAE34" s="2"/>
      <c r="LAF34" s="2"/>
      <c r="LAG34" s="2"/>
      <c r="LAH34" s="2"/>
      <c r="LAI34" s="2"/>
      <c r="LAJ34" s="2"/>
      <c r="LAK34" s="2"/>
      <c r="LAL34" s="2"/>
      <c r="LAM34" s="2"/>
      <c r="LAN34" s="2"/>
      <c r="LAO34" s="2"/>
      <c r="LAP34" s="2"/>
      <c r="LAQ34" s="2"/>
      <c r="LAR34" s="2"/>
      <c r="LAS34" s="2"/>
      <c r="LAT34" s="2"/>
      <c r="LAU34" s="2"/>
      <c r="LAV34" s="2"/>
      <c r="LAW34" s="2"/>
      <c r="LAX34" s="2"/>
      <c r="LAY34" s="2"/>
      <c r="LAZ34" s="2"/>
      <c r="LBA34" s="2"/>
      <c r="LBB34" s="2"/>
      <c r="LBC34" s="2"/>
      <c r="LBD34" s="2"/>
      <c r="LBE34" s="2"/>
      <c r="LBF34" s="2"/>
      <c r="LBG34" s="2"/>
      <c r="LBH34" s="2"/>
      <c r="LBI34" s="2"/>
      <c r="LBJ34" s="2"/>
      <c r="LBK34" s="2"/>
      <c r="LBL34" s="2"/>
      <c r="LBM34" s="2"/>
      <c r="LBN34" s="2"/>
      <c r="LBO34" s="2"/>
      <c r="LBP34" s="2"/>
      <c r="LBQ34" s="2"/>
      <c r="LBR34" s="2"/>
      <c r="LBS34" s="2"/>
      <c r="LBT34" s="2"/>
      <c r="LBU34" s="2"/>
      <c r="LBV34" s="2"/>
      <c r="LBW34" s="2"/>
      <c r="LBX34" s="2"/>
      <c r="LBY34" s="2"/>
      <c r="LBZ34" s="2"/>
      <c r="LCA34" s="2"/>
      <c r="LCB34" s="2"/>
      <c r="LCC34" s="2"/>
      <c r="LCD34" s="2"/>
      <c r="LCE34" s="2"/>
      <c r="LCF34" s="2"/>
      <c r="LCG34" s="2"/>
      <c r="LCH34" s="2"/>
      <c r="LCI34" s="2"/>
      <c r="LCJ34" s="2"/>
      <c r="LCK34" s="2"/>
      <c r="LCL34" s="2"/>
      <c r="LCM34" s="2"/>
      <c r="LCN34" s="2"/>
      <c r="LCO34" s="2"/>
      <c r="LCP34" s="2"/>
      <c r="LCQ34" s="2"/>
      <c r="LCR34" s="2"/>
      <c r="LCS34" s="2"/>
      <c r="LCT34" s="2"/>
      <c r="LCU34" s="2"/>
      <c r="LCV34" s="2"/>
      <c r="LCW34" s="2"/>
      <c r="LCX34" s="2"/>
      <c r="LCY34" s="2"/>
      <c r="LCZ34" s="2"/>
      <c r="LDA34" s="2"/>
      <c r="LDB34" s="2"/>
      <c r="LDC34" s="2"/>
      <c r="LDD34" s="2"/>
      <c r="LDE34" s="2"/>
      <c r="LDF34" s="2"/>
      <c r="LDG34" s="2"/>
      <c r="LDH34" s="2"/>
      <c r="LDI34" s="2"/>
      <c r="LDJ34" s="2"/>
      <c r="LDK34" s="2"/>
      <c r="LDL34" s="2"/>
      <c r="LDM34" s="2"/>
      <c r="LDN34" s="2"/>
      <c r="LDO34" s="2"/>
      <c r="LDP34" s="2"/>
      <c r="LDQ34" s="2"/>
      <c r="LDR34" s="2"/>
      <c r="LDS34" s="2"/>
      <c r="LDT34" s="2"/>
      <c r="LDU34" s="2"/>
      <c r="LDV34" s="2"/>
      <c r="LDW34" s="2"/>
      <c r="LDX34" s="2"/>
      <c r="LDY34" s="2"/>
      <c r="LDZ34" s="2"/>
      <c r="LEA34" s="2"/>
      <c r="LEB34" s="2"/>
      <c r="LEC34" s="2"/>
      <c r="LED34" s="2"/>
      <c r="LEE34" s="2"/>
      <c r="LEF34" s="2"/>
      <c r="LEG34" s="2"/>
      <c r="LEH34" s="2"/>
      <c r="LEI34" s="2"/>
      <c r="LEJ34" s="2"/>
      <c r="LEK34" s="2"/>
      <c r="LEL34" s="2"/>
      <c r="LEM34" s="2"/>
      <c r="LEN34" s="2"/>
      <c r="LEO34" s="2"/>
      <c r="LEP34" s="2"/>
      <c r="LEQ34" s="2"/>
      <c r="LER34" s="2"/>
      <c r="LES34" s="2"/>
      <c r="LET34" s="2"/>
      <c r="LEU34" s="2"/>
      <c r="LEV34" s="2"/>
      <c r="LEW34" s="2"/>
      <c r="LEX34" s="2"/>
      <c r="LEY34" s="2"/>
      <c r="LEZ34" s="2"/>
      <c r="LFA34" s="2"/>
      <c r="LFB34" s="2"/>
      <c r="LFC34" s="2"/>
      <c r="LFD34" s="2"/>
      <c r="LFE34" s="2"/>
      <c r="LFF34" s="2"/>
      <c r="LFG34" s="2"/>
      <c r="LFH34" s="2"/>
      <c r="LFI34" s="2"/>
      <c r="LFJ34" s="2"/>
      <c r="LFK34" s="2"/>
      <c r="LFL34" s="2"/>
      <c r="LFM34" s="2"/>
      <c r="LFN34" s="2"/>
      <c r="LFO34" s="2"/>
      <c r="LFP34" s="2"/>
      <c r="LFQ34" s="2"/>
      <c r="LFR34" s="2"/>
      <c r="LFS34" s="2"/>
      <c r="LFT34" s="2"/>
      <c r="LFU34" s="2"/>
      <c r="LFV34" s="2"/>
      <c r="LFW34" s="2"/>
      <c r="LFX34" s="2"/>
      <c r="LFY34" s="2"/>
      <c r="LFZ34" s="2"/>
      <c r="LGA34" s="2"/>
      <c r="LGB34" s="2"/>
      <c r="LGC34" s="2"/>
      <c r="LGD34" s="2"/>
      <c r="LGE34" s="2"/>
      <c r="LGF34" s="2"/>
      <c r="LGG34" s="2"/>
      <c r="LGH34" s="2"/>
      <c r="LGI34" s="2"/>
      <c r="LGJ34" s="2"/>
      <c r="LGK34" s="2"/>
      <c r="LGL34" s="2"/>
      <c r="LGM34" s="2"/>
      <c r="LGN34" s="2"/>
      <c r="LGO34" s="2"/>
      <c r="LGP34" s="2"/>
      <c r="LGQ34" s="2"/>
      <c r="LGR34" s="2"/>
      <c r="LGS34" s="2"/>
      <c r="LGT34" s="2"/>
      <c r="LGU34" s="2"/>
      <c r="LGV34" s="2"/>
      <c r="LGW34" s="2"/>
      <c r="LGX34" s="2"/>
      <c r="LGY34" s="2"/>
      <c r="LGZ34" s="2"/>
      <c r="LHA34" s="2"/>
      <c r="LHB34" s="2"/>
      <c r="LHC34" s="2"/>
      <c r="LHD34" s="2"/>
      <c r="LHE34" s="2"/>
      <c r="LHF34" s="2"/>
      <c r="LHG34" s="2"/>
      <c r="LHH34" s="2"/>
      <c r="LHI34" s="2"/>
      <c r="LHJ34" s="2"/>
      <c r="LHK34" s="2"/>
      <c r="LHL34" s="2"/>
      <c r="LHM34" s="2"/>
      <c r="LHN34" s="2"/>
      <c r="LHO34" s="2"/>
      <c r="LHP34" s="2"/>
      <c r="LHQ34" s="2"/>
      <c r="LHR34" s="2"/>
      <c r="LHS34" s="2"/>
      <c r="LHT34" s="2"/>
      <c r="LHU34" s="2"/>
      <c r="LHV34" s="2"/>
      <c r="LHW34" s="2"/>
      <c r="LHX34" s="2"/>
      <c r="LHY34" s="2"/>
      <c r="LHZ34" s="2"/>
      <c r="LIA34" s="2"/>
      <c r="LIB34" s="2"/>
      <c r="LIC34" s="2"/>
      <c r="LID34" s="2"/>
      <c r="LIE34" s="2"/>
      <c r="LIF34" s="2"/>
      <c r="LIG34" s="2"/>
      <c r="LIH34" s="2"/>
      <c r="LII34" s="2"/>
      <c r="LIJ34" s="2"/>
      <c r="LIK34" s="2"/>
      <c r="LIL34" s="2"/>
      <c r="LIM34" s="2"/>
      <c r="LIN34" s="2"/>
      <c r="LIO34" s="2"/>
      <c r="LIP34" s="2"/>
      <c r="LIQ34" s="2"/>
      <c r="LIR34" s="2"/>
      <c r="LIS34" s="2"/>
      <c r="LIT34" s="2"/>
      <c r="LIU34" s="2"/>
      <c r="LIV34" s="2"/>
      <c r="LIW34" s="2"/>
      <c r="LIX34" s="2"/>
      <c r="LIY34" s="2"/>
      <c r="LIZ34" s="2"/>
      <c r="LJA34" s="2"/>
      <c r="LJB34" s="2"/>
      <c r="LJC34" s="2"/>
      <c r="LJD34" s="2"/>
      <c r="LJE34" s="2"/>
      <c r="LJF34" s="2"/>
      <c r="LJG34" s="2"/>
      <c r="LJH34" s="2"/>
      <c r="LJI34" s="2"/>
      <c r="LJJ34" s="2"/>
      <c r="LJK34" s="2"/>
      <c r="LJL34" s="2"/>
      <c r="LJM34" s="2"/>
      <c r="LJN34" s="2"/>
      <c r="LJO34" s="2"/>
      <c r="LJP34" s="2"/>
      <c r="LJQ34" s="2"/>
      <c r="LJR34" s="2"/>
      <c r="LJS34" s="2"/>
      <c r="LJT34" s="2"/>
      <c r="LJU34" s="2"/>
      <c r="LJV34" s="2"/>
      <c r="LJW34" s="2"/>
      <c r="LJX34" s="2"/>
      <c r="LJY34" s="2"/>
      <c r="LJZ34" s="2"/>
      <c r="LKA34" s="2"/>
      <c r="LKB34" s="2"/>
      <c r="LKC34" s="2"/>
      <c r="LKD34" s="2"/>
      <c r="LKE34" s="2"/>
      <c r="LKF34" s="2"/>
      <c r="LKG34" s="2"/>
      <c r="LKH34" s="2"/>
      <c r="LKI34" s="2"/>
      <c r="LKJ34" s="2"/>
      <c r="LKK34" s="2"/>
      <c r="LKL34" s="2"/>
      <c r="LKM34" s="2"/>
      <c r="LKN34" s="2"/>
      <c r="LKO34" s="2"/>
      <c r="LKP34" s="2"/>
      <c r="LKQ34" s="2"/>
      <c r="LKR34" s="2"/>
      <c r="LKS34" s="2"/>
      <c r="LKT34" s="2"/>
      <c r="LKU34" s="2"/>
      <c r="LKV34" s="2"/>
      <c r="LKW34" s="2"/>
      <c r="LKX34" s="2"/>
      <c r="LKY34" s="2"/>
      <c r="LKZ34" s="2"/>
      <c r="LLA34" s="2"/>
      <c r="LLB34" s="2"/>
      <c r="LLC34" s="2"/>
      <c r="LLD34" s="2"/>
      <c r="LLE34" s="2"/>
      <c r="LLF34" s="2"/>
      <c r="LLG34" s="2"/>
      <c r="LLH34" s="2"/>
      <c r="LLI34" s="2"/>
      <c r="LLJ34" s="2"/>
      <c r="LLK34" s="2"/>
      <c r="LLL34" s="2"/>
      <c r="LLM34" s="2"/>
      <c r="LLN34" s="2"/>
      <c r="LLO34" s="2"/>
      <c r="LLP34" s="2"/>
      <c r="LLQ34" s="2"/>
      <c r="LLR34" s="2"/>
      <c r="LLS34" s="2"/>
      <c r="LLT34" s="2"/>
      <c r="LLU34" s="2"/>
      <c r="LLV34" s="2"/>
      <c r="LLW34" s="2"/>
      <c r="LLX34" s="2"/>
      <c r="LLY34" s="2"/>
      <c r="LLZ34" s="2"/>
      <c r="LMA34" s="2"/>
      <c r="LMB34" s="2"/>
      <c r="LMC34" s="2"/>
      <c r="LMD34" s="2"/>
      <c r="LME34" s="2"/>
      <c r="LMF34" s="2"/>
      <c r="LMG34" s="2"/>
      <c r="LMH34" s="2"/>
      <c r="LMI34" s="2"/>
      <c r="LMJ34" s="2"/>
      <c r="LMK34" s="2"/>
      <c r="LML34" s="2"/>
      <c r="LMM34" s="2"/>
      <c r="LMN34" s="2"/>
      <c r="LMO34" s="2"/>
      <c r="LMP34" s="2"/>
      <c r="LMQ34" s="2"/>
      <c r="LMR34" s="2"/>
      <c r="LMS34" s="2"/>
      <c r="LMT34" s="2"/>
      <c r="LMU34" s="2"/>
      <c r="LMV34" s="2"/>
      <c r="LMW34" s="2"/>
      <c r="LMX34" s="2"/>
      <c r="LMY34" s="2"/>
      <c r="LMZ34" s="2"/>
      <c r="LNA34" s="2"/>
      <c r="LNB34" s="2"/>
      <c r="LNC34" s="2"/>
      <c r="LND34" s="2"/>
      <c r="LNE34" s="2"/>
      <c r="LNF34" s="2"/>
      <c r="LNG34" s="2"/>
      <c r="LNH34" s="2"/>
      <c r="LNI34" s="2"/>
      <c r="LNJ34" s="2"/>
      <c r="LNK34" s="2"/>
      <c r="LNL34" s="2"/>
      <c r="LNM34" s="2"/>
      <c r="LNN34" s="2"/>
      <c r="LNO34" s="2"/>
      <c r="LNP34" s="2"/>
      <c r="LNQ34" s="2"/>
      <c r="LNR34" s="2"/>
      <c r="LNS34" s="2"/>
      <c r="LNT34" s="2"/>
      <c r="LNU34" s="2"/>
      <c r="LNV34" s="2"/>
      <c r="LNW34" s="2"/>
      <c r="LNX34" s="2"/>
      <c r="LNY34" s="2"/>
      <c r="LNZ34" s="2"/>
      <c r="LOA34" s="2"/>
      <c r="LOB34" s="2"/>
      <c r="LOC34" s="2"/>
      <c r="LOD34" s="2"/>
      <c r="LOE34" s="2"/>
      <c r="LOF34" s="2"/>
      <c r="LOG34" s="2"/>
      <c r="LOH34" s="2"/>
      <c r="LOI34" s="2"/>
      <c r="LOJ34" s="2"/>
      <c r="LOK34" s="2"/>
      <c r="LOL34" s="2"/>
      <c r="LOM34" s="2"/>
      <c r="LON34" s="2"/>
      <c r="LOO34" s="2"/>
      <c r="LOP34" s="2"/>
      <c r="LOQ34" s="2"/>
      <c r="LOR34" s="2"/>
      <c r="LOS34" s="2"/>
      <c r="LOT34" s="2"/>
      <c r="LOU34" s="2"/>
      <c r="LOV34" s="2"/>
      <c r="LOW34" s="2"/>
      <c r="LOX34" s="2"/>
      <c r="LOY34" s="2"/>
      <c r="LOZ34" s="2"/>
      <c r="LPA34" s="2"/>
      <c r="LPB34" s="2"/>
      <c r="LPC34" s="2"/>
      <c r="LPD34" s="2"/>
      <c r="LPE34" s="2"/>
      <c r="LPF34" s="2"/>
      <c r="LPG34" s="2"/>
      <c r="LPH34" s="2"/>
      <c r="LPI34" s="2"/>
      <c r="LPJ34" s="2"/>
      <c r="LPK34" s="2"/>
      <c r="LPL34" s="2"/>
      <c r="LPM34" s="2"/>
      <c r="LPN34" s="2"/>
      <c r="LPO34" s="2"/>
      <c r="LPP34" s="2"/>
      <c r="LPQ34" s="2"/>
      <c r="LPR34" s="2"/>
      <c r="LPS34" s="2"/>
      <c r="LPT34" s="2"/>
      <c r="LPU34" s="2"/>
      <c r="LPV34" s="2"/>
      <c r="LPW34" s="2"/>
      <c r="LPX34" s="2"/>
      <c r="LPY34" s="2"/>
      <c r="LPZ34" s="2"/>
      <c r="LQA34" s="2"/>
      <c r="LQB34" s="2"/>
      <c r="LQC34" s="2"/>
      <c r="LQD34" s="2"/>
      <c r="LQE34" s="2"/>
      <c r="LQF34" s="2"/>
      <c r="LQG34" s="2"/>
      <c r="LQH34" s="2"/>
      <c r="LQI34" s="2"/>
      <c r="LQJ34" s="2"/>
      <c r="LQK34" s="2"/>
      <c r="LQL34" s="2"/>
      <c r="LQM34" s="2"/>
      <c r="LQN34" s="2"/>
      <c r="LQO34" s="2"/>
      <c r="LQP34" s="2"/>
      <c r="LQQ34" s="2"/>
      <c r="LQR34" s="2"/>
      <c r="LQS34" s="2"/>
      <c r="LQT34" s="2"/>
      <c r="LQU34" s="2"/>
      <c r="LQV34" s="2"/>
      <c r="LQW34" s="2"/>
      <c r="LQX34" s="2"/>
      <c r="LQY34" s="2"/>
      <c r="LQZ34" s="2"/>
      <c r="LRA34" s="2"/>
      <c r="LRB34" s="2"/>
      <c r="LRC34" s="2"/>
      <c r="LRD34" s="2"/>
      <c r="LRE34" s="2"/>
      <c r="LRF34" s="2"/>
      <c r="LRG34" s="2"/>
      <c r="LRH34" s="2"/>
      <c r="LRI34" s="2"/>
      <c r="LRJ34" s="2"/>
      <c r="LRK34" s="2"/>
      <c r="LRL34" s="2"/>
      <c r="LRM34" s="2"/>
      <c r="LRN34" s="2"/>
      <c r="LRO34" s="2"/>
      <c r="LRP34" s="2"/>
      <c r="LRQ34" s="2"/>
      <c r="LRR34" s="2"/>
      <c r="LRS34" s="2"/>
      <c r="LRT34" s="2"/>
      <c r="LRU34" s="2"/>
      <c r="LRV34" s="2"/>
      <c r="LRW34" s="2"/>
      <c r="LRX34" s="2"/>
      <c r="LRY34" s="2"/>
      <c r="LRZ34" s="2"/>
      <c r="LSA34" s="2"/>
      <c r="LSB34" s="2"/>
      <c r="LSC34" s="2"/>
      <c r="LSD34" s="2"/>
      <c r="LSE34" s="2"/>
      <c r="LSF34" s="2"/>
      <c r="LSG34" s="2"/>
      <c r="LSH34" s="2"/>
      <c r="LSI34" s="2"/>
      <c r="LSJ34" s="2"/>
      <c r="LSK34" s="2"/>
      <c r="LSL34" s="2"/>
      <c r="LSM34" s="2"/>
      <c r="LSN34" s="2"/>
      <c r="LSO34" s="2"/>
      <c r="LSP34" s="2"/>
      <c r="LSQ34" s="2"/>
      <c r="LSR34" s="2"/>
      <c r="LSS34" s="2"/>
      <c r="LST34" s="2"/>
      <c r="LSU34" s="2"/>
      <c r="LSV34" s="2"/>
      <c r="LSW34" s="2"/>
      <c r="LSX34" s="2"/>
      <c r="LSY34" s="2"/>
      <c r="LSZ34" s="2"/>
      <c r="LTA34" s="2"/>
      <c r="LTB34" s="2"/>
      <c r="LTC34" s="2"/>
      <c r="LTD34" s="2"/>
      <c r="LTE34" s="2"/>
      <c r="LTF34" s="2"/>
      <c r="LTG34" s="2"/>
      <c r="LTH34" s="2"/>
      <c r="LTI34" s="2"/>
      <c r="LTJ34" s="2"/>
      <c r="LTK34" s="2"/>
      <c r="LTL34" s="2"/>
      <c r="LTM34" s="2"/>
      <c r="LTN34" s="2"/>
      <c r="LTO34" s="2"/>
      <c r="LTP34" s="2"/>
      <c r="LTQ34" s="2"/>
      <c r="LTR34" s="2"/>
      <c r="LTS34" s="2"/>
      <c r="LTT34" s="2"/>
      <c r="LTU34" s="2"/>
      <c r="LTV34" s="2"/>
      <c r="LTW34" s="2"/>
      <c r="LTX34" s="2"/>
      <c r="LTY34" s="2"/>
      <c r="LTZ34" s="2"/>
      <c r="LUA34" s="2"/>
      <c r="LUB34" s="2"/>
      <c r="LUC34" s="2"/>
      <c r="LUD34" s="2"/>
      <c r="LUE34" s="2"/>
      <c r="LUF34" s="2"/>
      <c r="LUG34" s="2"/>
      <c r="LUH34" s="2"/>
      <c r="LUI34" s="2"/>
      <c r="LUJ34" s="2"/>
      <c r="LUK34" s="2"/>
      <c r="LUL34" s="2"/>
      <c r="LUM34" s="2"/>
      <c r="LUN34" s="2"/>
      <c r="LUO34" s="2"/>
      <c r="LUP34" s="2"/>
      <c r="LUQ34" s="2"/>
      <c r="LUR34" s="2"/>
      <c r="LUS34" s="2"/>
      <c r="LUT34" s="2"/>
      <c r="LUU34" s="2"/>
      <c r="LUV34" s="2"/>
      <c r="LUW34" s="2"/>
      <c r="LUX34" s="2"/>
      <c r="LUY34" s="2"/>
      <c r="LUZ34" s="2"/>
      <c r="LVA34" s="2"/>
      <c r="LVB34" s="2"/>
      <c r="LVC34" s="2"/>
      <c r="LVD34" s="2"/>
      <c r="LVE34" s="2"/>
      <c r="LVF34" s="2"/>
      <c r="LVG34" s="2"/>
      <c r="LVH34" s="2"/>
      <c r="LVI34" s="2"/>
      <c r="LVJ34" s="2"/>
      <c r="LVK34" s="2"/>
      <c r="LVL34" s="2"/>
      <c r="LVM34" s="2"/>
      <c r="LVN34" s="2"/>
      <c r="LVO34" s="2"/>
      <c r="LVP34" s="2"/>
      <c r="LVQ34" s="2"/>
      <c r="LVR34" s="2"/>
      <c r="LVS34" s="2"/>
      <c r="LVT34" s="2"/>
      <c r="LVU34" s="2"/>
      <c r="LVV34" s="2"/>
      <c r="LVW34" s="2"/>
      <c r="LVX34" s="2"/>
      <c r="LVY34" s="2"/>
      <c r="LVZ34" s="2"/>
      <c r="LWA34" s="2"/>
      <c r="LWB34" s="2"/>
      <c r="LWC34" s="2"/>
      <c r="LWD34" s="2"/>
      <c r="LWE34" s="2"/>
      <c r="LWF34" s="2"/>
      <c r="LWG34" s="2"/>
      <c r="LWH34" s="2"/>
      <c r="LWI34" s="2"/>
      <c r="LWJ34" s="2"/>
      <c r="LWK34" s="2"/>
      <c r="LWL34" s="2"/>
      <c r="LWM34" s="2"/>
      <c r="LWN34" s="2"/>
      <c r="LWO34" s="2"/>
      <c r="LWP34" s="2"/>
      <c r="LWQ34" s="2"/>
      <c r="LWR34" s="2"/>
      <c r="LWS34" s="2"/>
      <c r="LWT34" s="2"/>
      <c r="LWU34" s="2"/>
      <c r="LWV34" s="2"/>
      <c r="LWW34" s="2"/>
      <c r="LWX34" s="2"/>
      <c r="LWY34" s="2"/>
      <c r="LWZ34" s="2"/>
      <c r="LXA34" s="2"/>
      <c r="LXB34" s="2"/>
      <c r="LXC34" s="2"/>
      <c r="LXD34" s="2"/>
      <c r="LXE34" s="2"/>
      <c r="LXF34" s="2"/>
      <c r="LXG34" s="2"/>
      <c r="LXH34" s="2"/>
      <c r="LXI34" s="2"/>
      <c r="LXJ34" s="2"/>
      <c r="LXK34" s="2"/>
      <c r="LXL34" s="2"/>
      <c r="LXM34" s="2"/>
      <c r="LXN34" s="2"/>
      <c r="LXO34" s="2"/>
      <c r="LXP34" s="2"/>
      <c r="LXQ34" s="2"/>
      <c r="LXR34" s="2"/>
      <c r="LXS34" s="2"/>
      <c r="LXT34" s="2"/>
      <c r="LXU34" s="2"/>
      <c r="LXV34" s="2"/>
      <c r="LXW34" s="2"/>
      <c r="LXX34" s="2"/>
      <c r="LXY34" s="2"/>
      <c r="LXZ34" s="2"/>
      <c r="LYA34" s="2"/>
      <c r="LYB34" s="2"/>
      <c r="LYC34" s="2"/>
      <c r="LYD34" s="2"/>
      <c r="LYE34" s="2"/>
      <c r="LYF34" s="2"/>
      <c r="LYG34" s="2"/>
      <c r="LYH34" s="2"/>
      <c r="LYI34" s="2"/>
      <c r="LYJ34" s="2"/>
      <c r="LYK34" s="2"/>
      <c r="LYL34" s="2"/>
      <c r="LYM34" s="2"/>
      <c r="LYN34" s="2"/>
      <c r="LYO34" s="2"/>
      <c r="LYP34" s="2"/>
      <c r="LYQ34" s="2"/>
      <c r="LYR34" s="2"/>
      <c r="LYS34" s="2"/>
      <c r="LYT34" s="2"/>
      <c r="LYU34" s="2"/>
      <c r="LYV34" s="2"/>
      <c r="LYW34" s="2"/>
      <c r="LYX34" s="2"/>
      <c r="LYY34" s="2"/>
      <c r="LYZ34" s="2"/>
      <c r="LZA34" s="2"/>
      <c r="LZB34" s="2"/>
      <c r="LZC34" s="2"/>
      <c r="LZD34" s="2"/>
      <c r="LZE34" s="2"/>
      <c r="LZF34" s="2"/>
      <c r="LZG34" s="2"/>
      <c r="LZH34" s="2"/>
      <c r="LZI34" s="2"/>
      <c r="LZJ34" s="2"/>
      <c r="LZK34" s="2"/>
      <c r="LZL34" s="2"/>
      <c r="LZM34" s="2"/>
      <c r="LZN34" s="2"/>
      <c r="LZO34" s="2"/>
      <c r="LZP34" s="2"/>
      <c r="LZQ34" s="2"/>
      <c r="LZR34" s="2"/>
      <c r="LZS34" s="2"/>
      <c r="LZT34" s="2"/>
      <c r="LZU34" s="2"/>
      <c r="LZV34" s="2"/>
      <c r="LZW34" s="2"/>
      <c r="LZX34" s="2"/>
      <c r="LZY34" s="2"/>
      <c r="LZZ34" s="2"/>
      <c r="MAA34" s="2"/>
      <c r="MAB34" s="2"/>
      <c r="MAC34" s="2"/>
      <c r="MAD34" s="2"/>
      <c r="MAE34" s="2"/>
      <c r="MAF34" s="2"/>
      <c r="MAG34" s="2"/>
      <c r="MAH34" s="2"/>
      <c r="MAI34" s="2"/>
      <c r="MAJ34" s="2"/>
      <c r="MAK34" s="2"/>
      <c r="MAL34" s="2"/>
      <c r="MAM34" s="2"/>
      <c r="MAN34" s="2"/>
      <c r="MAO34" s="2"/>
      <c r="MAP34" s="2"/>
      <c r="MAQ34" s="2"/>
      <c r="MAR34" s="2"/>
      <c r="MAS34" s="2"/>
      <c r="MAT34" s="2"/>
      <c r="MAU34" s="2"/>
      <c r="MAV34" s="2"/>
      <c r="MAW34" s="2"/>
      <c r="MAX34" s="2"/>
      <c r="MAY34" s="2"/>
      <c r="MAZ34" s="2"/>
      <c r="MBA34" s="2"/>
      <c r="MBB34" s="2"/>
      <c r="MBC34" s="2"/>
      <c r="MBD34" s="2"/>
      <c r="MBE34" s="2"/>
      <c r="MBF34" s="2"/>
      <c r="MBG34" s="2"/>
      <c r="MBH34" s="2"/>
      <c r="MBI34" s="2"/>
      <c r="MBJ34" s="2"/>
      <c r="MBK34" s="2"/>
      <c r="MBL34" s="2"/>
      <c r="MBM34" s="2"/>
      <c r="MBN34" s="2"/>
      <c r="MBO34" s="2"/>
      <c r="MBP34" s="2"/>
      <c r="MBQ34" s="2"/>
      <c r="MBR34" s="2"/>
      <c r="MBS34" s="2"/>
      <c r="MBT34" s="2"/>
      <c r="MBU34" s="2"/>
      <c r="MBV34" s="2"/>
      <c r="MBW34" s="2"/>
      <c r="MBX34" s="2"/>
      <c r="MBY34" s="2"/>
      <c r="MBZ34" s="2"/>
      <c r="MCA34" s="2"/>
      <c r="MCB34" s="2"/>
      <c r="MCC34" s="2"/>
      <c r="MCD34" s="2"/>
      <c r="MCE34" s="2"/>
      <c r="MCF34" s="2"/>
      <c r="MCG34" s="2"/>
      <c r="MCH34" s="2"/>
      <c r="MCI34" s="2"/>
      <c r="MCJ34" s="2"/>
      <c r="MCK34" s="2"/>
      <c r="MCL34" s="2"/>
      <c r="MCM34" s="2"/>
      <c r="MCN34" s="2"/>
      <c r="MCO34" s="2"/>
      <c r="MCP34" s="2"/>
      <c r="MCQ34" s="2"/>
      <c r="MCR34" s="2"/>
      <c r="MCS34" s="2"/>
      <c r="MCT34" s="2"/>
      <c r="MCU34" s="2"/>
      <c r="MCV34" s="2"/>
      <c r="MCW34" s="2"/>
      <c r="MCX34" s="2"/>
      <c r="MCY34" s="2"/>
      <c r="MCZ34" s="2"/>
      <c r="MDA34" s="2"/>
      <c r="MDB34" s="2"/>
      <c r="MDC34" s="2"/>
      <c r="MDD34" s="2"/>
      <c r="MDE34" s="2"/>
      <c r="MDF34" s="2"/>
      <c r="MDG34" s="2"/>
      <c r="MDH34" s="2"/>
      <c r="MDI34" s="2"/>
      <c r="MDJ34" s="2"/>
      <c r="MDK34" s="2"/>
      <c r="MDL34" s="2"/>
      <c r="MDM34" s="2"/>
      <c r="MDN34" s="2"/>
      <c r="MDO34" s="2"/>
      <c r="MDP34" s="2"/>
      <c r="MDQ34" s="2"/>
      <c r="MDR34" s="2"/>
      <c r="MDS34" s="2"/>
      <c r="MDT34" s="2"/>
      <c r="MDU34" s="2"/>
      <c r="MDV34" s="2"/>
      <c r="MDW34" s="2"/>
      <c r="MDX34" s="2"/>
      <c r="MDY34" s="2"/>
      <c r="MDZ34" s="2"/>
      <c r="MEA34" s="2"/>
      <c r="MEB34" s="2"/>
      <c r="MEC34" s="2"/>
      <c r="MED34" s="2"/>
      <c r="MEE34" s="2"/>
      <c r="MEF34" s="2"/>
      <c r="MEG34" s="2"/>
      <c r="MEH34" s="2"/>
      <c r="MEI34" s="2"/>
      <c r="MEJ34" s="2"/>
      <c r="MEK34" s="2"/>
      <c r="MEL34" s="2"/>
      <c r="MEM34" s="2"/>
      <c r="MEN34" s="2"/>
      <c r="MEO34" s="2"/>
      <c r="MEP34" s="2"/>
      <c r="MEQ34" s="2"/>
      <c r="MER34" s="2"/>
      <c r="MES34" s="2"/>
      <c r="MET34" s="2"/>
      <c r="MEU34" s="2"/>
      <c r="MEV34" s="2"/>
      <c r="MEW34" s="2"/>
      <c r="MEX34" s="2"/>
      <c r="MEY34" s="2"/>
      <c r="MEZ34" s="2"/>
      <c r="MFA34" s="2"/>
      <c r="MFB34" s="2"/>
      <c r="MFC34" s="2"/>
      <c r="MFD34" s="2"/>
      <c r="MFE34" s="2"/>
      <c r="MFF34" s="2"/>
      <c r="MFG34" s="2"/>
      <c r="MFH34" s="2"/>
      <c r="MFI34" s="2"/>
      <c r="MFJ34" s="2"/>
      <c r="MFK34" s="2"/>
      <c r="MFL34" s="2"/>
      <c r="MFM34" s="2"/>
      <c r="MFN34" s="2"/>
      <c r="MFO34" s="2"/>
      <c r="MFP34" s="2"/>
      <c r="MFQ34" s="2"/>
      <c r="MFR34" s="2"/>
      <c r="MFS34" s="2"/>
      <c r="MFT34" s="2"/>
      <c r="MFU34" s="2"/>
      <c r="MFV34" s="2"/>
      <c r="MFW34" s="2"/>
      <c r="MFX34" s="2"/>
      <c r="MFY34" s="2"/>
      <c r="MFZ34" s="2"/>
      <c r="MGA34" s="2"/>
      <c r="MGB34" s="2"/>
      <c r="MGC34" s="2"/>
      <c r="MGD34" s="2"/>
      <c r="MGE34" s="2"/>
      <c r="MGF34" s="2"/>
      <c r="MGG34" s="2"/>
      <c r="MGH34" s="2"/>
      <c r="MGI34" s="2"/>
      <c r="MGJ34" s="2"/>
      <c r="MGK34" s="2"/>
      <c r="MGL34" s="2"/>
      <c r="MGM34" s="2"/>
      <c r="MGN34" s="2"/>
      <c r="MGO34" s="2"/>
      <c r="MGP34" s="2"/>
      <c r="MGQ34" s="2"/>
      <c r="MGR34" s="2"/>
      <c r="MGS34" s="2"/>
      <c r="MGT34" s="2"/>
      <c r="MGU34" s="2"/>
      <c r="MGV34" s="2"/>
      <c r="MGW34" s="2"/>
      <c r="MGX34" s="2"/>
      <c r="MGY34" s="2"/>
      <c r="MGZ34" s="2"/>
      <c r="MHA34" s="2"/>
      <c r="MHB34" s="2"/>
      <c r="MHC34" s="2"/>
      <c r="MHD34" s="2"/>
      <c r="MHE34" s="2"/>
      <c r="MHF34" s="2"/>
      <c r="MHG34" s="2"/>
      <c r="MHH34" s="2"/>
      <c r="MHI34" s="2"/>
      <c r="MHJ34" s="2"/>
      <c r="MHK34" s="2"/>
      <c r="MHL34" s="2"/>
      <c r="MHM34" s="2"/>
      <c r="MHN34" s="2"/>
      <c r="MHO34" s="2"/>
      <c r="MHP34" s="2"/>
      <c r="MHQ34" s="2"/>
      <c r="MHR34" s="2"/>
      <c r="MHS34" s="2"/>
      <c r="MHT34" s="2"/>
      <c r="MHU34" s="2"/>
      <c r="MHV34" s="2"/>
      <c r="MHW34" s="2"/>
      <c r="MHX34" s="2"/>
      <c r="MHY34" s="2"/>
      <c r="MHZ34" s="2"/>
      <c r="MIA34" s="2"/>
      <c r="MIB34" s="2"/>
      <c r="MIC34" s="2"/>
      <c r="MID34" s="2"/>
      <c r="MIE34" s="2"/>
      <c r="MIF34" s="2"/>
      <c r="MIG34" s="2"/>
      <c r="MIH34" s="2"/>
      <c r="MII34" s="2"/>
      <c r="MIJ34" s="2"/>
      <c r="MIK34" s="2"/>
      <c r="MIL34" s="2"/>
      <c r="MIM34" s="2"/>
      <c r="MIN34" s="2"/>
      <c r="MIO34" s="2"/>
      <c r="MIP34" s="2"/>
      <c r="MIQ34" s="2"/>
      <c r="MIR34" s="2"/>
      <c r="MIS34" s="2"/>
      <c r="MIT34" s="2"/>
      <c r="MIU34" s="2"/>
      <c r="MIV34" s="2"/>
      <c r="MIW34" s="2"/>
      <c r="MIX34" s="2"/>
      <c r="MIY34" s="2"/>
      <c r="MIZ34" s="2"/>
      <c r="MJA34" s="2"/>
      <c r="MJB34" s="2"/>
      <c r="MJC34" s="2"/>
      <c r="MJD34" s="2"/>
      <c r="MJE34" s="2"/>
      <c r="MJF34" s="2"/>
      <c r="MJG34" s="2"/>
      <c r="MJH34" s="2"/>
      <c r="MJI34" s="2"/>
      <c r="MJJ34" s="2"/>
      <c r="MJK34" s="2"/>
      <c r="MJL34" s="2"/>
      <c r="MJM34" s="2"/>
      <c r="MJN34" s="2"/>
      <c r="MJO34" s="2"/>
      <c r="MJP34" s="2"/>
      <c r="MJQ34" s="2"/>
      <c r="MJR34" s="2"/>
      <c r="MJS34" s="2"/>
      <c r="MJT34" s="2"/>
      <c r="MJU34" s="2"/>
      <c r="MJV34" s="2"/>
      <c r="MJW34" s="2"/>
      <c r="MJX34" s="2"/>
      <c r="MJY34" s="2"/>
      <c r="MJZ34" s="2"/>
      <c r="MKA34" s="2"/>
      <c r="MKB34" s="2"/>
      <c r="MKC34" s="2"/>
      <c r="MKD34" s="2"/>
      <c r="MKE34" s="2"/>
      <c r="MKF34" s="2"/>
      <c r="MKG34" s="2"/>
      <c r="MKH34" s="2"/>
      <c r="MKI34" s="2"/>
      <c r="MKJ34" s="2"/>
      <c r="MKK34" s="2"/>
      <c r="MKL34" s="2"/>
      <c r="MKM34" s="2"/>
      <c r="MKN34" s="2"/>
      <c r="MKO34" s="2"/>
      <c r="MKP34" s="2"/>
      <c r="MKQ34" s="2"/>
      <c r="MKR34" s="2"/>
      <c r="MKS34" s="2"/>
      <c r="MKT34" s="2"/>
      <c r="MKU34" s="2"/>
      <c r="MKV34" s="2"/>
      <c r="MKW34" s="2"/>
      <c r="MKX34" s="2"/>
      <c r="MKY34" s="2"/>
      <c r="MKZ34" s="2"/>
      <c r="MLA34" s="2"/>
      <c r="MLB34" s="2"/>
      <c r="MLC34" s="2"/>
      <c r="MLD34" s="2"/>
      <c r="MLE34" s="2"/>
      <c r="MLF34" s="2"/>
      <c r="MLG34" s="2"/>
      <c r="MLH34" s="2"/>
      <c r="MLI34" s="2"/>
      <c r="MLJ34" s="2"/>
      <c r="MLK34" s="2"/>
      <c r="MLL34" s="2"/>
      <c r="MLM34" s="2"/>
      <c r="MLN34" s="2"/>
      <c r="MLO34" s="2"/>
      <c r="MLP34" s="2"/>
      <c r="MLQ34" s="2"/>
      <c r="MLR34" s="2"/>
      <c r="MLS34" s="2"/>
      <c r="MLT34" s="2"/>
      <c r="MLU34" s="2"/>
      <c r="MLV34" s="2"/>
      <c r="MLW34" s="2"/>
      <c r="MLX34" s="2"/>
      <c r="MLY34" s="2"/>
      <c r="MLZ34" s="2"/>
      <c r="MMA34" s="2"/>
      <c r="MMB34" s="2"/>
      <c r="MMC34" s="2"/>
      <c r="MMD34" s="2"/>
      <c r="MME34" s="2"/>
      <c r="MMF34" s="2"/>
      <c r="MMG34" s="2"/>
      <c r="MMH34" s="2"/>
      <c r="MMI34" s="2"/>
      <c r="MMJ34" s="2"/>
      <c r="MMK34" s="2"/>
      <c r="MML34" s="2"/>
      <c r="MMM34" s="2"/>
      <c r="MMN34" s="2"/>
      <c r="MMO34" s="2"/>
      <c r="MMP34" s="2"/>
      <c r="MMQ34" s="2"/>
      <c r="MMR34" s="2"/>
      <c r="MMS34" s="2"/>
      <c r="MMT34" s="2"/>
      <c r="MMU34" s="2"/>
      <c r="MMV34" s="2"/>
      <c r="MMW34" s="2"/>
      <c r="MMX34" s="2"/>
      <c r="MMY34" s="2"/>
      <c r="MMZ34" s="2"/>
      <c r="MNA34" s="2"/>
      <c r="MNB34" s="2"/>
      <c r="MNC34" s="2"/>
      <c r="MND34" s="2"/>
      <c r="MNE34" s="2"/>
      <c r="MNF34" s="2"/>
      <c r="MNG34" s="2"/>
      <c r="MNH34" s="2"/>
      <c r="MNI34" s="2"/>
      <c r="MNJ34" s="2"/>
      <c r="MNK34" s="2"/>
      <c r="MNL34" s="2"/>
      <c r="MNM34" s="2"/>
      <c r="MNN34" s="2"/>
      <c r="MNO34" s="2"/>
      <c r="MNP34" s="2"/>
      <c r="MNQ34" s="2"/>
      <c r="MNR34" s="2"/>
      <c r="MNS34" s="2"/>
      <c r="MNT34" s="2"/>
      <c r="MNU34" s="2"/>
      <c r="MNV34" s="2"/>
      <c r="MNW34" s="2"/>
      <c r="MNX34" s="2"/>
      <c r="MNY34" s="2"/>
      <c r="MNZ34" s="2"/>
      <c r="MOA34" s="2"/>
      <c r="MOB34" s="2"/>
      <c r="MOC34" s="2"/>
      <c r="MOD34" s="2"/>
      <c r="MOE34" s="2"/>
      <c r="MOF34" s="2"/>
      <c r="MOG34" s="2"/>
      <c r="MOH34" s="2"/>
      <c r="MOI34" s="2"/>
      <c r="MOJ34" s="2"/>
      <c r="MOK34" s="2"/>
      <c r="MOL34" s="2"/>
      <c r="MOM34" s="2"/>
      <c r="MON34" s="2"/>
      <c r="MOO34" s="2"/>
      <c r="MOP34" s="2"/>
      <c r="MOQ34" s="2"/>
      <c r="MOR34" s="2"/>
      <c r="MOS34" s="2"/>
      <c r="MOT34" s="2"/>
      <c r="MOU34" s="2"/>
      <c r="MOV34" s="2"/>
      <c r="MOW34" s="2"/>
      <c r="MOX34" s="2"/>
      <c r="MOY34" s="2"/>
      <c r="MOZ34" s="2"/>
      <c r="MPA34" s="2"/>
      <c r="MPB34" s="2"/>
      <c r="MPC34" s="2"/>
      <c r="MPD34" s="2"/>
      <c r="MPE34" s="2"/>
      <c r="MPF34" s="2"/>
      <c r="MPG34" s="2"/>
      <c r="MPH34" s="2"/>
      <c r="MPI34" s="2"/>
      <c r="MPJ34" s="2"/>
      <c r="MPK34" s="2"/>
      <c r="MPL34" s="2"/>
      <c r="MPM34" s="2"/>
      <c r="MPN34" s="2"/>
      <c r="MPO34" s="2"/>
      <c r="MPP34" s="2"/>
      <c r="MPQ34" s="2"/>
      <c r="MPR34" s="2"/>
      <c r="MPS34" s="2"/>
      <c r="MPT34" s="2"/>
      <c r="MPU34" s="2"/>
      <c r="MPV34" s="2"/>
      <c r="MPW34" s="2"/>
      <c r="MPX34" s="2"/>
      <c r="MPY34" s="2"/>
      <c r="MPZ34" s="2"/>
      <c r="MQA34" s="2"/>
      <c r="MQB34" s="2"/>
      <c r="MQC34" s="2"/>
      <c r="MQD34" s="2"/>
      <c r="MQE34" s="2"/>
      <c r="MQF34" s="2"/>
      <c r="MQG34" s="2"/>
      <c r="MQH34" s="2"/>
      <c r="MQI34" s="2"/>
      <c r="MQJ34" s="2"/>
      <c r="MQK34" s="2"/>
      <c r="MQL34" s="2"/>
      <c r="MQM34" s="2"/>
      <c r="MQN34" s="2"/>
      <c r="MQO34" s="2"/>
      <c r="MQP34" s="2"/>
      <c r="MQQ34" s="2"/>
      <c r="MQR34" s="2"/>
      <c r="MQS34" s="2"/>
      <c r="MQT34" s="2"/>
      <c r="MQU34" s="2"/>
      <c r="MQV34" s="2"/>
      <c r="MQW34" s="2"/>
      <c r="MQX34" s="2"/>
      <c r="MQY34" s="2"/>
      <c r="MQZ34" s="2"/>
      <c r="MRA34" s="2"/>
      <c r="MRB34" s="2"/>
      <c r="MRC34" s="2"/>
      <c r="MRD34" s="2"/>
      <c r="MRE34" s="2"/>
      <c r="MRF34" s="2"/>
      <c r="MRG34" s="2"/>
      <c r="MRH34" s="2"/>
      <c r="MRI34" s="2"/>
      <c r="MRJ34" s="2"/>
      <c r="MRK34" s="2"/>
      <c r="MRL34" s="2"/>
      <c r="MRM34" s="2"/>
      <c r="MRN34" s="2"/>
      <c r="MRO34" s="2"/>
      <c r="MRP34" s="2"/>
      <c r="MRQ34" s="2"/>
      <c r="MRR34" s="2"/>
      <c r="MRS34" s="2"/>
      <c r="MRT34" s="2"/>
      <c r="MRU34" s="2"/>
      <c r="MRV34" s="2"/>
      <c r="MRW34" s="2"/>
      <c r="MRX34" s="2"/>
      <c r="MRY34" s="2"/>
      <c r="MRZ34" s="2"/>
      <c r="MSA34" s="2"/>
      <c r="MSB34" s="2"/>
      <c r="MSC34" s="2"/>
      <c r="MSD34" s="2"/>
      <c r="MSE34" s="2"/>
      <c r="MSF34" s="2"/>
      <c r="MSG34" s="2"/>
      <c r="MSH34" s="2"/>
      <c r="MSI34" s="2"/>
      <c r="MSJ34" s="2"/>
      <c r="MSK34" s="2"/>
      <c r="MSL34" s="2"/>
      <c r="MSM34" s="2"/>
      <c r="MSN34" s="2"/>
      <c r="MSO34" s="2"/>
      <c r="MSP34" s="2"/>
      <c r="MSQ34" s="2"/>
      <c r="MSR34" s="2"/>
      <c r="MSS34" s="2"/>
      <c r="MST34" s="2"/>
      <c r="MSU34" s="2"/>
      <c r="MSV34" s="2"/>
      <c r="MSW34" s="2"/>
      <c r="MSX34" s="2"/>
      <c r="MSY34" s="2"/>
      <c r="MSZ34" s="2"/>
      <c r="MTA34" s="2"/>
      <c r="MTB34" s="2"/>
      <c r="MTC34" s="2"/>
      <c r="MTD34" s="2"/>
      <c r="MTE34" s="2"/>
      <c r="MTF34" s="2"/>
      <c r="MTG34" s="2"/>
      <c r="MTH34" s="2"/>
      <c r="MTI34" s="2"/>
      <c r="MTJ34" s="2"/>
      <c r="MTK34" s="2"/>
      <c r="MTL34" s="2"/>
      <c r="MTM34" s="2"/>
      <c r="MTN34" s="2"/>
      <c r="MTO34" s="2"/>
      <c r="MTP34" s="2"/>
      <c r="MTQ34" s="2"/>
      <c r="MTR34" s="2"/>
      <c r="MTS34" s="2"/>
      <c r="MTT34" s="2"/>
      <c r="MTU34" s="2"/>
      <c r="MTV34" s="2"/>
      <c r="MTW34" s="2"/>
      <c r="MTX34" s="2"/>
      <c r="MTY34" s="2"/>
      <c r="MTZ34" s="2"/>
      <c r="MUA34" s="2"/>
      <c r="MUB34" s="2"/>
      <c r="MUC34" s="2"/>
      <c r="MUD34" s="2"/>
      <c r="MUE34" s="2"/>
      <c r="MUF34" s="2"/>
      <c r="MUG34" s="2"/>
      <c r="MUH34" s="2"/>
      <c r="MUI34" s="2"/>
      <c r="MUJ34" s="2"/>
      <c r="MUK34" s="2"/>
      <c r="MUL34" s="2"/>
      <c r="MUM34" s="2"/>
      <c r="MUN34" s="2"/>
      <c r="MUO34" s="2"/>
      <c r="MUP34" s="2"/>
      <c r="MUQ34" s="2"/>
      <c r="MUR34" s="2"/>
      <c r="MUS34" s="2"/>
      <c r="MUT34" s="2"/>
      <c r="MUU34" s="2"/>
      <c r="MUV34" s="2"/>
      <c r="MUW34" s="2"/>
      <c r="MUX34" s="2"/>
      <c r="MUY34" s="2"/>
      <c r="MUZ34" s="2"/>
      <c r="MVA34" s="2"/>
      <c r="MVB34" s="2"/>
      <c r="MVC34" s="2"/>
      <c r="MVD34" s="2"/>
      <c r="MVE34" s="2"/>
      <c r="MVF34" s="2"/>
      <c r="MVG34" s="2"/>
      <c r="MVH34" s="2"/>
      <c r="MVI34" s="2"/>
      <c r="MVJ34" s="2"/>
      <c r="MVK34" s="2"/>
      <c r="MVL34" s="2"/>
      <c r="MVM34" s="2"/>
      <c r="MVN34" s="2"/>
      <c r="MVO34" s="2"/>
      <c r="MVP34" s="2"/>
      <c r="MVQ34" s="2"/>
      <c r="MVR34" s="2"/>
      <c r="MVS34" s="2"/>
      <c r="MVT34" s="2"/>
      <c r="MVU34" s="2"/>
      <c r="MVV34" s="2"/>
      <c r="MVW34" s="2"/>
      <c r="MVX34" s="2"/>
      <c r="MVY34" s="2"/>
      <c r="MVZ34" s="2"/>
      <c r="MWA34" s="2"/>
      <c r="MWB34" s="2"/>
      <c r="MWC34" s="2"/>
      <c r="MWD34" s="2"/>
      <c r="MWE34" s="2"/>
      <c r="MWF34" s="2"/>
      <c r="MWG34" s="2"/>
      <c r="MWH34" s="2"/>
      <c r="MWI34" s="2"/>
      <c r="MWJ34" s="2"/>
      <c r="MWK34" s="2"/>
      <c r="MWL34" s="2"/>
      <c r="MWM34" s="2"/>
      <c r="MWN34" s="2"/>
      <c r="MWO34" s="2"/>
      <c r="MWP34" s="2"/>
      <c r="MWQ34" s="2"/>
      <c r="MWR34" s="2"/>
      <c r="MWS34" s="2"/>
      <c r="MWT34" s="2"/>
      <c r="MWU34" s="2"/>
      <c r="MWV34" s="2"/>
      <c r="MWW34" s="2"/>
      <c r="MWX34" s="2"/>
      <c r="MWY34" s="2"/>
      <c r="MWZ34" s="2"/>
      <c r="MXA34" s="2"/>
      <c r="MXB34" s="2"/>
      <c r="MXC34" s="2"/>
      <c r="MXD34" s="2"/>
      <c r="MXE34" s="2"/>
      <c r="MXF34" s="2"/>
      <c r="MXG34" s="2"/>
      <c r="MXH34" s="2"/>
      <c r="MXI34" s="2"/>
      <c r="MXJ34" s="2"/>
      <c r="MXK34" s="2"/>
      <c r="MXL34" s="2"/>
      <c r="MXM34" s="2"/>
      <c r="MXN34" s="2"/>
      <c r="MXO34" s="2"/>
      <c r="MXP34" s="2"/>
      <c r="MXQ34" s="2"/>
      <c r="MXR34" s="2"/>
      <c r="MXS34" s="2"/>
      <c r="MXT34" s="2"/>
      <c r="MXU34" s="2"/>
      <c r="MXV34" s="2"/>
      <c r="MXW34" s="2"/>
      <c r="MXX34" s="2"/>
      <c r="MXY34" s="2"/>
      <c r="MXZ34" s="2"/>
      <c r="MYA34" s="2"/>
      <c r="MYB34" s="2"/>
      <c r="MYC34" s="2"/>
      <c r="MYD34" s="2"/>
      <c r="MYE34" s="2"/>
      <c r="MYF34" s="2"/>
      <c r="MYG34" s="2"/>
      <c r="MYH34" s="2"/>
      <c r="MYI34" s="2"/>
      <c r="MYJ34" s="2"/>
      <c r="MYK34" s="2"/>
      <c r="MYL34" s="2"/>
      <c r="MYM34" s="2"/>
      <c r="MYN34" s="2"/>
      <c r="MYO34" s="2"/>
      <c r="MYP34" s="2"/>
      <c r="MYQ34" s="2"/>
      <c r="MYR34" s="2"/>
      <c r="MYS34" s="2"/>
      <c r="MYT34" s="2"/>
      <c r="MYU34" s="2"/>
      <c r="MYV34" s="2"/>
      <c r="MYW34" s="2"/>
      <c r="MYX34" s="2"/>
      <c r="MYY34" s="2"/>
      <c r="MYZ34" s="2"/>
      <c r="MZA34" s="2"/>
      <c r="MZB34" s="2"/>
      <c r="MZC34" s="2"/>
      <c r="MZD34" s="2"/>
      <c r="MZE34" s="2"/>
      <c r="MZF34" s="2"/>
      <c r="MZG34" s="2"/>
      <c r="MZH34" s="2"/>
      <c r="MZI34" s="2"/>
      <c r="MZJ34" s="2"/>
      <c r="MZK34" s="2"/>
      <c r="MZL34" s="2"/>
      <c r="MZM34" s="2"/>
      <c r="MZN34" s="2"/>
      <c r="MZO34" s="2"/>
      <c r="MZP34" s="2"/>
      <c r="MZQ34" s="2"/>
      <c r="MZR34" s="2"/>
      <c r="MZS34" s="2"/>
      <c r="MZT34" s="2"/>
      <c r="MZU34" s="2"/>
      <c r="MZV34" s="2"/>
      <c r="MZW34" s="2"/>
      <c r="MZX34" s="2"/>
      <c r="MZY34" s="2"/>
      <c r="MZZ34" s="2"/>
      <c r="NAA34" s="2"/>
      <c r="NAB34" s="2"/>
      <c r="NAC34" s="2"/>
      <c r="NAD34" s="2"/>
      <c r="NAE34" s="2"/>
      <c r="NAF34" s="2"/>
      <c r="NAG34" s="2"/>
      <c r="NAH34" s="2"/>
      <c r="NAI34" s="2"/>
      <c r="NAJ34" s="2"/>
      <c r="NAK34" s="2"/>
      <c r="NAL34" s="2"/>
      <c r="NAM34" s="2"/>
      <c r="NAN34" s="2"/>
      <c r="NAO34" s="2"/>
      <c r="NAP34" s="2"/>
      <c r="NAQ34" s="2"/>
      <c r="NAR34" s="2"/>
      <c r="NAS34" s="2"/>
      <c r="NAT34" s="2"/>
      <c r="NAU34" s="2"/>
      <c r="NAV34" s="2"/>
      <c r="NAW34" s="2"/>
      <c r="NAX34" s="2"/>
      <c r="NAY34" s="2"/>
      <c r="NAZ34" s="2"/>
      <c r="NBA34" s="2"/>
      <c r="NBB34" s="2"/>
      <c r="NBC34" s="2"/>
      <c r="NBD34" s="2"/>
      <c r="NBE34" s="2"/>
      <c r="NBF34" s="2"/>
      <c r="NBG34" s="2"/>
      <c r="NBH34" s="2"/>
      <c r="NBI34" s="2"/>
      <c r="NBJ34" s="2"/>
      <c r="NBK34" s="2"/>
      <c r="NBL34" s="2"/>
      <c r="NBM34" s="2"/>
      <c r="NBN34" s="2"/>
      <c r="NBO34" s="2"/>
      <c r="NBP34" s="2"/>
      <c r="NBQ34" s="2"/>
      <c r="NBR34" s="2"/>
      <c r="NBS34" s="2"/>
      <c r="NBT34" s="2"/>
      <c r="NBU34" s="2"/>
      <c r="NBV34" s="2"/>
      <c r="NBW34" s="2"/>
      <c r="NBX34" s="2"/>
      <c r="NBY34" s="2"/>
      <c r="NBZ34" s="2"/>
      <c r="NCA34" s="2"/>
      <c r="NCB34" s="2"/>
      <c r="NCC34" s="2"/>
      <c r="NCD34" s="2"/>
      <c r="NCE34" s="2"/>
      <c r="NCF34" s="2"/>
      <c r="NCG34" s="2"/>
      <c r="NCH34" s="2"/>
      <c r="NCI34" s="2"/>
      <c r="NCJ34" s="2"/>
      <c r="NCK34" s="2"/>
      <c r="NCL34" s="2"/>
      <c r="NCM34" s="2"/>
      <c r="NCN34" s="2"/>
      <c r="NCO34" s="2"/>
      <c r="NCP34" s="2"/>
      <c r="NCQ34" s="2"/>
      <c r="NCR34" s="2"/>
      <c r="NCS34" s="2"/>
      <c r="NCT34" s="2"/>
      <c r="NCU34" s="2"/>
      <c r="NCV34" s="2"/>
      <c r="NCW34" s="2"/>
      <c r="NCX34" s="2"/>
      <c r="NCY34" s="2"/>
      <c r="NCZ34" s="2"/>
      <c r="NDA34" s="2"/>
      <c r="NDB34" s="2"/>
      <c r="NDC34" s="2"/>
      <c r="NDD34" s="2"/>
      <c r="NDE34" s="2"/>
      <c r="NDF34" s="2"/>
      <c r="NDG34" s="2"/>
      <c r="NDH34" s="2"/>
      <c r="NDI34" s="2"/>
      <c r="NDJ34" s="2"/>
      <c r="NDK34" s="2"/>
      <c r="NDL34" s="2"/>
      <c r="NDM34" s="2"/>
      <c r="NDN34" s="2"/>
      <c r="NDO34" s="2"/>
      <c r="NDP34" s="2"/>
      <c r="NDQ34" s="2"/>
      <c r="NDR34" s="2"/>
      <c r="NDS34" s="2"/>
      <c r="NDT34" s="2"/>
      <c r="NDU34" s="2"/>
      <c r="NDV34" s="2"/>
      <c r="NDW34" s="2"/>
      <c r="NDX34" s="2"/>
      <c r="NDY34" s="2"/>
      <c r="NDZ34" s="2"/>
      <c r="NEA34" s="2"/>
      <c r="NEB34" s="2"/>
      <c r="NEC34" s="2"/>
      <c r="NED34" s="2"/>
      <c r="NEE34" s="2"/>
      <c r="NEF34" s="2"/>
      <c r="NEG34" s="2"/>
      <c r="NEH34" s="2"/>
      <c r="NEI34" s="2"/>
      <c r="NEJ34" s="2"/>
      <c r="NEK34" s="2"/>
      <c r="NEL34" s="2"/>
      <c r="NEM34" s="2"/>
      <c r="NEN34" s="2"/>
      <c r="NEO34" s="2"/>
      <c r="NEP34" s="2"/>
      <c r="NEQ34" s="2"/>
      <c r="NER34" s="2"/>
      <c r="NES34" s="2"/>
      <c r="NET34" s="2"/>
      <c r="NEU34" s="2"/>
      <c r="NEV34" s="2"/>
      <c r="NEW34" s="2"/>
      <c r="NEX34" s="2"/>
      <c r="NEY34" s="2"/>
      <c r="NEZ34" s="2"/>
      <c r="NFA34" s="2"/>
      <c r="NFB34" s="2"/>
      <c r="NFC34" s="2"/>
      <c r="NFD34" s="2"/>
      <c r="NFE34" s="2"/>
      <c r="NFF34" s="2"/>
      <c r="NFG34" s="2"/>
      <c r="NFH34" s="2"/>
      <c r="NFI34" s="2"/>
      <c r="NFJ34" s="2"/>
      <c r="NFK34" s="2"/>
      <c r="NFL34" s="2"/>
      <c r="NFM34" s="2"/>
      <c r="NFN34" s="2"/>
      <c r="NFO34" s="2"/>
      <c r="NFP34" s="2"/>
      <c r="NFQ34" s="2"/>
      <c r="NFR34" s="2"/>
      <c r="NFS34" s="2"/>
      <c r="NFT34" s="2"/>
      <c r="NFU34" s="2"/>
      <c r="NFV34" s="2"/>
      <c r="NFW34" s="2"/>
      <c r="NFX34" s="2"/>
      <c r="NFY34" s="2"/>
      <c r="NFZ34" s="2"/>
      <c r="NGA34" s="2"/>
      <c r="NGB34" s="2"/>
      <c r="NGC34" s="2"/>
      <c r="NGD34" s="2"/>
      <c r="NGE34" s="2"/>
      <c r="NGF34" s="2"/>
      <c r="NGG34" s="2"/>
      <c r="NGH34" s="2"/>
      <c r="NGI34" s="2"/>
      <c r="NGJ34" s="2"/>
      <c r="NGK34" s="2"/>
      <c r="NGL34" s="2"/>
      <c r="NGM34" s="2"/>
      <c r="NGN34" s="2"/>
      <c r="NGO34" s="2"/>
      <c r="NGP34" s="2"/>
      <c r="NGQ34" s="2"/>
      <c r="NGR34" s="2"/>
      <c r="NGS34" s="2"/>
      <c r="NGT34" s="2"/>
      <c r="NGU34" s="2"/>
      <c r="NGV34" s="2"/>
      <c r="NGW34" s="2"/>
      <c r="NGX34" s="2"/>
      <c r="NGY34" s="2"/>
      <c r="NGZ34" s="2"/>
      <c r="NHA34" s="2"/>
      <c r="NHB34" s="2"/>
      <c r="NHC34" s="2"/>
      <c r="NHD34" s="2"/>
      <c r="NHE34" s="2"/>
      <c r="NHF34" s="2"/>
      <c r="NHG34" s="2"/>
      <c r="NHH34" s="2"/>
      <c r="NHI34" s="2"/>
      <c r="NHJ34" s="2"/>
      <c r="NHK34" s="2"/>
      <c r="NHL34" s="2"/>
      <c r="NHM34" s="2"/>
      <c r="NHN34" s="2"/>
      <c r="NHO34" s="2"/>
      <c r="NHP34" s="2"/>
      <c r="NHQ34" s="2"/>
      <c r="NHR34" s="2"/>
      <c r="NHS34" s="2"/>
      <c r="NHT34" s="2"/>
      <c r="NHU34" s="2"/>
      <c r="NHV34" s="2"/>
      <c r="NHW34" s="2"/>
      <c r="NHX34" s="2"/>
      <c r="NHY34" s="2"/>
      <c r="NHZ34" s="2"/>
      <c r="NIA34" s="2"/>
      <c r="NIB34" s="2"/>
      <c r="NIC34" s="2"/>
      <c r="NID34" s="2"/>
      <c r="NIE34" s="2"/>
      <c r="NIF34" s="2"/>
      <c r="NIG34" s="2"/>
      <c r="NIH34" s="2"/>
      <c r="NII34" s="2"/>
      <c r="NIJ34" s="2"/>
      <c r="NIK34" s="2"/>
      <c r="NIL34" s="2"/>
      <c r="NIM34" s="2"/>
      <c r="NIN34" s="2"/>
      <c r="NIO34" s="2"/>
      <c r="NIP34" s="2"/>
      <c r="NIQ34" s="2"/>
      <c r="NIR34" s="2"/>
      <c r="NIS34" s="2"/>
      <c r="NIT34" s="2"/>
      <c r="NIU34" s="2"/>
      <c r="NIV34" s="2"/>
      <c r="NIW34" s="2"/>
      <c r="NIX34" s="2"/>
      <c r="NIY34" s="2"/>
      <c r="NIZ34" s="2"/>
      <c r="NJA34" s="2"/>
      <c r="NJB34" s="2"/>
      <c r="NJC34" s="2"/>
      <c r="NJD34" s="2"/>
      <c r="NJE34" s="2"/>
      <c r="NJF34" s="2"/>
      <c r="NJG34" s="2"/>
      <c r="NJH34" s="2"/>
      <c r="NJI34" s="2"/>
      <c r="NJJ34" s="2"/>
      <c r="NJK34" s="2"/>
      <c r="NJL34" s="2"/>
      <c r="NJM34" s="2"/>
      <c r="NJN34" s="2"/>
      <c r="NJO34" s="2"/>
      <c r="NJP34" s="2"/>
      <c r="NJQ34" s="2"/>
      <c r="NJR34" s="2"/>
      <c r="NJS34" s="2"/>
      <c r="NJT34" s="2"/>
      <c r="NJU34" s="2"/>
      <c r="NJV34" s="2"/>
      <c r="NJW34" s="2"/>
      <c r="NJX34" s="2"/>
      <c r="NJY34" s="2"/>
      <c r="NJZ34" s="2"/>
      <c r="NKA34" s="2"/>
      <c r="NKB34" s="2"/>
      <c r="NKC34" s="2"/>
      <c r="NKD34" s="2"/>
      <c r="NKE34" s="2"/>
      <c r="NKF34" s="2"/>
      <c r="NKG34" s="2"/>
      <c r="NKH34" s="2"/>
      <c r="NKI34" s="2"/>
      <c r="NKJ34" s="2"/>
      <c r="NKK34" s="2"/>
      <c r="NKL34" s="2"/>
      <c r="NKM34" s="2"/>
      <c r="NKN34" s="2"/>
      <c r="NKO34" s="2"/>
      <c r="NKP34" s="2"/>
      <c r="NKQ34" s="2"/>
      <c r="NKR34" s="2"/>
      <c r="NKS34" s="2"/>
      <c r="NKT34" s="2"/>
      <c r="NKU34" s="2"/>
      <c r="NKV34" s="2"/>
      <c r="NKW34" s="2"/>
      <c r="NKX34" s="2"/>
      <c r="NKY34" s="2"/>
      <c r="NKZ34" s="2"/>
      <c r="NLA34" s="2"/>
      <c r="NLB34" s="2"/>
      <c r="NLC34" s="2"/>
      <c r="NLD34" s="2"/>
      <c r="NLE34" s="2"/>
      <c r="NLF34" s="2"/>
      <c r="NLG34" s="2"/>
      <c r="NLH34" s="2"/>
      <c r="NLI34" s="2"/>
      <c r="NLJ34" s="2"/>
      <c r="NLK34" s="2"/>
      <c r="NLL34" s="2"/>
      <c r="NLM34" s="2"/>
      <c r="NLN34" s="2"/>
      <c r="NLO34" s="2"/>
      <c r="NLP34" s="2"/>
      <c r="NLQ34" s="2"/>
      <c r="NLR34" s="2"/>
      <c r="NLS34" s="2"/>
      <c r="NLT34" s="2"/>
      <c r="NLU34" s="2"/>
      <c r="NLV34" s="2"/>
      <c r="NLW34" s="2"/>
      <c r="NLX34" s="2"/>
      <c r="NLY34" s="2"/>
      <c r="NLZ34" s="2"/>
      <c r="NMA34" s="2"/>
      <c r="NMB34" s="2"/>
      <c r="NMC34" s="2"/>
      <c r="NMD34" s="2"/>
      <c r="NME34" s="2"/>
      <c r="NMF34" s="2"/>
      <c r="NMG34" s="2"/>
      <c r="NMH34" s="2"/>
      <c r="NMI34" s="2"/>
      <c r="NMJ34" s="2"/>
      <c r="NMK34" s="2"/>
      <c r="NML34" s="2"/>
      <c r="NMM34" s="2"/>
      <c r="NMN34" s="2"/>
      <c r="NMO34" s="2"/>
      <c r="NMP34" s="2"/>
      <c r="NMQ34" s="2"/>
      <c r="NMR34" s="2"/>
      <c r="NMS34" s="2"/>
      <c r="NMT34" s="2"/>
      <c r="NMU34" s="2"/>
      <c r="NMV34" s="2"/>
      <c r="NMW34" s="2"/>
      <c r="NMX34" s="2"/>
      <c r="NMY34" s="2"/>
      <c r="NMZ34" s="2"/>
      <c r="NNA34" s="2"/>
      <c r="NNB34" s="2"/>
      <c r="NNC34" s="2"/>
      <c r="NND34" s="2"/>
      <c r="NNE34" s="2"/>
      <c r="NNF34" s="2"/>
      <c r="NNG34" s="2"/>
      <c r="NNH34" s="2"/>
      <c r="NNI34" s="2"/>
      <c r="NNJ34" s="2"/>
      <c r="NNK34" s="2"/>
      <c r="NNL34" s="2"/>
      <c r="NNM34" s="2"/>
      <c r="NNN34" s="2"/>
      <c r="NNO34" s="2"/>
      <c r="NNP34" s="2"/>
      <c r="NNQ34" s="2"/>
      <c r="NNR34" s="2"/>
      <c r="NNS34" s="2"/>
      <c r="NNT34" s="2"/>
      <c r="NNU34" s="2"/>
      <c r="NNV34" s="2"/>
      <c r="NNW34" s="2"/>
      <c r="NNX34" s="2"/>
      <c r="NNY34" s="2"/>
      <c r="NNZ34" s="2"/>
      <c r="NOA34" s="2"/>
      <c r="NOB34" s="2"/>
      <c r="NOC34" s="2"/>
      <c r="NOD34" s="2"/>
      <c r="NOE34" s="2"/>
      <c r="NOF34" s="2"/>
      <c r="NOG34" s="2"/>
      <c r="NOH34" s="2"/>
      <c r="NOI34" s="2"/>
      <c r="NOJ34" s="2"/>
      <c r="NOK34" s="2"/>
      <c r="NOL34" s="2"/>
      <c r="NOM34" s="2"/>
      <c r="NON34" s="2"/>
      <c r="NOO34" s="2"/>
      <c r="NOP34" s="2"/>
      <c r="NOQ34" s="2"/>
      <c r="NOR34" s="2"/>
      <c r="NOS34" s="2"/>
      <c r="NOT34" s="2"/>
      <c r="NOU34" s="2"/>
      <c r="NOV34" s="2"/>
      <c r="NOW34" s="2"/>
      <c r="NOX34" s="2"/>
      <c r="NOY34" s="2"/>
      <c r="NOZ34" s="2"/>
      <c r="NPA34" s="2"/>
      <c r="NPB34" s="2"/>
      <c r="NPC34" s="2"/>
      <c r="NPD34" s="2"/>
      <c r="NPE34" s="2"/>
      <c r="NPF34" s="2"/>
      <c r="NPG34" s="2"/>
      <c r="NPH34" s="2"/>
      <c r="NPI34" s="2"/>
      <c r="NPJ34" s="2"/>
      <c r="NPK34" s="2"/>
      <c r="NPL34" s="2"/>
      <c r="NPM34" s="2"/>
      <c r="NPN34" s="2"/>
      <c r="NPO34" s="2"/>
      <c r="NPP34" s="2"/>
      <c r="NPQ34" s="2"/>
      <c r="NPR34" s="2"/>
      <c r="NPS34" s="2"/>
      <c r="NPT34" s="2"/>
      <c r="NPU34" s="2"/>
      <c r="NPV34" s="2"/>
      <c r="NPW34" s="2"/>
      <c r="NPX34" s="2"/>
      <c r="NPY34" s="2"/>
      <c r="NPZ34" s="2"/>
      <c r="NQA34" s="2"/>
      <c r="NQB34" s="2"/>
      <c r="NQC34" s="2"/>
      <c r="NQD34" s="2"/>
      <c r="NQE34" s="2"/>
      <c r="NQF34" s="2"/>
      <c r="NQG34" s="2"/>
      <c r="NQH34" s="2"/>
      <c r="NQI34" s="2"/>
      <c r="NQJ34" s="2"/>
      <c r="NQK34" s="2"/>
      <c r="NQL34" s="2"/>
      <c r="NQM34" s="2"/>
      <c r="NQN34" s="2"/>
      <c r="NQO34" s="2"/>
      <c r="NQP34" s="2"/>
      <c r="NQQ34" s="2"/>
      <c r="NQR34" s="2"/>
      <c r="NQS34" s="2"/>
      <c r="NQT34" s="2"/>
      <c r="NQU34" s="2"/>
      <c r="NQV34" s="2"/>
      <c r="NQW34" s="2"/>
      <c r="NQX34" s="2"/>
      <c r="NQY34" s="2"/>
      <c r="NQZ34" s="2"/>
      <c r="NRA34" s="2"/>
      <c r="NRB34" s="2"/>
      <c r="NRC34" s="2"/>
      <c r="NRD34" s="2"/>
      <c r="NRE34" s="2"/>
      <c r="NRF34" s="2"/>
      <c r="NRG34" s="2"/>
      <c r="NRH34" s="2"/>
      <c r="NRI34" s="2"/>
      <c r="NRJ34" s="2"/>
      <c r="NRK34" s="2"/>
      <c r="NRL34" s="2"/>
      <c r="NRM34" s="2"/>
      <c r="NRN34" s="2"/>
      <c r="NRO34" s="2"/>
      <c r="NRP34" s="2"/>
      <c r="NRQ34" s="2"/>
      <c r="NRR34" s="2"/>
      <c r="NRS34" s="2"/>
      <c r="NRT34" s="2"/>
      <c r="NRU34" s="2"/>
      <c r="NRV34" s="2"/>
      <c r="NRW34" s="2"/>
      <c r="NRX34" s="2"/>
      <c r="NRY34" s="2"/>
      <c r="NRZ34" s="2"/>
      <c r="NSA34" s="2"/>
      <c r="NSB34" s="2"/>
      <c r="NSC34" s="2"/>
      <c r="NSD34" s="2"/>
      <c r="NSE34" s="2"/>
      <c r="NSF34" s="2"/>
      <c r="NSG34" s="2"/>
      <c r="NSH34" s="2"/>
      <c r="NSI34" s="2"/>
      <c r="NSJ34" s="2"/>
      <c r="NSK34" s="2"/>
      <c r="NSL34" s="2"/>
      <c r="NSM34" s="2"/>
      <c r="NSN34" s="2"/>
      <c r="NSO34" s="2"/>
      <c r="NSP34" s="2"/>
      <c r="NSQ34" s="2"/>
      <c r="NSR34" s="2"/>
      <c r="NSS34" s="2"/>
      <c r="NST34" s="2"/>
      <c r="NSU34" s="2"/>
      <c r="NSV34" s="2"/>
      <c r="NSW34" s="2"/>
      <c r="NSX34" s="2"/>
      <c r="NSY34" s="2"/>
      <c r="NSZ34" s="2"/>
      <c r="NTA34" s="2"/>
      <c r="NTB34" s="2"/>
      <c r="NTC34" s="2"/>
      <c r="NTD34" s="2"/>
      <c r="NTE34" s="2"/>
      <c r="NTF34" s="2"/>
      <c r="NTG34" s="2"/>
      <c r="NTH34" s="2"/>
      <c r="NTI34" s="2"/>
      <c r="NTJ34" s="2"/>
      <c r="NTK34" s="2"/>
      <c r="NTL34" s="2"/>
      <c r="NTM34" s="2"/>
      <c r="NTN34" s="2"/>
      <c r="NTO34" s="2"/>
      <c r="NTP34" s="2"/>
      <c r="NTQ34" s="2"/>
      <c r="NTR34" s="2"/>
      <c r="NTS34" s="2"/>
      <c r="NTT34" s="2"/>
      <c r="NTU34" s="2"/>
      <c r="NTV34" s="2"/>
      <c r="NTW34" s="2"/>
      <c r="NTX34" s="2"/>
      <c r="NTY34" s="2"/>
      <c r="NTZ34" s="2"/>
      <c r="NUA34" s="2"/>
      <c r="NUB34" s="2"/>
      <c r="NUC34" s="2"/>
      <c r="NUD34" s="2"/>
      <c r="NUE34" s="2"/>
      <c r="NUF34" s="2"/>
      <c r="NUG34" s="2"/>
      <c r="NUH34" s="2"/>
      <c r="NUI34" s="2"/>
      <c r="NUJ34" s="2"/>
      <c r="NUK34" s="2"/>
      <c r="NUL34" s="2"/>
      <c r="NUM34" s="2"/>
      <c r="NUN34" s="2"/>
      <c r="NUO34" s="2"/>
      <c r="NUP34" s="2"/>
      <c r="NUQ34" s="2"/>
      <c r="NUR34" s="2"/>
      <c r="NUS34" s="2"/>
      <c r="NUT34" s="2"/>
      <c r="NUU34" s="2"/>
      <c r="NUV34" s="2"/>
      <c r="NUW34" s="2"/>
      <c r="NUX34" s="2"/>
      <c r="NUY34" s="2"/>
      <c r="NUZ34" s="2"/>
      <c r="NVA34" s="2"/>
      <c r="NVB34" s="2"/>
      <c r="NVC34" s="2"/>
      <c r="NVD34" s="2"/>
      <c r="NVE34" s="2"/>
      <c r="NVF34" s="2"/>
      <c r="NVG34" s="2"/>
      <c r="NVH34" s="2"/>
      <c r="NVI34" s="2"/>
      <c r="NVJ34" s="2"/>
      <c r="NVK34" s="2"/>
      <c r="NVL34" s="2"/>
      <c r="NVM34" s="2"/>
      <c r="NVN34" s="2"/>
      <c r="NVO34" s="2"/>
      <c r="NVP34" s="2"/>
      <c r="NVQ34" s="2"/>
      <c r="NVR34" s="2"/>
      <c r="NVS34" s="2"/>
      <c r="NVT34" s="2"/>
      <c r="NVU34" s="2"/>
      <c r="NVV34" s="2"/>
      <c r="NVW34" s="2"/>
      <c r="NVX34" s="2"/>
      <c r="NVY34" s="2"/>
      <c r="NVZ34" s="2"/>
      <c r="NWA34" s="2"/>
      <c r="NWB34" s="2"/>
      <c r="NWC34" s="2"/>
      <c r="NWD34" s="2"/>
      <c r="NWE34" s="2"/>
      <c r="NWF34" s="2"/>
      <c r="NWG34" s="2"/>
      <c r="NWH34" s="2"/>
      <c r="NWI34" s="2"/>
      <c r="NWJ34" s="2"/>
      <c r="NWK34" s="2"/>
      <c r="NWL34" s="2"/>
      <c r="NWM34" s="2"/>
      <c r="NWN34" s="2"/>
      <c r="NWO34" s="2"/>
      <c r="NWP34" s="2"/>
      <c r="NWQ34" s="2"/>
      <c r="NWR34" s="2"/>
      <c r="NWS34" s="2"/>
      <c r="NWT34" s="2"/>
      <c r="NWU34" s="2"/>
      <c r="NWV34" s="2"/>
      <c r="NWW34" s="2"/>
      <c r="NWX34" s="2"/>
      <c r="NWY34" s="2"/>
      <c r="NWZ34" s="2"/>
      <c r="NXA34" s="2"/>
      <c r="NXB34" s="2"/>
      <c r="NXC34" s="2"/>
      <c r="NXD34" s="2"/>
      <c r="NXE34" s="2"/>
      <c r="NXF34" s="2"/>
      <c r="NXG34" s="2"/>
      <c r="NXH34" s="2"/>
      <c r="NXI34" s="2"/>
      <c r="NXJ34" s="2"/>
      <c r="NXK34" s="2"/>
      <c r="NXL34" s="2"/>
      <c r="NXM34" s="2"/>
      <c r="NXN34" s="2"/>
      <c r="NXO34" s="2"/>
      <c r="NXP34" s="2"/>
      <c r="NXQ34" s="2"/>
      <c r="NXR34" s="2"/>
      <c r="NXS34" s="2"/>
      <c r="NXT34" s="2"/>
      <c r="NXU34" s="2"/>
      <c r="NXV34" s="2"/>
      <c r="NXW34" s="2"/>
      <c r="NXX34" s="2"/>
      <c r="NXY34" s="2"/>
      <c r="NXZ34" s="2"/>
      <c r="NYA34" s="2"/>
      <c r="NYB34" s="2"/>
      <c r="NYC34" s="2"/>
      <c r="NYD34" s="2"/>
      <c r="NYE34" s="2"/>
      <c r="NYF34" s="2"/>
      <c r="NYG34" s="2"/>
      <c r="NYH34" s="2"/>
      <c r="NYI34" s="2"/>
      <c r="NYJ34" s="2"/>
      <c r="NYK34" s="2"/>
      <c r="NYL34" s="2"/>
      <c r="NYM34" s="2"/>
      <c r="NYN34" s="2"/>
      <c r="NYO34" s="2"/>
      <c r="NYP34" s="2"/>
      <c r="NYQ34" s="2"/>
      <c r="NYR34" s="2"/>
      <c r="NYS34" s="2"/>
      <c r="NYT34" s="2"/>
      <c r="NYU34" s="2"/>
      <c r="NYV34" s="2"/>
      <c r="NYW34" s="2"/>
      <c r="NYX34" s="2"/>
      <c r="NYY34" s="2"/>
      <c r="NYZ34" s="2"/>
      <c r="NZA34" s="2"/>
      <c r="NZB34" s="2"/>
      <c r="NZC34" s="2"/>
      <c r="NZD34" s="2"/>
      <c r="NZE34" s="2"/>
      <c r="NZF34" s="2"/>
      <c r="NZG34" s="2"/>
      <c r="NZH34" s="2"/>
      <c r="NZI34" s="2"/>
      <c r="NZJ34" s="2"/>
      <c r="NZK34" s="2"/>
      <c r="NZL34" s="2"/>
      <c r="NZM34" s="2"/>
      <c r="NZN34" s="2"/>
      <c r="NZO34" s="2"/>
      <c r="NZP34" s="2"/>
      <c r="NZQ34" s="2"/>
      <c r="NZR34" s="2"/>
      <c r="NZS34" s="2"/>
      <c r="NZT34" s="2"/>
      <c r="NZU34" s="2"/>
      <c r="NZV34" s="2"/>
      <c r="NZW34" s="2"/>
      <c r="NZX34" s="2"/>
      <c r="NZY34" s="2"/>
      <c r="NZZ34" s="2"/>
      <c r="OAA34" s="2"/>
      <c r="OAB34" s="2"/>
      <c r="OAC34" s="2"/>
      <c r="OAD34" s="2"/>
      <c r="OAE34" s="2"/>
      <c r="OAF34" s="2"/>
      <c r="OAG34" s="2"/>
      <c r="OAH34" s="2"/>
      <c r="OAI34" s="2"/>
      <c r="OAJ34" s="2"/>
      <c r="OAK34" s="2"/>
      <c r="OAL34" s="2"/>
      <c r="OAM34" s="2"/>
      <c r="OAN34" s="2"/>
      <c r="OAO34" s="2"/>
      <c r="OAP34" s="2"/>
      <c r="OAQ34" s="2"/>
      <c r="OAR34" s="2"/>
      <c r="OAS34" s="2"/>
      <c r="OAT34" s="2"/>
      <c r="OAU34" s="2"/>
      <c r="OAV34" s="2"/>
      <c r="OAW34" s="2"/>
      <c r="OAX34" s="2"/>
      <c r="OAY34" s="2"/>
      <c r="OAZ34" s="2"/>
      <c r="OBA34" s="2"/>
      <c r="OBB34" s="2"/>
      <c r="OBC34" s="2"/>
      <c r="OBD34" s="2"/>
      <c r="OBE34" s="2"/>
      <c r="OBF34" s="2"/>
      <c r="OBG34" s="2"/>
      <c r="OBH34" s="2"/>
      <c r="OBI34" s="2"/>
      <c r="OBJ34" s="2"/>
      <c r="OBK34" s="2"/>
      <c r="OBL34" s="2"/>
      <c r="OBM34" s="2"/>
      <c r="OBN34" s="2"/>
      <c r="OBO34" s="2"/>
      <c r="OBP34" s="2"/>
      <c r="OBQ34" s="2"/>
      <c r="OBR34" s="2"/>
      <c r="OBS34" s="2"/>
      <c r="OBT34" s="2"/>
      <c r="OBU34" s="2"/>
      <c r="OBV34" s="2"/>
      <c r="OBW34" s="2"/>
      <c r="OBX34" s="2"/>
      <c r="OBY34" s="2"/>
      <c r="OBZ34" s="2"/>
      <c r="OCA34" s="2"/>
      <c r="OCB34" s="2"/>
      <c r="OCC34" s="2"/>
      <c r="OCD34" s="2"/>
      <c r="OCE34" s="2"/>
      <c r="OCF34" s="2"/>
      <c r="OCG34" s="2"/>
      <c r="OCH34" s="2"/>
      <c r="OCI34" s="2"/>
      <c r="OCJ34" s="2"/>
      <c r="OCK34" s="2"/>
      <c r="OCL34" s="2"/>
      <c r="OCM34" s="2"/>
      <c r="OCN34" s="2"/>
      <c r="OCO34" s="2"/>
      <c r="OCP34" s="2"/>
      <c r="OCQ34" s="2"/>
      <c r="OCR34" s="2"/>
      <c r="OCS34" s="2"/>
      <c r="OCT34" s="2"/>
      <c r="OCU34" s="2"/>
      <c r="OCV34" s="2"/>
      <c r="OCW34" s="2"/>
      <c r="OCX34" s="2"/>
      <c r="OCY34" s="2"/>
      <c r="OCZ34" s="2"/>
      <c r="ODA34" s="2"/>
      <c r="ODB34" s="2"/>
      <c r="ODC34" s="2"/>
      <c r="ODD34" s="2"/>
      <c r="ODE34" s="2"/>
      <c r="ODF34" s="2"/>
      <c r="ODG34" s="2"/>
      <c r="ODH34" s="2"/>
      <c r="ODI34" s="2"/>
      <c r="ODJ34" s="2"/>
      <c r="ODK34" s="2"/>
      <c r="ODL34" s="2"/>
      <c r="ODM34" s="2"/>
      <c r="ODN34" s="2"/>
      <c r="ODO34" s="2"/>
      <c r="ODP34" s="2"/>
      <c r="ODQ34" s="2"/>
      <c r="ODR34" s="2"/>
      <c r="ODS34" s="2"/>
      <c r="ODT34" s="2"/>
      <c r="ODU34" s="2"/>
      <c r="ODV34" s="2"/>
      <c r="ODW34" s="2"/>
      <c r="ODX34" s="2"/>
      <c r="ODY34" s="2"/>
      <c r="ODZ34" s="2"/>
      <c r="OEA34" s="2"/>
      <c r="OEB34" s="2"/>
      <c r="OEC34" s="2"/>
      <c r="OED34" s="2"/>
      <c r="OEE34" s="2"/>
      <c r="OEF34" s="2"/>
      <c r="OEG34" s="2"/>
      <c r="OEH34" s="2"/>
      <c r="OEI34" s="2"/>
      <c r="OEJ34" s="2"/>
      <c r="OEK34" s="2"/>
      <c r="OEL34" s="2"/>
      <c r="OEM34" s="2"/>
      <c r="OEN34" s="2"/>
      <c r="OEO34" s="2"/>
      <c r="OEP34" s="2"/>
      <c r="OEQ34" s="2"/>
      <c r="OER34" s="2"/>
      <c r="OES34" s="2"/>
      <c r="OET34" s="2"/>
      <c r="OEU34" s="2"/>
      <c r="OEV34" s="2"/>
      <c r="OEW34" s="2"/>
      <c r="OEX34" s="2"/>
      <c r="OEY34" s="2"/>
      <c r="OEZ34" s="2"/>
      <c r="OFA34" s="2"/>
      <c r="OFB34" s="2"/>
      <c r="OFC34" s="2"/>
      <c r="OFD34" s="2"/>
      <c r="OFE34" s="2"/>
      <c r="OFF34" s="2"/>
      <c r="OFG34" s="2"/>
      <c r="OFH34" s="2"/>
      <c r="OFI34" s="2"/>
      <c r="OFJ34" s="2"/>
      <c r="OFK34" s="2"/>
      <c r="OFL34" s="2"/>
      <c r="OFM34" s="2"/>
      <c r="OFN34" s="2"/>
      <c r="OFO34" s="2"/>
      <c r="OFP34" s="2"/>
      <c r="OFQ34" s="2"/>
      <c r="OFR34" s="2"/>
      <c r="OFS34" s="2"/>
      <c r="OFT34" s="2"/>
      <c r="OFU34" s="2"/>
      <c r="OFV34" s="2"/>
      <c r="OFW34" s="2"/>
      <c r="OFX34" s="2"/>
      <c r="OFY34" s="2"/>
      <c r="OFZ34" s="2"/>
      <c r="OGA34" s="2"/>
      <c r="OGB34" s="2"/>
      <c r="OGC34" s="2"/>
      <c r="OGD34" s="2"/>
      <c r="OGE34" s="2"/>
      <c r="OGF34" s="2"/>
      <c r="OGG34" s="2"/>
      <c r="OGH34" s="2"/>
      <c r="OGI34" s="2"/>
      <c r="OGJ34" s="2"/>
      <c r="OGK34" s="2"/>
      <c r="OGL34" s="2"/>
      <c r="OGM34" s="2"/>
      <c r="OGN34" s="2"/>
      <c r="OGO34" s="2"/>
      <c r="OGP34" s="2"/>
      <c r="OGQ34" s="2"/>
      <c r="OGR34" s="2"/>
      <c r="OGS34" s="2"/>
      <c r="OGT34" s="2"/>
      <c r="OGU34" s="2"/>
      <c r="OGV34" s="2"/>
      <c r="OGW34" s="2"/>
      <c r="OGX34" s="2"/>
      <c r="OGY34" s="2"/>
      <c r="OGZ34" s="2"/>
      <c r="OHA34" s="2"/>
      <c r="OHB34" s="2"/>
      <c r="OHC34" s="2"/>
      <c r="OHD34" s="2"/>
      <c r="OHE34" s="2"/>
      <c r="OHF34" s="2"/>
      <c r="OHG34" s="2"/>
      <c r="OHH34" s="2"/>
      <c r="OHI34" s="2"/>
      <c r="OHJ34" s="2"/>
      <c r="OHK34" s="2"/>
      <c r="OHL34" s="2"/>
      <c r="OHM34" s="2"/>
      <c r="OHN34" s="2"/>
      <c r="OHO34" s="2"/>
      <c r="OHP34" s="2"/>
      <c r="OHQ34" s="2"/>
      <c r="OHR34" s="2"/>
      <c r="OHS34" s="2"/>
      <c r="OHT34" s="2"/>
      <c r="OHU34" s="2"/>
      <c r="OHV34" s="2"/>
      <c r="OHW34" s="2"/>
      <c r="OHX34" s="2"/>
      <c r="OHY34" s="2"/>
      <c r="OHZ34" s="2"/>
      <c r="OIA34" s="2"/>
      <c r="OIB34" s="2"/>
      <c r="OIC34" s="2"/>
      <c r="OID34" s="2"/>
      <c r="OIE34" s="2"/>
      <c r="OIF34" s="2"/>
      <c r="OIG34" s="2"/>
      <c r="OIH34" s="2"/>
      <c r="OII34" s="2"/>
      <c r="OIJ34" s="2"/>
      <c r="OIK34" s="2"/>
      <c r="OIL34" s="2"/>
      <c r="OIM34" s="2"/>
      <c r="OIN34" s="2"/>
      <c r="OIO34" s="2"/>
      <c r="OIP34" s="2"/>
      <c r="OIQ34" s="2"/>
      <c r="OIR34" s="2"/>
      <c r="OIS34" s="2"/>
      <c r="OIT34" s="2"/>
      <c r="OIU34" s="2"/>
      <c r="OIV34" s="2"/>
      <c r="OIW34" s="2"/>
      <c r="OIX34" s="2"/>
      <c r="OIY34" s="2"/>
      <c r="OIZ34" s="2"/>
      <c r="OJA34" s="2"/>
      <c r="OJB34" s="2"/>
      <c r="OJC34" s="2"/>
      <c r="OJD34" s="2"/>
      <c r="OJE34" s="2"/>
      <c r="OJF34" s="2"/>
      <c r="OJG34" s="2"/>
      <c r="OJH34" s="2"/>
      <c r="OJI34" s="2"/>
      <c r="OJJ34" s="2"/>
      <c r="OJK34" s="2"/>
      <c r="OJL34" s="2"/>
      <c r="OJM34" s="2"/>
      <c r="OJN34" s="2"/>
      <c r="OJO34" s="2"/>
      <c r="OJP34" s="2"/>
      <c r="OJQ34" s="2"/>
      <c r="OJR34" s="2"/>
      <c r="OJS34" s="2"/>
      <c r="OJT34" s="2"/>
      <c r="OJU34" s="2"/>
      <c r="OJV34" s="2"/>
      <c r="OJW34" s="2"/>
      <c r="OJX34" s="2"/>
      <c r="OJY34" s="2"/>
      <c r="OJZ34" s="2"/>
      <c r="OKA34" s="2"/>
      <c r="OKB34" s="2"/>
      <c r="OKC34" s="2"/>
      <c r="OKD34" s="2"/>
      <c r="OKE34" s="2"/>
      <c r="OKF34" s="2"/>
      <c r="OKG34" s="2"/>
      <c r="OKH34" s="2"/>
      <c r="OKI34" s="2"/>
      <c r="OKJ34" s="2"/>
      <c r="OKK34" s="2"/>
      <c r="OKL34" s="2"/>
      <c r="OKM34" s="2"/>
      <c r="OKN34" s="2"/>
      <c r="OKO34" s="2"/>
      <c r="OKP34" s="2"/>
      <c r="OKQ34" s="2"/>
      <c r="OKR34" s="2"/>
      <c r="OKS34" s="2"/>
      <c r="OKT34" s="2"/>
      <c r="OKU34" s="2"/>
      <c r="OKV34" s="2"/>
      <c r="OKW34" s="2"/>
      <c r="OKX34" s="2"/>
      <c r="OKY34" s="2"/>
      <c r="OKZ34" s="2"/>
      <c r="OLA34" s="2"/>
      <c r="OLB34" s="2"/>
      <c r="OLC34" s="2"/>
      <c r="OLD34" s="2"/>
      <c r="OLE34" s="2"/>
      <c r="OLF34" s="2"/>
      <c r="OLG34" s="2"/>
      <c r="OLH34" s="2"/>
      <c r="OLI34" s="2"/>
      <c r="OLJ34" s="2"/>
      <c r="OLK34" s="2"/>
      <c r="OLL34" s="2"/>
      <c r="OLM34" s="2"/>
      <c r="OLN34" s="2"/>
      <c r="OLO34" s="2"/>
      <c r="OLP34" s="2"/>
      <c r="OLQ34" s="2"/>
      <c r="OLR34" s="2"/>
      <c r="OLS34" s="2"/>
      <c r="OLT34" s="2"/>
      <c r="OLU34" s="2"/>
      <c r="OLV34" s="2"/>
      <c r="OLW34" s="2"/>
      <c r="OLX34" s="2"/>
      <c r="OLY34" s="2"/>
      <c r="OLZ34" s="2"/>
      <c r="OMA34" s="2"/>
      <c r="OMB34" s="2"/>
      <c r="OMC34" s="2"/>
      <c r="OMD34" s="2"/>
      <c r="OME34" s="2"/>
      <c r="OMF34" s="2"/>
      <c r="OMG34" s="2"/>
      <c r="OMH34" s="2"/>
      <c r="OMI34" s="2"/>
      <c r="OMJ34" s="2"/>
      <c r="OMK34" s="2"/>
      <c r="OML34" s="2"/>
      <c r="OMM34" s="2"/>
      <c r="OMN34" s="2"/>
      <c r="OMO34" s="2"/>
      <c r="OMP34" s="2"/>
      <c r="OMQ34" s="2"/>
      <c r="OMR34" s="2"/>
      <c r="OMS34" s="2"/>
      <c r="OMT34" s="2"/>
      <c r="OMU34" s="2"/>
      <c r="OMV34" s="2"/>
      <c r="OMW34" s="2"/>
      <c r="OMX34" s="2"/>
      <c r="OMY34" s="2"/>
      <c r="OMZ34" s="2"/>
      <c r="ONA34" s="2"/>
      <c r="ONB34" s="2"/>
      <c r="ONC34" s="2"/>
      <c r="OND34" s="2"/>
      <c r="ONE34" s="2"/>
      <c r="ONF34" s="2"/>
      <c r="ONG34" s="2"/>
      <c r="ONH34" s="2"/>
      <c r="ONI34" s="2"/>
      <c r="ONJ34" s="2"/>
      <c r="ONK34" s="2"/>
      <c r="ONL34" s="2"/>
      <c r="ONM34" s="2"/>
      <c r="ONN34" s="2"/>
      <c r="ONO34" s="2"/>
      <c r="ONP34" s="2"/>
      <c r="ONQ34" s="2"/>
      <c r="ONR34" s="2"/>
      <c r="ONS34" s="2"/>
      <c r="ONT34" s="2"/>
      <c r="ONU34" s="2"/>
      <c r="ONV34" s="2"/>
      <c r="ONW34" s="2"/>
      <c r="ONX34" s="2"/>
      <c r="ONY34" s="2"/>
      <c r="ONZ34" s="2"/>
      <c r="OOA34" s="2"/>
      <c r="OOB34" s="2"/>
      <c r="OOC34" s="2"/>
      <c r="OOD34" s="2"/>
      <c r="OOE34" s="2"/>
      <c r="OOF34" s="2"/>
      <c r="OOG34" s="2"/>
      <c r="OOH34" s="2"/>
      <c r="OOI34" s="2"/>
      <c r="OOJ34" s="2"/>
      <c r="OOK34" s="2"/>
      <c r="OOL34" s="2"/>
      <c r="OOM34" s="2"/>
      <c r="OON34" s="2"/>
      <c r="OOO34" s="2"/>
      <c r="OOP34" s="2"/>
      <c r="OOQ34" s="2"/>
      <c r="OOR34" s="2"/>
      <c r="OOS34" s="2"/>
      <c r="OOT34" s="2"/>
      <c r="OOU34" s="2"/>
      <c r="OOV34" s="2"/>
      <c r="OOW34" s="2"/>
      <c r="OOX34" s="2"/>
      <c r="OOY34" s="2"/>
      <c r="OOZ34" s="2"/>
      <c r="OPA34" s="2"/>
      <c r="OPB34" s="2"/>
      <c r="OPC34" s="2"/>
      <c r="OPD34" s="2"/>
      <c r="OPE34" s="2"/>
      <c r="OPF34" s="2"/>
      <c r="OPG34" s="2"/>
      <c r="OPH34" s="2"/>
      <c r="OPI34" s="2"/>
      <c r="OPJ34" s="2"/>
      <c r="OPK34" s="2"/>
      <c r="OPL34" s="2"/>
      <c r="OPM34" s="2"/>
      <c r="OPN34" s="2"/>
      <c r="OPO34" s="2"/>
      <c r="OPP34" s="2"/>
      <c r="OPQ34" s="2"/>
      <c r="OPR34" s="2"/>
      <c r="OPS34" s="2"/>
      <c r="OPT34" s="2"/>
      <c r="OPU34" s="2"/>
      <c r="OPV34" s="2"/>
      <c r="OPW34" s="2"/>
      <c r="OPX34" s="2"/>
      <c r="OPY34" s="2"/>
      <c r="OPZ34" s="2"/>
      <c r="OQA34" s="2"/>
      <c r="OQB34" s="2"/>
      <c r="OQC34" s="2"/>
      <c r="OQD34" s="2"/>
      <c r="OQE34" s="2"/>
      <c r="OQF34" s="2"/>
      <c r="OQG34" s="2"/>
      <c r="OQH34" s="2"/>
      <c r="OQI34" s="2"/>
      <c r="OQJ34" s="2"/>
      <c r="OQK34" s="2"/>
      <c r="OQL34" s="2"/>
      <c r="OQM34" s="2"/>
      <c r="OQN34" s="2"/>
      <c r="OQO34" s="2"/>
      <c r="OQP34" s="2"/>
      <c r="OQQ34" s="2"/>
      <c r="OQR34" s="2"/>
      <c r="OQS34" s="2"/>
      <c r="OQT34" s="2"/>
      <c r="OQU34" s="2"/>
      <c r="OQV34" s="2"/>
      <c r="OQW34" s="2"/>
      <c r="OQX34" s="2"/>
      <c r="OQY34" s="2"/>
      <c r="OQZ34" s="2"/>
      <c r="ORA34" s="2"/>
      <c r="ORB34" s="2"/>
      <c r="ORC34" s="2"/>
      <c r="ORD34" s="2"/>
      <c r="ORE34" s="2"/>
      <c r="ORF34" s="2"/>
      <c r="ORG34" s="2"/>
      <c r="ORH34" s="2"/>
      <c r="ORI34" s="2"/>
      <c r="ORJ34" s="2"/>
      <c r="ORK34" s="2"/>
      <c r="ORL34" s="2"/>
      <c r="ORM34" s="2"/>
      <c r="ORN34" s="2"/>
      <c r="ORO34" s="2"/>
      <c r="ORP34" s="2"/>
      <c r="ORQ34" s="2"/>
      <c r="ORR34" s="2"/>
      <c r="ORS34" s="2"/>
      <c r="ORT34" s="2"/>
      <c r="ORU34" s="2"/>
      <c r="ORV34" s="2"/>
      <c r="ORW34" s="2"/>
      <c r="ORX34" s="2"/>
      <c r="ORY34" s="2"/>
      <c r="ORZ34" s="2"/>
      <c r="OSA34" s="2"/>
      <c r="OSB34" s="2"/>
      <c r="OSC34" s="2"/>
      <c r="OSD34" s="2"/>
      <c r="OSE34" s="2"/>
      <c r="OSF34" s="2"/>
      <c r="OSG34" s="2"/>
      <c r="OSH34" s="2"/>
      <c r="OSI34" s="2"/>
      <c r="OSJ34" s="2"/>
      <c r="OSK34" s="2"/>
      <c r="OSL34" s="2"/>
      <c r="OSM34" s="2"/>
      <c r="OSN34" s="2"/>
      <c r="OSO34" s="2"/>
      <c r="OSP34" s="2"/>
      <c r="OSQ34" s="2"/>
      <c r="OSR34" s="2"/>
      <c r="OSS34" s="2"/>
      <c r="OST34" s="2"/>
      <c r="OSU34" s="2"/>
      <c r="OSV34" s="2"/>
      <c r="OSW34" s="2"/>
      <c r="OSX34" s="2"/>
      <c r="OSY34" s="2"/>
      <c r="OSZ34" s="2"/>
      <c r="OTA34" s="2"/>
      <c r="OTB34" s="2"/>
      <c r="OTC34" s="2"/>
      <c r="OTD34" s="2"/>
      <c r="OTE34" s="2"/>
      <c r="OTF34" s="2"/>
      <c r="OTG34" s="2"/>
      <c r="OTH34" s="2"/>
      <c r="OTI34" s="2"/>
      <c r="OTJ34" s="2"/>
      <c r="OTK34" s="2"/>
      <c r="OTL34" s="2"/>
      <c r="OTM34" s="2"/>
      <c r="OTN34" s="2"/>
      <c r="OTO34" s="2"/>
      <c r="OTP34" s="2"/>
      <c r="OTQ34" s="2"/>
      <c r="OTR34" s="2"/>
      <c r="OTS34" s="2"/>
      <c r="OTT34" s="2"/>
      <c r="OTU34" s="2"/>
      <c r="OTV34" s="2"/>
      <c r="OTW34" s="2"/>
      <c r="OTX34" s="2"/>
      <c r="OTY34" s="2"/>
      <c r="OTZ34" s="2"/>
      <c r="OUA34" s="2"/>
      <c r="OUB34" s="2"/>
      <c r="OUC34" s="2"/>
      <c r="OUD34" s="2"/>
      <c r="OUE34" s="2"/>
      <c r="OUF34" s="2"/>
      <c r="OUG34" s="2"/>
      <c r="OUH34" s="2"/>
      <c r="OUI34" s="2"/>
      <c r="OUJ34" s="2"/>
      <c r="OUK34" s="2"/>
      <c r="OUL34" s="2"/>
      <c r="OUM34" s="2"/>
      <c r="OUN34" s="2"/>
      <c r="OUO34" s="2"/>
      <c r="OUP34" s="2"/>
      <c r="OUQ34" s="2"/>
      <c r="OUR34" s="2"/>
      <c r="OUS34" s="2"/>
      <c r="OUT34" s="2"/>
      <c r="OUU34" s="2"/>
      <c r="OUV34" s="2"/>
      <c r="OUW34" s="2"/>
      <c r="OUX34" s="2"/>
      <c r="OUY34" s="2"/>
      <c r="OUZ34" s="2"/>
      <c r="OVA34" s="2"/>
      <c r="OVB34" s="2"/>
      <c r="OVC34" s="2"/>
      <c r="OVD34" s="2"/>
      <c r="OVE34" s="2"/>
      <c r="OVF34" s="2"/>
      <c r="OVG34" s="2"/>
      <c r="OVH34" s="2"/>
      <c r="OVI34" s="2"/>
      <c r="OVJ34" s="2"/>
      <c r="OVK34" s="2"/>
      <c r="OVL34" s="2"/>
      <c r="OVM34" s="2"/>
      <c r="OVN34" s="2"/>
      <c r="OVO34" s="2"/>
      <c r="OVP34" s="2"/>
      <c r="OVQ34" s="2"/>
      <c r="OVR34" s="2"/>
      <c r="OVS34" s="2"/>
      <c r="OVT34" s="2"/>
      <c r="OVU34" s="2"/>
      <c r="OVV34" s="2"/>
      <c r="OVW34" s="2"/>
      <c r="OVX34" s="2"/>
      <c r="OVY34" s="2"/>
      <c r="OVZ34" s="2"/>
      <c r="OWA34" s="2"/>
      <c r="OWB34" s="2"/>
      <c r="OWC34" s="2"/>
      <c r="OWD34" s="2"/>
      <c r="OWE34" s="2"/>
      <c r="OWF34" s="2"/>
      <c r="OWG34" s="2"/>
      <c r="OWH34" s="2"/>
      <c r="OWI34" s="2"/>
      <c r="OWJ34" s="2"/>
      <c r="OWK34" s="2"/>
      <c r="OWL34" s="2"/>
      <c r="OWM34" s="2"/>
      <c r="OWN34" s="2"/>
      <c r="OWO34" s="2"/>
      <c r="OWP34" s="2"/>
      <c r="OWQ34" s="2"/>
      <c r="OWR34" s="2"/>
      <c r="OWS34" s="2"/>
      <c r="OWT34" s="2"/>
      <c r="OWU34" s="2"/>
      <c r="OWV34" s="2"/>
      <c r="OWW34" s="2"/>
      <c r="OWX34" s="2"/>
      <c r="OWY34" s="2"/>
      <c r="OWZ34" s="2"/>
      <c r="OXA34" s="2"/>
      <c r="OXB34" s="2"/>
      <c r="OXC34" s="2"/>
      <c r="OXD34" s="2"/>
      <c r="OXE34" s="2"/>
      <c r="OXF34" s="2"/>
      <c r="OXG34" s="2"/>
      <c r="OXH34" s="2"/>
      <c r="OXI34" s="2"/>
      <c r="OXJ34" s="2"/>
      <c r="OXK34" s="2"/>
      <c r="OXL34" s="2"/>
      <c r="OXM34" s="2"/>
      <c r="OXN34" s="2"/>
      <c r="OXO34" s="2"/>
      <c r="OXP34" s="2"/>
      <c r="OXQ34" s="2"/>
      <c r="OXR34" s="2"/>
      <c r="OXS34" s="2"/>
      <c r="OXT34" s="2"/>
      <c r="OXU34" s="2"/>
      <c r="OXV34" s="2"/>
      <c r="OXW34" s="2"/>
      <c r="OXX34" s="2"/>
      <c r="OXY34" s="2"/>
      <c r="OXZ34" s="2"/>
      <c r="OYA34" s="2"/>
      <c r="OYB34" s="2"/>
      <c r="OYC34" s="2"/>
      <c r="OYD34" s="2"/>
      <c r="OYE34" s="2"/>
      <c r="OYF34" s="2"/>
      <c r="OYG34" s="2"/>
      <c r="OYH34" s="2"/>
      <c r="OYI34" s="2"/>
      <c r="OYJ34" s="2"/>
      <c r="OYK34" s="2"/>
      <c r="OYL34" s="2"/>
      <c r="OYM34" s="2"/>
      <c r="OYN34" s="2"/>
      <c r="OYO34" s="2"/>
      <c r="OYP34" s="2"/>
      <c r="OYQ34" s="2"/>
      <c r="OYR34" s="2"/>
      <c r="OYS34" s="2"/>
      <c r="OYT34" s="2"/>
      <c r="OYU34" s="2"/>
      <c r="OYV34" s="2"/>
      <c r="OYW34" s="2"/>
      <c r="OYX34" s="2"/>
      <c r="OYY34" s="2"/>
      <c r="OYZ34" s="2"/>
      <c r="OZA34" s="2"/>
      <c r="OZB34" s="2"/>
      <c r="OZC34" s="2"/>
      <c r="OZD34" s="2"/>
      <c r="OZE34" s="2"/>
      <c r="OZF34" s="2"/>
      <c r="OZG34" s="2"/>
      <c r="OZH34" s="2"/>
      <c r="OZI34" s="2"/>
      <c r="OZJ34" s="2"/>
      <c r="OZK34" s="2"/>
      <c r="OZL34" s="2"/>
      <c r="OZM34" s="2"/>
      <c r="OZN34" s="2"/>
      <c r="OZO34" s="2"/>
      <c r="OZP34" s="2"/>
      <c r="OZQ34" s="2"/>
      <c r="OZR34" s="2"/>
      <c r="OZS34" s="2"/>
      <c r="OZT34" s="2"/>
      <c r="OZU34" s="2"/>
      <c r="OZV34" s="2"/>
      <c r="OZW34" s="2"/>
      <c r="OZX34" s="2"/>
      <c r="OZY34" s="2"/>
      <c r="OZZ34" s="2"/>
      <c r="PAA34" s="2"/>
      <c r="PAB34" s="2"/>
      <c r="PAC34" s="2"/>
      <c r="PAD34" s="2"/>
      <c r="PAE34" s="2"/>
      <c r="PAF34" s="2"/>
      <c r="PAG34" s="2"/>
      <c r="PAH34" s="2"/>
      <c r="PAI34" s="2"/>
      <c r="PAJ34" s="2"/>
      <c r="PAK34" s="2"/>
      <c r="PAL34" s="2"/>
      <c r="PAM34" s="2"/>
      <c r="PAN34" s="2"/>
      <c r="PAO34" s="2"/>
      <c r="PAP34" s="2"/>
      <c r="PAQ34" s="2"/>
      <c r="PAR34" s="2"/>
      <c r="PAS34" s="2"/>
      <c r="PAT34" s="2"/>
      <c r="PAU34" s="2"/>
      <c r="PAV34" s="2"/>
      <c r="PAW34" s="2"/>
      <c r="PAX34" s="2"/>
      <c r="PAY34" s="2"/>
      <c r="PAZ34" s="2"/>
      <c r="PBA34" s="2"/>
      <c r="PBB34" s="2"/>
      <c r="PBC34" s="2"/>
      <c r="PBD34" s="2"/>
      <c r="PBE34" s="2"/>
      <c r="PBF34" s="2"/>
      <c r="PBG34" s="2"/>
      <c r="PBH34" s="2"/>
      <c r="PBI34" s="2"/>
      <c r="PBJ34" s="2"/>
      <c r="PBK34" s="2"/>
      <c r="PBL34" s="2"/>
      <c r="PBM34" s="2"/>
      <c r="PBN34" s="2"/>
      <c r="PBO34" s="2"/>
      <c r="PBP34" s="2"/>
      <c r="PBQ34" s="2"/>
      <c r="PBR34" s="2"/>
      <c r="PBS34" s="2"/>
      <c r="PBT34" s="2"/>
      <c r="PBU34" s="2"/>
      <c r="PBV34" s="2"/>
      <c r="PBW34" s="2"/>
      <c r="PBX34" s="2"/>
      <c r="PBY34" s="2"/>
      <c r="PBZ34" s="2"/>
      <c r="PCA34" s="2"/>
      <c r="PCB34" s="2"/>
      <c r="PCC34" s="2"/>
      <c r="PCD34" s="2"/>
      <c r="PCE34" s="2"/>
      <c r="PCF34" s="2"/>
      <c r="PCG34" s="2"/>
      <c r="PCH34" s="2"/>
      <c r="PCI34" s="2"/>
      <c r="PCJ34" s="2"/>
      <c r="PCK34" s="2"/>
      <c r="PCL34" s="2"/>
      <c r="PCM34" s="2"/>
      <c r="PCN34" s="2"/>
      <c r="PCO34" s="2"/>
      <c r="PCP34" s="2"/>
      <c r="PCQ34" s="2"/>
      <c r="PCR34" s="2"/>
      <c r="PCS34" s="2"/>
      <c r="PCT34" s="2"/>
      <c r="PCU34" s="2"/>
      <c r="PCV34" s="2"/>
      <c r="PCW34" s="2"/>
      <c r="PCX34" s="2"/>
      <c r="PCY34" s="2"/>
      <c r="PCZ34" s="2"/>
      <c r="PDA34" s="2"/>
      <c r="PDB34" s="2"/>
      <c r="PDC34" s="2"/>
      <c r="PDD34" s="2"/>
      <c r="PDE34" s="2"/>
      <c r="PDF34" s="2"/>
      <c r="PDG34" s="2"/>
      <c r="PDH34" s="2"/>
      <c r="PDI34" s="2"/>
      <c r="PDJ34" s="2"/>
      <c r="PDK34" s="2"/>
      <c r="PDL34" s="2"/>
      <c r="PDM34" s="2"/>
      <c r="PDN34" s="2"/>
      <c r="PDO34" s="2"/>
      <c r="PDP34" s="2"/>
      <c r="PDQ34" s="2"/>
      <c r="PDR34" s="2"/>
      <c r="PDS34" s="2"/>
      <c r="PDT34" s="2"/>
      <c r="PDU34" s="2"/>
      <c r="PDV34" s="2"/>
      <c r="PDW34" s="2"/>
      <c r="PDX34" s="2"/>
      <c r="PDY34" s="2"/>
      <c r="PDZ34" s="2"/>
      <c r="PEA34" s="2"/>
      <c r="PEB34" s="2"/>
      <c r="PEC34" s="2"/>
      <c r="PED34" s="2"/>
      <c r="PEE34" s="2"/>
      <c r="PEF34" s="2"/>
      <c r="PEG34" s="2"/>
      <c r="PEH34" s="2"/>
      <c r="PEI34" s="2"/>
      <c r="PEJ34" s="2"/>
      <c r="PEK34" s="2"/>
      <c r="PEL34" s="2"/>
      <c r="PEM34" s="2"/>
      <c r="PEN34" s="2"/>
      <c r="PEO34" s="2"/>
      <c r="PEP34" s="2"/>
      <c r="PEQ34" s="2"/>
      <c r="PER34" s="2"/>
      <c r="PES34" s="2"/>
      <c r="PET34" s="2"/>
      <c r="PEU34" s="2"/>
      <c r="PEV34" s="2"/>
      <c r="PEW34" s="2"/>
      <c r="PEX34" s="2"/>
      <c r="PEY34" s="2"/>
      <c r="PEZ34" s="2"/>
      <c r="PFA34" s="2"/>
      <c r="PFB34" s="2"/>
      <c r="PFC34" s="2"/>
      <c r="PFD34" s="2"/>
      <c r="PFE34" s="2"/>
      <c r="PFF34" s="2"/>
      <c r="PFG34" s="2"/>
      <c r="PFH34" s="2"/>
      <c r="PFI34" s="2"/>
      <c r="PFJ34" s="2"/>
      <c r="PFK34" s="2"/>
      <c r="PFL34" s="2"/>
      <c r="PFM34" s="2"/>
      <c r="PFN34" s="2"/>
      <c r="PFO34" s="2"/>
      <c r="PFP34" s="2"/>
      <c r="PFQ34" s="2"/>
      <c r="PFR34" s="2"/>
      <c r="PFS34" s="2"/>
      <c r="PFT34" s="2"/>
      <c r="PFU34" s="2"/>
      <c r="PFV34" s="2"/>
      <c r="PFW34" s="2"/>
      <c r="PFX34" s="2"/>
      <c r="PFY34" s="2"/>
      <c r="PFZ34" s="2"/>
      <c r="PGA34" s="2"/>
      <c r="PGB34" s="2"/>
      <c r="PGC34" s="2"/>
      <c r="PGD34" s="2"/>
      <c r="PGE34" s="2"/>
      <c r="PGF34" s="2"/>
      <c r="PGG34" s="2"/>
      <c r="PGH34" s="2"/>
      <c r="PGI34" s="2"/>
      <c r="PGJ34" s="2"/>
      <c r="PGK34" s="2"/>
      <c r="PGL34" s="2"/>
      <c r="PGM34" s="2"/>
      <c r="PGN34" s="2"/>
      <c r="PGO34" s="2"/>
      <c r="PGP34" s="2"/>
      <c r="PGQ34" s="2"/>
      <c r="PGR34" s="2"/>
      <c r="PGS34" s="2"/>
      <c r="PGT34" s="2"/>
      <c r="PGU34" s="2"/>
      <c r="PGV34" s="2"/>
      <c r="PGW34" s="2"/>
      <c r="PGX34" s="2"/>
      <c r="PGY34" s="2"/>
      <c r="PGZ34" s="2"/>
      <c r="PHA34" s="2"/>
      <c r="PHB34" s="2"/>
      <c r="PHC34" s="2"/>
      <c r="PHD34" s="2"/>
      <c r="PHE34" s="2"/>
      <c r="PHF34" s="2"/>
      <c r="PHG34" s="2"/>
      <c r="PHH34" s="2"/>
      <c r="PHI34" s="2"/>
      <c r="PHJ34" s="2"/>
      <c r="PHK34" s="2"/>
      <c r="PHL34" s="2"/>
      <c r="PHM34" s="2"/>
      <c r="PHN34" s="2"/>
      <c r="PHO34" s="2"/>
      <c r="PHP34" s="2"/>
      <c r="PHQ34" s="2"/>
      <c r="PHR34" s="2"/>
      <c r="PHS34" s="2"/>
      <c r="PHT34" s="2"/>
      <c r="PHU34" s="2"/>
      <c r="PHV34" s="2"/>
      <c r="PHW34" s="2"/>
      <c r="PHX34" s="2"/>
      <c r="PHY34" s="2"/>
      <c r="PHZ34" s="2"/>
      <c r="PIA34" s="2"/>
      <c r="PIB34" s="2"/>
      <c r="PIC34" s="2"/>
      <c r="PID34" s="2"/>
      <c r="PIE34" s="2"/>
      <c r="PIF34" s="2"/>
      <c r="PIG34" s="2"/>
      <c r="PIH34" s="2"/>
      <c r="PII34" s="2"/>
      <c r="PIJ34" s="2"/>
      <c r="PIK34" s="2"/>
      <c r="PIL34" s="2"/>
      <c r="PIM34" s="2"/>
      <c r="PIN34" s="2"/>
      <c r="PIO34" s="2"/>
      <c r="PIP34" s="2"/>
      <c r="PIQ34" s="2"/>
      <c r="PIR34" s="2"/>
      <c r="PIS34" s="2"/>
      <c r="PIT34" s="2"/>
      <c r="PIU34" s="2"/>
      <c r="PIV34" s="2"/>
      <c r="PIW34" s="2"/>
      <c r="PIX34" s="2"/>
      <c r="PIY34" s="2"/>
      <c r="PIZ34" s="2"/>
      <c r="PJA34" s="2"/>
      <c r="PJB34" s="2"/>
      <c r="PJC34" s="2"/>
      <c r="PJD34" s="2"/>
      <c r="PJE34" s="2"/>
      <c r="PJF34" s="2"/>
      <c r="PJG34" s="2"/>
      <c r="PJH34" s="2"/>
      <c r="PJI34" s="2"/>
      <c r="PJJ34" s="2"/>
      <c r="PJK34" s="2"/>
      <c r="PJL34" s="2"/>
      <c r="PJM34" s="2"/>
      <c r="PJN34" s="2"/>
      <c r="PJO34" s="2"/>
      <c r="PJP34" s="2"/>
      <c r="PJQ34" s="2"/>
      <c r="PJR34" s="2"/>
      <c r="PJS34" s="2"/>
      <c r="PJT34" s="2"/>
      <c r="PJU34" s="2"/>
      <c r="PJV34" s="2"/>
      <c r="PJW34" s="2"/>
      <c r="PJX34" s="2"/>
      <c r="PJY34" s="2"/>
      <c r="PJZ34" s="2"/>
      <c r="PKA34" s="2"/>
      <c r="PKB34" s="2"/>
      <c r="PKC34" s="2"/>
      <c r="PKD34" s="2"/>
      <c r="PKE34" s="2"/>
      <c r="PKF34" s="2"/>
      <c r="PKG34" s="2"/>
      <c r="PKH34" s="2"/>
      <c r="PKI34" s="2"/>
      <c r="PKJ34" s="2"/>
      <c r="PKK34" s="2"/>
      <c r="PKL34" s="2"/>
      <c r="PKM34" s="2"/>
      <c r="PKN34" s="2"/>
      <c r="PKO34" s="2"/>
      <c r="PKP34" s="2"/>
      <c r="PKQ34" s="2"/>
      <c r="PKR34" s="2"/>
      <c r="PKS34" s="2"/>
      <c r="PKT34" s="2"/>
      <c r="PKU34" s="2"/>
      <c r="PKV34" s="2"/>
      <c r="PKW34" s="2"/>
      <c r="PKX34" s="2"/>
      <c r="PKY34" s="2"/>
      <c r="PKZ34" s="2"/>
      <c r="PLA34" s="2"/>
      <c r="PLB34" s="2"/>
      <c r="PLC34" s="2"/>
      <c r="PLD34" s="2"/>
      <c r="PLE34" s="2"/>
      <c r="PLF34" s="2"/>
      <c r="PLG34" s="2"/>
      <c r="PLH34" s="2"/>
      <c r="PLI34" s="2"/>
      <c r="PLJ34" s="2"/>
      <c r="PLK34" s="2"/>
      <c r="PLL34" s="2"/>
      <c r="PLM34" s="2"/>
      <c r="PLN34" s="2"/>
      <c r="PLO34" s="2"/>
      <c r="PLP34" s="2"/>
      <c r="PLQ34" s="2"/>
      <c r="PLR34" s="2"/>
      <c r="PLS34" s="2"/>
      <c r="PLT34" s="2"/>
      <c r="PLU34" s="2"/>
      <c r="PLV34" s="2"/>
      <c r="PLW34" s="2"/>
      <c r="PLX34" s="2"/>
      <c r="PLY34" s="2"/>
      <c r="PLZ34" s="2"/>
      <c r="PMA34" s="2"/>
      <c r="PMB34" s="2"/>
      <c r="PMC34" s="2"/>
      <c r="PMD34" s="2"/>
      <c r="PME34" s="2"/>
      <c r="PMF34" s="2"/>
      <c r="PMG34" s="2"/>
      <c r="PMH34" s="2"/>
      <c r="PMI34" s="2"/>
      <c r="PMJ34" s="2"/>
      <c r="PMK34" s="2"/>
      <c r="PML34" s="2"/>
      <c r="PMM34" s="2"/>
      <c r="PMN34" s="2"/>
      <c r="PMO34" s="2"/>
      <c r="PMP34" s="2"/>
      <c r="PMQ34" s="2"/>
      <c r="PMR34" s="2"/>
      <c r="PMS34" s="2"/>
      <c r="PMT34" s="2"/>
      <c r="PMU34" s="2"/>
      <c r="PMV34" s="2"/>
      <c r="PMW34" s="2"/>
      <c r="PMX34" s="2"/>
      <c r="PMY34" s="2"/>
      <c r="PMZ34" s="2"/>
      <c r="PNA34" s="2"/>
      <c r="PNB34" s="2"/>
      <c r="PNC34" s="2"/>
      <c r="PND34" s="2"/>
      <c r="PNE34" s="2"/>
      <c r="PNF34" s="2"/>
      <c r="PNG34" s="2"/>
      <c r="PNH34" s="2"/>
      <c r="PNI34" s="2"/>
      <c r="PNJ34" s="2"/>
      <c r="PNK34" s="2"/>
      <c r="PNL34" s="2"/>
      <c r="PNM34" s="2"/>
      <c r="PNN34" s="2"/>
      <c r="PNO34" s="2"/>
      <c r="PNP34" s="2"/>
      <c r="PNQ34" s="2"/>
      <c r="PNR34" s="2"/>
      <c r="PNS34" s="2"/>
      <c r="PNT34" s="2"/>
      <c r="PNU34" s="2"/>
      <c r="PNV34" s="2"/>
      <c r="PNW34" s="2"/>
      <c r="PNX34" s="2"/>
      <c r="PNY34" s="2"/>
      <c r="PNZ34" s="2"/>
      <c r="POA34" s="2"/>
      <c r="POB34" s="2"/>
      <c r="POC34" s="2"/>
      <c r="POD34" s="2"/>
      <c r="POE34" s="2"/>
      <c r="POF34" s="2"/>
      <c r="POG34" s="2"/>
      <c r="POH34" s="2"/>
      <c r="POI34" s="2"/>
      <c r="POJ34" s="2"/>
      <c r="POK34" s="2"/>
      <c r="POL34" s="2"/>
      <c r="POM34" s="2"/>
      <c r="PON34" s="2"/>
      <c r="POO34" s="2"/>
      <c r="POP34" s="2"/>
      <c r="POQ34" s="2"/>
      <c r="POR34" s="2"/>
      <c r="POS34" s="2"/>
      <c r="POT34" s="2"/>
      <c r="POU34" s="2"/>
      <c r="POV34" s="2"/>
      <c r="POW34" s="2"/>
      <c r="POX34" s="2"/>
      <c r="POY34" s="2"/>
      <c r="POZ34" s="2"/>
      <c r="PPA34" s="2"/>
      <c r="PPB34" s="2"/>
      <c r="PPC34" s="2"/>
      <c r="PPD34" s="2"/>
      <c r="PPE34" s="2"/>
      <c r="PPF34" s="2"/>
      <c r="PPG34" s="2"/>
      <c r="PPH34" s="2"/>
      <c r="PPI34" s="2"/>
      <c r="PPJ34" s="2"/>
      <c r="PPK34" s="2"/>
      <c r="PPL34" s="2"/>
      <c r="PPM34" s="2"/>
      <c r="PPN34" s="2"/>
      <c r="PPO34" s="2"/>
      <c r="PPP34" s="2"/>
      <c r="PPQ34" s="2"/>
      <c r="PPR34" s="2"/>
      <c r="PPS34" s="2"/>
      <c r="PPT34" s="2"/>
      <c r="PPU34" s="2"/>
      <c r="PPV34" s="2"/>
      <c r="PPW34" s="2"/>
      <c r="PPX34" s="2"/>
      <c r="PPY34" s="2"/>
      <c r="PPZ34" s="2"/>
      <c r="PQA34" s="2"/>
      <c r="PQB34" s="2"/>
      <c r="PQC34" s="2"/>
      <c r="PQD34" s="2"/>
      <c r="PQE34" s="2"/>
      <c r="PQF34" s="2"/>
      <c r="PQG34" s="2"/>
      <c r="PQH34" s="2"/>
      <c r="PQI34" s="2"/>
      <c r="PQJ34" s="2"/>
      <c r="PQK34" s="2"/>
      <c r="PQL34" s="2"/>
      <c r="PQM34" s="2"/>
      <c r="PQN34" s="2"/>
      <c r="PQO34" s="2"/>
      <c r="PQP34" s="2"/>
      <c r="PQQ34" s="2"/>
      <c r="PQR34" s="2"/>
      <c r="PQS34" s="2"/>
      <c r="PQT34" s="2"/>
      <c r="PQU34" s="2"/>
      <c r="PQV34" s="2"/>
      <c r="PQW34" s="2"/>
      <c r="PQX34" s="2"/>
      <c r="PQY34" s="2"/>
      <c r="PQZ34" s="2"/>
      <c r="PRA34" s="2"/>
      <c r="PRB34" s="2"/>
      <c r="PRC34" s="2"/>
      <c r="PRD34" s="2"/>
      <c r="PRE34" s="2"/>
      <c r="PRF34" s="2"/>
      <c r="PRG34" s="2"/>
      <c r="PRH34" s="2"/>
      <c r="PRI34" s="2"/>
      <c r="PRJ34" s="2"/>
      <c r="PRK34" s="2"/>
      <c r="PRL34" s="2"/>
      <c r="PRM34" s="2"/>
      <c r="PRN34" s="2"/>
      <c r="PRO34" s="2"/>
      <c r="PRP34" s="2"/>
      <c r="PRQ34" s="2"/>
      <c r="PRR34" s="2"/>
      <c r="PRS34" s="2"/>
      <c r="PRT34" s="2"/>
      <c r="PRU34" s="2"/>
      <c r="PRV34" s="2"/>
      <c r="PRW34" s="2"/>
      <c r="PRX34" s="2"/>
      <c r="PRY34" s="2"/>
      <c r="PRZ34" s="2"/>
      <c r="PSA34" s="2"/>
      <c r="PSB34" s="2"/>
      <c r="PSC34" s="2"/>
      <c r="PSD34" s="2"/>
      <c r="PSE34" s="2"/>
      <c r="PSF34" s="2"/>
      <c r="PSG34" s="2"/>
      <c r="PSH34" s="2"/>
      <c r="PSI34" s="2"/>
      <c r="PSJ34" s="2"/>
      <c r="PSK34" s="2"/>
      <c r="PSL34" s="2"/>
      <c r="PSM34" s="2"/>
      <c r="PSN34" s="2"/>
      <c r="PSO34" s="2"/>
      <c r="PSP34" s="2"/>
      <c r="PSQ34" s="2"/>
      <c r="PSR34" s="2"/>
      <c r="PSS34" s="2"/>
      <c r="PST34" s="2"/>
      <c r="PSU34" s="2"/>
      <c r="PSV34" s="2"/>
      <c r="PSW34" s="2"/>
      <c r="PSX34" s="2"/>
      <c r="PSY34" s="2"/>
      <c r="PSZ34" s="2"/>
      <c r="PTA34" s="2"/>
      <c r="PTB34" s="2"/>
      <c r="PTC34" s="2"/>
      <c r="PTD34" s="2"/>
      <c r="PTE34" s="2"/>
      <c r="PTF34" s="2"/>
      <c r="PTG34" s="2"/>
      <c r="PTH34" s="2"/>
      <c r="PTI34" s="2"/>
      <c r="PTJ34" s="2"/>
      <c r="PTK34" s="2"/>
      <c r="PTL34" s="2"/>
      <c r="PTM34" s="2"/>
      <c r="PTN34" s="2"/>
      <c r="PTO34" s="2"/>
      <c r="PTP34" s="2"/>
      <c r="PTQ34" s="2"/>
      <c r="PTR34" s="2"/>
      <c r="PTS34" s="2"/>
      <c r="PTT34" s="2"/>
      <c r="PTU34" s="2"/>
      <c r="PTV34" s="2"/>
      <c r="PTW34" s="2"/>
      <c r="PTX34" s="2"/>
      <c r="PTY34" s="2"/>
      <c r="PTZ34" s="2"/>
      <c r="PUA34" s="2"/>
      <c r="PUB34" s="2"/>
      <c r="PUC34" s="2"/>
      <c r="PUD34" s="2"/>
      <c r="PUE34" s="2"/>
      <c r="PUF34" s="2"/>
      <c r="PUG34" s="2"/>
      <c r="PUH34" s="2"/>
      <c r="PUI34" s="2"/>
      <c r="PUJ34" s="2"/>
      <c r="PUK34" s="2"/>
      <c r="PUL34" s="2"/>
      <c r="PUM34" s="2"/>
      <c r="PUN34" s="2"/>
      <c r="PUO34" s="2"/>
      <c r="PUP34" s="2"/>
      <c r="PUQ34" s="2"/>
      <c r="PUR34" s="2"/>
      <c r="PUS34" s="2"/>
      <c r="PUT34" s="2"/>
      <c r="PUU34" s="2"/>
      <c r="PUV34" s="2"/>
      <c r="PUW34" s="2"/>
      <c r="PUX34" s="2"/>
      <c r="PUY34" s="2"/>
      <c r="PUZ34" s="2"/>
      <c r="PVA34" s="2"/>
      <c r="PVB34" s="2"/>
      <c r="PVC34" s="2"/>
      <c r="PVD34" s="2"/>
      <c r="PVE34" s="2"/>
      <c r="PVF34" s="2"/>
      <c r="PVG34" s="2"/>
      <c r="PVH34" s="2"/>
      <c r="PVI34" s="2"/>
      <c r="PVJ34" s="2"/>
      <c r="PVK34" s="2"/>
      <c r="PVL34" s="2"/>
      <c r="PVM34" s="2"/>
      <c r="PVN34" s="2"/>
      <c r="PVO34" s="2"/>
      <c r="PVP34" s="2"/>
      <c r="PVQ34" s="2"/>
      <c r="PVR34" s="2"/>
      <c r="PVS34" s="2"/>
      <c r="PVT34" s="2"/>
      <c r="PVU34" s="2"/>
      <c r="PVV34" s="2"/>
      <c r="PVW34" s="2"/>
      <c r="PVX34" s="2"/>
      <c r="PVY34" s="2"/>
      <c r="PVZ34" s="2"/>
      <c r="PWA34" s="2"/>
      <c r="PWB34" s="2"/>
      <c r="PWC34" s="2"/>
      <c r="PWD34" s="2"/>
      <c r="PWE34" s="2"/>
      <c r="PWF34" s="2"/>
      <c r="PWG34" s="2"/>
      <c r="PWH34" s="2"/>
      <c r="PWI34" s="2"/>
      <c r="PWJ34" s="2"/>
      <c r="PWK34" s="2"/>
      <c r="PWL34" s="2"/>
      <c r="PWM34" s="2"/>
      <c r="PWN34" s="2"/>
      <c r="PWO34" s="2"/>
      <c r="PWP34" s="2"/>
      <c r="PWQ34" s="2"/>
      <c r="PWR34" s="2"/>
      <c r="PWS34" s="2"/>
      <c r="PWT34" s="2"/>
      <c r="PWU34" s="2"/>
      <c r="PWV34" s="2"/>
      <c r="PWW34" s="2"/>
      <c r="PWX34" s="2"/>
      <c r="PWY34" s="2"/>
      <c r="PWZ34" s="2"/>
      <c r="PXA34" s="2"/>
      <c r="PXB34" s="2"/>
      <c r="PXC34" s="2"/>
      <c r="PXD34" s="2"/>
      <c r="PXE34" s="2"/>
      <c r="PXF34" s="2"/>
      <c r="PXG34" s="2"/>
      <c r="PXH34" s="2"/>
      <c r="PXI34" s="2"/>
      <c r="PXJ34" s="2"/>
      <c r="PXK34" s="2"/>
      <c r="PXL34" s="2"/>
      <c r="PXM34" s="2"/>
      <c r="PXN34" s="2"/>
      <c r="PXO34" s="2"/>
      <c r="PXP34" s="2"/>
      <c r="PXQ34" s="2"/>
      <c r="PXR34" s="2"/>
      <c r="PXS34" s="2"/>
      <c r="PXT34" s="2"/>
      <c r="PXU34" s="2"/>
      <c r="PXV34" s="2"/>
      <c r="PXW34" s="2"/>
      <c r="PXX34" s="2"/>
      <c r="PXY34" s="2"/>
      <c r="PXZ34" s="2"/>
      <c r="PYA34" s="2"/>
      <c r="PYB34" s="2"/>
      <c r="PYC34" s="2"/>
      <c r="PYD34" s="2"/>
      <c r="PYE34" s="2"/>
      <c r="PYF34" s="2"/>
      <c r="PYG34" s="2"/>
      <c r="PYH34" s="2"/>
      <c r="PYI34" s="2"/>
      <c r="PYJ34" s="2"/>
      <c r="PYK34" s="2"/>
      <c r="PYL34" s="2"/>
      <c r="PYM34" s="2"/>
      <c r="PYN34" s="2"/>
      <c r="PYO34" s="2"/>
      <c r="PYP34" s="2"/>
      <c r="PYQ34" s="2"/>
      <c r="PYR34" s="2"/>
      <c r="PYS34" s="2"/>
      <c r="PYT34" s="2"/>
      <c r="PYU34" s="2"/>
      <c r="PYV34" s="2"/>
      <c r="PYW34" s="2"/>
      <c r="PYX34" s="2"/>
      <c r="PYY34" s="2"/>
      <c r="PYZ34" s="2"/>
      <c r="PZA34" s="2"/>
      <c r="PZB34" s="2"/>
      <c r="PZC34" s="2"/>
      <c r="PZD34" s="2"/>
      <c r="PZE34" s="2"/>
      <c r="PZF34" s="2"/>
      <c r="PZG34" s="2"/>
      <c r="PZH34" s="2"/>
      <c r="PZI34" s="2"/>
      <c r="PZJ34" s="2"/>
      <c r="PZK34" s="2"/>
      <c r="PZL34" s="2"/>
      <c r="PZM34" s="2"/>
      <c r="PZN34" s="2"/>
      <c r="PZO34" s="2"/>
      <c r="PZP34" s="2"/>
      <c r="PZQ34" s="2"/>
      <c r="PZR34" s="2"/>
      <c r="PZS34" s="2"/>
      <c r="PZT34" s="2"/>
      <c r="PZU34" s="2"/>
      <c r="PZV34" s="2"/>
      <c r="PZW34" s="2"/>
      <c r="PZX34" s="2"/>
      <c r="PZY34" s="2"/>
      <c r="PZZ34" s="2"/>
      <c r="QAA34" s="2"/>
      <c r="QAB34" s="2"/>
      <c r="QAC34" s="2"/>
      <c r="QAD34" s="2"/>
      <c r="QAE34" s="2"/>
      <c r="QAF34" s="2"/>
      <c r="QAG34" s="2"/>
      <c r="QAH34" s="2"/>
      <c r="QAI34" s="2"/>
      <c r="QAJ34" s="2"/>
      <c r="QAK34" s="2"/>
      <c r="QAL34" s="2"/>
      <c r="QAM34" s="2"/>
      <c r="QAN34" s="2"/>
      <c r="QAO34" s="2"/>
      <c r="QAP34" s="2"/>
      <c r="QAQ34" s="2"/>
      <c r="QAR34" s="2"/>
      <c r="QAS34" s="2"/>
      <c r="QAT34" s="2"/>
      <c r="QAU34" s="2"/>
      <c r="QAV34" s="2"/>
      <c r="QAW34" s="2"/>
      <c r="QAX34" s="2"/>
      <c r="QAY34" s="2"/>
      <c r="QAZ34" s="2"/>
      <c r="QBA34" s="2"/>
      <c r="QBB34" s="2"/>
      <c r="QBC34" s="2"/>
      <c r="QBD34" s="2"/>
      <c r="QBE34" s="2"/>
      <c r="QBF34" s="2"/>
      <c r="QBG34" s="2"/>
      <c r="QBH34" s="2"/>
      <c r="QBI34" s="2"/>
      <c r="QBJ34" s="2"/>
      <c r="QBK34" s="2"/>
      <c r="QBL34" s="2"/>
      <c r="QBM34" s="2"/>
      <c r="QBN34" s="2"/>
      <c r="QBO34" s="2"/>
      <c r="QBP34" s="2"/>
      <c r="QBQ34" s="2"/>
      <c r="QBR34" s="2"/>
      <c r="QBS34" s="2"/>
      <c r="QBT34" s="2"/>
      <c r="QBU34" s="2"/>
      <c r="QBV34" s="2"/>
      <c r="QBW34" s="2"/>
      <c r="QBX34" s="2"/>
      <c r="QBY34" s="2"/>
      <c r="QBZ34" s="2"/>
      <c r="QCA34" s="2"/>
      <c r="QCB34" s="2"/>
      <c r="QCC34" s="2"/>
      <c r="QCD34" s="2"/>
      <c r="QCE34" s="2"/>
      <c r="QCF34" s="2"/>
      <c r="QCG34" s="2"/>
      <c r="QCH34" s="2"/>
      <c r="QCI34" s="2"/>
      <c r="QCJ34" s="2"/>
      <c r="QCK34" s="2"/>
      <c r="QCL34" s="2"/>
      <c r="QCM34" s="2"/>
      <c r="QCN34" s="2"/>
      <c r="QCO34" s="2"/>
      <c r="QCP34" s="2"/>
      <c r="QCQ34" s="2"/>
      <c r="QCR34" s="2"/>
      <c r="QCS34" s="2"/>
      <c r="QCT34" s="2"/>
      <c r="QCU34" s="2"/>
      <c r="QCV34" s="2"/>
      <c r="QCW34" s="2"/>
      <c r="QCX34" s="2"/>
      <c r="QCY34" s="2"/>
      <c r="QCZ34" s="2"/>
      <c r="QDA34" s="2"/>
      <c r="QDB34" s="2"/>
      <c r="QDC34" s="2"/>
      <c r="QDD34" s="2"/>
      <c r="QDE34" s="2"/>
      <c r="QDF34" s="2"/>
      <c r="QDG34" s="2"/>
      <c r="QDH34" s="2"/>
      <c r="QDI34" s="2"/>
      <c r="QDJ34" s="2"/>
      <c r="QDK34" s="2"/>
      <c r="QDL34" s="2"/>
      <c r="QDM34" s="2"/>
      <c r="QDN34" s="2"/>
      <c r="QDO34" s="2"/>
      <c r="QDP34" s="2"/>
      <c r="QDQ34" s="2"/>
      <c r="QDR34" s="2"/>
      <c r="QDS34" s="2"/>
      <c r="QDT34" s="2"/>
      <c r="QDU34" s="2"/>
      <c r="QDV34" s="2"/>
      <c r="QDW34" s="2"/>
      <c r="QDX34" s="2"/>
      <c r="QDY34" s="2"/>
      <c r="QDZ34" s="2"/>
      <c r="QEA34" s="2"/>
      <c r="QEB34" s="2"/>
      <c r="QEC34" s="2"/>
      <c r="QED34" s="2"/>
      <c r="QEE34" s="2"/>
      <c r="QEF34" s="2"/>
      <c r="QEG34" s="2"/>
      <c r="QEH34" s="2"/>
      <c r="QEI34" s="2"/>
      <c r="QEJ34" s="2"/>
      <c r="QEK34" s="2"/>
      <c r="QEL34" s="2"/>
      <c r="QEM34" s="2"/>
      <c r="QEN34" s="2"/>
      <c r="QEO34" s="2"/>
      <c r="QEP34" s="2"/>
      <c r="QEQ34" s="2"/>
      <c r="QER34" s="2"/>
      <c r="QES34" s="2"/>
      <c r="QET34" s="2"/>
      <c r="QEU34" s="2"/>
      <c r="QEV34" s="2"/>
      <c r="QEW34" s="2"/>
      <c r="QEX34" s="2"/>
      <c r="QEY34" s="2"/>
      <c r="QEZ34" s="2"/>
      <c r="QFA34" s="2"/>
      <c r="QFB34" s="2"/>
      <c r="QFC34" s="2"/>
      <c r="QFD34" s="2"/>
      <c r="QFE34" s="2"/>
      <c r="QFF34" s="2"/>
      <c r="QFG34" s="2"/>
      <c r="QFH34" s="2"/>
      <c r="QFI34" s="2"/>
      <c r="QFJ34" s="2"/>
      <c r="QFK34" s="2"/>
      <c r="QFL34" s="2"/>
      <c r="QFM34" s="2"/>
      <c r="QFN34" s="2"/>
      <c r="QFO34" s="2"/>
      <c r="QFP34" s="2"/>
      <c r="QFQ34" s="2"/>
      <c r="QFR34" s="2"/>
      <c r="QFS34" s="2"/>
      <c r="QFT34" s="2"/>
      <c r="QFU34" s="2"/>
      <c r="QFV34" s="2"/>
      <c r="QFW34" s="2"/>
      <c r="QFX34" s="2"/>
      <c r="QFY34" s="2"/>
      <c r="QFZ34" s="2"/>
      <c r="QGA34" s="2"/>
      <c r="QGB34" s="2"/>
      <c r="QGC34" s="2"/>
      <c r="QGD34" s="2"/>
      <c r="QGE34" s="2"/>
      <c r="QGF34" s="2"/>
      <c r="QGG34" s="2"/>
      <c r="QGH34" s="2"/>
      <c r="QGI34" s="2"/>
      <c r="QGJ34" s="2"/>
      <c r="QGK34" s="2"/>
      <c r="QGL34" s="2"/>
      <c r="QGM34" s="2"/>
      <c r="QGN34" s="2"/>
      <c r="QGO34" s="2"/>
      <c r="QGP34" s="2"/>
      <c r="QGQ34" s="2"/>
      <c r="QGR34" s="2"/>
      <c r="QGS34" s="2"/>
      <c r="QGT34" s="2"/>
      <c r="QGU34" s="2"/>
      <c r="QGV34" s="2"/>
      <c r="QGW34" s="2"/>
      <c r="QGX34" s="2"/>
      <c r="QGY34" s="2"/>
      <c r="QGZ34" s="2"/>
      <c r="QHA34" s="2"/>
      <c r="QHB34" s="2"/>
      <c r="QHC34" s="2"/>
      <c r="QHD34" s="2"/>
      <c r="QHE34" s="2"/>
      <c r="QHF34" s="2"/>
      <c r="QHG34" s="2"/>
      <c r="QHH34" s="2"/>
      <c r="QHI34" s="2"/>
      <c r="QHJ34" s="2"/>
      <c r="QHK34" s="2"/>
      <c r="QHL34" s="2"/>
      <c r="QHM34" s="2"/>
      <c r="QHN34" s="2"/>
      <c r="QHO34" s="2"/>
      <c r="QHP34" s="2"/>
      <c r="QHQ34" s="2"/>
      <c r="QHR34" s="2"/>
      <c r="QHS34" s="2"/>
      <c r="QHT34" s="2"/>
      <c r="QHU34" s="2"/>
      <c r="QHV34" s="2"/>
      <c r="QHW34" s="2"/>
      <c r="QHX34" s="2"/>
      <c r="QHY34" s="2"/>
      <c r="QHZ34" s="2"/>
      <c r="QIA34" s="2"/>
      <c r="QIB34" s="2"/>
      <c r="QIC34" s="2"/>
      <c r="QID34" s="2"/>
      <c r="QIE34" s="2"/>
      <c r="QIF34" s="2"/>
      <c r="QIG34" s="2"/>
      <c r="QIH34" s="2"/>
      <c r="QII34" s="2"/>
      <c r="QIJ34" s="2"/>
      <c r="QIK34" s="2"/>
      <c r="QIL34" s="2"/>
      <c r="QIM34" s="2"/>
      <c r="QIN34" s="2"/>
      <c r="QIO34" s="2"/>
      <c r="QIP34" s="2"/>
      <c r="QIQ34" s="2"/>
      <c r="QIR34" s="2"/>
      <c r="QIS34" s="2"/>
      <c r="QIT34" s="2"/>
      <c r="QIU34" s="2"/>
      <c r="QIV34" s="2"/>
      <c r="QIW34" s="2"/>
      <c r="QIX34" s="2"/>
      <c r="QIY34" s="2"/>
      <c r="QIZ34" s="2"/>
      <c r="QJA34" s="2"/>
      <c r="QJB34" s="2"/>
      <c r="QJC34" s="2"/>
      <c r="QJD34" s="2"/>
      <c r="QJE34" s="2"/>
      <c r="QJF34" s="2"/>
      <c r="QJG34" s="2"/>
      <c r="QJH34" s="2"/>
      <c r="QJI34" s="2"/>
      <c r="QJJ34" s="2"/>
      <c r="QJK34" s="2"/>
      <c r="QJL34" s="2"/>
      <c r="QJM34" s="2"/>
      <c r="QJN34" s="2"/>
      <c r="QJO34" s="2"/>
      <c r="QJP34" s="2"/>
      <c r="QJQ34" s="2"/>
      <c r="QJR34" s="2"/>
      <c r="QJS34" s="2"/>
      <c r="QJT34" s="2"/>
      <c r="QJU34" s="2"/>
      <c r="QJV34" s="2"/>
      <c r="QJW34" s="2"/>
      <c r="QJX34" s="2"/>
      <c r="QJY34" s="2"/>
      <c r="QJZ34" s="2"/>
      <c r="QKA34" s="2"/>
      <c r="QKB34" s="2"/>
      <c r="QKC34" s="2"/>
      <c r="QKD34" s="2"/>
      <c r="QKE34" s="2"/>
      <c r="QKF34" s="2"/>
      <c r="QKG34" s="2"/>
      <c r="QKH34" s="2"/>
      <c r="QKI34" s="2"/>
      <c r="QKJ34" s="2"/>
      <c r="QKK34" s="2"/>
      <c r="QKL34" s="2"/>
      <c r="QKM34" s="2"/>
      <c r="QKN34" s="2"/>
      <c r="QKO34" s="2"/>
      <c r="QKP34" s="2"/>
      <c r="QKQ34" s="2"/>
      <c r="QKR34" s="2"/>
      <c r="QKS34" s="2"/>
      <c r="QKT34" s="2"/>
      <c r="QKU34" s="2"/>
      <c r="QKV34" s="2"/>
      <c r="QKW34" s="2"/>
      <c r="QKX34" s="2"/>
      <c r="QKY34" s="2"/>
      <c r="QKZ34" s="2"/>
      <c r="QLA34" s="2"/>
      <c r="QLB34" s="2"/>
      <c r="QLC34" s="2"/>
      <c r="QLD34" s="2"/>
      <c r="QLE34" s="2"/>
      <c r="QLF34" s="2"/>
      <c r="QLG34" s="2"/>
      <c r="QLH34" s="2"/>
      <c r="QLI34" s="2"/>
      <c r="QLJ34" s="2"/>
      <c r="QLK34" s="2"/>
      <c r="QLL34" s="2"/>
      <c r="QLM34" s="2"/>
      <c r="QLN34" s="2"/>
      <c r="QLO34" s="2"/>
      <c r="QLP34" s="2"/>
      <c r="QLQ34" s="2"/>
      <c r="QLR34" s="2"/>
      <c r="QLS34" s="2"/>
      <c r="QLT34" s="2"/>
      <c r="QLU34" s="2"/>
      <c r="QLV34" s="2"/>
      <c r="QLW34" s="2"/>
      <c r="QLX34" s="2"/>
      <c r="QLY34" s="2"/>
      <c r="QLZ34" s="2"/>
      <c r="QMA34" s="2"/>
      <c r="QMB34" s="2"/>
      <c r="QMC34" s="2"/>
      <c r="QMD34" s="2"/>
      <c r="QME34" s="2"/>
      <c r="QMF34" s="2"/>
      <c r="QMG34" s="2"/>
      <c r="QMH34" s="2"/>
      <c r="QMI34" s="2"/>
      <c r="QMJ34" s="2"/>
      <c r="QMK34" s="2"/>
      <c r="QML34" s="2"/>
      <c r="QMM34" s="2"/>
      <c r="QMN34" s="2"/>
      <c r="QMO34" s="2"/>
      <c r="QMP34" s="2"/>
      <c r="QMQ34" s="2"/>
      <c r="QMR34" s="2"/>
      <c r="QMS34" s="2"/>
      <c r="QMT34" s="2"/>
      <c r="QMU34" s="2"/>
      <c r="QMV34" s="2"/>
      <c r="QMW34" s="2"/>
      <c r="QMX34" s="2"/>
      <c r="QMY34" s="2"/>
      <c r="QMZ34" s="2"/>
      <c r="QNA34" s="2"/>
      <c r="QNB34" s="2"/>
      <c r="QNC34" s="2"/>
      <c r="QND34" s="2"/>
      <c r="QNE34" s="2"/>
      <c r="QNF34" s="2"/>
      <c r="QNG34" s="2"/>
      <c r="QNH34" s="2"/>
      <c r="QNI34" s="2"/>
      <c r="QNJ34" s="2"/>
      <c r="QNK34" s="2"/>
      <c r="QNL34" s="2"/>
      <c r="QNM34" s="2"/>
      <c r="QNN34" s="2"/>
      <c r="QNO34" s="2"/>
      <c r="QNP34" s="2"/>
      <c r="QNQ34" s="2"/>
      <c r="QNR34" s="2"/>
      <c r="QNS34" s="2"/>
      <c r="QNT34" s="2"/>
      <c r="QNU34" s="2"/>
      <c r="QNV34" s="2"/>
      <c r="QNW34" s="2"/>
      <c r="QNX34" s="2"/>
      <c r="QNY34" s="2"/>
      <c r="QNZ34" s="2"/>
      <c r="QOA34" s="2"/>
      <c r="QOB34" s="2"/>
      <c r="QOC34" s="2"/>
      <c r="QOD34" s="2"/>
      <c r="QOE34" s="2"/>
      <c r="QOF34" s="2"/>
      <c r="QOG34" s="2"/>
      <c r="QOH34" s="2"/>
      <c r="QOI34" s="2"/>
      <c r="QOJ34" s="2"/>
      <c r="QOK34" s="2"/>
      <c r="QOL34" s="2"/>
      <c r="QOM34" s="2"/>
      <c r="QON34" s="2"/>
      <c r="QOO34" s="2"/>
      <c r="QOP34" s="2"/>
      <c r="QOQ34" s="2"/>
      <c r="QOR34" s="2"/>
      <c r="QOS34" s="2"/>
      <c r="QOT34" s="2"/>
      <c r="QOU34" s="2"/>
      <c r="QOV34" s="2"/>
      <c r="QOW34" s="2"/>
      <c r="QOX34" s="2"/>
      <c r="QOY34" s="2"/>
      <c r="QOZ34" s="2"/>
      <c r="QPA34" s="2"/>
      <c r="QPB34" s="2"/>
      <c r="QPC34" s="2"/>
      <c r="QPD34" s="2"/>
      <c r="QPE34" s="2"/>
      <c r="QPF34" s="2"/>
      <c r="QPG34" s="2"/>
      <c r="QPH34" s="2"/>
      <c r="QPI34" s="2"/>
      <c r="QPJ34" s="2"/>
      <c r="QPK34" s="2"/>
      <c r="QPL34" s="2"/>
      <c r="QPM34" s="2"/>
      <c r="QPN34" s="2"/>
      <c r="QPO34" s="2"/>
      <c r="QPP34" s="2"/>
      <c r="QPQ34" s="2"/>
      <c r="QPR34" s="2"/>
      <c r="QPS34" s="2"/>
      <c r="QPT34" s="2"/>
      <c r="QPU34" s="2"/>
      <c r="QPV34" s="2"/>
      <c r="QPW34" s="2"/>
      <c r="QPX34" s="2"/>
      <c r="QPY34" s="2"/>
      <c r="QPZ34" s="2"/>
      <c r="QQA34" s="2"/>
      <c r="QQB34" s="2"/>
      <c r="QQC34" s="2"/>
      <c r="QQD34" s="2"/>
      <c r="QQE34" s="2"/>
      <c r="QQF34" s="2"/>
      <c r="QQG34" s="2"/>
      <c r="QQH34" s="2"/>
      <c r="QQI34" s="2"/>
      <c r="QQJ34" s="2"/>
      <c r="QQK34" s="2"/>
      <c r="QQL34" s="2"/>
      <c r="QQM34" s="2"/>
      <c r="QQN34" s="2"/>
      <c r="QQO34" s="2"/>
      <c r="QQP34" s="2"/>
      <c r="QQQ34" s="2"/>
      <c r="QQR34" s="2"/>
      <c r="QQS34" s="2"/>
      <c r="QQT34" s="2"/>
      <c r="QQU34" s="2"/>
      <c r="QQV34" s="2"/>
      <c r="QQW34" s="2"/>
      <c r="QQX34" s="2"/>
      <c r="QQY34" s="2"/>
      <c r="QQZ34" s="2"/>
      <c r="QRA34" s="2"/>
      <c r="QRB34" s="2"/>
      <c r="QRC34" s="2"/>
      <c r="QRD34" s="2"/>
      <c r="QRE34" s="2"/>
      <c r="QRF34" s="2"/>
      <c r="QRG34" s="2"/>
      <c r="QRH34" s="2"/>
      <c r="QRI34" s="2"/>
      <c r="QRJ34" s="2"/>
      <c r="QRK34" s="2"/>
      <c r="QRL34" s="2"/>
      <c r="QRM34" s="2"/>
      <c r="QRN34" s="2"/>
      <c r="QRO34" s="2"/>
      <c r="QRP34" s="2"/>
      <c r="QRQ34" s="2"/>
      <c r="QRR34" s="2"/>
      <c r="QRS34" s="2"/>
      <c r="QRT34" s="2"/>
      <c r="QRU34" s="2"/>
      <c r="QRV34" s="2"/>
      <c r="QRW34" s="2"/>
      <c r="QRX34" s="2"/>
      <c r="QRY34" s="2"/>
      <c r="QRZ34" s="2"/>
      <c r="QSA34" s="2"/>
      <c r="QSB34" s="2"/>
      <c r="QSC34" s="2"/>
      <c r="QSD34" s="2"/>
      <c r="QSE34" s="2"/>
      <c r="QSF34" s="2"/>
      <c r="QSG34" s="2"/>
      <c r="QSH34" s="2"/>
      <c r="QSI34" s="2"/>
      <c r="QSJ34" s="2"/>
      <c r="QSK34" s="2"/>
      <c r="QSL34" s="2"/>
      <c r="QSM34" s="2"/>
      <c r="QSN34" s="2"/>
      <c r="QSO34" s="2"/>
      <c r="QSP34" s="2"/>
      <c r="QSQ34" s="2"/>
      <c r="QSR34" s="2"/>
      <c r="QSS34" s="2"/>
      <c r="QST34" s="2"/>
      <c r="QSU34" s="2"/>
      <c r="QSV34" s="2"/>
      <c r="QSW34" s="2"/>
      <c r="QSX34" s="2"/>
      <c r="QSY34" s="2"/>
      <c r="QSZ34" s="2"/>
      <c r="QTA34" s="2"/>
      <c r="QTB34" s="2"/>
      <c r="QTC34" s="2"/>
      <c r="QTD34" s="2"/>
      <c r="QTE34" s="2"/>
      <c r="QTF34" s="2"/>
      <c r="QTG34" s="2"/>
      <c r="QTH34" s="2"/>
      <c r="QTI34" s="2"/>
      <c r="QTJ34" s="2"/>
      <c r="QTK34" s="2"/>
      <c r="QTL34" s="2"/>
      <c r="QTM34" s="2"/>
      <c r="QTN34" s="2"/>
      <c r="QTO34" s="2"/>
      <c r="QTP34" s="2"/>
      <c r="QTQ34" s="2"/>
      <c r="QTR34" s="2"/>
      <c r="QTS34" s="2"/>
      <c r="QTT34" s="2"/>
      <c r="QTU34" s="2"/>
      <c r="QTV34" s="2"/>
      <c r="QTW34" s="2"/>
      <c r="QTX34" s="2"/>
      <c r="QTY34" s="2"/>
      <c r="QTZ34" s="2"/>
      <c r="QUA34" s="2"/>
      <c r="QUB34" s="2"/>
      <c r="QUC34" s="2"/>
      <c r="QUD34" s="2"/>
      <c r="QUE34" s="2"/>
      <c r="QUF34" s="2"/>
      <c r="QUG34" s="2"/>
      <c r="QUH34" s="2"/>
      <c r="QUI34" s="2"/>
      <c r="QUJ34" s="2"/>
      <c r="QUK34" s="2"/>
      <c r="QUL34" s="2"/>
      <c r="QUM34" s="2"/>
      <c r="QUN34" s="2"/>
      <c r="QUO34" s="2"/>
      <c r="QUP34" s="2"/>
      <c r="QUQ34" s="2"/>
      <c r="QUR34" s="2"/>
      <c r="QUS34" s="2"/>
      <c r="QUT34" s="2"/>
      <c r="QUU34" s="2"/>
      <c r="QUV34" s="2"/>
      <c r="QUW34" s="2"/>
      <c r="QUX34" s="2"/>
      <c r="QUY34" s="2"/>
      <c r="QUZ34" s="2"/>
      <c r="QVA34" s="2"/>
      <c r="QVB34" s="2"/>
      <c r="QVC34" s="2"/>
      <c r="QVD34" s="2"/>
      <c r="QVE34" s="2"/>
      <c r="QVF34" s="2"/>
      <c r="QVG34" s="2"/>
      <c r="QVH34" s="2"/>
      <c r="QVI34" s="2"/>
      <c r="QVJ34" s="2"/>
      <c r="QVK34" s="2"/>
      <c r="QVL34" s="2"/>
      <c r="QVM34" s="2"/>
      <c r="QVN34" s="2"/>
      <c r="QVO34" s="2"/>
      <c r="QVP34" s="2"/>
      <c r="QVQ34" s="2"/>
      <c r="QVR34" s="2"/>
      <c r="QVS34" s="2"/>
      <c r="QVT34" s="2"/>
      <c r="QVU34" s="2"/>
      <c r="QVV34" s="2"/>
      <c r="QVW34" s="2"/>
      <c r="QVX34" s="2"/>
      <c r="QVY34" s="2"/>
      <c r="QVZ34" s="2"/>
      <c r="QWA34" s="2"/>
      <c r="QWB34" s="2"/>
      <c r="QWC34" s="2"/>
      <c r="QWD34" s="2"/>
      <c r="QWE34" s="2"/>
      <c r="QWF34" s="2"/>
      <c r="QWG34" s="2"/>
      <c r="QWH34" s="2"/>
      <c r="QWI34" s="2"/>
      <c r="QWJ34" s="2"/>
      <c r="QWK34" s="2"/>
      <c r="QWL34" s="2"/>
      <c r="QWM34" s="2"/>
      <c r="QWN34" s="2"/>
      <c r="QWO34" s="2"/>
      <c r="QWP34" s="2"/>
      <c r="QWQ34" s="2"/>
      <c r="QWR34" s="2"/>
      <c r="QWS34" s="2"/>
      <c r="QWT34" s="2"/>
      <c r="QWU34" s="2"/>
      <c r="QWV34" s="2"/>
      <c r="QWW34" s="2"/>
      <c r="QWX34" s="2"/>
      <c r="QWY34" s="2"/>
      <c r="QWZ34" s="2"/>
      <c r="QXA34" s="2"/>
      <c r="QXB34" s="2"/>
      <c r="QXC34" s="2"/>
      <c r="QXD34" s="2"/>
      <c r="QXE34" s="2"/>
      <c r="QXF34" s="2"/>
      <c r="QXG34" s="2"/>
      <c r="QXH34" s="2"/>
      <c r="QXI34" s="2"/>
      <c r="QXJ34" s="2"/>
      <c r="QXK34" s="2"/>
      <c r="QXL34" s="2"/>
      <c r="QXM34" s="2"/>
      <c r="QXN34" s="2"/>
      <c r="QXO34" s="2"/>
      <c r="QXP34" s="2"/>
      <c r="QXQ34" s="2"/>
      <c r="QXR34" s="2"/>
      <c r="QXS34" s="2"/>
      <c r="QXT34" s="2"/>
      <c r="QXU34" s="2"/>
      <c r="QXV34" s="2"/>
      <c r="QXW34" s="2"/>
      <c r="QXX34" s="2"/>
      <c r="QXY34" s="2"/>
      <c r="QXZ34" s="2"/>
      <c r="QYA34" s="2"/>
      <c r="QYB34" s="2"/>
      <c r="QYC34" s="2"/>
      <c r="QYD34" s="2"/>
      <c r="QYE34" s="2"/>
      <c r="QYF34" s="2"/>
      <c r="QYG34" s="2"/>
      <c r="QYH34" s="2"/>
      <c r="QYI34" s="2"/>
      <c r="QYJ34" s="2"/>
      <c r="QYK34" s="2"/>
      <c r="QYL34" s="2"/>
      <c r="QYM34" s="2"/>
      <c r="QYN34" s="2"/>
      <c r="QYO34" s="2"/>
      <c r="QYP34" s="2"/>
      <c r="QYQ34" s="2"/>
      <c r="QYR34" s="2"/>
      <c r="QYS34" s="2"/>
      <c r="QYT34" s="2"/>
      <c r="QYU34" s="2"/>
      <c r="QYV34" s="2"/>
      <c r="QYW34" s="2"/>
      <c r="QYX34" s="2"/>
      <c r="QYY34" s="2"/>
      <c r="QYZ34" s="2"/>
      <c r="QZA34" s="2"/>
      <c r="QZB34" s="2"/>
      <c r="QZC34" s="2"/>
      <c r="QZD34" s="2"/>
      <c r="QZE34" s="2"/>
      <c r="QZF34" s="2"/>
      <c r="QZG34" s="2"/>
      <c r="QZH34" s="2"/>
      <c r="QZI34" s="2"/>
      <c r="QZJ34" s="2"/>
      <c r="QZK34" s="2"/>
      <c r="QZL34" s="2"/>
      <c r="QZM34" s="2"/>
      <c r="QZN34" s="2"/>
      <c r="QZO34" s="2"/>
      <c r="QZP34" s="2"/>
      <c r="QZQ34" s="2"/>
      <c r="QZR34" s="2"/>
      <c r="QZS34" s="2"/>
      <c r="QZT34" s="2"/>
      <c r="QZU34" s="2"/>
      <c r="QZV34" s="2"/>
      <c r="QZW34" s="2"/>
      <c r="QZX34" s="2"/>
      <c r="QZY34" s="2"/>
      <c r="QZZ34" s="2"/>
      <c r="RAA34" s="2"/>
      <c r="RAB34" s="2"/>
      <c r="RAC34" s="2"/>
      <c r="RAD34" s="2"/>
      <c r="RAE34" s="2"/>
      <c r="RAF34" s="2"/>
      <c r="RAG34" s="2"/>
      <c r="RAH34" s="2"/>
      <c r="RAI34" s="2"/>
      <c r="RAJ34" s="2"/>
      <c r="RAK34" s="2"/>
      <c r="RAL34" s="2"/>
      <c r="RAM34" s="2"/>
      <c r="RAN34" s="2"/>
      <c r="RAO34" s="2"/>
      <c r="RAP34" s="2"/>
      <c r="RAQ34" s="2"/>
      <c r="RAR34" s="2"/>
      <c r="RAS34" s="2"/>
      <c r="RAT34" s="2"/>
      <c r="RAU34" s="2"/>
      <c r="RAV34" s="2"/>
      <c r="RAW34" s="2"/>
      <c r="RAX34" s="2"/>
      <c r="RAY34" s="2"/>
      <c r="RAZ34" s="2"/>
      <c r="RBA34" s="2"/>
      <c r="RBB34" s="2"/>
      <c r="RBC34" s="2"/>
      <c r="RBD34" s="2"/>
      <c r="RBE34" s="2"/>
      <c r="RBF34" s="2"/>
      <c r="RBG34" s="2"/>
      <c r="RBH34" s="2"/>
      <c r="RBI34" s="2"/>
      <c r="RBJ34" s="2"/>
      <c r="RBK34" s="2"/>
      <c r="RBL34" s="2"/>
      <c r="RBM34" s="2"/>
      <c r="RBN34" s="2"/>
      <c r="RBO34" s="2"/>
      <c r="RBP34" s="2"/>
      <c r="RBQ34" s="2"/>
      <c r="RBR34" s="2"/>
      <c r="RBS34" s="2"/>
      <c r="RBT34" s="2"/>
      <c r="RBU34" s="2"/>
      <c r="RBV34" s="2"/>
      <c r="RBW34" s="2"/>
      <c r="RBX34" s="2"/>
      <c r="RBY34" s="2"/>
      <c r="RBZ34" s="2"/>
      <c r="RCA34" s="2"/>
      <c r="RCB34" s="2"/>
      <c r="RCC34" s="2"/>
      <c r="RCD34" s="2"/>
      <c r="RCE34" s="2"/>
      <c r="RCF34" s="2"/>
      <c r="RCG34" s="2"/>
      <c r="RCH34" s="2"/>
      <c r="RCI34" s="2"/>
      <c r="RCJ34" s="2"/>
      <c r="RCK34" s="2"/>
      <c r="RCL34" s="2"/>
      <c r="RCM34" s="2"/>
      <c r="RCN34" s="2"/>
      <c r="RCO34" s="2"/>
      <c r="RCP34" s="2"/>
      <c r="RCQ34" s="2"/>
      <c r="RCR34" s="2"/>
      <c r="RCS34" s="2"/>
      <c r="RCT34" s="2"/>
      <c r="RCU34" s="2"/>
      <c r="RCV34" s="2"/>
      <c r="RCW34" s="2"/>
      <c r="RCX34" s="2"/>
      <c r="RCY34" s="2"/>
      <c r="RCZ34" s="2"/>
      <c r="RDA34" s="2"/>
      <c r="RDB34" s="2"/>
      <c r="RDC34" s="2"/>
      <c r="RDD34" s="2"/>
      <c r="RDE34" s="2"/>
      <c r="RDF34" s="2"/>
      <c r="RDG34" s="2"/>
      <c r="RDH34" s="2"/>
      <c r="RDI34" s="2"/>
      <c r="RDJ34" s="2"/>
      <c r="RDK34" s="2"/>
      <c r="RDL34" s="2"/>
      <c r="RDM34" s="2"/>
      <c r="RDN34" s="2"/>
      <c r="RDO34" s="2"/>
      <c r="RDP34" s="2"/>
      <c r="RDQ34" s="2"/>
      <c r="RDR34" s="2"/>
      <c r="RDS34" s="2"/>
      <c r="RDT34" s="2"/>
      <c r="RDU34" s="2"/>
      <c r="RDV34" s="2"/>
      <c r="RDW34" s="2"/>
      <c r="RDX34" s="2"/>
      <c r="RDY34" s="2"/>
      <c r="RDZ34" s="2"/>
      <c r="REA34" s="2"/>
      <c r="REB34" s="2"/>
      <c r="REC34" s="2"/>
      <c r="RED34" s="2"/>
      <c r="REE34" s="2"/>
      <c r="REF34" s="2"/>
      <c r="REG34" s="2"/>
      <c r="REH34" s="2"/>
      <c r="REI34" s="2"/>
      <c r="REJ34" s="2"/>
      <c r="REK34" s="2"/>
      <c r="REL34" s="2"/>
      <c r="REM34" s="2"/>
      <c r="REN34" s="2"/>
      <c r="REO34" s="2"/>
      <c r="REP34" s="2"/>
      <c r="REQ34" s="2"/>
      <c r="RER34" s="2"/>
      <c r="RES34" s="2"/>
      <c r="RET34" s="2"/>
      <c r="REU34" s="2"/>
      <c r="REV34" s="2"/>
      <c r="REW34" s="2"/>
      <c r="REX34" s="2"/>
      <c r="REY34" s="2"/>
      <c r="REZ34" s="2"/>
      <c r="RFA34" s="2"/>
      <c r="RFB34" s="2"/>
      <c r="RFC34" s="2"/>
      <c r="RFD34" s="2"/>
      <c r="RFE34" s="2"/>
      <c r="RFF34" s="2"/>
      <c r="RFG34" s="2"/>
      <c r="RFH34" s="2"/>
      <c r="RFI34" s="2"/>
      <c r="RFJ34" s="2"/>
      <c r="RFK34" s="2"/>
      <c r="RFL34" s="2"/>
      <c r="RFM34" s="2"/>
      <c r="RFN34" s="2"/>
      <c r="RFO34" s="2"/>
      <c r="RFP34" s="2"/>
      <c r="RFQ34" s="2"/>
      <c r="RFR34" s="2"/>
      <c r="RFS34" s="2"/>
      <c r="RFT34" s="2"/>
      <c r="RFU34" s="2"/>
      <c r="RFV34" s="2"/>
      <c r="RFW34" s="2"/>
      <c r="RFX34" s="2"/>
      <c r="RFY34" s="2"/>
      <c r="RFZ34" s="2"/>
      <c r="RGA34" s="2"/>
      <c r="RGB34" s="2"/>
      <c r="RGC34" s="2"/>
      <c r="RGD34" s="2"/>
      <c r="RGE34" s="2"/>
      <c r="RGF34" s="2"/>
      <c r="RGG34" s="2"/>
      <c r="RGH34" s="2"/>
      <c r="RGI34" s="2"/>
      <c r="RGJ34" s="2"/>
      <c r="RGK34" s="2"/>
      <c r="RGL34" s="2"/>
      <c r="RGM34" s="2"/>
      <c r="RGN34" s="2"/>
      <c r="RGO34" s="2"/>
      <c r="RGP34" s="2"/>
      <c r="RGQ34" s="2"/>
      <c r="RGR34" s="2"/>
      <c r="RGS34" s="2"/>
      <c r="RGT34" s="2"/>
      <c r="RGU34" s="2"/>
      <c r="RGV34" s="2"/>
      <c r="RGW34" s="2"/>
      <c r="RGX34" s="2"/>
      <c r="RGY34" s="2"/>
      <c r="RGZ34" s="2"/>
      <c r="RHA34" s="2"/>
      <c r="RHB34" s="2"/>
      <c r="RHC34" s="2"/>
      <c r="RHD34" s="2"/>
      <c r="RHE34" s="2"/>
      <c r="RHF34" s="2"/>
      <c r="RHG34" s="2"/>
      <c r="RHH34" s="2"/>
      <c r="RHI34" s="2"/>
      <c r="RHJ34" s="2"/>
      <c r="RHK34" s="2"/>
      <c r="RHL34" s="2"/>
      <c r="RHM34" s="2"/>
      <c r="RHN34" s="2"/>
      <c r="RHO34" s="2"/>
      <c r="RHP34" s="2"/>
      <c r="RHQ34" s="2"/>
      <c r="RHR34" s="2"/>
      <c r="RHS34" s="2"/>
      <c r="RHT34" s="2"/>
      <c r="RHU34" s="2"/>
      <c r="RHV34" s="2"/>
      <c r="RHW34" s="2"/>
      <c r="RHX34" s="2"/>
      <c r="RHY34" s="2"/>
      <c r="RHZ34" s="2"/>
      <c r="RIA34" s="2"/>
      <c r="RIB34" s="2"/>
      <c r="RIC34" s="2"/>
      <c r="RID34" s="2"/>
      <c r="RIE34" s="2"/>
      <c r="RIF34" s="2"/>
      <c r="RIG34" s="2"/>
      <c r="RIH34" s="2"/>
      <c r="RII34" s="2"/>
      <c r="RIJ34" s="2"/>
      <c r="RIK34" s="2"/>
      <c r="RIL34" s="2"/>
      <c r="RIM34" s="2"/>
      <c r="RIN34" s="2"/>
      <c r="RIO34" s="2"/>
      <c r="RIP34" s="2"/>
      <c r="RIQ34" s="2"/>
      <c r="RIR34" s="2"/>
      <c r="RIS34" s="2"/>
      <c r="RIT34" s="2"/>
      <c r="RIU34" s="2"/>
      <c r="RIV34" s="2"/>
      <c r="RIW34" s="2"/>
      <c r="RIX34" s="2"/>
      <c r="RIY34" s="2"/>
      <c r="RIZ34" s="2"/>
      <c r="RJA34" s="2"/>
      <c r="RJB34" s="2"/>
      <c r="RJC34" s="2"/>
      <c r="RJD34" s="2"/>
      <c r="RJE34" s="2"/>
      <c r="RJF34" s="2"/>
      <c r="RJG34" s="2"/>
      <c r="RJH34" s="2"/>
      <c r="RJI34" s="2"/>
      <c r="RJJ34" s="2"/>
      <c r="RJK34" s="2"/>
      <c r="RJL34" s="2"/>
      <c r="RJM34" s="2"/>
      <c r="RJN34" s="2"/>
      <c r="RJO34" s="2"/>
      <c r="RJP34" s="2"/>
      <c r="RJQ34" s="2"/>
      <c r="RJR34" s="2"/>
      <c r="RJS34" s="2"/>
      <c r="RJT34" s="2"/>
      <c r="RJU34" s="2"/>
      <c r="RJV34" s="2"/>
      <c r="RJW34" s="2"/>
      <c r="RJX34" s="2"/>
      <c r="RJY34" s="2"/>
      <c r="RJZ34" s="2"/>
      <c r="RKA34" s="2"/>
      <c r="RKB34" s="2"/>
      <c r="RKC34" s="2"/>
      <c r="RKD34" s="2"/>
      <c r="RKE34" s="2"/>
      <c r="RKF34" s="2"/>
      <c r="RKG34" s="2"/>
      <c r="RKH34" s="2"/>
      <c r="RKI34" s="2"/>
      <c r="RKJ34" s="2"/>
      <c r="RKK34" s="2"/>
      <c r="RKL34" s="2"/>
      <c r="RKM34" s="2"/>
      <c r="RKN34" s="2"/>
      <c r="RKO34" s="2"/>
      <c r="RKP34" s="2"/>
      <c r="RKQ34" s="2"/>
      <c r="RKR34" s="2"/>
      <c r="RKS34" s="2"/>
      <c r="RKT34" s="2"/>
      <c r="RKU34" s="2"/>
      <c r="RKV34" s="2"/>
      <c r="RKW34" s="2"/>
      <c r="RKX34" s="2"/>
      <c r="RKY34" s="2"/>
      <c r="RKZ34" s="2"/>
      <c r="RLA34" s="2"/>
      <c r="RLB34" s="2"/>
      <c r="RLC34" s="2"/>
      <c r="RLD34" s="2"/>
      <c r="RLE34" s="2"/>
      <c r="RLF34" s="2"/>
      <c r="RLG34" s="2"/>
      <c r="RLH34" s="2"/>
      <c r="RLI34" s="2"/>
      <c r="RLJ34" s="2"/>
      <c r="RLK34" s="2"/>
      <c r="RLL34" s="2"/>
      <c r="RLM34" s="2"/>
      <c r="RLN34" s="2"/>
      <c r="RLO34" s="2"/>
      <c r="RLP34" s="2"/>
      <c r="RLQ34" s="2"/>
      <c r="RLR34" s="2"/>
      <c r="RLS34" s="2"/>
      <c r="RLT34" s="2"/>
      <c r="RLU34" s="2"/>
      <c r="RLV34" s="2"/>
      <c r="RLW34" s="2"/>
      <c r="RLX34" s="2"/>
      <c r="RLY34" s="2"/>
      <c r="RLZ34" s="2"/>
      <c r="RMA34" s="2"/>
      <c r="RMB34" s="2"/>
      <c r="RMC34" s="2"/>
      <c r="RMD34" s="2"/>
      <c r="RME34" s="2"/>
      <c r="RMF34" s="2"/>
      <c r="RMG34" s="2"/>
      <c r="RMH34" s="2"/>
      <c r="RMI34" s="2"/>
      <c r="RMJ34" s="2"/>
      <c r="RMK34" s="2"/>
      <c r="RML34" s="2"/>
      <c r="RMM34" s="2"/>
      <c r="RMN34" s="2"/>
      <c r="RMO34" s="2"/>
      <c r="RMP34" s="2"/>
      <c r="RMQ34" s="2"/>
      <c r="RMR34" s="2"/>
      <c r="RMS34" s="2"/>
      <c r="RMT34" s="2"/>
      <c r="RMU34" s="2"/>
      <c r="RMV34" s="2"/>
      <c r="RMW34" s="2"/>
      <c r="RMX34" s="2"/>
      <c r="RMY34" s="2"/>
      <c r="RMZ34" s="2"/>
      <c r="RNA34" s="2"/>
      <c r="RNB34" s="2"/>
      <c r="RNC34" s="2"/>
      <c r="RND34" s="2"/>
      <c r="RNE34" s="2"/>
      <c r="RNF34" s="2"/>
      <c r="RNG34" s="2"/>
      <c r="RNH34" s="2"/>
      <c r="RNI34" s="2"/>
      <c r="RNJ34" s="2"/>
      <c r="RNK34" s="2"/>
      <c r="RNL34" s="2"/>
      <c r="RNM34" s="2"/>
      <c r="RNN34" s="2"/>
      <c r="RNO34" s="2"/>
      <c r="RNP34" s="2"/>
      <c r="RNQ34" s="2"/>
      <c r="RNR34" s="2"/>
      <c r="RNS34" s="2"/>
      <c r="RNT34" s="2"/>
      <c r="RNU34" s="2"/>
      <c r="RNV34" s="2"/>
      <c r="RNW34" s="2"/>
      <c r="RNX34" s="2"/>
      <c r="RNY34" s="2"/>
      <c r="RNZ34" s="2"/>
      <c r="ROA34" s="2"/>
      <c r="ROB34" s="2"/>
      <c r="ROC34" s="2"/>
      <c r="ROD34" s="2"/>
      <c r="ROE34" s="2"/>
      <c r="ROF34" s="2"/>
      <c r="ROG34" s="2"/>
      <c r="ROH34" s="2"/>
      <c r="ROI34" s="2"/>
      <c r="ROJ34" s="2"/>
      <c r="ROK34" s="2"/>
      <c r="ROL34" s="2"/>
      <c r="ROM34" s="2"/>
      <c r="RON34" s="2"/>
      <c r="ROO34" s="2"/>
      <c r="ROP34" s="2"/>
      <c r="ROQ34" s="2"/>
      <c r="ROR34" s="2"/>
      <c r="ROS34" s="2"/>
      <c r="ROT34" s="2"/>
      <c r="ROU34" s="2"/>
      <c r="ROV34" s="2"/>
      <c r="ROW34" s="2"/>
      <c r="ROX34" s="2"/>
      <c r="ROY34" s="2"/>
      <c r="ROZ34" s="2"/>
      <c r="RPA34" s="2"/>
      <c r="RPB34" s="2"/>
      <c r="RPC34" s="2"/>
      <c r="RPD34" s="2"/>
      <c r="RPE34" s="2"/>
      <c r="RPF34" s="2"/>
      <c r="RPG34" s="2"/>
      <c r="RPH34" s="2"/>
      <c r="RPI34" s="2"/>
      <c r="RPJ34" s="2"/>
      <c r="RPK34" s="2"/>
      <c r="RPL34" s="2"/>
      <c r="RPM34" s="2"/>
      <c r="RPN34" s="2"/>
      <c r="RPO34" s="2"/>
      <c r="RPP34" s="2"/>
      <c r="RPQ34" s="2"/>
      <c r="RPR34" s="2"/>
      <c r="RPS34" s="2"/>
      <c r="RPT34" s="2"/>
      <c r="RPU34" s="2"/>
      <c r="RPV34" s="2"/>
      <c r="RPW34" s="2"/>
      <c r="RPX34" s="2"/>
      <c r="RPY34" s="2"/>
      <c r="RPZ34" s="2"/>
      <c r="RQA34" s="2"/>
      <c r="RQB34" s="2"/>
      <c r="RQC34" s="2"/>
      <c r="RQD34" s="2"/>
      <c r="RQE34" s="2"/>
      <c r="RQF34" s="2"/>
      <c r="RQG34" s="2"/>
      <c r="RQH34" s="2"/>
      <c r="RQI34" s="2"/>
      <c r="RQJ34" s="2"/>
      <c r="RQK34" s="2"/>
      <c r="RQL34" s="2"/>
      <c r="RQM34" s="2"/>
      <c r="RQN34" s="2"/>
      <c r="RQO34" s="2"/>
      <c r="RQP34" s="2"/>
      <c r="RQQ34" s="2"/>
      <c r="RQR34" s="2"/>
      <c r="RQS34" s="2"/>
      <c r="RQT34" s="2"/>
      <c r="RQU34" s="2"/>
      <c r="RQV34" s="2"/>
      <c r="RQW34" s="2"/>
      <c r="RQX34" s="2"/>
      <c r="RQY34" s="2"/>
      <c r="RQZ34" s="2"/>
      <c r="RRA34" s="2"/>
      <c r="RRB34" s="2"/>
      <c r="RRC34" s="2"/>
      <c r="RRD34" s="2"/>
      <c r="RRE34" s="2"/>
      <c r="RRF34" s="2"/>
      <c r="RRG34" s="2"/>
      <c r="RRH34" s="2"/>
      <c r="RRI34" s="2"/>
      <c r="RRJ34" s="2"/>
      <c r="RRK34" s="2"/>
      <c r="RRL34" s="2"/>
      <c r="RRM34" s="2"/>
      <c r="RRN34" s="2"/>
      <c r="RRO34" s="2"/>
      <c r="RRP34" s="2"/>
      <c r="RRQ34" s="2"/>
      <c r="RRR34" s="2"/>
      <c r="RRS34" s="2"/>
      <c r="RRT34" s="2"/>
      <c r="RRU34" s="2"/>
      <c r="RRV34" s="2"/>
      <c r="RRW34" s="2"/>
      <c r="RRX34" s="2"/>
      <c r="RRY34" s="2"/>
      <c r="RRZ34" s="2"/>
      <c r="RSA34" s="2"/>
      <c r="RSB34" s="2"/>
      <c r="RSC34" s="2"/>
      <c r="RSD34" s="2"/>
      <c r="RSE34" s="2"/>
      <c r="RSF34" s="2"/>
      <c r="RSG34" s="2"/>
      <c r="RSH34" s="2"/>
      <c r="RSI34" s="2"/>
      <c r="RSJ34" s="2"/>
      <c r="RSK34" s="2"/>
      <c r="RSL34" s="2"/>
      <c r="RSM34" s="2"/>
      <c r="RSN34" s="2"/>
      <c r="RSO34" s="2"/>
      <c r="RSP34" s="2"/>
      <c r="RSQ34" s="2"/>
      <c r="RSR34" s="2"/>
      <c r="RSS34" s="2"/>
      <c r="RST34" s="2"/>
      <c r="RSU34" s="2"/>
      <c r="RSV34" s="2"/>
      <c r="RSW34" s="2"/>
      <c r="RSX34" s="2"/>
      <c r="RSY34" s="2"/>
      <c r="RSZ34" s="2"/>
      <c r="RTA34" s="2"/>
      <c r="RTB34" s="2"/>
      <c r="RTC34" s="2"/>
      <c r="RTD34" s="2"/>
      <c r="RTE34" s="2"/>
      <c r="RTF34" s="2"/>
      <c r="RTG34" s="2"/>
      <c r="RTH34" s="2"/>
      <c r="RTI34" s="2"/>
      <c r="RTJ34" s="2"/>
      <c r="RTK34" s="2"/>
      <c r="RTL34" s="2"/>
      <c r="RTM34" s="2"/>
      <c r="RTN34" s="2"/>
      <c r="RTO34" s="2"/>
      <c r="RTP34" s="2"/>
      <c r="RTQ34" s="2"/>
      <c r="RTR34" s="2"/>
      <c r="RTS34" s="2"/>
      <c r="RTT34" s="2"/>
      <c r="RTU34" s="2"/>
      <c r="RTV34" s="2"/>
      <c r="RTW34" s="2"/>
      <c r="RTX34" s="2"/>
      <c r="RTY34" s="2"/>
      <c r="RTZ34" s="2"/>
      <c r="RUA34" s="2"/>
      <c r="RUB34" s="2"/>
      <c r="RUC34" s="2"/>
      <c r="RUD34" s="2"/>
      <c r="RUE34" s="2"/>
      <c r="RUF34" s="2"/>
      <c r="RUG34" s="2"/>
      <c r="RUH34" s="2"/>
      <c r="RUI34" s="2"/>
      <c r="RUJ34" s="2"/>
      <c r="RUK34" s="2"/>
      <c r="RUL34" s="2"/>
      <c r="RUM34" s="2"/>
      <c r="RUN34" s="2"/>
      <c r="RUO34" s="2"/>
      <c r="RUP34" s="2"/>
      <c r="RUQ34" s="2"/>
      <c r="RUR34" s="2"/>
      <c r="RUS34" s="2"/>
      <c r="RUT34" s="2"/>
      <c r="RUU34" s="2"/>
      <c r="RUV34" s="2"/>
      <c r="RUW34" s="2"/>
      <c r="RUX34" s="2"/>
      <c r="RUY34" s="2"/>
      <c r="RUZ34" s="2"/>
      <c r="RVA34" s="2"/>
      <c r="RVB34" s="2"/>
      <c r="RVC34" s="2"/>
      <c r="RVD34" s="2"/>
      <c r="RVE34" s="2"/>
      <c r="RVF34" s="2"/>
      <c r="RVG34" s="2"/>
      <c r="RVH34" s="2"/>
      <c r="RVI34" s="2"/>
      <c r="RVJ34" s="2"/>
      <c r="RVK34" s="2"/>
      <c r="RVL34" s="2"/>
      <c r="RVM34" s="2"/>
      <c r="RVN34" s="2"/>
      <c r="RVO34" s="2"/>
      <c r="RVP34" s="2"/>
      <c r="RVQ34" s="2"/>
      <c r="RVR34" s="2"/>
      <c r="RVS34" s="2"/>
      <c r="RVT34" s="2"/>
      <c r="RVU34" s="2"/>
      <c r="RVV34" s="2"/>
      <c r="RVW34" s="2"/>
      <c r="RVX34" s="2"/>
      <c r="RVY34" s="2"/>
      <c r="RVZ34" s="2"/>
      <c r="RWA34" s="2"/>
      <c r="RWB34" s="2"/>
      <c r="RWC34" s="2"/>
      <c r="RWD34" s="2"/>
      <c r="RWE34" s="2"/>
      <c r="RWF34" s="2"/>
      <c r="RWG34" s="2"/>
      <c r="RWH34" s="2"/>
      <c r="RWI34" s="2"/>
      <c r="RWJ34" s="2"/>
      <c r="RWK34" s="2"/>
      <c r="RWL34" s="2"/>
      <c r="RWM34" s="2"/>
      <c r="RWN34" s="2"/>
      <c r="RWO34" s="2"/>
      <c r="RWP34" s="2"/>
      <c r="RWQ34" s="2"/>
      <c r="RWR34" s="2"/>
      <c r="RWS34" s="2"/>
      <c r="RWT34" s="2"/>
      <c r="RWU34" s="2"/>
      <c r="RWV34" s="2"/>
      <c r="RWW34" s="2"/>
      <c r="RWX34" s="2"/>
      <c r="RWY34" s="2"/>
      <c r="RWZ34" s="2"/>
      <c r="RXA34" s="2"/>
      <c r="RXB34" s="2"/>
      <c r="RXC34" s="2"/>
      <c r="RXD34" s="2"/>
      <c r="RXE34" s="2"/>
      <c r="RXF34" s="2"/>
      <c r="RXG34" s="2"/>
      <c r="RXH34" s="2"/>
      <c r="RXI34" s="2"/>
      <c r="RXJ34" s="2"/>
      <c r="RXK34" s="2"/>
      <c r="RXL34" s="2"/>
      <c r="RXM34" s="2"/>
      <c r="RXN34" s="2"/>
      <c r="RXO34" s="2"/>
      <c r="RXP34" s="2"/>
      <c r="RXQ34" s="2"/>
      <c r="RXR34" s="2"/>
      <c r="RXS34" s="2"/>
      <c r="RXT34" s="2"/>
      <c r="RXU34" s="2"/>
      <c r="RXV34" s="2"/>
      <c r="RXW34" s="2"/>
      <c r="RXX34" s="2"/>
      <c r="RXY34" s="2"/>
      <c r="RXZ34" s="2"/>
      <c r="RYA34" s="2"/>
      <c r="RYB34" s="2"/>
      <c r="RYC34" s="2"/>
      <c r="RYD34" s="2"/>
      <c r="RYE34" s="2"/>
      <c r="RYF34" s="2"/>
      <c r="RYG34" s="2"/>
      <c r="RYH34" s="2"/>
      <c r="RYI34" s="2"/>
      <c r="RYJ34" s="2"/>
      <c r="RYK34" s="2"/>
      <c r="RYL34" s="2"/>
      <c r="RYM34" s="2"/>
      <c r="RYN34" s="2"/>
      <c r="RYO34" s="2"/>
      <c r="RYP34" s="2"/>
      <c r="RYQ34" s="2"/>
      <c r="RYR34" s="2"/>
      <c r="RYS34" s="2"/>
      <c r="RYT34" s="2"/>
      <c r="RYU34" s="2"/>
      <c r="RYV34" s="2"/>
      <c r="RYW34" s="2"/>
      <c r="RYX34" s="2"/>
      <c r="RYY34" s="2"/>
      <c r="RYZ34" s="2"/>
      <c r="RZA34" s="2"/>
      <c r="RZB34" s="2"/>
      <c r="RZC34" s="2"/>
      <c r="RZD34" s="2"/>
      <c r="RZE34" s="2"/>
      <c r="RZF34" s="2"/>
      <c r="RZG34" s="2"/>
      <c r="RZH34" s="2"/>
      <c r="RZI34" s="2"/>
      <c r="RZJ34" s="2"/>
      <c r="RZK34" s="2"/>
      <c r="RZL34" s="2"/>
      <c r="RZM34" s="2"/>
      <c r="RZN34" s="2"/>
      <c r="RZO34" s="2"/>
      <c r="RZP34" s="2"/>
      <c r="RZQ34" s="2"/>
      <c r="RZR34" s="2"/>
      <c r="RZS34" s="2"/>
      <c r="RZT34" s="2"/>
      <c r="RZU34" s="2"/>
      <c r="RZV34" s="2"/>
      <c r="RZW34" s="2"/>
      <c r="RZX34" s="2"/>
      <c r="RZY34" s="2"/>
      <c r="RZZ34" s="2"/>
      <c r="SAA34" s="2"/>
      <c r="SAB34" s="2"/>
      <c r="SAC34" s="2"/>
      <c r="SAD34" s="2"/>
      <c r="SAE34" s="2"/>
      <c r="SAF34" s="2"/>
      <c r="SAG34" s="2"/>
      <c r="SAH34" s="2"/>
      <c r="SAI34" s="2"/>
      <c r="SAJ34" s="2"/>
      <c r="SAK34" s="2"/>
      <c r="SAL34" s="2"/>
      <c r="SAM34" s="2"/>
      <c r="SAN34" s="2"/>
      <c r="SAO34" s="2"/>
      <c r="SAP34" s="2"/>
      <c r="SAQ34" s="2"/>
      <c r="SAR34" s="2"/>
      <c r="SAS34" s="2"/>
      <c r="SAT34" s="2"/>
      <c r="SAU34" s="2"/>
      <c r="SAV34" s="2"/>
      <c r="SAW34" s="2"/>
      <c r="SAX34" s="2"/>
      <c r="SAY34" s="2"/>
      <c r="SAZ34" s="2"/>
      <c r="SBA34" s="2"/>
      <c r="SBB34" s="2"/>
      <c r="SBC34" s="2"/>
      <c r="SBD34" s="2"/>
      <c r="SBE34" s="2"/>
      <c r="SBF34" s="2"/>
      <c r="SBG34" s="2"/>
      <c r="SBH34" s="2"/>
      <c r="SBI34" s="2"/>
      <c r="SBJ34" s="2"/>
      <c r="SBK34" s="2"/>
      <c r="SBL34" s="2"/>
      <c r="SBM34" s="2"/>
      <c r="SBN34" s="2"/>
      <c r="SBO34" s="2"/>
      <c r="SBP34" s="2"/>
      <c r="SBQ34" s="2"/>
      <c r="SBR34" s="2"/>
      <c r="SBS34" s="2"/>
      <c r="SBT34" s="2"/>
      <c r="SBU34" s="2"/>
      <c r="SBV34" s="2"/>
      <c r="SBW34" s="2"/>
      <c r="SBX34" s="2"/>
      <c r="SBY34" s="2"/>
      <c r="SBZ34" s="2"/>
      <c r="SCA34" s="2"/>
      <c r="SCB34" s="2"/>
      <c r="SCC34" s="2"/>
      <c r="SCD34" s="2"/>
      <c r="SCE34" s="2"/>
      <c r="SCF34" s="2"/>
      <c r="SCG34" s="2"/>
      <c r="SCH34" s="2"/>
      <c r="SCI34" s="2"/>
      <c r="SCJ34" s="2"/>
      <c r="SCK34" s="2"/>
      <c r="SCL34" s="2"/>
      <c r="SCM34" s="2"/>
      <c r="SCN34" s="2"/>
      <c r="SCO34" s="2"/>
      <c r="SCP34" s="2"/>
      <c r="SCQ34" s="2"/>
      <c r="SCR34" s="2"/>
      <c r="SCS34" s="2"/>
      <c r="SCT34" s="2"/>
      <c r="SCU34" s="2"/>
      <c r="SCV34" s="2"/>
      <c r="SCW34" s="2"/>
      <c r="SCX34" s="2"/>
      <c r="SCY34" s="2"/>
      <c r="SCZ34" s="2"/>
      <c r="SDA34" s="2"/>
      <c r="SDB34" s="2"/>
      <c r="SDC34" s="2"/>
      <c r="SDD34" s="2"/>
      <c r="SDE34" s="2"/>
      <c r="SDF34" s="2"/>
      <c r="SDG34" s="2"/>
      <c r="SDH34" s="2"/>
      <c r="SDI34" s="2"/>
      <c r="SDJ34" s="2"/>
      <c r="SDK34" s="2"/>
      <c r="SDL34" s="2"/>
      <c r="SDM34" s="2"/>
      <c r="SDN34" s="2"/>
      <c r="SDO34" s="2"/>
      <c r="SDP34" s="2"/>
      <c r="SDQ34" s="2"/>
      <c r="SDR34" s="2"/>
      <c r="SDS34" s="2"/>
      <c r="SDT34" s="2"/>
      <c r="SDU34" s="2"/>
      <c r="SDV34" s="2"/>
      <c r="SDW34" s="2"/>
      <c r="SDX34" s="2"/>
      <c r="SDY34" s="2"/>
      <c r="SDZ34" s="2"/>
      <c r="SEA34" s="2"/>
      <c r="SEB34" s="2"/>
      <c r="SEC34" s="2"/>
      <c r="SED34" s="2"/>
      <c r="SEE34" s="2"/>
      <c r="SEF34" s="2"/>
      <c r="SEG34" s="2"/>
      <c r="SEH34" s="2"/>
      <c r="SEI34" s="2"/>
      <c r="SEJ34" s="2"/>
      <c r="SEK34" s="2"/>
      <c r="SEL34" s="2"/>
      <c r="SEM34" s="2"/>
      <c r="SEN34" s="2"/>
      <c r="SEO34" s="2"/>
      <c r="SEP34" s="2"/>
      <c r="SEQ34" s="2"/>
      <c r="SER34" s="2"/>
      <c r="SES34" s="2"/>
      <c r="SET34" s="2"/>
      <c r="SEU34" s="2"/>
      <c r="SEV34" s="2"/>
      <c r="SEW34" s="2"/>
      <c r="SEX34" s="2"/>
      <c r="SEY34" s="2"/>
      <c r="SEZ34" s="2"/>
      <c r="SFA34" s="2"/>
      <c r="SFB34" s="2"/>
      <c r="SFC34" s="2"/>
      <c r="SFD34" s="2"/>
      <c r="SFE34" s="2"/>
      <c r="SFF34" s="2"/>
      <c r="SFG34" s="2"/>
      <c r="SFH34" s="2"/>
      <c r="SFI34" s="2"/>
      <c r="SFJ34" s="2"/>
      <c r="SFK34" s="2"/>
      <c r="SFL34" s="2"/>
      <c r="SFM34" s="2"/>
      <c r="SFN34" s="2"/>
      <c r="SFO34" s="2"/>
      <c r="SFP34" s="2"/>
      <c r="SFQ34" s="2"/>
      <c r="SFR34" s="2"/>
      <c r="SFS34" s="2"/>
      <c r="SFT34" s="2"/>
      <c r="SFU34" s="2"/>
      <c r="SFV34" s="2"/>
      <c r="SFW34" s="2"/>
      <c r="SFX34" s="2"/>
      <c r="SFY34" s="2"/>
      <c r="SFZ34" s="2"/>
      <c r="SGA34" s="2"/>
      <c r="SGB34" s="2"/>
      <c r="SGC34" s="2"/>
      <c r="SGD34" s="2"/>
      <c r="SGE34" s="2"/>
      <c r="SGF34" s="2"/>
      <c r="SGG34" s="2"/>
      <c r="SGH34" s="2"/>
      <c r="SGI34" s="2"/>
      <c r="SGJ34" s="2"/>
      <c r="SGK34" s="2"/>
      <c r="SGL34" s="2"/>
      <c r="SGM34" s="2"/>
      <c r="SGN34" s="2"/>
      <c r="SGO34" s="2"/>
      <c r="SGP34" s="2"/>
      <c r="SGQ34" s="2"/>
      <c r="SGR34" s="2"/>
      <c r="SGS34" s="2"/>
      <c r="SGT34" s="2"/>
      <c r="SGU34" s="2"/>
      <c r="SGV34" s="2"/>
      <c r="SGW34" s="2"/>
      <c r="SGX34" s="2"/>
      <c r="SGY34" s="2"/>
      <c r="SGZ34" s="2"/>
      <c r="SHA34" s="2"/>
      <c r="SHB34" s="2"/>
      <c r="SHC34" s="2"/>
      <c r="SHD34" s="2"/>
      <c r="SHE34" s="2"/>
      <c r="SHF34" s="2"/>
      <c r="SHG34" s="2"/>
      <c r="SHH34" s="2"/>
      <c r="SHI34" s="2"/>
      <c r="SHJ34" s="2"/>
      <c r="SHK34" s="2"/>
      <c r="SHL34" s="2"/>
      <c r="SHM34" s="2"/>
      <c r="SHN34" s="2"/>
      <c r="SHO34" s="2"/>
      <c r="SHP34" s="2"/>
      <c r="SHQ34" s="2"/>
      <c r="SHR34" s="2"/>
      <c r="SHS34" s="2"/>
      <c r="SHT34" s="2"/>
      <c r="SHU34" s="2"/>
      <c r="SHV34" s="2"/>
      <c r="SHW34" s="2"/>
      <c r="SHX34" s="2"/>
      <c r="SHY34" s="2"/>
      <c r="SHZ34" s="2"/>
      <c r="SIA34" s="2"/>
      <c r="SIB34" s="2"/>
      <c r="SIC34" s="2"/>
      <c r="SID34" s="2"/>
      <c r="SIE34" s="2"/>
      <c r="SIF34" s="2"/>
      <c r="SIG34" s="2"/>
      <c r="SIH34" s="2"/>
      <c r="SII34" s="2"/>
      <c r="SIJ34" s="2"/>
      <c r="SIK34" s="2"/>
      <c r="SIL34" s="2"/>
      <c r="SIM34" s="2"/>
      <c r="SIN34" s="2"/>
      <c r="SIO34" s="2"/>
      <c r="SIP34" s="2"/>
      <c r="SIQ34" s="2"/>
      <c r="SIR34" s="2"/>
      <c r="SIS34" s="2"/>
      <c r="SIT34" s="2"/>
      <c r="SIU34" s="2"/>
      <c r="SIV34" s="2"/>
      <c r="SIW34" s="2"/>
      <c r="SIX34" s="2"/>
      <c r="SIY34" s="2"/>
      <c r="SIZ34" s="2"/>
      <c r="SJA34" s="2"/>
      <c r="SJB34" s="2"/>
      <c r="SJC34" s="2"/>
      <c r="SJD34" s="2"/>
      <c r="SJE34" s="2"/>
      <c r="SJF34" s="2"/>
      <c r="SJG34" s="2"/>
      <c r="SJH34" s="2"/>
      <c r="SJI34" s="2"/>
      <c r="SJJ34" s="2"/>
      <c r="SJK34" s="2"/>
      <c r="SJL34" s="2"/>
      <c r="SJM34" s="2"/>
      <c r="SJN34" s="2"/>
      <c r="SJO34" s="2"/>
      <c r="SJP34" s="2"/>
      <c r="SJQ34" s="2"/>
      <c r="SJR34" s="2"/>
      <c r="SJS34" s="2"/>
      <c r="SJT34" s="2"/>
      <c r="SJU34" s="2"/>
      <c r="SJV34" s="2"/>
      <c r="SJW34" s="2"/>
      <c r="SJX34" s="2"/>
      <c r="SJY34" s="2"/>
      <c r="SJZ34" s="2"/>
      <c r="SKA34" s="2"/>
      <c r="SKB34" s="2"/>
      <c r="SKC34" s="2"/>
      <c r="SKD34" s="2"/>
      <c r="SKE34" s="2"/>
      <c r="SKF34" s="2"/>
      <c r="SKG34" s="2"/>
      <c r="SKH34" s="2"/>
      <c r="SKI34" s="2"/>
      <c r="SKJ34" s="2"/>
      <c r="SKK34" s="2"/>
      <c r="SKL34" s="2"/>
      <c r="SKM34" s="2"/>
      <c r="SKN34" s="2"/>
      <c r="SKO34" s="2"/>
      <c r="SKP34" s="2"/>
      <c r="SKQ34" s="2"/>
      <c r="SKR34" s="2"/>
      <c r="SKS34" s="2"/>
      <c r="SKT34" s="2"/>
      <c r="SKU34" s="2"/>
      <c r="SKV34" s="2"/>
      <c r="SKW34" s="2"/>
      <c r="SKX34" s="2"/>
      <c r="SKY34" s="2"/>
      <c r="SKZ34" s="2"/>
      <c r="SLA34" s="2"/>
      <c r="SLB34" s="2"/>
      <c r="SLC34" s="2"/>
      <c r="SLD34" s="2"/>
      <c r="SLE34" s="2"/>
      <c r="SLF34" s="2"/>
      <c r="SLG34" s="2"/>
      <c r="SLH34" s="2"/>
      <c r="SLI34" s="2"/>
      <c r="SLJ34" s="2"/>
      <c r="SLK34" s="2"/>
      <c r="SLL34" s="2"/>
      <c r="SLM34" s="2"/>
      <c r="SLN34" s="2"/>
      <c r="SLO34" s="2"/>
      <c r="SLP34" s="2"/>
      <c r="SLQ34" s="2"/>
      <c r="SLR34" s="2"/>
      <c r="SLS34" s="2"/>
      <c r="SLT34" s="2"/>
      <c r="SLU34" s="2"/>
      <c r="SLV34" s="2"/>
      <c r="SLW34" s="2"/>
      <c r="SLX34" s="2"/>
      <c r="SLY34" s="2"/>
      <c r="SLZ34" s="2"/>
      <c r="SMA34" s="2"/>
      <c r="SMB34" s="2"/>
      <c r="SMC34" s="2"/>
      <c r="SMD34" s="2"/>
      <c r="SME34" s="2"/>
      <c r="SMF34" s="2"/>
      <c r="SMG34" s="2"/>
      <c r="SMH34" s="2"/>
      <c r="SMI34" s="2"/>
      <c r="SMJ34" s="2"/>
      <c r="SMK34" s="2"/>
      <c r="SML34" s="2"/>
      <c r="SMM34" s="2"/>
      <c r="SMN34" s="2"/>
      <c r="SMO34" s="2"/>
      <c r="SMP34" s="2"/>
      <c r="SMQ34" s="2"/>
      <c r="SMR34" s="2"/>
      <c r="SMS34" s="2"/>
      <c r="SMT34" s="2"/>
      <c r="SMU34" s="2"/>
      <c r="SMV34" s="2"/>
      <c r="SMW34" s="2"/>
      <c r="SMX34" s="2"/>
      <c r="SMY34" s="2"/>
      <c r="SMZ34" s="2"/>
      <c r="SNA34" s="2"/>
      <c r="SNB34" s="2"/>
      <c r="SNC34" s="2"/>
      <c r="SND34" s="2"/>
      <c r="SNE34" s="2"/>
      <c r="SNF34" s="2"/>
      <c r="SNG34" s="2"/>
      <c r="SNH34" s="2"/>
      <c r="SNI34" s="2"/>
      <c r="SNJ34" s="2"/>
      <c r="SNK34" s="2"/>
      <c r="SNL34" s="2"/>
      <c r="SNM34" s="2"/>
      <c r="SNN34" s="2"/>
      <c r="SNO34" s="2"/>
      <c r="SNP34" s="2"/>
      <c r="SNQ34" s="2"/>
      <c r="SNR34" s="2"/>
      <c r="SNS34" s="2"/>
      <c r="SNT34" s="2"/>
      <c r="SNU34" s="2"/>
      <c r="SNV34" s="2"/>
      <c r="SNW34" s="2"/>
      <c r="SNX34" s="2"/>
      <c r="SNY34" s="2"/>
      <c r="SNZ34" s="2"/>
      <c r="SOA34" s="2"/>
      <c r="SOB34" s="2"/>
      <c r="SOC34" s="2"/>
      <c r="SOD34" s="2"/>
      <c r="SOE34" s="2"/>
      <c r="SOF34" s="2"/>
      <c r="SOG34" s="2"/>
      <c r="SOH34" s="2"/>
      <c r="SOI34" s="2"/>
      <c r="SOJ34" s="2"/>
      <c r="SOK34" s="2"/>
      <c r="SOL34" s="2"/>
      <c r="SOM34" s="2"/>
      <c r="SON34" s="2"/>
      <c r="SOO34" s="2"/>
      <c r="SOP34" s="2"/>
      <c r="SOQ34" s="2"/>
      <c r="SOR34" s="2"/>
      <c r="SOS34" s="2"/>
      <c r="SOT34" s="2"/>
      <c r="SOU34" s="2"/>
      <c r="SOV34" s="2"/>
      <c r="SOW34" s="2"/>
      <c r="SOX34" s="2"/>
      <c r="SOY34" s="2"/>
      <c r="SOZ34" s="2"/>
      <c r="SPA34" s="2"/>
      <c r="SPB34" s="2"/>
      <c r="SPC34" s="2"/>
      <c r="SPD34" s="2"/>
      <c r="SPE34" s="2"/>
      <c r="SPF34" s="2"/>
      <c r="SPG34" s="2"/>
      <c r="SPH34" s="2"/>
      <c r="SPI34" s="2"/>
      <c r="SPJ34" s="2"/>
      <c r="SPK34" s="2"/>
      <c r="SPL34" s="2"/>
      <c r="SPM34" s="2"/>
      <c r="SPN34" s="2"/>
      <c r="SPO34" s="2"/>
      <c r="SPP34" s="2"/>
      <c r="SPQ34" s="2"/>
      <c r="SPR34" s="2"/>
      <c r="SPS34" s="2"/>
      <c r="SPT34" s="2"/>
      <c r="SPU34" s="2"/>
      <c r="SPV34" s="2"/>
      <c r="SPW34" s="2"/>
      <c r="SPX34" s="2"/>
      <c r="SPY34" s="2"/>
      <c r="SPZ34" s="2"/>
      <c r="SQA34" s="2"/>
      <c r="SQB34" s="2"/>
      <c r="SQC34" s="2"/>
      <c r="SQD34" s="2"/>
      <c r="SQE34" s="2"/>
      <c r="SQF34" s="2"/>
      <c r="SQG34" s="2"/>
      <c r="SQH34" s="2"/>
      <c r="SQI34" s="2"/>
      <c r="SQJ34" s="2"/>
      <c r="SQK34" s="2"/>
      <c r="SQL34" s="2"/>
      <c r="SQM34" s="2"/>
      <c r="SQN34" s="2"/>
      <c r="SQO34" s="2"/>
      <c r="SQP34" s="2"/>
      <c r="SQQ34" s="2"/>
      <c r="SQR34" s="2"/>
      <c r="SQS34" s="2"/>
      <c r="SQT34" s="2"/>
      <c r="SQU34" s="2"/>
      <c r="SQV34" s="2"/>
      <c r="SQW34" s="2"/>
      <c r="SQX34" s="2"/>
      <c r="SQY34" s="2"/>
      <c r="SQZ34" s="2"/>
      <c r="SRA34" s="2"/>
      <c r="SRB34" s="2"/>
      <c r="SRC34" s="2"/>
      <c r="SRD34" s="2"/>
      <c r="SRE34" s="2"/>
      <c r="SRF34" s="2"/>
      <c r="SRG34" s="2"/>
      <c r="SRH34" s="2"/>
      <c r="SRI34" s="2"/>
      <c r="SRJ34" s="2"/>
      <c r="SRK34" s="2"/>
      <c r="SRL34" s="2"/>
      <c r="SRM34" s="2"/>
      <c r="SRN34" s="2"/>
      <c r="SRO34" s="2"/>
      <c r="SRP34" s="2"/>
      <c r="SRQ34" s="2"/>
      <c r="SRR34" s="2"/>
      <c r="SRS34" s="2"/>
      <c r="SRT34" s="2"/>
      <c r="SRU34" s="2"/>
      <c r="SRV34" s="2"/>
      <c r="SRW34" s="2"/>
      <c r="SRX34" s="2"/>
      <c r="SRY34" s="2"/>
      <c r="SRZ34" s="2"/>
      <c r="SSA34" s="2"/>
      <c r="SSB34" s="2"/>
      <c r="SSC34" s="2"/>
      <c r="SSD34" s="2"/>
      <c r="SSE34" s="2"/>
      <c r="SSF34" s="2"/>
      <c r="SSG34" s="2"/>
      <c r="SSH34" s="2"/>
      <c r="SSI34" s="2"/>
      <c r="SSJ34" s="2"/>
      <c r="SSK34" s="2"/>
      <c r="SSL34" s="2"/>
      <c r="SSM34" s="2"/>
      <c r="SSN34" s="2"/>
      <c r="SSO34" s="2"/>
      <c r="SSP34" s="2"/>
      <c r="SSQ34" s="2"/>
      <c r="SSR34" s="2"/>
      <c r="SSS34" s="2"/>
      <c r="SST34" s="2"/>
      <c r="SSU34" s="2"/>
      <c r="SSV34" s="2"/>
      <c r="SSW34" s="2"/>
      <c r="SSX34" s="2"/>
      <c r="SSY34" s="2"/>
      <c r="SSZ34" s="2"/>
      <c r="STA34" s="2"/>
      <c r="STB34" s="2"/>
      <c r="STC34" s="2"/>
      <c r="STD34" s="2"/>
      <c r="STE34" s="2"/>
      <c r="STF34" s="2"/>
      <c r="STG34" s="2"/>
      <c r="STH34" s="2"/>
      <c r="STI34" s="2"/>
      <c r="STJ34" s="2"/>
      <c r="STK34" s="2"/>
      <c r="STL34" s="2"/>
      <c r="STM34" s="2"/>
      <c r="STN34" s="2"/>
      <c r="STO34" s="2"/>
      <c r="STP34" s="2"/>
      <c r="STQ34" s="2"/>
      <c r="STR34" s="2"/>
      <c r="STS34" s="2"/>
      <c r="STT34" s="2"/>
      <c r="STU34" s="2"/>
      <c r="STV34" s="2"/>
      <c r="STW34" s="2"/>
      <c r="STX34" s="2"/>
      <c r="STY34" s="2"/>
      <c r="STZ34" s="2"/>
      <c r="SUA34" s="2"/>
      <c r="SUB34" s="2"/>
      <c r="SUC34" s="2"/>
      <c r="SUD34" s="2"/>
      <c r="SUE34" s="2"/>
      <c r="SUF34" s="2"/>
      <c r="SUG34" s="2"/>
      <c r="SUH34" s="2"/>
      <c r="SUI34" s="2"/>
      <c r="SUJ34" s="2"/>
      <c r="SUK34" s="2"/>
      <c r="SUL34" s="2"/>
      <c r="SUM34" s="2"/>
      <c r="SUN34" s="2"/>
      <c r="SUO34" s="2"/>
      <c r="SUP34" s="2"/>
      <c r="SUQ34" s="2"/>
      <c r="SUR34" s="2"/>
      <c r="SUS34" s="2"/>
      <c r="SUT34" s="2"/>
      <c r="SUU34" s="2"/>
      <c r="SUV34" s="2"/>
      <c r="SUW34" s="2"/>
      <c r="SUX34" s="2"/>
      <c r="SUY34" s="2"/>
      <c r="SUZ34" s="2"/>
      <c r="SVA34" s="2"/>
      <c r="SVB34" s="2"/>
      <c r="SVC34" s="2"/>
      <c r="SVD34" s="2"/>
      <c r="SVE34" s="2"/>
      <c r="SVF34" s="2"/>
      <c r="SVG34" s="2"/>
      <c r="SVH34" s="2"/>
      <c r="SVI34" s="2"/>
      <c r="SVJ34" s="2"/>
      <c r="SVK34" s="2"/>
      <c r="SVL34" s="2"/>
      <c r="SVM34" s="2"/>
      <c r="SVN34" s="2"/>
      <c r="SVO34" s="2"/>
      <c r="SVP34" s="2"/>
      <c r="SVQ34" s="2"/>
      <c r="SVR34" s="2"/>
      <c r="SVS34" s="2"/>
      <c r="SVT34" s="2"/>
      <c r="SVU34" s="2"/>
      <c r="SVV34" s="2"/>
      <c r="SVW34" s="2"/>
      <c r="SVX34" s="2"/>
      <c r="SVY34" s="2"/>
      <c r="SVZ34" s="2"/>
      <c r="SWA34" s="2"/>
      <c r="SWB34" s="2"/>
      <c r="SWC34" s="2"/>
      <c r="SWD34" s="2"/>
      <c r="SWE34" s="2"/>
      <c r="SWF34" s="2"/>
      <c r="SWG34" s="2"/>
      <c r="SWH34" s="2"/>
      <c r="SWI34" s="2"/>
      <c r="SWJ34" s="2"/>
      <c r="SWK34" s="2"/>
      <c r="SWL34" s="2"/>
      <c r="SWM34" s="2"/>
      <c r="SWN34" s="2"/>
      <c r="SWO34" s="2"/>
      <c r="SWP34" s="2"/>
      <c r="SWQ34" s="2"/>
      <c r="SWR34" s="2"/>
      <c r="SWS34" s="2"/>
      <c r="SWT34" s="2"/>
      <c r="SWU34" s="2"/>
      <c r="SWV34" s="2"/>
      <c r="SWW34" s="2"/>
      <c r="SWX34" s="2"/>
      <c r="SWY34" s="2"/>
      <c r="SWZ34" s="2"/>
      <c r="SXA34" s="2"/>
      <c r="SXB34" s="2"/>
      <c r="SXC34" s="2"/>
      <c r="SXD34" s="2"/>
      <c r="SXE34" s="2"/>
      <c r="SXF34" s="2"/>
      <c r="SXG34" s="2"/>
      <c r="SXH34" s="2"/>
      <c r="SXI34" s="2"/>
      <c r="SXJ34" s="2"/>
      <c r="SXK34" s="2"/>
      <c r="SXL34" s="2"/>
      <c r="SXM34" s="2"/>
      <c r="SXN34" s="2"/>
      <c r="SXO34" s="2"/>
      <c r="SXP34" s="2"/>
      <c r="SXQ34" s="2"/>
      <c r="SXR34" s="2"/>
      <c r="SXS34" s="2"/>
      <c r="SXT34" s="2"/>
      <c r="SXU34" s="2"/>
      <c r="SXV34" s="2"/>
      <c r="SXW34" s="2"/>
      <c r="SXX34" s="2"/>
      <c r="SXY34" s="2"/>
      <c r="SXZ34" s="2"/>
      <c r="SYA34" s="2"/>
      <c r="SYB34" s="2"/>
      <c r="SYC34" s="2"/>
      <c r="SYD34" s="2"/>
      <c r="SYE34" s="2"/>
      <c r="SYF34" s="2"/>
      <c r="SYG34" s="2"/>
      <c r="SYH34" s="2"/>
      <c r="SYI34" s="2"/>
      <c r="SYJ34" s="2"/>
      <c r="SYK34" s="2"/>
      <c r="SYL34" s="2"/>
      <c r="SYM34" s="2"/>
      <c r="SYN34" s="2"/>
      <c r="SYO34" s="2"/>
      <c r="SYP34" s="2"/>
      <c r="SYQ34" s="2"/>
      <c r="SYR34" s="2"/>
      <c r="SYS34" s="2"/>
      <c r="SYT34" s="2"/>
      <c r="SYU34" s="2"/>
      <c r="SYV34" s="2"/>
      <c r="SYW34" s="2"/>
      <c r="SYX34" s="2"/>
      <c r="SYY34" s="2"/>
      <c r="SYZ34" s="2"/>
      <c r="SZA34" s="2"/>
      <c r="SZB34" s="2"/>
      <c r="SZC34" s="2"/>
      <c r="SZD34" s="2"/>
      <c r="SZE34" s="2"/>
      <c r="SZF34" s="2"/>
      <c r="SZG34" s="2"/>
      <c r="SZH34" s="2"/>
      <c r="SZI34" s="2"/>
      <c r="SZJ34" s="2"/>
      <c r="SZK34" s="2"/>
      <c r="SZL34" s="2"/>
      <c r="SZM34" s="2"/>
      <c r="SZN34" s="2"/>
      <c r="SZO34" s="2"/>
      <c r="SZP34" s="2"/>
      <c r="SZQ34" s="2"/>
      <c r="SZR34" s="2"/>
      <c r="SZS34" s="2"/>
      <c r="SZT34" s="2"/>
      <c r="SZU34" s="2"/>
      <c r="SZV34" s="2"/>
      <c r="SZW34" s="2"/>
      <c r="SZX34" s="2"/>
      <c r="SZY34" s="2"/>
      <c r="SZZ34" s="2"/>
      <c r="TAA34" s="2"/>
      <c r="TAB34" s="2"/>
      <c r="TAC34" s="2"/>
      <c r="TAD34" s="2"/>
      <c r="TAE34" s="2"/>
      <c r="TAF34" s="2"/>
      <c r="TAG34" s="2"/>
      <c r="TAH34" s="2"/>
      <c r="TAI34" s="2"/>
      <c r="TAJ34" s="2"/>
      <c r="TAK34" s="2"/>
      <c r="TAL34" s="2"/>
      <c r="TAM34" s="2"/>
      <c r="TAN34" s="2"/>
      <c r="TAO34" s="2"/>
      <c r="TAP34" s="2"/>
      <c r="TAQ34" s="2"/>
      <c r="TAR34" s="2"/>
      <c r="TAS34" s="2"/>
      <c r="TAT34" s="2"/>
      <c r="TAU34" s="2"/>
      <c r="TAV34" s="2"/>
      <c r="TAW34" s="2"/>
      <c r="TAX34" s="2"/>
      <c r="TAY34" s="2"/>
      <c r="TAZ34" s="2"/>
      <c r="TBA34" s="2"/>
      <c r="TBB34" s="2"/>
      <c r="TBC34" s="2"/>
      <c r="TBD34" s="2"/>
      <c r="TBE34" s="2"/>
      <c r="TBF34" s="2"/>
      <c r="TBG34" s="2"/>
      <c r="TBH34" s="2"/>
      <c r="TBI34" s="2"/>
      <c r="TBJ34" s="2"/>
      <c r="TBK34" s="2"/>
      <c r="TBL34" s="2"/>
      <c r="TBM34" s="2"/>
      <c r="TBN34" s="2"/>
      <c r="TBO34" s="2"/>
      <c r="TBP34" s="2"/>
      <c r="TBQ34" s="2"/>
      <c r="TBR34" s="2"/>
      <c r="TBS34" s="2"/>
      <c r="TBT34" s="2"/>
      <c r="TBU34" s="2"/>
      <c r="TBV34" s="2"/>
      <c r="TBW34" s="2"/>
      <c r="TBX34" s="2"/>
      <c r="TBY34" s="2"/>
      <c r="TBZ34" s="2"/>
      <c r="TCA34" s="2"/>
      <c r="TCB34" s="2"/>
      <c r="TCC34" s="2"/>
      <c r="TCD34" s="2"/>
      <c r="TCE34" s="2"/>
      <c r="TCF34" s="2"/>
      <c r="TCG34" s="2"/>
      <c r="TCH34" s="2"/>
      <c r="TCI34" s="2"/>
      <c r="TCJ34" s="2"/>
      <c r="TCK34" s="2"/>
      <c r="TCL34" s="2"/>
      <c r="TCM34" s="2"/>
      <c r="TCN34" s="2"/>
      <c r="TCO34" s="2"/>
      <c r="TCP34" s="2"/>
      <c r="TCQ34" s="2"/>
      <c r="TCR34" s="2"/>
      <c r="TCS34" s="2"/>
      <c r="TCT34" s="2"/>
      <c r="TCU34" s="2"/>
      <c r="TCV34" s="2"/>
      <c r="TCW34" s="2"/>
      <c r="TCX34" s="2"/>
      <c r="TCY34" s="2"/>
      <c r="TCZ34" s="2"/>
      <c r="TDA34" s="2"/>
      <c r="TDB34" s="2"/>
      <c r="TDC34" s="2"/>
      <c r="TDD34" s="2"/>
      <c r="TDE34" s="2"/>
      <c r="TDF34" s="2"/>
      <c r="TDG34" s="2"/>
      <c r="TDH34" s="2"/>
      <c r="TDI34" s="2"/>
      <c r="TDJ34" s="2"/>
      <c r="TDK34" s="2"/>
      <c r="TDL34" s="2"/>
      <c r="TDM34" s="2"/>
      <c r="TDN34" s="2"/>
      <c r="TDO34" s="2"/>
      <c r="TDP34" s="2"/>
      <c r="TDQ34" s="2"/>
      <c r="TDR34" s="2"/>
      <c r="TDS34" s="2"/>
      <c r="TDT34" s="2"/>
      <c r="TDU34" s="2"/>
      <c r="TDV34" s="2"/>
      <c r="TDW34" s="2"/>
      <c r="TDX34" s="2"/>
      <c r="TDY34" s="2"/>
      <c r="TDZ34" s="2"/>
      <c r="TEA34" s="2"/>
      <c r="TEB34" s="2"/>
      <c r="TEC34" s="2"/>
      <c r="TED34" s="2"/>
      <c r="TEE34" s="2"/>
      <c r="TEF34" s="2"/>
      <c r="TEG34" s="2"/>
      <c r="TEH34" s="2"/>
      <c r="TEI34" s="2"/>
      <c r="TEJ34" s="2"/>
      <c r="TEK34" s="2"/>
      <c r="TEL34" s="2"/>
      <c r="TEM34" s="2"/>
      <c r="TEN34" s="2"/>
      <c r="TEO34" s="2"/>
      <c r="TEP34" s="2"/>
      <c r="TEQ34" s="2"/>
      <c r="TER34" s="2"/>
      <c r="TES34" s="2"/>
      <c r="TET34" s="2"/>
      <c r="TEU34" s="2"/>
      <c r="TEV34" s="2"/>
      <c r="TEW34" s="2"/>
      <c r="TEX34" s="2"/>
      <c r="TEY34" s="2"/>
      <c r="TEZ34" s="2"/>
      <c r="TFA34" s="2"/>
      <c r="TFB34" s="2"/>
      <c r="TFC34" s="2"/>
      <c r="TFD34" s="2"/>
      <c r="TFE34" s="2"/>
      <c r="TFF34" s="2"/>
      <c r="TFG34" s="2"/>
      <c r="TFH34" s="2"/>
      <c r="TFI34" s="2"/>
      <c r="TFJ34" s="2"/>
      <c r="TFK34" s="2"/>
      <c r="TFL34" s="2"/>
      <c r="TFM34" s="2"/>
      <c r="TFN34" s="2"/>
      <c r="TFO34" s="2"/>
      <c r="TFP34" s="2"/>
      <c r="TFQ34" s="2"/>
      <c r="TFR34" s="2"/>
      <c r="TFS34" s="2"/>
      <c r="TFT34" s="2"/>
      <c r="TFU34" s="2"/>
      <c r="TFV34" s="2"/>
      <c r="TFW34" s="2"/>
      <c r="TFX34" s="2"/>
      <c r="TFY34" s="2"/>
      <c r="TFZ34" s="2"/>
      <c r="TGA34" s="2"/>
      <c r="TGB34" s="2"/>
      <c r="TGC34" s="2"/>
      <c r="TGD34" s="2"/>
      <c r="TGE34" s="2"/>
      <c r="TGF34" s="2"/>
      <c r="TGG34" s="2"/>
      <c r="TGH34" s="2"/>
      <c r="TGI34" s="2"/>
      <c r="TGJ34" s="2"/>
      <c r="TGK34" s="2"/>
      <c r="TGL34" s="2"/>
      <c r="TGM34" s="2"/>
      <c r="TGN34" s="2"/>
      <c r="TGO34" s="2"/>
      <c r="TGP34" s="2"/>
      <c r="TGQ34" s="2"/>
      <c r="TGR34" s="2"/>
      <c r="TGS34" s="2"/>
      <c r="TGT34" s="2"/>
      <c r="TGU34" s="2"/>
      <c r="TGV34" s="2"/>
      <c r="TGW34" s="2"/>
      <c r="TGX34" s="2"/>
      <c r="TGY34" s="2"/>
      <c r="TGZ34" s="2"/>
      <c r="THA34" s="2"/>
      <c r="THB34" s="2"/>
      <c r="THC34" s="2"/>
      <c r="THD34" s="2"/>
      <c r="THE34" s="2"/>
      <c r="THF34" s="2"/>
      <c r="THG34" s="2"/>
      <c r="THH34" s="2"/>
      <c r="THI34" s="2"/>
      <c r="THJ34" s="2"/>
      <c r="THK34" s="2"/>
      <c r="THL34" s="2"/>
      <c r="THM34" s="2"/>
      <c r="THN34" s="2"/>
      <c r="THO34" s="2"/>
      <c r="THP34" s="2"/>
      <c r="THQ34" s="2"/>
      <c r="THR34" s="2"/>
      <c r="THS34" s="2"/>
      <c r="THT34" s="2"/>
      <c r="THU34" s="2"/>
      <c r="THV34" s="2"/>
      <c r="THW34" s="2"/>
      <c r="THX34" s="2"/>
      <c r="THY34" s="2"/>
      <c r="THZ34" s="2"/>
      <c r="TIA34" s="2"/>
      <c r="TIB34" s="2"/>
      <c r="TIC34" s="2"/>
      <c r="TID34" s="2"/>
      <c r="TIE34" s="2"/>
      <c r="TIF34" s="2"/>
      <c r="TIG34" s="2"/>
      <c r="TIH34" s="2"/>
      <c r="TII34" s="2"/>
      <c r="TIJ34" s="2"/>
      <c r="TIK34" s="2"/>
      <c r="TIL34" s="2"/>
      <c r="TIM34" s="2"/>
      <c r="TIN34" s="2"/>
      <c r="TIO34" s="2"/>
      <c r="TIP34" s="2"/>
      <c r="TIQ34" s="2"/>
      <c r="TIR34" s="2"/>
      <c r="TIS34" s="2"/>
      <c r="TIT34" s="2"/>
      <c r="TIU34" s="2"/>
      <c r="TIV34" s="2"/>
      <c r="TIW34" s="2"/>
      <c r="TIX34" s="2"/>
      <c r="TIY34" s="2"/>
      <c r="TIZ34" s="2"/>
      <c r="TJA34" s="2"/>
      <c r="TJB34" s="2"/>
      <c r="TJC34" s="2"/>
      <c r="TJD34" s="2"/>
      <c r="TJE34" s="2"/>
      <c r="TJF34" s="2"/>
      <c r="TJG34" s="2"/>
      <c r="TJH34" s="2"/>
      <c r="TJI34" s="2"/>
      <c r="TJJ34" s="2"/>
      <c r="TJK34" s="2"/>
      <c r="TJL34" s="2"/>
      <c r="TJM34" s="2"/>
      <c r="TJN34" s="2"/>
      <c r="TJO34" s="2"/>
      <c r="TJP34" s="2"/>
      <c r="TJQ34" s="2"/>
      <c r="TJR34" s="2"/>
      <c r="TJS34" s="2"/>
      <c r="TJT34" s="2"/>
      <c r="TJU34" s="2"/>
      <c r="TJV34" s="2"/>
      <c r="TJW34" s="2"/>
      <c r="TJX34" s="2"/>
      <c r="TJY34" s="2"/>
      <c r="TJZ34" s="2"/>
      <c r="TKA34" s="2"/>
      <c r="TKB34" s="2"/>
      <c r="TKC34" s="2"/>
      <c r="TKD34" s="2"/>
      <c r="TKE34" s="2"/>
      <c r="TKF34" s="2"/>
      <c r="TKG34" s="2"/>
      <c r="TKH34" s="2"/>
      <c r="TKI34" s="2"/>
      <c r="TKJ34" s="2"/>
      <c r="TKK34" s="2"/>
      <c r="TKL34" s="2"/>
      <c r="TKM34" s="2"/>
      <c r="TKN34" s="2"/>
      <c r="TKO34" s="2"/>
      <c r="TKP34" s="2"/>
      <c r="TKQ34" s="2"/>
      <c r="TKR34" s="2"/>
      <c r="TKS34" s="2"/>
      <c r="TKT34" s="2"/>
      <c r="TKU34" s="2"/>
      <c r="TKV34" s="2"/>
      <c r="TKW34" s="2"/>
      <c r="TKX34" s="2"/>
      <c r="TKY34" s="2"/>
      <c r="TKZ34" s="2"/>
      <c r="TLA34" s="2"/>
      <c r="TLB34" s="2"/>
      <c r="TLC34" s="2"/>
      <c r="TLD34" s="2"/>
      <c r="TLE34" s="2"/>
      <c r="TLF34" s="2"/>
      <c r="TLG34" s="2"/>
      <c r="TLH34" s="2"/>
      <c r="TLI34" s="2"/>
      <c r="TLJ34" s="2"/>
      <c r="TLK34" s="2"/>
      <c r="TLL34" s="2"/>
      <c r="TLM34" s="2"/>
      <c r="TLN34" s="2"/>
      <c r="TLO34" s="2"/>
      <c r="TLP34" s="2"/>
      <c r="TLQ34" s="2"/>
      <c r="TLR34" s="2"/>
      <c r="TLS34" s="2"/>
      <c r="TLT34" s="2"/>
      <c r="TLU34" s="2"/>
      <c r="TLV34" s="2"/>
      <c r="TLW34" s="2"/>
      <c r="TLX34" s="2"/>
      <c r="TLY34" s="2"/>
      <c r="TLZ34" s="2"/>
      <c r="TMA34" s="2"/>
      <c r="TMB34" s="2"/>
      <c r="TMC34" s="2"/>
      <c r="TMD34" s="2"/>
      <c r="TME34" s="2"/>
      <c r="TMF34" s="2"/>
      <c r="TMG34" s="2"/>
      <c r="TMH34" s="2"/>
      <c r="TMI34" s="2"/>
      <c r="TMJ34" s="2"/>
      <c r="TMK34" s="2"/>
      <c r="TML34" s="2"/>
      <c r="TMM34" s="2"/>
      <c r="TMN34" s="2"/>
      <c r="TMO34" s="2"/>
      <c r="TMP34" s="2"/>
      <c r="TMQ34" s="2"/>
      <c r="TMR34" s="2"/>
      <c r="TMS34" s="2"/>
      <c r="TMT34" s="2"/>
      <c r="TMU34" s="2"/>
      <c r="TMV34" s="2"/>
      <c r="TMW34" s="2"/>
      <c r="TMX34" s="2"/>
      <c r="TMY34" s="2"/>
      <c r="TMZ34" s="2"/>
      <c r="TNA34" s="2"/>
      <c r="TNB34" s="2"/>
      <c r="TNC34" s="2"/>
      <c r="TND34" s="2"/>
      <c r="TNE34" s="2"/>
      <c r="TNF34" s="2"/>
      <c r="TNG34" s="2"/>
      <c r="TNH34" s="2"/>
      <c r="TNI34" s="2"/>
      <c r="TNJ34" s="2"/>
      <c r="TNK34" s="2"/>
      <c r="TNL34" s="2"/>
      <c r="TNM34" s="2"/>
      <c r="TNN34" s="2"/>
      <c r="TNO34" s="2"/>
      <c r="TNP34" s="2"/>
      <c r="TNQ34" s="2"/>
      <c r="TNR34" s="2"/>
      <c r="TNS34" s="2"/>
      <c r="TNT34" s="2"/>
      <c r="TNU34" s="2"/>
      <c r="TNV34" s="2"/>
      <c r="TNW34" s="2"/>
      <c r="TNX34" s="2"/>
      <c r="TNY34" s="2"/>
      <c r="TNZ34" s="2"/>
      <c r="TOA34" s="2"/>
      <c r="TOB34" s="2"/>
      <c r="TOC34" s="2"/>
      <c r="TOD34" s="2"/>
      <c r="TOE34" s="2"/>
      <c r="TOF34" s="2"/>
      <c r="TOG34" s="2"/>
      <c r="TOH34" s="2"/>
      <c r="TOI34" s="2"/>
      <c r="TOJ34" s="2"/>
      <c r="TOK34" s="2"/>
      <c r="TOL34" s="2"/>
      <c r="TOM34" s="2"/>
      <c r="TON34" s="2"/>
      <c r="TOO34" s="2"/>
      <c r="TOP34" s="2"/>
      <c r="TOQ34" s="2"/>
      <c r="TOR34" s="2"/>
      <c r="TOS34" s="2"/>
      <c r="TOT34" s="2"/>
      <c r="TOU34" s="2"/>
      <c r="TOV34" s="2"/>
      <c r="TOW34" s="2"/>
      <c r="TOX34" s="2"/>
      <c r="TOY34" s="2"/>
      <c r="TOZ34" s="2"/>
      <c r="TPA34" s="2"/>
      <c r="TPB34" s="2"/>
      <c r="TPC34" s="2"/>
      <c r="TPD34" s="2"/>
      <c r="TPE34" s="2"/>
      <c r="TPF34" s="2"/>
      <c r="TPG34" s="2"/>
      <c r="TPH34" s="2"/>
      <c r="TPI34" s="2"/>
      <c r="TPJ34" s="2"/>
      <c r="TPK34" s="2"/>
      <c r="TPL34" s="2"/>
      <c r="TPM34" s="2"/>
      <c r="TPN34" s="2"/>
      <c r="TPO34" s="2"/>
      <c r="TPP34" s="2"/>
      <c r="TPQ34" s="2"/>
      <c r="TPR34" s="2"/>
      <c r="TPS34" s="2"/>
      <c r="TPT34" s="2"/>
      <c r="TPU34" s="2"/>
      <c r="TPV34" s="2"/>
      <c r="TPW34" s="2"/>
      <c r="TPX34" s="2"/>
      <c r="TPY34" s="2"/>
      <c r="TPZ34" s="2"/>
      <c r="TQA34" s="2"/>
      <c r="TQB34" s="2"/>
      <c r="TQC34" s="2"/>
      <c r="TQD34" s="2"/>
      <c r="TQE34" s="2"/>
      <c r="TQF34" s="2"/>
      <c r="TQG34" s="2"/>
      <c r="TQH34" s="2"/>
      <c r="TQI34" s="2"/>
      <c r="TQJ34" s="2"/>
      <c r="TQK34" s="2"/>
      <c r="TQL34" s="2"/>
      <c r="TQM34" s="2"/>
      <c r="TQN34" s="2"/>
      <c r="TQO34" s="2"/>
      <c r="TQP34" s="2"/>
      <c r="TQQ34" s="2"/>
      <c r="TQR34" s="2"/>
      <c r="TQS34" s="2"/>
      <c r="TQT34" s="2"/>
      <c r="TQU34" s="2"/>
      <c r="TQV34" s="2"/>
      <c r="TQW34" s="2"/>
      <c r="TQX34" s="2"/>
      <c r="TQY34" s="2"/>
      <c r="TQZ34" s="2"/>
      <c r="TRA34" s="2"/>
      <c r="TRB34" s="2"/>
      <c r="TRC34" s="2"/>
      <c r="TRD34" s="2"/>
      <c r="TRE34" s="2"/>
      <c r="TRF34" s="2"/>
      <c r="TRG34" s="2"/>
      <c r="TRH34" s="2"/>
      <c r="TRI34" s="2"/>
      <c r="TRJ34" s="2"/>
      <c r="TRK34" s="2"/>
      <c r="TRL34" s="2"/>
      <c r="TRM34" s="2"/>
      <c r="TRN34" s="2"/>
      <c r="TRO34" s="2"/>
      <c r="TRP34" s="2"/>
      <c r="TRQ34" s="2"/>
      <c r="TRR34" s="2"/>
      <c r="TRS34" s="2"/>
      <c r="TRT34" s="2"/>
      <c r="TRU34" s="2"/>
      <c r="TRV34" s="2"/>
      <c r="TRW34" s="2"/>
      <c r="TRX34" s="2"/>
      <c r="TRY34" s="2"/>
      <c r="TRZ34" s="2"/>
      <c r="TSA34" s="2"/>
      <c r="TSB34" s="2"/>
      <c r="TSC34" s="2"/>
      <c r="TSD34" s="2"/>
      <c r="TSE34" s="2"/>
      <c r="TSF34" s="2"/>
      <c r="TSG34" s="2"/>
      <c r="TSH34" s="2"/>
      <c r="TSI34" s="2"/>
      <c r="TSJ34" s="2"/>
      <c r="TSK34" s="2"/>
      <c r="TSL34" s="2"/>
      <c r="TSM34" s="2"/>
      <c r="TSN34" s="2"/>
      <c r="TSO34" s="2"/>
      <c r="TSP34" s="2"/>
      <c r="TSQ34" s="2"/>
      <c r="TSR34" s="2"/>
      <c r="TSS34" s="2"/>
      <c r="TST34" s="2"/>
      <c r="TSU34" s="2"/>
      <c r="TSV34" s="2"/>
      <c r="TSW34" s="2"/>
      <c r="TSX34" s="2"/>
      <c r="TSY34" s="2"/>
      <c r="TSZ34" s="2"/>
      <c r="TTA34" s="2"/>
      <c r="TTB34" s="2"/>
      <c r="TTC34" s="2"/>
      <c r="TTD34" s="2"/>
      <c r="TTE34" s="2"/>
      <c r="TTF34" s="2"/>
      <c r="TTG34" s="2"/>
      <c r="TTH34" s="2"/>
      <c r="TTI34" s="2"/>
      <c r="TTJ34" s="2"/>
      <c r="TTK34" s="2"/>
      <c r="TTL34" s="2"/>
      <c r="TTM34" s="2"/>
      <c r="TTN34" s="2"/>
      <c r="TTO34" s="2"/>
      <c r="TTP34" s="2"/>
      <c r="TTQ34" s="2"/>
      <c r="TTR34" s="2"/>
      <c r="TTS34" s="2"/>
      <c r="TTT34" s="2"/>
      <c r="TTU34" s="2"/>
      <c r="TTV34" s="2"/>
      <c r="TTW34" s="2"/>
      <c r="TTX34" s="2"/>
      <c r="TTY34" s="2"/>
      <c r="TTZ34" s="2"/>
      <c r="TUA34" s="2"/>
      <c r="TUB34" s="2"/>
      <c r="TUC34" s="2"/>
      <c r="TUD34" s="2"/>
      <c r="TUE34" s="2"/>
      <c r="TUF34" s="2"/>
      <c r="TUG34" s="2"/>
      <c r="TUH34" s="2"/>
      <c r="TUI34" s="2"/>
      <c r="TUJ34" s="2"/>
      <c r="TUK34" s="2"/>
      <c r="TUL34" s="2"/>
      <c r="TUM34" s="2"/>
      <c r="TUN34" s="2"/>
      <c r="TUO34" s="2"/>
      <c r="TUP34" s="2"/>
      <c r="TUQ34" s="2"/>
      <c r="TUR34" s="2"/>
      <c r="TUS34" s="2"/>
      <c r="TUT34" s="2"/>
      <c r="TUU34" s="2"/>
      <c r="TUV34" s="2"/>
      <c r="TUW34" s="2"/>
      <c r="TUX34" s="2"/>
      <c r="TUY34" s="2"/>
      <c r="TUZ34" s="2"/>
      <c r="TVA34" s="2"/>
      <c r="TVB34" s="2"/>
      <c r="TVC34" s="2"/>
      <c r="TVD34" s="2"/>
      <c r="TVE34" s="2"/>
      <c r="TVF34" s="2"/>
      <c r="TVG34" s="2"/>
      <c r="TVH34" s="2"/>
      <c r="TVI34" s="2"/>
      <c r="TVJ34" s="2"/>
      <c r="TVK34" s="2"/>
      <c r="TVL34" s="2"/>
      <c r="TVM34" s="2"/>
      <c r="TVN34" s="2"/>
      <c r="TVO34" s="2"/>
      <c r="TVP34" s="2"/>
      <c r="TVQ34" s="2"/>
      <c r="TVR34" s="2"/>
      <c r="TVS34" s="2"/>
      <c r="TVT34" s="2"/>
      <c r="TVU34" s="2"/>
      <c r="TVV34" s="2"/>
      <c r="TVW34" s="2"/>
      <c r="TVX34" s="2"/>
      <c r="TVY34" s="2"/>
      <c r="TVZ34" s="2"/>
      <c r="TWA34" s="2"/>
      <c r="TWB34" s="2"/>
      <c r="TWC34" s="2"/>
      <c r="TWD34" s="2"/>
      <c r="TWE34" s="2"/>
      <c r="TWF34" s="2"/>
      <c r="TWG34" s="2"/>
      <c r="TWH34" s="2"/>
      <c r="TWI34" s="2"/>
      <c r="TWJ34" s="2"/>
      <c r="TWK34" s="2"/>
      <c r="TWL34" s="2"/>
      <c r="TWM34" s="2"/>
      <c r="TWN34" s="2"/>
      <c r="TWO34" s="2"/>
      <c r="TWP34" s="2"/>
      <c r="TWQ34" s="2"/>
      <c r="TWR34" s="2"/>
      <c r="TWS34" s="2"/>
      <c r="TWT34" s="2"/>
      <c r="TWU34" s="2"/>
      <c r="TWV34" s="2"/>
      <c r="TWW34" s="2"/>
      <c r="TWX34" s="2"/>
      <c r="TWY34" s="2"/>
      <c r="TWZ34" s="2"/>
      <c r="TXA34" s="2"/>
      <c r="TXB34" s="2"/>
      <c r="TXC34" s="2"/>
      <c r="TXD34" s="2"/>
      <c r="TXE34" s="2"/>
      <c r="TXF34" s="2"/>
      <c r="TXG34" s="2"/>
      <c r="TXH34" s="2"/>
      <c r="TXI34" s="2"/>
      <c r="TXJ34" s="2"/>
      <c r="TXK34" s="2"/>
      <c r="TXL34" s="2"/>
      <c r="TXM34" s="2"/>
      <c r="TXN34" s="2"/>
      <c r="TXO34" s="2"/>
      <c r="TXP34" s="2"/>
      <c r="TXQ34" s="2"/>
      <c r="TXR34" s="2"/>
      <c r="TXS34" s="2"/>
      <c r="TXT34" s="2"/>
      <c r="TXU34" s="2"/>
      <c r="TXV34" s="2"/>
      <c r="TXW34" s="2"/>
      <c r="TXX34" s="2"/>
      <c r="TXY34" s="2"/>
      <c r="TXZ34" s="2"/>
      <c r="TYA34" s="2"/>
      <c r="TYB34" s="2"/>
      <c r="TYC34" s="2"/>
      <c r="TYD34" s="2"/>
      <c r="TYE34" s="2"/>
      <c r="TYF34" s="2"/>
      <c r="TYG34" s="2"/>
      <c r="TYH34" s="2"/>
      <c r="TYI34" s="2"/>
      <c r="TYJ34" s="2"/>
      <c r="TYK34" s="2"/>
      <c r="TYL34" s="2"/>
      <c r="TYM34" s="2"/>
      <c r="TYN34" s="2"/>
      <c r="TYO34" s="2"/>
      <c r="TYP34" s="2"/>
      <c r="TYQ34" s="2"/>
      <c r="TYR34" s="2"/>
      <c r="TYS34" s="2"/>
      <c r="TYT34" s="2"/>
      <c r="TYU34" s="2"/>
      <c r="TYV34" s="2"/>
      <c r="TYW34" s="2"/>
      <c r="TYX34" s="2"/>
      <c r="TYY34" s="2"/>
      <c r="TYZ34" s="2"/>
      <c r="TZA34" s="2"/>
      <c r="TZB34" s="2"/>
      <c r="TZC34" s="2"/>
      <c r="TZD34" s="2"/>
      <c r="TZE34" s="2"/>
      <c r="TZF34" s="2"/>
      <c r="TZG34" s="2"/>
      <c r="TZH34" s="2"/>
      <c r="TZI34" s="2"/>
      <c r="TZJ34" s="2"/>
      <c r="TZK34" s="2"/>
      <c r="TZL34" s="2"/>
      <c r="TZM34" s="2"/>
      <c r="TZN34" s="2"/>
      <c r="TZO34" s="2"/>
      <c r="TZP34" s="2"/>
      <c r="TZQ34" s="2"/>
      <c r="TZR34" s="2"/>
      <c r="TZS34" s="2"/>
      <c r="TZT34" s="2"/>
      <c r="TZU34" s="2"/>
      <c r="TZV34" s="2"/>
      <c r="TZW34" s="2"/>
      <c r="TZX34" s="2"/>
      <c r="TZY34" s="2"/>
      <c r="TZZ34" s="2"/>
      <c r="UAA34" s="2"/>
      <c r="UAB34" s="2"/>
      <c r="UAC34" s="2"/>
      <c r="UAD34" s="2"/>
      <c r="UAE34" s="2"/>
      <c r="UAF34" s="2"/>
      <c r="UAG34" s="2"/>
      <c r="UAH34" s="2"/>
      <c r="UAI34" s="2"/>
      <c r="UAJ34" s="2"/>
      <c r="UAK34" s="2"/>
      <c r="UAL34" s="2"/>
      <c r="UAM34" s="2"/>
      <c r="UAN34" s="2"/>
      <c r="UAO34" s="2"/>
      <c r="UAP34" s="2"/>
      <c r="UAQ34" s="2"/>
      <c r="UAR34" s="2"/>
      <c r="UAS34" s="2"/>
      <c r="UAT34" s="2"/>
      <c r="UAU34" s="2"/>
      <c r="UAV34" s="2"/>
      <c r="UAW34" s="2"/>
      <c r="UAX34" s="2"/>
      <c r="UAY34" s="2"/>
      <c r="UAZ34" s="2"/>
      <c r="UBA34" s="2"/>
      <c r="UBB34" s="2"/>
      <c r="UBC34" s="2"/>
      <c r="UBD34" s="2"/>
      <c r="UBE34" s="2"/>
      <c r="UBF34" s="2"/>
      <c r="UBG34" s="2"/>
      <c r="UBH34" s="2"/>
      <c r="UBI34" s="2"/>
      <c r="UBJ34" s="2"/>
      <c r="UBK34" s="2"/>
      <c r="UBL34" s="2"/>
      <c r="UBM34" s="2"/>
      <c r="UBN34" s="2"/>
      <c r="UBO34" s="2"/>
      <c r="UBP34" s="2"/>
      <c r="UBQ34" s="2"/>
      <c r="UBR34" s="2"/>
      <c r="UBS34" s="2"/>
      <c r="UBT34" s="2"/>
      <c r="UBU34" s="2"/>
      <c r="UBV34" s="2"/>
      <c r="UBW34" s="2"/>
      <c r="UBX34" s="2"/>
      <c r="UBY34" s="2"/>
      <c r="UBZ34" s="2"/>
      <c r="UCA34" s="2"/>
      <c r="UCB34" s="2"/>
      <c r="UCC34" s="2"/>
      <c r="UCD34" s="2"/>
      <c r="UCE34" s="2"/>
      <c r="UCF34" s="2"/>
      <c r="UCG34" s="2"/>
      <c r="UCH34" s="2"/>
      <c r="UCI34" s="2"/>
      <c r="UCJ34" s="2"/>
      <c r="UCK34" s="2"/>
      <c r="UCL34" s="2"/>
      <c r="UCM34" s="2"/>
      <c r="UCN34" s="2"/>
      <c r="UCO34" s="2"/>
      <c r="UCP34" s="2"/>
      <c r="UCQ34" s="2"/>
      <c r="UCR34" s="2"/>
      <c r="UCS34" s="2"/>
      <c r="UCT34" s="2"/>
      <c r="UCU34" s="2"/>
      <c r="UCV34" s="2"/>
      <c r="UCW34" s="2"/>
      <c r="UCX34" s="2"/>
      <c r="UCY34" s="2"/>
      <c r="UCZ34" s="2"/>
      <c r="UDA34" s="2"/>
      <c r="UDB34" s="2"/>
      <c r="UDC34" s="2"/>
      <c r="UDD34" s="2"/>
      <c r="UDE34" s="2"/>
      <c r="UDF34" s="2"/>
      <c r="UDG34" s="2"/>
      <c r="UDH34" s="2"/>
      <c r="UDI34" s="2"/>
      <c r="UDJ34" s="2"/>
      <c r="UDK34" s="2"/>
      <c r="UDL34" s="2"/>
      <c r="UDM34" s="2"/>
      <c r="UDN34" s="2"/>
      <c r="UDO34" s="2"/>
      <c r="UDP34" s="2"/>
      <c r="UDQ34" s="2"/>
      <c r="UDR34" s="2"/>
      <c r="UDS34" s="2"/>
      <c r="UDT34" s="2"/>
      <c r="UDU34" s="2"/>
      <c r="UDV34" s="2"/>
      <c r="UDW34" s="2"/>
      <c r="UDX34" s="2"/>
      <c r="UDY34" s="2"/>
      <c r="UDZ34" s="2"/>
      <c r="UEA34" s="2"/>
      <c r="UEB34" s="2"/>
      <c r="UEC34" s="2"/>
      <c r="UED34" s="2"/>
      <c r="UEE34" s="2"/>
      <c r="UEF34" s="2"/>
      <c r="UEG34" s="2"/>
      <c r="UEH34" s="2"/>
      <c r="UEI34" s="2"/>
      <c r="UEJ34" s="2"/>
      <c r="UEK34" s="2"/>
      <c r="UEL34" s="2"/>
      <c r="UEM34" s="2"/>
      <c r="UEN34" s="2"/>
      <c r="UEO34" s="2"/>
      <c r="UEP34" s="2"/>
      <c r="UEQ34" s="2"/>
      <c r="UER34" s="2"/>
      <c r="UES34" s="2"/>
      <c r="UET34" s="2"/>
      <c r="UEU34" s="2"/>
      <c r="UEV34" s="2"/>
      <c r="UEW34" s="2"/>
      <c r="UEX34" s="2"/>
      <c r="UEY34" s="2"/>
      <c r="UEZ34" s="2"/>
      <c r="UFA34" s="2"/>
      <c r="UFB34" s="2"/>
      <c r="UFC34" s="2"/>
      <c r="UFD34" s="2"/>
      <c r="UFE34" s="2"/>
      <c r="UFF34" s="2"/>
      <c r="UFG34" s="2"/>
      <c r="UFH34" s="2"/>
      <c r="UFI34" s="2"/>
      <c r="UFJ34" s="2"/>
      <c r="UFK34" s="2"/>
      <c r="UFL34" s="2"/>
      <c r="UFM34" s="2"/>
      <c r="UFN34" s="2"/>
      <c r="UFO34" s="2"/>
      <c r="UFP34" s="2"/>
      <c r="UFQ34" s="2"/>
      <c r="UFR34" s="2"/>
      <c r="UFS34" s="2"/>
      <c r="UFT34" s="2"/>
      <c r="UFU34" s="2"/>
      <c r="UFV34" s="2"/>
      <c r="UFW34" s="2"/>
      <c r="UFX34" s="2"/>
      <c r="UFY34" s="2"/>
      <c r="UFZ34" s="2"/>
      <c r="UGA34" s="2"/>
      <c r="UGB34" s="2"/>
      <c r="UGC34" s="2"/>
      <c r="UGD34" s="2"/>
      <c r="UGE34" s="2"/>
      <c r="UGF34" s="2"/>
      <c r="UGG34" s="2"/>
      <c r="UGH34" s="2"/>
      <c r="UGI34" s="2"/>
      <c r="UGJ34" s="2"/>
      <c r="UGK34" s="2"/>
      <c r="UGL34" s="2"/>
      <c r="UGM34" s="2"/>
      <c r="UGN34" s="2"/>
      <c r="UGO34" s="2"/>
      <c r="UGP34" s="2"/>
      <c r="UGQ34" s="2"/>
      <c r="UGR34" s="2"/>
      <c r="UGS34" s="2"/>
      <c r="UGT34" s="2"/>
      <c r="UGU34" s="2"/>
      <c r="UGV34" s="2"/>
      <c r="UGW34" s="2"/>
      <c r="UGX34" s="2"/>
      <c r="UGY34" s="2"/>
      <c r="UGZ34" s="2"/>
      <c r="UHA34" s="2"/>
      <c r="UHB34" s="2"/>
      <c r="UHC34" s="2"/>
      <c r="UHD34" s="2"/>
      <c r="UHE34" s="2"/>
      <c r="UHF34" s="2"/>
      <c r="UHG34" s="2"/>
      <c r="UHH34" s="2"/>
      <c r="UHI34" s="2"/>
      <c r="UHJ34" s="2"/>
      <c r="UHK34" s="2"/>
      <c r="UHL34" s="2"/>
      <c r="UHM34" s="2"/>
      <c r="UHN34" s="2"/>
      <c r="UHO34" s="2"/>
      <c r="UHP34" s="2"/>
      <c r="UHQ34" s="2"/>
      <c r="UHR34" s="2"/>
      <c r="UHS34" s="2"/>
      <c r="UHT34" s="2"/>
      <c r="UHU34" s="2"/>
      <c r="UHV34" s="2"/>
      <c r="UHW34" s="2"/>
      <c r="UHX34" s="2"/>
      <c r="UHY34" s="2"/>
      <c r="UHZ34" s="2"/>
      <c r="UIA34" s="2"/>
      <c r="UIB34" s="2"/>
      <c r="UIC34" s="2"/>
      <c r="UID34" s="2"/>
      <c r="UIE34" s="2"/>
      <c r="UIF34" s="2"/>
      <c r="UIG34" s="2"/>
      <c r="UIH34" s="2"/>
      <c r="UII34" s="2"/>
      <c r="UIJ34" s="2"/>
      <c r="UIK34" s="2"/>
      <c r="UIL34" s="2"/>
      <c r="UIM34" s="2"/>
      <c r="UIN34" s="2"/>
      <c r="UIO34" s="2"/>
      <c r="UIP34" s="2"/>
      <c r="UIQ34" s="2"/>
      <c r="UIR34" s="2"/>
      <c r="UIS34" s="2"/>
      <c r="UIT34" s="2"/>
      <c r="UIU34" s="2"/>
      <c r="UIV34" s="2"/>
      <c r="UIW34" s="2"/>
      <c r="UIX34" s="2"/>
      <c r="UIY34" s="2"/>
      <c r="UIZ34" s="2"/>
      <c r="UJA34" s="2"/>
      <c r="UJB34" s="2"/>
      <c r="UJC34" s="2"/>
      <c r="UJD34" s="2"/>
      <c r="UJE34" s="2"/>
      <c r="UJF34" s="2"/>
      <c r="UJG34" s="2"/>
      <c r="UJH34" s="2"/>
      <c r="UJI34" s="2"/>
      <c r="UJJ34" s="2"/>
      <c r="UJK34" s="2"/>
      <c r="UJL34" s="2"/>
      <c r="UJM34" s="2"/>
      <c r="UJN34" s="2"/>
      <c r="UJO34" s="2"/>
      <c r="UJP34" s="2"/>
      <c r="UJQ34" s="2"/>
      <c r="UJR34" s="2"/>
      <c r="UJS34" s="2"/>
      <c r="UJT34" s="2"/>
      <c r="UJU34" s="2"/>
      <c r="UJV34" s="2"/>
      <c r="UJW34" s="2"/>
      <c r="UJX34" s="2"/>
      <c r="UJY34" s="2"/>
      <c r="UJZ34" s="2"/>
      <c r="UKA34" s="2"/>
      <c r="UKB34" s="2"/>
      <c r="UKC34" s="2"/>
      <c r="UKD34" s="2"/>
      <c r="UKE34" s="2"/>
      <c r="UKF34" s="2"/>
      <c r="UKG34" s="2"/>
      <c r="UKH34" s="2"/>
      <c r="UKI34" s="2"/>
      <c r="UKJ34" s="2"/>
      <c r="UKK34" s="2"/>
      <c r="UKL34" s="2"/>
      <c r="UKM34" s="2"/>
      <c r="UKN34" s="2"/>
      <c r="UKO34" s="2"/>
      <c r="UKP34" s="2"/>
      <c r="UKQ34" s="2"/>
      <c r="UKR34" s="2"/>
      <c r="UKS34" s="2"/>
      <c r="UKT34" s="2"/>
      <c r="UKU34" s="2"/>
      <c r="UKV34" s="2"/>
      <c r="UKW34" s="2"/>
      <c r="UKX34" s="2"/>
      <c r="UKY34" s="2"/>
      <c r="UKZ34" s="2"/>
      <c r="ULA34" s="2"/>
      <c r="ULB34" s="2"/>
      <c r="ULC34" s="2"/>
      <c r="ULD34" s="2"/>
      <c r="ULE34" s="2"/>
      <c r="ULF34" s="2"/>
      <c r="ULG34" s="2"/>
      <c r="ULH34" s="2"/>
      <c r="ULI34" s="2"/>
      <c r="ULJ34" s="2"/>
      <c r="ULK34" s="2"/>
      <c r="ULL34" s="2"/>
      <c r="ULM34" s="2"/>
      <c r="ULN34" s="2"/>
      <c r="ULO34" s="2"/>
      <c r="ULP34" s="2"/>
      <c r="ULQ34" s="2"/>
      <c r="ULR34" s="2"/>
      <c r="ULS34" s="2"/>
      <c r="ULT34" s="2"/>
      <c r="ULU34" s="2"/>
      <c r="ULV34" s="2"/>
      <c r="ULW34" s="2"/>
      <c r="ULX34" s="2"/>
      <c r="ULY34" s="2"/>
      <c r="ULZ34" s="2"/>
      <c r="UMA34" s="2"/>
      <c r="UMB34" s="2"/>
      <c r="UMC34" s="2"/>
      <c r="UMD34" s="2"/>
      <c r="UME34" s="2"/>
      <c r="UMF34" s="2"/>
      <c r="UMG34" s="2"/>
      <c r="UMH34" s="2"/>
      <c r="UMI34" s="2"/>
      <c r="UMJ34" s="2"/>
      <c r="UMK34" s="2"/>
      <c r="UML34" s="2"/>
      <c r="UMM34" s="2"/>
      <c r="UMN34" s="2"/>
      <c r="UMO34" s="2"/>
      <c r="UMP34" s="2"/>
      <c r="UMQ34" s="2"/>
      <c r="UMR34" s="2"/>
      <c r="UMS34" s="2"/>
      <c r="UMT34" s="2"/>
      <c r="UMU34" s="2"/>
      <c r="UMV34" s="2"/>
      <c r="UMW34" s="2"/>
      <c r="UMX34" s="2"/>
      <c r="UMY34" s="2"/>
      <c r="UMZ34" s="2"/>
      <c r="UNA34" s="2"/>
      <c r="UNB34" s="2"/>
      <c r="UNC34" s="2"/>
      <c r="UND34" s="2"/>
      <c r="UNE34" s="2"/>
      <c r="UNF34" s="2"/>
      <c r="UNG34" s="2"/>
      <c r="UNH34" s="2"/>
      <c r="UNI34" s="2"/>
      <c r="UNJ34" s="2"/>
      <c r="UNK34" s="2"/>
      <c r="UNL34" s="2"/>
      <c r="UNM34" s="2"/>
      <c r="UNN34" s="2"/>
      <c r="UNO34" s="2"/>
      <c r="UNP34" s="2"/>
      <c r="UNQ34" s="2"/>
      <c r="UNR34" s="2"/>
      <c r="UNS34" s="2"/>
      <c r="UNT34" s="2"/>
      <c r="UNU34" s="2"/>
      <c r="UNV34" s="2"/>
      <c r="UNW34" s="2"/>
      <c r="UNX34" s="2"/>
      <c r="UNY34" s="2"/>
      <c r="UNZ34" s="2"/>
      <c r="UOA34" s="2"/>
      <c r="UOB34" s="2"/>
      <c r="UOC34" s="2"/>
      <c r="UOD34" s="2"/>
      <c r="UOE34" s="2"/>
      <c r="UOF34" s="2"/>
      <c r="UOG34" s="2"/>
      <c r="UOH34" s="2"/>
      <c r="UOI34" s="2"/>
      <c r="UOJ34" s="2"/>
      <c r="UOK34" s="2"/>
      <c r="UOL34" s="2"/>
      <c r="UOM34" s="2"/>
      <c r="UON34" s="2"/>
      <c r="UOO34" s="2"/>
      <c r="UOP34" s="2"/>
      <c r="UOQ34" s="2"/>
      <c r="UOR34" s="2"/>
      <c r="UOS34" s="2"/>
      <c r="UOT34" s="2"/>
      <c r="UOU34" s="2"/>
      <c r="UOV34" s="2"/>
      <c r="UOW34" s="2"/>
      <c r="UOX34" s="2"/>
      <c r="UOY34" s="2"/>
      <c r="UOZ34" s="2"/>
      <c r="UPA34" s="2"/>
      <c r="UPB34" s="2"/>
      <c r="UPC34" s="2"/>
      <c r="UPD34" s="2"/>
      <c r="UPE34" s="2"/>
      <c r="UPF34" s="2"/>
      <c r="UPG34" s="2"/>
      <c r="UPH34" s="2"/>
      <c r="UPI34" s="2"/>
      <c r="UPJ34" s="2"/>
      <c r="UPK34" s="2"/>
      <c r="UPL34" s="2"/>
      <c r="UPM34" s="2"/>
      <c r="UPN34" s="2"/>
      <c r="UPO34" s="2"/>
      <c r="UPP34" s="2"/>
      <c r="UPQ34" s="2"/>
      <c r="UPR34" s="2"/>
      <c r="UPS34" s="2"/>
      <c r="UPT34" s="2"/>
      <c r="UPU34" s="2"/>
      <c r="UPV34" s="2"/>
      <c r="UPW34" s="2"/>
      <c r="UPX34" s="2"/>
      <c r="UPY34" s="2"/>
      <c r="UPZ34" s="2"/>
      <c r="UQA34" s="2"/>
      <c r="UQB34" s="2"/>
      <c r="UQC34" s="2"/>
      <c r="UQD34" s="2"/>
      <c r="UQE34" s="2"/>
      <c r="UQF34" s="2"/>
      <c r="UQG34" s="2"/>
      <c r="UQH34" s="2"/>
      <c r="UQI34" s="2"/>
      <c r="UQJ34" s="2"/>
      <c r="UQK34" s="2"/>
      <c r="UQL34" s="2"/>
      <c r="UQM34" s="2"/>
      <c r="UQN34" s="2"/>
      <c r="UQO34" s="2"/>
      <c r="UQP34" s="2"/>
      <c r="UQQ34" s="2"/>
      <c r="UQR34" s="2"/>
      <c r="UQS34" s="2"/>
      <c r="UQT34" s="2"/>
      <c r="UQU34" s="2"/>
      <c r="UQV34" s="2"/>
      <c r="UQW34" s="2"/>
      <c r="UQX34" s="2"/>
      <c r="UQY34" s="2"/>
      <c r="UQZ34" s="2"/>
      <c r="URA34" s="2"/>
      <c r="URB34" s="2"/>
      <c r="URC34" s="2"/>
      <c r="URD34" s="2"/>
      <c r="URE34" s="2"/>
      <c r="URF34" s="2"/>
      <c r="URG34" s="2"/>
      <c r="URH34" s="2"/>
      <c r="URI34" s="2"/>
      <c r="URJ34" s="2"/>
      <c r="URK34" s="2"/>
      <c r="URL34" s="2"/>
      <c r="URM34" s="2"/>
      <c r="URN34" s="2"/>
      <c r="URO34" s="2"/>
      <c r="URP34" s="2"/>
      <c r="URQ34" s="2"/>
      <c r="URR34" s="2"/>
      <c r="URS34" s="2"/>
      <c r="URT34" s="2"/>
      <c r="URU34" s="2"/>
      <c r="URV34" s="2"/>
      <c r="URW34" s="2"/>
      <c r="URX34" s="2"/>
      <c r="URY34" s="2"/>
      <c r="URZ34" s="2"/>
      <c r="USA34" s="2"/>
      <c r="USB34" s="2"/>
      <c r="USC34" s="2"/>
      <c r="USD34" s="2"/>
      <c r="USE34" s="2"/>
      <c r="USF34" s="2"/>
      <c r="USG34" s="2"/>
      <c r="USH34" s="2"/>
      <c r="USI34" s="2"/>
      <c r="USJ34" s="2"/>
      <c r="USK34" s="2"/>
      <c r="USL34" s="2"/>
      <c r="USM34" s="2"/>
      <c r="USN34" s="2"/>
      <c r="USO34" s="2"/>
      <c r="USP34" s="2"/>
      <c r="USQ34" s="2"/>
      <c r="USR34" s="2"/>
      <c r="USS34" s="2"/>
      <c r="UST34" s="2"/>
      <c r="USU34" s="2"/>
      <c r="USV34" s="2"/>
      <c r="USW34" s="2"/>
      <c r="USX34" s="2"/>
      <c r="USY34" s="2"/>
      <c r="USZ34" s="2"/>
      <c r="UTA34" s="2"/>
      <c r="UTB34" s="2"/>
      <c r="UTC34" s="2"/>
      <c r="UTD34" s="2"/>
      <c r="UTE34" s="2"/>
      <c r="UTF34" s="2"/>
      <c r="UTG34" s="2"/>
      <c r="UTH34" s="2"/>
      <c r="UTI34" s="2"/>
      <c r="UTJ34" s="2"/>
      <c r="UTK34" s="2"/>
      <c r="UTL34" s="2"/>
      <c r="UTM34" s="2"/>
      <c r="UTN34" s="2"/>
      <c r="UTO34" s="2"/>
      <c r="UTP34" s="2"/>
      <c r="UTQ34" s="2"/>
      <c r="UTR34" s="2"/>
      <c r="UTS34" s="2"/>
      <c r="UTT34" s="2"/>
      <c r="UTU34" s="2"/>
      <c r="UTV34" s="2"/>
      <c r="UTW34" s="2"/>
      <c r="UTX34" s="2"/>
      <c r="UTY34" s="2"/>
      <c r="UTZ34" s="2"/>
      <c r="UUA34" s="2"/>
      <c r="UUB34" s="2"/>
      <c r="UUC34" s="2"/>
      <c r="UUD34" s="2"/>
      <c r="UUE34" s="2"/>
      <c r="UUF34" s="2"/>
      <c r="UUG34" s="2"/>
      <c r="UUH34" s="2"/>
      <c r="UUI34" s="2"/>
      <c r="UUJ34" s="2"/>
      <c r="UUK34" s="2"/>
      <c r="UUL34" s="2"/>
      <c r="UUM34" s="2"/>
      <c r="UUN34" s="2"/>
      <c r="UUO34" s="2"/>
      <c r="UUP34" s="2"/>
      <c r="UUQ34" s="2"/>
      <c r="UUR34" s="2"/>
      <c r="UUS34" s="2"/>
      <c r="UUT34" s="2"/>
      <c r="UUU34" s="2"/>
      <c r="UUV34" s="2"/>
      <c r="UUW34" s="2"/>
      <c r="UUX34" s="2"/>
      <c r="UUY34" s="2"/>
      <c r="UUZ34" s="2"/>
      <c r="UVA34" s="2"/>
      <c r="UVB34" s="2"/>
      <c r="UVC34" s="2"/>
      <c r="UVD34" s="2"/>
      <c r="UVE34" s="2"/>
      <c r="UVF34" s="2"/>
      <c r="UVG34" s="2"/>
      <c r="UVH34" s="2"/>
      <c r="UVI34" s="2"/>
      <c r="UVJ34" s="2"/>
      <c r="UVK34" s="2"/>
      <c r="UVL34" s="2"/>
      <c r="UVM34" s="2"/>
      <c r="UVN34" s="2"/>
      <c r="UVO34" s="2"/>
      <c r="UVP34" s="2"/>
      <c r="UVQ34" s="2"/>
      <c r="UVR34" s="2"/>
      <c r="UVS34" s="2"/>
      <c r="UVT34" s="2"/>
      <c r="UVU34" s="2"/>
      <c r="UVV34" s="2"/>
      <c r="UVW34" s="2"/>
      <c r="UVX34" s="2"/>
      <c r="UVY34" s="2"/>
      <c r="UVZ34" s="2"/>
      <c r="UWA34" s="2"/>
      <c r="UWB34" s="2"/>
      <c r="UWC34" s="2"/>
      <c r="UWD34" s="2"/>
      <c r="UWE34" s="2"/>
      <c r="UWF34" s="2"/>
      <c r="UWG34" s="2"/>
      <c r="UWH34" s="2"/>
      <c r="UWI34" s="2"/>
      <c r="UWJ34" s="2"/>
      <c r="UWK34" s="2"/>
      <c r="UWL34" s="2"/>
      <c r="UWM34" s="2"/>
      <c r="UWN34" s="2"/>
      <c r="UWO34" s="2"/>
      <c r="UWP34" s="2"/>
      <c r="UWQ34" s="2"/>
      <c r="UWR34" s="2"/>
      <c r="UWS34" s="2"/>
      <c r="UWT34" s="2"/>
      <c r="UWU34" s="2"/>
      <c r="UWV34" s="2"/>
      <c r="UWW34" s="2"/>
      <c r="UWX34" s="2"/>
      <c r="UWY34" s="2"/>
      <c r="UWZ34" s="2"/>
      <c r="UXA34" s="2"/>
      <c r="UXB34" s="2"/>
      <c r="UXC34" s="2"/>
      <c r="UXD34" s="2"/>
      <c r="UXE34" s="2"/>
      <c r="UXF34" s="2"/>
      <c r="UXG34" s="2"/>
      <c r="UXH34" s="2"/>
      <c r="UXI34" s="2"/>
      <c r="UXJ34" s="2"/>
      <c r="UXK34" s="2"/>
      <c r="UXL34" s="2"/>
      <c r="UXM34" s="2"/>
      <c r="UXN34" s="2"/>
      <c r="UXO34" s="2"/>
      <c r="UXP34" s="2"/>
      <c r="UXQ34" s="2"/>
      <c r="UXR34" s="2"/>
      <c r="UXS34" s="2"/>
      <c r="UXT34" s="2"/>
      <c r="UXU34" s="2"/>
      <c r="UXV34" s="2"/>
      <c r="UXW34" s="2"/>
      <c r="UXX34" s="2"/>
      <c r="UXY34" s="2"/>
      <c r="UXZ34" s="2"/>
      <c r="UYA34" s="2"/>
      <c r="UYB34" s="2"/>
      <c r="UYC34" s="2"/>
      <c r="UYD34" s="2"/>
      <c r="UYE34" s="2"/>
      <c r="UYF34" s="2"/>
      <c r="UYG34" s="2"/>
      <c r="UYH34" s="2"/>
      <c r="UYI34" s="2"/>
      <c r="UYJ34" s="2"/>
      <c r="UYK34" s="2"/>
      <c r="UYL34" s="2"/>
      <c r="UYM34" s="2"/>
      <c r="UYN34" s="2"/>
      <c r="UYO34" s="2"/>
      <c r="UYP34" s="2"/>
      <c r="UYQ34" s="2"/>
      <c r="UYR34" s="2"/>
      <c r="UYS34" s="2"/>
      <c r="UYT34" s="2"/>
      <c r="UYU34" s="2"/>
      <c r="UYV34" s="2"/>
      <c r="UYW34" s="2"/>
      <c r="UYX34" s="2"/>
      <c r="UYY34" s="2"/>
      <c r="UYZ34" s="2"/>
      <c r="UZA34" s="2"/>
      <c r="UZB34" s="2"/>
      <c r="UZC34" s="2"/>
      <c r="UZD34" s="2"/>
      <c r="UZE34" s="2"/>
      <c r="UZF34" s="2"/>
      <c r="UZG34" s="2"/>
      <c r="UZH34" s="2"/>
      <c r="UZI34" s="2"/>
      <c r="UZJ34" s="2"/>
      <c r="UZK34" s="2"/>
      <c r="UZL34" s="2"/>
      <c r="UZM34" s="2"/>
      <c r="UZN34" s="2"/>
      <c r="UZO34" s="2"/>
      <c r="UZP34" s="2"/>
      <c r="UZQ34" s="2"/>
      <c r="UZR34" s="2"/>
      <c r="UZS34" s="2"/>
      <c r="UZT34" s="2"/>
      <c r="UZU34" s="2"/>
      <c r="UZV34" s="2"/>
      <c r="UZW34" s="2"/>
      <c r="UZX34" s="2"/>
      <c r="UZY34" s="2"/>
      <c r="UZZ34" s="2"/>
      <c r="VAA34" s="2"/>
      <c r="VAB34" s="2"/>
      <c r="VAC34" s="2"/>
      <c r="VAD34" s="2"/>
      <c r="VAE34" s="2"/>
      <c r="VAF34" s="2"/>
      <c r="VAG34" s="2"/>
      <c r="VAH34" s="2"/>
      <c r="VAI34" s="2"/>
      <c r="VAJ34" s="2"/>
      <c r="VAK34" s="2"/>
      <c r="VAL34" s="2"/>
      <c r="VAM34" s="2"/>
      <c r="VAN34" s="2"/>
      <c r="VAO34" s="2"/>
      <c r="VAP34" s="2"/>
      <c r="VAQ34" s="2"/>
      <c r="VAR34" s="2"/>
      <c r="VAS34" s="2"/>
      <c r="VAT34" s="2"/>
      <c r="VAU34" s="2"/>
      <c r="VAV34" s="2"/>
      <c r="VAW34" s="2"/>
      <c r="VAX34" s="2"/>
      <c r="VAY34" s="2"/>
      <c r="VAZ34" s="2"/>
      <c r="VBA34" s="2"/>
      <c r="VBB34" s="2"/>
      <c r="VBC34" s="2"/>
      <c r="VBD34" s="2"/>
      <c r="VBE34" s="2"/>
      <c r="VBF34" s="2"/>
      <c r="VBG34" s="2"/>
      <c r="VBH34" s="2"/>
      <c r="VBI34" s="2"/>
      <c r="VBJ34" s="2"/>
      <c r="VBK34" s="2"/>
      <c r="VBL34" s="2"/>
      <c r="VBM34" s="2"/>
      <c r="VBN34" s="2"/>
      <c r="VBO34" s="2"/>
      <c r="VBP34" s="2"/>
      <c r="VBQ34" s="2"/>
      <c r="VBR34" s="2"/>
      <c r="VBS34" s="2"/>
      <c r="VBT34" s="2"/>
      <c r="VBU34" s="2"/>
      <c r="VBV34" s="2"/>
      <c r="VBW34" s="2"/>
      <c r="VBX34" s="2"/>
      <c r="VBY34" s="2"/>
      <c r="VBZ34" s="2"/>
      <c r="VCA34" s="2"/>
      <c r="VCB34" s="2"/>
      <c r="VCC34" s="2"/>
      <c r="VCD34" s="2"/>
      <c r="VCE34" s="2"/>
      <c r="VCF34" s="2"/>
      <c r="VCG34" s="2"/>
      <c r="VCH34" s="2"/>
      <c r="VCI34" s="2"/>
      <c r="VCJ34" s="2"/>
      <c r="VCK34" s="2"/>
      <c r="VCL34" s="2"/>
      <c r="VCM34" s="2"/>
      <c r="VCN34" s="2"/>
      <c r="VCO34" s="2"/>
      <c r="VCP34" s="2"/>
      <c r="VCQ34" s="2"/>
      <c r="VCR34" s="2"/>
      <c r="VCS34" s="2"/>
      <c r="VCT34" s="2"/>
      <c r="VCU34" s="2"/>
      <c r="VCV34" s="2"/>
      <c r="VCW34" s="2"/>
      <c r="VCX34" s="2"/>
      <c r="VCY34" s="2"/>
      <c r="VCZ34" s="2"/>
      <c r="VDA34" s="2"/>
      <c r="VDB34" s="2"/>
      <c r="VDC34" s="2"/>
      <c r="VDD34" s="2"/>
      <c r="VDE34" s="2"/>
      <c r="VDF34" s="2"/>
      <c r="VDG34" s="2"/>
      <c r="VDH34" s="2"/>
      <c r="VDI34" s="2"/>
      <c r="VDJ34" s="2"/>
      <c r="VDK34" s="2"/>
      <c r="VDL34" s="2"/>
      <c r="VDM34" s="2"/>
      <c r="VDN34" s="2"/>
      <c r="VDO34" s="2"/>
      <c r="VDP34" s="2"/>
      <c r="VDQ34" s="2"/>
      <c r="VDR34" s="2"/>
      <c r="VDS34" s="2"/>
      <c r="VDT34" s="2"/>
      <c r="VDU34" s="2"/>
      <c r="VDV34" s="2"/>
      <c r="VDW34" s="2"/>
      <c r="VDX34" s="2"/>
      <c r="VDY34" s="2"/>
      <c r="VDZ34" s="2"/>
      <c r="VEA34" s="2"/>
      <c r="VEB34" s="2"/>
      <c r="VEC34" s="2"/>
      <c r="VED34" s="2"/>
      <c r="VEE34" s="2"/>
      <c r="VEF34" s="2"/>
      <c r="VEG34" s="2"/>
      <c r="VEH34" s="2"/>
      <c r="VEI34" s="2"/>
      <c r="VEJ34" s="2"/>
      <c r="VEK34" s="2"/>
      <c r="VEL34" s="2"/>
      <c r="VEM34" s="2"/>
      <c r="VEN34" s="2"/>
      <c r="VEO34" s="2"/>
      <c r="VEP34" s="2"/>
      <c r="VEQ34" s="2"/>
      <c r="VER34" s="2"/>
      <c r="VES34" s="2"/>
      <c r="VET34" s="2"/>
      <c r="VEU34" s="2"/>
      <c r="VEV34" s="2"/>
      <c r="VEW34" s="2"/>
      <c r="VEX34" s="2"/>
      <c r="VEY34" s="2"/>
      <c r="VEZ34" s="2"/>
      <c r="VFA34" s="2"/>
      <c r="VFB34" s="2"/>
      <c r="VFC34" s="2"/>
      <c r="VFD34" s="2"/>
      <c r="VFE34" s="2"/>
      <c r="VFF34" s="2"/>
      <c r="VFG34" s="2"/>
      <c r="VFH34" s="2"/>
      <c r="VFI34" s="2"/>
      <c r="VFJ34" s="2"/>
      <c r="VFK34" s="2"/>
      <c r="VFL34" s="2"/>
      <c r="VFM34" s="2"/>
      <c r="VFN34" s="2"/>
      <c r="VFO34" s="2"/>
      <c r="VFP34" s="2"/>
      <c r="VFQ34" s="2"/>
      <c r="VFR34" s="2"/>
      <c r="VFS34" s="2"/>
      <c r="VFT34" s="2"/>
      <c r="VFU34" s="2"/>
      <c r="VFV34" s="2"/>
      <c r="VFW34" s="2"/>
      <c r="VFX34" s="2"/>
      <c r="VFY34" s="2"/>
      <c r="VFZ34" s="2"/>
      <c r="VGA34" s="2"/>
      <c r="VGB34" s="2"/>
      <c r="VGC34" s="2"/>
      <c r="VGD34" s="2"/>
      <c r="VGE34" s="2"/>
      <c r="VGF34" s="2"/>
      <c r="VGG34" s="2"/>
      <c r="VGH34" s="2"/>
      <c r="VGI34" s="2"/>
      <c r="VGJ34" s="2"/>
      <c r="VGK34" s="2"/>
      <c r="VGL34" s="2"/>
      <c r="VGM34" s="2"/>
      <c r="VGN34" s="2"/>
      <c r="VGO34" s="2"/>
      <c r="VGP34" s="2"/>
      <c r="VGQ34" s="2"/>
      <c r="VGR34" s="2"/>
      <c r="VGS34" s="2"/>
      <c r="VGT34" s="2"/>
      <c r="VGU34" s="2"/>
      <c r="VGV34" s="2"/>
      <c r="VGW34" s="2"/>
      <c r="VGX34" s="2"/>
      <c r="VGY34" s="2"/>
      <c r="VGZ34" s="2"/>
      <c r="VHA34" s="2"/>
      <c r="VHB34" s="2"/>
      <c r="VHC34" s="2"/>
      <c r="VHD34" s="2"/>
      <c r="VHE34" s="2"/>
      <c r="VHF34" s="2"/>
      <c r="VHG34" s="2"/>
      <c r="VHH34" s="2"/>
      <c r="VHI34" s="2"/>
      <c r="VHJ34" s="2"/>
      <c r="VHK34" s="2"/>
      <c r="VHL34" s="2"/>
      <c r="VHM34" s="2"/>
      <c r="VHN34" s="2"/>
      <c r="VHO34" s="2"/>
      <c r="VHP34" s="2"/>
      <c r="VHQ34" s="2"/>
      <c r="VHR34" s="2"/>
      <c r="VHS34" s="2"/>
      <c r="VHT34" s="2"/>
      <c r="VHU34" s="2"/>
      <c r="VHV34" s="2"/>
      <c r="VHW34" s="2"/>
      <c r="VHX34" s="2"/>
      <c r="VHY34" s="2"/>
      <c r="VHZ34" s="2"/>
      <c r="VIA34" s="2"/>
      <c r="VIB34" s="2"/>
      <c r="VIC34" s="2"/>
      <c r="VID34" s="2"/>
      <c r="VIE34" s="2"/>
      <c r="VIF34" s="2"/>
      <c r="VIG34" s="2"/>
      <c r="VIH34" s="2"/>
      <c r="VII34" s="2"/>
      <c r="VIJ34" s="2"/>
      <c r="VIK34" s="2"/>
      <c r="VIL34" s="2"/>
      <c r="VIM34" s="2"/>
      <c r="VIN34" s="2"/>
      <c r="VIO34" s="2"/>
      <c r="VIP34" s="2"/>
      <c r="VIQ34" s="2"/>
      <c r="VIR34" s="2"/>
      <c r="VIS34" s="2"/>
      <c r="VIT34" s="2"/>
      <c r="VIU34" s="2"/>
      <c r="VIV34" s="2"/>
      <c r="VIW34" s="2"/>
      <c r="VIX34" s="2"/>
      <c r="VIY34" s="2"/>
      <c r="VIZ34" s="2"/>
      <c r="VJA34" s="2"/>
      <c r="VJB34" s="2"/>
      <c r="VJC34" s="2"/>
      <c r="VJD34" s="2"/>
      <c r="VJE34" s="2"/>
      <c r="VJF34" s="2"/>
      <c r="VJG34" s="2"/>
      <c r="VJH34" s="2"/>
      <c r="VJI34" s="2"/>
      <c r="VJJ34" s="2"/>
      <c r="VJK34" s="2"/>
      <c r="VJL34" s="2"/>
      <c r="VJM34" s="2"/>
      <c r="VJN34" s="2"/>
      <c r="VJO34" s="2"/>
      <c r="VJP34" s="2"/>
      <c r="VJQ34" s="2"/>
      <c r="VJR34" s="2"/>
      <c r="VJS34" s="2"/>
      <c r="VJT34" s="2"/>
      <c r="VJU34" s="2"/>
      <c r="VJV34" s="2"/>
      <c r="VJW34" s="2"/>
      <c r="VJX34" s="2"/>
      <c r="VJY34" s="2"/>
      <c r="VJZ34" s="2"/>
      <c r="VKA34" s="2"/>
      <c r="VKB34" s="2"/>
      <c r="VKC34" s="2"/>
      <c r="VKD34" s="2"/>
      <c r="VKE34" s="2"/>
      <c r="VKF34" s="2"/>
      <c r="VKG34" s="2"/>
      <c r="VKH34" s="2"/>
      <c r="VKI34" s="2"/>
      <c r="VKJ34" s="2"/>
      <c r="VKK34" s="2"/>
      <c r="VKL34" s="2"/>
      <c r="VKM34" s="2"/>
      <c r="VKN34" s="2"/>
      <c r="VKO34" s="2"/>
      <c r="VKP34" s="2"/>
      <c r="VKQ34" s="2"/>
      <c r="VKR34" s="2"/>
      <c r="VKS34" s="2"/>
      <c r="VKT34" s="2"/>
      <c r="VKU34" s="2"/>
      <c r="VKV34" s="2"/>
      <c r="VKW34" s="2"/>
      <c r="VKX34" s="2"/>
      <c r="VKY34" s="2"/>
      <c r="VKZ34" s="2"/>
      <c r="VLA34" s="2"/>
      <c r="VLB34" s="2"/>
      <c r="VLC34" s="2"/>
      <c r="VLD34" s="2"/>
      <c r="VLE34" s="2"/>
      <c r="VLF34" s="2"/>
      <c r="VLG34" s="2"/>
      <c r="VLH34" s="2"/>
      <c r="VLI34" s="2"/>
      <c r="VLJ34" s="2"/>
      <c r="VLK34" s="2"/>
      <c r="VLL34" s="2"/>
      <c r="VLM34" s="2"/>
      <c r="VLN34" s="2"/>
      <c r="VLO34" s="2"/>
      <c r="VLP34" s="2"/>
      <c r="VLQ34" s="2"/>
      <c r="VLR34" s="2"/>
      <c r="VLS34" s="2"/>
      <c r="VLT34" s="2"/>
      <c r="VLU34" s="2"/>
      <c r="VLV34" s="2"/>
      <c r="VLW34" s="2"/>
      <c r="VLX34" s="2"/>
      <c r="VLY34" s="2"/>
      <c r="VLZ34" s="2"/>
      <c r="VMA34" s="2"/>
      <c r="VMB34" s="2"/>
      <c r="VMC34" s="2"/>
      <c r="VMD34" s="2"/>
      <c r="VME34" s="2"/>
      <c r="VMF34" s="2"/>
      <c r="VMG34" s="2"/>
      <c r="VMH34" s="2"/>
      <c r="VMI34" s="2"/>
      <c r="VMJ34" s="2"/>
      <c r="VMK34" s="2"/>
      <c r="VML34" s="2"/>
      <c r="VMM34" s="2"/>
      <c r="VMN34" s="2"/>
      <c r="VMO34" s="2"/>
      <c r="VMP34" s="2"/>
      <c r="VMQ34" s="2"/>
      <c r="VMR34" s="2"/>
      <c r="VMS34" s="2"/>
      <c r="VMT34" s="2"/>
      <c r="VMU34" s="2"/>
      <c r="VMV34" s="2"/>
      <c r="VMW34" s="2"/>
      <c r="VMX34" s="2"/>
      <c r="VMY34" s="2"/>
      <c r="VMZ34" s="2"/>
      <c r="VNA34" s="2"/>
      <c r="VNB34" s="2"/>
      <c r="VNC34" s="2"/>
      <c r="VND34" s="2"/>
      <c r="VNE34" s="2"/>
      <c r="VNF34" s="2"/>
      <c r="VNG34" s="2"/>
      <c r="VNH34" s="2"/>
      <c r="VNI34" s="2"/>
      <c r="VNJ34" s="2"/>
      <c r="VNK34" s="2"/>
      <c r="VNL34" s="2"/>
      <c r="VNM34" s="2"/>
      <c r="VNN34" s="2"/>
      <c r="VNO34" s="2"/>
      <c r="VNP34" s="2"/>
      <c r="VNQ34" s="2"/>
      <c r="VNR34" s="2"/>
      <c r="VNS34" s="2"/>
      <c r="VNT34" s="2"/>
      <c r="VNU34" s="2"/>
      <c r="VNV34" s="2"/>
      <c r="VNW34" s="2"/>
      <c r="VNX34" s="2"/>
      <c r="VNY34" s="2"/>
      <c r="VNZ34" s="2"/>
      <c r="VOA34" s="2"/>
      <c r="VOB34" s="2"/>
      <c r="VOC34" s="2"/>
      <c r="VOD34" s="2"/>
      <c r="VOE34" s="2"/>
      <c r="VOF34" s="2"/>
      <c r="VOG34" s="2"/>
      <c r="VOH34" s="2"/>
      <c r="VOI34" s="2"/>
      <c r="VOJ34" s="2"/>
      <c r="VOK34" s="2"/>
      <c r="VOL34" s="2"/>
      <c r="VOM34" s="2"/>
      <c r="VON34" s="2"/>
      <c r="VOO34" s="2"/>
      <c r="VOP34" s="2"/>
      <c r="VOQ34" s="2"/>
      <c r="VOR34" s="2"/>
      <c r="VOS34" s="2"/>
      <c r="VOT34" s="2"/>
      <c r="VOU34" s="2"/>
      <c r="VOV34" s="2"/>
      <c r="VOW34" s="2"/>
      <c r="VOX34" s="2"/>
      <c r="VOY34" s="2"/>
      <c r="VOZ34" s="2"/>
      <c r="VPA34" s="2"/>
      <c r="VPB34" s="2"/>
      <c r="VPC34" s="2"/>
      <c r="VPD34" s="2"/>
      <c r="VPE34" s="2"/>
      <c r="VPF34" s="2"/>
      <c r="VPG34" s="2"/>
      <c r="VPH34" s="2"/>
      <c r="VPI34" s="2"/>
      <c r="VPJ34" s="2"/>
      <c r="VPK34" s="2"/>
      <c r="VPL34" s="2"/>
      <c r="VPM34" s="2"/>
      <c r="VPN34" s="2"/>
      <c r="VPO34" s="2"/>
      <c r="VPP34" s="2"/>
      <c r="VPQ34" s="2"/>
      <c r="VPR34" s="2"/>
      <c r="VPS34" s="2"/>
      <c r="VPT34" s="2"/>
      <c r="VPU34" s="2"/>
      <c r="VPV34" s="2"/>
      <c r="VPW34" s="2"/>
      <c r="VPX34" s="2"/>
      <c r="VPY34" s="2"/>
      <c r="VPZ34" s="2"/>
      <c r="VQA34" s="2"/>
      <c r="VQB34" s="2"/>
      <c r="VQC34" s="2"/>
      <c r="VQD34" s="2"/>
      <c r="VQE34" s="2"/>
      <c r="VQF34" s="2"/>
      <c r="VQG34" s="2"/>
      <c r="VQH34" s="2"/>
      <c r="VQI34" s="2"/>
      <c r="VQJ34" s="2"/>
      <c r="VQK34" s="2"/>
      <c r="VQL34" s="2"/>
      <c r="VQM34" s="2"/>
      <c r="VQN34" s="2"/>
      <c r="VQO34" s="2"/>
      <c r="VQP34" s="2"/>
      <c r="VQQ34" s="2"/>
      <c r="VQR34" s="2"/>
      <c r="VQS34" s="2"/>
      <c r="VQT34" s="2"/>
      <c r="VQU34" s="2"/>
      <c r="VQV34" s="2"/>
      <c r="VQW34" s="2"/>
      <c r="VQX34" s="2"/>
      <c r="VQY34" s="2"/>
      <c r="VQZ34" s="2"/>
      <c r="VRA34" s="2"/>
      <c r="VRB34" s="2"/>
      <c r="VRC34" s="2"/>
      <c r="VRD34" s="2"/>
      <c r="VRE34" s="2"/>
      <c r="VRF34" s="2"/>
      <c r="VRG34" s="2"/>
      <c r="VRH34" s="2"/>
      <c r="VRI34" s="2"/>
      <c r="VRJ34" s="2"/>
      <c r="VRK34" s="2"/>
      <c r="VRL34" s="2"/>
      <c r="VRM34" s="2"/>
      <c r="VRN34" s="2"/>
      <c r="VRO34" s="2"/>
      <c r="VRP34" s="2"/>
      <c r="VRQ34" s="2"/>
      <c r="VRR34" s="2"/>
      <c r="VRS34" s="2"/>
      <c r="VRT34" s="2"/>
      <c r="VRU34" s="2"/>
      <c r="VRV34" s="2"/>
      <c r="VRW34" s="2"/>
      <c r="VRX34" s="2"/>
      <c r="VRY34" s="2"/>
      <c r="VRZ34" s="2"/>
      <c r="VSA34" s="2"/>
      <c r="VSB34" s="2"/>
      <c r="VSC34" s="2"/>
      <c r="VSD34" s="2"/>
      <c r="VSE34" s="2"/>
      <c r="VSF34" s="2"/>
      <c r="VSG34" s="2"/>
      <c r="VSH34" s="2"/>
      <c r="VSI34" s="2"/>
      <c r="VSJ34" s="2"/>
      <c r="VSK34" s="2"/>
      <c r="VSL34" s="2"/>
      <c r="VSM34" s="2"/>
      <c r="VSN34" s="2"/>
      <c r="VSO34" s="2"/>
      <c r="VSP34" s="2"/>
      <c r="VSQ34" s="2"/>
      <c r="VSR34" s="2"/>
      <c r="VSS34" s="2"/>
      <c r="VST34" s="2"/>
      <c r="VSU34" s="2"/>
      <c r="VSV34" s="2"/>
      <c r="VSW34" s="2"/>
      <c r="VSX34" s="2"/>
      <c r="VSY34" s="2"/>
      <c r="VSZ34" s="2"/>
      <c r="VTA34" s="2"/>
      <c r="VTB34" s="2"/>
      <c r="VTC34" s="2"/>
      <c r="VTD34" s="2"/>
      <c r="VTE34" s="2"/>
      <c r="VTF34" s="2"/>
      <c r="VTG34" s="2"/>
      <c r="VTH34" s="2"/>
      <c r="VTI34" s="2"/>
      <c r="VTJ34" s="2"/>
      <c r="VTK34" s="2"/>
      <c r="VTL34" s="2"/>
      <c r="VTM34" s="2"/>
      <c r="VTN34" s="2"/>
      <c r="VTO34" s="2"/>
      <c r="VTP34" s="2"/>
      <c r="VTQ34" s="2"/>
      <c r="VTR34" s="2"/>
      <c r="VTS34" s="2"/>
      <c r="VTT34" s="2"/>
      <c r="VTU34" s="2"/>
      <c r="VTV34" s="2"/>
      <c r="VTW34" s="2"/>
      <c r="VTX34" s="2"/>
      <c r="VTY34" s="2"/>
      <c r="VTZ34" s="2"/>
      <c r="VUA34" s="2"/>
      <c r="VUB34" s="2"/>
      <c r="VUC34" s="2"/>
      <c r="VUD34" s="2"/>
      <c r="VUE34" s="2"/>
      <c r="VUF34" s="2"/>
      <c r="VUG34" s="2"/>
      <c r="VUH34" s="2"/>
      <c r="VUI34" s="2"/>
      <c r="VUJ34" s="2"/>
      <c r="VUK34" s="2"/>
      <c r="VUL34" s="2"/>
      <c r="VUM34" s="2"/>
      <c r="VUN34" s="2"/>
      <c r="VUO34" s="2"/>
      <c r="VUP34" s="2"/>
      <c r="VUQ34" s="2"/>
      <c r="VUR34" s="2"/>
      <c r="VUS34" s="2"/>
      <c r="VUT34" s="2"/>
      <c r="VUU34" s="2"/>
      <c r="VUV34" s="2"/>
      <c r="VUW34" s="2"/>
      <c r="VUX34" s="2"/>
      <c r="VUY34" s="2"/>
      <c r="VUZ34" s="2"/>
      <c r="VVA34" s="2"/>
      <c r="VVB34" s="2"/>
      <c r="VVC34" s="2"/>
      <c r="VVD34" s="2"/>
      <c r="VVE34" s="2"/>
      <c r="VVF34" s="2"/>
      <c r="VVG34" s="2"/>
      <c r="VVH34" s="2"/>
      <c r="VVI34" s="2"/>
      <c r="VVJ34" s="2"/>
      <c r="VVK34" s="2"/>
      <c r="VVL34" s="2"/>
      <c r="VVM34" s="2"/>
      <c r="VVN34" s="2"/>
      <c r="VVO34" s="2"/>
      <c r="VVP34" s="2"/>
      <c r="VVQ34" s="2"/>
      <c r="VVR34" s="2"/>
      <c r="VVS34" s="2"/>
      <c r="VVT34" s="2"/>
      <c r="VVU34" s="2"/>
      <c r="VVV34" s="2"/>
      <c r="VVW34" s="2"/>
      <c r="VVX34" s="2"/>
      <c r="VVY34" s="2"/>
      <c r="VVZ34" s="2"/>
      <c r="VWA34" s="2"/>
      <c r="VWB34" s="2"/>
      <c r="VWC34" s="2"/>
      <c r="VWD34" s="2"/>
      <c r="VWE34" s="2"/>
      <c r="VWF34" s="2"/>
      <c r="VWG34" s="2"/>
      <c r="VWH34" s="2"/>
      <c r="VWI34" s="2"/>
      <c r="VWJ34" s="2"/>
      <c r="VWK34" s="2"/>
      <c r="VWL34" s="2"/>
      <c r="VWM34" s="2"/>
      <c r="VWN34" s="2"/>
      <c r="VWO34" s="2"/>
      <c r="VWP34" s="2"/>
      <c r="VWQ34" s="2"/>
      <c r="VWR34" s="2"/>
      <c r="VWS34" s="2"/>
      <c r="VWT34" s="2"/>
      <c r="VWU34" s="2"/>
      <c r="VWV34" s="2"/>
      <c r="VWW34" s="2"/>
      <c r="VWX34" s="2"/>
      <c r="VWY34" s="2"/>
      <c r="VWZ34" s="2"/>
      <c r="VXA34" s="2"/>
      <c r="VXB34" s="2"/>
      <c r="VXC34" s="2"/>
      <c r="VXD34" s="2"/>
      <c r="VXE34" s="2"/>
      <c r="VXF34" s="2"/>
      <c r="VXG34" s="2"/>
      <c r="VXH34" s="2"/>
      <c r="VXI34" s="2"/>
      <c r="VXJ34" s="2"/>
      <c r="VXK34" s="2"/>
      <c r="VXL34" s="2"/>
      <c r="VXM34" s="2"/>
      <c r="VXN34" s="2"/>
      <c r="VXO34" s="2"/>
      <c r="VXP34" s="2"/>
      <c r="VXQ34" s="2"/>
      <c r="VXR34" s="2"/>
      <c r="VXS34" s="2"/>
      <c r="VXT34" s="2"/>
      <c r="VXU34" s="2"/>
      <c r="VXV34" s="2"/>
      <c r="VXW34" s="2"/>
      <c r="VXX34" s="2"/>
      <c r="VXY34" s="2"/>
      <c r="VXZ34" s="2"/>
      <c r="VYA34" s="2"/>
      <c r="VYB34" s="2"/>
      <c r="VYC34" s="2"/>
      <c r="VYD34" s="2"/>
      <c r="VYE34" s="2"/>
      <c r="VYF34" s="2"/>
      <c r="VYG34" s="2"/>
      <c r="VYH34" s="2"/>
      <c r="VYI34" s="2"/>
      <c r="VYJ34" s="2"/>
      <c r="VYK34" s="2"/>
      <c r="VYL34" s="2"/>
      <c r="VYM34" s="2"/>
      <c r="VYN34" s="2"/>
      <c r="VYO34" s="2"/>
      <c r="VYP34" s="2"/>
      <c r="VYQ34" s="2"/>
      <c r="VYR34" s="2"/>
      <c r="VYS34" s="2"/>
      <c r="VYT34" s="2"/>
      <c r="VYU34" s="2"/>
      <c r="VYV34" s="2"/>
      <c r="VYW34" s="2"/>
      <c r="VYX34" s="2"/>
      <c r="VYY34" s="2"/>
      <c r="VYZ34" s="2"/>
      <c r="VZA34" s="2"/>
      <c r="VZB34" s="2"/>
      <c r="VZC34" s="2"/>
      <c r="VZD34" s="2"/>
      <c r="VZE34" s="2"/>
      <c r="VZF34" s="2"/>
      <c r="VZG34" s="2"/>
      <c r="VZH34" s="2"/>
      <c r="VZI34" s="2"/>
      <c r="VZJ34" s="2"/>
      <c r="VZK34" s="2"/>
      <c r="VZL34" s="2"/>
      <c r="VZM34" s="2"/>
      <c r="VZN34" s="2"/>
      <c r="VZO34" s="2"/>
      <c r="VZP34" s="2"/>
      <c r="VZQ34" s="2"/>
      <c r="VZR34" s="2"/>
      <c r="VZS34" s="2"/>
      <c r="VZT34" s="2"/>
      <c r="VZU34" s="2"/>
      <c r="VZV34" s="2"/>
      <c r="VZW34" s="2"/>
      <c r="VZX34" s="2"/>
      <c r="VZY34" s="2"/>
      <c r="VZZ34" s="2"/>
      <c r="WAA34" s="2"/>
      <c r="WAB34" s="2"/>
      <c r="WAC34" s="2"/>
      <c r="WAD34" s="2"/>
      <c r="WAE34" s="2"/>
      <c r="WAF34" s="2"/>
      <c r="WAG34" s="2"/>
      <c r="WAH34" s="2"/>
      <c r="WAI34" s="2"/>
      <c r="WAJ34" s="2"/>
      <c r="WAK34" s="2"/>
      <c r="WAL34" s="2"/>
      <c r="WAM34" s="2"/>
      <c r="WAN34" s="2"/>
      <c r="WAO34" s="2"/>
      <c r="WAP34" s="2"/>
      <c r="WAQ34" s="2"/>
      <c r="WAR34" s="2"/>
      <c r="WAS34" s="2"/>
      <c r="WAT34" s="2"/>
      <c r="WAU34" s="2"/>
      <c r="WAV34" s="2"/>
      <c r="WAW34" s="2"/>
      <c r="WAX34" s="2"/>
      <c r="WAY34" s="2"/>
      <c r="WAZ34" s="2"/>
      <c r="WBA34" s="2"/>
      <c r="WBB34" s="2"/>
      <c r="WBC34" s="2"/>
      <c r="WBD34" s="2"/>
      <c r="WBE34" s="2"/>
      <c r="WBF34" s="2"/>
      <c r="WBG34" s="2"/>
      <c r="WBH34" s="2"/>
      <c r="WBI34" s="2"/>
      <c r="WBJ34" s="2"/>
      <c r="WBK34" s="2"/>
      <c r="WBL34" s="2"/>
      <c r="WBM34" s="2"/>
      <c r="WBN34" s="2"/>
      <c r="WBO34" s="2"/>
      <c r="WBP34" s="2"/>
      <c r="WBQ34" s="2"/>
      <c r="WBR34" s="2"/>
      <c r="WBS34" s="2"/>
      <c r="WBT34" s="2"/>
      <c r="WBU34" s="2"/>
      <c r="WBV34" s="2"/>
      <c r="WBW34" s="2"/>
      <c r="WBX34" s="2"/>
      <c r="WBY34" s="2"/>
      <c r="WBZ34" s="2"/>
      <c r="WCA34" s="2"/>
      <c r="WCB34" s="2"/>
      <c r="WCC34" s="2"/>
      <c r="WCD34" s="2"/>
      <c r="WCE34" s="2"/>
      <c r="WCF34" s="2"/>
      <c r="WCG34" s="2"/>
      <c r="WCH34" s="2"/>
      <c r="WCI34" s="2"/>
      <c r="WCJ34" s="2"/>
      <c r="WCK34" s="2"/>
      <c r="WCL34" s="2"/>
      <c r="WCM34" s="2"/>
      <c r="WCN34" s="2"/>
      <c r="WCO34" s="2"/>
      <c r="WCP34" s="2"/>
      <c r="WCQ34" s="2"/>
      <c r="WCR34" s="2"/>
      <c r="WCS34" s="2"/>
      <c r="WCT34" s="2"/>
      <c r="WCU34" s="2"/>
      <c r="WCV34" s="2"/>
      <c r="WCW34" s="2"/>
      <c r="WCX34" s="2"/>
      <c r="WCY34" s="2"/>
      <c r="WCZ34" s="2"/>
      <c r="WDA34" s="2"/>
      <c r="WDB34" s="2"/>
      <c r="WDC34" s="2"/>
      <c r="WDD34" s="2"/>
      <c r="WDE34" s="2"/>
      <c r="WDF34" s="2"/>
      <c r="WDG34" s="2"/>
      <c r="WDH34" s="2"/>
      <c r="WDI34" s="2"/>
      <c r="WDJ34" s="2"/>
      <c r="WDK34" s="2"/>
      <c r="WDL34" s="2"/>
      <c r="WDM34" s="2"/>
      <c r="WDN34" s="2"/>
      <c r="WDO34" s="2"/>
      <c r="WDP34" s="2"/>
      <c r="WDQ34" s="2"/>
      <c r="WDR34" s="2"/>
      <c r="WDS34" s="2"/>
      <c r="WDT34" s="2"/>
      <c r="WDU34" s="2"/>
      <c r="WDV34" s="2"/>
      <c r="WDW34" s="2"/>
      <c r="WDX34" s="2"/>
      <c r="WDY34" s="2"/>
      <c r="WDZ34" s="2"/>
      <c r="WEA34" s="2"/>
      <c r="WEB34" s="2"/>
      <c r="WEC34" s="2"/>
      <c r="WED34" s="2"/>
      <c r="WEE34" s="2"/>
      <c r="WEF34" s="2"/>
      <c r="WEG34" s="2"/>
      <c r="WEH34" s="2"/>
      <c r="WEI34" s="2"/>
      <c r="WEJ34" s="2"/>
      <c r="WEK34" s="2"/>
      <c r="WEL34" s="2"/>
      <c r="WEM34" s="2"/>
      <c r="WEN34" s="2"/>
      <c r="WEO34" s="2"/>
      <c r="WEP34" s="2"/>
      <c r="WEQ34" s="2"/>
      <c r="WER34" s="2"/>
      <c r="WES34" s="2"/>
      <c r="WET34" s="2"/>
      <c r="WEU34" s="2"/>
      <c r="WEV34" s="2"/>
      <c r="WEW34" s="2"/>
      <c r="WEX34" s="2"/>
      <c r="WEY34" s="2"/>
      <c r="WEZ34" s="2"/>
      <c r="WFA34" s="2"/>
      <c r="WFB34" s="2"/>
      <c r="WFC34" s="2"/>
      <c r="WFD34" s="2"/>
      <c r="WFE34" s="2"/>
      <c r="WFF34" s="2"/>
      <c r="WFG34" s="2"/>
      <c r="WFH34" s="2"/>
      <c r="WFI34" s="2"/>
      <c r="WFJ34" s="2"/>
      <c r="WFK34" s="2"/>
      <c r="WFL34" s="2"/>
      <c r="WFM34" s="2"/>
      <c r="WFN34" s="2"/>
      <c r="WFO34" s="2"/>
      <c r="WFP34" s="2"/>
      <c r="WFQ34" s="2"/>
      <c r="WFR34" s="2"/>
      <c r="WFS34" s="2"/>
      <c r="WFT34" s="2"/>
      <c r="WFU34" s="2"/>
      <c r="WFV34" s="2"/>
      <c r="WFW34" s="2"/>
      <c r="WFX34" s="2"/>
      <c r="WFY34" s="2"/>
      <c r="WFZ34" s="2"/>
      <c r="WGA34" s="2"/>
      <c r="WGB34" s="2"/>
      <c r="WGC34" s="2"/>
      <c r="WGD34" s="2"/>
      <c r="WGE34" s="2"/>
      <c r="WGF34" s="2"/>
      <c r="WGG34" s="2"/>
      <c r="WGH34" s="2"/>
      <c r="WGI34" s="2"/>
      <c r="WGJ34" s="2"/>
      <c r="WGK34" s="2"/>
      <c r="WGL34" s="2"/>
      <c r="WGM34" s="2"/>
      <c r="WGN34" s="2"/>
      <c r="WGO34" s="2"/>
      <c r="WGP34" s="2"/>
      <c r="WGQ34" s="2"/>
      <c r="WGR34" s="2"/>
      <c r="WGS34" s="2"/>
      <c r="WGT34" s="2"/>
      <c r="WGU34" s="2"/>
      <c r="WGV34" s="2"/>
      <c r="WGW34" s="2"/>
      <c r="WGX34" s="2"/>
      <c r="WGY34" s="2"/>
      <c r="WGZ34" s="2"/>
      <c r="WHA34" s="2"/>
      <c r="WHB34" s="2"/>
      <c r="WHC34" s="2"/>
      <c r="WHD34" s="2"/>
      <c r="WHE34" s="2"/>
      <c r="WHF34" s="2"/>
      <c r="WHG34" s="2"/>
      <c r="WHH34" s="2"/>
      <c r="WHI34" s="2"/>
      <c r="WHJ34" s="2"/>
      <c r="WHK34" s="2"/>
      <c r="WHL34" s="2"/>
      <c r="WHM34" s="2"/>
      <c r="WHN34" s="2"/>
      <c r="WHO34" s="2"/>
      <c r="WHP34" s="2"/>
      <c r="WHQ34" s="2"/>
      <c r="WHR34" s="2"/>
      <c r="WHS34" s="2"/>
      <c r="WHT34" s="2"/>
      <c r="WHU34" s="2"/>
      <c r="WHV34" s="2"/>
      <c r="WHW34" s="2"/>
      <c r="WHX34" s="2"/>
      <c r="WHY34" s="2"/>
      <c r="WHZ34" s="2"/>
      <c r="WIA34" s="2"/>
      <c r="WIB34" s="2"/>
      <c r="WIC34" s="2"/>
      <c r="WID34" s="2"/>
      <c r="WIE34" s="2"/>
      <c r="WIF34" s="2"/>
      <c r="WIG34" s="2"/>
      <c r="WIH34" s="2"/>
      <c r="WII34" s="2"/>
      <c r="WIJ34" s="2"/>
      <c r="WIK34" s="2"/>
      <c r="WIL34" s="2"/>
      <c r="WIM34" s="2"/>
      <c r="WIN34" s="2"/>
      <c r="WIO34" s="2"/>
      <c r="WIP34" s="2"/>
      <c r="WIQ34" s="2"/>
      <c r="WIR34" s="2"/>
      <c r="WIS34" s="2"/>
      <c r="WIT34" s="2"/>
      <c r="WIU34" s="2"/>
      <c r="WIV34" s="2"/>
      <c r="WIW34" s="2"/>
      <c r="WIX34" s="2"/>
      <c r="WIY34" s="2"/>
      <c r="WIZ34" s="2"/>
      <c r="WJA34" s="2"/>
      <c r="WJB34" s="2"/>
      <c r="WJC34" s="2"/>
      <c r="WJD34" s="2"/>
      <c r="WJE34" s="2"/>
      <c r="WJF34" s="2"/>
      <c r="WJG34" s="2"/>
      <c r="WJH34" s="2"/>
      <c r="WJI34" s="2"/>
      <c r="WJJ34" s="2"/>
      <c r="WJK34" s="2"/>
      <c r="WJL34" s="2"/>
      <c r="WJM34" s="2"/>
      <c r="WJN34" s="2"/>
      <c r="WJO34" s="2"/>
      <c r="WJP34" s="2"/>
      <c r="WJQ34" s="2"/>
      <c r="WJR34" s="2"/>
      <c r="WJS34" s="2"/>
      <c r="WJT34" s="2"/>
      <c r="WJU34" s="2"/>
      <c r="WJV34" s="2"/>
      <c r="WJW34" s="2"/>
      <c r="WJX34" s="2"/>
      <c r="WJY34" s="2"/>
      <c r="WJZ34" s="2"/>
      <c r="WKA34" s="2"/>
      <c r="WKB34" s="2"/>
      <c r="WKC34" s="2"/>
      <c r="WKD34" s="2"/>
      <c r="WKE34" s="2"/>
      <c r="WKF34" s="2"/>
      <c r="WKG34" s="2"/>
      <c r="WKH34" s="2"/>
      <c r="WKI34" s="2"/>
      <c r="WKJ34" s="2"/>
      <c r="WKK34" s="2"/>
      <c r="WKL34" s="2"/>
      <c r="WKM34" s="2"/>
      <c r="WKN34" s="2"/>
      <c r="WKO34" s="2"/>
      <c r="WKP34" s="2"/>
      <c r="WKQ34" s="2"/>
      <c r="WKR34" s="2"/>
      <c r="WKS34" s="2"/>
      <c r="WKT34" s="2"/>
      <c r="WKU34" s="2"/>
      <c r="WKV34" s="2"/>
      <c r="WKW34" s="2"/>
      <c r="WKX34" s="2"/>
      <c r="WKY34" s="2"/>
      <c r="WKZ34" s="2"/>
      <c r="WLA34" s="2"/>
      <c r="WLB34" s="2"/>
      <c r="WLC34" s="2"/>
      <c r="WLD34" s="2"/>
      <c r="WLE34" s="2"/>
      <c r="WLF34" s="2"/>
      <c r="WLG34" s="2"/>
      <c r="WLH34" s="2"/>
      <c r="WLI34" s="2"/>
      <c r="WLJ34" s="2"/>
      <c r="WLK34" s="2"/>
      <c r="WLL34" s="2"/>
      <c r="WLM34" s="2"/>
      <c r="WLN34" s="2"/>
      <c r="WLO34" s="2"/>
      <c r="WLP34" s="2"/>
      <c r="WLQ34" s="2"/>
      <c r="WLR34" s="2"/>
      <c r="WLS34" s="2"/>
      <c r="WLT34" s="2"/>
      <c r="WLU34" s="2"/>
      <c r="WLV34" s="2"/>
      <c r="WLW34" s="2"/>
      <c r="WLX34" s="2"/>
      <c r="WLY34" s="2"/>
      <c r="WLZ34" s="2"/>
      <c r="WMA34" s="2"/>
      <c r="WMB34" s="2"/>
      <c r="WMC34" s="2"/>
      <c r="WMD34" s="2"/>
      <c r="WME34" s="2"/>
      <c r="WMF34" s="2"/>
      <c r="WMG34" s="2"/>
      <c r="WMH34" s="2"/>
      <c r="WMI34" s="2"/>
      <c r="WMJ34" s="2"/>
      <c r="WMK34" s="2"/>
      <c r="WML34" s="2"/>
      <c r="WMM34" s="2"/>
      <c r="WMN34" s="2"/>
      <c r="WMO34" s="2"/>
      <c r="WMP34" s="2"/>
      <c r="WMQ34" s="2"/>
      <c r="WMR34" s="2"/>
      <c r="WMS34" s="2"/>
      <c r="WMT34" s="2"/>
      <c r="WMU34" s="2"/>
      <c r="WMV34" s="2"/>
      <c r="WMW34" s="2"/>
      <c r="WMX34" s="2"/>
      <c r="WMY34" s="2"/>
      <c r="WMZ34" s="2"/>
      <c r="WNA34" s="2"/>
      <c r="WNB34" s="2"/>
      <c r="WNC34" s="2"/>
      <c r="WND34" s="2"/>
      <c r="WNE34" s="2"/>
      <c r="WNF34" s="2"/>
      <c r="WNG34" s="2"/>
      <c r="WNH34" s="2"/>
      <c r="WNI34" s="2"/>
      <c r="WNJ34" s="2"/>
      <c r="WNK34" s="2"/>
      <c r="WNL34" s="2"/>
      <c r="WNM34" s="2"/>
      <c r="WNN34" s="2"/>
      <c r="WNO34" s="2"/>
      <c r="WNP34" s="2"/>
      <c r="WNQ34" s="2"/>
      <c r="WNR34" s="2"/>
      <c r="WNS34" s="2"/>
      <c r="WNT34" s="2"/>
      <c r="WNU34" s="2"/>
      <c r="WNV34" s="2"/>
      <c r="WNW34" s="2"/>
      <c r="WNX34" s="2"/>
      <c r="WNY34" s="2"/>
      <c r="WNZ34" s="2"/>
      <c r="WOA34" s="2"/>
      <c r="WOB34" s="2"/>
      <c r="WOC34" s="2"/>
      <c r="WOD34" s="2"/>
      <c r="WOE34" s="2"/>
      <c r="WOF34" s="2"/>
      <c r="WOG34" s="2"/>
      <c r="WOH34" s="2"/>
      <c r="WOI34" s="2"/>
      <c r="WOJ34" s="2"/>
      <c r="WOK34" s="2"/>
      <c r="WOL34" s="2"/>
      <c r="WOM34" s="2"/>
      <c r="WON34" s="2"/>
      <c r="WOO34" s="2"/>
      <c r="WOP34" s="2"/>
      <c r="WOQ34" s="2"/>
      <c r="WOR34" s="2"/>
      <c r="WOS34" s="2"/>
      <c r="WOT34" s="2"/>
      <c r="WOU34" s="2"/>
      <c r="WOV34" s="2"/>
      <c r="WOW34" s="2"/>
      <c r="WOX34" s="2"/>
      <c r="WOY34" s="2"/>
      <c r="WOZ34" s="2"/>
      <c r="WPA34" s="2"/>
      <c r="WPB34" s="2"/>
      <c r="WPC34" s="2"/>
      <c r="WPD34" s="2"/>
      <c r="WPE34" s="2"/>
      <c r="WPF34" s="2"/>
      <c r="WPG34" s="2"/>
      <c r="WPH34" s="2"/>
      <c r="WPI34" s="2"/>
      <c r="WPJ34" s="2"/>
      <c r="WPK34" s="2"/>
      <c r="WPL34" s="2"/>
      <c r="WPM34" s="2"/>
      <c r="WPN34" s="2"/>
      <c r="WPO34" s="2"/>
      <c r="WPP34" s="2"/>
      <c r="WPQ34" s="2"/>
      <c r="WPR34" s="2"/>
      <c r="WPS34" s="2"/>
      <c r="WPT34" s="2"/>
      <c r="WPU34" s="2"/>
      <c r="WPV34" s="2"/>
      <c r="WPW34" s="2"/>
      <c r="WPX34" s="2"/>
      <c r="WPY34" s="2"/>
      <c r="WPZ34" s="2"/>
      <c r="WQA34" s="2"/>
      <c r="WQB34" s="2"/>
      <c r="WQC34" s="2"/>
      <c r="WQD34" s="2"/>
      <c r="WQE34" s="2"/>
      <c r="WQF34" s="2"/>
      <c r="WQG34" s="2"/>
      <c r="WQH34" s="2"/>
      <c r="WQI34" s="2"/>
      <c r="WQJ34" s="2"/>
      <c r="WQK34" s="2"/>
      <c r="WQL34" s="2"/>
      <c r="WQM34" s="2"/>
      <c r="WQN34" s="2"/>
      <c r="WQO34" s="2"/>
      <c r="WQP34" s="2"/>
      <c r="WQQ34" s="2"/>
      <c r="WQR34" s="2"/>
      <c r="WQS34" s="2"/>
      <c r="WQT34" s="2"/>
      <c r="WQU34" s="2"/>
      <c r="WQV34" s="2"/>
      <c r="WQW34" s="2"/>
      <c r="WQX34" s="2"/>
      <c r="WQY34" s="2"/>
      <c r="WQZ34" s="2"/>
      <c r="WRA34" s="2"/>
      <c r="WRB34" s="2"/>
      <c r="WRC34" s="2"/>
      <c r="WRD34" s="2"/>
      <c r="WRE34" s="2"/>
      <c r="WRF34" s="2"/>
      <c r="WRG34" s="2"/>
      <c r="WRH34" s="2"/>
      <c r="WRI34" s="2"/>
      <c r="WRJ34" s="2"/>
      <c r="WRK34" s="2"/>
      <c r="WRL34" s="2"/>
      <c r="WRM34" s="2"/>
      <c r="WRN34" s="2"/>
      <c r="WRO34" s="2"/>
      <c r="WRP34" s="2"/>
      <c r="WRQ34" s="2"/>
      <c r="WRR34" s="2"/>
      <c r="WRS34" s="2"/>
      <c r="WRT34" s="2"/>
      <c r="WRU34" s="2"/>
      <c r="WRV34" s="2"/>
      <c r="WRW34" s="2"/>
      <c r="WRX34" s="2"/>
      <c r="WRY34" s="2"/>
      <c r="WRZ34" s="2"/>
      <c r="WSA34" s="2"/>
      <c r="WSB34" s="2"/>
      <c r="WSC34" s="2"/>
      <c r="WSD34" s="2"/>
      <c r="WSE34" s="2"/>
      <c r="WSF34" s="2"/>
      <c r="WSG34" s="2"/>
      <c r="WSH34" s="2"/>
      <c r="WSI34" s="2"/>
      <c r="WSJ34" s="2"/>
      <c r="WSK34" s="2"/>
      <c r="WSL34" s="2"/>
      <c r="WSM34" s="2"/>
      <c r="WSN34" s="2"/>
      <c r="WSO34" s="2"/>
      <c r="WSP34" s="2"/>
      <c r="WSQ34" s="2"/>
      <c r="WSR34" s="2"/>
      <c r="WSS34" s="2"/>
      <c r="WST34" s="2"/>
      <c r="WSU34" s="2"/>
      <c r="WSV34" s="2"/>
      <c r="WSW34" s="2"/>
      <c r="WSX34" s="2"/>
      <c r="WSY34" s="2"/>
      <c r="WSZ34" s="2"/>
      <c r="WTA34" s="2"/>
      <c r="WTB34" s="2"/>
      <c r="WTC34" s="2"/>
      <c r="WTD34" s="2"/>
      <c r="WTE34" s="2"/>
      <c r="WTF34" s="2"/>
      <c r="WTG34" s="2"/>
      <c r="WTH34" s="2"/>
      <c r="WTI34" s="2"/>
      <c r="WTJ34" s="2"/>
      <c r="WTK34" s="2"/>
      <c r="WTL34" s="2"/>
      <c r="WTM34" s="2"/>
      <c r="WTN34" s="2"/>
      <c r="WTO34" s="2"/>
      <c r="WTP34" s="2"/>
      <c r="WTQ34" s="2"/>
      <c r="WTR34" s="2"/>
      <c r="WTS34" s="2"/>
      <c r="WTT34" s="2"/>
      <c r="WTU34" s="2"/>
      <c r="WTV34" s="2"/>
      <c r="WTW34" s="2"/>
      <c r="WTX34" s="2"/>
      <c r="WTY34" s="2"/>
      <c r="WTZ34" s="2"/>
      <c r="WUA34" s="2"/>
      <c r="WUB34" s="2"/>
      <c r="WUC34" s="2"/>
      <c r="WUD34" s="2"/>
      <c r="WUE34" s="2"/>
      <c r="WUF34" s="2"/>
      <c r="WUG34" s="2"/>
      <c r="WUH34" s="2"/>
      <c r="WUI34" s="2"/>
      <c r="WUJ34" s="2"/>
      <c r="WUK34" s="2"/>
      <c r="WUL34" s="2"/>
      <c r="WUM34" s="2"/>
      <c r="WUN34" s="2"/>
      <c r="WUO34" s="2"/>
      <c r="WUP34" s="2"/>
      <c r="WUQ34" s="2"/>
      <c r="WUR34" s="2"/>
      <c r="WUS34" s="2"/>
      <c r="WUT34" s="2"/>
      <c r="WUU34" s="2"/>
      <c r="WUV34" s="2"/>
      <c r="WUW34" s="2"/>
      <c r="WUX34" s="2"/>
      <c r="WUY34" s="2"/>
      <c r="WUZ34" s="2"/>
      <c r="WVA34" s="2"/>
      <c r="WVB34" s="2"/>
      <c r="WVC34" s="2"/>
      <c r="WVD34" s="2"/>
      <c r="WVE34" s="2"/>
      <c r="WVF34" s="2"/>
      <c r="WVG34" s="2"/>
      <c r="WVH34" s="2"/>
      <c r="WVI34" s="2"/>
      <c r="WVJ34" s="2"/>
      <c r="WVK34" s="2"/>
      <c r="WVL34" s="2"/>
      <c r="WVM34" s="2"/>
      <c r="WVN34" s="2"/>
      <c r="WVO34" s="2"/>
      <c r="WVP34" s="2"/>
      <c r="WVQ34" s="2"/>
      <c r="WVR34" s="2"/>
      <c r="WVS34" s="2"/>
      <c r="WVT34" s="2"/>
      <c r="WVU34" s="2"/>
      <c r="WVV34" s="2"/>
      <c r="WVW34" s="2"/>
      <c r="WVX34" s="2"/>
      <c r="WVY34" s="2"/>
      <c r="WVZ34" s="2"/>
      <c r="WWA34" s="2"/>
      <c r="WWB34" s="2"/>
      <c r="WWC34" s="2"/>
      <c r="WWD34" s="2"/>
      <c r="WWE34" s="2"/>
      <c r="WWF34" s="2"/>
      <c r="WWG34" s="2"/>
      <c r="WWH34" s="2"/>
      <c r="WWI34" s="2"/>
      <c r="WWJ34" s="2"/>
      <c r="WWK34" s="2"/>
      <c r="WWL34" s="2"/>
      <c r="WWM34" s="2"/>
      <c r="WWN34" s="2"/>
      <c r="WWO34" s="2"/>
      <c r="WWP34" s="2"/>
      <c r="WWQ34" s="2"/>
      <c r="WWR34" s="2"/>
      <c r="WWS34" s="2"/>
      <c r="WWT34" s="2"/>
      <c r="WWU34" s="2"/>
      <c r="WWV34" s="2"/>
      <c r="WWW34" s="2"/>
      <c r="WWX34" s="2"/>
      <c r="WWY34" s="2"/>
      <c r="WWZ34" s="2"/>
      <c r="WXA34" s="2"/>
      <c r="WXB34" s="2"/>
      <c r="WXC34" s="2"/>
      <c r="WXD34" s="2"/>
      <c r="WXE34" s="2"/>
      <c r="WXF34" s="2"/>
      <c r="WXG34" s="2"/>
      <c r="WXH34" s="2"/>
      <c r="WXI34" s="2"/>
      <c r="WXJ34" s="2"/>
      <c r="WXK34" s="2"/>
      <c r="WXL34" s="2"/>
      <c r="WXM34" s="2"/>
      <c r="WXN34" s="2"/>
      <c r="WXO34" s="2"/>
      <c r="WXP34" s="2"/>
      <c r="WXQ34" s="2"/>
      <c r="WXR34" s="2"/>
      <c r="WXS34" s="2"/>
      <c r="WXT34" s="2"/>
      <c r="WXU34" s="2"/>
      <c r="WXV34" s="2"/>
      <c r="WXW34" s="2"/>
      <c r="WXX34" s="2"/>
      <c r="WXY34" s="2"/>
      <c r="WXZ34" s="2"/>
      <c r="WYA34" s="2"/>
      <c r="WYB34" s="2"/>
      <c r="WYC34" s="2"/>
      <c r="WYD34" s="2"/>
      <c r="WYE34" s="2"/>
      <c r="WYF34" s="2"/>
      <c r="WYG34" s="2"/>
      <c r="WYH34" s="2"/>
      <c r="WYI34" s="2"/>
      <c r="WYJ34" s="2"/>
      <c r="WYK34" s="2"/>
      <c r="WYL34" s="2"/>
      <c r="WYM34" s="2"/>
      <c r="WYN34" s="2"/>
      <c r="WYO34" s="2"/>
      <c r="WYP34" s="2"/>
      <c r="WYQ34" s="2"/>
      <c r="WYR34" s="2"/>
      <c r="WYS34" s="2"/>
      <c r="WYT34" s="2"/>
      <c r="WYU34" s="2"/>
      <c r="WYV34" s="2"/>
      <c r="WYW34" s="2"/>
      <c r="WYX34" s="2"/>
      <c r="WYY34" s="2"/>
      <c r="WYZ34" s="2"/>
      <c r="WZA34" s="2"/>
      <c r="WZB34" s="2"/>
      <c r="WZC34" s="2"/>
      <c r="WZD34" s="2"/>
      <c r="WZE34" s="2"/>
      <c r="WZF34" s="2"/>
      <c r="WZG34" s="2"/>
      <c r="WZH34" s="2"/>
      <c r="WZI34" s="2"/>
      <c r="WZJ34" s="2"/>
      <c r="WZK34" s="2"/>
      <c r="WZL34" s="2"/>
      <c r="WZM34" s="2"/>
      <c r="WZN34" s="2"/>
      <c r="WZO34" s="2"/>
      <c r="WZP34" s="2"/>
      <c r="WZQ34" s="2"/>
      <c r="WZR34" s="2"/>
      <c r="WZS34" s="2"/>
      <c r="WZT34" s="2"/>
      <c r="WZU34" s="2"/>
      <c r="WZV34" s="2"/>
      <c r="WZW34" s="2"/>
      <c r="WZX34" s="2"/>
      <c r="WZY34" s="2"/>
      <c r="WZZ34" s="2"/>
      <c r="XAA34" s="2"/>
      <c r="XAB34" s="2"/>
      <c r="XAC34" s="2"/>
      <c r="XAD34" s="2"/>
      <c r="XAE34" s="2"/>
      <c r="XAF34" s="2"/>
      <c r="XAG34" s="2"/>
      <c r="XAH34" s="2"/>
      <c r="XAI34" s="2"/>
      <c r="XAJ34" s="2"/>
      <c r="XAK34" s="2"/>
      <c r="XAL34" s="2"/>
      <c r="XAM34" s="2"/>
      <c r="XAN34" s="2"/>
      <c r="XAO34" s="2"/>
      <c r="XAP34" s="2"/>
      <c r="XAQ34" s="2"/>
      <c r="XAR34" s="2"/>
      <c r="XAS34" s="2"/>
      <c r="XAT34" s="2"/>
      <c r="XAU34" s="2"/>
      <c r="XAV34" s="2"/>
      <c r="XAW34" s="2"/>
      <c r="XAX34" s="2"/>
      <c r="XAY34" s="2"/>
      <c r="XAZ34" s="2"/>
      <c r="XBA34" s="2"/>
      <c r="XBB34" s="2"/>
      <c r="XBC34" s="2"/>
      <c r="XBD34" s="2"/>
      <c r="XBE34" s="2"/>
      <c r="XBF34" s="2"/>
      <c r="XBG34" s="2"/>
      <c r="XBH34" s="2"/>
      <c r="XBI34" s="2"/>
      <c r="XBJ34" s="2"/>
      <c r="XBK34" s="2"/>
      <c r="XBL34" s="2"/>
      <c r="XBM34" s="2"/>
      <c r="XBN34" s="2"/>
      <c r="XBO34" s="2"/>
      <c r="XBP34" s="2"/>
      <c r="XBQ34" s="2"/>
      <c r="XBR34" s="2"/>
      <c r="XBS34" s="2"/>
      <c r="XBT34" s="2"/>
      <c r="XBU34" s="2"/>
      <c r="XBV34" s="2"/>
      <c r="XBW34" s="2"/>
      <c r="XBX34" s="2"/>
      <c r="XBY34" s="2"/>
      <c r="XBZ34" s="2"/>
      <c r="XCA34" s="2"/>
      <c r="XCB34" s="2"/>
      <c r="XCC34" s="2"/>
      <c r="XCD34" s="2"/>
      <c r="XCE34" s="2"/>
      <c r="XCF34" s="2"/>
      <c r="XCG34" s="2"/>
      <c r="XCH34" s="2"/>
      <c r="XCI34" s="2"/>
      <c r="XCJ34" s="2"/>
      <c r="XCK34" s="2"/>
      <c r="XCL34" s="2"/>
      <c r="XCM34" s="2"/>
      <c r="XCN34" s="2"/>
      <c r="XCO34" s="2"/>
      <c r="XCP34" s="2"/>
      <c r="XCQ34" s="2"/>
      <c r="XCR34" s="2"/>
      <c r="XCS34" s="2"/>
      <c r="XCT34" s="2"/>
      <c r="XCU34" s="2"/>
      <c r="XCV34" s="2"/>
      <c r="XCW34" s="2"/>
      <c r="XCX34" s="2"/>
      <c r="XCY34" s="2"/>
      <c r="XCZ34" s="2"/>
      <c r="XDA34" s="2"/>
      <c r="XDB34" s="2"/>
      <c r="XDC34" s="2"/>
      <c r="XDD34" s="2"/>
      <c r="XDE34" s="2"/>
      <c r="XDF34" s="2"/>
      <c r="XDG34" s="2"/>
      <c r="XDH34" s="2"/>
      <c r="XDI34" s="2"/>
      <c r="XDJ34" s="2"/>
      <c r="XDK34" s="2"/>
      <c r="XDL34" s="2"/>
      <c r="XDM34" s="2"/>
      <c r="XDN34" s="2"/>
      <c r="XDO34" s="2"/>
      <c r="XDP34" s="2"/>
      <c r="XDQ34" s="2"/>
      <c r="XDR34" s="2"/>
      <c r="XDS34" s="2"/>
      <c r="XDT34" s="2"/>
      <c r="XDU34" s="2"/>
      <c r="XDV34" s="2"/>
      <c r="XDW34" s="2"/>
      <c r="XDX34" s="2"/>
      <c r="XDY34" s="2"/>
      <c r="XDZ34" s="2"/>
      <c r="XEA34" s="2"/>
      <c r="XEB34" s="2"/>
      <c r="XEC34" s="2"/>
      <c r="XED34" s="2"/>
      <c r="XEE34" s="2"/>
      <c r="XEF34" s="2"/>
      <c r="XEG34" s="2"/>
      <c r="XEH34" s="2"/>
      <c r="XEI34" s="2"/>
      <c r="XEJ34" s="2"/>
      <c r="XEK34" s="2"/>
      <c r="XEL34" s="2"/>
      <c r="XEM34" s="2"/>
      <c r="XEN34" s="2"/>
      <c r="XEO34" s="2"/>
      <c r="XEP34" s="2"/>
      <c r="XEQ34" s="2"/>
      <c r="XER34" s="2"/>
      <c r="XES34" s="2"/>
      <c r="XET34" s="2"/>
      <c r="XEU34" s="2"/>
      <c r="XEV34" s="2"/>
      <c r="XEW34" s="2"/>
      <c r="XEX34" s="2"/>
      <c r="XEY34" s="2"/>
      <c r="XEZ34" s="2"/>
      <c r="XFA34" s="2"/>
      <c r="XFB34" s="2"/>
    </row>
    <row r="35" spans="1:16382" s="2" customFormat="1" ht="15" customHeight="1">
      <c r="A35" s="74"/>
      <c r="B35" s="315"/>
      <c r="C35" s="317"/>
      <c r="D35" s="317"/>
      <c r="E35" s="319"/>
      <c r="J35" s="31"/>
      <c r="K35" s="30"/>
      <c r="L35" s="30"/>
      <c r="M35" s="30"/>
      <c r="N35" s="32"/>
      <c r="O35" s="123"/>
      <c r="P35" s="123"/>
      <c r="Q35" s="123"/>
      <c r="R35" s="123"/>
    </row>
    <row r="36" spans="1:16382" s="2" customFormat="1" ht="15" customHeight="1">
      <c r="A36" s="74"/>
      <c r="B36" s="87" t="s">
        <v>13</v>
      </c>
      <c r="C36" s="88">
        <f>+'IMPRESION AGENTE'!D40</f>
        <v>0</v>
      </c>
      <c r="D36" s="88">
        <f>+'IMPRESION AGENTE'!E40</f>
        <v>0</v>
      </c>
      <c r="E36" s="113">
        <f>+'IMPRESION AGENTE'!F40</f>
        <v>0</v>
      </c>
      <c r="J36" s="33"/>
      <c r="K36" s="30"/>
      <c r="L36" s="30"/>
      <c r="M36" s="30"/>
      <c r="N36" s="34"/>
      <c r="O36" s="123"/>
      <c r="P36" s="28"/>
      <c r="Q36" s="123"/>
      <c r="R36" s="23"/>
    </row>
    <row r="37" spans="1:16382" s="2" customFormat="1" ht="13.5" customHeight="1">
      <c r="A37" s="74"/>
      <c r="B37" s="87" t="s">
        <v>14</v>
      </c>
      <c r="C37" s="88">
        <f>+'IMPRESION AGENTE'!D41</f>
        <v>0</v>
      </c>
      <c r="D37" s="88">
        <f>+'IMPRESION AGENTE'!E41</f>
        <v>0</v>
      </c>
      <c r="E37" s="113">
        <f>+'IMPRESION AGENTE'!F41</f>
        <v>0</v>
      </c>
      <c r="J37" s="33"/>
      <c r="K37" s="30"/>
      <c r="L37" s="30"/>
      <c r="M37" s="30"/>
      <c r="N37" s="32"/>
      <c r="O37" s="123"/>
      <c r="P37" s="35"/>
      <c r="Q37" s="123"/>
      <c r="R37" s="123"/>
    </row>
    <row r="38" spans="1:16382" s="2" customFormat="1" ht="15" customHeight="1">
      <c r="A38" s="74"/>
      <c r="B38" s="87" t="s">
        <v>21</v>
      </c>
      <c r="C38" s="88">
        <f>+'IMPRESION AGENTE'!D42</f>
        <v>0</v>
      </c>
      <c r="D38" s="88">
        <f>+'IMPRESION AGENTE'!E42</f>
        <v>0</v>
      </c>
      <c r="E38" s="113">
        <f>+'IMPRESION AGENTE'!F42</f>
        <v>0</v>
      </c>
      <c r="I38" s="19"/>
      <c r="J38" s="20"/>
      <c r="K38" s="36"/>
      <c r="L38" s="37"/>
      <c r="M38" s="37"/>
      <c r="N38" s="123"/>
      <c r="O38" s="123"/>
      <c r="P38" s="123"/>
      <c r="Q38" s="123"/>
      <c r="R38" s="123"/>
    </row>
    <row r="39" spans="1:16382" s="2" customFormat="1" ht="15" customHeight="1">
      <c r="A39" s="74"/>
      <c r="B39" s="87" t="s">
        <v>22</v>
      </c>
      <c r="C39" s="88">
        <f>+'IMPRESION AGENTE'!D43</f>
        <v>0</v>
      </c>
      <c r="D39" s="88">
        <f>+'IMPRESION AGENTE'!E43</f>
        <v>0</v>
      </c>
      <c r="E39" s="113">
        <f>+'IMPRESION AGENTE'!F43</f>
        <v>0</v>
      </c>
      <c r="G39" s="72"/>
      <c r="H39" s="19"/>
      <c r="I39" s="19"/>
      <c r="J39" s="20"/>
      <c r="K39" s="36"/>
      <c r="L39" s="37"/>
      <c r="M39" s="37"/>
      <c r="N39" s="123"/>
      <c r="O39" s="123"/>
      <c r="P39" s="123"/>
      <c r="Q39" s="123"/>
      <c r="R39" s="123"/>
    </row>
    <row r="40" spans="1:16382" s="2" customFormat="1" ht="15" customHeight="1">
      <c r="A40" s="74">
        <f>IF($E$7="NUEVA",IF(AND(E28&gt;=18,E28&lt;60),1,0),IF(AND(E28&gt;=18,E28&lt;65),1,0))</f>
        <v>0</v>
      </c>
      <c r="B40" s="73"/>
      <c r="G40" s="19"/>
      <c r="H40" s="19"/>
      <c r="J40" s="20"/>
      <c r="K40" s="36"/>
      <c r="L40" s="27"/>
      <c r="M40" s="27"/>
      <c r="N40" s="123"/>
      <c r="O40" s="123"/>
      <c r="P40" s="123"/>
      <c r="Q40" s="23"/>
      <c r="R40" s="23"/>
    </row>
    <row r="41" spans="1:16382" s="2" customFormat="1" ht="15" customHeight="1">
      <c r="A41" s="74">
        <f>IF($E$7="NUEVA",IF(AND(E30&gt;=18,E30&lt;60),1,0),IF(AND(E30&gt;=18,E30&lt;65),1,0))</f>
        <v>0</v>
      </c>
      <c r="B41" s="75" t="s">
        <v>20</v>
      </c>
      <c r="G41" s="19"/>
      <c r="H41" s="19"/>
      <c r="J41" s="20"/>
      <c r="K41" s="36"/>
      <c r="L41" s="123"/>
      <c r="M41" s="123"/>
      <c r="N41" s="123"/>
      <c r="O41" s="123"/>
      <c r="P41" s="123"/>
      <c r="Q41" s="23"/>
      <c r="R41" s="23"/>
    </row>
    <row r="42" spans="1:16382" s="2" customFormat="1" ht="26.25" customHeight="1">
      <c r="A42" s="74">
        <f>IF($E$7="NUEVA",IF(AND(E31&gt;=18,E31&lt;60),1,0),IF(AND(E31&gt;=18,E31&lt;65),1,0))</f>
        <v>0</v>
      </c>
      <c r="B42" s="112" t="s">
        <v>36</v>
      </c>
      <c r="C42" s="112" t="s">
        <v>29</v>
      </c>
      <c r="E42" s="251" t="s">
        <v>711</v>
      </c>
      <c r="H42" s="70"/>
      <c r="J42" s="20"/>
      <c r="K42" s="36"/>
      <c r="L42" s="123"/>
      <c r="M42" s="123"/>
      <c r="N42" s="123"/>
      <c r="O42" s="123"/>
      <c r="P42" s="123"/>
      <c r="Q42" s="23"/>
      <c r="R42" s="23"/>
    </row>
    <row r="43" spans="1:16382" s="2" customFormat="1" ht="15.75" customHeight="1">
      <c r="A43" s="74"/>
      <c r="B43" s="89" t="s">
        <v>14</v>
      </c>
      <c r="C43" s="127">
        <v>4.7300000000000002E-2</v>
      </c>
      <c r="D43" s="89" t="s">
        <v>711</v>
      </c>
      <c r="E43" s="253">
        <f>0.25-E44</f>
        <v>0.25</v>
      </c>
      <c r="H43" s="70"/>
      <c r="J43" s="20"/>
      <c r="K43" s="36"/>
      <c r="L43" s="123"/>
      <c r="M43" s="123"/>
      <c r="N43" s="123"/>
      <c r="O43" s="123"/>
      <c r="P43" s="19"/>
      <c r="Q43" s="23"/>
      <c r="R43" s="23"/>
    </row>
    <row r="44" spans="1:16382" s="2" customFormat="1" ht="15" customHeight="1">
      <c r="A44" s="74"/>
      <c r="B44" s="89" t="s">
        <v>21</v>
      </c>
      <c r="C44" s="127">
        <v>6.9900000000000004E-2</v>
      </c>
      <c r="D44" s="89" t="s">
        <v>712</v>
      </c>
      <c r="E44" s="254">
        <v>0</v>
      </c>
      <c r="H44" s="155"/>
      <c r="J44" s="20"/>
      <c r="K44" s="36"/>
      <c r="L44" s="123"/>
      <c r="M44" s="123"/>
      <c r="N44" s="123"/>
      <c r="O44" s="123"/>
      <c r="P44" s="38"/>
      <c r="Q44" s="23"/>
      <c r="R44" s="23"/>
    </row>
    <row r="45" spans="1:16382" s="2" customFormat="1" ht="15" customHeight="1">
      <c r="A45" s="74"/>
      <c r="B45" s="89" t="s">
        <v>22</v>
      </c>
      <c r="C45" s="127">
        <v>9.9900000000000003E-2</v>
      </c>
      <c r="H45" s="155"/>
      <c r="J45" s="20"/>
      <c r="K45" s="36"/>
      <c r="L45" s="123"/>
      <c r="M45" s="123"/>
      <c r="N45" s="123"/>
      <c r="O45" s="123"/>
      <c r="P45" s="38"/>
      <c r="Q45" s="23"/>
      <c r="R45" s="23"/>
    </row>
    <row r="46" spans="1:16382" s="2" customFormat="1" ht="15" customHeight="1">
      <c r="A46" s="74"/>
      <c r="B46" s="268"/>
      <c r="C46" s="155" t="s">
        <v>23</v>
      </c>
      <c r="H46" s="155"/>
      <c r="J46" s="20"/>
      <c r="K46" s="36"/>
      <c r="L46" s="123"/>
      <c r="M46" s="123"/>
      <c r="N46" s="123"/>
      <c r="O46" s="123"/>
      <c r="P46" s="38"/>
      <c r="Q46" s="23"/>
      <c r="R46" s="23"/>
    </row>
    <row r="47" spans="1:16382" s="2" customFormat="1" ht="15" customHeight="1">
      <c r="A47" s="74"/>
      <c r="B47" s="268"/>
      <c r="C47" s="269"/>
      <c r="H47" s="155"/>
      <c r="J47" s="20"/>
      <c r="K47" s="36"/>
      <c r="L47" s="123"/>
      <c r="M47" s="123"/>
      <c r="N47" s="123"/>
      <c r="O47" s="123"/>
      <c r="P47" s="38"/>
      <c r="Q47" s="23"/>
      <c r="R47" s="23"/>
    </row>
    <row r="48" spans="1:16382" s="2" customFormat="1" ht="15" customHeight="1">
      <c r="A48" s="74"/>
      <c r="B48" s="156"/>
      <c r="C48" s="270" t="s">
        <v>6</v>
      </c>
      <c r="D48" s="270" t="s">
        <v>722</v>
      </c>
      <c r="H48" s="155"/>
      <c r="J48" s="20"/>
      <c r="K48" s="36"/>
      <c r="L48" s="123"/>
      <c r="M48" s="123"/>
      <c r="N48" s="123"/>
      <c r="O48" s="123"/>
      <c r="P48" s="123"/>
      <c r="Q48" s="123"/>
      <c r="R48" s="23"/>
    </row>
    <row r="49" spans="1:18" s="2" customFormat="1" ht="18" customHeight="1">
      <c r="A49" s="74"/>
      <c r="B49" s="111" t="s">
        <v>40</v>
      </c>
      <c r="C49" s="277"/>
      <c r="D49" s="321"/>
      <c r="E49" s="322"/>
      <c r="J49" s="20"/>
      <c r="K49" s="36"/>
      <c r="L49" s="123"/>
      <c r="M49" s="123"/>
      <c r="N49" s="123"/>
      <c r="O49" s="123"/>
      <c r="P49" s="123"/>
      <c r="Q49" s="23"/>
      <c r="R49" s="23"/>
    </row>
    <row r="50" spans="1:18" s="2" customFormat="1" ht="14.15" customHeight="1">
      <c r="A50" s="74"/>
      <c r="J50" s="20"/>
      <c r="K50" s="36"/>
      <c r="L50" s="123"/>
      <c r="M50" s="123"/>
      <c r="N50" s="123"/>
      <c r="O50" s="123"/>
      <c r="P50" s="123"/>
      <c r="Q50" s="123"/>
      <c r="R50" s="21"/>
    </row>
    <row r="51" spans="1:18" s="2" customFormat="1" ht="14.25" hidden="1" customHeight="1">
      <c r="A51" s="74"/>
      <c r="J51" s="20"/>
      <c r="K51" s="123"/>
      <c r="L51" s="123"/>
      <c r="M51" s="123"/>
      <c r="N51" s="123"/>
      <c r="O51" s="123"/>
      <c r="P51" s="123"/>
      <c r="Q51" s="23"/>
      <c r="R51" s="123"/>
    </row>
    <row r="52" spans="1:18" s="2" customFormat="1" ht="14.15" hidden="1" customHeight="1">
      <c r="A52" s="74"/>
      <c r="J52" s="20"/>
      <c r="K52" s="123"/>
      <c r="L52" s="123"/>
      <c r="M52" s="123"/>
      <c r="N52" s="123"/>
      <c r="O52" s="123"/>
      <c r="P52" s="123"/>
      <c r="Q52" s="123"/>
      <c r="R52" s="23"/>
    </row>
    <row r="53" spans="1:18" s="2" customFormat="1" ht="14.15" hidden="1" customHeight="1">
      <c r="A53" s="74"/>
      <c r="J53" s="20"/>
      <c r="K53" s="123"/>
      <c r="L53" s="123"/>
      <c r="M53" s="123"/>
      <c r="N53" s="123"/>
      <c r="O53" s="123"/>
      <c r="P53" s="41"/>
      <c r="Q53" s="123"/>
      <c r="R53" s="23"/>
    </row>
    <row r="54" spans="1:18" s="2" customFormat="1" hidden="1">
      <c r="A54" s="74"/>
      <c r="J54" s="20"/>
      <c r="K54" s="123"/>
      <c r="L54" s="123"/>
      <c r="M54" s="123"/>
      <c r="N54" s="123"/>
      <c r="O54" s="123"/>
      <c r="P54" s="123"/>
      <c r="Q54" s="123"/>
      <c r="R54" s="23"/>
    </row>
    <row r="55" spans="1:18" s="2" customFormat="1" hidden="1">
      <c r="A55" s="74"/>
      <c r="J55" s="123"/>
      <c r="K55" s="123"/>
      <c r="L55" s="123"/>
      <c r="M55" s="123"/>
      <c r="N55" s="123"/>
      <c r="O55" s="123"/>
      <c r="P55" s="123"/>
      <c r="Q55" s="123"/>
      <c r="R55" s="123"/>
    </row>
    <row r="56" spans="1:18" s="2" customFormat="1" hidden="1">
      <c r="A56" s="74"/>
      <c r="J56" s="20"/>
      <c r="K56" s="123"/>
      <c r="L56" s="123"/>
      <c r="M56" s="123"/>
      <c r="N56" s="123"/>
      <c r="O56" s="123"/>
      <c r="P56" s="123"/>
      <c r="Q56" s="123"/>
      <c r="R56" s="123"/>
    </row>
    <row r="57" spans="1:18" s="2" customFormat="1" hidden="1">
      <c r="A57" s="74"/>
      <c r="J57" s="20"/>
      <c r="K57" s="123"/>
      <c r="L57" s="123"/>
      <c r="M57" s="123"/>
      <c r="N57" s="123"/>
      <c r="O57" s="123"/>
      <c r="P57" s="42"/>
      <c r="Q57" s="123"/>
      <c r="R57" s="123"/>
    </row>
    <row r="58" spans="1:18" s="2" customFormat="1" ht="12.5" hidden="1">
      <c r="A58" s="74"/>
      <c r="J58" s="20"/>
      <c r="K58" s="123"/>
      <c r="L58" s="123"/>
      <c r="M58" s="43"/>
      <c r="N58" s="123"/>
      <c r="O58" s="123"/>
      <c r="P58" s="123"/>
      <c r="Q58" s="19"/>
      <c r="R58" s="123"/>
    </row>
    <row r="59" spans="1:18" s="2" customFormat="1" hidden="1">
      <c r="A59" s="74"/>
      <c r="J59" s="20"/>
      <c r="K59" s="123"/>
      <c r="L59" s="123"/>
      <c r="M59" s="123"/>
      <c r="N59" s="123"/>
      <c r="O59" s="123"/>
      <c r="P59" s="123"/>
      <c r="Q59" s="19"/>
      <c r="R59" s="123"/>
    </row>
    <row r="60" spans="1:18" s="2" customFormat="1" ht="12.5" hidden="1">
      <c r="A60" s="74"/>
      <c r="J60" s="20"/>
      <c r="K60" s="123"/>
      <c r="L60" s="123"/>
      <c r="M60" s="43"/>
      <c r="N60" s="123"/>
      <c r="O60" s="123"/>
      <c r="P60" s="123"/>
      <c r="Q60" s="19"/>
      <c r="R60" s="123"/>
    </row>
    <row r="61" spans="1:18" s="2" customFormat="1" hidden="1">
      <c r="A61" s="74"/>
      <c r="J61" s="20"/>
      <c r="K61" s="123"/>
      <c r="L61" s="123"/>
      <c r="M61" s="123"/>
      <c r="N61" s="123"/>
      <c r="O61" s="123"/>
      <c r="P61" s="123"/>
      <c r="Q61" s="123"/>
      <c r="R61" s="123"/>
    </row>
    <row r="62" spans="1:18" s="2" customFormat="1" hidden="1">
      <c r="A62" s="74"/>
      <c r="J62" s="20"/>
      <c r="K62" s="123"/>
      <c r="L62" s="123"/>
      <c r="M62" s="123"/>
      <c r="N62" s="123"/>
      <c r="O62" s="123"/>
      <c r="P62" s="123"/>
      <c r="Q62" s="123"/>
      <c r="R62" s="123"/>
    </row>
    <row r="63" spans="1:18" s="2" customFormat="1" hidden="1">
      <c r="A63" s="74"/>
      <c r="J63" s="20"/>
      <c r="K63" s="123"/>
      <c r="L63" s="123"/>
      <c r="M63" s="123"/>
      <c r="N63" s="123"/>
      <c r="O63" s="123"/>
      <c r="P63" s="123"/>
      <c r="Q63" s="123"/>
      <c r="R63" s="123"/>
    </row>
    <row r="64" spans="1:18" s="2" customFormat="1" hidden="1">
      <c r="A64" s="74"/>
      <c r="J64" s="20"/>
      <c r="K64" s="123"/>
      <c r="L64" s="123"/>
      <c r="M64" s="123"/>
      <c r="N64" s="123"/>
      <c r="O64" s="123"/>
      <c r="P64" s="23"/>
      <c r="Q64" s="123"/>
      <c r="R64" s="123"/>
    </row>
    <row r="65" spans="1:18" s="2" customFormat="1" hidden="1">
      <c r="A65" s="74"/>
      <c r="J65" s="20"/>
      <c r="K65" s="123"/>
      <c r="L65" s="123"/>
      <c r="M65" s="123"/>
      <c r="N65" s="123"/>
      <c r="O65" s="123"/>
      <c r="P65" s="123"/>
      <c r="Q65" s="123"/>
      <c r="R65" s="123"/>
    </row>
    <row r="66" spans="1:18" s="2" customFormat="1" hidden="1">
      <c r="A66" s="74"/>
      <c r="J66" s="20"/>
      <c r="K66" s="123"/>
      <c r="L66" s="123"/>
      <c r="M66" s="123"/>
      <c r="N66" s="123"/>
      <c r="O66" s="123"/>
      <c r="P66" s="123"/>
      <c r="Q66" s="123"/>
      <c r="R66" s="23"/>
    </row>
    <row r="67" spans="1:18" s="2" customFormat="1" hidden="1">
      <c r="A67" s="74"/>
      <c r="J67" s="20"/>
      <c r="K67" s="123"/>
      <c r="L67" s="123"/>
      <c r="M67" s="123"/>
      <c r="N67" s="123"/>
      <c r="O67" s="123"/>
      <c r="P67" s="123"/>
      <c r="Q67" s="123"/>
      <c r="R67" s="23"/>
    </row>
    <row r="68" spans="1:18" s="2" customFormat="1" hidden="1">
      <c r="A68" s="74"/>
      <c r="J68" s="20"/>
      <c r="K68" s="123"/>
      <c r="L68" s="123"/>
      <c r="M68" s="123"/>
      <c r="N68" s="123"/>
      <c r="O68" s="123"/>
      <c r="P68" s="123"/>
      <c r="Q68" s="123"/>
      <c r="R68" s="23"/>
    </row>
    <row r="69" spans="1:18" s="2" customFormat="1" ht="12.5" hidden="1">
      <c r="A69" s="74"/>
      <c r="J69" s="20"/>
      <c r="K69" s="123"/>
      <c r="L69" s="123"/>
      <c r="M69" s="43"/>
      <c r="N69" s="123"/>
      <c r="O69" s="123"/>
      <c r="P69" s="123"/>
      <c r="Q69" s="19"/>
      <c r="R69" s="23"/>
    </row>
    <row r="70" spans="1:18" s="2" customFormat="1" hidden="1">
      <c r="A70" s="74"/>
      <c r="J70" s="20"/>
      <c r="K70" s="123"/>
      <c r="L70" s="123"/>
      <c r="M70" s="123"/>
      <c r="N70" s="123"/>
      <c r="O70" s="123"/>
      <c r="P70" s="123"/>
      <c r="Q70" s="123"/>
      <c r="R70" s="123"/>
    </row>
    <row r="71" spans="1:18" s="2" customFormat="1" hidden="1">
      <c r="A71" s="74"/>
      <c r="J71" s="20"/>
      <c r="K71" s="123"/>
      <c r="L71" s="123"/>
      <c r="M71" s="123"/>
      <c r="N71" s="123"/>
      <c r="O71" s="123"/>
      <c r="P71" s="123"/>
      <c r="Q71" s="123"/>
      <c r="R71" s="123"/>
    </row>
    <row r="72" spans="1:18" s="2" customFormat="1" hidden="1">
      <c r="A72" s="74"/>
      <c r="J72" s="20"/>
      <c r="K72" s="123"/>
      <c r="L72" s="123"/>
      <c r="M72" s="123"/>
      <c r="N72" s="123"/>
      <c r="O72" s="123"/>
      <c r="P72" s="123"/>
      <c r="Q72" s="123"/>
      <c r="R72" s="123"/>
    </row>
    <row r="73" spans="1:18" s="2" customFormat="1" hidden="1">
      <c r="A73" s="74"/>
      <c r="J73" s="20"/>
      <c r="K73" s="123"/>
      <c r="L73" s="123"/>
      <c r="M73" s="123"/>
      <c r="N73" s="123"/>
      <c r="O73" s="123"/>
      <c r="P73" s="123"/>
      <c r="Q73" s="123"/>
      <c r="R73" s="123"/>
    </row>
    <row r="74" spans="1:18" s="2" customFormat="1" hidden="1">
      <c r="A74" s="74"/>
      <c r="J74" s="20"/>
      <c r="K74" s="123"/>
      <c r="L74" s="123"/>
      <c r="M74" s="123"/>
      <c r="N74" s="123"/>
      <c r="O74" s="123"/>
      <c r="P74" s="123"/>
      <c r="Q74" s="123"/>
      <c r="R74" s="123"/>
    </row>
    <row r="75" spans="1:18" s="2" customFormat="1" hidden="1">
      <c r="A75" s="74"/>
      <c r="J75" s="20"/>
      <c r="K75" s="123"/>
      <c r="L75" s="123"/>
      <c r="M75" s="123"/>
      <c r="N75" s="123"/>
      <c r="O75" s="44"/>
      <c r="P75" s="27"/>
      <c r="Q75" s="45"/>
      <c r="R75" s="123"/>
    </row>
    <row r="76" spans="1:18" s="2" customFormat="1" hidden="1">
      <c r="A76" s="74"/>
      <c r="J76" s="20"/>
      <c r="K76" s="123"/>
      <c r="L76" s="123"/>
      <c r="M76" s="123"/>
      <c r="N76" s="123"/>
      <c r="O76" s="44"/>
      <c r="P76" s="27"/>
      <c r="Q76" s="45"/>
      <c r="R76" s="27"/>
    </row>
    <row r="77" spans="1:18" s="2" customFormat="1" hidden="1">
      <c r="A77" s="74"/>
      <c r="F77" s="1"/>
      <c r="J77" s="20"/>
      <c r="K77" s="123"/>
      <c r="L77" s="123"/>
      <c r="M77" s="123"/>
      <c r="N77" s="123"/>
      <c r="O77" s="44"/>
      <c r="P77" s="27"/>
      <c r="Q77" s="45"/>
      <c r="R77" s="27"/>
    </row>
    <row r="78" spans="1:18" s="2" customFormat="1" hidden="1">
      <c r="A78" s="74"/>
      <c r="F78" s="1"/>
      <c r="J78" s="20"/>
      <c r="K78" s="123"/>
      <c r="L78" s="123"/>
      <c r="M78" s="123"/>
      <c r="N78" s="123"/>
      <c r="O78" s="44"/>
      <c r="P78" s="123"/>
      <c r="Q78" s="45"/>
      <c r="R78" s="27"/>
    </row>
    <row r="79" spans="1:18" s="2" customFormat="1" hidden="1">
      <c r="A79" s="74"/>
      <c r="B79" s="1"/>
      <c r="C79" s="1"/>
      <c r="D79" s="1"/>
      <c r="E79" s="1"/>
      <c r="J79" s="20"/>
      <c r="K79" s="123"/>
      <c r="L79" s="123"/>
      <c r="M79" s="123"/>
      <c r="N79" s="123"/>
      <c r="O79" s="44"/>
      <c r="P79" s="123"/>
      <c r="Q79" s="45"/>
      <c r="R79" s="27"/>
    </row>
    <row r="80" spans="1:18" s="2" customFormat="1" ht="10.5" hidden="1" customHeight="1">
      <c r="A80" s="74"/>
      <c r="B80" s="1"/>
      <c r="C80" s="1"/>
      <c r="D80" s="1"/>
      <c r="E80" s="1"/>
      <c r="J80" s="20"/>
      <c r="K80" s="123"/>
      <c r="L80" s="123"/>
      <c r="M80" s="123"/>
      <c r="N80" s="123"/>
      <c r="O80" s="123"/>
      <c r="P80" s="123"/>
      <c r="Q80" s="123"/>
      <c r="R80" s="123"/>
    </row>
    <row r="81" spans="1:16382" s="2" customFormat="1" ht="10.5" hidden="1" customHeight="1">
      <c r="A81" s="74"/>
      <c r="J81" s="20"/>
      <c r="K81" s="123"/>
      <c r="L81" s="123"/>
      <c r="M81" s="123"/>
      <c r="N81" s="123"/>
      <c r="O81" s="123"/>
      <c r="P81" s="123"/>
      <c r="Q81" s="123"/>
      <c r="R81" s="123"/>
    </row>
    <row r="82" spans="1:16382" s="2" customFormat="1" ht="10.5" hidden="1" customHeight="1">
      <c r="A82" s="74"/>
      <c r="J82" s="23"/>
      <c r="K82" s="23"/>
      <c r="L82" s="23"/>
      <c r="M82" s="23"/>
      <c r="N82" s="23"/>
      <c r="O82" s="23"/>
      <c r="P82" s="23"/>
      <c r="Q82" s="23"/>
      <c r="R82" s="23"/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  <c r="AS82" s="1"/>
      <c r="AT82" s="1"/>
      <c r="AU82" s="1"/>
      <c r="AV82" s="1"/>
      <c r="AW82" s="1"/>
      <c r="AX82" s="1"/>
      <c r="AY82" s="1"/>
      <c r="AZ82" s="1"/>
      <c r="BA82" s="1"/>
      <c r="BB82" s="1"/>
      <c r="BC82" s="1"/>
      <c r="BD82" s="1"/>
      <c r="BE82" s="1"/>
      <c r="BF82" s="1"/>
      <c r="BG82" s="1"/>
      <c r="BH82" s="1"/>
      <c r="BI82" s="1"/>
      <c r="BJ82" s="1"/>
      <c r="BK82" s="1"/>
      <c r="BL82" s="1"/>
      <c r="BM82" s="1"/>
      <c r="BN82" s="1"/>
      <c r="BO82" s="1"/>
      <c r="BP82" s="1"/>
      <c r="BQ82" s="1"/>
      <c r="BR82" s="1"/>
      <c r="BS82" s="1"/>
      <c r="BT82" s="1"/>
      <c r="BU82" s="1"/>
      <c r="BV82" s="1"/>
      <c r="BW82" s="1"/>
      <c r="BX82" s="1"/>
      <c r="BY82" s="1"/>
      <c r="BZ82" s="1"/>
      <c r="CA82" s="1"/>
      <c r="CB82" s="1"/>
      <c r="CC82" s="1"/>
      <c r="CD82" s="1"/>
      <c r="CE82" s="1"/>
      <c r="CF82" s="1"/>
      <c r="CG82" s="1"/>
      <c r="CH82" s="1"/>
      <c r="CI82" s="1"/>
      <c r="CJ82" s="1"/>
      <c r="CK82" s="1"/>
      <c r="CL82" s="1"/>
      <c r="CM82" s="1"/>
      <c r="CN82" s="1"/>
      <c r="CO82" s="1"/>
      <c r="CP82" s="1"/>
      <c r="CQ82" s="1"/>
      <c r="CR82" s="1"/>
      <c r="CS82" s="1"/>
      <c r="CT82" s="1"/>
      <c r="CU82" s="1"/>
      <c r="CV82" s="1"/>
      <c r="CW82" s="1"/>
      <c r="CX82" s="1"/>
      <c r="CY82" s="1"/>
      <c r="CZ82" s="1"/>
      <c r="DA82" s="1"/>
      <c r="DB82" s="1"/>
      <c r="DC82" s="1"/>
      <c r="DD82" s="1"/>
      <c r="DE82" s="1"/>
      <c r="DF82" s="1"/>
      <c r="DG82" s="1"/>
      <c r="DH82" s="1"/>
      <c r="DI82" s="1"/>
      <c r="DJ82" s="1"/>
      <c r="DK82" s="1"/>
      <c r="DL82" s="1"/>
      <c r="DM82" s="1"/>
      <c r="DN82" s="1"/>
      <c r="DO82" s="1"/>
      <c r="DP82" s="1"/>
      <c r="DQ82" s="1"/>
      <c r="DR82" s="1"/>
      <c r="DS82" s="1"/>
      <c r="DT82" s="1"/>
      <c r="DU82" s="1"/>
      <c r="DV82" s="1"/>
      <c r="DW82" s="1"/>
      <c r="DX82" s="1"/>
      <c r="DY82" s="1"/>
      <c r="DZ82" s="1"/>
      <c r="EA82" s="1"/>
      <c r="EB82" s="1"/>
      <c r="EC82" s="1"/>
      <c r="ED82" s="1"/>
      <c r="EE82" s="1"/>
      <c r="EF82" s="1"/>
      <c r="EG82" s="1"/>
      <c r="EH82" s="1"/>
      <c r="EI82" s="1"/>
      <c r="EJ82" s="1"/>
      <c r="EK82" s="1"/>
      <c r="EL82" s="1"/>
      <c r="EM82" s="1"/>
      <c r="EN82" s="1"/>
      <c r="EO82" s="1"/>
      <c r="EP82" s="1"/>
      <c r="EQ82" s="1"/>
      <c r="ER82" s="1"/>
      <c r="ES82" s="1"/>
      <c r="ET82" s="1"/>
      <c r="EU82" s="1"/>
      <c r="EV82" s="1"/>
      <c r="EW82" s="1"/>
      <c r="EX82" s="1"/>
      <c r="EY82" s="1"/>
      <c r="EZ82" s="1"/>
      <c r="FA82" s="1"/>
      <c r="FB82" s="1"/>
      <c r="FC82" s="1"/>
      <c r="FD82" s="1"/>
      <c r="FE82" s="1"/>
      <c r="FF82" s="1"/>
      <c r="FG82" s="1"/>
      <c r="FH82" s="1"/>
      <c r="FI82" s="1"/>
      <c r="FJ82" s="1"/>
      <c r="FK82" s="1"/>
      <c r="FL82" s="1"/>
      <c r="FM82" s="1"/>
      <c r="FN82" s="1"/>
      <c r="FO82" s="1"/>
      <c r="FP82" s="1"/>
      <c r="FQ82" s="1"/>
      <c r="FR82" s="1"/>
      <c r="FS82" s="1"/>
      <c r="FT82" s="1"/>
      <c r="FU82" s="1"/>
      <c r="FV82" s="1"/>
      <c r="FW82" s="1"/>
      <c r="FX82" s="1"/>
      <c r="FY82" s="1"/>
      <c r="FZ82" s="1"/>
      <c r="GA82" s="1"/>
      <c r="GB82" s="1"/>
      <c r="GC82" s="1"/>
      <c r="GD82" s="1"/>
      <c r="GE82" s="1"/>
      <c r="GF82" s="1"/>
      <c r="GG82" s="1"/>
      <c r="GH82" s="1"/>
      <c r="GI82" s="1"/>
      <c r="GJ82" s="1"/>
      <c r="GK82" s="1"/>
      <c r="GL82" s="1"/>
      <c r="GM82" s="1"/>
      <c r="GN82" s="1"/>
      <c r="GO82" s="1"/>
      <c r="GP82" s="1"/>
      <c r="GQ82" s="1"/>
      <c r="GR82" s="1"/>
      <c r="GS82" s="1"/>
      <c r="GT82" s="1"/>
      <c r="GU82" s="1"/>
      <c r="GV82" s="1"/>
      <c r="GW82" s="1"/>
      <c r="GX82" s="1"/>
      <c r="GY82" s="1"/>
      <c r="GZ82" s="1"/>
      <c r="HA82" s="1"/>
      <c r="HB82" s="1"/>
      <c r="HC82" s="1"/>
      <c r="HD82" s="1"/>
      <c r="HE82" s="1"/>
      <c r="HF82" s="1"/>
      <c r="HG82" s="1"/>
      <c r="HH82" s="1"/>
      <c r="HI82" s="1"/>
      <c r="HJ82" s="1"/>
      <c r="HK82" s="1"/>
      <c r="HL82" s="1"/>
      <c r="HM82" s="1"/>
      <c r="HN82" s="1"/>
      <c r="HO82" s="1"/>
      <c r="HP82" s="1"/>
      <c r="HQ82" s="1"/>
      <c r="HR82" s="1"/>
      <c r="HS82" s="1"/>
      <c r="HT82" s="1"/>
      <c r="HU82" s="1"/>
      <c r="HV82" s="1"/>
      <c r="HW82" s="1"/>
      <c r="HX82" s="1"/>
      <c r="HY82" s="1"/>
      <c r="HZ82" s="1"/>
      <c r="IA82" s="1"/>
      <c r="IB82" s="1"/>
      <c r="IC82" s="1"/>
      <c r="ID82" s="1"/>
      <c r="IE82" s="1"/>
      <c r="IF82" s="1"/>
      <c r="IG82" s="1"/>
      <c r="IH82" s="1"/>
      <c r="II82" s="1"/>
      <c r="IJ82" s="1"/>
      <c r="IK82" s="1"/>
      <c r="IL82" s="1"/>
      <c r="IM82" s="1"/>
      <c r="IN82" s="1"/>
      <c r="IO82" s="1"/>
      <c r="IP82" s="1"/>
      <c r="IQ82" s="1"/>
      <c r="IR82" s="1"/>
      <c r="IS82" s="1"/>
      <c r="IT82" s="1"/>
      <c r="IU82" s="1"/>
      <c r="IV82" s="1"/>
      <c r="IW82" s="1"/>
      <c r="IX82" s="1"/>
      <c r="IY82" s="1"/>
      <c r="IZ82" s="1"/>
      <c r="JA82" s="1"/>
      <c r="JB82" s="1"/>
      <c r="JC82" s="1"/>
      <c r="JD82" s="1"/>
      <c r="JE82" s="1"/>
      <c r="JF82" s="1"/>
      <c r="JG82" s="1"/>
      <c r="JH82" s="1"/>
      <c r="JI82" s="1"/>
      <c r="JJ82" s="1"/>
      <c r="JK82" s="1"/>
      <c r="JL82" s="1"/>
      <c r="JM82" s="1"/>
      <c r="JN82" s="1"/>
      <c r="JO82" s="1"/>
      <c r="JP82" s="1"/>
      <c r="JQ82" s="1"/>
      <c r="JR82" s="1"/>
      <c r="JS82" s="1"/>
      <c r="JT82" s="1"/>
      <c r="JU82" s="1"/>
      <c r="JV82" s="1"/>
      <c r="JW82" s="1"/>
      <c r="JX82" s="1"/>
      <c r="JY82" s="1"/>
      <c r="JZ82" s="1"/>
      <c r="KA82" s="1"/>
      <c r="KB82" s="1"/>
      <c r="KC82" s="1"/>
      <c r="KD82" s="1"/>
      <c r="KE82" s="1"/>
      <c r="KF82" s="1"/>
      <c r="KG82" s="1"/>
      <c r="KH82" s="1"/>
      <c r="KI82" s="1"/>
      <c r="KJ82" s="1"/>
      <c r="KK82" s="1"/>
      <c r="KL82" s="1"/>
      <c r="KM82" s="1"/>
      <c r="KN82" s="1"/>
      <c r="KO82" s="1"/>
      <c r="KP82" s="1"/>
      <c r="KQ82" s="1"/>
      <c r="KR82" s="1"/>
      <c r="KS82" s="1"/>
      <c r="KT82" s="1"/>
      <c r="KU82" s="1"/>
      <c r="KV82" s="1"/>
      <c r="KW82" s="1"/>
      <c r="KX82" s="1"/>
      <c r="KY82" s="1"/>
      <c r="KZ82" s="1"/>
      <c r="LA82" s="1"/>
      <c r="LB82" s="1"/>
      <c r="LC82" s="1"/>
      <c r="LD82" s="1"/>
      <c r="LE82" s="1"/>
      <c r="LF82" s="1"/>
      <c r="LG82" s="1"/>
      <c r="LH82" s="1"/>
      <c r="LI82" s="1"/>
      <c r="LJ82" s="1"/>
      <c r="LK82" s="1"/>
      <c r="LL82" s="1"/>
      <c r="LM82" s="1"/>
      <c r="LN82" s="1"/>
      <c r="LO82" s="1"/>
      <c r="LP82" s="1"/>
      <c r="LQ82" s="1"/>
      <c r="LR82" s="1"/>
      <c r="LS82" s="1"/>
      <c r="LT82" s="1"/>
      <c r="LU82" s="1"/>
      <c r="LV82" s="1"/>
      <c r="LW82" s="1"/>
      <c r="LX82" s="1"/>
      <c r="LY82" s="1"/>
      <c r="LZ82" s="1"/>
      <c r="MA82" s="1"/>
      <c r="MB82" s="1"/>
      <c r="MC82" s="1"/>
      <c r="MD82" s="1"/>
      <c r="ME82" s="1"/>
      <c r="MF82" s="1"/>
      <c r="MG82" s="1"/>
      <c r="MH82" s="1"/>
      <c r="MI82" s="1"/>
      <c r="MJ82" s="1"/>
      <c r="MK82" s="1"/>
      <c r="ML82" s="1"/>
      <c r="MM82" s="1"/>
      <c r="MN82" s="1"/>
      <c r="MO82" s="1"/>
      <c r="MP82" s="1"/>
      <c r="MQ82" s="1"/>
      <c r="MR82" s="1"/>
      <c r="MS82" s="1"/>
      <c r="MT82" s="1"/>
      <c r="MU82" s="1"/>
      <c r="MV82" s="1"/>
      <c r="MW82" s="1"/>
      <c r="MX82" s="1"/>
      <c r="MY82" s="1"/>
      <c r="MZ82" s="1"/>
      <c r="NA82" s="1"/>
      <c r="NB82" s="1"/>
      <c r="NC82" s="1"/>
      <c r="ND82" s="1"/>
      <c r="NE82" s="1"/>
      <c r="NF82" s="1"/>
      <c r="NG82" s="1"/>
      <c r="NH82" s="1"/>
      <c r="NI82" s="1"/>
      <c r="NJ82" s="1"/>
      <c r="NK82" s="1"/>
      <c r="NL82" s="1"/>
      <c r="NM82" s="1"/>
      <c r="NN82" s="1"/>
      <c r="NO82" s="1"/>
      <c r="NP82" s="1"/>
      <c r="NQ82" s="1"/>
      <c r="NR82" s="1"/>
      <c r="NS82" s="1"/>
      <c r="NT82" s="1"/>
      <c r="NU82" s="1"/>
      <c r="NV82" s="1"/>
      <c r="NW82" s="1"/>
      <c r="NX82" s="1"/>
      <c r="NY82" s="1"/>
      <c r="NZ82" s="1"/>
      <c r="OA82" s="1"/>
      <c r="OB82" s="1"/>
      <c r="OC82" s="1"/>
      <c r="OD82" s="1"/>
      <c r="OE82" s="1"/>
      <c r="OF82" s="1"/>
      <c r="OG82" s="1"/>
      <c r="OH82" s="1"/>
      <c r="OI82" s="1"/>
      <c r="OJ82" s="1"/>
      <c r="OK82" s="1"/>
      <c r="OL82" s="1"/>
      <c r="OM82" s="1"/>
      <c r="ON82" s="1"/>
      <c r="OO82" s="1"/>
      <c r="OP82" s="1"/>
      <c r="OQ82" s="1"/>
      <c r="OR82" s="1"/>
      <c r="OS82" s="1"/>
      <c r="OT82" s="1"/>
      <c r="OU82" s="1"/>
      <c r="OV82" s="1"/>
      <c r="OW82" s="1"/>
      <c r="OX82" s="1"/>
      <c r="OY82" s="1"/>
      <c r="OZ82" s="1"/>
      <c r="PA82" s="1"/>
      <c r="PB82" s="1"/>
      <c r="PC82" s="1"/>
      <c r="PD82" s="1"/>
      <c r="PE82" s="1"/>
      <c r="PF82" s="1"/>
      <c r="PG82" s="1"/>
      <c r="PH82" s="1"/>
      <c r="PI82" s="1"/>
      <c r="PJ82" s="1"/>
      <c r="PK82" s="1"/>
      <c r="PL82" s="1"/>
      <c r="PM82" s="1"/>
      <c r="PN82" s="1"/>
      <c r="PO82" s="1"/>
      <c r="PP82" s="1"/>
      <c r="PQ82" s="1"/>
      <c r="PR82" s="1"/>
      <c r="PS82" s="1"/>
      <c r="PT82" s="1"/>
      <c r="PU82" s="1"/>
      <c r="PV82" s="1"/>
      <c r="PW82" s="1"/>
      <c r="PX82" s="1"/>
      <c r="PY82" s="1"/>
      <c r="PZ82" s="1"/>
      <c r="QA82" s="1"/>
      <c r="QB82" s="1"/>
      <c r="QC82" s="1"/>
      <c r="QD82" s="1"/>
      <c r="QE82" s="1"/>
      <c r="QF82" s="1"/>
      <c r="QG82" s="1"/>
      <c r="QH82" s="1"/>
      <c r="QI82" s="1"/>
      <c r="QJ82" s="1"/>
      <c r="QK82" s="1"/>
      <c r="QL82" s="1"/>
      <c r="QM82" s="1"/>
      <c r="QN82" s="1"/>
      <c r="QO82" s="1"/>
      <c r="QP82" s="1"/>
      <c r="QQ82" s="1"/>
      <c r="QR82" s="1"/>
      <c r="QS82" s="1"/>
      <c r="QT82" s="1"/>
      <c r="QU82" s="1"/>
      <c r="QV82" s="1"/>
      <c r="QW82" s="1"/>
      <c r="QX82" s="1"/>
      <c r="QY82" s="1"/>
      <c r="QZ82" s="1"/>
      <c r="RA82" s="1"/>
      <c r="RB82" s="1"/>
      <c r="RC82" s="1"/>
      <c r="RD82" s="1"/>
      <c r="RE82" s="1"/>
      <c r="RF82" s="1"/>
      <c r="RG82" s="1"/>
      <c r="RH82" s="1"/>
      <c r="RI82" s="1"/>
      <c r="RJ82" s="1"/>
      <c r="RK82" s="1"/>
      <c r="RL82" s="1"/>
      <c r="RM82" s="1"/>
      <c r="RN82" s="1"/>
      <c r="RO82" s="1"/>
      <c r="RP82" s="1"/>
      <c r="RQ82" s="1"/>
      <c r="RR82" s="1"/>
      <c r="RS82" s="1"/>
      <c r="RT82" s="1"/>
      <c r="RU82" s="1"/>
      <c r="RV82" s="1"/>
      <c r="RW82" s="1"/>
      <c r="RX82" s="1"/>
      <c r="RY82" s="1"/>
      <c r="RZ82" s="1"/>
      <c r="SA82" s="1"/>
      <c r="SB82" s="1"/>
      <c r="SC82" s="1"/>
      <c r="SD82" s="1"/>
      <c r="SE82" s="1"/>
      <c r="SF82" s="1"/>
      <c r="SG82" s="1"/>
      <c r="SH82" s="1"/>
      <c r="SI82" s="1"/>
      <c r="SJ82" s="1"/>
      <c r="SK82" s="1"/>
      <c r="SL82" s="1"/>
      <c r="SM82" s="1"/>
      <c r="SN82" s="1"/>
      <c r="SO82" s="1"/>
      <c r="SP82" s="1"/>
      <c r="SQ82" s="1"/>
      <c r="SR82" s="1"/>
      <c r="SS82" s="1"/>
      <c r="ST82" s="1"/>
      <c r="SU82" s="1"/>
      <c r="SV82" s="1"/>
      <c r="SW82" s="1"/>
      <c r="SX82" s="1"/>
      <c r="SY82" s="1"/>
      <c r="SZ82" s="1"/>
      <c r="TA82" s="1"/>
      <c r="TB82" s="1"/>
      <c r="TC82" s="1"/>
      <c r="TD82" s="1"/>
      <c r="TE82" s="1"/>
      <c r="TF82" s="1"/>
      <c r="TG82" s="1"/>
      <c r="TH82" s="1"/>
      <c r="TI82" s="1"/>
      <c r="TJ82" s="1"/>
      <c r="TK82" s="1"/>
      <c r="TL82" s="1"/>
      <c r="TM82" s="1"/>
      <c r="TN82" s="1"/>
      <c r="TO82" s="1"/>
      <c r="TP82" s="1"/>
      <c r="TQ82" s="1"/>
      <c r="TR82" s="1"/>
      <c r="TS82" s="1"/>
      <c r="TT82" s="1"/>
      <c r="TU82" s="1"/>
      <c r="TV82" s="1"/>
      <c r="TW82" s="1"/>
      <c r="TX82" s="1"/>
      <c r="TY82" s="1"/>
      <c r="TZ82" s="1"/>
      <c r="UA82" s="1"/>
      <c r="UB82" s="1"/>
      <c r="UC82" s="1"/>
      <c r="UD82" s="1"/>
      <c r="UE82" s="1"/>
      <c r="UF82" s="1"/>
      <c r="UG82" s="1"/>
      <c r="UH82" s="1"/>
      <c r="UI82" s="1"/>
      <c r="UJ82" s="1"/>
      <c r="UK82" s="1"/>
      <c r="UL82" s="1"/>
      <c r="UM82" s="1"/>
      <c r="UN82" s="1"/>
      <c r="UO82" s="1"/>
      <c r="UP82" s="1"/>
      <c r="UQ82" s="1"/>
      <c r="UR82" s="1"/>
      <c r="US82" s="1"/>
      <c r="UT82" s="1"/>
      <c r="UU82" s="1"/>
      <c r="UV82" s="1"/>
      <c r="UW82" s="1"/>
      <c r="UX82" s="1"/>
      <c r="UY82" s="1"/>
      <c r="UZ82" s="1"/>
      <c r="VA82" s="1"/>
      <c r="VB82" s="1"/>
      <c r="VC82" s="1"/>
      <c r="VD82" s="1"/>
      <c r="VE82" s="1"/>
      <c r="VF82" s="1"/>
      <c r="VG82" s="1"/>
      <c r="VH82" s="1"/>
      <c r="VI82" s="1"/>
      <c r="VJ82" s="1"/>
      <c r="VK82" s="1"/>
      <c r="VL82" s="1"/>
      <c r="VM82" s="1"/>
      <c r="VN82" s="1"/>
      <c r="VO82" s="1"/>
      <c r="VP82" s="1"/>
      <c r="VQ82" s="1"/>
      <c r="VR82" s="1"/>
      <c r="VS82" s="1"/>
      <c r="VT82" s="1"/>
      <c r="VU82" s="1"/>
      <c r="VV82" s="1"/>
      <c r="VW82" s="1"/>
      <c r="VX82" s="1"/>
      <c r="VY82" s="1"/>
      <c r="VZ82" s="1"/>
      <c r="WA82" s="1"/>
      <c r="WB82" s="1"/>
      <c r="WC82" s="1"/>
      <c r="WD82" s="1"/>
      <c r="WE82" s="1"/>
      <c r="WF82" s="1"/>
      <c r="WG82" s="1"/>
      <c r="WH82" s="1"/>
      <c r="WI82" s="1"/>
      <c r="WJ82" s="1"/>
      <c r="WK82" s="1"/>
      <c r="WL82" s="1"/>
      <c r="WM82" s="1"/>
      <c r="WN82" s="1"/>
      <c r="WO82" s="1"/>
      <c r="WP82" s="1"/>
      <c r="WQ82" s="1"/>
      <c r="WR82" s="1"/>
      <c r="WS82" s="1"/>
      <c r="WT82" s="1"/>
      <c r="WU82" s="1"/>
      <c r="WV82" s="1"/>
      <c r="WW82" s="1"/>
      <c r="WX82" s="1"/>
      <c r="WY82" s="1"/>
      <c r="WZ82" s="1"/>
      <c r="XA82" s="1"/>
      <c r="XB82" s="1"/>
      <c r="XC82" s="1"/>
      <c r="XD82" s="1"/>
      <c r="XE82" s="1"/>
      <c r="XF82" s="1"/>
      <c r="XG82" s="1"/>
      <c r="XH82" s="1"/>
      <c r="XI82" s="1"/>
      <c r="XJ82" s="1"/>
      <c r="XK82" s="1"/>
      <c r="XL82" s="1"/>
      <c r="XM82" s="1"/>
      <c r="XN82" s="1"/>
      <c r="XO82" s="1"/>
      <c r="XP82" s="1"/>
      <c r="XQ82" s="1"/>
      <c r="XR82" s="1"/>
      <c r="XS82" s="1"/>
      <c r="XT82" s="1"/>
      <c r="XU82" s="1"/>
      <c r="XV82" s="1"/>
      <c r="XW82" s="1"/>
      <c r="XX82" s="1"/>
      <c r="XY82" s="1"/>
      <c r="XZ82" s="1"/>
      <c r="YA82" s="1"/>
      <c r="YB82" s="1"/>
      <c r="YC82" s="1"/>
      <c r="YD82" s="1"/>
      <c r="YE82" s="1"/>
      <c r="YF82" s="1"/>
      <c r="YG82" s="1"/>
      <c r="YH82" s="1"/>
      <c r="YI82" s="1"/>
      <c r="YJ82" s="1"/>
      <c r="YK82" s="1"/>
      <c r="YL82" s="1"/>
      <c r="YM82" s="1"/>
      <c r="YN82" s="1"/>
      <c r="YO82" s="1"/>
      <c r="YP82" s="1"/>
      <c r="YQ82" s="1"/>
      <c r="YR82" s="1"/>
      <c r="YS82" s="1"/>
      <c r="YT82" s="1"/>
      <c r="YU82" s="1"/>
      <c r="YV82" s="1"/>
      <c r="YW82" s="1"/>
      <c r="YX82" s="1"/>
      <c r="YY82" s="1"/>
      <c r="YZ82" s="1"/>
      <c r="ZA82" s="1"/>
      <c r="ZB82" s="1"/>
      <c r="ZC82" s="1"/>
      <c r="ZD82" s="1"/>
      <c r="ZE82" s="1"/>
      <c r="ZF82" s="1"/>
      <c r="ZG82" s="1"/>
      <c r="ZH82" s="1"/>
      <c r="ZI82" s="1"/>
      <c r="ZJ82" s="1"/>
      <c r="ZK82" s="1"/>
      <c r="ZL82" s="1"/>
      <c r="ZM82" s="1"/>
      <c r="ZN82" s="1"/>
      <c r="ZO82" s="1"/>
      <c r="ZP82" s="1"/>
      <c r="ZQ82" s="1"/>
      <c r="ZR82" s="1"/>
      <c r="ZS82" s="1"/>
      <c r="ZT82" s="1"/>
      <c r="ZU82" s="1"/>
      <c r="ZV82" s="1"/>
      <c r="ZW82" s="1"/>
      <c r="ZX82" s="1"/>
      <c r="ZY82" s="1"/>
      <c r="ZZ82" s="1"/>
      <c r="AAA82" s="1"/>
      <c r="AAB82" s="1"/>
      <c r="AAC82" s="1"/>
      <c r="AAD82" s="1"/>
      <c r="AAE82" s="1"/>
      <c r="AAF82" s="1"/>
      <c r="AAG82" s="1"/>
      <c r="AAH82" s="1"/>
      <c r="AAI82" s="1"/>
      <c r="AAJ82" s="1"/>
      <c r="AAK82" s="1"/>
      <c r="AAL82" s="1"/>
      <c r="AAM82" s="1"/>
      <c r="AAN82" s="1"/>
      <c r="AAO82" s="1"/>
      <c r="AAP82" s="1"/>
      <c r="AAQ82" s="1"/>
      <c r="AAR82" s="1"/>
      <c r="AAS82" s="1"/>
      <c r="AAT82" s="1"/>
      <c r="AAU82" s="1"/>
      <c r="AAV82" s="1"/>
      <c r="AAW82" s="1"/>
      <c r="AAX82" s="1"/>
      <c r="AAY82" s="1"/>
      <c r="AAZ82" s="1"/>
      <c r="ABA82" s="1"/>
      <c r="ABB82" s="1"/>
      <c r="ABC82" s="1"/>
      <c r="ABD82" s="1"/>
      <c r="ABE82" s="1"/>
      <c r="ABF82" s="1"/>
      <c r="ABG82" s="1"/>
      <c r="ABH82" s="1"/>
      <c r="ABI82" s="1"/>
      <c r="ABJ82" s="1"/>
      <c r="ABK82" s="1"/>
      <c r="ABL82" s="1"/>
      <c r="ABM82" s="1"/>
      <c r="ABN82" s="1"/>
      <c r="ABO82" s="1"/>
      <c r="ABP82" s="1"/>
      <c r="ABQ82" s="1"/>
      <c r="ABR82" s="1"/>
      <c r="ABS82" s="1"/>
      <c r="ABT82" s="1"/>
      <c r="ABU82" s="1"/>
      <c r="ABV82" s="1"/>
      <c r="ABW82" s="1"/>
      <c r="ABX82" s="1"/>
      <c r="ABY82" s="1"/>
      <c r="ABZ82" s="1"/>
      <c r="ACA82" s="1"/>
      <c r="ACB82" s="1"/>
      <c r="ACC82" s="1"/>
      <c r="ACD82" s="1"/>
      <c r="ACE82" s="1"/>
      <c r="ACF82" s="1"/>
      <c r="ACG82" s="1"/>
      <c r="ACH82" s="1"/>
      <c r="ACI82" s="1"/>
      <c r="ACJ82" s="1"/>
      <c r="ACK82" s="1"/>
      <c r="ACL82" s="1"/>
      <c r="ACM82" s="1"/>
      <c r="ACN82" s="1"/>
      <c r="ACO82" s="1"/>
      <c r="ACP82" s="1"/>
      <c r="ACQ82" s="1"/>
      <c r="ACR82" s="1"/>
      <c r="ACS82" s="1"/>
      <c r="ACT82" s="1"/>
      <c r="ACU82" s="1"/>
      <c r="ACV82" s="1"/>
      <c r="ACW82" s="1"/>
      <c r="ACX82" s="1"/>
      <c r="ACY82" s="1"/>
      <c r="ACZ82" s="1"/>
      <c r="ADA82" s="1"/>
      <c r="ADB82" s="1"/>
      <c r="ADC82" s="1"/>
      <c r="ADD82" s="1"/>
      <c r="ADE82" s="1"/>
      <c r="ADF82" s="1"/>
      <c r="ADG82" s="1"/>
      <c r="ADH82" s="1"/>
      <c r="ADI82" s="1"/>
      <c r="ADJ82" s="1"/>
      <c r="ADK82" s="1"/>
      <c r="ADL82" s="1"/>
      <c r="ADM82" s="1"/>
      <c r="ADN82" s="1"/>
      <c r="ADO82" s="1"/>
      <c r="ADP82" s="1"/>
      <c r="ADQ82" s="1"/>
      <c r="ADR82" s="1"/>
      <c r="ADS82" s="1"/>
      <c r="ADT82" s="1"/>
      <c r="ADU82" s="1"/>
      <c r="ADV82" s="1"/>
      <c r="ADW82" s="1"/>
      <c r="ADX82" s="1"/>
      <c r="ADY82" s="1"/>
      <c r="ADZ82" s="1"/>
      <c r="AEA82" s="1"/>
      <c r="AEB82" s="1"/>
      <c r="AEC82" s="1"/>
      <c r="AED82" s="1"/>
      <c r="AEE82" s="1"/>
      <c r="AEF82" s="1"/>
      <c r="AEG82" s="1"/>
      <c r="AEH82" s="1"/>
      <c r="AEI82" s="1"/>
      <c r="AEJ82" s="1"/>
      <c r="AEK82" s="1"/>
      <c r="AEL82" s="1"/>
      <c r="AEM82" s="1"/>
      <c r="AEN82" s="1"/>
      <c r="AEO82" s="1"/>
      <c r="AEP82" s="1"/>
      <c r="AEQ82" s="1"/>
      <c r="AER82" s="1"/>
      <c r="AES82" s="1"/>
      <c r="AET82" s="1"/>
      <c r="AEU82" s="1"/>
      <c r="AEV82" s="1"/>
      <c r="AEW82" s="1"/>
      <c r="AEX82" s="1"/>
      <c r="AEY82" s="1"/>
      <c r="AEZ82" s="1"/>
      <c r="AFA82" s="1"/>
      <c r="AFB82" s="1"/>
      <c r="AFC82" s="1"/>
      <c r="AFD82" s="1"/>
      <c r="AFE82" s="1"/>
      <c r="AFF82" s="1"/>
      <c r="AFG82" s="1"/>
      <c r="AFH82" s="1"/>
      <c r="AFI82" s="1"/>
      <c r="AFJ82" s="1"/>
      <c r="AFK82" s="1"/>
      <c r="AFL82" s="1"/>
      <c r="AFM82" s="1"/>
      <c r="AFN82" s="1"/>
      <c r="AFO82" s="1"/>
      <c r="AFP82" s="1"/>
      <c r="AFQ82" s="1"/>
      <c r="AFR82" s="1"/>
      <c r="AFS82" s="1"/>
      <c r="AFT82" s="1"/>
      <c r="AFU82" s="1"/>
      <c r="AFV82" s="1"/>
      <c r="AFW82" s="1"/>
      <c r="AFX82" s="1"/>
      <c r="AFY82" s="1"/>
      <c r="AFZ82" s="1"/>
      <c r="AGA82" s="1"/>
      <c r="AGB82" s="1"/>
      <c r="AGC82" s="1"/>
      <c r="AGD82" s="1"/>
      <c r="AGE82" s="1"/>
      <c r="AGF82" s="1"/>
      <c r="AGG82" s="1"/>
      <c r="AGH82" s="1"/>
      <c r="AGI82" s="1"/>
      <c r="AGJ82" s="1"/>
      <c r="AGK82" s="1"/>
      <c r="AGL82" s="1"/>
      <c r="AGM82" s="1"/>
      <c r="AGN82" s="1"/>
      <c r="AGO82" s="1"/>
      <c r="AGP82" s="1"/>
      <c r="AGQ82" s="1"/>
      <c r="AGR82" s="1"/>
      <c r="AGS82" s="1"/>
      <c r="AGT82" s="1"/>
      <c r="AGU82" s="1"/>
      <c r="AGV82" s="1"/>
      <c r="AGW82" s="1"/>
      <c r="AGX82" s="1"/>
      <c r="AGY82" s="1"/>
      <c r="AGZ82" s="1"/>
      <c r="AHA82" s="1"/>
      <c r="AHB82" s="1"/>
      <c r="AHC82" s="1"/>
      <c r="AHD82" s="1"/>
      <c r="AHE82" s="1"/>
      <c r="AHF82" s="1"/>
      <c r="AHG82" s="1"/>
      <c r="AHH82" s="1"/>
      <c r="AHI82" s="1"/>
      <c r="AHJ82" s="1"/>
      <c r="AHK82" s="1"/>
      <c r="AHL82" s="1"/>
      <c r="AHM82" s="1"/>
      <c r="AHN82" s="1"/>
      <c r="AHO82" s="1"/>
      <c r="AHP82" s="1"/>
      <c r="AHQ82" s="1"/>
      <c r="AHR82" s="1"/>
      <c r="AHS82" s="1"/>
      <c r="AHT82" s="1"/>
      <c r="AHU82" s="1"/>
      <c r="AHV82" s="1"/>
      <c r="AHW82" s="1"/>
      <c r="AHX82" s="1"/>
      <c r="AHY82" s="1"/>
      <c r="AHZ82" s="1"/>
      <c r="AIA82" s="1"/>
      <c r="AIB82" s="1"/>
      <c r="AIC82" s="1"/>
      <c r="AID82" s="1"/>
      <c r="AIE82" s="1"/>
      <c r="AIF82" s="1"/>
      <c r="AIG82" s="1"/>
      <c r="AIH82" s="1"/>
      <c r="AII82" s="1"/>
      <c r="AIJ82" s="1"/>
      <c r="AIK82" s="1"/>
      <c r="AIL82" s="1"/>
      <c r="AIM82" s="1"/>
      <c r="AIN82" s="1"/>
      <c r="AIO82" s="1"/>
      <c r="AIP82" s="1"/>
      <c r="AIQ82" s="1"/>
      <c r="AIR82" s="1"/>
      <c r="AIS82" s="1"/>
      <c r="AIT82" s="1"/>
      <c r="AIU82" s="1"/>
      <c r="AIV82" s="1"/>
      <c r="AIW82" s="1"/>
      <c r="AIX82" s="1"/>
      <c r="AIY82" s="1"/>
      <c r="AIZ82" s="1"/>
      <c r="AJA82" s="1"/>
      <c r="AJB82" s="1"/>
      <c r="AJC82" s="1"/>
      <c r="AJD82" s="1"/>
      <c r="AJE82" s="1"/>
      <c r="AJF82" s="1"/>
      <c r="AJG82" s="1"/>
      <c r="AJH82" s="1"/>
      <c r="AJI82" s="1"/>
      <c r="AJJ82" s="1"/>
      <c r="AJK82" s="1"/>
      <c r="AJL82" s="1"/>
      <c r="AJM82" s="1"/>
      <c r="AJN82" s="1"/>
      <c r="AJO82" s="1"/>
      <c r="AJP82" s="1"/>
      <c r="AJQ82" s="1"/>
      <c r="AJR82" s="1"/>
      <c r="AJS82" s="1"/>
      <c r="AJT82" s="1"/>
      <c r="AJU82" s="1"/>
      <c r="AJV82" s="1"/>
      <c r="AJW82" s="1"/>
      <c r="AJX82" s="1"/>
      <c r="AJY82" s="1"/>
      <c r="AJZ82" s="1"/>
      <c r="AKA82" s="1"/>
      <c r="AKB82" s="1"/>
      <c r="AKC82" s="1"/>
      <c r="AKD82" s="1"/>
      <c r="AKE82" s="1"/>
      <c r="AKF82" s="1"/>
      <c r="AKG82" s="1"/>
      <c r="AKH82" s="1"/>
      <c r="AKI82" s="1"/>
      <c r="AKJ82" s="1"/>
      <c r="AKK82" s="1"/>
      <c r="AKL82" s="1"/>
      <c r="AKM82" s="1"/>
      <c r="AKN82" s="1"/>
      <c r="AKO82" s="1"/>
      <c r="AKP82" s="1"/>
      <c r="AKQ82" s="1"/>
      <c r="AKR82" s="1"/>
      <c r="AKS82" s="1"/>
      <c r="AKT82" s="1"/>
      <c r="AKU82" s="1"/>
      <c r="AKV82" s="1"/>
      <c r="AKW82" s="1"/>
      <c r="AKX82" s="1"/>
      <c r="AKY82" s="1"/>
      <c r="AKZ82" s="1"/>
      <c r="ALA82" s="1"/>
      <c r="ALB82" s="1"/>
      <c r="ALC82" s="1"/>
      <c r="ALD82" s="1"/>
      <c r="ALE82" s="1"/>
      <c r="ALF82" s="1"/>
      <c r="ALG82" s="1"/>
      <c r="ALH82" s="1"/>
      <c r="ALI82" s="1"/>
      <c r="ALJ82" s="1"/>
      <c r="ALK82" s="1"/>
      <c r="ALL82" s="1"/>
      <c r="ALM82" s="1"/>
      <c r="ALN82" s="1"/>
      <c r="ALO82" s="1"/>
      <c r="ALP82" s="1"/>
      <c r="ALQ82" s="1"/>
      <c r="ALR82" s="1"/>
      <c r="ALS82" s="1"/>
      <c r="ALT82" s="1"/>
      <c r="ALU82" s="1"/>
      <c r="ALV82" s="1"/>
      <c r="ALW82" s="1"/>
      <c r="ALX82" s="1"/>
      <c r="ALY82" s="1"/>
      <c r="ALZ82" s="1"/>
      <c r="AMA82" s="1"/>
      <c r="AMB82" s="1"/>
      <c r="AMC82" s="1"/>
      <c r="AMD82" s="1"/>
      <c r="AME82" s="1"/>
      <c r="AMF82" s="1"/>
      <c r="AMG82" s="1"/>
      <c r="AMH82" s="1"/>
      <c r="AMI82" s="1"/>
      <c r="AMJ82" s="1"/>
      <c r="AMK82" s="1"/>
      <c r="AML82" s="1"/>
      <c r="AMM82" s="1"/>
      <c r="AMN82" s="1"/>
      <c r="AMO82" s="1"/>
      <c r="AMP82" s="1"/>
      <c r="AMQ82" s="1"/>
      <c r="AMR82" s="1"/>
      <c r="AMS82" s="1"/>
      <c r="AMT82" s="1"/>
      <c r="AMU82" s="1"/>
      <c r="AMV82" s="1"/>
      <c r="AMW82" s="1"/>
      <c r="AMX82" s="1"/>
      <c r="AMY82" s="1"/>
      <c r="AMZ82" s="1"/>
      <c r="ANA82" s="1"/>
      <c r="ANB82" s="1"/>
      <c r="ANC82" s="1"/>
      <c r="AND82" s="1"/>
      <c r="ANE82" s="1"/>
      <c r="ANF82" s="1"/>
      <c r="ANG82" s="1"/>
      <c r="ANH82" s="1"/>
      <c r="ANI82" s="1"/>
      <c r="ANJ82" s="1"/>
      <c r="ANK82" s="1"/>
      <c r="ANL82" s="1"/>
      <c r="ANM82" s="1"/>
      <c r="ANN82" s="1"/>
      <c r="ANO82" s="1"/>
      <c r="ANP82" s="1"/>
      <c r="ANQ82" s="1"/>
      <c r="ANR82" s="1"/>
      <c r="ANS82" s="1"/>
      <c r="ANT82" s="1"/>
      <c r="ANU82" s="1"/>
      <c r="ANV82" s="1"/>
      <c r="ANW82" s="1"/>
      <c r="ANX82" s="1"/>
      <c r="ANY82" s="1"/>
      <c r="ANZ82" s="1"/>
      <c r="AOA82" s="1"/>
      <c r="AOB82" s="1"/>
      <c r="AOC82" s="1"/>
      <c r="AOD82" s="1"/>
      <c r="AOE82" s="1"/>
      <c r="AOF82" s="1"/>
      <c r="AOG82" s="1"/>
      <c r="AOH82" s="1"/>
      <c r="AOI82" s="1"/>
      <c r="AOJ82" s="1"/>
      <c r="AOK82" s="1"/>
      <c r="AOL82" s="1"/>
      <c r="AOM82" s="1"/>
      <c r="AON82" s="1"/>
      <c r="AOO82" s="1"/>
      <c r="AOP82" s="1"/>
      <c r="AOQ82" s="1"/>
      <c r="AOR82" s="1"/>
      <c r="AOS82" s="1"/>
      <c r="AOT82" s="1"/>
      <c r="AOU82" s="1"/>
      <c r="AOV82" s="1"/>
      <c r="AOW82" s="1"/>
      <c r="AOX82" s="1"/>
      <c r="AOY82" s="1"/>
      <c r="AOZ82" s="1"/>
      <c r="APA82" s="1"/>
      <c r="APB82" s="1"/>
      <c r="APC82" s="1"/>
      <c r="APD82" s="1"/>
      <c r="APE82" s="1"/>
      <c r="APF82" s="1"/>
      <c r="APG82" s="1"/>
      <c r="APH82" s="1"/>
      <c r="API82" s="1"/>
      <c r="APJ82" s="1"/>
      <c r="APK82" s="1"/>
      <c r="APL82" s="1"/>
      <c r="APM82" s="1"/>
      <c r="APN82" s="1"/>
      <c r="APO82" s="1"/>
      <c r="APP82" s="1"/>
      <c r="APQ82" s="1"/>
      <c r="APR82" s="1"/>
      <c r="APS82" s="1"/>
      <c r="APT82" s="1"/>
      <c r="APU82" s="1"/>
      <c r="APV82" s="1"/>
      <c r="APW82" s="1"/>
      <c r="APX82" s="1"/>
      <c r="APY82" s="1"/>
      <c r="APZ82" s="1"/>
      <c r="AQA82" s="1"/>
      <c r="AQB82" s="1"/>
      <c r="AQC82" s="1"/>
      <c r="AQD82" s="1"/>
      <c r="AQE82" s="1"/>
      <c r="AQF82" s="1"/>
      <c r="AQG82" s="1"/>
      <c r="AQH82" s="1"/>
      <c r="AQI82" s="1"/>
      <c r="AQJ82" s="1"/>
      <c r="AQK82" s="1"/>
      <c r="AQL82" s="1"/>
      <c r="AQM82" s="1"/>
      <c r="AQN82" s="1"/>
      <c r="AQO82" s="1"/>
      <c r="AQP82" s="1"/>
      <c r="AQQ82" s="1"/>
      <c r="AQR82" s="1"/>
      <c r="AQS82" s="1"/>
      <c r="AQT82" s="1"/>
      <c r="AQU82" s="1"/>
      <c r="AQV82" s="1"/>
      <c r="AQW82" s="1"/>
      <c r="AQX82" s="1"/>
      <c r="AQY82" s="1"/>
      <c r="AQZ82" s="1"/>
      <c r="ARA82" s="1"/>
      <c r="ARB82" s="1"/>
      <c r="ARC82" s="1"/>
      <c r="ARD82" s="1"/>
      <c r="ARE82" s="1"/>
      <c r="ARF82" s="1"/>
      <c r="ARG82" s="1"/>
      <c r="ARH82" s="1"/>
      <c r="ARI82" s="1"/>
      <c r="ARJ82" s="1"/>
      <c r="ARK82" s="1"/>
      <c r="ARL82" s="1"/>
      <c r="ARM82" s="1"/>
      <c r="ARN82" s="1"/>
      <c r="ARO82" s="1"/>
      <c r="ARP82" s="1"/>
      <c r="ARQ82" s="1"/>
      <c r="ARR82" s="1"/>
      <c r="ARS82" s="1"/>
      <c r="ART82" s="1"/>
      <c r="ARU82" s="1"/>
      <c r="ARV82" s="1"/>
      <c r="ARW82" s="1"/>
      <c r="ARX82" s="1"/>
      <c r="ARY82" s="1"/>
      <c r="ARZ82" s="1"/>
      <c r="ASA82" s="1"/>
      <c r="ASB82" s="1"/>
      <c r="ASC82" s="1"/>
      <c r="ASD82" s="1"/>
      <c r="ASE82" s="1"/>
      <c r="ASF82" s="1"/>
      <c r="ASG82" s="1"/>
      <c r="ASH82" s="1"/>
      <c r="ASI82" s="1"/>
      <c r="ASJ82" s="1"/>
      <c r="ASK82" s="1"/>
      <c r="ASL82" s="1"/>
      <c r="ASM82" s="1"/>
      <c r="ASN82" s="1"/>
      <c r="ASO82" s="1"/>
      <c r="ASP82" s="1"/>
      <c r="ASQ82" s="1"/>
      <c r="ASR82" s="1"/>
      <c r="ASS82" s="1"/>
      <c r="AST82" s="1"/>
      <c r="ASU82" s="1"/>
      <c r="ASV82" s="1"/>
      <c r="ASW82" s="1"/>
      <c r="ASX82" s="1"/>
      <c r="ASY82" s="1"/>
      <c r="ASZ82" s="1"/>
      <c r="ATA82" s="1"/>
      <c r="ATB82" s="1"/>
      <c r="ATC82" s="1"/>
      <c r="ATD82" s="1"/>
      <c r="ATE82" s="1"/>
      <c r="ATF82" s="1"/>
      <c r="ATG82" s="1"/>
      <c r="ATH82" s="1"/>
      <c r="ATI82" s="1"/>
      <c r="ATJ82" s="1"/>
      <c r="ATK82" s="1"/>
      <c r="ATL82" s="1"/>
      <c r="ATM82" s="1"/>
      <c r="ATN82" s="1"/>
      <c r="ATO82" s="1"/>
      <c r="ATP82" s="1"/>
      <c r="ATQ82" s="1"/>
      <c r="ATR82" s="1"/>
      <c r="ATS82" s="1"/>
      <c r="ATT82" s="1"/>
      <c r="ATU82" s="1"/>
      <c r="ATV82" s="1"/>
      <c r="ATW82" s="1"/>
      <c r="ATX82" s="1"/>
      <c r="ATY82" s="1"/>
      <c r="ATZ82" s="1"/>
      <c r="AUA82" s="1"/>
      <c r="AUB82" s="1"/>
      <c r="AUC82" s="1"/>
      <c r="AUD82" s="1"/>
      <c r="AUE82" s="1"/>
      <c r="AUF82" s="1"/>
      <c r="AUG82" s="1"/>
      <c r="AUH82" s="1"/>
      <c r="AUI82" s="1"/>
      <c r="AUJ82" s="1"/>
      <c r="AUK82" s="1"/>
      <c r="AUL82" s="1"/>
      <c r="AUM82" s="1"/>
      <c r="AUN82" s="1"/>
      <c r="AUO82" s="1"/>
      <c r="AUP82" s="1"/>
      <c r="AUQ82" s="1"/>
      <c r="AUR82" s="1"/>
      <c r="AUS82" s="1"/>
      <c r="AUT82" s="1"/>
      <c r="AUU82" s="1"/>
      <c r="AUV82" s="1"/>
      <c r="AUW82" s="1"/>
      <c r="AUX82" s="1"/>
      <c r="AUY82" s="1"/>
      <c r="AUZ82" s="1"/>
      <c r="AVA82" s="1"/>
      <c r="AVB82" s="1"/>
      <c r="AVC82" s="1"/>
      <c r="AVD82" s="1"/>
      <c r="AVE82" s="1"/>
      <c r="AVF82" s="1"/>
      <c r="AVG82" s="1"/>
      <c r="AVH82" s="1"/>
      <c r="AVI82" s="1"/>
      <c r="AVJ82" s="1"/>
      <c r="AVK82" s="1"/>
      <c r="AVL82" s="1"/>
      <c r="AVM82" s="1"/>
      <c r="AVN82" s="1"/>
      <c r="AVO82" s="1"/>
      <c r="AVP82" s="1"/>
      <c r="AVQ82" s="1"/>
      <c r="AVR82" s="1"/>
      <c r="AVS82" s="1"/>
      <c r="AVT82" s="1"/>
      <c r="AVU82" s="1"/>
      <c r="AVV82" s="1"/>
      <c r="AVW82" s="1"/>
      <c r="AVX82" s="1"/>
      <c r="AVY82" s="1"/>
      <c r="AVZ82" s="1"/>
      <c r="AWA82" s="1"/>
      <c r="AWB82" s="1"/>
      <c r="AWC82" s="1"/>
      <c r="AWD82" s="1"/>
      <c r="AWE82" s="1"/>
      <c r="AWF82" s="1"/>
      <c r="AWG82" s="1"/>
      <c r="AWH82" s="1"/>
      <c r="AWI82" s="1"/>
      <c r="AWJ82" s="1"/>
      <c r="AWK82" s="1"/>
      <c r="AWL82" s="1"/>
      <c r="AWM82" s="1"/>
      <c r="AWN82" s="1"/>
      <c r="AWO82" s="1"/>
      <c r="AWP82" s="1"/>
      <c r="AWQ82" s="1"/>
      <c r="AWR82" s="1"/>
      <c r="AWS82" s="1"/>
      <c r="AWT82" s="1"/>
      <c r="AWU82" s="1"/>
      <c r="AWV82" s="1"/>
      <c r="AWW82" s="1"/>
      <c r="AWX82" s="1"/>
      <c r="AWY82" s="1"/>
      <c r="AWZ82" s="1"/>
      <c r="AXA82" s="1"/>
      <c r="AXB82" s="1"/>
      <c r="AXC82" s="1"/>
      <c r="AXD82" s="1"/>
      <c r="AXE82" s="1"/>
      <c r="AXF82" s="1"/>
      <c r="AXG82" s="1"/>
      <c r="AXH82" s="1"/>
      <c r="AXI82" s="1"/>
      <c r="AXJ82" s="1"/>
      <c r="AXK82" s="1"/>
      <c r="AXL82" s="1"/>
      <c r="AXM82" s="1"/>
      <c r="AXN82" s="1"/>
      <c r="AXO82" s="1"/>
      <c r="AXP82" s="1"/>
      <c r="AXQ82" s="1"/>
      <c r="AXR82" s="1"/>
      <c r="AXS82" s="1"/>
      <c r="AXT82" s="1"/>
      <c r="AXU82" s="1"/>
      <c r="AXV82" s="1"/>
      <c r="AXW82" s="1"/>
      <c r="AXX82" s="1"/>
      <c r="AXY82" s="1"/>
      <c r="AXZ82" s="1"/>
      <c r="AYA82" s="1"/>
      <c r="AYB82" s="1"/>
      <c r="AYC82" s="1"/>
      <c r="AYD82" s="1"/>
      <c r="AYE82" s="1"/>
      <c r="AYF82" s="1"/>
      <c r="AYG82" s="1"/>
      <c r="AYH82" s="1"/>
      <c r="AYI82" s="1"/>
      <c r="AYJ82" s="1"/>
      <c r="AYK82" s="1"/>
      <c r="AYL82" s="1"/>
      <c r="AYM82" s="1"/>
      <c r="AYN82" s="1"/>
      <c r="AYO82" s="1"/>
      <c r="AYP82" s="1"/>
      <c r="AYQ82" s="1"/>
      <c r="AYR82" s="1"/>
      <c r="AYS82" s="1"/>
      <c r="AYT82" s="1"/>
      <c r="AYU82" s="1"/>
      <c r="AYV82" s="1"/>
      <c r="AYW82" s="1"/>
      <c r="AYX82" s="1"/>
      <c r="AYY82" s="1"/>
      <c r="AYZ82" s="1"/>
      <c r="AZA82" s="1"/>
      <c r="AZB82" s="1"/>
      <c r="AZC82" s="1"/>
      <c r="AZD82" s="1"/>
      <c r="AZE82" s="1"/>
      <c r="AZF82" s="1"/>
      <c r="AZG82" s="1"/>
      <c r="AZH82" s="1"/>
      <c r="AZI82" s="1"/>
      <c r="AZJ82" s="1"/>
      <c r="AZK82" s="1"/>
      <c r="AZL82" s="1"/>
      <c r="AZM82" s="1"/>
      <c r="AZN82" s="1"/>
      <c r="AZO82" s="1"/>
      <c r="AZP82" s="1"/>
      <c r="AZQ82" s="1"/>
      <c r="AZR82" s="1"/>
      <c r="AZS82" s="1"/>
      <c r="AZT82" s="1"/>
      <c r="AZU82" s="1"/>
      <c r="AZV82" s="1"/>
      <c r="AZW82" s="1"/>
      <c r="AZX82" s="1"/>
      <c r="AZY82" s="1"/>
      <c r="AZZ82" s="1"/>
      <c r="BAA82" s="1"/>
      <c r="BAB82" s="1"/>
      <c r="BAC82" s="1"/>
      <c r="BAD82" s="1"/>
      <c r="BAE82" s="1"/>
      <c r="BAF82" s="1"/>
      <c r="BAG82" s="1"/>
      <c r="BAH82" s="1"/>
      <c r="BAI82" s="1"/>
      <c r="BAJ82" s="1"/>
      <c r="BAK82" s="1"/>
      <c r="BAL82" s="1"/>
      <c r="BAM82" s="1"/>
      <c r="BAN82" s="1"/>
      <c r="BAO82" s="1"/>
      <c r="BAP82" s="1"/>
      <c r="BAQ82" s="1"/>
      <c r="BAR82" s="1"/>
      <c r="BAS82" s="1"/>
      <c r="BAT82" s="1"/>
      <c r="BAU82" s="1"/>
      <c r="BAV82" s="1"/>
      <c r="BAW82" s="1"/>
      <c r="BAX82" s="1"/>
      <c r="BAY82" s="1"/>
      <c r="BAZ82" s="1"/>
      <c r="BBA82" s="1"/>
      <c r="BBB82" s="1"/>
      <c r="BBC82" s="1"/>
      <c r="BBD82" s="1"/>
      <c r="BBE82" s="1"/>
      <c r="BBF82" s="1"/>
      <c r="BBG82" s="1"/>
      <c r="BBH82" s="1"/>
      <c r="BBI82" s="1"/>
      <c r="BBJ82" s="1"/>
      <c r="BBK82" s="1"/>
      <c r="BBL82" s="1"/>
      <c r="BBM82" s="1"/>
      <c r="BBN82" s="1"/>
      <c r="BBO82" s="1"/>
      <c r="BBP82" s="1"/>
      <c r="BBQ82" s="1"/>
      <c r="BBR82" s="1"/>
      <c r="BBS82" s="1"/>
      <c r="BBT82" s="1"/>
      <c r="BBU82" s="1"/>
      <c r="BBV82" s="1"/>
      <c r="BBW82" s="1"/>
      <c r="BBX82" s="1"/>
      <c r="BBY82" s="1"/>
      <c r="BBZ82" s="1"/>
      <c r="BCA82" s="1"/>
      <c r="BCB82" s="1"/>
      <c r="BCC82" s="1"/>
      <c r="BCD82" s="1"/>
      <c r="BCE82" s="1"/>
      <c r="BCF82" s="1"/>
      <c r="BCG82" s="1"/>
      <c r="BCH82" s="1"/>
      <c r="BCI82" s="1"/>
      <c r="BCJ82" s="1"/>
      <c r="BCK82" s="1"/>
      <c r="BCL82" s="1"/>
      <c r="BCM82" s="1"/>
      <c r="BCN82" s="1"/>
      <c r="BCO82" s="1"/>
      <c r="BCP82" s="1"/>
      <c r="BCQ82" s="1"/>
      <c r="BCR82" s="1"/>
      <c r="BCS82" s="1"/>
      <c r="BCT82" s="1"/>
      <c r="BCU82" s="1"/>
      <c r="BCV82" s="1"/>
      <c r="BCW82" s="1"/>
      <c r="BCX82" s="1"/>
      <c r="BCY82" s="1"/>
      <c r="BCZ82" s="1"/>
      <c r="BDA82" s="1"/>
      <c r="BDB82" s="1"/>
      <c r="BDC82" s="1"/>
      <c r="BDD82" s="1"/>
      <c r="BDE82" s="1"/>
      <c r="BDF82" s="1"/>
      <c r="BDG82" s="1"/>
      <c r="BDH82" s="1"/>
      <c r="BDI82" s="1"/>
      <c r="BDJ82" s="1"/>
      <c r="BDK82" s="1"/>
      <c r="BDL82" s="1"/>
      <c r="BDM82" s="1"/>
      <c r="BDN82" s="1"/>
      <c r="BDO82" s="1"/>
      <c r="BDP82" s="1"/>
      <c r="BDQ82" s="1"/>
      <c r="BDR82" s="1"/>
      <c r="BDS82" s="1"/>
      <c r="BDT82" s="1"/>
      <c r="BDU82" s="1"/>
      <c r="BDV82" s="1"/>
      <c r="BDW82" s="1"/>
      <c r="BDX82" s="1"/>
      <c r="BDY82" s="1"/>
      <c r="BDZ82" s="1"/>
      <c r="BEA82" s="1"/>
      <c r="BEB82" s="1"/>
      <c r="BEC82" s="1"/>
      <c r="BED82" s="1"/>
      <c r="BEE82" s="1"/>
      <c r="BEF82" s="1"/>
      <c r="BEG82" s="1"/>
      <c r="BEH82" s="1"/>
      <c r="BEI82" s="1"/>
      <c r="BEJ82" s="1"/>
      <c r="BEK82" s="1"/>
      <c r="BEL82" s="1"/>
      <c r="BEM82" s="1"/>
      <c r="BEN82" s="1"/>
      <c r="BEO82" s="1"/>
      <c r="BEP82" s="1"/>
      <c r="BEQ82" s="1"/>
      <c r="BER82" s="1"/>
      <c r="BES82" s="1"/>
      <c r="BET82" s="1"/>
      <c r="BEU82" s="1"/>
      <c r="BEV82" s="1"/>
      <c r="BEW82" s="1"/>
      <c r="BEX82" s="1"/>
      <c r="BEY82" s="1"/>
      <c r="BEZ82" s="1"/>
      <c r="BFA82" s="1"/>
      <c r="BFB82" s="1"/>
      <c r="BFC82" s="1"/>
      <c r="BFD82" s="1"/>
      <c r="BFE82" s="1"/>
      <c r="BFF82" s="1"/>
      <c r="BFG82" s="1"/>
      <c r="BFH82" s="1"/>
      <c r="BFI82" s="1"/>
      <c r="BFJ82" s="1"/>
      <c r="BFK82" s="1"/>
      <c r="BFL82" s="1"/>
      <c r="BFM82" s="1"/>
      <c r="BFN82" s="1"/>
      <c r="BFO82" s="1"/>
      <c r="BFP82" s="1"/>
      <c r="BFQ82" s="1"/>
      <c r="BFR82" s="1"/>
      <c r="BFS82" s="1"/>
      <c r="BFT82" s="1"/>
      <c r="BFU82" s="1"/>
      <c r="BFV82" s="1"/>
      <c r="BFW82" s="1"/>
      <c r="BFX82" s="1"/>
      <c r="BFY82" s="1"/>
      <c r="BFZ82" s="1"/>
      <c r="BGA82" s="1"/>
      <c r="BGB82" s="1"/>
      <c r="BGC82" s="1"/>
      <c r="BGD82" s="1"/>
      <c r="BGE82" s="1"/>
      <c r="BGF82" s="1"/>
      <c r="BGG82" s="1"/>
      <c r="BGH82" s="1"/>
      <c r="BGI82" s="1"/>
      <c r="BGJ82" s="1"/>
      <c r="BGK82" s="1"/>
      <c r="BGL82" s="1"/>
      <c r="BGM82" s="1"/>
      <c r="BGN82" s="1"/>
      <c r="BGO82" s="1"/>
      <c r="BGP82" s="1"/>
      <c r="BGQ82" s="1"/>
      <c r="BGR82" s="1"/>
      <c r="BGS82" s="1"/>
      <c r="BGT82" s="1"/>
      <c r="BGU82" s="1"/>
      <c r="BGV82" s="1"/>
      <c r="BGW82" s="1"/>
      <c r="BGX82" s="1"/>
      <c r="BGY82" s="1"/>
      <c r="BGZ82" s="1"/>
      <c r="BHA82" s="1"/>
      <c r="BHB82" s="1"/>
      <c r="BHC82" s="1"/>
      <c r="BHD82" s="1"/>
      <c r="BHE82" s="1"/>
      <c r="BHF82" s="1"/>
      <c r="BHG82" s="1"/>
      <c r="BHH82" s="1"/>
      <c r="BHI82" s="1"/>
      <c r="BHJ82" s="1"/>
      <c r="BHK82" s="1"/>
      <c r="BHL82" s="1"/>
      <c r="BHM82" s="1"/>
      <c r="BHN82" s="1"/>
      <c r="BHO82" s="1"/>
      <c r="BHP82" s="1"/>
      <c r="BHQ82" s="1"/>
      <c r="BHR82" s="1"/>
      <c r="BHS82" s="1"/>
      <c r="BHT82" s="1"/>
      <c r="BHU82" s="1"/>
      <c r="BHV82" s="1"/>
      <c r="BHW82" s="1"/>
      <c r="BHX82" s="1"/>
      <c r="BHY82" s="1"/>
      <c r="BHZ82" s="1"/>
      <c r="BIA82" s="1"/>
      <c r="BIB82" s="1"/>
      <c r="BIC82" s="1"/>
      <c r="BID82" s="1"/>
      <c r="BIE82" s="1"/>
      <c r="BIF82" s="1"/>
      <c r="BIG82" s="1"/>
      <c r="BIH82" s="1"/>
      <c r="BII82" s="1"/>
      <c r="BIJ82" s="1"/>
      <c r="BIK82" s="1"/>
      <c r="BIL82" s="1"/>
      <c r="BIM82" s="1"/>
      <c r="BIN82" s="1"/>
      <c r="BIO82" s="1"/>
      <c r="BIP82" s="1"/>
      <c r="BIQ82" s="1"/>
      <c r="BIR82" s="1"/>
      <c r="BIS82" s="1"/>
      <c r="BIT82" s="1"/>
      <c r="BIU82" s="1"/>
      <c r="BIV82" s="1"/>
      <c r="BIW82" s="1"/>
      <c r="BIX82" s="1"/>
      <c r="BIY82" s="1"/>
      <c r="BIZ82" s="1"/>
      <c r="BJA82" s="1"/>
      <c r="BJB82" s="1"/>
      <c r="BJC82" s="1"/>
      <c r="BJD82" s="1"/>
      <c r="BJE82" s="1"/>
      <c r="BJF82" s="1"/>
      <c r="BJG82" s="1"/>
      <c r="BJH82" s="1"/>
      <c r="BJI82" s="1"/>
      <c r="BJJ82" s="1"/>
      <c r="BJK82" s="1"/>
      <c r="BJL82" s="1"/>
      <c r="BJM82" s="1"/>
      <c r="BJN82" s="1"/>
      <c r="BJO82" s="1"/>
      <c r="BJP82" s="1"/>
      <c r="BJQ82" s="1"/>
      <c r="BJR82" s="1"/>
      <c r="BJS82" s="1"/>
      <c r="BJT82" s="1"/>
      <c r="BJU82" s="1"/>
      <c r="BJV82" s="1"/>
      <c r="BJW82" s="1"/>
      <c r="BJX82" s="1"/>
      <c r="BJY82" s="1"/>
      <c r="BJZ82" s="1"/>
      <c r="BKA82" s="1"/>
      <c r="BKB82" s="1"/>
      <c r="BKC82" s="1"/>
      <c r="BKD82" s="1"/>
      <c r="BKE82" s="1"/>
      <c r="BKF82" s="1"/>
      <c r="BKG82" s="1"/>
      <c r="BKH82" s="1"/>
      <c r="BKI82" s="1"/>
      <c r="BKJ82" s="1"/>
      <c r="BKK82" s="1"/>
      <c r="BKL82" s="1"/>
      <c r="BKM82" s="1"/>
      <c r="BKN82" s="1"/>
      <c r="BKO82" s="1"/>
      <c r="BKP82" s="1"/>
      <c r="BKQ82" s="1"/>
      <c r="BKR82" s="1"/>
      <c r="BKS82" s="1"/>
      <c r="BKT82" s="1"/>
      <c r="BKU82" s="1"/>
      <c r="BKV82" s="1"/>
      <c r="BKW82" s="1"/>
      <c r="BKX82" s="1"/>
      <c r="BKY82" s="1"/>
      <c r="BKZ82" s="1"/>
      <c r="BLA82" s="1"/>
      <c r="BLB82" s="1"/>
      <c r="BLC82" s="1"/>
      <c r="BLD82" s="1"/>
      <c r="BLE82" s="1"/>
      <c r="BLF82" s="1"/>
      <c r="BLG82" s="1"/>
      <c r="BLH82" s="1"/>
      <c r="BLI82" s="1"/>
      <c r="BLJ82" s="1"/>
      <c r="BLK82" s="1"/>
      <c r="BLL82" s="1"/>
      <c r="BLM82" s="1"/>
      <c r="BLN82" s="1"/>
      <c r="BLO82" s="1"/>
      <c r="BLP82" s="1"/>
      <c r="BLQ82" s="1"/>
      <c r="BLR82" s="1"/>
      <c r="BLS82" s="1"/>
      <c r="BLT82" s="1"/>
      <c r="BLU82" s="1"/>
      <c r="BLV82" s="1"/>
      <c r="BLW82" s="1"/>
      <c r="BLX82" s="1"/>
      <c r="BLY82" s="1"/>
      <c r="BLZ82" s="1"/>
      <c r="BMA82" s="1"/>
      <c r="BMB82" s="1"/>
      <c r="BMC82" s="1"/>
      <c r="BMD82" s="1"/>
      <c r="BME82" s="1"/>
      <c r="BMF82" s="1"/>
      <c r="BMG82" s="1"/>
      <c r="BMH82" s="1"/>
      <c r="BMI82" s="1"/>
      <c r="BMJ82" s="1"/>
      <c r="BMK82" s="1"/>
      <c r="BML82" s="1"/>
      <c r="BMM82" s="1"/>
      <c r="BMN82" s="1"/>
      <c r="BMO82" s="1"/>
      <c r="BMP82" s="1"/>
      <c r="BMQ82" s="1"/>
      <c r="BMR82" s="1"/>
      <c r="BMS82" s="1"/>
      <c r="BMT82" s="1"/>
      <c r="BMU82" s="1"/>
      <c r="BMV82" s="1"/>
      <c r="BMW82" s="1"/>
      <c r="BMX82" s="1"/>
      <c r="BMY82" s="1"/>
      <c r="BMZ82" s="1"/>
      <c r="BNA82" s="1"/>
      <c r="BNB82" s="1"/>
      <c r="BNC82" s="1"/>
      <c r="BND82" s="1"/>
      <c r="BNE82" s="1"/>
      <c r="BNF82" s="1"/>
      <c r="BNG82" s="1"/>
      <c r="BNH82" s="1"/>
      <c r="BNI82" s="1"/>
      <c r="BNJ82" s="1"/>
      <c r="BNK82" s="1"/>
      <c r="BNL82" s="1"/>
      <c r="BNM82" s="1"/>
      <c r="BNN82" s="1"/>
      <c r="BNO82" s="1"/>
      <c r="BNP82" s="1"/>
      <c r="BNQ82" s="1"/>
      <c r="BNR82" s="1"/>
      <c r="BNS82" s="1"/>
      <c r="BNT82" s="1"/>
      <c r="BNU82" s="1"/>
      <c r="BNV82" s="1"/>
      <c r="BNW82" s="1"/>
      <c r="BNX82" s="1"/>
      <c r="BNY82" s="1"/>
      <c r="BNZ82" s="1"/>
      <c r="BOA82" s="1"/>
      <c r="BOB82" s="1"/>
      <c r="BOC82" s="1"/>
      <c r="BOD82" s="1"/>
      <c r="BOE82" s="1"/>
      <c r="BOF82" s="1"/>
      <c r="BOG82" s="1"/>
      <c r="BOH82" s="1"/>
      <c r="BOI82" s="1"/>
      <c r="BOJ82" s="1"/>
      <c r="BOK82" s="1"/>
      <c r="BOL82" s="1"/>
      <c r="BOM82" s="1"/>
      <c r="BON82" s="1"/>
      <c r="BOO82" s="1"/>
      <c r="BOP82" s="1"/>
      <c r="BOQ82" s="1"/>
      <c r="BOR82" s="1"/>
      <c r="BOS82" s="1"/>
      <c r="BOT82" s="1"/>
      <c r="BOU82" s="1"/>
      <c r="BOV82" s="1"/>
      <c r="BOW82" s="1"/>
      <c r="BOX82" s="1"/>
      <c r="BOY82" s="1"/>
      <c r="BOZ82" s="1"/>
      <c r="BPA82" s="1"/>
      <c r="BPB82" s="1"/>
      <c r="BPC82" s="1"/>
      <c r="BPD82" s="1"/>
      <c r="BPE82" s="1"/>
      <c r="BPF82" s="1"/>
      <c r="BPG82" s="1"/>
      <c r="BPH82" s="1"/>
      <c r="BPI82" s="1"/>
      <c r="BPJ82" s="1"/>
      <c r="BPK82" s="1"/>
      <c r="BPL82" s="1"/>
      <c r="BPM82" s="1"/>
      <c r="BPN82" s="1"/>
      <c r="BPO82" s="1"/>
      <c r="BPP82" s="1"/>
      <c r="BPQ82" s="1"/>
      <c r="BPR82" s="1"/>
      <c r="BPS82" s="1"/>
      <c r="BPT82" s="1"/>
      <c r="BPU82" s="1"/>
      <c r="BPV82" s="1"/>
      <c r="BPW82" s="1"/>
      <c r="BPX82" s="1"/>
      <c r="BPY82" s="1"/>
      <c r="BPZ82" s="1"/>
      <c r="BQA82" s="1"/>
      <c r="BQB82" s="1"/>
      <c r="BQC82" s="1"/>
      <c r="BQD82" s="1"/>
      <c r="BQE82" s="1"/>
      <c r="BQF82" s="1"/>
      <c r="BQG82" s="1"/>
      <c r="BQH82" s="1"/>
      <c r="BQI82" s="1"/>
      <c r="BQJ82" s="1"/>
      <c r="BQK82" s="1"/>
      <c r="BQL82" s="1"/>
      <c r="BQM82" s="1"/>
      <c r="BQN82" s="1"/>
      <c r="BQO82" s="1"/>
      <c r="BQP82" s="1"/>
      <c r="BQQ82" s="1"/>
      <c r="BQR82" s="1"/>
      <c r="BQS82" s="1"/>
      <c r="BQT82" s="1"/>
      <c r="BQU82" s="1"/>
      <c r="BQV82" s="1"/>
      <c r="BQW82" s="1"/>
      <c r="BQX82" s="1"/>
      <c r="BQY82" s="1"/>
      <c r="BQZ82" s="1"/>
      <c r="BRA82" s="1"/>
      <c r="BRB82" s="1"/>
      <c r="BRC82" s="1"/>
      <c r="BRD82" s="1"/>
      <c r="BRE82" s="1"/>
      <c r="BRF82" s="1"/>
      <c r="BRG82" s="1"/>
      <c r="BRH82" s="1"/>
      <c r="BRI82" s="1"/>
      <c r="BRJ82" s="1"/>
      <c r="BRK82" s="1"/>
      <c r="BRL82" s="1"/>
      <c r="BRM82" s="1"/>
      <c r="BRN82" s="1"/>
      <c r="BRO82" s="1"/>
      <c r="BRP82" s="1"/>
      <c r="BRQ82" s="1"/>
      <c r="BRR82" s="1"/>
      <c r="BRS82" s="1"/>
      <c r="BRT82" s="1"/>
      <c r="BRU82" s="1"/>
      <c r="BRV82" s="1"/>
      <c r="BRW82" s="1"/>
      <c r="BRX82" s="1"/>
      <c r="BRY82" s="1"/>
      <c r="BRZ82" s="1"/>
      <c r="BSA82" s="1"/>
      <c r="BSB82" s="1"/>
      <c r="BSC82" s="1"/>
      <c r="BSD82" s="1"/>
      <c r="BSE82" s="1"/>
      <c r="BSF82" s="1"/>
      <c r="BSG82" s="1"/>
      <c r="BSH82" s="1"/>
      <c r="BSI82" s="1"/>
      <c r="BSJ82" s="1"/>
      <c r="BSK82" s="1"/>
      <c r="BSL82" s="1"/>
      <c r="BSM82" s="1"/>
      <c r="BSN82" s="1"/>
      <c r="BSO82" s="1"/>
      <c r="BSP82" s="1"/>
      <c r="BSQ82" s="1"/>
      <c r="BSR82" s="1"/>
      <c r="BSS82" s="1"/>
      <c r="BST82" s="1"/>
      <c r="BSU82" s="1"/>
      <c r="BSV82" s="1"/>
      <c r="BSW82" s="1"/>
      <c r="BSX82" s="1"/>
      <c r="BSY82" s="1"/>
      <c r="BSZ82" s="1"/>
      <c r="BTA82" s="1"/>
      <c r="BTB82" s="1"/>
      <c r="BTC82" s="1"/>
      <c r="BTD82" s="1"/>
      <c r="BTE82" s="1"/>
      <c r="BTF82" s="1"/>
      <c r="BTG82" s="1"/>
      <c r="BTH82" s="1"/>
      <c r="BTI82" s="1"/>
      <c r="BTJ82" s="1"/>
      <c r="BTK82" s="1"/>
      <c r="BTL82" s="1"/>
      <c r="BTM82" s="1"/>
      <c r="BTN82" s="1"/>
      <c r="BTO82" s="1"/>
      <c r="BTP82" s="1"/>
      <c r="BTQ82" s="1"/>
      <c r="BTR82" s="1"/>
      <c r="BTS82" s="1"/>
      <c r="BTT82" s="1"/>
      <c r="BTU82" s="1"/>
      <c r="BTV82" s="1"/>
      <c r="BTW82" s="1"/>
      <c r="BTX82" s="1"/>
      <c r="BTY82" s="1"/>
      <c r="BTZ82" s="1"/>
      <c r="BUA82" s="1"/>
      <c r="BUB82" s="1"/>
      <c r="BUC82" s="1"/>
      <c r="BUD82" s="1"/>
      <c r="BUE82" s="1"/>
      <c r="BUF82" s="1"/>
      <c r="BUG82" s="1"/>
      <c r="BUH82" s="1"/>
      <c r="BUI82" s="1"/>
      <c r="BUJ82" s="1"/>
      <c r="BUK82" s="1"/>
      <c r="BUL82" s="1"/>
      <c r="BUM82" s="1"/>
      <c r="BUN82" s="1"/>
      <c r="BUO82" s="1"/>
      <c r="BUP82" s="1"/>
      <c r="BUQ82" s="1"/>
      <c r="BUR82" s="1"/>
      <c r="BUS82" s="1"/>
      <c r="BUT82" s="1"/>
      <c r="BUU82" s="1"/>
      <c r="BUV82" s="1"/>
      <c r="BUW82" s="1"/>
      <c r="BUX82" s="1"/>
      <c r="BUY82" s="1"/>
      <c r="BUZ82" s="1"/>
      <c r="BVA82" s="1"/>
      <c r="BVB82" s="1"/>
      <c r="BVC82" s="1"/>
      <c r="BVD82" s="1"/>
      <c r="BVE82" s="1"/>
      <c r="BVF82" s="1"/>
      <c r="BVG82" s="1"/>
      <c r="BVH82" s="1"/>
      <c r="BVI82" s="1"/>
      <c r="BVJ82" s="1"/>
      <c r="BVK82" s="1"/>
      <c r="BVL82" s="1"/>
      <c r="BVM82" s="1"/>
      <c r="BVN82" s="1"/>
      <c r="BVO82" s="1"/>
      <c r="BVP82" s="1"/>
      <c r="BVQ82" s="1"/>
      <c r="BVR82" s="1"/>
      <c r="BVS82" s="1"/>
      <c r="BVT82" s="1"/>
      <c r="BVU82" s="1"/>
      <c r="BVV82" s="1"/>
      <c r="BVW82" s="1"/>
      <c r="BVX82" s="1"/>
      <c r="BVY82" s="1"/>
      <c r="BVZ82" s="1"/>
      <c r="BWA82" s="1"/>
      <c r="BWB82" s="1"/>
      <c r="BWC82" s="1"/>
      <c r="BWD82" s="1"/>
      <c r="BWE82" s="1"/>
      <c r="BWF82" s="1"/>
      <c r="BWG82" s="1"/>
      <c r="BWH82" s="1"/>
      <c r="BWI82" s="1"/>
      <c r="BWJ82" s="1"/>
      <c r="BWK82" s="1"/>
      <c r="BWL82" s="1"/>
      <c r="BWM82" s="1"/>
      <c r="BWN82" s="1"/>
      <c r="BWO82" s="1"/>
      <c r="BWP82" s="1"/>
      <c r="BWQ82" s="1"/>
      <c r="BWR82" s="1"/>
      <c r="BWS82" s="1"/>
      <c r="BWT82" s="1"/>
      <c r="BWU82" s="1"/>
      <c r="BWV82" s="1"/>
      <c r="BWW82" s="1"/>
      <c r="BWX82" s="1"/>
      <c r="BWY82" s="1"/>
      <c r="BWZ82" s="1"/>
      <c r="BXA82" s="1"/>
      <c r="BXB82" s="1"/>
      <c r="BXC82" s="1"/>
      <c r="BXD82" s="1"/>
      <c r="BXE82" s="1"/>
      <c r="BXF82" s="1"/>
      <c r="BXG82" s="1"/>
      <c r="BXH82" s="1"/>
      <c r="BXI82" s="1"/>
      <c r="BXJ82" s="1"/>
      <c r="BXK82" s="1"/>
      <c r="BXL82" s="1"/>
      <c r="BXM82" s="1"/>
      <c r="BXN82" s="1"/>
      <c r="BXO82" s="1"/>
      <c r="BXP82" s="1"/>
      <c r="BXQ82" s="1"/>
      <c r="BXR82" s="1"/>
      <c r="BXS82" s="1"/>
      <c r="BXT82" s="1"/>
      <c r="BXU82" s="1"/>
      <c r="BXV82" s="1"/>
      <c r="BXW82" s="1"/>
      <c r="BXX82" s="1"/>
      <c r="BXY82" s="1"/>
      <c r="BXZ82" s="1"/>
      <c r="BYA82" s="1"/>
      <c r="BYB82" s="1"/>
      <c r="BYC82" s="1"/>
      <c r="BYD82" s="1"/>
      <c r="BYE82" s="1"/>
      <c r="BYF82" s="1"/>
      <c r="BYG82" s="1"/>
      <c r="BYH82" s="1"/>
      <c r="BYI82" s="1"/>
      <c r="BYJ82" s="1"/>
      <c r="BYK82" s="1"/>
      <c r="BYL82" s="1"/>
      <c r="BYM82" s="1"/>
      <c r="BYN82" s="1"/>
      <c r="BYO82" s="1"/>
      <c r="BYP82" s="1"/>
      <c r="BYQ82" s="1"/>
      <c r="BYR82" s="1"/>
      <c r="BYS82" s="1"/>
      <c r="BYT82" s="1"/>
      <c r="BYU82" s="1"/>
      <c r="BYV82" s="1"/>
      <c r="BYW82" s="1"/>
      <c r="BYX82" s="1"/>
      <c r="BYY82" s="1"/>
      <c r="BYZ82" s="1"/>
      <c r="BZA82" s="1"/>
      <c r="BZB82" s="1"/>
      <c r="BZC82" s="1"/>
      <c r="BZD82" s="1"/>
      <c r="BZE82" s="1"/>
      <c r="BZF82" s="1"/>
      <c r="BZG82" s="1"/>
      <c r="BZH82" s="1"/>
      <c r="BZI82" s="1"/>
      <c r="BZJ82" s="1"/>
      <c r="BZK82" s="1"/>
      <c r="BZL82" s="1"/>
      <c r="BZM82" s="1"/>
      <c r="BZN82" s="1"/>
      <c r="BZO82" s="1"/>
      <c r="BZP82" s="1"/>
      <c r="BZQ82" s="1"/>
      <c r="BZR82" s="1"/>
      <c r="BZS82" s="1"/>
      <c r="BZT82" s="1"/>
      <c r="BZU82" s="1"/>
      <c r="BZV82" s="1"/>
      <c r="BZW82" s="1"/>
      <c r="BZX82" s="1"/>
      <c r="BZY82" s="1"/>
      <c r="BZZ82" s="1"/>
      <c r="CAA82" s="1"/>
      <c r="CAB82" s="1"/>
      <c r="CAC82" s="1"/>
      <c r="CAD82" s="1"/>
      <c r="CAE82" s="1"/>
      <c r="CAF82" s="1"/>
      <c r="CAG82" s="1"/>
      <c r="CAH82" s="1"/>
      <c r="CAI82" s="1"/>
      <c r="CAJ82" s="1"/>
      <c r="CAK82" s="1"/>
      <c r="CAL82" s="1"/>
      <c r="CAM82" s="1"/>
      <c r="CAN82" s="1"/>
      <c r="CAO82" s="1"/>
      <c r="CAP82" s="1"/>
      <c r="CAQ82" s="1"/>
      <c r="CAR82" s="1"/>
      <c r="CAS82" s="1"/>
      <c r="CAT82" s="1"/>
      <c r="CAU82" s="1"/>
      <c r="CAV82" s="1"/>
      <c r="CAW82" s="1"/>
      <c r="CAX82" s="1"/>
      <c r="CAY82" s="1"/>
      <c r="CAZ82" s="1"/>
      <c r="CBA82" s="1"/>
      <c r="CBB82" s="1"/>
      <c r="CBC82" s="1"/>
      <c r="CBD82" s="1"/>
      <c r="CBE82" s="1"/>
      <c r="CBF82" s="1"/>
      <c r="CBG82" s="1"/>
      <c r="CBH82" s="1"/>
      <c r="CBI82" s="1"/>
      <c r="CBJ82" s="1"/>
      <c r="CBK82" s="1"/>
      <c r="CBL82" s="1"/>
      <c r="CBM82" s="1"/>
      <c r="CBN82" s="1"/>
      <c r="CBO82" s="1"/>
      <c r="CBP82" s="1"/>
      <c r="CBQ82" s="1"/>
      <c r="CBR82" s="1"/>
      <c r="CBS82" s="1"/>
      <c r="CBT82" s="1"/>
      <c r="CBU82" s="1"/>
      <c r="CBV82" s="1"/>
      <c r="CBW82" s="1"/>
      <c r="CBX82" s="1"/>
      <c r="CBY82" s="1"/>
      <c r="CBZ82" s="1"/>
      <c r="CCA82" s="1"/>
      <c r="CCB82" s="1"/>
      <c r="CCC82" s="1"/>
      <c r="CCD82" s="1"/>
      <c r="CCE82" s="1"/>
      <c r="CCF82" s="1"/>
      <c r="CCG82" s="1"/>
      <c r="CCH82" s="1"/>
      <c r="CCI82" s="1"/>
      <c r="CCJ82" s="1"/>
      <c r="CCK82" s="1"/>
      <c r="CCL82" s="1"/>
      <c r="CCM82" s="1"/>
      <c r="CCN82" s="1"/>
      <c r="CCO82" s="1"/>
      <c r="CCP82" s="1"/>
      <c r="CCQ82" s="1"/>
      <c r="CCR82" s="1"/>
      <c r="CCS82" s="1"/>
      <c r="CCT82" s="1"/>
      <c r="CCU82" s="1"/>
      <c r="CCV82" s="1"/>
      <c r="CCW82" s="1"/>
      <c r="CCX82" s="1"/>
      <c r="CCY82" s="1"/>
      <c r="CCZ82" s="1"/>
      <c r="CDA82" s="1"/>
      <c r="CDB82" s="1"/>
      <c r="CDC82" s="1"/>
      <c r="CDD82" s="1"/>
      <c r="CDE82" s="1"/>
      <c r="CDF82" s="1"/>
      <c r="CDG82" s="1"/>
      <c r="CDH82" s="1"/>
      <c r="CDI82" s="1"/>
      <c r="CDJ82" s="1"/>
      <c r="CDK82" s="1"/>
      <c r="CDL82" s="1"/>
      <c r="CDM82" s="1"/>
      <c r="CDN82" s="1"/>
      <c r="CDO82" s="1"/>
      <c r="CDP82" s="1"/>
      <c r="CDQ82" s="1"/>
      <c r="CDR82" s="1"/>
      <c r="CDS82" s="1"/>
      <c r="CDT82" s="1"/>
      <c r="CDU82" s="1"/>
      <c r="CDV82" s="1"/>
      <c r="CDW82" s="1"/>
      <c r="CDX82" s="1"/>
      <c r="CDY82" s="1"/>
      <c r="CDZ82" s="1"/>
      <c r="CEA82" s="1"/>
      <c r="CEB82" s="1"/>
      <c r="CEC82" s="1"/>
      <c r="CED82" s="1"/>
      <c r="CEE82" s="1"/>
      <c r="CEF82" s="1"/>
      <c r="CEG82" s="1"/>
      <c r="CEH82" s="1"/>
      <c r="CEI82" s="1"/>
      <c r="CEJ82" s="1"/>
      <c r="CEK82" s="1"/>
      <c r="CEL82" s="1"/>
      <c r="CEM82" s="1"/>
      <c r="CEN82" s="1"/>
      <c r="CEO82" s="1"/>
      <c r="CEP82" s="1"/>
      <c r="CEQ82" s="1"/>
      <c r="CER82" s="1"/>
      <c r="CES82" s="1"/>
      <c r="CET82" s="1"/>
      <c r="CEU82" s="1"/>
      <c r="CEV82" s="1"/>
      <c r="CEW82" s="1"/>
      <c r="CEX82" s="1"/>
      <c r="CEY82" s="1"/>
      <c r="CEZ82" s="1"/>
      <c r="CFA82" s="1"/>
      <c r="CFB82" s="1"/>
      <c r="CFC82" s="1"/>
      <c r="CFD82" s="1"/>
      <c r="CFE82" s="1"/>
      <c r="CFF82" s="1"/>
      <c r="CFG82" s="1"/>
      <c r="CFH82" s="1"/>
      <c r="CFI82" s="1"/>
      <c r="CFJ82" s="1"/>
      <c r="CFK82" s="1"/>
      <c r="CFL82" s="1"/>
      <c r="CFM82" s="1"/>
      <c r="CFN82" s="1"/>
      <c r="CFO82" s="1"/>
      <c r="CFP82" s="1"/>
      <c r="CFQ82" s="1"/>
      <c r="CFR82" s="1"/>
      <c r="CFS82" s="1"/>
      <c r="CFT82" s="1"/>
      <c r="CFU82" s="1"/>
      <c r="CFV82" s="1"/>
      <c r="CFW82" s="1"/>
      <c r="CFX82" s="1"/>
      <c r="CFY82" s="1"/>
      <c r="CFZ82" s="1"/>
      <c r="CGA82" s="1"/>
      <c r="CGB82" s="1"/>
      <c r="CGC82" s="1"/>
      <c r="CGD82" s="1"/>
      <c r="CGE82" s="1"/>
      <c r="CGF82" s="1"/>
      <c r="CGG82" s="1"/>
      <c r="CGH82" s="1"/>
      <c r="CGI82" s="1"/>
      <c r="CGJ82" s="1"/>
      <c r="CGK82" s="1"/>
      <c r="CGL82" s="1"/>
      <c r="CGM82" s="1"/>
      <c r="CGN82" s="1"/>
      <c r="CGO82" s="1"/>
      <c r="CGP82" s="1"/>
      <c r="CGQ82" s="1"/>
      <c r="CGR82" s="1"/>
      <c r="CGS82" s="1"/>
      <c r="CGT82" s="1"/>
      <c r="CGU82" s="1"/>
      <c r="CGV82" s="1"/>
      <c r="CGW82" s="1"/>
      <c r="CGX82" s="1"/>
      <c r="CGY82" s="1"/>
      <c r="CGZ82" s="1"/>
      <c r="CHA82" s="1"/>
      <c r="CHB82" s="1"/>
      <c r="CHC82" s="1"/>
      <c r="CHD82" s="1"/>
      <c r="CHE82" s="1"/>
      <c r="CHF82" s="1"/>
      <c r="CHG82" s="1"/>
      <c r="CHH82" s="1"/>
      <c r="CHI82" s="1"/>
      <c r="CHJ82" s="1"/>
      <c r="CHK82" s="1"/>
      <c r="CHL82" s="1"/>
      <c r="CHM82" s="1"/>
      <c r="CHN82" s="1"/>
      <c r="CHO82" s="1"/>
      <c r="CHP82" s="1"/>
      <c r="CHQ82" s="1"/>
      <c r="CHR82" s="1"/>
      <c r="CHS82" s="1"/>
      <c r="CHT82" s="1"/>
      <c r="CHU82" s="1"/>
      <c r="CHV82" s="1"/>
      <c r="CHW82" s="1"/>
      <c r="CHX82" s="1"/>
      <c r="CHY82" s="1"/>
      <c r="CHZ82" s="1"/>
      <c r="CIA82" s="1"/>
      <c r="CIB82" s="1"/>
      <c r="CIC82" s="1"/>
      <c r="CID82" s="1"/>
      <c r="CIE82" s="1"/>
      <c r="CIF82" s="1"/>
      <c r="CIG82" s="1"/>
      <c r="CIH82" s="1"/>
      <c r="CII82" s="1"/>
      <c r="CIJ82" s="1"/>
      <c r="CIK82" s="1"/>
      <c r="CIL82" s="1"/>
      <c r="CIM82" s="1"/>
      <c r="CIN82" s="1"/>
      <c r="CIO82" s="1"/>
      <c r="CIP82" s="1"/>
      <c r="CIQ82" s="1"/>
      <c r="CIR82" s="1"/>
      <c r="CIS82" s="1"/>
      <c r="CIT82" s="1"/>
      <c r="CIU82" s="1"/>
      <c r="CIV82" s="1"/>
      <c r="CIW82" s="1"/>
      <c r="CIX82" s="1"/>
      <c r="CIY82" s="1"/>
      <c r="CIZ82" s="1"/>
      <c r="CJA82" s="1"/>
      <c r="CJB82" s="1"/>
      <c r="CJC82" s="1"/>
      <c r="CJD82" s="1"/>
      <c r="CJE82" s="1"/>
      <c r="CJF82" s="1"/>
      <c r="CJG82" s="1"/>
      <c r="CJH82" s="1"/>
      <c r="CJI82" s="1"/>
      <c r="CJJ82" s="1"/>
      <c r="CJK82" s="1"/>
      <c r="CJL82" s="1"/>
      <c r="CJM82" s="1"/>
      <c r="CJN82" s="1"/>
      <c r="CJO82" s="1"/>
      <c r="CJP82" s="1"/>
      <c r="CJQ82" s="1"/>
      <c r="CJR82" s="1"/>
      <c r="CJS82" s="1"/>
      <c r="CJT82" s="1"/>
      <c r="CJU82" s="1"/>
      <c r="CJV82" s="1"/>
      <c r="CJW82" s="1"/>
      <c r="CJX82" s="1"/>
      <c r="CJY82" s="1"/>
      <c r="CJZ82" s="1"/>
      <c r="CKA82" s="1"/>
      <c r="CKB82" s="1"/>
      <c r="CKC82" s="1"/>
      <c r="CKD82" s="1"/>
      <c r="CKE82" s="1"/>
      <c r="CKF82" s="1"/>
      <c r="CKG82" s="1"/>
      <c r="CKH82" s="1"/>
      <c r="CKI82" s="1"/>
      <c r="CKJ82" s="1"/>
      <c r="CKK82" s="1"/>
      <c r="CKL82" s="1"/>
      <c r="CKM82" s="1"/>
      <c r="CKN82" s="1"/>
      <c r="CKO82" s="1"/>
      <c r="CKP82" s="1"/>
      <c r="CKQ82" s="1"/>
      <c r="CKR82" s="1"/>
      <c r="CKS82" s="1"/>
      <c r="CKT82" s="1"/>
      <c r="CKU82" s="1"/>
      <c r="CKV82" s="1"/>
      <c r="CKW82" s="1"/>
      <c r="CKX82" s="1"/>
      <c r="CKY82" s="1"/>
      <c r="CKZ82" s="1"/>
      <c r="CLA82" s="1"/>
      <c r="CLB82" s="1"/>
      <c r="CLC82" s="1"/>
      <c r="CLD82" s="1"/>
      <c r="CLE82" s="1"/>
      <c r="CLF82" s="1"/>
      <c r="CLG82" s="1"/>
      <c r="CLH82" s="1"/>
      <c r="CLI82" s="1"/>
      <c r="CLJ82" s="1"/>
      <c r="CLK82" s="1"/>
      <c r="CLL82" s="1"/>
      <c r="CLM82" s="1"/>
      <c r="CLN82" s="1"/>
      <c r="CLO82" s="1"/>
      <c r="CLP82" s="1"/>
      <c r="CLQ82" s="1"/>
      <c r="CLR82" s="1"/>
      <c r="CLS82" s="1"/>
      <c r="CLT82" s="1"/>
      <c r="CLU82" s="1"/>
      <c r="CLV82" s="1"/>
      <c r="CLW82" s="1"/>
      <c r="CLX82" s="1"/>
      <c r="CLY82" s="1"/>
      <c r="CLZ82" s="1"/>
      <c r="CMA82" s="1"/>
      <c r="CMB82" s="1"/>
      <c r="CMC82" s="1"/>
      <c r="CMD82" s="1"/>
      <c r="CME82" s="1"/>
      <c r="CMF82" s="1"/>
      <c r="CMG82" s="1"/>
      <c r="CMH82" s="1"/>
      <c r="CMI82" s="1"/>
      <c r="CMJ82" s="1"/>
      <c r="CMK82" s="1"/>
      <c r="CML82" s="1"/>
      <c r="CMM82" s="1"/>
      <c r="CMN82" s="1"/>
      <c r="CMO82" s="1"/>
      <c r="CMP82" s="1"/>
      <c r="CMQ82" s="1"/>
      <c r="CMR82" s="1"/>
      <c r="CMS82" s="1"/>
      <c r="CMT82" s="1"/>
      <c r="CMU82" s="1"/>
      <c r="CMV82" s="1"/>
      <c r="CMW82" s="1"/>
      <c r="CMX82" s="1"/>
      <c r="CMY82" s="1"/>
      <c r="CMZ82" s="1"/>
      <c r="CNA82" s="1"/>
      <c r="CNB82" s="1"/>
      <c r="CNC82" s="1"/>
      <c r="CND82" s="1"/>
      <c r="CNE82" s="1"/>
      <c r="CNF82" s="1"/>
      <c r="CNG82" s="1"/>
      <c r="CNH82" s="1"/>
      <c r="CNI82" s="1"/>
      <c r="CNJ82" s="1"/>
      <c r="CNK82" s="1"/>
      <c r="CNL82" s="1"/>
      <c r="CNM82" s="1"/>
      <c r="CNN82" s="1"/>
      <c r="CNO82" s="1"/>
      <c r="CNP82" s="1"/>
      <c r="CNQ82" s="1"/>
      <c r="CNR82" s="1"/>
      <c r="CNS82" s="1"/>
      <c r="CNT82" s="1"/>
      <c r="CNU82" s="1"/>
      <c r="CNV82" s="1"/>
      <c r="CNW82" s="1"/>
      <c r="CNX82" s="1"/>
      <c r="CNY82" s="1"/>
      <c r="CNZ82" s="1"/>
      <c r="COA82" s="1"/>
      <c r="COB82" s="1"/>
      <c r="COC82" s="1"/>
      <c r="COD82" s="1"/>
      <c r="COE82" s="1"/>
      <c r="COF82" s="1"/>
      <c r="COG82" s="1"/>
      <c r="COH82" s="1"/>
      <c r="COI82" s="1"/>
      <c r="COJ82" s="1"/>
      <c r="COK82" s="1"/>
      <c r="COL82" s="1"/>
      <c r="COM82" s="1"/>
      <c r="CON82" s="1"/>
      <c r="COO82" s="1"/>
      <c r="COP82" s="1"/>
      <c r="COQ82" s="1"/>
      <c r="COR82" s="1"/>
      <c r="COS82" s="1"/>
      <c r="COT82" s="1"/>
      <c r="COU82" s="1"/>
      <c r="COV82" s="1"/>
      <c r="COW82" s="1"/>
      <c r="COX82" s="1"/>
      <c r="COY82" s="1"/>
      <c r="COZ82" s="1"/>
      <c r="CPA82" s="1"/>
      <c r="CPB82" s="1"/>
      <c r="CPC82" s="1"/>
      <c r="CPD82" s="1"/>
      <c r="CPE82" s="1"/>
      <c r="CPF82" s="1"/>
      <c r="CPG82" s="1"/>
      <c r="CPH82" s="1"/>
      <c r="CPI82" s="1"/>
      <c r="CPJ82" s="1"/>
      <c r="CPK82" s="1"/>
      <c r="CPL82" s="1"/>
      <c r="CPM82" s="1"/>
      <c r="CPN82" s="1"/>
      <c r="CPO82" s="1"/>
      <c r="CPP82" s="1"/>
      <c r="CPQ82" s="1"/>
      <c r="CPR82" s="1"/>
      <c r="CPS82" s="1"/>
      <c r="CPT82" s="1"/>
      <c r="CPU82" s="1"/>
      <c r="CPV82" s="1"/>
      <c r="CPW82" s="1"/>
      <c r="CPX82" s="1"/>
      <c r="CPY82" s="1"/>
      <c r="CPZ82" s="1"/>
      <c r="CQA82" s="1"/>
      <c r="CQB82" s="1"/>
      <c r="CQC82" s="1"/>
      <c r="CQD82" s="1"/>
      <c r="CQE82" s="1"/>
      <c r="CQF82" s="1"/>
      <c r="CQG82" s="1"/>
      <c r="CQH82" s="1"/>
      <c r="CQI82" s="1"/>
      <c r="CQJ82" s="1"/>
      <c r="CQK82" s="1"/>
      <c r="CQL82" s="1"/>
      <c r="CQM82" s="1"/>
      <c r="CQN82" s="1"/>
      <c r="CQO82" s="1"/>
      <c r="CQP82" s="1"/>
      <c r="CQQ82" s="1"/>
      <c r="CQR82" s="1"/>
      <c r="CQS82" s="1"/>
      <c r="CQT82" s="1"/>
      <c r="CQU82" s="1"/>
      <c r="CQV82" s="1"/>
      <c r="CQW82" s="1"/>
      <c r="CQX82" s="1"/>
      <c r="CQY82" s="1"/>
      <c r="CQZ82" s="1"/>
      <c r="CRA82" s="1"/>
      <c r="CRB82" s="1"/>
      <c r="CRC82" s="1"/>
      <c r="CRD82" s="1"/>
      <c r="CRE82" s="1"/>
      <c r="CRF82" s="1"/>
      <c r="CRG82" s="1"/>
      <c r="CRH82" s="1"/>
      <c r="CRI82" s="1"/>
      <c r="CRJ82" s="1"/>
      <c r="CRK82" s="1"/>
      <c r="CRL82" s="1"/>
      <c r="CRM82" s="1"/>
      <c r="CRN82" s="1"/>
      <c r="CRO82" s="1"/>
      <c r="CRP82" s="1"/>
      <c r="CRQ82" s="1"/>
      <c r="CRR82" s="1"/>
      <c r="CRS82" s="1"/>
      <c r="CRT82" s="1"/>
      <c r="CRU82" s="1"/>
      <c r="CRV82" s="1"/>
      <c r="CRW82" s="1"/>
      <c r="CRX82" s="1"/>
      <c r="CRY82" s="1"/>
      <c r="CRZ82" s="1"/>
      <c r="CSA82" s="1"/>
      <c r="CSB82" s="1"/>
      <c r="CSC82" s="1"/>
      <c r="CSD82" s="1"/>
      <c r="CSE82" s="1"/>
      <c r="CSF82" s="1"/>
      <c r="CSG82" s="1"/>
      <c r="CSH82" s="1"/>
      <c r="CSI82" s="1"/>
      <c r="CSJ82" s="1"/>
      <c r="CSK82" s="1"/>
      <c r="CSL82" s="1"/>
      <c r="CSM82" s="1"/>
      <c r="CSN82" s="1"/>
      <c r="CSO82" s="1"/>
      <c r="CSP82" s="1"/>
      <c r="CSQ82" s="1"/>
      <c r="CSR82" s="1"/>
      <c r="CSS82" s="1"/>
      <c r="CST82" s="1"/>
      <c r="CSU82" s="1"/>
      <c r="CSV82" s="1"/>
      <c r="CSW82" s="1"/>
      <c r="CSX82" s="1"/>
      <c r="CSY82" s="1"/>
      <c r="CSZ82" s="1"/>
      <c r="CTA82" s="1"/>
      <c r="CTB82" s="1"/>
      <c r="CTC82" s="1"/>
      <c r="CTD82" s="1"/>
      <c r="CTE82" s="1"/>
      <c r="CTF82" s="1"/>
      <c r="CTG82" s="1"/>
      <c r="CTH82" s="1"/>
      <c r="CTI82" s="1"/>
      <c r="CTJ82" s="1"/>
      <c r="CTK82" s="1"/>
      <c r="CTL82" s="1"/>
      <c r="CTM82" s="1"/>
      <c r="CTN82" s="1"/>
      <c r="CTO82" s="1"/>
      <c r="CTP82" s="1"/>
      <c r="CTQ82" s="1"/>
      <c r="CTR82" s="1"/>
      <c r="CTS82" s="1"/>
      <c r="CTT82" s="1"/>
      <c r="CTU82" s="1"/>
      <c r="CTV82" s="1"/>
      <c r="CTW82" s="1"/>
      <c r="CTX82" s="1"/>
      <c r="CTY82" s="1"/>
      <c r="CTZ82" s="1"/>
      <c r="CUA82" s="1"/>
      <c r="CUB82" s="1"/>
      <c r="CUC82" s="1"/>
      <c r="CUD82" s="1"/>
      <c r="CUE82" s="1"/>
      <c r="CUF82" s="1"/>
      <c r="CUG82" s="1"/>
      <c r="CUH82" s="1"/>
      <c r="CUI82" s="1"/>
      <c r="CUJ82" s="1"/>
      <c r="CUK82" s="1"/>
      <c r="CUL82" s="1"/>
      <c r="CUM82" s="1"/>
      <c r="CUN82" s="1"/>
      <c r="CUO82" s="1"/>
      <c r="CUP82" s="1"/>
      <c r="CUQ82" s="1"/>
      <c r="CUR82" s="1"/>
      <c r="CUS82" s="1"/>
      <c r="CUT82" s="1"/>
      <c r="CUU82" s="1"/>
      <c r="CUV82" s="1"/>
      <c r="CUW82" s="1"/>
      <c r="CUX82" s="1"/>
      <c r="CUY82" s="1"/>
      <c r="CUZ82" s="1"/>
      <c r="CVA82" s="1"/>
      <c r="CVB82" s="1"/>
      <c r="CVC82" s="1"/>
      <c r="CVD82" s="1"/>
      <c r="CVE82" s="1"/>
      <c r="CVF82" s="1"/>
      <c r="CVG82" s="1"/>
      <c r="CVH82" s="1"/>
      <c r="CVI82" s="1"/>
      <c r="CVJ82" s="1"/>
      <c r="CVK82" s="1"/>
      <c r="CVL82" s="1"/>
      <c r="CVM82" s="1"/>
      <c r="CVN82" s="1"/>
      <c r="CVO82" s="1"/>
      <c r="CVP82" s="1"/>
      <c r="CVQ82" s="1"/>
      <c r="CVR82" s="1"/>
      <c r="CVS82" s="1"/>
      <c r="CVT82" s="1"/>
      <c r="CVU82" s="1"/>
      <c r="CVV82" s="1"/>
      <c r="CVW82" s="1"/>
      <c r="CVX82" s="1"/>
      <c r="CVY82" s="1"/>
      <c r="CVZ82" s="1"/>
      <c r="CWA82" s="1"/>
      <c r="CWB82" s="1"/>
      <c r="CWC82" s="1"/>
      <c r="CWD82" s="1"/>
      <c r="CWE82" s="1"/>
      <c r="CWF82" s="1"/>
      <c r="CWG82" s="1"/>
      <c r="CWH82" s="1"/>
      <c r="CWI82" s="1"/>
      <c r="CWJ82" s="1"/>
      <c r="CWK82" s="1"/>
      <c r="CWL82" s="1"/>
      <c r="CWM82" s="1"/>
      <c r="CWN82" s="1"/>
      <c r="CWO82" s="1"/>
      <c r="CWP82" s="1"/>
      <c r="CWQ82" s="1"/>
      <c r="CWR82" s="1"/>
      <c r="CWS82" s="1"/>
      <c r="CWT82" s="1"/>
      <c r="CWU82" s="1"/>
      <c r="CWV82" s="1"/>
      <c r="CWW82" s="1"/>
      <c r="CWX82" s="1"/>
      <c r="CWY82" s="1"/>
      <c r="CWZ82" s="1"/>
      <c r="CXA82" s="1"/>
      <c r="CXB82" s="1"/>
      <c r="CXC82" s="1"/>
      <c r="CXD82" s="1"/>
      <c r="CXE82" s="1"/>
      <c r="CXF82" s="1"/>
      <c r="CXG82" s="1"/>
      <c r="CXH82" s="1"/>
      <c r="CXI82" s="1"/>
      <c r="CXJ82" s="1"/>
      <c r="CXK82" s="1"/>
      <c r="CXL82" s="1"/>
      <c r="CXM82" s="1"/>
      <c r="CXN82" s="1"/>
      <c r="CXO82" s="1"/>
      <c r="CXP82" s="1"/>
      <c r="CXQ82" s="1"/>
      <c r="CXR82" s="1"/>
      <c r="CXS82" s="1"/>
      <c r="CXT82" s="1"/>
      <c r="CXU82" s="1"/>
      <c r="CXV82" s="1"/>
      <c r="CXW82" s="1"/>
      <c r="CXX82" s="1"/>
      <c r="CXY82" s="1"/>
      <c r="CXZ82" s="1"/>
      <c r="CYA82" s="1"/>
      <c r="CYB82" s="1"/>
      <c r="CYC82" s="1"/>
      <c r="CYD82" s="1"/>
      <c r="CYE82" s="1"/>
      <c r="CYF82" s="1"/>
      <c r="CYG82" s="1"/>
      <c r="CYH82" s="1"/>
      <c r="CYI82" s="1"/>
      <c r="CYJ82" s="1"/>
      <c r="CYK82" s="1"/>
      <c r="CYL82" s="1"/>
      <c r="CYM82" s="1"/>
      <c r="CYN82" s="1"/>
      <c r="CYO82" s="1"/>
      <c r="CYP82" s="1"/>
      <c r="CYQ82" s="1"/>
      <c r="CYR82" s="1"/>
      <c r="CYS82" s="1"/>
      <c r="CYT82" s="1"/>
      <c r="CYU82" s="1"/>
      <c r="CYV82" s="1"/>
      <c r="CYW82" s="1"/>
      <c r="CYX82" s="1"/>
      <c r="CYY82" s="1"/>
      <c r="CYZ82" s="1"/>
      <c r="CZA82" s="1"/>
      <c r="CZB82" s="1"/>
      <c r="CZC82" s="1"/>
      <c r="CZD82" s="1"/>
      <c r="CZE82" s="1"/>
      <c r="CZF82" s="1"/>
      <c r="CZG82" s="1"/>
      <c r="CZH82" s="1"/>
      <c r="CZI82" s="1"/>
      <c r="CZJ82" s="1"/>
      <c r="CZK82" s="1"/>
      <c r="CZL82" s="1"/>
      <c r="CZM82" s="1"/>
      <c r="CZN82" s="1"/>
      <c r="CZO82" s="1"/>
      <c r="CZP82" s="1"/>
      <c r="CZQ82" s="1"/>
      <c r="CZR82" s="1"/>
      <c r="CZS82" s="1"/>
      <c r="CZT82" s="1"/>
      <c r="CZU82" s="1"/>
      <c r="CZV82" s="1"/>
      <c r="CZW82" s="1"/>
      <c r="CZX82" s="1"/>
      <c r="CZY82" s="1"/>
      <c r="CZZ82" s="1"/>
      <c r="DAA82" s="1"/>
      <c r="DAB82" s="1"/>
      <c r="DAC82" s="1"/>
      <c r="DAD82" s="1"/>
      <c r="DAE82" s="1"/>
      <c r="DAF82" s="1"/>
      <c r="DAG82" s="1"/>
      <c r="DAH82" s="1"/>
      <c r="DAI82" s="1"/>
      <c r="DAJ82" s="1"/>
      <c r="DAK82" s="1"/>
      <c r="DAL82" s="1"/>
      <c r="DAM82" s="1"/>
      <c r="DAN82" s="1"/>
      <c r="DAO82" s="1"/>
      <c r="DAP82" s="1"/>
      <c r="DAQ82" s="1"/>
      <c r="DAR82" s="1"/>
      <c r="DAS82" s="1"/>
      <c r="DAT82" s="1"/>
      <c r="DAU82" s="1"/>
      <c r="DAV82" s="1"/>
      <c r="DAW82" s="1"/>
      <c r="DAX82" s="1"/>
      <c r="DAY82" s="1"/>
      <c r="DAZ82" s="1"/>
      <c r="DBA82" s="1"/>
      <c r="DBB82" s="1"/>
      <c r="DBC82" s="1"/>
      <c r="DBD82" s="1"/>
      <c r="DBE82" s="1"/>
      <c r="DBF82" s="1"/>
      <c r="DBG82" s="1"/>
      <c r="DBH82" s="1"/>
      <c r="DBI82" s="1"/>
      <c r="DBJ82" s="1"/>
      <c r="DBK82" s="1"/>
      <c r="DBL82" s="1"/>
      <c r="DBM82" s="1"/>
      <c r="DBN82" s="1"/>
      <c r="DBO82" s="1"/>
      <c r="DBP82" s="1"/>
      <c r="DBQ82" s="1"/>
      <c r="DBR82" s="1"/>
      <c r="DBS82" s="1"/>
      <c r="DBT82" s="1"/>
      <c r="DBU82" s="1"/>
      <c r="DBV82" s="1"/>
      <c r="DBW82" s="1"/>
      <c r="DBX82" s="1"/>
      <c r="DBY82" s="1"/>
      <c r="DBZ82" s="1"/>
      <c r="DCA82" s="1"/>
      <c r="DCB82" s="1"/>
      <c r="DCC82" s="1"/>
      <c r="DCD82" s="1"/>
      <c r="DCE82" s="1"/>
      <c r="DCF82" s="1"/>
      <c r="DCG82" s="1"/>
      <c r="DCH82" s="1"/>
      <c r="DCI82" s="1"/>
      <c r="DCJ82" s="1"/>
      <c r="DCK82" s="1"/>
      <c r="DCL82" s="1"/>
      <c r="DCM82" s="1"/>
      <c r="DCN82" s="1"/>
      <c r="DCO82" s="1"/>
      <c r="DCP82" s="1"/>
      <c r="DCQ82" s="1"/>
      <c r="DCR82" s="1"/>
      <c r="DCS82" s="1"/>
      <c r="DCT82" s="1"/>
      <c r="DCU82" s="1"/>
      <c r="DCV82" s="1"/>
      <c r="DCW82" s="1"/>
      <c r="DCX82" s="1"/>
      <c r="DCY82" s="1"/>
      <c r="DCZ82" s="1"/>
      <c r="DDA82" s="1"/>
      <c r="DDB82" s="1"/>
      <c r="DDC82" s="1"/>
      <c r="DDD82" s="1"/>
      <c r="DDE82" s="1"/>
      <c r="DDF82" s="1"/>
      <c r="DDG82" s="1"/>
      <c r="DDH82" s="1"/>
      <c r="DDI82" s="1"/>
      <c r="DDJ82" s="1"/>
      <c r="DDK82" s="1"/>
      <c r="DDL82" s="1"/>
      <c r="DDM82" s="1"/>
      <c r="DDN82" s="1"/>
      <c r="DDO82" s="1"/>
      <c r="DDP82" s="1"/>
      <c r="DDQ82" s="1"/>
      <c r="DDR82" s="1"/>
      <c r="DDS82" s="1"/>
      <c r="DDT82" s="1"/>
      <c r="DDU82" s="1"/>
      <c r="DDV82" s="1"/>
      <c r="DDW82" s="1"/>
      <c r="DDX82" s="1"/>
      <c r="DDY82" s="1"/>
      <c r="DDZ82" s="1"/>
      <c r="DEA82" s="1"/>
      <c r="DEB82" s="1"/>
      <c r="DEC82" s="1"/>
      <c r="DED82" s="1"/>
      <c r="DEE82" s="1"/>
      <c r="DEF82" s="1"/>
      <c r="DEG82" s="1"/>
      <c r="DEH82" s="1"/>
      <c r="DEI82" s="1"/>
      <c r="DEJ82" s="1"/>
      <c r="DEK82" s="1"/>
      <c r="DEL82" s="1"/>
      <c r="DEM82" s="1"/>
      <c r="DEN82" s="1"/>
      <c r="DEO82" s="1"/>
      <c r="DEP82" s="1"/>
      <c r="DEQ82" s="1"/>
      <c r="DER82" s="1"/>
      <c r="DES82" s="1"/>
      <c r="DET82" s="1"/>
      <c r="DEU82" s="1"/>
      <c r="DEV82" s="1"/>
      <c r="DEW82" s="1"/>
      <c r="DEX82" s="1"/>
      <c r="DEY82" s="1"/>
      <c r="DEZ82" s="1"/>
      <c r="DFA82" s="1"/>
      <c r="DFB82" s="1"/>
      <c r="DFC82" s="1"/>
      <c r="DFD82" s="1"/>
      <c r="DFE82" s="1"/>
      <c r="DFF82" s="1"/>
      <c r="DFG82" s="1"/>
      <c r="DFH82" s="1"/>
      <c r="DFI82" s="1"/>
      <c r="DFJ82" s="1"/>
      <c r="DFK82" s="1"/>
      <c r="DFL82" s="1"/>
      <c r="DFM82" s="1"/>
      <c r="DFN82" s="1"/>
      <c r="DFO82" s="1"/>
      <c r="DFP82" s="1"/>
      <c r="DFQ82" s="1"/>
      <c r="DFR82" s="1"/>
      <c r="DFS82" s="1"/>
      <c r="DFT82" s="1"/>
      <c r="DFU82" s="1"/>
      <c r="DFV82" s="1"/>
      <c r="DFW82" s="1"/>
      <c r="DFX82" s="1"/>
      <c r="DFY82" s="1"/>
      <c r="DFZ82" s="1"/>
      <c r="DGA82" s="1"/>
      <c r="DGB82" s="1"/>
      <c r="DGC82" s="1"/>
      <c r="DGD82" s="1"/>
      <c r="DGE82" s="1"/>
      <c r="DGF82" s="1"/>
      <c r="DGG82" s="1"/>
      <c r="DGH82" s="1"/>
      <c r="DGI82" s="1"/>
      <c r="DGJ82" s="1"/>
      <c r="DGK82" s="1"/>
      <c r="DGL82" s="1"/>
      <c r="DGM82" s="1"/>
      <c r="DGN82" s="1"/>
      <c r="DGO82" s="1"/>
      <c r="DGP82" s="1"/>
      <c r="DGQ82" s="1"/>
      <c r="DGR82" s="1"/>
      <c r="DGS82" s="1"/>
      <c r="DGT82" s="1"/>
      <c r="DGU82" s="1"/>
      <c r="DGV82" s="1"/>
      <c r="DGW82" s="1"/>
      <c r="DGX82" s="1"/>
      <c r="DGY82" s="1"/>
      <c r="DGZ82" s="1"/>
      <c r="DHA82" s="1"/>
      <c r="DHB82" s="1"/>
      <c r="DHC82" s="1"/>
      <c r="DHD82" s="1"/>
      <c r="DHE82" s="1"/>
      <c r="DHF82" s="1"/>
      <c r="DHG82" s="1"/>
      <c r="DHH82" s="1"/>
      <c r="DHI82" s="1"/>
      <c r="DHJ82" s="1"/>
      <c r="DHK82" s="1"/>
      <c r="DHL82" s="1"/>
      <c r="DHM82" s="1"/>
      <c r="DHN82" s="1"/>
      <c r="DHO82" s="1"/>
      <c r="DHP82" s="1"/>
      <c r="DHQ82" s="1"/>
      <c r="DHR82" s="1"/>
      <c r="DHS82" s="1"/>
      <c r="DHT82" s="1"/>
      <c r="DHU82" s="1"/>
      <c r="DHV82" s="1"/>
      <c r="DHW82" s="1"/>
      <c r="DHX82" s="1"/>
      <c r="DHY82" s="1"/>
      <c r="DHZ82" s="1"/>
      <c r="DIA82" s="1"/>
      <c r="DIB82" s="1"/>
      <c r="DIC82" s="1"/>
      <c r="DID82" s="1"/>
      <c r="DIE82" s="1"/>
      <c r="DIF82" s="1"/>
      <c r="DIG82" s="1"/>
      <c r="DIH82" s="1"/>
      <c r="DII82" s="1"/>
      <c r="DIJ82" s="1"/>
      <c r="DIK82" s="1"/>
      <c r="DIL82" s="1"/>
      <c r="DIM82" s="1"/>
      <c r="DIN82" s="1"/>
      <c r="DIO82" s="1"/>
      <c r="DIP82" s="1"/>
      <c r="DIQ82" s="1"/>
      <c r="DIR82" s="1"/>
      <c r="DIS82" s="1"/>
      <c r="DIT82" s="1"/>
      <c r="DIU82" s="1"/>
      <c r="DIV82" s="1"/>
      <c r="DIW82" s="1"/>
      <c r="DIX82" s="1"/>
      <c r="DIY82" s="1"/>
      <c r="DIZ82" s="1"/>
      <c r="DJA82" s="1"/>
      <c r="DJB82" s="1"/>
      <c r="DJC82" s="1"/>
      <c r="DJD82" s="1"/>
      <c r="DJE82" s="1"/>
      <c r="DJF82" s="1"/>
      <c r="DJG82" s="1"/>
      <c r="DJH82" s="1"/>
      <c r="DJI82" s="1"/>
      <c r="DJJ82" s="1"/>
      <c r="DJK82" s="1"/>
      <c r="DJL82" s="1"/>
      <c r="DJM82" s="1"/>
      <c r="DJN82" s="1"/>
      <c r="DJO82" s="1"/>
      <c r="DJP82" s="1"/>
      <c r="DJQ82" s="1"/>
      <c r="DJR82" s="1"/>
      <c r="DJS82" s="1"/>
      <c r="DJT82" s="1"/>
      <c r="DJU82" s="1"/>
      <c r="DJV82" s="1"/>
      <c r="DJW82" s="1"/>
      <c r="DJX82" s="1"/>
      <c r="DJY82" s="1"/>
      <c r="DJZ82" s="1"/>
      <c r="DKA82" s="1"/>
      <c r="DKB82" s="1"/>
      <c r="DKC82" s="1"/>
      <c r="DKD82" s="1"/>
      <c r="DKE82" s="1"/>
      <c r="DKF82" s="1"/>
      <c r="DKG82" s="1"/>
      <c r="DKH82" s="1"/>
      <c r="DKI82" s="1"/>
      <c r="DKJ82" s="1"/>
      <c r="DKK82" s="1"/>
      <c r="DKL82" s="1"/>
      <c r="DKM82" s="1"/>
      <c r="DKN82" s="1"/>
      <c r="DKO82" s="1"/>
      <c r="DKP82" s="1"/>
      <c r="DKQ82" s="1"/>
      <c r="DKR82" s="1"/>
      <c r="DKS82" s="1"/>
      <c r="DKT82" s="1"/>
      <c r="DKU82" s="1"/>
      <c r="DKV82" s="1"/>
      <c r="DKW82" s="1"/>
      <c r="DKX82" s="1"/>
      <c r="DKY82" s="1"/>
      <c r="DKZ82" s="1"/>
      <c r="DLA82" s="1"/>
      <c r="DLB82" s="1"/>
      <c r="DLC82" s="1"/>
      <c r="DLD82" s="1"/>
      <c r="DLE82" s="1"/>
      <c r="DLF82" s="1"/>
      <c r="DLG82" s="1"/>
      <c r="DLH82" s="1"/>
      <c r="DLI82" s="1"/>
      <c r="DLJ82" s="1"/>
      <c r="DLK82" s="1"/>
      <c r="DLL82" s="1"/>
      <c r="DLM82" s="1"/>
      <c r="DLN82" s="1"/>
      <c r="DLO82" s="1"/>
      <c r="DLP82" s="1"/>
      <c r="DLQ82" s="1"/>
      <c r="DLR82" s="1"/>
      <c r="DLS82" s="1"/>
      <c r="DLT82" s="1"/>
      <c r="DLU82" s="1"/>
      <c r="DLV82" s="1"/>
      <c r="DLW82" s="1"/>
      <c r="DLX82" s="1"/>
      <c r="DLY82" s="1"/>
      <c r="DLZ82" s="1"/>
      <c r="DMA82" s="1"/>
      <c r="DMB82" s="1"/>
      <c r="DMC82" s="1"/>
      <c r="DMD82" s="1"/>
      <c r="DME82" s="1"/>
      <c r="DMF82" s="1"/>
      <c r="DMG82" s="1"/>
      <c r="DMH82" s="1"/>
      <c r="DMI82" s="1"/>
      <c r="DMJ82" s="1"/>
      <c r="DMK82" s="1"/>
      <c r="DML82" s="1"/>
      <c r="DMM82" s="1"/>
      <c r="DMN82" s="1"/>
      <c r="DMO82" s="1"/>
      <c r="DMP82" s="1"/>
      <c r="DMQ82" s="1"/>
      <c r="DMR82" s="1"/>
      <c r="DMS82" s="1"/>
      <c r="DMT82" s="1"/>
      <c r="DMU82" s="1"/>
      <c r="DMV82" s="1"/>
      <c r="DMW82" s="1"/>
      <c r="DMX82" s="1"/>
      <c r="DMY82" s="1"/>
      <c r="DMZ82" s="1"/>
      <c r="DNA82" s="1"/>
      <c r="DNB82" s="1"/>
      <c r="DNC82" s="1"/>
      <c r="DND82" s="1"/>
      <c r="DNE82" s="1"/>
      <c r="DNF82" s="1"/>
      <c r="DNG82" s="1"/>
      <c r="DNH82" s="1"/>
      <c r="DNI82" s="1"/>
      <c r="DNJ82" s="1"/>
      <c r="DNK82" s="1"/>
      <c r="DNL82" s="1"/>
      <c r="DNM82" s="1"/>
      <c r="DNN82" s="1"/>
      <c r="DNO82" s="1"/>
      <c r="DNP82" s="1"/>
      <c r="DNQ82" s="1"/>
      <c r="DNR82" s="1"/>
      <c r="DNS82" s="1"/>
      <c r="DNT82" s="1"/>
      <c r="DNU82" s="1"/>
      <c r="DNV82" s="1"/>
      <c r="DNW82" s="1"/>
      <c r="DNX82" s="1"/>
      <c r="DNY82" s="1"/>
      <c r="DNZ82" s="1"/>
      <c r="DOA82" s="1"/>
      <c r="DOB82" s="1"/>
      <c r="DOC82" s="1"/>
      <c r="DOD82" s="1"/>
      <c r="DOE82" s="1"/>
      <c r="DOF82" s="1"/>
      <c r="DOG82" s="1"/>
      <c r="DOH82" s="1"/>
      <c r="DOI82" s="1"/>
      <c r="DOJ82" s="1"/>
      <c r="DOK82" s="1"/>
      <c r="DOL82" s="1"/>
      <c r="DOM82" s="1"/>
      <c r="DON82" s="1"/>
      <c r="DOO82" s="1"/>
      <c r="DOP82" s="1"/>
      <c r="DOQ82" s="1"/>
      <c r="DOR82" s="1"/>
      <c r="DOS82" s="1"/>
      <c r="DOT82" s="1"/>
      <c r="DOU82" s="1"/>
      <c r="DOV82" s="1"/>
      <c r="DOW82" s="1"/>
      <c r="DOX82" s="1"/>
      <c r="DOY82" s="1"/>
      <c r="DOZ82" s="1"/>
      <c r="DPA82" s="1"/>
      <c r="DPB82" s="1"/>
      <c r="DPC82" s="1"/>
      <c r="DPD82" s="1"/>
      <c r="DPE82" s="1"/>
      <c r="DPF82" s="1"/>
      <c r="DPG82" s="1"/>
      <c r="DPH82" s="1"/>
      <c r="DPI82" s="1"/>
      <c r="DPJ82" s="1"/>
      <c r="DPK82" s="1"/>
      <c r="DPL82" s="1"/>
      <c r="DPM82" s="1"/>
      <c r="DPN82" s="1"/>
      <c r="DPO82" s="1"/>
      <c r="DPP82" s="1"/>
      <c r="DPQ82" s="1"/>
      <c r="DPR82" s="1"/>
      <c r="DPS82" s="1"/>
      <c r="DPT82" s="1"/>
      <c r="DPU82" s="1"/>
      <c r="DPV82" s="1"/>
      <c r="DPW82" s="1"/>
      <c r="DPX82" s="1"/>
      <c r="DPY82" s="1"/>
      <c r="DPZ82" s="1"/>
      <c r="DQA82" s="1"/>
      <c r="DQB82" s="1"/>
      <c r="DQC82" s="1"/>
      <c r="DQD82" s="1"/>
      <c r="DQE82" s="1"/>
      <c r="DQF82" s="1"/>
      <c r="DQG82" s="1"/>
      <c r="DQH82" s="1"/>
      <c r="DQI82" s="1"/>
      <c r="DQJ82" s="1"/>
      <c r="DQK82" s="1"/>
      <c r="DQL82" s="1"/>
      <c r="DQM82" s="1"/>
      <c r="DQN82" s="1"/>
      <c r="DQO82" s="1"/>
      <c r="DQP82" s="1"/>
      <c r="DQQ82" s="1"/>
      <c r="DQR82" s="1"/>
      <c r="DQS82" s="1"/>
      <c r="DQT82" s="1"/>
      <c r="DQU82" s="1"/>
      <c r="DQV82" s="1"/>
      <c r="DQW82" s="1"/>
      <c r="DQX82" s="1"/>
      <c r="DQY82" s="1"/>
      <c r="DQZ82" s="1"/>
      <c r="DRA82" s="1"/>
      <c r="DRB82" s="1"/>
      <c r="DRC82" s="1"/>
      <c r="DRD82" s="1"/>
      <c r="DRE82" s="1"/>
      <c r="DRF82" s="1"/>
      <c r="DRG82" s="1"/>
      <c r="DRH82" s="1"/>
      <c r="DRI82" s="1"/>
      <c r="DRJ82" s="1"/>
      <c r="DRK82" s="1"/>
      <c r="DRL82" s="1"/>
      <c r="DRM82" s="1"/>
      <c r="DRN82" s="1"/>
      <c r="DRO82" s="1"/>
      <c r="DRP82" s="1"/>
      <c r="DRQ82" s="1"/>
      <c r="DRR82" s="1"/>
      <c r="DRS82" s="1"/>
      <c r="DRT82" s="1"/>
      <c r="DRU82" s="1"/>
      <c r="DRV82" s="1"/>
      <c r="DRW82" s="1"/>
      <c r="DRX82" s="1"/>
      <c r="DRY82" s="1"/>
      <c r="DRZ82" s="1"/>
      <c r="DSA82" s="1"/>
      <c r="DSB82" s="1"/>
      <c r="DSC82" s="1"/>
      <c r="DSD82" s="1"/>
      <c r="DSE82" s="1"/>
      <c r="DSF82" s="1"/>
      <c r="DSG82" s="1"/>
      <c r="DSH82" s="1"/>
      <c r="DSI82" s="1"/>
      <c r="DSJ82" s="1"/>
      <c r="DSK82" s="1"/>
      <c r="DSL82" s="1"/>
      <c r="DSM82" s="1"/>
      <c r="DSN82" s="1"/>
      <c r="DSO82" s="1"/>
      <c r="DSP82" s="1"/>
      <c r="DSQ82" s="1"/>
      <c r="DSR82" s="1"/>
      <c r="DSS82" s="1"/>
      <c r="DST82" s="1"/>
      <c r="DSU82" s="1"/>
      <c r="DSV82" s="1"/>
      <c r="DSW82" s="1"/>
      <c r="DSX82" s="1"/>
      <c r="DSY82" s="1"/>
      <c r="DSZ82" s="1"/>
      <c r="DTA82" s="1"/>
      <c r="DTB82" s="1"/>
      <c r="DTC82" s="1"/>
      <c r="DTD82" s="1"/>
      <c r="DTE82" s="1"/>
      <c r="DTF82" s="1"/>
      <c r="DTG82" s="1"/>
      <c r="DTH82" s="1"/>
      <c r="DTI82" s="1"/>
      <c r="DTJ82" s="1"/>
      <c r="DTK82" s="1"/>
      <c r="DTL82" s="1"/>
      <c r="DTM82" s="1"/>
      <c r="DTN82" s="1"/>
      <c r="DTO82" s="1"/>
      <c r="DTP82" s="1"/>
      <c r="DTQ82" s="1"/>
      <c r="DTR82" s="1"/>
      <c r="DTS82" s="1"/>
      <c r="DTT82" s="1"/>
      <c r="DTU82" s="1"/>
      <c r="DTV82" s="1"/>
      <c r="DTW82" s="1"/>
      <c r="DTX82" s="1"/>
      <c r="DTY82" s="1"/>
      <c r="DTZ82" s="1"/>
      <c r="DUA82" s="1"/>
      <c r="DUB82" s="1"/>
      <c r="DUC82" s="1"/>
      <c r="DUD82" s="1"/>
      <c r="DUE82" s="1"/>
      <c r="DUF82" s="1"/>
      <c r="DUG82" s="1"/>
      <c r="DUH82" s="1"/>
      <c r="DUI82" s="1"/>
      <c r="DUJ82" s="1"/>
      <c r="DUK82" s="1"/>
      <c r="DUL82" s="1"/>
      <c r="DUM82" s="1"/>
      <c r="DUN82" s="1"/>
      <c r="DUO82" s="1"/>
      <c r="DUP82" s="1"/>
      <c r="DUQ82" s="1"/>
      <c r="DUR82" s="1"/>
      <c r="DUS82" s="1"/>
      <c r="DUT82" s="1"/>
      <c r="DUU82" s="1"/>
      <c r="DUV82" s="1"/>
      <c r="DUW82" s="1"/>
      <c r="DUX82" s="1"/>
      <c r="DUY82" s="1"/>
      <c r="DUZ82" s="1"/>
      <c r="DVA82" s="1"/>
      <c r="DVB82" s="1"/>
      <c r="DVC82" s="1"/>
      <c r="DVD82" s="1"/>
      <c r="DVE82" s="1"/>
      <c r="DVF82" s="1"/>
      <c r="DVG82" s="1"/>
      <c r="DVH82" s="1"/>
      <c r="DVI82" s="1"/>
      <c r="DVJ82" s="1"/>
      <c r="DVK82" s="1"/>
      <c r="DVL82" s="1"/>
      <c r="DVM82" s="1"/>
      <c r="DVN82" s="1"/>
      <c r="DVO82" s="1"/>
      <c r="DVP82" s="1"/>
      <c r="DVQ82" s="1"/>
      <c r="DVR82" s="1"/>
      <c r="DVS82" s="1"/>
      <c r="DVT82" s="1"/>
      <c r="DVU82" s="1"/>
      <c r="DVV82" s="1"/>
      <c r="DVW82" s="1"/>
      <c r="DVX82" s="1"/>
      <c r="DVY82" s="1"/>
      <c r="DVZ82" s="1"/>
      <c r="DWA82" s="1"/>
      <c r="DWB82" s="1"/>
      <c r="DWC82" s="1"/>
      <c r="DWD82" s="1"/>
      <c r="DWE82" s="1"/>
      <c r="DWF82" s="1"/>
      <c r="DWG82" s="1"/>
      <c r="DWH82" s="1"/>
      <c r="DWI82" s="1"/>
      <c r="DWJ82" s="1"/>
      <c r="DWK82" s="1"/>
      <c r="DWL82" s="1"/>
      <c r="DWM82" s="1"/>
      <c r="DWN82" s="1"/>
      <c r="DWO82" s="1"/>
      <c r="DWP82" s="1"/>
      <c r="DWQ82" s="1"/>
      <c r="DWR82" s="1"/>
      <c r="DWS82" s="1"/>
      <c r="DWT82" s="1"/>
      <c r="DWU82" s="1"/>
      <c r="DWV82" s="1"/>
      <c r="DWW82" s="1"/>
      <c r="DWX82" s="1"/>
      <c r="DWY82" s="1"/>
      <c r="DWZ82" s="1"/>
      <c r="DXA82" s="1"/>
      <c r="DXB82" s="1"/>
      <c r="DXC82" s="1"/>
      <c r="DXD82" s="1"/>
      <c r="DXE82" s="1"/>
      <c r="DXF82" s="1"/>
      <c r="DXG82" s="1"/>
      <c r="DXH82" s="1"/>
      <c r="DXI82" s="1"/>
      <c r="DXJ82" s="1"/>
      <c r="DXK82" s="1"/>
      <c r="DXL82" s="1"/>
      <c r="DXM82" s="1"/>
      <c r="DXN82" s="1"/>
      <c r="DXO82" s="1"/>
      <c r="DXP82" s="1"/>
      <c r="DXQ82" s="1"/>
      <c r="DXR82" s="1"/>
      <c r="DXS82" s="1"/>
      <c r="DXT82" s="1"/>
      <c r="DXU82" s="1"/>
      <c r="DXV82" s="1"/>
      <c r="DXW82" s="1"/>
      <c r="DXX82" s="1"/>
      <c r="DXY82" s="1"/>
      <c r="DXZ82" s="1"/>
      <c r="DYA82" s="1"/>
      <c r="DYB82" s="1"/>
      <c r="DYC82" s="1"/>
      <c r="DYD82" s="1"/>
      <c r="DYE82" s="1"/>
      <c r="DYF82" s="1"/>
      <c r="DYG82" s="1"/>
      <c r="DYH82" s="1"/>
      <c r="DYI82" s="1"/>
      <c r="DYJ82" s="1"/>
      <c r="DYK82" s="1"/>
      <c r="DYL82" s="1"/>
      <c r="DYM82" s="1"/>
      <c r="DYN82" s="1"/>
      <c r="DYO82" s="1"/>
      <c r="DYP82" s="1"/>
      <c r="DYQ82" s="1"/>
      <c r="DYR82" s="1"/>
      <c r="DYS82" s="1"/>
      <c r="DYT82" s="1"/>
      <c r="DYU82" s="1"/>
      <c r="DYV82" s="1"/>
      <c r="DYW82" s="1"/>
      <c r="DYX82" s="1"/>
      <c r="DYY82" s="1"/>
      <c r="DYZ82" s="1"/>
      <c r="DZA82" s="1"/>
      <c r="DZB82" s="1"/>
      <c r="DZC82" s="1"/>
      <c r="DZD82" s="1"/>
      <c r="DZE82" s="1"/>
      <c r="DZF82" s="1"/>
      <c r="DZG82" s="1"/>
      <c r="DZH82" s="1"/>
      <c r="DZI82" s="1"/>
      <c r="DZJ82" s="1"/>
      <c r="DZK82" s="1"/>
      <c r="DZL82" s="1"/>
      <c r="DZM82" s="1"/>
      <c r="DZN82" s="1"/>
      <c r="DZO82" s="1"/>
      <c r="DZP82" s="1"/>
      <c r="DZQ82" s="1"/>
      <c r="DZR82" s="1"/>
      <c r="DZS82" s="1"/>
      <c r="DZT82" s="1"/>
      <c r="DZU82" s="1"/>
      <c r="DZV82" s="1"/>
      <c r="DZW82" s="1"/>
      <c r="DZX82" s="1"/>
      <c r="DZY82" s="1"/>
      <c r="DZZ82" s="1"/>
      <c r="EAA82" s="1"/>
      <c r="EAB82" s="1"/>
      <c r="EAC82" s="1"/>
      <c r="EAD82" s="1"/>
      <c r="EAE82" s="1"/>
      <c r="EAF82" s="1"/>
      <c r="EAG82" s="1"/>
      <c r="EAH82" s="1"/>
      <c r="EAI82" s="1"/>
      <c r="EAJ82" s="1"/>
      <c r="EAK82" s="1"/>
      <c r="EAL82" s="1"/>
      <c r="EAM82" s="1"/>
      <c r="EAN82" s="1"/>
      <c r="EAO82" s="1"/>
      <c r="EAP82" s="1"/>
      <c r="EAQ82" s="1"/>
      <c r="EAR82" s="1"/>
      <c r="EAS82" s="1"/>
      <c r="EAT82" s="1"/>
      <c r="EAU82" s="1"/>
      <c r="EAV82" s="1"/>
      <c r="EAW82" s="1"/>
      <c r="EAX82" s="1"/>
      <c r="EAY82" s="1"/>
      <c r="EAZ82" s="1"/>
      <c r="EBA82" s="1"/>
      <c r="EBB82" s="1"/>
      <c r="EBC82" s="1"/>
      <c r="EBD82" s="1"/>
      <c r="EBE82" s="1"/>
      <c r="EBF82" s="1"/>
      <c r="EBG82" s="1"/>
      <c r="EBH82" s="1"/>
      <c r="EBI82" s="1"/>
      <c r="EBJ82" s="1"/>
      <c r="EBK82" s="1"/>
      <c r="EBL82" s="1"/>
      <c r="EBM82" s="1"/>
      <c r="EBN82" s="1"/>
      <c r="EBO82" s="1"/>
      <c r="EBP82" s="1"/>
      <c r="EBQ82" s="1"/>
      <c r="EBR82" s="1"/>
      <c r="EBS82" s="1"/>
      <c r="EBT82" s="1"/>
      <c r="EBU82" s="1"/>
      <c r="EBV82" s="1"/>
      <c r="EBW82" s="1"/>
      <c r="EBX82" s="1"/>
      <c r="EBY82" s="1"/>
      <c r="EBZ82" s="1"/>
      <c r="ECA82" s="1"/>
      <c r="ECB82" s="1"/>
      <c r="ECC82" s="1"/>
      <c r="ECD82" s="1"/>
      <c r="ECE82" s="1"/>
      <c r="ECF82" s="1"/>
      <c r="ECG82" s="1"/>
      <c r="ECH82" s="1"/>
      <c r="ECI82" s="1"/>
      <c r="ECJ82" s="1"/>
      <c r="ECK82" s="1"/>
      <c r="ECL82" s="1"/>
      <c r="ECM82" s="1"/>
      <c r="ECN82" s="1"/>
      <c r="ECO82" s="1"/>
      <c r="ECP82" s="1"/>
      <c r="ECQ82" s="1"/>
      <c r="ECR82" s="1"/>
      <c r="ECS82" s="1"/>
      <c r="ECT82" s="1"/>
      <c r="ECU82" s="1"/>
      <c r="ECV82" s="1"/>
      <c r="ECW82" s="1"/>
      <c r="ECX82" s="1"/>
      <c r="ECY82" s="1"/>
      <c r="ECZ82" s="1"/>
      <c r="EDA82" s="1"/>
      <c r="EDB82" s="1"/>
      <c r="EDC82" s="1"/>
      <c r="EDD82" s="1"/>
      <c r="EDE82" s="1"/>
      <c r="EDF82" s="1"/>
      <c r="EDG82" s="1"/>
      <c r="EDH82" s="1"/>
      <c r="EDI82" s="1"/>
      <c r="EDJ82" s="1"/>
      <c r="EDK82" s="1"/>
      <c r="EDL82" s="1"/>
      <c r="EDM82" s="1"/>
      <c r="EDN82" s="1"/>
      <c r="EDO82" s="1"/>
      <c r="EDP82" s="1"/>
      <c r="EDQ82" s="1"/>
      <c r="EDR82" s="1"/>
      <c r="EDS82" s="1"/>
      <c r="EDT82" s="1"/>
      <c r="EDU82" s="1"/>
      <c r="EDV82" s="1"/>
      <c r="EDW82" s="1"/>
      <c r="EDX82" s="1"/>
      <c r="EDY82" s="1"/>
      <c r="EDZ82" s="1"/>
      <c r="EEA82" s="1"/>
      <c r="EEB82" s="1"/>
      <c r="EEC82" s="1"/>
      <c r="EED82" s="1"/>
      <c r="EEE82" s="1"/>
      <c r="EEF82" s="1"/>
      <c r="EEG82" s="1"/>
      <c r="EEH82" s="1"/>
      <c r="EEI82" s="1"/>
      <c r="EEJ82" s="1"/>
      <c r="EEK82" s="1"/>
      <c r="EEL82" s="1"/>
      <c r="EEM82" s="1"/>
      <c r="EEN82" s="1"/>
      <c r="EEO82" s="1"/>
      <c r="EEP82" s="1"/>
      <c r="EEQ82" s="1"/>
      <c r="EER82" s="1"/>
      <c r="EES82" s="1"/>
      <c r="EET82" s="1"/>
      <c r="EEU82" s="1"/>
      <c r="EEV82" s="1"/>
      <c r="EEW82" s="1"/>
      <c r="EEX82" s="1"/>
      <c r="EEY82" s="1"/>
      <c r="EEZ82" s="1"/>
      <c r="EFA82" s="1"/>
      <c r="EFB82" s="1"/>
      <c r="EFC82" s="1"/>
      <c r="EFD82" s="1"/>
      <c r="EFE82" s="1"/>
      <c r="EFF82" s="1"/>
      <c r="EFG82" s="1"/>
      <c r="EFH82" s="1"/>
      <c r="EFI82" s="1"/>
      <c r="EFJ82" s="1"/>
      <c r="EFK82" s="1"/>
      <c r="EFL82" s="1"/>
      <c r="EFM82" s="1"/>
      <c r="EFN82" s="1"/>
      <c r="EFO82" s="1"/>
      <c r="EFP82" s="1"/>
      <c r="EFQ82" s="1"/>
      <c r="EFR82" s="1"/>
      <c r="EFS82" s="1"/>
      <c r="EFT82" s="1"/>
      <c r="EFU82" s="1"/>
      <c r="EFV82" s="1"/>
      <c r="EFW82" s="1"/>
      <c r="EFX82" s="1"/>
      <c r="EFY82" s="1"/>
      <c r="EFZ82" s="1"/>
      <c r="EGA82" s="1"/>
      <c r="EGB82" s="1"/>
      <c r="EGC82" s="1"/>
      <c r="EGD82" s="1"/>
      <c r="EGE82" s="1"/>
      <c r="EGF82" s="1"/>
      <c r="EGG82" s="1"/>
      <c r="EGH82" s="1"/>
      <c r="EGI82" s="1"/>
      <c r="EGJ82" s="1"/>
      <c r="EGK82" s="1"/>
      <c r="EGL82" s="1"/>
      <c r="EGM82" s="1"/>
      <c r="EGN82" s="1"/>
      <c r="EGO82" s="1"/>
      <c r="EGP82" s="1"/>
      <c r="EGQ82" s="1"/>
      <c r="EGR82" s="1"/>
      <c r="EGS82" s="1"/>
      <c r="EGT82" s="1"/>
      <c r="EGU82" s="1"/>
      <c r="EGV82" s="1"/>
      <c r="EGW82" s="1"/>
      <c r="EGX82" s="1"/>
      <c r="EGY82" s="1"/>
      <c r="EGZ82" s="1"/>
      <c r="EHA82" s="1"/>
      <c r="EHB82" s="1"/>
      <c r="EHC82" s="1"/>
      <c r="EHD82" s="1"/>
      <c r="EHE82" s="1"/>
      <c r="EHF82" s="1"/>
      <c r="EHG82" s="1"/>
      <c r="EHH82" s="1"/>
      <c r="EHI82" s="1"/>
      <c r="EHJ82" s="1"/>
      <c r="EHK82" s="1"/>
      <c r="EHL82" s="1"/>
      <c r="EHM82" s="1"/>
      <c r="EHN82" s="1"/>
      <c r="EHO82" s="1"/>
      <c r="EHP82" s="1"/>
      <c r="EHQ82" s="1"/>
      <c r="EHR82" s="1"/>
      <c r="EHS82" s="1"/>
      <c r="EHT82" s="1"/>
      <c r="EHU82" s="1"/>
      <c r="EHV82" s="1"/>
      <c r="EHW82" s="1"/>
      <c r="EHX82" s="1"/>
      <c r="EHY82" s="1"/>
      <c r="EHZ82" s="1"/>
      <c r="EIA82" s="1"/>
      <c r="EIB82" s="1"/>
      <c r="EIC82" s="1"/>
      <c r="EID82" s="1"/>
      <c r="EIE82" s="1"/>
      <c r="EIF82" s="1"/>
      <c r="EIG82" s="1"/>
      <c r="EIH82" s="1"/>
      <c r="EII82" s="1"/>
      <c r="EIJ82" s="1"/>
      <c r="EIK82" s="1"/>
      <c r="EIL82" s="1"/>
      <c r="EIM82" s="1"/>
      <c r="EIN82" s="1"/>
      <c r="EIO82" s="1"/>
      <c r="EIP82" s="1"/>
      <c r="EIQ82" s="1"/>
      <c r="EIR82" s="1"/>
      <c r="EIS82" s="1"/>
      <c r="EIT82" s="1"/>
      <c r="EIU82" s="1"/>
      <c r="EIV82" s="1"/>
      <c r="EIW82" s="1"/>
      <c r="EIX82" s="1"/>
      <c r="EIY82" s="1"/>
      <c r="EIZ82" s="1"/>
      <c r="EJA82" s="1"/>
      <c r="EJB82" s="1"/>
      <c r="EJC82" s="1"/>
      <c r="EJD82" s="1"/>
      <c r="EJE82" s="1"/>
      <c r="EJF82" s="1"/>
      <c r="EJG82" s="1"/>
      <c r="EJH82" s="1"/>
      <c r="EJI82" s="1"/>
      <c r="EJJ82" s="1"/>
      <c r="EJK82" s="1"/>
      <c r="EJL82" s="1"/>
      <c r="EJM82" s="1"/>
      <c r="EJN82" s="1"/>
      <c r="EJO82" s="1"/>
      <c r="EJP82" s="1"/>
      <c r="EJQ82" s="1"/>
      <c r="EJR82" s="1"/>
      <c r="EJS82" s="1"/>
      <c r="EJT82" s="1"/>
      <c r="EJU82" s="1"/>
      <c r="EJV82" s="1"/>
      <c r="EJW82" s="1"/>
      <c r="EJX82" s="1"/>
      <c r="EJY82" s="1"/>
      <c r="EJZ82" s="1"/>
      <c r="EKA82" s="1"/>
      <c r="EKB82" s="1"/>
      <c r="EKC82" s="1"/>
      <c r="EKD82" s="1"/>
      <c r="EKE82" s="1"/>
      <c r="EKF82" s="1"/>
      <c r="EKG82" s="1"/>
      <c r="EKH82" s="1"/>
      <c r="EKI82" s="1"/>
      <c r="EKJ82" s="1"/>
      <c r="EKK82" s="1"/>
      <c r="EKL82" s="1"/>
      <c r="EKM82" s="1"/>
      <c r="EKN82" s="1"/>
      <c r="EKO82" s="1"/>
      <c r="EKP82" s="1"/>
      <c r="EKQ82" s="1"/>
      <c r="EKR82" s="1"/>
      <c r="EKS82" s="1"/>
      <c r="EKT82" s="1"/>
      <c r="EKU82" s="1"/>
      <c r="EKV82" s="1"/>
      <c r="EKW82" s="1"/>
      <c r="EKX82" s="1"/>
      <c r="EKY82" s="1"/>
      <c r="EKZ82" s="1"/>
      <c r="ELA82" s="1"/>
      <c r="ELB82" s="1"/>
      <c r="ELC82" s="1"/>
      <c r="ELD82" s="1"/>
      <c r="ELE82" s="1"/>
      <c r="ELF82" s="1"/>
      <c r="ELG82" s="1"/>
      <c r="ELH82" s="1"/>
      <c r="ELI82" s="1"/>
      <c r="ELJ82" s="1"/>
      <c r="ELK82" s="1"/>
      <c r="ELL82" s="1"/>
      <c r="ELM82" s="1"/>
      <c r="ELN82" s="1"/>
      <c r="ELO82" s="1"/>
      <c r="ELP82" s="1"/>
      <c r="ELQ82" s="1"/>
      <c r="ELR82" s="1"/>
      <c r="ELS82" s="1"/>
      <c r="ELT82" s="1"/>
      <c r="ELU82" s="1"/>
      <c r="ELV82" s="1"/>
      <c r="ELW82" s="1"/>
      <c r="ELX82" s="1"/>
      <c r="ELY82" s="1"/>
      <c r="ELZ82" s="1"/>
      <c r="EMA82" s="1"/>
      <c r="EMB82" s="1"/>
      <c r="EMC82" s="1"/>
      <c r="EMD82" s="1"/>
      <c r="EME82" s="1"/>
      <c r="EMF82" s="1"/>
      <c r="EMG82" s="1"/>
      <c r="EMH82" s="1"/>
      <c r="EMI82" s="1"/>
      <c r="EMJ82" s="1"/>
      <c r="EMK82" s="1"/>
      <c r="EML82" s="1"/>
      <c r="EMM82" s="1"/>
      <c r="EMN82" s="1"/>
      <c r="EMO82" s="1"/>
      <c r="EMP82" s="1"/>
      <c r="EMQ82" s="1"/>
      <c r="EMR82" s="1"/>
      <c r="EMS82" s="1"/>
      <c r="EMT82" s="1"/>
      <c r="EMU82" s="1"/>
      <c r="EMV82" s="1"/>
      <c r="EMW82" s="1"/>
      <c r="EMX82" s="1"/>
      <c r="EMY82" s="1"/>
      <c r="EMZ82" s="1"/>
      <c r="ENA82" s="1"/>
      <c r="ENB82" s="1"/>
      <c r="ENC82" s="1"/>
      <c r="END82" s="1"/>
      <c r="ENE82" s="1"/>
      <c r="ENF82" s="1"/>
      <c r="ENG82" s="1"/>
      <c r="ENH82" s="1"/>
      <c r="ENI82" s="1"/>
      <c r="ENJ82" s="1"/>
      <c r="ENK82" s="1"/>
      <c r="ENL82" s="1"/>
      <c r="ENM82" s="1"/>
      <c r="ENN82" s="1"/>
      <c r="ENO82" s="1"/>
      <c r="ENP82" s="1"/>
      <c r="ENQ82" s="1"/>
      <c r="ENR82" s="1"/>
      <c r="ENS82" s="1"/>
      <c r="ENT82" s="1"/>
      <c r="ENU82" s="1"/>
      <c r="ENV82" s="1"/>
      <c r="ENW82" s="1"/>
      <c r="ENX82" s="1"/>
      <c r="ENY82" s="1"/>
      <c r="ENZ82" s="1"/>
      <c r="EOA82" s="1"/>
      <c r="EOB82" s="1"/>
      <c r="EOC82" s="1"/>
      <c r="EOD82" s="1"/>
      <c r="EOE82" s="1"/>
      <c r="EOF82" s="1"/>
      <c r="EOG82" s="1"/>
      <c r="EOH82" s="1"/>
      <c r="EOI82" s="1"/>
      <c r="EOJ82" s="1"/>
      <c r="EOK82" s="1"/>
      <c r="EOL82" s="1"/>
      <c r="EOM82" s="1"/>
      <c r="EON82" s="1"/>
      <c r="EOO82" s="1"/>
      <c r="EOP82" s="1"/>
      <c r="EOQ82" s="1"/>
      <c r="EOR82" s="1"/>
      <c r="EOS82" s="1"/>
      <c r="EOT82" s="1"/>
      <c r="EOU82" s="1"/>
      <c r="EOV82" s="1"/>
      <c r="EOW82" s="1"/>
      <c r="EOX82" s="1"/>
      <c r="EOY82" s="1"/>
      <c r="EOZ82" s="1"/>
      <c r="EPA82" s="1"/>
      <c r="EPB82" s="1"/>
      <c r="EPC82" s="1"/>
      <c r="EPD82" s="1"/>
      <c r="EPE82" s="1"/>
      <c r="EPF82" s="1"/>
      <c r="EPG82" s="1"/>
      <c r="EPH82" s="1"/>
      <c r="EPI82" s="1"/>
      <c r="EPJ82" s="1"/>
      <c r="EPK82" s="1"/>
      <c r="EPL82" s="1"/>
      <c r="EPM82" s="1"/>
      <c r="EPN82" s="1"/>
      <c r="EPO82" s="1"/>
      <c r="EPP82" s="1"/>
      <c r="EPQ82" s="1"/>
      <c r="EPR82" s="1"/>
      <c r="EPS82" s="1"/>
      <c r="EPT82" s="1"/>
      <c r="EPU82" s="1"/>
      <c r="EPV82" s="1"/>
      <c r="EPW82" s="1"/>
      <c r="EPX82" s="1"/>
      <c r="EPY82" s="1"/>
      <c r="EPZ82" s="1"/>
      <c r="EQA82" s="1"/>
      <c r="EQB82" s="1"/>
      <c r="EQC82" s="1"/>
      <c r="EQD82" s="1"/>
      <c r="EQE82" s="1"/>
      <c r="EQF82" s="1"/>
      <c r="EQG82" s="1"/>
      <c r="EQH82" s="1"/>
      <c r="EQI82" s="1"/>
      <c r="EQJ82" s="1"/>
      <c r="EQK82" s="1"/>
      <c r="EQL82" s="1"/>
      <c r="EQM82" s="1"/>
      <c r="EQN82" s="1"/>
      <c r="EQO82" s="1"/>
      <c r="EQP82" s="1"/>
      <c r="EQQ82" s="1"/>
      <c r="EQR82" s="1"/>
      <c r="EQS82" s="1"/>
      <c r="EQT82" s="1"/>
      <c r="EQU82" s="1"/>
      <c r="EQV82" s="1"/>
      <c r="EQW82" s="1"/>
      <c r="EQX82" s="1"/>
      <c r="EQY82" s="1"/>
      <c r="EQZ82" s="1"/>
      <c r="ERA82" s="1"/>
      <c r="ERB82" s="1"/>
      <c r="ERC82" s="1"/>
      <c r="ERD82" s="1"/>
      <c r="ERE82" s="1"/>
      <c r="ERF82" s="1"/>
      <c r="ERG82" s="1"/>
      <c r="ERH82" s="1"/>
      <c r="ERI82" s="1"/>
      <c r="ERJ82" s="1"/>
      <c r="ERK82" s="1"/>
      <c r="ERL82" s="1"/>
      <c r="ERM82" s="1"/>
      <c r="ERN82" s="1"/>
      <c r="ERO82" s="1"/>
      <c r="ERP82" s="1"/>
      <c r="ERQ82" s="1"/>
      <c r="ERR82" s="1"/>
      <c r="ERS82" s="1"/>
      <c r="ERT82" s="1"/>
      <c r="ERU82" s="1"/>
      <c r="ERV82" s="1"/>
      <c r="ERW82" s="1"/>
      <c r="ERX82" s="1"/>
      <c r="ERY82" s="1"/>
      <c r="ERZ82" s="1"/>
      <c r="ESA82" s="1"/>
      <c r="ESB82" s="1"/>
      <c r="ESC82" s="1"/>
      <c r="ESD82" s="1"/>
      <c r="ESE82" s="1"/>
      <c r="ESF82" s="1"/>
      <c r="ESG82" s="1"/>
      <c r="ESH82" s="1"/>
      <c r="ESI82" s="1"/>
      <c r="ESJ82" s="1"/>
      <c r="ESK82" s="1"/>
      <c r="ESL82" s="1"/>
      <c r="ESM82" s="1"/>
      <c r="ESN82" s="1"/>
      <c r="ESO82" s="1"/>
      <c r="ESP82" s="1"/>
      <c r="ESQ82" s="1"/>
      <c r="ESR82" s="1"/>
      <c r="ESS82" s="1"/>
      <c r="EST82" s="1"/>
      <c r="ESU82" s="1"/>
      <c r="ESV82" s="1"/>
      <c r="ESW82" s="1"/>
      <c r="ESX82" s="1"/>
      <c r="ESY82" s="1"/>
      <c r="ESZ82" s="1"/>
      <c r="ETA82" s="1"/>
      <c r="ETB82" s="1"/>
      <c r="ETC82" s="1"/>
      <c r="ETD82" s="1"/>
      <c r="ETE82" s="1"/>
      <c r="ETF82" s="1"/>
      <c r="ETG82" s="1"/>
      <c r="ETH82" s="1"/>
      <c r="ETI82" s="1"/>
      <c r="ETJ82" s="1"/>
      <c r="ETK82" s="1"/>
      <c r="ETL82" s="1"/>
      <c r="ETM82" s="1"/>
      <c r="ETN82" s="1"/>
      <c r="ETO82" s="1"/>
      <c r="ETP82" s="1"/>
      <c r="ETQ82" s="1"/>
      <c r="ETR82" s="1"/>
      <c r="ETS82" s="1"/>
      <c r="ETT82" s="1"/>
      <c r="ETU82" s="1"/>
      <c r="ETV82" s="1"/>
      <c r="ETW82" s="1"/>
      <c r="ETX82" s="1"/>
      <c r="ETY82" s="1"/>
      <c r="ETZ82" s="1"/>
      <c r="EUA82" s="1"/>
      <c r="EUB82" s="1"/>
      <c r="EUC82" s="1"/>
      <c r="EUD82" s="1"/>
      <c r="EUE82" s="1"/>
      <c r="EUF82" s="1"/>
      <c r="EUG82" s="1"/>
      <c r="EUH82" s="1"/>
      <c r="EUI82" s="1"/>
      <c r="EUJ82" s="1"/>
      <c r="EUK82" s="1"/>
      <c r="EUL82" s="1"/>
      <c r="EUM82" s="1"/>
      <c r="EUN82" s="1"/>
      <c r="EUO82" s="1"/>
      <c r="EUP82" s="1"/>
      <c r="EUQ82" s="1"/>
      <c r="EUR82" s="1"/>
      <c r="EUS82" s="1"/>
      <c r="EUT82" s="1"/>
      <c r="EUU82" s="1"/>
      <c r="EUV82" s="1"/>
      <c r="EUW82" s="1"/>
      <c r="EUX82" s="1"/>
      <c r="EUY82" s="1"/>
      <c r="EUZ82" s="1"/>
      <c r="EVA82" s="1"/>
      <c r="EVB82" s="1"/>
      <c r="EVC82" s="1"/>
      <c r="EVD82" s="1"/>
      <c r="EVE82" s="1"/>
      <c r="EVF82" s="1"/>
      <c r="EVG82" s="1"/>
      <c r="EVH82" s="1"/>
      <c r="EVI82" s="1"/>
      <c r="EVJ82" s="1"/>
      <c r="EVK82" s="1"/>
      <c r="EVL82" s="1"/>
      <c r="EVM82" s="1"/>
      <c r="EVN82" s="1"/>
      <c r="EVO82" s="1"/>
      <c r="EVP82" s="1"/>
      <c r="EVQ82" s="1"/>
      <c r="EVR82" s="1"/>
      <c r="EVS82" s="1"/>
      <c r="EVT82" s="1"/>
      <c r="EVU82" s="1"/>
      <c r="EVV82" s="1"/>
      <c r="EVW82" s="1"/>
      <c r="EVX82" s="1"/>
      <c r="EVY82" s="1"/>
      <c r="EVZ82" s="1"/>
      <c r="EWA82" s="1"/>
      <c r="EWB82" s="1"/>
      <c r="EWC82" s="1"/>
      <c r="EWD82" s="1"/>
      <c r="EWE82" s="1"/>
      <c r="EWF82" s="1"/>
      <c r="EWG82" s="1"/>
      <c r="EWH82" s="1"/>
      <c r="EWI82" s="1"/>
      <c r="EWJ82" s="1"/>
      <c r="EWK82" s="1"/>
      <c r="EWL82" s="1"/>
      <c r="EWM82" s="1"/>
      <c r="EWN82" s="1"/>
      <c r="EWO82" s="1"/>
      <c r="EWP82" s="1"/>
      <c r="EWQ82" s="1"/>
      <c r="EWR82" s="1"/>
      <c r="EWS82" s="1"/>
      <c r="EWT82" s="1"/>
      <c r="EWU82" s="1"/>
      <c r="EWV82" s="1"/>
      <c r="EWW82" s="1"/>
      <c r="EWX82" s="1"/>
      <c r="EWY82" s="1"/>
      <c r="EWZ82" s="1"/>
      <c r="EXA82" s="1"/>
      <c r="EXB82" s="1"/>
      <c r="EXC82" s="1"/>
      <c r="EXD82" s="1"/>
      <c r="EXE82" s="1"/>
      <c r="EXF82" s="1"/>
      <c r="EXG82" s="1"/>
      <c r="EXH82" s="1"/>
      <c r="EXI82" s="1"/>
      <c r="EXJ82" s="1"/>
      <c r="EXK82" s="1"/>
      <c r="EXL82" s="1"/>
      <c r="EXM82" s="1"/>
      <c r="EXN82" s="1"/>
      <c r="EXO82" s="1"/>
      <c r="EXP82" s="1"/>
      <c r="EXQ82" s="1"/>
      <c r="EXR82" s="1"/>
      <c r="EXS82" s="1"/>
      <c r="EXT82" s="1"/>
      <c r="EXU82" s="1"/>
      <c r="EXV82" s="1"/>
      <c r="EXW82" s="1"/>
      <c r="EXX82" s="1"/>
      <c r="EXY82" s="1"/>
      <c r="EXZ82" s="1"/>
      <c r="EYA82" s="1"/>
      <c r="EYB82" s="1"/>
      <c r="EYC82" s="1"/>
      <c r="EYD82" s="1"/>
      <c r="EYE82" s="1"/>
      <c r="EYF82" s="1"/>
      <c r="EYG82" s="1"/>
      <c r="EYH82" s="1"/>
      <c r="EYI82" s="1"/>
      <c r="EYJ82" s="1"/>
      <c r="EYK82" s="1"/>
      <c r="EYL82" s="1"/>
      <c r="EYM82" s="1"/>
      <c r="EYN82" s="1"/>
      <c r="EYO82" s="1"/>
      <c r="EYP82" s="1"/>
      <c r="EYQ82" s="1"/>
      <c r="EYR82" s="1"/>
      <c r="EYS82" s="1"/>
      <c r="EYT82" s="1"/>
      <c r="EYU82" s="1"/>
      <c r="EYV82" s="1"/>
      <c r="EYW82" s="1"/>
      <c r="EYX82" s="1"/>
      <c r="EYY82" s="1"/>
      <c r="EYZ82" s="1"/>
      <c r="EZA82" s="1"/>
      <c r="EZB82" s="1"/>
      <c r="EZC82" s="1"/>
      <c r="EZD82" s="1"/>
      <c r="EZE82" s="1"/>
      <c r="EZF82" s="1"/>
      <c r="EZG82" s="1"/>
      <c r="EZH82" s="1"/>
      <c r="EZI82" s="1"/>
      <c r="EZJ82" s="1"/>
      <c r="EZK82" s="1"/>
      <c r="EZL82" s="1"/>
      <c r="EZM82" s="1"/>
      <c r="EZN82" s="1"/>
      <c r="EZO82" s="1"/>
      <c r="EZP82" s="1"/>
      <c r="EZQ82" s="1"/>
      <c r="EZR82" s="1"/>
      <c r="EZS82" s="1"/>
      <c r="EZT82" s="1"/>
      <c r="EZU82" s="1"/>
      <c r="EZV82" s="1"/>
      <c r="EZW82" s="1"/>
      <c r="EZX82" s="1"/>
      <c r="EZY82" s="1"/>
      <c r="EZZ82" s="1"/>
      <c r="FAA82" s="1"/>
      <c r="FAB82" s="1"/>
      <c r="FAC82" s="1"/>
      <c r="FAD82" s="1"/>
      <c r="FAE82" s="1"/>
      <c r="FAF82" s="1"/>
      <c r="FAG82" s="1"/>
      <c r="FAH82" s="1"/>
      <c r="FAI82" s="1"/>
      <c r="FAJ82" s="1"/>
      <c r="FAK82" s="1"/>
      <c r="FAL82" s="1"/>
      <c r="FAM82" s="1"/>
      <c r="FAN82" s="1"/>
      <c r="FAO82" s="1"/>
      <c r="FAP82" s="1"/>
      <c r="FAQ82" s="1"/>
      <c r="FAR82" s="1"/>
      <c r="FAS82" s="1"/>
      <c r="FAT82" s="1"/>
      <c r="FAU82" s="1"/>
      <c r="FAV82" s="1"/>
      <c r="FAW82" s="1"/>
      <c r="FAX82" s="1"/>
      <c r="FAY82" s="1"/>
      <c r="FAZ82" s="1"/>
      <c r="FBA82" s="1"/>
      <c r="FBB82" s="1"/>
      <c r="FBC82" s="1"/>
      <c r="FBD82" s="1"/>
      <c r="FBE82" s="1"/>
      <c r="FBF82" s="1"/>
      <c r="FBG82" s="1"/>
      <c r="FBH82" s="1"/>
      <c r="FBI82" s="1"/>
      <c r="FBJ82" s="1"/>
      <c r="FBK82" s="1"/>
      <c r="FBL82" s="1"/>
      <c r="FBM82" s="1"/>
      <c r="FBN82" s="1"/>
      <c r="FBO82" s="1"/>
      <c r="FBP82" s="1"/>
      <c r="FBQ82" s="1"/>
      <c r="FBR82" s="1"/>
      <c r="FBS82" s="1"/>
      <c r="FBT82" s="1"/>
      <c r="FBU82" s="1"/>
      <c r="FBV82" s="1"/>
      <c r="FBW82" s="1"/>
      <c r="FBX82" s="1"/>
      <c r="FBY82" s="1"/>
      <c r="FBZ82" s="1"/>
      <c r="FCA82" s="1"/>
      <c r="FCB82" s="1"/>
      <c r="FCC82" s="1"/>
      <c r="FCD82" s="1"/>
      <c r="FCE82" s="1"/>
      <c r="FCF82" s="1"/>
      <c r="FCG82" s="1"/>
      <c r="FCH82" s="1"/>
      <c r="FCI82" s="1"/>
      <c r="FCJ82" s="1"/>
      <c r="FCK82" s="1"/>
      <c r="FCL82" s="1"/>
      <c r="FCM82" s="1"/>
      <c r="FCN82" s="1"/>
      <c r="FCO82" s="1"/>
      <c r="FCP82" s="1"/>
      <c r="FCQ82" s="1"/>
      <c r="FCR82" s="1"/>
      <c r="FCS82" s="1"/>
      <c r="FCT82" s="1"/>
      <c r="FCU82" s="1"/>
      <c r="FCV82" s="1"/>
      <c r="FCW82" s="1"/>
      <c r="FCX82" s="1"/>
      <c r="FCY82" s="1"/>
      <c r="FCZ82" s="1"/>
      <c r="FDA82" s="1"/>
      <c r="FDB82" s="1"/>
      <c r="FDC82" s="1"/>
      <c r="FDD82" s="1"/>
      <c r="FDE82" s="1"/>
      <c r="FDF82" s="1"/>
      <c r="FDG82" s="1"/>
      <c r="FDH82" s="1"/>
      <c r="FDI82" s="1"/>
      <c r="FDJ82" s="1"/>
      <c r="FDK82" s="1"/>
      <c r="FDL82" s="1"/>
      <c r="FDM82" s="1"/>
      <c r="FDN82" s="1"/>
      <c r="FDO82" s="1"/>
      <c r="FDP82" s="1"/>
      <c r="FDQ82" s="1"/>
      <c r="FDR82" s="1"/>
      <c r="FDS82" s="1"/>
      <c r="FDT82" s="1"/>
      <c r="FDU82" s="1"/>
      <c r="FDV82" s="1"/>
      <c r="FDW82" s="1"/>
      <c r="FDX82" s="1"/>
      <c r="FDY82" s="1"/>
      <c r="FDZ82" s="1"/>
      <c r="FEA82" s="1"/>
      <c r="FEB82" s="1"/>
      <c r="FEC82" s="1"/>
      <c r="FED82" s="1"/>
      <c r="FEE82" s="1"/>
      <c r="FEF82" s="1"/>
      <c r="FEG82" s="1"/>
      <c r="FEH82" s="1"/>
      <c r="FEI82" s="1"/>
      <c r="FEJ82" s="1"/>
      <c r="FEK82" s="1"/>
      <c r="FEL82" s="1"/>
      <c r="FEM82" s="1"/>
      <c r="FEN82" s="1"/>
      <c r="FEO82" s="1"/>
      <c r="FEP82" s="1"/>
      <c r="FEQ82" s="1"/>
      <c r="FER82" s="1"/>
      <c r="FES82" s="1"/>
      <c r="FET82" s="1"/>
      <c r="FEU82" s="1"/>
      <c r="FEV82" s="1"/>
      <c r="FEW82" s="1"/>
      <c r="FEX82" s="1"/>
      <c r="FEY82" s="1"/>
      <c r="FEZ82" s="1"/>
      <c r="FFA82" s="1"/>
      <c r="FFB82" s="1"/>
      <c r="FFC82" s="1"/>
      <c r="FFD82" s="1"/>
      <c r="FFE82" s="1"/>
      <c r="FFF82" s="1"/>
      <c r="FFG82" s="1"/>
      <c r="FFH82" s="1"/>
      <c r="FFI82" s="1"/>
      <c r="FFJ82" s="1"/>
      <c r="FFK82" s="1"/>
      <c r="FFL82" s="1"/>
      <c r="FFM82" s="1"/>
      <c r="FFN82" s="1"/>
      <c r="FFO82" s="1"/>
      <c r="FFP82" s="1"/>
      <c r="FFQ82" s="1"/>
      <c r="FFR82" s="1"/>
      <c r="FFS82" s="1"/>
      <c r="FFT82" s="1"/>
      <c r="FFU82" s="1"/>
      <c r="FFV82" s="1"/>
      <c r="FFW82" s="1"/>
      <c r="FFX82" s="1"/>
      <c r="FFY82" s="1"/>
      <c r="FFZ82" s="1"/>
      <c r="FGA82" s="1"/>
      <c r="FGB82" s="1"/>
      <c r="FGC82" s="1"/>
      <c r="FGD82" s="1"/>
      <c r="FGE82" s="1"/>
      <c r="FGF82" s="1"/>
      <c r="FGG82" s="1"/>
      <c r="FGH82" s="1"/>
      <c r="FGI82" s="1"/>
      <c r="FGJ82" s="1"/>
      <c r="FGK82" s="1"/>
      <c r="FGL82" s="1"/>
      <c r="FGM82" s="1"/>
      <c r="FGN82" s="1"/>
      <c r="FGO82" s="1"/>
      <c r="FGP82" s="1"/>
      <c r="FGQ82" s="1"/>
      <c r="FGR82" s="1"/>
      <c r="FGS82" s="1"/>
      <c r="FGT82" s="1"/>
      <c r="FGU82" s="1"/>
      <c r="FGV82" s="1"/>
      <c r="FGW82" s="1"/>
      <c r="FGX82" s="1"/>
      <c r="FGY82" s="1"/>
      <c r="FGZ82" s="1"/>
      <c r="FHA82" s="1"/>
      <c r="FHB82" s="1"/>
      <c r="FHC82" s="1"/>
      <c r="FHD82" s="1"/>
      <c r="FHE82" s="1"/>
      <c r="FHF82" s="1"/>
      <c r="FHG82" s="1"/>
      <c r="FHH82" s="1"/>
      <c r="FHI82" s="1"/>
      <c r="FHJ82" s="1"/>
      <c r="FHK82" s="1"/>
      <c r="FHL82" s="1"/>
      <c r="FHM82" s="1"/>
      <c r="FHN82" s="1"/>
      <c r="FHO82" s="1"/>
      <c r="FHP82" s="1"/>
      <c r="FHQ82" s="1"/>
      <c r="FHR82" s="1"/>
      <c r="FHS82" s="1"/>
      <c r="FHT82" s="1"/>
      <c r="FHU82" s="1"/>
      <c r="FHV82" s="1"/>
      <c r="FHW82" s="1"/>
      <c r="FHX82" s="1"/>
      <c r="FHY82" s="1"/>
      <c r="FHZ82" s="1"/>
      <c r="FIA82" s="1"/>
      <c r="FIB82" s="1"/>
      <c r="FIC82" s="1"/>
      <c r="FID82" s="1"/>
      <c r="FIE82" s="1"/>
      <c r="FIF82" s="1"/>
      <c r="FIG82" s="1"/>
      <c r="FIH82" s="1"/>
      <c r="FII82" s="1"/>
      <c r="FIJ82" s="1"/>
      <c r="FIK82" s="1"/>
      <c r="FIL82" s="1"/>
      <c r="FIM82" s="1"/>
      <c r="FIN82" s="1"/>
      <c r="FIO82" s="1"/>
      <c r="FIP82" s="1"/>
      <c r="FIQ82" s="1"/>
      <c r="FIR82" s="1"/>
      <c r="FIS82" s="1"/>
      <c r="FIT82" s="1"/>
      <c r="FIU82" s="1"/>
      <c r="FIV82" s="1"/>
      <c r="FIW82" s="1"/>
      <c r="FIX82" s="1"/>
      <c r="FIY82" s="1"/>
      <c r="FIZ82" s="1"/>
      <c r="FJA82" s="1"/>
      <c r="FJB82" s="1"/>
      <c r="FJC82" s="1"/>
      <c r="FJD82" s="1"/>
      <c r="FJE82" s="1"/>
      <c r="FJF82" s="1"/>
      <c r="FJG82" s="1"/>
      <c r="FJH82" s="1"/>
      <c r="FJI82" s="1"/>
      <c r="FJJ82" s="1"/>
      <c r="FJK82" s="1"/>
      <c r="FJL82" s="1"/>
      <c r="FJM82" s="1"/>
      <c r="FJN82" s="1"/>
      <c r="FJO82" s="1"/>
      <c r="FJP82" s="1"/>
      <c r="FJQ82" s="1"/>
      <c r="FJR82" s="1"/>
      <c r="FJS82" s="1"/>
      <c r="FJT82" s="1"/>
      <c r="FJU82" s="1"/>
      <c r="FJV82" s="1"/>
      <c r="FJW82" s="1"/>
      <c r="FJX82" s="1"/>
      <c r="FJY82" s="1"/>
      <c r="FJZ82" s="1"/>
      <c r="FKA82" s="1"/>
      <c r="FKB82" s="1"/>
      <c r="FKC82" s="1"/>
      <c r="FKD82" s="1"/>
      <c r="FKE82" s="1"/>
      <c r="FKF82" s="1"/>
      <c r="FKG82" s="1"/>
      <c r="FKH82" s="1"/>
      <c r="FKI82" s="1"/>
      <c r="FKJ82" s="1"/>
      <c r="FKK82" s="1"/>
      <c r="FKL82" s="1"/>
      <c r="FKM82" s="1"/>
      <c r="FKN82" s="1"/>
      <c r="FKO82" s="1"/>
      <c r="FKP82" s="1"/>
      <c r="FKQ82" s="1"/>
      <c r="FKR82" s="1"/>
      <c r="FKS82" s="1"/>
      <c r="FKT82" s="1"/>
      <c r="FKU82" s="1"/>
      <c r="FKV82" s="1"/>
      <c r="FKW82" s="1"/>
      <c r="FKX82" s="1"/>
      <c r="FKY82" s="1"/>
      <c r="FKZ82" s="1"/>
      <c r="FLA82" s="1"/>
      <c r="FLB82" s="1"/>
      <c r="FLC82" s="1"/>
      <c r="FLD82" s="1"/>
      <c r="FLE82" s="1"/>
      <c r="FLF82" s="1"/>
      <c r="FLG82" s="1"/>
      <c r="FLH82" s="1"/>
      <c r="FLI82" s="1"/>
      <c r="FLJ82" s="1"/>
      <c r="FLK82" s="1"/>
      <c r="FLL82" s="1"/>
      <c r="FLM82" s="1"/>
      <c r="FLN82" s="1"/>
      <c r="FLO82" s="1"/>
      <c r="FLP82" s="1"/>
      <c r="FLQ82" s="1"/>
      <c r="FLR82" s="1"/>
      <c r="FLS82" s="1"/>
      <c r="FLT82" s="1"/>
      <c r="FLU82" s="1"/>
      <c r="FLV82" s="1"/>
      <c r="FLW82" s="1"/>
      <c r="FLX82" s="1"/>
      <c r="FLY82" s="1"/>
      <c r="FLZ82" s="1"/>
      <c r="FMA82" s="1"/>
      <c r="FMB82" s="1"/>
      <c r="FMC82" s="1"/>
      <c r="FMD82" s="1"/>
      <c r="FME82" s="1"/>
      <c r="FMF82" s="1"/>
      <c r="FMG82" s="1"/>
      <c r="FMH82" s="1"/>
      <c r="FMI82" s="1"/>
      <c r="FMJ82" s="1"/>
      <c r="FMK82" s="1"/>
      <c r="FML82" s="1"/>
      <c r="FMM82" s="1"/>
      <c r="FMN82" s="1"/>
      <c r="FMO82" s="1"/>
      <c r="FMP82" s="1"/>
      <c r="FMQ82" s="1"/>
      <c r="FMR82" s="1"/>
      <c r="FMS82" s="1"/>
      <c r="FMT82" s="1"/>
      <c r="FMU82" s="1"/>
      <c r="FMV82" s="1"/>
      <c r="FMW82" s="1"/>
      <c r="FMX82" s="1"/>
      <c r="FMY82" s="1"/>
      <c r="FMZ82" s="1"/>
      <c r="FNA82" s="1"/>
      <c r="FNB82" s="1"/>
      <c r="FNC82" s="1"/>
      <c r="FND82" s="1"/>
      <c r="FNE82" s="1"/>
      <c r="FNF82" s="1"/>
      <c r="FNG82" s="1"/>
      <c r="FNH82" s="1"/>
      <c r="FNI82" s="1"/>
      <c r="FNJ82" s="1"/>
      <c r="FNK82" s="1"/>
      <c r="FNL82" s="1"/>
      <c r="FNM82" s="1"/>
      <c r="FNN82" s="1"/>
      <c r="FNO82" s="1"/>
      <c r="FNP82" s="1"/>
      <c r="FNQ82" s="1"/>
      <c r="FNR82" s="1"/>
      <c r="FNS82" s="1"/>
      <c r="FNT82" s="1"/>
      <c r="FNU82" s="1"/>
      <c r="FNV82" s="1"/>
      <c r="FNW82" s="1"/>
      <c r="FNX82" s="1"/>
      <c r="FNY82" s="1"/>
      <c r="FNZ82" s="1"/>
      <c r="FOA82" s="1"/>
      <c r="FOB82" s="1"/>
      <c r="FOC82" s="1"/>
      <c r="FOD82" s="1"/>
      <c r="FOE82" s="1"/>
      <c r="FOF82" s="1"/>
      <c r="FOG82" s="1"/>
      <c r="FOH82" s="1"/>
      <c r="FOI82" s="1"/>
      <c r="FOJ82" s="1"/>
      <c r="FOK82" s="1"/>
      <c r="FOL82" s="1"/>
      <c r="FOM82" s="1"/>
      <c r="FON82" s="1"/>
      <c r="FOO82" s="1"/>
      <c r="FOP82" s="1"/>
      <c r="FOQ82" s="1"/>
      <c r="FOR82" s="1"/>
      <c r="FOS82" s="1"/>
      <c r="FOT82" s="1"/>
      <c r="FOU82" s="1"/>
      <c r="FOV82" s="1"/>
      <c r="FOW82" s="1"/>
      <c r="FOX82" s="1"/>
      <c r="FOY82" s="1"/>
      <c r="FOZ82" s="1"/>
      <c r="FPA82" s="1"/>
      <c r="FPB82" s="1"/>
      <c r="FPC82" s="1"/>
      <c r="FPD82" s="1"/>
      <c r="FPE82" s="1"/>
      <c r="FPF82" s="1"/>
      <c r="FPG82" s="1"/>
      <c r="FPH82" s="1"/>
      <c r="FPI82" s="1"/>
      <c r="FPJ82" s="1"/>
      <c r="FPK82" s="1"/>
      <c r="FPL82" s="1"/>
      <c r="FPM82" s="1"/>
      <c r="FPN82" s="1"/>
      <c r="FPO82" s="1"/>
      <c r="FPP82" s="1"/>
      <c r="FPQ82" s="1"/>
      <c r="FPR82" s="1"/>
      <c r="FPS82" s="1"/>
      <c r="FPT82" s="1"/>
      <c r="FPU82" s="1"/>
      <c r="FPV82" s="1"/>
      <c r="FPW82" s="1"/>
      <c r="FPX82" s="1"/>
      <c r="FPY82" s="1"/>
      <c r="FPZ82" s="1"/>
      <c r="FQA82" s="1"/>
      <c r="FQB82" s="1"/>
      <c r="FQC82" s="1"/>
      <c r="FQD82" s="1"/>
      <c r="FQE82" s="1"/>
      <c r="FQF82" s="1"/>
      <c r="FQG82" s="1"/>
      <c r="FQH82" s="1"/>
      <c r="FQI82" s="1"/>
      <c r="FQJ82" s="1"/>
      <c r="FQK82" s="1"/>
      <c r="FQL82" s="1"/>
      <c r="FQM82" s="1"/>
      <c r="FQN82" s="1"/>
      <c r="FQO82" s="1"/>
      <c r="FQP82" s="1"/>
      <c r="FQQ82" s="1"/>
      <c r="FQR82" s="1"/>
      <c r="FQS82" s="1"/>
      <c r="FQT82" s="1"/>
      <c r="FQU82" s="1"/>
      <c r="FQV82" s="1"/>
      <c r="FQW82" s="1"/>
      <c r="FQX82" s="1"/>
      <c r="FQY82" s="1"/>
      <c r="FQZ82" s="1"/>
      <c r="FRA82" s="1"/>
      <c r="FRB82" s="1"/>
      <c r="FRC82" s="1"/>
      <c r="FRD82" s="1"/>
      <c r="FRE82" s="1"/>
      <c r="FRF82" s="1"/>
      <c r="FRG82" s="1"/>
      <c r="FRH82" s="1"/>
      <c r="FRI82" s="1"/>
      <c r="FRJ82" s="1"/>
      <c r="FRK82" s="1"/>
      <c r="FRL82" s="1"/>
      <c r="FRM82" s="1"/>
      <c r="FRN82" s="1"/>
      <c r="FRO82" s="1"/>
      <c r="FRP82" s="1"/>
      <c r="FRQ82" s="1"/>
      <c r="FRR82" s="1"/>
      <c r="FRS82" s="1"/>
      <c r="FRT82" s="1"/>
      <c r="FRU82" s="1"/>
      <c r="FRV82" s="1"/>
      <c r="FRW82" s="1"/>
      <c r="FRX82" s="1"/>
      <c r="FRY82" s="1"/>
      <c r="FRZ82" s="1"/>
      <c r="FSA82" s="1"/>
      <c r="FSB82" s="1"/>
      <c r="FSC82" s="1"/>
      <c r="FSD82" s="1"/>
      <c r="FSE82" s="1"/>
      <c r="FSF82" s="1"/>
      <c r="FSG82" s="1"/>
      <c r="FSH82" s="1"/>
      <c r="FSI82" s="1"/>
      <c r="FSJ82" s="1"/>
      <c r="FSK82" s="1"/>
      <c r="FSL82" s="1"/>
      <c r="FSM82" s="1"/>
      <c r="FSN82" s="1"/>
      <c r="FSO82" s="1"/>
      <c r="FSP82" s="1"/>
      <c r="FSQ82" s="1"/>
      <c r="FSR82" s="1"/>
      <c r="FSS82" s="1"/>
      <c r="FST82" s="1"/>
      <c r="FSU82" s="1"/>
      <c r="FSV82" s="1"/>
      <c r="FSW82" s="1"/>
      <c r="FSX82" s="1"/>
      <c r="FSY82" s="1"/>
      <c r="FSZ82" s="1"/>
      <c r="FTA82" s="1"/>
      <c r="FTB82" s="1"/>
      <c r="FTC82" s="1"/>
      <c r="FTD82" s="1"/>
      <c r="FTE82" s="1"/>
      <c r="FTF82" s="1"/>
      <c r="FTG82" s="1"/>
      <c r="FTH82" s="1"/>
      <c r="FTI82" s="1"/>
      <c r="FTJ82" s="1"/>
      <c r="FTK82" s="1"/>
      <c r="FTL82" s="1"/>
      <c r="FTM82" s="1"/>
      <c r="FTN82" s="1"/>
      <c r="FTO82" s="1"/>
      <c r="FTP82" s="1"/>
      <c r="FTQ82" s="1"/>
      <c r="FTR82" s="1"/>
      <c r="FTS82" s="1"/>
      <c r="FTT82" s="1"/>
      <c r="FTU82" s="1"/>
      <c r="FTV82" s="1"/>
      <c r="FTW82" s="1"/>
      <c r="FTX82" s="1"/>
      <c r="FTY82" s="1"/>
      <c r="FTZ82" s="1"/>
      <c r="FUA82" s="1"/>
      <c r="FUB82" s="1"/>
      <c r="FUC82" s="1"/>
      <c r="FUD82" s="1"/>
      <c r="FUE82" s="1"/>
      <c r="FUF82" s="1"/>
      <c r="FUG82" s="1"/>
      <c r="FUH82" s="1"/>
      <c r="FUI82" s="1"/>
      <c r="FUJ82" s="1"/>
      <c r="FUK82" s="1"/>
      <c r="FUL82" s="1"/>
      <c r="FUM82" s="1"/>
      <c r="FUN82" s="1"/>
      <c r="FUO82" s="1"/>
      <c r="FUP82" s="1"/>
      <c r="FUQ82" s="1"/>
      <c r="FUR82" s="1"/>
      <c r="FUS82" s="1"/>
      <c r="FUT82" s="1"/>
      <c r="FUU82" s="1"/>
      <c r="FUV82" s="1"/>
      <c r="FUW82" s="1"/>
      <c r="FUX82" s="1"/>
      <c r="FUY82" s="1"/>
      <c r="FUZ82" s="1"/>
      <c r="FVA82" s="1"/>
      <c r="FVB82" s="1"/>
      <c r="FVC82" s="1"/>
      <c r="FVD82" s="1"/>
      <c r="FVE82" s="1"/>
      <c r="FVF82" s="1"/>
      <c r="FVG82" s="1"/>
      <c r="FVH82" s="1"/>
      <c r="FVI82" s="1"/>
      <c r="FVJ82" s="1"/>
      <c r="FVK82" s="1"/>
      <c r="FVL82" s="1"/>
      <c r="FVM82" s="1"/>
      <c r="FVN82" s="1"/>
      <c r="FVO82" s="1"/>
      <c r="FVP82" s="1"/>
      <c r="FVQ82" s="1"/>
      <c r="FVR82" s="1"/>
      <c r="FVS82" s="1"/>
      <c r="FVT82" s="1"/>
      <c r="FVU82" s="1"/>
      <c r="FVV82" s="1"/>
      <c r="FVW82" s="1"/>
      <c r="FVX82" s="1"/>
      <c r="FVY82" s="1"/>
      <c r="FVZ82" s="1"/>
      <c r="FWA82" s="1"/>
      <c r="FWB82" s="1"/>
      <c r="FWC82" s="1"/>
      <c r="FWD82" s="1"/>
      <c r="FWE82" s="1"/>
      <c r="FWF82" s="1"/>
      <c r="FWG82" s="1"/>
      <c r="FWH82" s="1"/>
      <c r="FWI82" s="1"/>
      <c r="FWJ82" s="1"/>
      <c r="FWK82" s="1"/>
      <c r="FWL82" s="1"/>
      <c r="FWM82" s="1"/>
      <c r="FWN82" s="1"/>
      <c r="FWO82" s="1"/>
      <c r="FWP82" s="1"/>
      <c r="FWQ82" s="1"/>
      <c r="FWR82" s="1"/>
      <c r="FWS82" s="1"/>
      <c r="FWT82" s="1"/>
      <c r="FWU82" s="1"/>
      <c r="FWV82" s="1"/>
      <c r="FWW82" s="1"/>
      <c r="FWX82" s="1"/>
      <c r="FWY82" s="1"/>
      <c r="FWZ82" s="1"/>
      <c r="FXA82" s="1"/>
      <c r="FXB82" s="1"/>
      <c r="FXC82" s="1"/>
      <c r="FXD82" s="1"/>
      <c r="FXE82" s="1"/>
      <c r="FXF82" s="1"/>
      <c r="FXG82" s="1"/>
      <c r="FXH82" s="1"/>
      <c r="FXI82" s="1"/>
      <c r="FXJ82" s="1"/>
      <c r="FXK82" s="1"/>
      <c r="FXL82" s="1"/>
      <c r="FXM82" s="1"/>
      <c r="FXN82" s="1"/>
      <c r="FXO82" s="1"/>
      <c r="FXP82" s="1"/>
      <c r="FXQ82" s="1"/>
      <c r="FXR82" s="1"/>
      <c r="FXS82" s="1"/>
      <c r="FXT82" s="1"/>
      <c r="FXU82" s="1"/>
      <c r="FXV82" s="1"/>
      <c r="FXW82" s="1"/>
      <c r="FXX82" s="1"/>
      <c r="FXY82" s="1"/>
      <c r="FXZ82" s="1"/>
      <c r="FYA82" s="1"/>
      <c r="FYB82" s="1"/>
      <c r="FYC82" s="1"/>
      <c r="FYD82" s="1"/>
      <c r="FYE82" s="1"/>
      <c r="FYF82" s="1"/>
      <c r="FYG82" s="1"/>
      <c r="FYH82" s="1"/>
      <c r="FYI82" s="1"/>
      <c r="FYJ82" s="1"/>
      <c r="FYK82" s="1"/>
      <c r="FYL82" s="1"/>
      <c r="FYM82" s="1"/>
      <c r="FYN82" s="1"/>
      <c r="FYO82" s="1"/>
      <c r="FYP82" s="1"/>
      <c r="FYQ82" s="1"/>
      <c r="FYR82" s="1"/>
      <c r="FYS82" s="1"/>
      <c r="FYT82" s="1"/>
      <c r="FYU82" s="1"/>
      <c r="FYV82" s="1"/>
      <c r="FYW82" s="1"/>
      <c r="FYX82" s="1"/>
      <c r="FYY82" s="1"/>
      <c r="FYZ82" s="1"/>
      <c r="FZA82" s="1"/>
      <c r="FZB82" s="1"/>
      <c r="FZC82" s="1"/>
      <c r="FZD82" s="1"/>
      <c r="FZE82" s="1"/>
      <c r="FZF82" s="1"/>
      <c r="FZG82" s="1"/>
      <c r="FZH82" s="1"/>
      <c r="FZI82" s="1"/>
      <c r="FZJ82" s="1"/>
      <c r="FZK82" s="1"/>
      <c r="FZL82" s="1"/>
      <c r="FZM82" s="1"/>
      <c r="FZN82" s="1"/>
      <c r="FZO82" s="1"/>
      <c r="FZP82" s="1"/>
      <c r="FZQ82" s="1"/>
      <c r="FZR82" s="1"/>
      <c r="FZS82" s="1"/>
      <c r="FZT82" s="1"/>
      <c r="FZU82" s="1"/>
      <c r="FZV82" s="1"/>
      <c r="FZW82" s="1"/>
      <c r="FZX82" s="1"/>
      <c r="FZY82" s="1"/>
      <c r="FZZ82" s="1"/>
      <c r="GAA82" s="1"/>
      <c r="GAB82" s="1"/>
      <c r="GAC82" s="1"/>
      <c r="GAD82" s="1"/>
      <c r="GAE82" s="1"/>
      <c r="GAF82" s="1"/>
      <c r="GAG82" s="1"/>
      <c r="GAH82" s="1"/>
      <c r="GAI82" s="1"/>
      <c r="GAJ82" s="1"/>
      <c r="GAK82" s="1"/>
      <c r="GAL82" s="1"/>
      <c r="GAM82" s="1"/>
      <c r="GAN82" s="1"/>
      <c r="GAO82" s="1"/>
      <c r="GAP82" s="1"/>
      <c r="GAQ82" s="1"/>
      <c r="GAR82" s="1"/>
      <c r="GAS82" s="1"/>
      <c r="GAT82" s="1"/>
      <c r="GAU82" s="1"/>
      <c r="GAV82" s="1"/>
      <c r="GAW82" s="1"/>
      <c r="GAX82" s="1"/>
      <c r="GAY82" s="1"/>
      <c r="GAZ82" s="1"/>
      <c r="GBA82" s="1"/>
      <c r="GBB82" s="1"/>
      <c r="GBC82" s="1"/>
      <c r="GBD82" s="1"/>
      <c r="GBE82" s="1"/>
      <c r="GBF82" s="1"/>
      <c r="GBG82" s="1"/>
      <c r="GBH82" s="1"/>
      <c r="GBI82" s="1"/>
      <c r="GBJ82" s="1"/>
      <c r="GBK82" s="1"/>
      <c r="GBL82" s="1"/>
      <c r="GBM82" s="1"/>
      <c r="GBN82" s="1"/>
      <c r="GBO82" s="1"/>
      <c r="GBP82" s="1"/>
      <c r="GBQ82" s="1"/>
      <c r="GBR82" s="1"/>
      <c r="GBS82" s="1"/>
      <c r="GBT82" s="1"/>
      <c r="GBU82" s="1"/>
      <c r="GBV82" s="1"/>
      <c r="GBW82" s="1"/>
      <c r="GBX82" s="1"/>
      <c r="GBY82" s="1"/>
      <c r="GBZ82" s="1"/>
      <c r="GCA82" s="1"/>
      <c r="GCB82" s="1"/>
      <c r="GCC82" s="1"/>
      <c r="GCD82" s="1"/>
      <c r="GCE82" s="1"/>
      <c r="GCF82" s="1"/>
      <c r="GCG82" s="1"/>
      <c r="GCH82" s="1"/>
      <c r="GCI82" s="1"/>
      <c r="GCJ82" s="1"/>
      <c r="GCK82" s="1"/>
      <c r="GCL82" s="1"/>
      <c r="GCM82" s="1"/>
      <c r="GCN82" s="1"/>
      <c r="GCO82" s="1"/>
      <c r="GCP82" s="1"/>
      <c r="GCQ82" s="1"/>
      <c r="GCR82" s="1"/>
      <c r="GCS82" s="1"/>
      <c r="GCT82" s="1"/>
      <c r="GCU82" s="1"/>
      <c r="GCV82" s="1"/>
      <c r="GCW82" s="1"/>
      <c r="GCX82" s="1"/>
      <c r="GCY82" s="1"/>
      <c r="GCZ82" s="1"/>
      <c r="GDA82" s="1"/>
      <c r="GDB82" s="1"/>
      <c r="GDC82" s="1"/>
      <c r="GDD82" s="1"/>
      <c r="GDE82" s="1"/>
      <c r="GDF82" s="1"/>
      <c r="GDG82" s="1"/>
      <c r="GDH82" s="1"/>
      <c r="GDI82" s="1"/>
      <c r="GDJ82" s="1"/>
      <c r="GDK82" s="1"/>
      <c r="GDL82" s="1"/>
      <c r="GDM82" s="1"/>
      <c r="GDN82" s="1"/>
      <c r="GDO82" s="1"/>
      <c r="GDP82" s="1"/>
      <c r="GDQ82" s="1"/>
      <c r="GDR82" s="1"/>
      <c r="GDS82" s="1"/>
      <c r="GDT82" s="1"/>
      <c r="GDU82" s="1"/>
      <c r="GDV82" s="1"/>
      <c r="GDW82" s="1"/>
      <c r="GDX82" s="1"/>
      <c r="GDY82" s="1"/>
      <c r="GDZ82" s="1"/>
      <c r="GEA82" s="1"/>
      <c r="GEB82" s="1"/>
      <c r="GEC82" s="1"/>
      <c r="GED82" s="1"/>
      <c r="GEE82" s="1"/>
      <c r="GEF82" s="1"/>
      <c r="GEG82" s="1"/>
      <c r="GEH82" s="1"/>
      <c r="GEI82" s="1"/>
      <c r="GEJ82" s="1"/>
      <c r="GEK82" s="1"/>
      <c r="GEL82" s="1"/>
      <c r="GEM82" s="1"/>
      <c r="GEN82" s="1"/>
      <c r="GEO82" s="1"/>
      <c r="GEP82" s="1"/>
      <c r="GEQ82" s="1"/>
      <c r="GER82" s="1"/>
      <c r="GES82" s="1"/>
      <c r="GET82" s="1"/>
      <c r="GEU82" s="1"/>
      <c r="GEV82" s="1"/>
      <c r="GEW82" s="1"/>
      <c r="GEX82" s="1"/>
      <c r="GEY82" s="1"/>
      <c r="GEZ82" s="1"/>
      <c r="GFA82" s="1"/>
      <c r="GFB82" s="1"/>
      <c r="GFC82" s="1"/>
      <c r="GFD82" s="1"/>
      <c r="GFE82" s="1"/>
      <c r="GFF82" s="1"/>
      <c r="GFG82" s="1"/>
      <c r="GFH82" s="1"/>
      <c r="GFI82" s="1"/>
      <c r="GFJ82" s="1"/>
      <c r="GFK82" s="1"/>
      <c r="GFL82" s="1"/>
      <c r="GFM82" s="1"/>
      <c r="GFN82" s="1"/>
      <c r="GFO82" s="1"/>
      <c r="GFP82" s="1"/>
      <c r="GFQ82" s="1"/>
      <c r="GFR82" s="1"/>
      <c r="GFS82" s="1"/>
      <c r="GFT82" s="1"/>
      <c r="GFU82" s="1"/>
      <c r="GFV82" s="1"/>
      <c r="GFW82" s="1"/>
      <c r="GFX82" s="1"/>
      <c r="GFY82" s="1"/>
      <c r="GFZ82" s="1"/>
      <c r="GGA82" s="1"/>
      <c r="GGB82" s="1"/>
      <c r="GGC82" s="1"/>
      <c r="GGD82" s="1"/>
      <c r="GGE82" s="1"/>
      <c r="GGF82" s="1"/>
      <c r="GGG82" s="1"/>
      <c r="GGH82" s="1"/>
      <c r="GGI82" s="1"/>
      <c r="GGJ82" s="1"/>
      <c r="GGK82" s="1"/>
      <c r="GGL82" s="1"/>
      <c r="GGM82" s="1"/>
      <c r="GGN82" s="1"/>
      <c r="GGO82" s="1"/>
      <c r="GGP82" s="1"/>
      <c r="GGQ82" s="1"/>
      <c r="GGR82" s="1"/>
      <c r="GGS82" s="1"/>
      <c r="GGT82" s="1"/>
      <c r="GGU82" s="1"/>
      <c r="GGV82" s="1"/>
      <c r="GGW82" s="1"/>
      <c r="GGX82" s="1"/>
      <c r="GGY82" s="1"/>
      <c r="GGZ82" s="1"/>
      <c r="GHA82" s="1"/>
      <c r="GHB82" s="1"/>
      <c r="GHC82" s="1"/>
      <c r="GHD82" s="1"/>
      <c r="GHE82" s="1"/>
      <c r="GHF82" s="1"/>
      <c r="GHG82" s="1"/>
      <c r="GHH82" s="1"/>
      <c r="GHI82" s="1"/>
      <c r="GHJ82" s="1"/>
      <c r="GHK82" s="1"/>
      <c r="GHL82" s="1"/>
      <c r="GHM82" s="1"/>
      <c r="GHN82" s="1"/>
      <c r="GHO82" s="1"/>
      <c r="GHP82" s="1"/>
      <c r="GHQ82" s="1"/>
      <c r="GHR82" s="1"/>
      <c r="GHS82" s="1"/>
      <c r="GHT82" s="1"/>
      <c r="GHU82" s="1"/>
      <c r="GHV82" s="1"/>
      <c r="GHW82" s="1"/>
      <c r="GHX82" s="1"/>
      <c r="GHY82" s="1"/>
      <c r="GHZ82" s="1"/>
      <c r="GIA82" s="1"/>
      <c r="GIB82" s="1"/>
      <c r="GIC82" s="1"/>
      <c r="GID82" s="1"/>
      <c r="GIE82" s="1"/>
      <c r="GIF82" s="1"/>
      <c r="GIG82" s="1"/>
      <c r="GIH82" s="1"/>
      <c r="GII82" s="1"/>
      <c r="GIJ82" s="1"/>
      <c r="GIK82" s="1"/>
      <c r="GIL82" s="1"/>
      <c r="GIM82" s="1"/>
      <c r="GIN82" s="1"/>
      <c r="GIO82" s="1"/>
      <c r="GIP82" s="1"/>
      <c r="GIQ82" s="1"/>
      <c r="GIR82" s="1"/>
      <c r="GIS82" s="1"/>
      <c r="GIT82" s="1"/>
      <c r="GIU82" s="1"/>
      <c r="GIV82" s="1"/>
      <c r="GIW82" s="1"/>
      <c r="GIX82" s="1"/>
      <c r="GIY82" s="1"/>
      <c r="GIZ82" s="1"/>
      <c r="GJA82" s="1"/>
      <c r="GJB82" s="1"/>
      <c r="GJC82" s="1"/>
      <c r="GJD82" s="1"/>
      <c r="GJE82" s="1"/>
      <c r="GJF82" s="1"/>
      <c r="GJG82" s="1"/>
      <c r="GJH82" s="1"/>
      <c r="GJI82" s="1"/>
      <c r="GJJ82" s="1"/>
      <c r="GJK82" s="1"/>
      <c r="GJL82" s="1"/>
      <c r="GJM82" s="1"/>
      <c r="GJN82" s="1"/>
      <c r="GJO82" s="1"/>
      <c r="GJP82" s="1"/>
      <c r="GJQ82" s="1"/>
      <c r="GJR82" s="1"/>
      <c r="GJS82" s="1"/>
      <c r="GJT82" s="1"/>
      <c r="GJU82" s="1"/>
      <c r="GJV82" s="1"/>
      <c r="GJW82" s="1"/>
      <c r="GJX82" s="1"/>
      <c r="GJY82" s="1"/>
      <c r="GJZ82" s="1"/>
      <c r="GKA82" s="1"/>
      <c r="GKB82" s="1"/>
      <c r="GKC82" s="1"/>
      <c r="GKD82" s="1"/>
      <c r="GKE82" s="1"/>
      <c r="GKF82" s="1"/>
      <c r="GKG82" s="1"/>
      <c r="GKH82" s="1"/>
      <c r="GKI82" s="1"/>
      <c r="GKJ82" s="1"/>
      <c r="GKK82" s="1"/>
      <c r="GKL82" s="1"/>
      <c r="GKM82" s="1"/>
      <c r="GKN82" s="1"/>
      <c r="GKO82" s="1"/>
      <c r="GKP82" s="1"/>
      <c r="GKQ82" s="1"/>
      <c r="GKR82" s="1"/>
      <c r="GKS82" s="1"/>
      <c r="GKT82" s="1"/>
      <c r="GKU82" s="1"/>
      <c r="GKV82" s="1"/>
      <c r="GKW82" s="1"/>
      <c r="GKX82" s="1"/>
      <c r="GKY82" s="1"/>
      <c r="GKZ82" s="1"/>
      <c r="GLA82" s="1"/>
      <c r="GLB82" s="1"/>
      <c r="GLC82" s="1"/>
      <c r="GLD82" s="1"/>
      <c r="GLE82" s="1"/>
      <c r="GLF82" s="1"/>
      <c r="GLG82" s="1"/>
      <c r="GLH82" s="1"/>
      <c r="GLI82" s="1"/>
      <c r="GLJ82" s="1"/>
      <c r="GLK82" s="1"/>
      <c r="GLL82" s="1"/>
      <c r="GLM82" s="1"/>
      <c r="GLN82" s="1"/>
      <c r="GLO82" s="1"/>
      <c r="GLP82" s="1"/>
      <c r="GLQ82" s="1"/>
      <c r="GLR82" s="1"/>
      <c r="GLS82" s="1"/>
      <c r="GLT82" s="1"/>
      <c r="GLU82" s="1"/>
      <c r="GLV82" s="1"/>
      <c r="GLW82" s="1"/>
      <c r="GLX82" s="1"/>
      <c r="GLY82" s="1"/>
      <c r="GLZ82" s="1"/>
      <c r="GMA82" s="1"/>
      <c r="GMB82" s="1"/>
      <c r="GMC82" s="1"/>
      <c r="GMD82" s="1"/>
      <c r="GME82" s="1"/>
      <c r="GMF82" s="1"/>
      <c r="GMG82" s="1"/>
      <c r="GMH82" s="1"/>
      <c r="GMI82" s="1"/>
      <c r="GMJ82" s="1"/>
      <c r="GMK82" s="1"/>
      <c r="GML82" s="1"/>
      <c r="GMM82" s="1"/>
      <c r="GMN82" s="1"/>
      <c r="GMO82" s="1"/>
      <c r="GMP82" s="1"/>
      <c r="GMQ82" s="1"/>
      <c r="GMR82" s="1"/>
      <c r="GMS82" s="1"/>
      <c r="GMT82" s="1"/>
      <c r="GMU82" s="1"/>
      <c r="GMV82" s="1"/>
      <c r="GMW82" s="1"/>
      <c r="GMX82" s="1"/>
      <c r="GMY82" s="1"/>
      <c r="GMZ82" s="1"/>
      <c r="GNA82" s="1"/>
      <c r="GNB82" s="1"/>
      <c r="GNC82" s="1"/>
      <c r="GND82" s="1"/>
      <c r="GNE82" s="1"/>
      <c r="GNF82" s="1"/>
      <c r="GNG82" s="1"/>
      <c r="GNH82" s="1"/>
      <c r="GNI82" s="1"/>
      <c r="GNJ82" s="1"/>
      <c r="GNK82" s="1"/>
      <c r="GNL82" s="1"/>
      <c r="GNM82" s="1"/>
      <c r="GNN82" s="1"/>
      <c r="GNO82" s="1"/>
      <c r="GNP82" s="1"/>
      <c r="GNQ82" s="1"/>
      <c r="GNR82" s="1"/>
      <c r="GNS82" s="1"/>
      <c r="GNT82" s="1"/>
      <c r="GNU82" s="1"/>
      <c r="GNV82" s="1"/>
      <c r="GNW82" s="1"/>
      <c r="GNX82" s="1"/>
      <c r="GNY82" s="1"/>
      <c r="GNZ82" s="1"/>
      <c r="GOA82" s="1"/>
      <c r="GOB82" s="1"/>
      <c r="GOC82" s="1"/>
      <c r="GOD82" s="1"/>
      <c r="GOE82" s="1"/>
      <c r="GOF82" s="1"/>
      <c r="GOG82" s="1"/>
      <c r="GOH82" s="1"/>
      <c r="GOI82" s="1"/>
      <c r="GOJ82" s="1"/>
      <c r="GOK82" s="1"/>
      <c r="GOL82" s="1"/>
      <c r="GOM82" s="1"/>
      <c r="GON82" s="1"/>
      <c r="GOO82" s="1"/>
      <c r="GOP82" s="1"/>
      <c r="GOQ82" s="1"/>
      <c r="GOR82" s="1"/>
      <c r="GOS82" s="1"/>
      <c r="GOT82" s="1"/>
      <c r="GOU82" s="1"/>
      <c r="GOV82" s="1"/>
      <c r="GOW82" s="1"/>
      <c r="GOX82" s="1"/>
      <c r="GOY82" s="1"/>
      <c r="GOZ82" s="1"/>
      <c r="GPA82" s="1"/>
      <c r="GPB82" s="1"/>
      <c r="GPC82" s="1"/>
      <c r="GPD82" s="1"/>
      <c r="GPE82" s="1"/>
      <c r="GPF82" s="1"/>
      <c r="GPG82" s="1"/>
      <c r="GPH82" s="1"/>
      <c r="GPI82" s="1"/>
      <c r="GPJ82" s="1"/>
      <c r="GPK82" s="1"/>
      <c r="GPL82" s="1"/>
      <c r="GPM82" s="1"/>
      <c r="GPN82" s="1"/>
      <c r="GPO82" s="1"/>
      <c r="GPP82" s="1"/>
      <c r="GPQ82" s="1"/>
      <c r="GPR82" s="1"/>
      <c r="GPS82" s="1"/>
      <c r="GPT82" s="1"/>
      <c r="GPU82" s="1"/>
      <c r="GPV82" s="1"/>
      <c r="GPW82" s="1"/>
      <c r="GPX82" s="1"/>
      <c r="GPY82" s="1"/>
      <c r="GPZ82" s="1"/>
      <c r="GQA82" s="1"/>
      <c r="GQB82" s="1"/>
      <c r="GQC82" s="1"/>
      <c r="GQD82" s="1"/>
      <c r="GQE82" s="1"/>
      <c r="GQF82" s="1"/>
      <c r="GQG82" s="1"/>
      <c r="GQH82" s="1"/>
      <c r="GQI82" s="1"/>
      <c r="GQJ82" s="1"/>
      <c r="GQK82" s="1"/>
      <c r="GQL82" s="1"/>
      <c r="GQM82" s="1"/>
      <c r="GQN82" s="1"/>
      <c r="GQO82" s="1"/>
      <c r="GQP82" s="1"/>
      <c r="GQQ82" s="1"/>
      <c r="GQR82" s="1"/>
      <c r="GQS82" s="1"/>
      <c r="GQT82" s="1"/>
      <c r="GQU82" s="1"/>
      <c r="GQV82" s="1"/>
      <c r="GQW82" s="1"/>
      <c r="GQX82" s="1"/>
      <c r="GQY82" s="1"/>
      <c r="GQZ82" s="1"/>
      <c r="GRA82" s="1"/>
      <c r="GRB82" s="1"/>
      <c r="GRC82" s="1"/>
      <c r="GRD82" s="1"/>
      <c r="GRE82" s="1"/>
      <c r="GRF82" s="1"/>
      <c r="GRG82" s="1"/>
      <c r="GRH82" s="1"/>
      <c r="GRI82" s="1"/>
      <c r="GRJ82" s="1"/>
      <c r="GRK82" s="1"/>
      <c r="GRL82" s="1"/>
      <c r="GRM82" s="1"/>
      <c r="GRN82" s="1"/>
      <c r="GRO82" s="1"/>
      <c r="GRP82" s="1"/>
      <c r="GRQ82" s="1"/>
      <c r="GRR82" s="1"/>
      <c r="GRS82" s="1"/>
      <c r="GRT82" s="1"/>
      <c r="GRU82" s="1"/>
      <c r="GRV82" s="1"/>
      <c r="GRW82" s="1"/>
      <c r="GRX82" s="1"/>
      <c r="GRY82" s="1"/>
      <c r="GRZ82" s="1"/>
      <c r="GSA82" s="1"/>
      <c r="GSB82" s="1"/>
      <c r="GSC82" s="1"/>
      <c r="GSD82" s="1"/>
      <c r="GSE82" s="1"/>
      <c r="GSF82" s="1"/>
      <c r="GSG82" s="1"/>
      <c r="GSH82" s="1"/>
      <c r="GSI82" s="1"/>
      <c r="GSJ82" s="1"/>
      <c r="GSK82" s="1"/>
      <c r="GSL82" s="1"/>
      <c r="GSM82" s="1"/>
      <c r="GSN82" s="1"/>
      <c r="GSO82" s="1"/>
      <c r="GSP82" s="1"/>
      <c r="GSQ82" s="1"/>
      <c r="GSR82" s="1"/>
      <c r="GSS82" s="1"/>
      <c r="GST82" s="1"/>
      <c r="GSU82" s="1"/>
      <c r="GSV82" s="1"/>
      <c r="GSW82" s="1"/>
      <c r="GSX82" s="1"/>
      <c r="GSY82" s="1"/>
      <c r="GSZ82" s="1"/>
      <c r="GTA82" s="1"/>
      <c r="GTB82" s="1"/>
      <c r="GTC82" s="1"/>
      <c r="GTD82" s="1"/>
      <c r="GTE82" s="1"/>
      <c r="GTF82" s="1"/>
      <c r="GTG82" s="1"/>
      <c r="GTH82" s="1"/>
      <c r="GTI82" s="1"/>
      <c r="GTJ82" s="1"/>
      <c r="GTK82" s="1"/>
      <c r="GTL82" s="1"/>
      <c r="GTM82" s="1"/>
      <c r="GTN82" s="1"/>
      <c r="GTO82" s="1"/>
      <c r="GTP82" s="1"/>
      <c r="GTQ82" s="1"/>
      <c r="GTR82" s="1"/>
      <c r="GTS82" s="1"/>
      <c r="GTT82" s="1"/>
      <c r="GTU82" s="1"/>
      <c r="GTV82" s="1"/>
      <c r="GTW82" s="1"/>
      <c r="GTX82" s="1"/>
      <c r="GTY82" s="1"/>
      <c r="GTZ82" s="1"/>
      <c r="GUA82" s="1"/>
      <c r="GUB82" s="1"/>
      <c r="GUC82" s="1"/>
      <c r="GUD82" s="1"/>
      <c r="GUE82" s="1"/>
      <c r="GUF82" s="1"/>
      <c r="GUG82" s="1"/>
      <c r="GUH82" s="1"/>
      <c r="GUI82" s="1"/>
      <c r="GUJ82" s="1"/>
      <c r="GUK82" s="1"/>
      <c r="GUL82" s="1"/>
      <c r="GUM82" s="1"/>
      <c r="GUN82" s="1"/>
      <c r="GUO82" s="1"/>
      <c r="GUP82" s="1"/>
      <c r="GUQ82" s="1"/>
      <c r="GUR82" s="1"/>
      <c r="GUS82" s="1"/>
      <c r="GUT82" s="1"/>
      <c r="GUU82" s="1"/>
      <c r="GUV82" s="1"/>
      <c r="GUW82" s="1"/>
      <c r="GUX82" s="1"/>
      <c r="GUY82" s="1"/>
      <c r="GUZ82" s="1"/>
      <c r="GVA82" s="1"/>
      <c r="GVB82" s="1"/>
      <c r="GVC82" s="1"/>
      <c r="GVD82" s="1"/>
      <c r="GVE82" s="1"/>
      <c r="GVF82" s="1"/>
      <c r="GVG82" s="1"/>
      <c r="GVH82" s="1"/>
      <c r="GVI82" s="1"/>
      <c r="GVJ82" s="1"/>
      <c r="GVK82" s="1"/>
      <c r="GVL82" s="1"/>
      <c r="GVM82" s="1"/>
      <c r="GVN82" s="1"/>
      <c r="GVO82" s="1"/>
      <c r="GVP82" s="1"/>
      <c r="GVQ82" s="1"/>
      <c r="GVR82" s="1"/>
      <c r="GVS82" s="1"/>
      <c r="GVT82" s="1"/>
      <c r="GVU82" s="1"/>
      <c r="GVV82" s="1"/>
      <c r="GVW82" s="1"/>
      <c r="GVX82" s="1"/>
      <c r="GVY82" s="1"/>
      <c r="GVZ82" s="1"/>
      <c r="GWA82" s="1"/>
      <c r="GWB82" s="1"/>
      <c r="GWC82" s="1"/>
      <c r="GWD82" s="1"/>
      <c r="GWE82" s="1"/>
      <c r="GWF82" s="1"/>
      <c r="GWG82" s="1"/>
      <c r="GWH82" s="1"/>
      <c r="GWI82" s="1"/>
      <c r="GWJ82" s="1"/>
      <c r="GWK82" s="1"/>
      <c r="GWL82" s="1"/>
      <c r="GWM82" s="1"/>
      <c r="GWN82" s="1"/>
      <c r="GWO82" s="1"/>
      <c r="GWP82" s="1"/>
      <c r="GWQ82" s="1"/>
      <c r="GWR82" s="1"/>
      <c r="GWS82" s="1"/>
      <c r="GWT82" s="1"/>
      <c r="GWU82" s="1"/>
      <c r="GWV82" s="1"/>
      <c r="GWW82" s="1"/>
      <c r="GWX82" s="1"/>
      <c r="GWY82" s="1"/>
      <c r="GWZ82" s="1"/>
      <c r="GXA82" s="1"/>
      <c r="GXB82" s="1"/>
      <c r="GXC82" s="1"/>
      <c r="GXD82" s="1"/>
      <c r="GXE82" s="1"/>
      <c r="GXF82" s="1"/>
      <c r="GXG82" s="1"/>
      <c r="GXH82" s="1"/>
      <c r="GXI82" s="1"/>
      <c r="GXJ82" s="1"/>
      <c r="GXK82" s="1"/>
      <c r="GXL82" s="1"/>
      <c r="GXM82" s="1"/>
      <c r="GXN82" s="1"/>
      <c r="GXO82" s="1"/>
      <c r="GXP82" s="1"/>
      <c r="GXQ82" s="1"/>
      <c r="GXR82" s="1"/>
      <c r="GXS82" s="1"/>
      <c r="GXT82" s="1"/>
      <c r="GXU82" s="1"/>
      <c r="GXV82" s="1"/>
      <c r="GXW82" s="1"/>
      <c r="GXX82" s="1"/>
      <c r="GXY82" s="1"/>
      <c r="GXZ82" s="1"/>
      <c r="GYA82" s="1"/>
      <c r="GYB82" s="1"/>
      <c r="GYC82" s="1"/>
      <c r="GYD82" s="1"/>
      <c r="GYE82" s="1"/>
      <c r="GYF82" s="1"/>
      <c r="GYG82" s="1"/>
      <c r="GYH82" s="1"/>
      <c r="GYI82" s="1"/>
      <c r="GYJ82" s="1"/>
      <c r="GYK82" s="1"/>
      <c r="GYL82" s="1"/>
      <c r="GYM82" s="1"/>
      <c r="GYN82" s="1"/>
      <c r="GYO82" s="1"/>
      <c r="GYP82" s="1"/>
      <c r="GYQ82" s="1"/>
      <c r="GYR82" s="1"/>
      <c r="GYS82" s="1"/>
      <c r="GYT82" s="1"/>
      <c r="GYU82" s="1"/>
      <c r="GYV82" s="1"/>
      <c r="GYW82" s="1"/>
      <c r="GYX82" s="1"/>
      <c r="GYY82" s="1"/>
      <c r="GYZ82" s="1"/>
      <c r="GZA82" s="1"/>
      <c r="GZB82" s="1"/>
      <c r="GZC82" s="1"/>
      <c r="GZD82" s="1"/>
      <c r="GZE82" s="1"/>
      <c r="GZF82" s="1"/>
      <c r="GZG82" s="1"/>
      <c r="GZH82" s="1"/>
      <c r="GZI82" s="1"/>
      <c r="GZJ82" s="1"/>
      <c r="GZK82" s="1"/>
      <c r="GZL82" s="1"/>
      <c r="GZM82" s="1"/>
      <c r="GZN82" s="1"/>
      <c r="GZO82" s="1"/>
      <c r="GZP82" s="1"/>
      <c r="GZQ82" s="1"/>
      <c r="GZR82" s="1"/>
      <c r="GZS82" s="1"/>
      <c r="GZT82" s="1"/>
      <c r="GZU82" s="1"/>
      <c r="GZV82" s="1"/>
      <c r="GZW82" s="1"/>
      <c r="GZX82" s="1"/>
      <c r="GZY82" s="1"/>
      <c r="GZZ82" s="1"/>
      <c r="HAA82" s="1"/>
      <c r="HAB82" s="1"/>
      <c r="HAC82" s="1"/>
      <c r="HAD82" s="1"/>
      <c r="HAE82" s="1"/>
      <c r="HAF82" s="1"/>
      <c r="HAG82" s="1"/>
      <c r="HAH82" s="1"/>
      <c r="HAI82" s="1"/>
      <c r="HAJ82" s="1"/>
      <c r="HAK82" s="1"/>
      <c r="HAL82" s="1"/>
      <c r="HAM82" s="1"/>
      <c r="HAN82" s="1"/>
      <c r="HAO82" s="1"/>
      <c r="HAP82" s="1"/>
      <c r="HAQ82" s="1"/>
      <c r="HAR82" s="1"/>
      <c r="HAS82" s="1"/>
      <c r="HAT82" s="1"/>
      <c r="HAU82" s="1"/>
      <c r="HAV82" s="1"/>
      <c r="HAW82" s="1"/>
      <c r="HAX82" s="1"/>
      <c r="HAY82" s="1"/>
      <c r="HAZ82" s="1"/>
      <c r="HBA82" s="1"/>
      <c r="HBB82" s="1"/>
      <c r="HBC82" s="1"/>
      <c r="HBD82" s="1"/>
      <c r="HBE82" s="1"/>
      <c r="HBF82" s="1"/>
      <c r="HBG82" s="1"/>
      <c r="HBH82" s="1"/>
      <c r="HBI82" s="1"/>
      <c r="HBJ82" s="1"/>
      <c r="HBK82" s="1"/>
      <c r="HBL82" s="1"/>
      <c r="HBM82" s="1"/>
      <c r="HBN82" s="1"/>
      <c r="HBO82" s="1"/>
      <c r="HBP82" s="1"/>
      <c r="HBQ82" s="1"/>
      <c r="HBR82" s="1"/>
      <c r="HBS82" s="1"/>
      <c r="HBT82" s="1"/>
      <c r="HBU82" s="1"/>
      <c r="HBV82" s="1"/>
      <c r="HBW82" s="1"/>
      <c r="HBX82" s="1"/>
      <c r="HBY82" s="1"/>
      <c r="HBZ82" s="1"/>
      <c r="HCA82" s="1"/>
      <c r="HCB82" s="1"/>
      <c r="HCC82" s="1"/>
      <c r="HCD82" s="1"/>
      <c r="HCE82" s="1"/>
      <c r="HCF82" s="1"/>
      <c r="HCG82" s="1"/>
      <c r="HCH82" s="1"/>
      <c r="HCI82" s="1"/>
      <c r="HCJ82" s="1"/>
      <c r="HCK82" s="1"/>
      <c r="HCL82" s="1"/>
      <c r="HCM82" s="1"/>
      <c r="HCN82" s="1"/>
      <c r="HCO82" s="1"/>
      <c r="HCP82" s="1"/>
      <c r="HCQ82" s="1"/>
      <c r="HCR82" s="1"/>
      <c r="HCS82" s="1"/>
      <c r="HCT82" s="1"/>
      <c r="HCU82" s="1"/>
      <c r="HCV82" s="1"/>
      <c r="HCW82" s="1"/>
      <c r="HCX82" s="1"/>
      <c r="HCY82" s="1"/>
      <c r="HCZ82" s="1"/>
      <c r="HDA82" s="1"/>
      <c r="HDB82" s="1"/>
      <c r="HDC82" s="1"/>
      <c r="HDD82" s="1"/>
      <c r="HDE82" s="1"/>
      <c r="HDF82" s="1"/>
      <c r="HDG82" s="1"/>
      <c r="HDH82" s="1"/>
      <c r="HDI82" s="1"/>
      <c r="HDJ82" s="1"/>
      <c r="HDK82" s="1"/>
      <c r="HDL82" s="1"/>
      <c r="HDM82" s="1"/>
      <c r="HDN82" s="1"/>
      <c r="HDO82" s="1"/>
      <c r="HDP82" s="1"/>
      <c r="HDQ82" s="1"/>
      <c r="HDR82" s="1"/>
      <c r="HDS82" s="1"/>
      <c r="HDT82" s="1"/>
      <c r="HDU82" s="1"/>
      <c r="HDV82" s="1"/>
      <c r="HDW82" s="1"/>
      <c r="HDX82" s="1"/>
      <c r="HDY82" s="1"/>
      <c r="HDZ82" s="1"/>
      <c r="HEA82" s="1"/>
      <c r="HEB82" s="1"/>
      <c r="HEC82" s="1"/>
      <c r="HED82" s="1"/>
      <c r="HEE82" s="1"/>
      <c r="HEF82" s="1"/>
      <c r="HEG82" s="1"/>
      <c r="HEH82" s="1"/>
      <c r="HEI82" s="1"/>
      <c r="HEJ82" s="1"/>
      <c r="HEK82" s="1"/>
      <c r="HEL82" s="1"/>
      <c r="HEM82" s="1"/>
      <c r="HEN82" s="1"/>
      <c r="HEO82" s="1"/>
      <c r="HEP82" s="1"/>
      <c r="HEQ82" s="1"/>
      <c r="HER82" s="1"/>
      <c r="HES82" s="1"/>
      <c r="HET82" s="1"/>
      <c r="HEU82" s="1"/>
      <c r="HEV82" s="1"/>
      <c r="HEW82" s="1"/>
      <c r="HEX82" s="1"/>
      <c r="HEY82" s="1"/>
      <c r="HEZ82" s="1"/>
      <c r="HFA82" s="1"/>
      <c r="HFB82" s="1"/>
      <c r="HFC82" s="1"/>
      <c r="HFD82" s="1"/>
      <c r="HFE82" s="1"/>
      <c r="HFF82" s="1"/>
      <c r="HFG82" s="1"/>
      <c r="HFH82" s="1"/>
      <c r="HFI82" s="1"/>
      <c r="HFJ82" s="1"/>
      <c r="HFK82" s="1"/>
      <c r="HFL82" s="1"/>
      <c r="HFM82" s="1"/>
      <c r="HFN82" s="1"/>
      <c r="HFO82" s="1"/>
      <c r="HFP82" s="1"/>
      <c r="HFQ82" s="1"/>
      <c r="HFR82" s="1"/>
      <c r="HFS82" s="1"/>
      <c r="HFT82" s="1"/>
      <c r="HFU82" s="1"/>
      <c r="HFV82" s="1"/>
      <c r="HFW82" s="1"/>
      <c r="HFX82" s="1"/>
      <c r="HFY82" s="1"/>
      <c r="HFZ82" s="1"/>
      <c r="HGA82" s="1"/>
      <c r="HGB82" s="1"/>
      <c r="HGC82" s="1"/>
      <c r="HGD82" s="1"/>
      <c r="HGE82" s="1"/>
      <c r="HGF82" s="1"/>
      <c r="HGG82" s="1"/>
      <c r="HGH82" s="1"/>
      <c r="HGI82" s="1"/>
      <c r="HGJ82" s="1"/>
      <c r="HGK82" s="1"/>
      <c r="HGL82" s="1"/>
      <c r="HGM82" s="1"/>
      <c r="HGN82" s="1"/>
      <c r="HGO82" s="1"/>
      <c r="HGP82" s="1"/>
      <c r="HGQ82" s="1"/>
      <c r="HGR82" s="1"/>
      <c r="HGS82" s="1"/>
      <c r="HGT82" s="1"/>
      <c r="HGU82" s="1"/>
      <c r="HGV82" s="1"/>
      <c r="HGW82" s="1"/>
      <c r="HGX82" s="1"/>
      <c r="HGY82" s="1"/>
      <c r="HGZ82" s="1"/>
      <c r="HHA82" s="1"/>
      <c r="HHB82" s="1"/>
      <c r="HHC82" s="1"/>
      <c r="HHD82" s="1"/>
      <c r="HHE82" s="1"/>
      <c r="HHF82" s="1"/>
      <c r="HHG82" s="1"/>
      <c r="HHH82" s="1"/>
      <c r="HHI82" s="1"/>
      <c r="HHJ82" s="1"/>
      <c r="HHK82" s="1"/>
      <c r="HHL82" s="1"/>
      <c r="HHM82" s="1"/>
      <c r="HHN82" s="1"/>
      <c r="HHO82" s="1"/>
      <c r="HHP82" s="1"/>
      <c r="HHQ82" s="1"/>
      <c r="HHR82" s="1"/>
      <c r="HHS82" s="1"/>
      <c r="HHT82" s="1"/>
      <c r="HHU82" s="1"/>
      <c r="HHV82" s="1"/>
      <c r="HHW82" s="1"/>
      <c r="HHX82" s="1"/>
      <c r="HHY82" s="1"/>
      <c r="HHZ82" s="1"/>
      <c r="HIA82" s="1"/>
      <c r="HIB82" s="1"/>
      <c r="HIC82" s="1"/>
      <c r="HID82" s="1"/>
      <c r="HIE82" s="1"/>
      <c r="HIF82" s="1"/>
      <c r="HIG82" s="1"/>
      <c r="HIH82" s="1"/>
      <c r="HII82" s="1"/>
      <c r="HIJ82" s="1"/>
      <c r="HIK82" s="1"/>
      <c r="HIL82" s="1"/>
      <c r="HIM82" s="1"/>
      <c r="HIN82" s="1"/>
      <c r="HIO82" s="1"/>
      <c r="HIP82" s="1"/>
      <c r="HIQ82" s="1"/>
      <c r="HIR82" s="1"/>
      <c r="HIS82" s="1"/>
      <c r="HIT82" s="1"/>
      <c r="HIU82" s="1"/>
      <c r="HIV82" s="1"/>
      <c r="HIW82" s="1"/>
      <c r="HIX82" s="1"/>
      <c r="HIY82" s="1"/>
      <c r="HIZ82" s="1"/>
      <c r="HJA82" s="1"/>
      <c r="HJB82" s="1"/>
      <c r="HJC82" s="1"/>
      <c r="HJD82" s="1"/>
      <c r="HJE82" s="1"/>
      <c r="HJF82" s="1"/>
      <c r="HJG82" s="1"/>
      <c r="HJH82" s="1"/>
      <c r="HJI82" s="1"/>
      <c r="HJJ82" s="1"/>
      <c r="HJK82" s="1"/>
      <c r="HJL82" s="1"/>
      <c r="HJM82" s="1"/>
      <c r="HJN82" s="1"/>
      <c r="HJO82" s="1"/>
      <c r="HJP82" s="1"/>
      <c r="HJQ82" s="1"/>
      <c r="HJR82" s="1"/>
      <c r="HJS82" s="1"/>
      <c r="HJT82" s="1"/>
      <c r="HJU82" s="1"/>
      <c r="HJV82" s="1"/>
      <c r="HJW82" s="1"/>
      <c r="HJX82" s="1"/>
      <c r="HJY82" s="1"/>
      <c r="HJZ82" s="1"/>
      <c r="HKA82" s="1"/>
      <c r="HKB82" s="1"/>
      <c r="HKC82" s="1"/>
      <c r="HKD82" s="1"/>
      <c r="HKE82" s="1"/>
      <c r="HKF82" s="1"/>
      <c r="HKG82" s="1"/>
      <c r="HKH82" s="1"/>
      <c r="HKI82" s="1"/>
      <c r="HKJ82" s="1"/>
      <c r="HKK82" s="1"/>
      <c r="HKL82" s="1"/>
      <c r="HKM82" s="1"/>
      <c r="HKN82" s="1"/>
      <c r="HKO82" s="1"/>
      <c r="HKP82" s="1"/>
      <c r="HKQ82" s="1"/>
      <c r="HKR82" s="1"/>
      <c r="HKS82" s="1"/>
      <c r="HKT82" s="1"/>
      <c r="HKU82" s="1"/>
      <c r="HKV82" s="1"/>
      <c r="HKW82" s="1"/>
      <c r="HKX82" s="1"/>
      <c r="HKY82" s="1"/>
      <c r="HKZ82" s="1"/>
      <c r="HLA82" s="1"/>
      <c r="HLB82" s="1"/>
      <c r="HLC82" s="1"/>
      <c r="HLD82" s="1"/>
      <c r="HLE82" s="1"/>
      <c r="HLF82" s="1"/>
      <c r="HLG82" s="1"/>
      <c r="HLH82" s="1"/>
      <c r="HLI82" s="1"/>
      <c r="HLJ82" s="1"/>
      <c r="HLK82" s="1"/>
      <c r="HLL82" s="1"/>
      <c r="HLM82" s="1"/>
      <c r="HLN82" s="1"/>
      <c r="HLO82" s="1"/>
      <c r="HLP82" s="1"/>
      <c r="HLQ82" s="1"/>
      <c r="HLR82" s="1"/>
      <c r="HLS82" s="1"/>
      <c r="HLT82" s="1"/>
      <c r="HLU82" s="1"/>
      <c r="HLV82" s="1"/>
      <c r="HLW82" s="1"/>
      <c r="HLX82" s="1"/>
      <c r="HLY82" s="1"/>
      <c r="HLZ82" s="1"/>
      <c r="HMA82" s="1"/>
      <c r="HMB82" s="1"/>
      <c r="HMC82" s="1"/>
      <c r="HMD82" s="1"/>
      <c r="HME82" s="1"/>
      <c r="HMF82" s="1"/>
      <c r="HMG82" s="1"/>
      <c r="HMH82" s="1"/>
      <c r="HMI82" s="1"/>
      <c r="HMJ82" s="1"/>
      <c r="HMK82" s="1"/>
      <c r="HML82" s="1"/>
      <c r="HMM82" s="1"/>
      <c r="HMN82" s="1"/>
      <c r="HMO82" s="1"/>
      <c r="HMP82" s="1"/>
      <c r="HMQ82" s="1"/>
      <c r="HMR82" s="1"/>
      <c r="HMS82" s="1"/>
      <c r="HMT82" s="1"/>
      <c r="HMU82" s="1"/>
      <c r="HMV82" s="1"/>
      <c r="HMW82" s="1"/>
      <c r="HMX82" s="1"/>
      <c r="HMY82" s="1"/>
      <c r="HMZ82" s="1"/>
      <c r="HNA82" s="1"/>
      <c r="HNB82" s="1"/>
      <c r="HNC82" s="1"/>
      <c r="HND82" s="1"/>
      <c r="HNE82" s="1"/>
      <c r="HNF82" s="1"/>
      <c r="HNG82" s="1"/>
      <c r="HNH82" s="1"/>
      <c r="HNI82" s="1"/>
      <c r="HNJ82" s="1"/>
      <c r="HNK82" s="1"/>
      <c r="HNL82" s="1"/>
      <c r="HNM82" s="1"/>
      <c r="HNN82" s="1"/>
      <c r="HNO82" s="1"/>
      <c r="HNP82" s="1"/>
      <c r="HNQ82" s="1"/>
      <c r="HNR82" s="1"/>
      <c r="HNS82" s="1"/>
      <c r="HNT82" s="1"/>
      <c r="HNU82" s="1"/>
      <c r="HNV82" s="1"/>
      <c r="HNW82" s="1"/>
      <c r="HNX82" s="1"/>
      <c r="HNY82" s="1"/>
      <c r="HNZ82" s="1"/>
      <c r="HOA82" s="1"/>
      <c r="HOB82" s="1"/>
      <c r="HOC82" s="1"/>
      <c r="HOD82" s="1"/>
      <c r="HOE82" s="1"/>
      <c r="HOF82" s="1"/>
      <c r="HOG82" s="1"/>
      <c r="HOH82" s="1"/>
      <c r="HOI82" s="1"/>
      <c r="HOJ82" s="1"/>
      <c r="HOK82" s="1"/>
      <c r="HOL82" s="1"/>
      <c r="HOM82" s="1"/>
      <c r="HON82" s="1"/>
      <c r="HOO82" s="1"/>
      <c r="HOP82" s="1"/>
      <c r="HOQ82" s="1"/>
      <c r="HOR82" s="1"/>
      <c r="HOS82" s="1"/>
      <c r="HOT82" s="1"/>
      <c r="HOU82" s="1"/>
      <c r="HOV82" s="1"/>
      <c r="HOW82" s="1"/>
      <c r="HOX82" s="1"/>
      <c r="HOY82" s="1"/>
      <c r="HOZ82" s="1"/>
      <c r="HPA82" s="1"/>
      <c r="HPB82" s="1"/>
      <c r="HPC82" s="1"/>
      <c r="HPD82" s="1"/>
      <c r="HPE82" s="1"/>
      <c r="HPF82" s="1"/>
      <c r="HPG82" s="1"/>
      <c r="HPH82" s="1"/>
      <c r="HPI82" s="1"/>
      <c r="HPJ82" s="1"/>
      <c r="HPK82" s="1"/>
      <c r="HPL82" s="1"/>
      <c r="HPM82" s="1"/>
      <c r="HPN82" s="1"/>
      <c r="HPO82" s="1"/>
      <c r="HPP82" s="1"/>
      <c r="HPQ82" s="1"/>
      <c r="HPR82" s="1"/>
      <c r="HPS82" s="1"/>
      <c r="HPT82" s="1"/>
      <c r="HPU82" s="1"/>
      <c r="HPV82" s="1"/>
      <c r="HPW82" s="1"/>
      <c r="HPX82" s="1"/>
      <c r="HPY82" s="1"/>
      <c r="HPZ82" s="1"/>
      <c r="HQA82" s="1"/>
      <c r="HQB82" s="1"/>
      <c r="HQC82" s="1"/>
      <c r="HQD82" s="1"/>
      <c r="HQE82" s="1"/>
      <c r="HQF82" s="1"/>
      <c r="HQG82" s="1"/>
      <c r="HQH82" s="1"/>
      <c r="HQI82" s="1"/>
      <c r="HQJ82" s="1"/>
      <c r="HQK82" s="1"/>
      <c r="HQL82" s="1"/>
      <c r="HQM82" s="1"/>
      <c r="HQN82" s="1"/>
      <c r="HQO82" s="1"/>
      <c r="HQP82" s="1"/>
      <c r="HQQ82" s="1"/>
      <c r="HQR82" s="1"/>
      <c r="HQS82" s="1"/>
      <c r="HQT82" s="1"/>
      <c r="HQU82" s="1"/>
      <c r="HQV82" s="1"/>
      <c r="HQW82" s="1"/>
      <c r="HQX82" s="1"/>
      <c r="HQY82" s="1"/>
      <c r="HQZ82" s="1"/>
      <c r="HRA82" s="1"/>
      <c r="HRB82" s="1"/>
      <c r="HRC82" s="1"/>
      <c r="HRD82" s="1"/>
      <c r="HRE82" s="1"/>
      <c r="HRF82" s="1"/>
      <c r="HRG82" s="1"/>
      <c r="HRH82" s="1"/>
      <c r="HRI82" s="1"/>
      <c r="HRJ82" s="1"/>
      <c r="HRK82" s="1"/>
      <c r="HRL82" s="1"/>
      <c r="HRM82" s="1"/>
      <c r="HRN82" s="1"/>
      <c r="HRO82" s="1"/>
      <c r="HRP82" s="1"/>
      <c r="HRQ82" s="1"/>
      <c r="HRR82" s="1"/>
      <c r="HRS82" s="1"/>
      <c r="HRT82" s="1"/>
      <c r="HRU82" s="1"/>
      <c r="HRV82" s="1"/>
      <c r="HRW82" s="1"/>
      <c r="HRX82" s="1"/>
      <c r="HRY82" s="1"/>
      <c r="HRZ82" s="1"/>
      <c r="HSA82" s="1"/>
      <c r="HSB82" s="1"/>
      <c r="HSC82" s="1"/>
      <c r="HSD82" s="1"/>
      <c r="HSE82" s="1"/>
      <c r="HSF82" s="1"/>
      <c r="HSG82" s="1"/>
      <c r="HSH82" s="1"/>
      <c r="HSI82" s="1"/>
      <c r="HSJ82" s="1"/>
      <c r="HSK82" s="1"/>
      <c r="HSL82" s="1"/>
      <c r="HSM82" s="1"/>
      <c r="HSN82" s="1"/>
      <c r="HSO82" s="1"/>
      <c r="HSP82" s="1"/>
      <c r="HSQ82" s="1"/>
      <c r="HSR82" s="1"/>
      <c r="HSS82" s="1"/>
      <c r="HST82" s="1"/>
      <c r="HSU82" s="1"/>
      <c r="HSV82" s="1"/>
      <c r="HSW82" s="1"/>
      <c r="HSX82" s="1"/>
      <c r="HSY82" s="1"/>
      <c r="HSZ82" s="1"/>
      <c r="HTA82" s="1"/>
      <c r="HTB82" s="1"/>
      <c r="HTC82" s="1"/>
      <c r="HTD82" s="1"/>
      <c r="HTE82" s="1"/>
      <c r="HTF82" s="1"/>
      <c r="HTG82" s="1"/>
      <c r="HTH82" s="1"/>
      <c r="HTI82" s="1"/>
      <c r="HTJ82" s="1"/>
      <c r="HTK82" s="1"/>
      <c r="HTL82" s="1"/>
      <c r="HTM82" s="1"/>
      <c r="HTN82" s="1"/>
      <c r="HTO82" s="1"/>
      <c r="HTP82" s="1"/>
      <c r="HTQ82" s="1"/>
      <c r="HTR82" s="1"/>
      <c r="HTS82" s="1"/>
      <c r="HTT82" s="1"/>
      <c r="HTU82" s="1"/>
      <c r="HTV82" s="1"/>
      <c r="HTW82" s="1"/>
      <c r="HTX82" s="1"/>
      <c r="HTY82" s="1"/>
      <c r="HTZ82" s="1"/>
      <c r="HUA82" s="1"/>
      <c r="HUB82" s="1"/>
      <c r="HUC82" s="1"/>
      <c r="HUD82" s="1"/>
      <c r="HUE82" s="1"/>
      <c r="HUF82" s="1"/>
      <c r="HUG82" s="1"/>
      <c r="HUH82" s="1"/>
      <c r="HUI82" s="1"/>
      <c r="HUJ82" s="1"/>
      <c r="HUK82" s="1"/>
      <c r="HUL82" s="1"/>
      <c r="HUM82" s="1"/>
      <c r="HUN82" s="1"/>
      <c r="HUO82" s="1"/>
      <c r="HUP82" s="1"/>
      <c r="HUQ82" s="1"/>
      <c r="HUR82" s="1"/>
      <c r="HUS82" s="1"/>
      <c r="HUT82" s="1"/>
      <c r="HUU82" s="1"/>
      <c r="HUV82" s="1"/>
      <c r="HUW82" s="1"/>
      <c r="HUX82" s="1"/>
      <c r="HUY82" s="1"/>
      <c r="HUZ82" s="1"/>
      <c r="HVA82" s="1"/>
      <c r="HVB82" s="1"/>
      <c r="HVC82" s="1"/>
      <c r="HVD82" s="1"/>
      <c r="HVE82" s="1"/>
      <c r="HVF82" s="1"/>
      <c r="HVG82" s="1"/>
      <c r="HVH82" s="1"/>
      <c r="HVI82" s="1"/>
      <c r="HVJ82" s="1"/>
      <c r="HVK82" s="1"/>
      <c r="HVL82" s="1"/>
      <c r="HVM82" s="1"/>
      <c r="HVN82" s="1"/>
      <c r="HVO82" s="1"/>
      <c r="HVP82" s="1"/>
      <c r="HVQ82" s="1"/>
      <c r="HVR82" s="1"/>
      <c r="HVS82" s="1"/>
      <c r="HVT82" s="1"/>
      <c r="HVU82" s="1"/>
      <c r="HVV82" s="1"/>
      <c r="HVW82" s="1"/>
      <c r="HVX82" s="1"/>
      <c r="HVY82" s="1"/>
      <c r="HVZ82" s="1"/>
      <c r="HWA82" s="1"/>
      <c r="HWB82" s="1"/>
      <c r="HWC82" s="1"/>
      <c r="HWD82" s="1"/>
      <c r="HWE82" s="1"/>
      <c r="HWF82" s="1"/>
      <c r="HWG82" s="1"/>
      <c r="HWH82" s="1"/>
      <c r="HWI82" s="1"/>
      <c r="HWJ82" s="1"/>
      <c r="HWK82" s="1"/>
      <c r="HWL82" s="1"/>
      <c r="HWM82" s="1"/>
      <c r="HWN82" s="1"/>
      <c r="HWO82" s="1"/>
      <c r="HWP82" s="1"/>
      <c r="HWQ82" s="1"/>
      <c r="HWR82" s="1"/>
      <c r="HWS82" s="1"/>
      <c r="HWT82" s="1"/>
      <c r="HWU82" s="1"/>
      <c r="HWV82" s="1"/>
      <c r="HWW82" s="1"/>
      <c r="HWX82" s="1"/>
      <c r="HWY82" s="1"/>
      <c r="HWZ82" s="1"/>
      <c r="HXA82" s="1"/>
      <c r="HXB82" s="1"/>
      <c r="HXC82" s="1"/>
      <c r="HXD82" s="1"/>
      <c r="HXE82" s="1"/>
      <c r="HXF82" s="1"/>
      <c r="HXG82" s="1"/>
      <c r="HXH82" s="1"/>
      <c r="HXI82" s="1"/>
      <c r="HXJ82" s="1"/>
      <c r="HXK82" s="1"/>
      <c r="HXL82" s="1"/>
      <c r="HXM82" s="1"/>
      <c r="HXN82" s="1"/>
      <c r="HXO82" s="1"/>
      <c r="HXP82" s="1"/>
      <c r="HXQ82" s="1"/>
      <c r="HXR82" s="1"/>
      <c r="HXS82" s="1"/>
      <c r="HXT82" s="1"/>
      <c r="HXU82" s="1"/>
      <c r="HXV82" s="1"/>
      <c r="HXW82" s="1"/>
      <c r="HXX82" s="1"/>
      <c r="HXY82" s="1"/>
      <c r="HXZ82" s="1"/>
      <c r="HYA82" s="1"/>
      <c r="HYB82" s="1"/>
      <c r="HYC82" s="1"/>
      <c r="HYD82" s="1"/>
      <c r="HYE82" s="1"/>
      <c r="HYF82" s="1"/>
      <c r="HYG82" s="1"/>
      <c r="HYH82" s="1"/>
      <c r="HYI82" s="1"/>
      <c r="HYJ82" s="1"/>
      <c r="HYK82" s="1"/>
      <c r="HYL82" s="1"/>
      <c r="HYM82" s="1"/>
      <c r="HYN82" s="1"/>
      <c r="HYO82" s="1"/>
      <c r="HYP82" s="1"/>
      <c r="HYQ82" s="1"/>
      <c r="HYR82" s="1"/>
      <c r="HYS82" s="1"/>
      <c r="HYT82" s="1"/>
      <c r="HYU82" s="1"/>
      <c r="HYV82" s="1"/>
      <c r="HYW82" s="1"/>
      <c r="HYX82" s="1"/>
      <c r="HYY82" s="1"/>
      <c r="HYZ82" s="1"/>
      <c r="HZA82" s="1"/>
      <c r="HZB82" s="1"/>
      <c r="HZC82" s="1"/>
      <c r="HZD82" s="1"/>
      <c r="HZE82" s="1"/>
      <c r="HZF82" s="1"/>
      <c r="HZG82" s="1"/>
      <c r="HZH82" s="1"/>
      <c r="HZI82" s="1"/>
      <c r="HZJ82" s="1"/>
      <c r="HZK82" s="1"/>
      <c r="HZL82" s="1"/>
      <c r="HZM82" s="1"/>
      <c r="HZN82" s="1"/>
      <c r="HZO82" s="1"/>
      <c r="HZP82" s="1"/>
      <c r="HZQ82" s="1"/>
      <c r="HZR82" s="1"/>
      <c r="HZS82" s="1"/>
      <c r="HZT82" s="1"/>
      <c r="HZU82" s="1"/>
      <c r="HZV82" s="1"/>
      <c r="HZW82" s="1"/>
      <c r="HZX82" s="1"/>
      <c r="HZY82" s="1"/>
      <c r="HZZ82" s="1"/>
      <c r="IAA82" s="1"/>
      <c r="IAB82" s="1"/>
      <c r="IAC82" s="1"/>
      <c r="IAD82" s="1"/>
      <c r="IAE82" s="1"/>
      <c r="IAF82" s="1"/>
      <c r="IAG82" s="1"/>
      <c r="IAH82" s="1"/>
      <c r="IAI82" s="1"/>
      <c r="IAJ82" s="1"/>
      <c r="IAK82" s="1"/>
      <c r="IAL82" s="1"/>
      <c r="IAM82" s="1"/>
      <c r="IAN82" s="1"/>
      <c r="IAO82" s="1"/>
      <c r="IAP82" s="1"/>
      <c r="IAQ82" s="1"/>
      <c r="IAR82" s="1"/>
      <c r="IAS82" s="1"/>
      <c r="IAT82" s="1"/>
      <c r="IAU82" s="1"/>
      <c r="IAV82" s="1"/>
      <c r="IAW82" s="1"/>
      <c r="IAX82" s="1"/>
      <c r="IAY82" s="1"/>
      <c r="IAZ82" s="1"/>
      <c r="IBA82" s="1"/>
      <c r="IBB82" s="1"/>
      <c r="IBC82" s="1"/>
      <c r="IBD82" s="1"/>
      <c r="IBE82" s="1"/>
      <c r="IBF82" s="1"/>
      <c r="IBG82" s="1"/>
      <c r="IBH82" s="1"/>
      <c r="IBI82" s="1"/>
      <c r="IBJ82" s="1"/>
      <c r="IBK82" s="1"/>
      <c r="IBL82" s="1"/>
      <c r="IBM82" s="1"/>
      <c r="IBN82" s="1"/>
      <c r="IBO82" s="1"/>
      <c r="IBP82" s="1"/>
      <c r="IBQ82" s="1"/>
      <c r="IBR82" s="1"/>
      <c r="IBS82" s="1"/>
      <c r="IBT82" s="1"/>
      <c r="IBU82" s="1"/>
      <c r="IBV82" s="1"/>
      <c r="IBW82" s="1"/>
      <c r="IBX82" s="1"/>
      <c r="IBY82" s="1"/>
      <c r="IBZ82" s="1"/>
      <c r="ICA82" s="1"/>
      <c r="ICB82" s="1"/>
      <c r="ICC82" s="1"/>
      <c r="ICD82" s="1"/>
      <c r="ICE82" s="1"/>
      <c r="ICF82" s="1"/>
      <c r="ICG82" s="1"/>
      <c r="ICH82" s="1"/>
      <c r="ICI82" s="1"/>
      <c r="ICJ82" s="1"/>
      <c r="ICK82" s="1"/>
      <c r="ICL82" s="1"/>
      <c r="ICM82" s="1"/>
      <c r="ICN82" s="1"/>
      <c r="ICO82" s="1"/>
      <c r="ICP82" s="1"/>
      <c r="ICQ82" s="1"/>
      <c r="ICR82" s="1"/>
      <c r="ICS82" s="1"/>
      <c r="ICT82" s="1"/>
      <c r="ICU82" s="1"/>
      <c r="ICV82" s="1"/>
      <c r="ICW82" s="1"/>
      <c r="ICX82" s="1"/>
      <c r="ICY82" s="1"/>
      <c r="ICZ82" s="1"/>
      <c r="IDA82" s="1"/>
      <c r="IDB82" s="1"/>
      <c r="IDC82" s="1"/>
      <c r="IDD82" s="1"/>
      <c r="IDE82" s="1"/>
      <c r="IDF82" s="1"/>
      <c r="IDG82" s="1"/>
      <c r="IDH82" s="1"/>
      <c r="IDI82" s="1"/>
      <c r="IDJ82" s="1"/>
      <c r="IDK82" s="1"/>
      <c r="IDL82" s="1"/>
      <c r="IDM82" s="1"/>
      <c r="IDN82" s="1"/>
      <c r="IDO82" s="1"/>
      <c r="IDP82" s="1"/>
      <c r="IDQ82" s="1"/>
      <c r="IDR82" s="1"/>
      <c r="IDS82" s="1"/>
      <c r="IDT82" s="1"/>
      <c r="IDU82" s="1"/>
      <c r="IDV82" s="1"/>
      <c r="IDW82" s="1"/>
      <c r="IDX82" s="1"/>
      <c r="IDY82" s="1"/>
      <c r="IDZ82" s="1"/>
      <c r="IEA82" s="1"/>
      <c r="IEB82" s="1"/>
      <c r="IEC82" s="1"/>
      <c r="IED82" s="1"/>
      <c r="IEE82" s="1"/>
      <c r="IEF82" s="1"/>
      <c r="IEG82" s="1"/>
      <c r="IEH82" s="1"/>
      <c r="IEI82" s="1"/>
      <c r="IEJ82" s="1"/>
      <c r="IEK82" s="1"/>
      <c r="IEL82" s="1"/>
      <c r="IEM82" s="1"/>
      <c r="IEN82" s="1"/>
      <c r="IEO82" s="1"/>
      <c r="IEP82" s="1"/>
      <c r="IEQ82" s="1"/>
      <c r="IER82" s="1"/>
      <c r="IES82" s="1"/>
      <c r="IET82" s="1"/>
      <c r="IEU82" s="1"/>
      <c r="IEV82" s="1"/>
      <c r="IEW82" s="1"/>
      <c r="IEX82" s="1"/>
      <c r="IEY82" s="1"/>
      <c r="IEZ82" s="1"/>
      <c r="IFA82" s="1"/>
      <c r="IFB82" s="1"/>
      <c r="IFC82" s="1"/>
      <c r="IFD82" s="1"/>
      <c r="IFE82" s="1"/>
      <c r="IFF82" s="1"/>
      <c r="IFG82" s="1"/>
      <c r="IFH82" s="1"/>
      <c r="IFI82" s="1"/>
      <c r="IFJ82" s="1"/>
      <c r="IFK82" s="1"/>
      <c r="IFL82" s="1"/>
      <c r="IFM82" s="1"/>
      <c r="IFN82" s="1"/>
      <c r="IFO82" s="1"/>
      <c r="IFP82" s="1"/>
      <c r="IFQ82" s="1"/>
      <c r="IFR82" s="1"/>
      <c r="IFS82" s="1"/>
      <c r="IFT82" s="1"/>
      <c r="IFU82" s="1"/>
      <c r="IFV82" s="1"/>
      <c r="IFW82" s="1"/>
      <c r="IFX82" s="1"/>
      <c r="IFY82" s="1"/>
      <c r="IFZ82" s="1"/>
      <c r="IGA82" s="1"/>
      <c r="IGB82" s="1"/>
      <c r="IGC82" s="1"/>
      <c r="IGD82" s="1"/>
      <c r="IGE82" s="1"/>
      <c r="IGF82" s="1"/>
      <c r="IGG82" s="1"/>
      <c r="IGH82" s="1"/>
      <c r="IGI82" s="1"/>
      <c r="IGJ82" s="1"/>
      <c r="IGK82" s="1"/>
      <c r="IGL82" s="1"/>
      <c r="IGM82" s="1"/>
      <c r="IGN82" s="1"/>
      <c r="IGO82" s="1"/>
      <c r="IGP82" s="1"/>
      <c r="IGQ82" s="1"/>
      <c r="IGR82" s="1"/>
      <c r="IGS82" s="1"/>
      <c r="IGT82" s="1"/>
      <c r="IGU82" s="1"/>
      <c r="IGV82" s="1"/>
      <c r="IGW82" s="1"/>
      <c r="IGX82" s="1"/>
      <c r="IGY82" s="1"/>
      <c r="IGZ82" s="1"/>
      <c r="IHA82" s="1"/>
      <c r="IHB82" s="1"/>
      <c r="IHC82" s="1"/>
      <c r="IHD82" s="1"/>
      <c r="IHE82" s="1"/>
      <c r="IHF82" s="1"/>
      <c r="IHG82" s="1"/>
      <c r="IHH82" s="1"/>
      <c r="IHI82" s="1"/>
      <c r="IHJ82" s="1"/>
      <c r="IHK82" s="1"/>
      <c r="IHL82" s="1"/>
      <c r="IHM82" s="1"/>
      <c r="IHN82" s="1"/>
      <c r="IHO82" s="1"/>
      <c r="IHP82" s="1"/>
      <c r="IHQ82" s="1"/>
      <c r="IHR82" s="1"/>
      <c r="IHS82" s="1"/>
      <c r="IHT82" s="1"/>
      <c r="IHU82" s="1"/>
      <c r="IHV82" s="1"/>
      <c r="IHW82" s="1"/>
      <c r="IHX82" s="1"/>
      <c r="IHY82" s="1"/>
      <c r="IHZ82" s="1"/>
      <c r="IIA82" s="1"/>
      <c r="IIB82" s="1"/>
      <c r="IIC82" s="1"/>
      <c r="IID82" s="1"/>
      <c r="IIE82" s="1"/>
      <c r="IIF82" s="1"/>
      <c r="IIG82" s="1"/>
      <c r="IIH82" s="1"/>
      <c r="III82" s="1"/>
      <c r="IIJ82" s="1"/>
      <c r="IIK82" s="1"/>
      <c r="IIL82" s="1"/>
      <c r="IIM82" s="1"/>
      <c r="IIN82" s="1"/>
      <c r="IIO82" s="1"/>
      <c r="IIP82" s="1"/>
      <c r="IIQ82" s="1"/>
      <c r="IIR82" s="1"/>
      <c r="IIS82" s="1"/>
      <c r="IIT82" s="1"/>
      <c r="IIU82" s="1"/>
      <c r="IIV82" s="1"/>
      <c r="IIW82" s="1"/>
      <c r="IIX82" s="1"/>
      <c r="IIY82" s="1"/>
      <c r="IIZ82" s="1"/>
      <c r="IJA82" s="1"/>
      <c r="IJB82" s="1"/>
      <c r="IJC82" s="1"/>
      <c r="IJD82" s="1"/>
      <c r="IJE82" s="1"/>
      <c r="IJF82" s="1"/>
      <c r="IJG82" s="1"/>
      <c r="IJH82" s="1"/>
      <c r="IJI82" s="1"/>
      <c r="IJJ82" s="1"/>
      <c r="IJK82" s="1"/>
      <c r="IJL82" s="1"/>
      <c r="IJM82" s="1"/>
      <c r="IJN82" s="1"/>
      <c r="IJO82" s="1"/>
      <c r="IJP82" s="1"/>
      <c r="IJQ82" s="1"/>
      <c r="IJR82" s="1"/>
      <c r="IJS82" s="1"/>
      <c r="IJT82" s="1"/>
      <c r="IJU82" s="1"/>
      <c r="IJV82" s="1"/>
      <c r="IJW82" s="1"/>
      <c r="IJX82" s="1"/>
      <c r="IJY82" s="1"/>
      <c r="IJZ82" s="1"/>
      <c r="IKA82" s="1"/>
      <c r="IKB82" s="1"/>
      <c r="IKC82" s="1"/>
      <c r="IKD82" s="1"/>
      <c r="IKE82" s="1"/>
      <c r="IKF82" s="1"/>
      <c r="IKG82" s="1"/>
      <c r="IKH82" s="1"/>
      <c r="IKI82" s="1"/>
      <c r="IKJ82" s="1"/>
      <c r="IKK82" s="1"/>
      <c r="IKL82" s="1"/>
      <c r="IKM82" s="1"/>
      <c r="IKN82" s="1"/>
      <c r="IKO82" s="1"/>
      <c r="IKP82" s="1"/>
      <c r="IKQ82" s="1"/>
      <c r="IKR82" s="1"/>
      <c r="IKS82" s="1"/>
      <c r="IKT82" s="1"/>
      <c r="IKU82" s="1"/>
      <c r="IKV82" s="1"/>
      <c r="IKW82" s="1"/>
      <c r="IKX82" s="1"/>
      <c r="IKY82" s="1"/>
      <c r="IKZ82" s="1"/>
      <c r="ILA82" s="1"/>
      <c r="ILB82" s="1"/>
      <c r="ILC82" s="1"/>
      <c r="ILD82" s="1"/>
      <c r="ILE82" s="1"/>
      <c r="ILF82" s="1"/>
      <c r="ILG82" s="1"/>
      <c r="ILH82" s="1"/>
      <c r="ILI82" s="1"/>
      <c r="ILJ82" s="1"/>
      <c r="ILK82" s="1"/>
      <c r="ILL82" s="1"/>
      <c r="ILM82" s="1"/>
      <c r="ILN82" s="1"/>
      <c r="ILO82" s="1"/>
      <c r="ILP82" s="1"/>
      <c r="ILQ82" s="1"/>
      <c r="ILR82" s="1"/>
      <c r="ILS82" s="1"/>
      <c r="ILT82" s="1"/>
      <c r="ILU82" s="1"/>
      <c r="ILV82" s="1"/>
      <c r="ILW82" s="1"/>
      <c r="ILX82" s="1"/>
      <c r="ILY82" s="1"/>
      <c r="ILZ82" s="1"/>
      <c r="IMA82" s="1"/>
      <c r="IMB82" s="1"/>
      <c r="IMC82" s="1"/>
      <c r="IMD82" s="1"/>
      <c r="IME82" s="1"/>
      <c r="IMF82" s="1"/>
      <c r="IMG82" s="1"/>
      <c r="IMH82" s="1"/>
      <c r="IMI82" s="1"/>
      <c r="IMJ82" s="1"/>
      <c r="IMK82" s="1"/>
      <c r="IML82" s="1"/>
      <c r="IMM82" s="1"/>
      <c r="IMN82" s="1"/>
      <c r="IMO82" s="1"/>
      <c r="IMP82" s="1"/>
      <c r="IMQ82" s="1"/>
      <c r="IMR82" s="1"/>
      <c r="IMS82" s="1"/>
      <c r="IMT82" s="1"/>
      <c r="IMU82" s="1"/>
      <c r="IMV82" s="1"/>
      <c r="IMW82" s="1"/>
      <c r="IMX82" s="1"/>
      <c r="IMY82" s="1"/>
      <c r="IMZ82" s="1"/>
      <c r="INA82" s="1"/>
      <c r="INB82" s="1"/>
      <c r="INC82" s="1"/>
      <c r="IND82" s="1"/>
      <c r="INE82" s="1"/>
      <c r="INF82" s="1"/>
      <c r="ING82" s="1"/>
      <c r="INH82" s="1"/>
      <c r="INI82" s="1"/>
      <c r="INJ82" s="1"/>
      <c r="INK82" s="1"/>
      <c r="INL82" s="1"/>
      <c r="INM82" s="1"/>
      <c r="INN82" s="1"/>
      <c r="INO82" s="1"/>
      <c r="INP82" s="1"/>
      <c r="INQ82" s="1"/>
      <c r="INR82" s="1"/>
      <c r="INS82" s="1"/>
      <c r="INT82" s="1"/>
      <c r="INU82" s="1"/>
      <c r="INV82" s="1"/>
      <c r="INW82" s="1"/>
      <c r="INX82" s="1"/>
      <c r="INY82" s="1"/>
      <c r="INZ82" s="1"/>
      <c r="IOA82" s="1"/>
      <c r="IOB82" s="1"/>
      <c r="IOC82" s="1"/>
      <c r="IOD82" s="1"/>
      <c r="IOE82" s="1"/>
      <c r="IOF82" s="1"/>
      <c r="IOG82" s="1"/>
      <c r="IOH82" s="1"/>
      <c r="IOI82" s="1"/>
      <c r="IOJ82" s="1"/>
      <c r="IOK82" s="1"/>
      <c r="IOL82" s="1"/>
      <c r="IOM82" s="1"/>
      <c r="ION82" s="1"/>
      <c r="IOO82" s="1"/>
      <c r="IOP82" s="1"/>
      <c r="IOQ82" s="1"/>
      <c r="IOR82" s="1"/>
      <c r="IOS82" s="1"/>
      <c r="IOT82" s="1"/>
      <c r="IOU82" s="1"/>
      <c r="IOV82" s="1"/>
      <c r="IOW82" s="1"/>
      <c r="IOX82" s="1"/>
      <c r="IOY82" s="1"/>
      <c r="IOZ82" s="1"/>
      <c r="IPA82" s="1"/>
      <c r="IPB82" s="1"/>
      <c r="IPC82" s="1"/>
      <c r="IPD82" s="1"/>
      <c r="IPE82" s="1"/>
      <c r="IPF82" s="1"/>
      <c r="IPG82" s="1"/>
      <c r="IPH82" s="1"/>
      <c r="IPI82" s="1"/>
      <c r="IPJ82" s="1"/>
      <c r="IPK82" s="1"/>
      <c r="IPL82" s="1"/>
      <c r="IPM82" s="1"/>
      <c r="IPN82" s="1"/>
      <c r="IPO82" s="1"/>
      <c r="IPP82" s="1"/>
      <c r="IPQ82" s="1"/>
      <c r="IPR82" s="1"/>
      <c r="IPS82" s="1"/>
      <c r="IPT82" s="1"/>
      <c r="IPU82" s="1"/>
      <c r="IPV82" s="1"/>
      <c r="IPW82" s="1"/>
      <c r="IPX82" s="1"/>
      <c r="IPY82" s="1"/>
      <c r="IPZ82" s="1"/>
      <c r="IQA82" s="1"/>
      <c r="IQB82" s="1"/>
      <c r="IQC82" s="1"/>
      <c r="IQD82" s="1"/>
      <c r="IQE82" s="1"/>
      <c r="IQF82" s="1"/>
      <c r="IQG82" s="1"/>
      <c r="IQH82" s="1"/>
      <c r="IQI82" s="1"/>
      <c r="IQJ82" s="1"/>
      <c r="IQK82" s="1"/>
      <c r="IQL82" s="1"/>
      <c r="IQM82" s="1"/>
      <c r="IQN82" s="1"/>
      <c r="IQO82" s="1"/>
      <c r="IQP82" s="1"/>
      <c r="IQQ82" s="1"/>
      <c r="IQR82" s="1"/>
      <c r="IQS82" s="1"/>
      <c r="IQT82" s="1"/>
      <c r="IQU82" s="1"/>
      <c r="IQV82" s="1"/>
      <c r="IQW82" s="1"/>
      <c r="IQX82" s="1"/>
      <c r="IQY82" s="1"/>
      <c r="IQZ82" s="1"/>
      <c r="IRA82" s="1"/>
      <c r="IRB82" s="1"/>
      <c r="IRC82" s="1"/>
      <c r="IRD82" s="1"/>
      <c r="IRE82" s="1"/>
      <c r="IRF82" s="1"/>
      <c r="IRG82" s="1"/>
      <c r="IRH82" s="1"/>
      <c r="IRI82" s="1"/>
      <c r="IRJ82" s="1"/>
      <c r="IRK82" s="1"/>
      <c r="IRL82" s="1"/>
      <c r="IRM82" s="1"/>
      <c r="IRN82" s="1"/>
      <c r="IRO82" s="1"/>
      <c r="IRP82" s="1"/>
      <c r="IRQ82" s="1"/>
      <c r="IRR82" s="1"/>
      <c r="IRS82" s="1"/>
      <c r="IRT82" s="1"/>
      <c r="IRU82" s="1"/>
      <c r="IRV82" s="1"/>
      <c r="IRW82" s="1"/>
      <c r="IRX82" s="1"/>
      <c r="IRY82" s="1"/>
      <c r="IRZ82" s="1"/>
      <c r="ISA82" s="1"/>
      <c r="ISB82" s="1"/>
      <c r="ISC82" s="1"/>
      <c r="ISD82" s="1"/>
      <c r="ISE82" s="1"/>
      <c r="ISF82" s="1"/>
      <c r="ISG82" s="1"/>
      <c r="ISH82" s="1"/>
      <c r="ISI82" s="1"/>
      <c r="ISJ82" s="1"/>
      <c r="ISK82" s="1"/>
      <c r="ISL82" s="1"/>
      <c r="ISM82" s="1"/>
      <c r="ISN82" s="1"/>
      <c r="ISO82" s="1"/>
      <c r="ISP82" s="1"/>
      <c r="ISQ82" s="1"/>
      <c r="ISR82" s="1"/>
      <c r="ISS82" s="1"/>
      <c r="IST82" s="1"/>
      <c r="ISU82" s="1"/>
      <c r="ISV82" s="1"/>
      <c r="ISW82" s="1"/>
      <c r="ISX82" s="1"/>
      <c r="ISY82" s="1"/>
      <c r="ISZ82" s="1"/>
      <c r="ITA82" s="1"/>
      <c r="ITB82" s="1"/>
      <c r="ITC82" s="1"/>
      <c r="ITD82" s="1"/>
      <c r="ITE82" s="1"/>
      <c r="ITF82" s="1"/>
      <c r="ITG82" s="1"/>
      <c r="ITH82" s="1"/>
      <c r="ITI82" s="1"/>
      <c r="ITJ82" s="1"/>
      <c r="ITK82" s="1"/>
      <c r="ITL82" s="1"/>
      <c r="ITM82" s="1"/>
      <c r="ITN82" s="1"/>
      <c r="ITO82" s="1"/>
      <c r="ITP82" s="1"/>
      <c r="ITQ82" s="1"/>
      <c r="ITR82" s="1"/>
      <c r="ITS82" s="1"/>
      <c r="ITT82" s="1"/>
      <c r="ITU82" s="1"/>
      <c r="ITV82" s="1"/>
      <c r="ITW82" s="1"/>
      <c r="ITX82" s="1"/>
      <c r="ITY82" s="1"/>
      <c r="ITZ82" s="1"/>
      <c r="IUA82" s="1"/>
      <c r="IUB82" s="1"/>
      <c r="IUC82" s="1"/>
      <c r="IUD82" s="1"/>
      <c r="IUE82" s="1"/>
      <c r="IUF82" s="1"/>
      <c r="IUG82" s="1"/>
      <c r="IUH82" s="1"/>
      <c r="IUI82" s="1"/>
      <c r="IUJ82" s="1"/>
      <c r="IUK82" s="1"/>
      <c r="IUL82" s="1"/>
      <c r="IUM82" s="1"/>
      <c r="IUN82" s="1"/>
      <c r="IUO82" s="1"/>
      <c r="IUP82" s="1"/>
      <c r="IUQ82" s="1"/>
      <c r="IUR82" s="1"/>
      <c r="IUS82" s="1"/>
      <c r="IUT82" s="1"/>
      <c r="IUU82" s="1"/>
      <c r="IUV82" s="1"/>
      <c r="IUW82" s="1"/>
      <c r="IUX82" s="1"/>
      <c r="IUY82" s="1"/>
      <c r="IUZ82" s="1"/>
      <c r="IVA82" s="1"/>
      <c r="IVB82" s="1"/>
      <c r="IVC82" s="1"/>
      <c r="IVD82" s="1"/>
      <c r="IVE82" s="1"/>
      <c r="IVF82" s="1"/>
      <c r="IVG82" s="1"/>
      <c r="IVH82" s="1"/>
      <c r="IVI82" s="1"/>
      <c r="IVJ82" s="1"/>
      <c r="IVK82" s="1"/>
      <c r="IVL82" s="1"/>
      <c r="IVM82" s="1"/>
      <c r="IVN82" s="1"/>
      <c r="IVO82" s="1"/>
      <c r="IVP82" s="1"/>
      <c r="IVQ82" s="1"/>
      <c r="IVR82" s="1"/>
      <c r="IVS82" s="1"/>
      <c r="IVT82" s="1"/>
      <c r="IVU82" s="1"/>
      <c r="IVV82" s="1"/>
      <c r="IVW82" s="1"/>
      <c r="IVX82" s="1"/>
      <c r="IVY82" s="1"/>
      <c r="IVZ82" s="1"/>
      <c r="IWA82" s="1"/>
      <c r="IWB82" s="1"/>
      <c r="IWC82" s="1"/>
      <c r="IWD82" s="1"/>
      <c r="IWE82" s="1"/>
      <c r="IWF82" s="1"/>
      <c r="IWG82" s="1"/>
      <c r="IWH82" s="1"/>
      <c r="IWI82" s="1"/>
      <c r="IWJ82" s="1"/>
      <c r="IWK82" s="1"/>
      <c r="IWL82" s="1"/>
      <c r="IWM82" s="1"/>
      <c r="IWN82" s="1"/>
      <c r="IWO82" s="1"/>
      <c r="IWP82" s="1"/>
      <c r="IWQ82" s="1"/>
      <c r="IWR82" s="1"/>
      <c r="IWS82" s="1"/>
      <c r="IWT82" s="1"/>
      <c r="IWU82" s="1"/>
      <c r="IWV82" s="1"/>
      <c r="IWW82" s="1"/>
      <c r="IWX82" s="1"/>
      <c r="IWY82" s="1"/>
      <c r="IWZ82" s="1"/>
      <c r="IXA82" s="1"/>
      <c r="IXB82" s="1"/>
      <c r="IXC82" s="1"/>
      <c r="IXD82" s="1"/>
      <c r="IXE82" s="1"/>
      <c r="IXF82" s="1"/>
      <c r="IXG82" s="1"/>
      <c r="IXH82" s="1"/>
      <c r="IXI82" s="1"/>
      <c r="IXJ82" s="1"/>
      <c r="IXK82" s="1"/>
      <c r="IXL82" s="1"/>
      <c r="IXM82" s="1"/>
      <c r="IXN82" s="1"/>
      <c r="IXO82" s="1"/>
      <c r="IXP82" s="1"/>
      <c r="IXQ82" s="1"/>
      <c r="IXR82" s="1"/>
      <c r="IXS82" s="1"/>
      <c r="IXT82" s="1"/>
      <c r="IXU82" s="1"/>
      <c r="IXV82" s="1"/>
      <c r="IXW82" s="1"/>
      <c r="IXX82" s="1"/>
      <c r="IXY82" s="1"/>
      <c r="IXZ82" s="1"/>
      <c r="IYA82" s="1"/>
      <c r="IYB82" s="1"/>
      <c r="IYC82" s="1"/>
      <c r="IYD82" s="1"/>
      <c r="IYE82" s="1"/>
      <c r="IYF82" s="1"/>
      <c r="IYG82" s="1"/>
      <c r="IYH82" s="1"/>
      <c r="IYI82" s="1"/>
      <c r="IYJ82" s="1"/>
      <c r="IYK82" s="1"/>
      <c r="IYL82" s="1"/>
      <c r="IYM82" s="1"/>
      <c r="IYN82" s="1"/>
      <c r="IYO82" s="1"/>
      <c r="IYP82" s="1"/>
      <c r="IYQ82" s="1"/>
      <c r="IYR82" s="1"/>
      <c r="IYS82" s="1"/>
      <c r="IYT82" s="1"/>
      <c r="IYU82" s="1"/>
      <c r="IYV82" s="1"/>
      <c r="IYW82" s="1"/>
      <c r="IYX82" s="1"/>
      <c r="IYY82" s="1"/>
      <c r="IYZ82" s="1"/>
      <c r="IZA82" s="1"/>
      <c r="IZB82" s="1"/>
      <c r="IZC82" s="1"/>
      <c r="IZD82" s="1"/>
      <c r="IZE82" s="1"/>
      <c r="IZF82" s="1"/>
      <c r="IZG82" s="1"/>
      <c r="IZH82" s="1"/>
      <c r="IZI82" s="1"/>
      <c r="IZJ82" s="1"/>
      <c r="IZK82" s="1"/>
      <c r="IZL82" s="1"/>
      <c r="IZM82" s="1"/>
      <c r="IZN82" s="1"/>
      <c r="IZO82" s="1"/>
      <c r="IZP82" s="1"/>
      <c r="IZQ82" s="1"/>
      <c r="IZR82" s="1"/>
      <c r="IZS82" s="1"/>
      <c r="IZT82" s="1"/>
      <c r="IZU82" s="1"/>
      <c r="IZV82" s="1"/>
      <c r="IZW82" s="1"/>
      <c r="IZX82" s="1"/>
      <c r="IZY82" s="1"/>
      <c r="IZZ82" s="1"/>
      <c r="JAA82" s="1"/>
      <c r="JAB82" s="1"/>
      <c r="JAC82" s="1"/>
      <c r="JAD82" s="1"/>
      <c r="JAE82" s="1"/>
      <c r="JAF82" s="1"/>
      <c r="JAG82" s="1"/>
      <c r="JAH82" s="1"/>
      <c r="JAI82" s="1"/>
      <c r="JAJ82" s="1"/>
      <c r="JAK82" s="1"/>
      <c r="JAL82" s="1"/>
      <c r="JAM82" s="1"/>
      <c r="JAN82" s="1"/>
      <c r="JAO82" s="1"/>
      <c r="JAP82" s="1"/>
      <c r="JAQ82" s="1"/>
      <c r="JAR82" s="1"/>
      <c r="JAS82" s="1"/>
      <c r="JAT82" s="1"/>
      <c r="JAU82" s="1"/>
      <c r="JAV82" s="1"/>
      <c r="JAW82" s="1"/>
      <c r="JAX82" s="1"/>
      <c r="JAY82" s="1"/>
      <c r="JAZ82" s="1"/>
      <c r="JBA82" s="1"/>
      <c r="JBB82" s="1"/>
      <c r="JBC82" s="1"/>
      <c r="JBD82" s="1"/>
      <c r="JBE82" s="1"/>
      <c r="JBF82" s="1"/>
      <c r="JBG82" s="1"/>
      <c r="JBH82" s="1"/>
      <c r="JBI82" s="1"/>
      <c r="JBJ82" s="1"/>
      <c r="JBK82" s="1"/>
      <c r="JBL82" s="1"/>
      <c r="JBM82" s="1"/>
      <c r="JBN82" s="1"/>
      <c r="JBO82" s="1"/>
      <c r="JBP82" s="1"/>
      <c r="JBQ82" s="1"/>
      <c r="JBR82" s="1"/>
      <c r="JBS82" s="1"/>
      <c r="JBT82" s="1"/>
      <c r="JBU82" s="1"/>
      <c r="JBV82" s="1"/>
      <c r="JBW82" s="1"/>
      <c r="JBX82" s="1"/>
      <c r="JBY82" s="1"/>
      <c r="JBZ82" s="1"/>
      <c r="JCA82" s="1"/>
      <c r="JCB82" s="1"/>
      <c r="JCC82" s="1"/>
      <c r="JCD82" s="1"/>
      <c r="JCE82" s="1"/>
      <c r="JCF82" s="1"/>
      <c r="JCG82" s="1"/>
      <c r="JCH82" s="1"/>
      <c r="JCI82" s="1"/>
      <c r="JCJ82" s="1"/>
      <c r="JCK82" s="1"/>
      <c r="JCL82" s="1"/>
      <c r="JCM82" s="1"/>
      <c r="JCN82" s="1"/>
      <c r="JCO82" s="1"/>
      <c r="JCP82" s="1"/>
      <c r="JCQ82" s="1"/>
      <c r="JCR82" s="1"/>
      <c r="JCS82" s="1"/>
      <c r="JCT82" s="1"/>
      <c r="JCU82" s="1"/>
      <c r="JCV82" s="1"/>
      <c r="JCW82" s="1"/>
      <c r="JCX82" s="1"/>
      <c r="JCY82" s="1"/>
      <c r="JCZ82" s="1"/>
      <c r="JDA82" s="1"/>
      <c r="JDB82" s="1"/>
      <c r="JDC82" s="1"/>
      <c r="JDD82" s="1"/>
      <c r="JDE82" s="1"/>
      <c r="JDF82" s="1"/>
      <c r="JDG82" s="1"/>
      <c r="JDH82" s="1"/>
      <c r="JDI82" s="1"/>
      <c r="JDJ82" s="1"/>
      <c r="JDK82" s="1"/>
      <c r="JDL82" s="1"/>
      <c r="JDM82" s="1"/>
      <c r="JDN82" s="1"/>
      <c r="JDO82" s="1"/>
      <c r="JDP82" s="1"/>
      <c r="JDQ82" s="1"/>
      <c r="JDR82" s="1"/>
      <c r="JDS82" s="1"/>
      <c r="JDT82" s="1"/>
      <c r="JDU82" s="1"/>
      <c r="JDV82" s="1"/>
      <c r="JDW82" s="1"/>
      <c r="JDX82" s="1"/>
      <c r="JDY82" s="1"/>
      <c r="JDZ82" s="1"/>
      <c r="JEA82" s="1"/>
      <c r="JEB82" s="1"/>
      <c r="JEC82" s="1"/>
      <c r="JED82" s="1"/>
      <c r="JEE82" s="1"/>
      <c r="JEF82" s="1"/>
      <c r="JEG82" s="1"/>
      <c r="JEH82" s="1"/>
      <c r="JEI82" s="1"/>
      <c r="JEJ82" s="1"/>
      <c r="JEK82" s="1"/>
      <c r="JEL82" s="1"/>
      <c r="JEM82" s="1"/>
      <c r="JEN82" s="1"/>
      <c r="JEO82" s="1"/>
      <c r="JEP82" s="1"/>
      <c r="JEQ82" s="1"/>
      <c r="JER82" s="1"/>
      <c r="JES82" s="1"/>
      <c r="JET82" s="1"/>
      <c r="JEU82" s="1"/>
      <c r="JEV82" s="1"/>
      <c r="JEW82" s="1"/>
      <c r="JEX82" s="1"/>
      <c r="JEY82" s="1"/>
      <c r="JEZ82" s="1"/>
      <c r="JFA82" s="1"/>
      <c r="JFB82" s="1"/>
      <c r="JFC82" s="1"/>
      <c r="JFD82" s="1"/>
      <c r="JFE82" s="1"/>
      <c r="JFF82" s="1"/>
      <c r="JFG82" s="1"/>
      <c r="JFH82" s="1"/>
      <c r="JFI82" s="1"/>
      <c r="JFJ82" s="1"/>
      <c r="JFK82" s="1"/>
      <c r="JFL82" s="1"/>
      <c r="JFM82" s="1"/>
      <c r="JFN82" s="1"/>
      <c r="JFO82" s="1"/>
      <c r="JFP82" s="1"/>
      <c r="JFQ82" s="1"/>
      <c r="JFR82" s="1"/>
      <c r="JFS82" s="1"/>
      <c r="JFT82" s="1"/>
      <c r="JFU82" s="1"/>
      <c r="JFV82" s="1"/>
      <c r="JFW82" s="1"/>
      <c r="JFX82" s="1"/>
      <c r="JFY82" s="1"/>
      <c r="JFZ82" s="1"/>
      <c r="JGA82" s="1"/>
      <c r="JGB82" s="1"/>
      <c r="JGC82" s="1"/>
      <c r="JGD82" s="1"/>
      <c r="JGE82" s="1"/>
      <c r="JGF82" s="1"/>
      <c r="JGG82" s="1"/>
      <c r="JGH82" s="1"/>
      <c r="JGI82" s="1"/>
      <c r="JGJ82" s="1"/>
      <c r="JGK82" s="1"/>
      <c r="JGL82" s="1"/>
      <c r="JGM82" s="1"/>
      <c r="JGN82" s="1"/>
      <c r="JGO82" s="1"/>
      <c r="JGP82" s="1"/>
      <c r="JGQ82" s="1"/>
      <c r="JGR82" s="1"/>
      <c r="JGS82" s="1"/>
      <c r="JGT82" s="1"/>
      <c r="JGU82" s="1"/>
      <c r="JGV82" s="1"/>
      <c r="JGW82" s="1"/>
      <c r="JGX82" s="1"/>
      <c r="JGY82" s="1"/>
      <c r="JGZ82" s="1"/>
      <c r="JHA82" s="1"/>
      <c r="JHB82" s="1"/>
      <c r="JHC82" s="1"/>
      <c r="JHD82" s="1"/>
      <c r="JHE82" s="1"/>
      <c r="JHF82" s="1"/>
      <c r="JHG82" s="1"/>
      <c r="JHH82" s="1"/>
      <c r="JHI82" s="1"/>
      <c r="JHJ82" s="1"/>
      <c r="JHK82" s="1"/>
      <c r="JHL82" s="1"/>
      <c r="JHM82" s="1"/>
      <c r="JHN82" s="1"/>
      <c r="JHO82" s="1"/>
      <c r="JHP82" s="1"/>
      <c r="JHQ82" s="1"/>
      <c r="JHR82" s="1"/>
      <c r="JHS82" s="1"/>
      <c r="JHT82" s="1"/>
      <c r="JHU82" s="1"/>
      <c r="JHV82" s="1"/>
      <c r="JHW82" s="1"/>
      <c r="JHX82" s="1"/>
      <c r="JHY82" s="1"/>
      <c r="JHZ82" s="1"/>
      <c r="JIA82" s="1"/>
      <c r="JIB82" s="1"/>
      <c r="JIC82" s="1"/>
      <c r="JID82" s="1"/>
      <c r="JIE82" s="1"/>
      <c r="JIF82" s="1"/>
      <c r="JIG82" s="1"/>
      <c r="JIH82" s="1"/>
      <c r="JII82" s="1"/>
      <c r="JIJ82" s="1"/>
      <c r="JIK82" s="1"/>
      <c r="JIL82" s="1"/>
      <c r="JIM82" s="1"/>
      <c r="JIN82" s="1"/>
      <c r="JIO82" s="1"/>
      <c r="JIP82" s="1"/>
      <c r="JIQ82" s="1"/>
      <c r="JIR82" s="1"/>
      <c r="JIS82" s="1"/>
      <c r="JIT82" s="1"/>
      <c r="JIU82" s="1"/>
      <c r="JIV82" s="1"/>
      <c r="JIW82" s="1"/>
      <c r="JIX82" s="1"/>
      <c r="JIY82" s="1"/>
      <c r="JIZ82" s="1"/>
      <c r="JJA82" s="1"/>
      <c r="JJB82" s="1"/>
      <c r="JJC82" s="1"/>
      <c r="JJD82" s="1"/>
      <c r="JJE82" s="1"/>
      <c r="JJF82" s="1"/>
      <c r="JJG82" s="1"/>
      <c r="JJH82" s="1"/>
      <c r="JJI82" s="1"/>
      <c r="JJJ82" s="1"/>
      <c r="JJK82" s="1"/>
      <c r="JJL82" s="1"/>
      <c r="JJM82" s="1"/>
      <c r="JJN82" s="1"/>
      <c r="JJO82" s="1"/>
      <c r="JJP82" s="1"/>
      <c r="JJQ82" s="1"/>
      <c r="JJR82" s="1"/>
      <c r="JJS82" s="1"/>
      <c r="JJT82" s="1"/>
      <c r="JJU82" s="1"/>
      <c r="JJV82" s="1"/>
      <c r="JJW82" s="1"/>
      <c r="JJX82" s="1"/>
      <c r="JJY82" s="1"/>
      <c r="JJZ82" s="1"/>
      <c r="JKA82" s="1"/>
      <c r="JKB82" s="1"/>
      <c r="JKC82" s="1"/>
      <c r="JKD82" s="1"/>
      <c r="JKE82" s="1"/>
      <c r="JKF82" s="1"/>
      <c r="JKG82" s="1"/>
      <c r="JKH82" s="1"/>
      <c r="JKI82" s="1"/>
      <c r="JKJ82" s="1"/>
      <c r="JKK82" s="1"/>
      <c r="JKL82" s="1"/>
      <c r="JKM82" s="1"/>
      <c r="JKN82" s="1"/>
      <c r="JKO82" s="1"/>
      <c r="JKP82" s="1"/>
      <c r="JKQ82" s="1"/>
      <c r="JKR82" s="1"/>
      <c r="JKS82" s="1"/>
      <c r="JKT82" s="1"/>
      <c r="JKU82" s="1"/>
      <c r="JKV82" s="1"/>
      <c r="JKW82" s="1"/>
      <c r="JKX82" s="1"/>
      <c r="JKY82" s="1"/>
      <c r="JKZ82" s="1"/>
      <c r="JLA82" s="1"/>
      <c r="JLB82" s="1"/>
      <c r="JLC82" s="1"/>
      <c r="JLD82" s="1"/>
      <c r="JLE82" s="1"/>
      <c r="JLF82" s="1"/>
      <c r="JLG82" s="1"/>
      <c r="JLH82" s="1"/>
      <c r="JLI82" s="1"/>
      <c r="JLJ82" s="1"/>
      <c r="JLK82" s="1"/>
      <c r="JLL82" s="1"/>
      <c r="JLM82" s="1"/>
      <c r="JLN82" s="1"/>
      <c r="JLO82" s="1"/>
      <c r="JLP82" s="1"/>
      <c r="JLQ82" s="1"/>
      <c r="JLR82" s="1"/>
      <c r="JLS82" s="1"/>
      <c r="JLT82" s="1"/>
      <c r="JLU82" s="1"/>
      <c r="JLV82" s="1"/>
      <c r="JLW82" s="1"/>
      <c r="JLX82" s="1"/>
      <c r="JLY82" s="1"/>
      <c r="JLZ82" s="1"/>
      <c r="JMA82" s="1"/>
      <c r="JMB82" s="1"/>
      <c r="JMC82" s="1"/>
      <c r="JMD82" s="1"/>
      <c r="JME82" s="1"/>
      <c r="JMF82" s="1"/>
      <c r="JMG82" s="1"/>
      <c r="JMH82" s="1"/>
      <c r="JMI82" s="1"/>
      <c r="JMJ82" s="1"/>
      <c r="JMK82" s="1"/>
      <c r="JML82" s="1"/>
      <c r="JMM82" s="1"/>
      <c r="JMN82" s="1"/>
      <c r="JMO82" s="1"/>
      <c r="JMP82" s="1"/>
      <c r="JMQ82" s="1"/>
      <c r="JMR82" s="1"/>
      <c r="JMS82" s="1"/>
      <c r="JMT82" s="1"/>
      <c r="JMU82" s="1"/>
      <c r="JMV82" s="1"/>
      <c r="JMW82" s="1"/>
      <c r="JMX82" s="1"/>
      <c r="JMY82" s="1"/>
      <c r="JMZ82" s="1"/>
      <c r="JNA82" s="1"/>
      <c r="JNB82" s="1"/>
      <c r="JNC82" s="1"/>
      <c r="JND82" s="1"/>
      <c r="JNE82" s="1"/>
      <c r="JNF82" s="1"/>
      <c r="JNG82" s="1"/>
      <c r="JNH82" s="1"/>
      <c r="JNI82" s="1"/>
      <c r="JNJ82" s="1"/>
      <c r="JNK82" s="1"/>
      <c r="JNL82" s="1"/>
      <c r="JNM82" s="1"/>
      <c r="JNN82" s="1"/>
      <c r="JNO82" s="1"/>
      <c r="JNP82" s="1"/>
      <c r="JNQ82" s="1"/>
      <c r="JNR82" s="1"/>
      <c r="JNS82" s="1"/>
      <c r="JNT82" s="1"/>
      <c r="JNU82" s="1"/>
      <c r="JNV82" s="1"/>
      <c r="JNW82" s="1"/>
      <c r="JNX82" s="1"/>
      <c r="JNY82" s="1"/>
      <c r="JNZ82" s="1"/>
      <c r="JOA82" s="1"/>
      <c r="JOB82" s="1"/>
      <c r="JOC82" s="1"/>
      <c r="JOD82" s="1"/>
      <c r="JOE82" s="1"/>
      <c r="JOF82" s="1"/>
      <c r="JOG82" s="1"/>
      <c r="JOH82" s="1"/>
      <c r="JOI82" s="1"/>
      <c r="JOJ82" s="1"/>
      <c r="JOK82" s="1"/>
      <c r="JOL82" s="1"/>
      <c r="JOM82" s="1"/>
      <c r="JON82" s="1"/>
      <c r="JOO82" s="1"/>
      <c r="JOP82" s="1"/>
      <c r="JOQ82" s="1"/>
      <c r="JOR82" s="1"/>
      <c r="JOS82" s="1"/>
      <c r="JOT82" s="1"/>
      <c r="JOU82" s="1"/>
      <c r="JOV82" s="1"/>
      <c r="JOW82" s="1"/>
      <c r="JOX82" s="1"/>
      <c r="JOY82" s="1"/>
      <c r="JOZ82" s="1"/>
      <c r="JPA82" s="1"/>
      <c r="JPB82" s="1"/>
      <c r="JPC82" s="1"/>
      <c r="JPD82" s="1"/>
      <c r="JPE82" s="1"/>
      <c r="JPF82" s="1"/>
      <c r="JPG82" s="1"/>
      <c r="JPH82" s="1"/>
      <c r="JPI82" s="1"/>
      <c r="JPJ82" s="1"/>
      <c r="JPK82" s="1"/>
      <c r="JPL82" s="1"/>
      <c r="JPM82" s="1"/>
      <c r="JPN82" s="1"/>
      <c r="JPO82" s="1"/>
      <c r="JPP82" s="1"/>
      <c r="JPQ82" s="1"/>
      <c r="JPR82" s="1"/>
      <c r="JPS82" s="1"/>
      <c r="JPT82" s="1"/>
      <c r="JPU82" s="1"/>
      <c r="JPV82" s="1"/>
      <c r="JPW82" s="1"/>
      <c r="JPX82" s="1"/>
      <c r="JPY82" s="1"/>
      <c r="JPZ82" s="1"/>
      <c r="JQA82" s="1"/>
      <c r="JQB82" s="1"/>
      <c r="JQC82" s="1"/>
      <c r="JQD82" s="1"/>
      <c r="JQE82" s="1"/>
      <c r="JQF82" s="1"/>
      <c r="JQG82" s="1"/>
      <c r="JQH82" s="1"/>
      <c r="JQI82" s="1"/>
      <c r="JQJ82" s="1"/>
      <c r="JQK82" s="1"/>
      <c r="JQL82" s="1"/>
      <c r="JQM82" s="1"/>
      <c r="JQN82" s="1"/>
      <c r="JQO82" s="1"/>
      <c r="JQP82" s="1"/>
      <c r="JQQ82" s="1"/>
      <c r="JQR82" s="1"/>
      <c r="JQS82" s="1"/>
      <c r="JQT82" s="1"/>
      <c r="JQU82" s="1"/>
      <c r="JQV82" s="1"/>
      <c r="JQW82" s="1"/>
      <c r="JQX82" s="1"/>
      <c r="JQY82" s="1"/>
      <c r="JQZ82" s="1"/>
      <c r="JRA82" s="1"/>
      <c r="JRB82" s="1"/>
      <c r="JRC82" s="1"/>
      <c r="JRD82" s="1"/>
      <c r="JRE82" s="1"/>
      <c r="JRF82" s="1"/>
      <c r="JRG82" s="1"/>
      <c r="JRH82" s="1"/>
      <c r="JRI82" s="1"/>
      <c r="JRJ82" s="1"/>
      <c r="JRK82" s="1"/>
      <c r="JRL82" s="1"/>
      <c r="JRM82" s="1"/>
      <c r="JRN82" s="1"/>
      <c r="JRO82" s="1"/>
      <c r="JRP82" s="1"/>
      <c r="JRQ82" s="1"/>
      <c r="JRR82" s="1"/>
      <c r="JRS82" s="1"/>
      <c r="JRT82" s="1"/>
      <c r="JRU82" s="1"/>
      <c r="JRV82" s="1"/>
      <c r="JRW82" s="1"/>
      <c r="JRX82" s="1"/>
      <c r="JRY82" s="1"/>
      <c r="JRZ82" s="1"/>
      <c r="JSA82" s="1"/>
      <c r="JSB82" s="1"/>
      <c r="JSC82" s="1"/>
      <c r="JSD82" s="1"/>
      <c r="JSE82" s="1"/>
      <c r="JSF82" s="1"/>
      <c r="JSG82" s="1"/>
      <c r="JSH82" s="1"/>
      <c r="JSI82" s="1"/>
      <c r="JSJ82" s="1"/>
      <c r="JSK82" s="1"/>
      <c r="JSL82" s="1"/>
      <c r="JSM82" s="1"/>
      <c r="JSN82" s="1"/>
      <c r="JSO82" s="1"/>
      <c r="JSP82" s="1"/>
      <c r="JSQ82" s="1"/>
      <c r="JSR82" s="1"/>
      <c r="JSS82" s="1"/>
      <c r="JST82" s="1"/>
      <c r="JSU82" s="1"/>
      <c r="JSV82" s="1"/>
      <c r="JSW82" s="1"/>
      <c r="JSX82" s="1"/>
      <c r="JSY82" s="1"/>
      <c r="JSZ82" s="1"/>
      <c r="JTA82" s="1"/>
      <c r="JTB82" s="1"/>
      <c r="JTC82" s="1"/>
      <c r="JTD82" s="1"/>
      <c r="JTE82" s="1"/>
      <c r="JTF82" s="1"/>
      <c r="JTG82" s="1"/>
      <c r="JTH82" s="1"/>
      <c r="JTI82" s="1"/>
      <c r="JTJ82" s="1"/>
      <c r="JTK82" s="1"/>
      <c r="JTL82" s="1"/>
      <c r="JTM82" s="1"/>
      <c r="JTN82" s="1"/>
      <c r="JTO82" s="1"/>
      <c r="JTP82" s="1"/>
      <c r="JTQ82" s="1"/>
      <c r="JTR82" s="1"/>
      <c r="JTS82" s="1"/>
      <c r="JTT82" s="1"/>
      <c r="JTU82" s="1"/>
      <c r="JTV82" s="1"/>
      <c r="JTW82" s="1"/>
      <c r="JTX82" s="1"/>
      <c r="JTY82" s="1"/>
      <c r="JTZ82" s="1"/>
      <c r="JUA82" s="1"/>
      <c r="JUB82" s="1"/>
      <c r="JUC82" s="1"/>
      <c r="JUD82" s="1"/>
      <c r="JUE82" s="1"/>
      <c r="JUF82" s="1"/>
      <c r="JUG82" s="1"/>
      <c r="JUH82" s="1"/>
      <c r="JUI82" s="1"/>
      <c r="JUJ82" s="1"/>
      <c r="JUK82" s="1"/>
      <c r="JUL82" s="1"/>
      <c r="JUM82" s="1"/>
      <c r="JUN82" s="1"/>
      <c r="JUO82" s="1"/>
      <c r="JUP82" s="1"/>
      <c r="JUQ82" s="1"/>
      <c r="JUR82" s="1"/>
      <c r="JUS82" s="1"/>
      <c r="JUT82" s="1"/>
      <c r="JUU82" s="1"/>
      <c r="JUV82" s="1"/>
      <c r="JUW82" s="1"/>
      <c r="JUX82" s="1"/>
      <c r="JUY82" s="1"/>
      <c r="JUZ82" s="1"/>
      <c r="JVA82" s="1"/>
      <c r="JVB82" s="1"/>
      <c r="JVC82" s="1"/>
      <c r="JVD82" s="1"/>
      <c r="JVE82" s="1"/>
      <c r="JVF82" s="1"/>
      <c r="JVG82" s="1"/>
      <c r="JVH82" s="1"/>
      <c r="JVI82" s="1"/>
      <c r="JVJ82" s="1"/>
      <c r="JVK82" s="1"/>
      <c r="JVL82" s="1"/>
      <c r="JVM82" s="1"/>
      <c r="JVN82" s="1"/>
      <c r="JVO82" s="1"/>
      <c r="JVP82" s="1"/>
      <c r="JVQ82" s="1"/>
      <c r="JVR82" s="1"/>
      <c r="JVS82" s="1"/>
      <c r="JVT82" s="1"/>
      <c r="JVU82" s="1"/>
      <c r="JVV82" s="1"/>
      <c r="JVW82" s="1"/>
      <c r="JVX82" s="1"/>
      <c r="JVY82" s="1"/>
      <c r="JVZ82" s="1"/>
      <c r="JWA82" s="1"/>
      <c r="JWB82" s="1"/>
      <c r="JWC82" s="1"/>
      <c r="JWD82" s="1"/>
      <c r="JWE82" s="1"/>
      <c r="JWF82" s="1"/>
      <c r="JWG82" s="1"/>
      <c r="JWH82" s="1"/>
      <c r="JWI82" s="1"/>
      <c r="JWJ82" s="1"/>
      <c r="JWK82" s="1"/>
      <c r="JWL82" s="1"/>
      <c r="JWM82" s="1"/>
      <c r="JWN82" s="1"/>
      <c r="JWO82" s="1"/>
      <c r="JWP82" s="1"/>
      <c r="JWQ82" s="1"/>
      <c r="JWR82" s="1"/>
      <c r="JWS82" s="1"/>
      <c r="JWT82" s="1"/>
      <c r="JWU82" s="1"/>
      <c r="JWV82" s="1"/>
      <c r="JWW82" s="1"/>
      <c r="JWX82" s="1"/>
      <c r="JWY82" s="1"/>
      <c r="JWZ82" s="1"/>
      <c r="JXA82" s="1"/>
      <c r="JXB82" s="1"/>
      <c r="JXC82" s="1"/>
      <c r="JXD82" s="1"/>
      <c r="JXE82" s="1"/>
      <c r="JXF82" s="1"/>
      <c r="JXG82" s="1"/>
      <c r="JXH82" s="1"/>
      <c r="JXI82" s="1"/>
      <c r="JXJ82" s="1"/>
      <c r="JXK82" s="1"/>
      <c r="JXL82" s="1"/>
      <c r="JXM82" s="1"/>
      <c r="JXN82" s="1"/>
      <c r="JXO82" s="1"/>
      <c r="JXP82" s="1"/>
      <c r="JXQ82" s="1"/>
      <c r="JXR82" s="1"/>
      <c r="JXS82" s="1"/>
      <c r="JXT82" s="1"/>
      <c r="JXU82" s="1"/>
      <c r="JXV82" s="1"/>
      <c r="JXW82" s="1"/>
      <c r="JXX82" s="1"/>
      <c r="JXY82" s="1"/>
      <c r="JXZ82" s="1"/>
      <c r="JYA82" s="1"/>
      <c r="JYB82" s="1"/>
      <c r="JYC82" s="1"/>
      <c r="JYD82" s="1"/>
      <c r="JYE82" s="1"/>
      <c r="JYF82" s="1"/>
      <c r="JYG82" s="1"/>
      <c r="JYH82" s="1"/>
      <c r="JYI82" s="1"/>
      <c r="JYJ82" s="1"/>
      <c r="JYK82" s="1"/>
      <c r="JYL82" s="1"/>
      <c r="JYM82" s="1"/>
      <c r="JYN82" s="1"/>
      <c r="JYO82" s="1"/>
      <c r="JYP82" s="1"/>
      <c r="JYQ82" s="1"/>
      <c r="JYR82" s="1"/>
      <c r="JYS82" s="1"/>
      <c r="JYT82" s="1"/>
      <c r="JYU82" s="1"/>
      <c r="JYV82" s="1"/>
      <c r="JYW82" s="1"/>
      <c r="JYX82" s="1"/>
      <c r="JYY82" s="1"/>
      <c r="JYZ82" s="1"/>
      <c r="JZA82" s="1"/>
      <c r="JZB82" s="1"/>
      <c r="JZC82" s="1"/>
      <c r="JZD82" s="1"/>
      <c r="JZE82" s="1"/>
      <c r="JZF82" s="1"/>
      <c r="JZG82" s="1"/>
      <c r="JZH82" s="1"/>
      <c r="JZI82" s="1"/>
      <c r="JZJ82" s="1"/>
      <c r="JZK82" s="1"/>
      <c r="JZL82" s="1"/>
      <c r="JZM82" s="1"/>
      <c r="JZN82" s="1"/>
      <c r="JZO82" s="1"/>
      <c r="JZP82" s="1"/>
      <c r="JZQ82" s="1"/>
      <c r="JZR82" s="1"/>
      <c r="JZS82" s="1"/>
      <c r="JZT82" s="1"/>
      <c r="JZU82" s="1"/>
      <c r="JZV82" s="1"/>
      <c r="JZW82" s="1"/>
      <c r="JZX82" s="1"/>
      <c r="JZY82" s="1"/>
      <c r="JZZ82" s="1"/>
      <c r="KAA82" s="1"/>
      <c r="KAB82" s="1"/>
      <c r="KAC82" s="1"/>
      <c r="KAD82" s="1"/>
      <c r="KAE82" s="1"/>
      <c r="KAF82" s="1"/>
      <c r="KAG82" s="1"/>
      <c r="KAH82" s="1"/>
      <c r="KAI82" s="1"/>
      <c r="KAJ82" s="1"/>
      <c r="KAK82" s="1"/>
      <c r="KAL82" s="1"/>
      <c r="KAM82" s="1"/>
      <c r="KAN82" s="1"/>
      <c r="KAO82" s="1"/>
      <c r="KAP82" s="1"/>
      <c r="KAQ82" s="1"/>
      <c r="KAR82" s="1"/>
      <c r="KAS82" s="1"/>
      <c r="KAT82" s="1"/>
      <c r="KAU82" s="1"/>
      <c r="KAV82" s="1"/>
      <c r="KAW82" s="1"/>
      <c r="KAX82" s="1"/>
      <c r="KAY82" s="1"/>
      <c r="KAZ82" s="1"/>
      <c r="KBA82" s="1"/>
      <c r="KBB82" s="1"/>
      <c r="KBC82" s="1"/>
      <c r="KBD82" s="1"/>
      <c r="KBE82" s="1"/>
      <c r="KBF82" s="1"/>
      <c r="KBG82" s="1"/>
      <c r="KBH82" s="1"/>
      <c r="KBI82" s="1"/>
      <c r="KBJ82" s="1"/>
      <c r="KBK82" s="1"/>
      <c r="KBL82" s="1"/>
      <c r="KBM82" s="1"/>
      <c r="KBN82" s="1"/>
      <c r="KBO82" s="1"/>
      <c r="KBP82" s="1"/>
      <c r="KBQ82" s="1"/>
      <c r="KBR82" s="1"/>
      <c r="KBS82" s="1"/>
      <c r="KBT82" s="1"/>
      <c r="KBU82" s="1"/>
      <c r="KBV82" s="1"/>
      <c r="KBW82" s="1"/>
      <c r="KBX82" s="1"/>
      <c r="KBY82" s="1"/>
      <c r="KBZ82" s="1"/>
      <c r="KCA82" s="1"/>
      <c r="KCB82" s="1"/>
      <c r="KCC82" s="1"/>
      <c r="KCD82" s="1"/>
      <c r="KCE82" s="1"/>
      <c r="KCF82" s="1"/>
      <c r="KCG82" s="1"/>
      <c r="KCH82" s="1"/>
      <c r="KCI82" s="1"/>
      <c r="KCJ82" s="1"/>
      <c r="KCK82" s="1"/>
      <c r="KCL82" s="1"/>
      <c r="KCM82" s="1"/>
      <c r="KCN82" s="1"/>
      <c r="KCO82" s="1"/>
      <c r="KCP82" s="1"/>
      <c r="KCQ82" s="1"/>
      <c r="KCR82" s="1"/>
      <c r="KCS82" s="1"/>
      <c r="KCT82" s="1"/>
      <c r="KCU82" s="1"/>
      <c r="KCV82" s="1"/>
      <c r="KCW82" s="1"/>
      <c r="KCX82" s="1"/>
      <c r="KCY82" s="1"/>
      <c r="KCZ82" s="1"/>
      <c r="KDA82" s="1"/>
      <c r="KDB82" s="1"/>
      <c r="KDC82" s="1"/>
      <c r="KDD82" s="1"/>
      <c r="KDE82" s="1"/>
      <c r="KDF82" s="1"/>
      <c r="KDG82" s="1"/>
      <c r="KDH82" s="1"/>
      <c r="KDI82" s="1"/>
      <c r="KDJ82" s="1"/>
      <c r="KDK82" s="1"/>
      <c r="KDL82" s="1"/>
      <c r="KDM82" s="1"/>
      <c r="KDN82" s="1"/>
      <c r="KDO82" s="1"/>
      <c r="KDP82" s="1"/>
      <c r="KDQ82" s="1"/>
      <c r="KDR82" s="1"/>
      <c r="KDS82" s="1"/>
      <c r="KDT82" s="1"/>
      <c r="KDU82" s="1"/>
      <c r="KDV82" s="1"/>
      <c r="KDW82" s="1"/>
      <c r="KDX82" s="1"/>
      <c r="KDY82" s="1"/>
      <c r="KDZ82" s="1"/>
      <c r="KEA82" s="1"/>
      <c r="KEB82" s="1"/>
      <c r="KEC82" s="1"/>
      <c r="KED82" s="1"/>
      <c r="KEE82" s="1"/>
      <c r="KEF82" s="1"/>
      <c r="KEG82" s="1"/>
      <c r="KEH82" s="1"/>
      <c r="KEI82" s="1"/>
      <c r="KEJ82" s="1"/>
      <c r="KEK82" s="1"/>
      <c r="KEL82" s="1"/>
      <c r="KEM82" s="1"/>
      <c r="KEN82" s="1"/>
      <c r="KEO82" s="1"/>
      <c r="KEP82" s="1"/>
      <c r="KEQ82" s="1"/>
      <c r="KER82" s="1"/>
      <c r="KES82" s="1"/>
      <c r="KET82" s="1"/>
      <c r="KEU82" s="1"/>
      <c r="KEV82" s="1"/>
      <c r="KEW82" s="1"/>
      <c r="KEX82" s="1"/>
      <c r="KEY82" s="1"/>
      <c r="KEZ82" s="1"/>
      <c r="KFA82" s="1"/>
      <c r="KFB82" s="1"/>
      <c r="KFC82" s="1"/>
      <c r="KFD82" s="1"/>
      <c r="KFE82" s="1"/>
      <c r="KFF82" s="1"/>
      <c r="KFG82" s="1"/>
      <c r="KFH82" s="1"/>
      <c r="KFI82" s="1"/>
      <c r="KFJ82" s="1"/>
      <c r="KFK82" s="1"/>
      <c r="KFL82" s="1"/>
      <c r="KFM82" s="1"/>
      <c r="KFN82" s="1"/>
      <c r="KFO82" s="1"/>
      <c r="KFP82" s="1"/>
      <c r="KFQ82" s="1"/>
      <c r="KFR82" s="1"/>
      <c r="KFS82" s="1"/>
      <c r="KFT82" s="1"/>
      <c r="KFU82" s="1"/>
      <c r="KFV82" s="1"/>
      <c r="KFW82" s="1"/>
      <c r="KFX82" s="1"/>
      <c r="KFY82" s="1"/>
      <c r="KFZ82" s="1"/>
      <c r="KGA82" s="1"/>
      <c r="KGB82" s="1"/>
      <c r="KGC82" s="1"/>
      <c r="KGD82" s="1"/>
      <c r="KGE82" s="1"/>
      <c r="KGF82" s="1"/>
      <c r="KGG82" s="1"/>
      <c r="KGH82" s="1"/>
      <c r="KGI82" s="1"/>
      <c r="KGJ82" s="1"/>
      <c r="KGK82" s="1"/>
      <c r="KGL82" s="1"/>
      <c r="KGM82" s="1"/>
      <c r="KGN82" s="1"/>
      <c r="KGO82" s="1"/>
      <c r="KGP82" s="1"/>
      <c r="KGQ82" s="1"/>
      <c r="KGR82" s="1"/>
      <c r="KGS82" s="1"/>
      <c r="KGT82" s="1"/>
      <c r="KGU82" s="1"/>
      <c r="KGV82" s="1"/>
      <c r="KGW82" s="1"/>
      <c r="KGX82" s="1"/>
      <c r="KGY82" s="1"/>
      <c r="KGZ82" s="1"/>
      <c r="KHA82" s="1"/>
      <c r="KHB82" s="1"/>
      <c r="KHC82" s="1"/>
      <c r="KHD82" s="1"/>
      <c r="KHE82" s="1"/>
      <c r="KHF82" s="1"/>
      <c r="KHG82" s="1"/>
      <c r="KHH82" s="1"/>
      <c r="KHI82" s="1"/>
      <c r="KHJ82" s="1"/>
      <c r="KHK82" s="1"/>
      <c r="KHL82" s="1"/>
      <c r="KHM82" s="1"/>
      <c r="KHN82" s="1"/>
      <c r="KHO82" s="1"/>
      <c r="KHP82" s="1"/>
      <c r="KHQ82" s="1"/>
      <c r="KHR82" s="1"/>
      <c r="KHS82" s="1"/>
      <c r="KHT82" s="1"/>
      <c r="KHU82" s="1"/>
      <c r="KHV82" s="1"/>
      <c r="KHW82" s="1"/>
      <c r="KHX82" s="1"/>
      <c r="KHY82" s="1"/>
      <c r="KHZ82" s="1"/>
      <c r="KIA82" s="1"/>
      <c r="KIB82" s="1"/>
      <c r="KIC82" s="1"/>
      <c r="KID82" s="1"/>
      <c r="KIE82" s="1"/>
      <c r="KIF82" s="1"/>
      <c r="KIG82" s="1"/>
      <c r="KIH82" s="1"/>
      <c r="KII82" s="1"/>
      <c r="KIJ82" s="1"/>
      <c r="KIK82" s="1"/>
      <c r="KIL82" s="1"/>
      <c r="KIM82" s="1"/>
      <c r="KIN82" s="1"/>
      <c r="KIO82" s="1"/>
      <c r="KIP82" s="1"/>
      <c r="KIQ82" s="1"/>
      <c r="KIR82" s="1"/>
      <c r="KIS82" s="1"/>
      <c r="KIT82" s="1"/>
      <c r="KIU82" s="1"/>
      <c r="KIV82" s="1"/>
      <c r="KIW82" s="1"/>
      <c r="KIX82" s="1"/>
      <c r="KIY82" s="1"/>
      <c r="KIZ82" s="1"/>
      <c r="KJA82" s="1"/>
      <c r="KJB82" s="1"/>
      <c r="KJC82" s="1"/>
      <c r="KJD82" s="1"/>
      <c r="KJE82" s="1"/>
      <c r="KJF82" s="1"/>
      <c r="KJG82" s="1"/>
      <c r="KJH82" s="1"/>
      <c r="KJI82" s="1"/>
      <c r="KJJ82" s="1"/>
      <c r="KJK82" s="1"/>
      <c r="KJL82" s="1"/>
      <c r="KJM82" s="1"/>
      <c r="KJN82" s="1"/>
      <c r="KJO82" s="1"/>
      <c r="KJP82" s="1"/>
      <c r="KJQ82" s="1"/>
      <c r="KJR82" s="1"/>
      <c r="KJS82" s="1"/>
      <c r="KJT82" s="1"/>
      <c r="KJU82" s="1"/>
      <c r="KJV82" s="1"/>
      <c r="KJW82" s="1"/>
      <c r="KJX82" s="1"/>
      <c r="KJY82" s="1"/>
      <c r="KJZ82" s="1"/>
      <c r="KKA82" s="1"/>
      <c r="KKB82" s="1"/>
      <c r="KKC82" s="1"/>
      <c r="KKD82" s="1"/>
      <c r="KKE82" s="1"/>
      <c r="KKF82" s="1"/>
      <c r="KKG82" s="1"/>
      <c r="KKH82" s="1"/>
      <c r="KKI82" s="1"/>
      <c r="KKJ82" s="1"/>
      <c r="KKK82" s="1"/>
      <c r="KKL82" s="1"/>
      <c r="KKM82" s="1"/>
      <c r="KKN82" s="1"/>
      <c r="KKO82" s="1"/>
      <c r="KKP82" s="1"/>
      <c r="KKQ82" s="1"/>
      <c r="KKR82" s="1"/>
      <c r="KKS82" s="1"/>
      <c r="KKT82" s="1"/>
      <c r="KKU82" s="1"/>
      <c r="KKV82" s="1"/>
      <c r="KKW82" s="1"/>
      <c r="KKX82" s="1"/>
      <c r="KKY82" s="1"/>
      <c r="KKZ82" s="1"/>
      <c r="KLA82" s="1"/>
      <c r="KLB82" s="1"/>
      <c r="KLC82" s="1"/>
      <c r="KLD82" s="1"/>
      <c r="KLE82" s="1"/>
      <c r="KLF82" s="1"/>
      <c r="KLG82" s="1"/>
      <c r="KLH82" s="1"/>
      <c r="KLI82" s="1"/>
      <c r="KLJ82" s="1"/>
      <c r="KLK82" s="1"/>
      <c r="KLL82" s="1"/>
      <c r="KLM82" s="1"/>
      <c r="KLN82" s="1"/>
      <c r="KLO82" s="1"/>
      <c r="KLP82" s="1"/>
      <c r="KLQ82" s="1"/>
      <c r="KLR82" s="1"/>
      <c r="KLS82" s="1"/>
      <c r="KLT82" s="1"/>
      <c r="KLU82" s="1"/>
      <c r="KLV82" s="1"/>
      <c r="KLW82" s="1"/>
      <c r="KLX82" s="1"/>
      <c r="KLY82" s="1"/>
      <c r="KLZ82" s="1"/>
      <c r="KMA82" s="1"/>
      <c r="KMB82" s="1"/>
      <c r="KMC82" s="1"/>
      <c r="KMD82" s="1"/>
      <c r="KME82" s="1"/>
      <c r="KMF82" s="1"/>
      <c r="KMG82" s="1"/>
      <c r="KMH82" s="1"/>
      <c r="KMI82" s="1"/>
      <c r="KMJ82" s="1"/>
      <c r="KMK82" s="1"/>
      <c r="KML82" s="1"/>
      <c r="KMM82" s="1"/>
      <c r="KMN82" s="1"/>
      <c r="KMO82" s="1"/>
      <c r="KMP82" s="1"/>
      <c r="KMQ82" s="1"/>
      <c r="KMR82" s="1"/>
      <c r="KMS82" s="1"/>
      <c r="KMT82" s="1"/>
      <c r="KMU82" s="1"/>
      <c r="KMV82" s="1"/>
      <c r="KMW82" s="1"/>
      <c r="KMX82" s="1"/>
      <c r="KMY82" s="1"/>
      <c r="KMZ82" s="1"/>
      <c r="KNA82" s="1"/>
      <c r="KNB82" s="1"/>
      <c r="KNC82" s="1"/>
      <c r="KND82" s="1"/>
      <c r="KNE82" s="1"/>
      <c r="KNF82" s="1"/>
      <c r="KNG82" s="1"/>
      <c r="KNH82" s="1"/>
      <c r="KNI82" s="1"/>
      <c r="KNJ82" s="1"/>
      <c r="KNK82" s="1"/>
      <c r="KNL82" s="1"/>
      <c r="KNM82" s="1"/>
      <c r="KNN82" s="1"/>
      <c r="KNO82" s="1"/>
      <c r="KNP82" s="1"/>
      <c r="KNQ82" s="1"/>
      <c r="KNR82" s="1"/>
      <c r="KNS82" s="1"/>
      <c r="KNT82" s="1"/>
      <c r="KNU82" s="1"/>
      <c r="KNV82" s="1"/>
      <c r="KNW82" s="1"/>
      <c r="KNX82" s="1"/>
      <c r="KNY82" s="1"/>
      <c r="KNZ82" s="1"/>
      <c r="KOA82" s="1"/>
      <c r="KOB82" s="1"/>
      <c r="KOC82" s="1"/>
      <c r="KOD82" s="1"/>
      <c r="KOE82" s="1"/>
      <c r="KOF82" s="1"/>
      <c r="KOG82" s="1"/>
      <c r="KOH82" s="1"/>
      <c r="KOI82" s="1"/>
      <c r="KOJ82" s="1"/>
      <c r="KOK82" s="1"/>
      <c r="KOL82" s="1"/>
      <c r="KOM82" s="1"/>
      <c r="KON82" s="1"/>
      <c r="KOO82" s="1"/>
      <c r="KOP82" s="1"/>
      <c r="KOQ82" s="1"/>
      <c r="KOR82" s="1"/>
      <c r="KOS82" s="1"/>
      <c r="KOT82" s="1"/>
      <c r="KOU82" s="1"/>
      <c r="KOV82" s="1"/>
      <c r="KOW82" s="1"/>
      <c r="KOX82" s="1"/>
      <c r="KOY82" s="1"/>
      <c r="KOZ82" s="1"/>
      <c r="KPA82" s="1"/>
      <c r="KPB82" s="1"/>
      <c r="KPC82" s="1"/>
      <c r="KPD82" s="1"/>
      <c r="KPE82" s="1"/>
      <c r="KPF82" s="1"/>
      <c r="KPG82" s="1"/>
      <c r="KPH82" s="1"/>
      <c r="KPI82" s="1"/>
      <c r="KPJ82" s="1"/>
      <c r="KPK82" s="1"/>
      <c r="KPL82" s="1"/>
      <c r="KPM82" s="1"/>
      <c r="KPN82" s="1"/>
      <c r="KPO82" s="1"/>
      <c r="KPP82" s="1"/>
      <c r="KPQ82" s="1"/>
      <c r="KPR82" s="1"/>
      <c r="KPS82" s="1"/>
      <c r="KPT82" s="1"/>
      <c r="KPU82" s="1"/>
      <c r="KPV82" s="1"/>
      <c r="KPW82" s="1"/>
      <c r="KPX82" s="1"/>
      <c r="KPY82" s="1"/>
      <c r="KPZ82" s="1"/>
      <c r="KQA82" s="1"/>
      <c r="KQB82" s="1"/>
      <c r="KQC82" s="1"/>
      <c r="KQD82" s="1"/>
      <c r="KQE82" s="1"/>
      <c r="KQF82" s="1"/>
      <c r="KQG82" s="1"/>
      <c r="KQH82" s="1"/>
      <c r="KQI82" s="1"/>
      <c r="KQJ82" s="1"/>
      <c r="KQK82" s="1"/>
      <c r="KQL82" s="1"/>
      <c r="KQM82" s="1"/>
      <c r="KQN82" s="1"/>
      <c r="KQO82" s="1"/>
      <c r="KQP82" s="1"/>
      <c r="KQQ82" s="1"/>
      <c r="KQR82" s="1"/>
      <c r="KQS82" s="1"/>
      <c r="KQT82" s="1"/>
      <c r="KQU82" s="1"/>
      <c r="KQV82" s="1"/>
      <c r="KQW82" s="1"/>
      <c r="KQX82" s="1"/>
      <c r="KQY82" s="1"/>
      <c r="KQZ82" s="1"/>
      <c r="KRA82" s="1"/>
      <c r="KRB82" s="1"/>
      <c r="KRC82" s="1"/>
      <c r="KRD82" s="1"/>
      <c r="KRE82" s="1"/>
      <c r="KRF82" s="1"/>
      <c r="KRG82" s="1"/>
      <c r="KRH82" s="1"/>
      <c r="KRI82" s="1"/>
      <c r="KRJ82" s="1"/>
      <c r="KRK82" s="1"/>
      <c r="KRL82" s="1"/>
      <c r="KRM82" s="1"/>
      <c r="KRN82" s="1"/>
      <c r="KRO82" s="1"/>
      <c r="KRP82" s="1"/>
      <c r="KRQ82" s="1"/>
      <c r="KRR82" s="1"/>
      <c r="KRS82" s="1"/>
      <c r="KRT82" s="1"/>
      <c r="KRU82" s="1"/>
      <c r="KRV82" s="1"/>
      <c r="KRW82" s="1"/>
      <c r="KRX82" s="1"/>
      <c r="KRY82" s="1"/>
      <c r="KRZ82" s="1"/>
      <c r="KSA82" s="1"/>
      <c r="KSB82" s="1"/>
      <c r="KSC82" s="1"/>
      <c r="KSD82" s="1"/>
      <c r="KSE82" s="1"/>
      <c r="KSF82" s="1"/>
      <c r="KSG82" s="1"/>
      <c r="KSH82" s="1"/>
      <c r="KSI82" s="1"/>
      <c r="KSJ82" s="1"/>
      <c r="KSK82" s="1"/>
      <c r="KSL82" s="1"/>
      <c r="KSM82" s="1"/>
      <c r="KSN82" s="1"/>
      <c r="KSO82" s="1"/>
      <c r="KSP82" s="1"/>
      <c r="KSQ82" s="1"/>
      <c r="KSR82" s="1"/>
      <c r="KSS82" s="1"/>
      <c r="KST82" s="1"/>
      <c r="KSU82" s="1"/>
      <c r="KSV82" s="1"/>
      <c r="KSW82" s="1"/>
      <c r="KSX82" s="1"/>
      <c r="KSY82" s="1"/>
      <c r="KSZ82" s="1"/>
      <c r="KTA82" s="1"/>
      <c r="KTB82" s="1"/>
      <c r="KTC82" s="1"/>
      <c r="KTD82" s="1"/>
      <c r="KTE82" s="1"/>
      <c r="KTF82" s="1"/>
      <c r="KTG82" s="1"/>
      <c r="KTH82" s="1"/>
      <c r="KTI82" s="1"/>
      <c r="KTJ82" s="1"/>
      <c r="KTK82" s="1"/>
      <c r="KTL82" s="1"/>
      <c r="KTM82" s="1"/>
      <c r="KTN82" s="1"/>
      <c r="KTO82" s="1"/>
      <c r="KTP82" s="1"/>
      <c r="KTQ82" s="1"/>
      <c r="KTR82" s="1"/>
      <c r="KTS82" s="1"/>
      <c r="KTT82" s="1"/>
      <c r="KTU82" s="1"/>
      <c r="KTV82" s="1"/>
      <c r="KTW82" s="1"/>
      <c r="KTX82" s="1"/>
      <c r="KTY82" s="1"/>
      <c r="KTZ82" s="1"/>
      <c r="KUA82" s="1"/>
      <c r="KUB82" s="1"/>
      <c r="KUC82" s="1"/>
      <c r="KUD82" s="1"/>
      <c r="KUE82" s="1"/>
      <c r="KUF82" s="1"/>
      <c r="KUG82" s="1"/>
      <c r="KUH82" s="1"/>
      <c r="KUI82" s="1"/>
      <c r="KUJ82" s="1"/>
      <c r="KUK82" s="1"/>
      <c r="KUL82" s="1"/>
      <c r="KUM82" s="1"/>
      <c r="KUN82" s="1"/>
      <c r="KUO82" s="1"/>
      <c r="KUP82" s="1"/>
      <c r="KUQ82" s="1"/>
      <c r="KUR82" s="1"/>
      <c r="KUS82" s="1"/>
      <c r="KUT82" s="1"/>
      <c r="KUU82" s="1"/>
      <c r="KUV82" s="1"/>
      <c r="KUW82" s="1"/>
      <c r="KUX82" s="1"/>
      <c r="KUY82" s="1"/>
      <c r="KUZ82" s="1"/>
      <c r="KVA82" s="1"/>
      <c r="KVB82" s="1"/>
      <c r="KVC82" s="1"/>
      <c r="KVD82" s="1"/>
      <c r="KVE82" s="1"/>
      <c r="KVF82" s="1"/>
      <c r="KVG82" s="1"/>
      <c r="KVH82" s="1"/>
      <c r="KVI82" s="1"/>
      <c r="KVJ82" s="1"/>
      <c r="KVK82" s="1"/>
      <c r="KVL82" s="1"/>
      <c r="KVM82" s="1"/>
      <c r="KVN82" s="1"/>
      <c r="KVO82" s="1"/>
      <c r="KVP82" s="1"/>
      <c r="KVQ82" s="1"/>
      <c r="KVR82" s="1"/>
      <c r="KVS82" s="1"/>
      <c r="KVT82" s="1"/>
      <c r="KVU82" s="1"/>
      <c r="KVV82" s="1"/>
      <c r="KVW82" s="1"/>
      <c r="KVX82" s="1"/>
      <c r="KVY82" s="1"/>
      <c r="KVZ82" s="1"/>
      <c r="KWA82" s="1"/>
      <c r="KWB82" s="1"/>
      <c r="KWC82" s="1"/>
      <c r="KWD82" s="1"/>
      <c r="KWE82" s="1"/>
      <c r="KWF82" s="1"/>
      <c r="KWG82" s="1"/>
      <c r="KWH82" s="1"/>
      <c r="KWI82" s="1"/>
      <c r="KWJ82" s="1"/>
      <c r="KWK82" s="1"/>
      <c r="KWL82" s="1"/>
      <c r="KWM82" s="1"/>
      <c r="KWN82" s="1"/>
      <c r="KWO82" s="1"/>
      <c r="KWP82" s="1"/>
      <c r="KWQ82" s="1"/>
      <c r="KWR82" s="1"/>
      <c r="KWS82" s="1"/>
      <c r="KWT82" s="1"/>
      <c r="KWU82" s="1"/>
      <c r="KWV82" s="1"/>
      <c r="KWW82" s="1"/>
      <c r="KWX82" s="1"/>
      <c r="KWY82" s="1"/>
      <c r="KWZ82" s="1"/>
      <c r="KXA82" s="1"/>
      <c r="KXB82" s="1"/>
      <c r="KXC82" s="1"/>
      <c r="KXD82" s="1"/>
      <c r="KXE82" s="1"/>
      <c r="KXF82" s="1"/>
      <c r="KXG82" s="1"/>
      <c r="KXH82" s="1"/>
      <c r="KXI82" s="1"/>
      <c r="KXJ82" s="1"/>
      <c r="KXK82" s="1"/>
      <c r="KXL82" s="1"/>
      <c r="KXM82" s="1"/>
      <c r="KXN82" s="1"/>
      <c r="KXO82" s="1"/>
      <c r="KXP82" s="1"/>
      <c r="KXQ82" s="1"/>
      <c r="KXR82" s="1"/>
      <c r="KXS82" s="1"/>
      <c r="KXT82" s="1"/>
      <c r="KXU82" s="1"/>
      <c r="KXV82" s="1"/>
      <c r="KXW82" s="1"/>
      <c r="KXX82" s="1"/>
      <c r="KXY82" s="1"/>
      <c r="KXZ82" s="1"/>
      <c r="KYA82" s="1"/>
      <c r="KYB82" s="1"/>
      <c r="KYC82" s="1"/>
      <c r="KYD82" s="1"/>
      <c r="KYE82" s="1"/>
      <c r="KYF82" s="1"/>
      <c r="KYG82" s="1"/>
      <c r="KYH82" s="1"/>
      <c r="KYI82" s="1"/>
      <c r="KYJ82" s="1"/>
      <c r="KYK82" s="1"/>
      <c r="KYL82" s="1"/>
      <c r="KYM82" s="1"/>
      <c r="KYN82" s="1"/>
      <c r="KYO82" s="1"/>
      <c r="KYP82" s="1"/>
      <c r="KYQ82" s="1"/>
      <c r="KYR82" s="1"/>
      <c r="KYS82" s="1"/>
      <c r="KYT82" s="1"/>
      <c r="KYU82" s="1"/>
      <c r="KYV82" s="1"/>
      <c r="KYW82" s="1"/>
      <c r="KYX82" s="1"/>
      <c r="KYY82" s="1"/>
      <c r="KYZ82" s="1"/>
      <c r="KZA82" s="1"/>
      <c r="KZB82" s="1"/>
      <c r="KZC82" s="1"/>
      <c r="KZD82" s="1"/>
      <c r="KZE82" s="1"/>
      <c r="KZF82" s="1"/>
      <c r="KZG82" s="1"/>
      <c r="KZH82" s="1"/>
      <c r="KZI82" s="1"/>
      <c r="KZJ82" s="1"/>
      <c r="KZK82" s="1"/>
      <c r="KZL82" s="1"/>
      <c r="KZM82" s="1"/>
      <c r="KZN82" s="1"/>
      <c r="KZO82" s="1"/>
      <c r="KZP82" s="1"/>
      <c r="KZQ82" s="1"/>
      <c r="KZR82" s="1"/>
      <c r="KZS82" s="1"/>
      <c r="KZT82" s="1"/>
      <c r="KZU82" s="1"/>
      <c r="KZV82" s="1"/>
      <c r="KZW82" s="1"/>
      <c r="KZX82" s="1"/>
      <c r="KZY82" s="1"/>
      <c r="KZZ82" s="1"/>
      <c r="LAA82" s="1"/>
      <c r="LAB82" s="1"/>
      <c r="LAC82" s="1"/>
      <c r="LAD82" s="1"/>
      <c r="LAE82" s="1"/>
      <c r="LAF82" s="1"/>
      <c r="LAG82" s="1"/>
      <c r="LAH82" s="1"/>
      <c r="LAI82" s="1"/>
      <c r="LAJ82" s="1"/>
      <c r="LAK82" s="1"/>
      <c r="LAL82" s="1"/>
      <c r="LAM82" s="1"/>
      <c r="LAN82" s="1"/>
      <c r="LAO82" s="1"/>
      <c r="LAP82" s="1"/>
      <c r="LAQ82" s="1"/>
      <c r="LAR82" s="1"/>
      <c r="LAS82" s="1"/>
      <c r="LAT82" s="1"/>
      <c r="LAU82" s="1"/>
      <c r="LAV82" s="1"/>
      <c r="LAW82" s="1"/>
      <c r="LAX82" s="1"/>
      <c r="LAY82" s="1"/>
      <c r="LAZ82" s="1"/>
      <c r="LBA82" s="1"/>
      <c r="LBB82" s="1"/>
      <c r="LBC82" s="1"/>
      <c r="LBD82" s="1"/>
      <c r="LBE82" s="1"/>
      <c r="LBF82" s="1"/>
      <c r="LBG82" s="1"/>
      <c r="LBH82" s="1"/>
      <c r="LBI82" s="1"/>
      <c r="LBJ82" s="1"/>
      <c r="LBK82" s="1"/>
      <c r="LBL82" s="1"/>
      <c r="LBM82" s="1"/>
      <c r="LBN82" s="1"/>
      <c r="LBO82" s="1"/>
      <c r="LBP82" s="1"/>
      <c r="LBQ82" s="1"/>
      <c r="LBR82" s="1"/>
      <c r="LBS82" s="1"/>
      <c r="LBT82" s="1"/>
      <c r="LBU82" s="1"/>
      <c r="LBV82" s="1"/>
      <c r="LBW82" s="1"/>
      <c r="LBX82" s="1"/>
      <c r="LBY82" s="1"/>
      <c r="LBZ82" s="1"/>
      <c r="LCA82" s="1"/>
      <c r="LCB82" s="1"/>
      <c r="LCC82" s="1"/>
      <c r="LCD82" s="1"/>
      <c r="LCE82" s="1"/>
      <c r="LCF82" s="1"/>
      <c r="LCG82" s="1"/>
      <c r="LCH82" s="1"/>
      <c r="LCI82" s="1"/>
      <c r="LCJ82" s="1"/>
      <c r="LCK82" s="1"/>
      <c r="LCL82" s="1"/>
      <c r="LCM82" s="1"/>
      <c r="LCN82" s="1"/>
      <c r="LCO82" s="1"/>
      <c r="LCP82" s="1"/>
      <c r="LCQ82" s="1"/>
      <c r="LCR82" s="1"/>
      <c r="LCS82" s="1"/>
      <c r="LCT82" s="1"/>
      <c r="LCU82" s="1"/>
      <c r="LCV82" s="1"/>
      <c r="LCW82" s="1"/>
      <c r="LCX82" s="1"/>
      <c r="LCY82" s="1"/>
      <c r="LCZ82" s="1"/>
      <c r="LDA82" s="1"/>
      <c r="LDB82" s="1"/>
      <c r="LDC82" s="1"/>
      <c r="LDD82" s="1"/>
      <c r="LDE82" s="1"/>
      <c r="LDF82" s="1"/>
      <c r="LDG82" s="1"/>
      <c r="LDH82" s="1"/>
      <c r="LDI82" s="1"/>
      <c r="LDJ82" s="1"/>
      <c r="LDK82" s="1"/>
      <c r="LDL82" s="1"/>
      <c r="LDM82" s="1"/>
      <c r="LDN82" s="1"/>
      <c r="LDO82" s="1"/>
      <c r="LDP82" s="1"/>
      <c r="LDQ82" s="1"/>
      <c r="LDR82" s="1"/>
      <c r="LDS82" s="1"/>
      <c r="LDT82" s="1"/>
      <c r="LDU82" s="1"/>
      <c r="LDV82" s="1"/>
      <c r="LDW82" s="1"/>
      <c r="LDX82" s="1"/>
      <c r="LDY82" s="1"/>
      <c r="LDZ82" s="1"/>
      <c r="LEA82" s="1"/>
      <c r="LEB82" s="1"/>
      <c r="LEC82" s="1"/>
      <c r="LED82" s="1"/>
      <c r="LEE82" s="1"/>
      <c r="LEF82" s="1"/>
      <c r="LEG82" s="1"/>
      <c r="LEH82" s="1"/>
      <c r="LEI82" s="1"/>
      <c r="LEJ82" s="1"/>
      <c r="LEK82" s="1"/>
      <c r="LEL82" s="1"/>
      <c r="LEM82" s="1"/>
      <c r="LEN82" s="1"/>
      <c r="LEO82" s="1"/>
      <c r="LEP82" s="1"/>
      <c r="LEQ82" s="1"/>
      <c r="LER82" s="1"/>
      <c r="LES82" s="1"/>
      <c r="LET82" s="1"/>
      <c r="LEU82" s="1"/>
      <c r="LEV82" s="1"/>
      <c r="LEW82" s="1"/>
      <c r="LEX82" s="1"/>
      <c r="LEY82" s="1"/>
      <c r="LEZ82" s="1"/>
      <c r="LFA82" s="1"/>
      <c r="LFB82" s="1"/>
      <c r="LFC82" s="1"/>
      <c r="LFD82" s="1"/>
      <c r="LFE82" s="1"/>
      <c r="LFF82" s="1"/>
      <c r="LFG82" s="1"/>
      <c r="LFH82" s="1"/>
      <c r="LFI82" s="1"/>
      <c r="LFJ82" s="1"/>
      <c r="LFK82" s="1"/>
      <c r="LFL82" s="1"/>
      <c r="LFM82" s="1"/>
      <c r="LFN82" s="1"/>
      <c r="LFO82" s="1"/>
      <c r="LFP82" s="1"/>
      <c r="LFQ82" s="1"/>
      <c r="LFR82" s="1"/>
      <c r="LFS82" s="1"/>
      <c r="LFT82" s="1"/>
      <c r="LFU82" s="1"/>
      <c r="LFV82" s="1"/>
      <c r="LFW82" s="1"/>
      <c r="LFX82" s="1"/>
      <c r="LFY82" s="1"/>
      <c r="LFZ82" s="1"/>
      <c r="LGA82" s="1"/>
      <c r="LGB82" s="1"/>
      <c r="LGC82" s="1"/>
      <c r="LGD82" s="1"/>
      <c r="LGE82" s="1"/>
      <c r="LGF82" s="1"/>
      <c r="LGG82" s="1"/>
      <c r="LGH82" s="1"/>
      <c r="LGI82" s="1"/>
      <c r="LGJ82" s="1"/>
      <c r="LGK82" s="1"/>
      <c r="LGL82" s="1"/>
      <c r="LGM82" s="1"/>
      <c r="LGN82" s="1"/>
      <c r="LGO82" s="1"/>
      <c r="LGP82" s="1"/>
      <c r="LGQ82" s="1"/>
      <c r="LGR82" s="1"/>
      <c r="LGS82" s="1"/>
      <c r="LGT82" s="1"/>
      <c r="LGU82" s="1"/>
      <c r="LGV82" s="1"/>
      <c r="LGW82" s="1"/>
      <c r="LGX82" s="1"/>
      <c r="LGY82" s="1"/>
      <c r="LGZ82" s="1"/>
      <c r="LHA82" s="1"/>
      <c r="LHB82" s="1"/>
      <c r="LHC82" s="1"/>
      <c r="LHD82" s="1"/>
      <c r="LHE82" s="1"/>
      <c r="LHF82" s="1"/>
      <c r="LHG82" s="1"/>
      <c r="LHH82" s="1"/>
      <c r="LHI82" s="1"/>
      <c r="LHJ82" s="1"/>
      <c r="LHK82" s="1"/>
      <c r="LHL82" s="1"/>
      <c r="LHM82" s="1"/>
      <c r="LHN82" s="1"/>
      <c r="LHO82" s="1"/>
      <c r="LHP82" s="1"/>
      <c r="LHQ82" s="1"/>
      <c r="LHR82" s="1"/>
      <c r="LHS82" s="1"/>
      <c r="LHT82" s="1"/>
      <c r="LHU82" s="1"/>
      <c r="LHV82" s="1"/>
      <c r="LHW82" s="1"/>
      <c r="LHX82" s="1"/>
      <c r="LHY82" s="1"/>
      <c r="LHZ82" s="1"/>
      <c r="LIA82" s="1"/>
      <c r="LIB82" s="1"/>
      <c r="LIC82" s="1"/>
      <c r="LID82" s="1"/>
      <c r="LIE82" s="1"/>
      <c r="LIF82" s="1"/>
      <c r="LIG82" s="1"/>
      <c r="LIH82" s="1"/>
      <c r="LII82" s="1"/>
      <c r="LIJ82" s="1"/>
      <c r="LIK82" s="1"/>
      <c r="LIL82" s="1"/>
      <c r="LIM82" s="1"/>
      <c r="LIN82" s="1"/>
      <c r="LIO82" s="1"/>
      <c r="LIP82" s="1"/>
      <c r="LIQ82" s="1"/>
      <c r="LIR82" s="1"/>
      <c r="LIS82" s="1"/>
      <c r="LIT82" s="1"/>
      <c r="LIU82" s="1"/>
      <c r="LIV82" s="1"/>
      <c r="LIW82" s="1"/>
      <c r="LIX82" s="1"/>
      <c r="LIY82" s="1"/>
      <c r="LIZ82" s="1"/>
      <c r="LJA82" s="1"/>
      <c r="LJB82" s="1"/>
      <c r="LJC82" s="1"/>
      <c r="LJD82" s="1"/>
      <c r="LJE82" s="1"/>
      <c r="LJF82" s="1"/>
      <c r="LJG82" s="1"/>
      <c r="LJH82" s="1"/>
      <c r="LJI82" s="1"/>
      <c r="LJJ82" s="1"/>
      <c r="LJK82" s="1"/>
      <c r="LJL82" s="1"/>
      <c r="LJM82" s="1"/>
      <c r="LJN82" s="1"/>
      <c r="LJO82" s="1"/>
      <c r="LJP82" s="1"/>
      <c r="LJQ82" s="1"/>
      <c r="LJR82" s="1"/>
      <c r="LJS82" s="1"/>
      <c r="LJT82" s="1"/>
      <c r="LJU82" s="1"/>
      <c r="LJV82" s="1"/>
      <c r="LJW82" s="1"/>
      <c r="LJX82" s="1"/>
      <c r="LJY82" s="1"/>
      <c r="LJZ82" s="1"/>
      <c r="LKA82" s="1"/>
      <c r="LKB82" s="1"/>
      <c r="LKC82" s="1"/>
      <c r="LKD82" s="1"/>
      <c r="LKE82" s="1"/>
      <c r="LKF82" s="1"/>
      <c r="LKG82" s="1"/>
      <c r="LKH82" s="1"/>
      <c r="LKI82" s="1"/>
      <c r="LKJ82" s="1"/>
      <c r="LKK82" s="1"/>
      <c r="LKL82" s="1"/>
      <c r="LKM82" s="1"/>
      <c r="LKN82" s="1"/>
      <c r="LKO82" s="1"/>
      <c r="LKP82" s="1"/>
      <c r="LKQ82" s="1"/>
      <c r="LKR82" s="1"/>
      <c r="LKS82" s="1"/>
      <c r="LKT82" s="1"/>
      <c r="LKU82" s="1"/>
      <c r="LKV82" s="1"/>
      <c r="LKW82" s="1"/>
      <c r="LKX82" s="1"/>
      <c r="LKY82" s="1"/>
      <c r="LKZ82" s="1"/>
      <c r="LLA82" s="1"/>
      <c r="LLB82" s="1"/>
      <c r="LLC82" s="1"/>
      <c r="LLD82" s="1"/>
      <c r="LLE82" s="1"/>
      <c r="LLF82" s="1"/>
      <c r="LLG82" s="1"/>
      <c r="LLH82" s="1"/>
      <c r="LLI82" s="1"/>
      <c r="LLJ82" s="1"/>
      <c r="LLK82" s="1"/>
      <c r="LLL82" s="1"/>
      <c r="LLM82" s="1"/>
      <c r="LLN82" s="1"/>
      <c r="LLO82" s="1"/>
      <c r="LLP82" s="1"/>
      <c r="LLQ82" s="1"/>
      <c r="LLR82" s="1"/>
      <c r="LLS82" s="1"/>
      <c r="LLT82" s="1"/>
      <c r="LLU82" s="1"/>
      <c r="LLV82" s="1"/>
      <c r="LLW82" s="1"/>
      <c r="LLX82" s="1"/>
      <c r="LLY82" s="1"/>
      <c r="LLZ82" s="1"/>
      <c r="LMA82" s="1"/>
      <c r="LMB82" s="1"/>
      <c r="LMC82" s="1"/>
      <c r="LMD82" s="1"/>
      <c r="LME82" s="1"/>
      <c r="LMF82" s="1"/>
      <c r="LMG82" s="1"/>
      <c r="LMH82" s="1"/>
      <c r="LMI82" s="1"/>
      <c r="LMJ82" s="1"/>
      <c r="LMK82" s="1"/>
      <c r="LML82" s="1"/>
      <c r="LMM82" s="1"/>
      <c r="LMN82" s="1"/>
      <c r="LMO82" s="1"/>
      <c r="LMP82" s="1"/>
      <c r="LMQ82" s="1"/>
      <c r="LMR82" s="1"/>
      <c r="LMS82" s="1"/>
      <c r="LMT82" s="1"/>
      <c r="LMU82" s="1"/>
      <c r="LMV82" s="1"/>
      <c r="LMW82" s="1"/>
      <c r="LMX82" s="1"/>
      <c r="LMY82" s="1"/>
      <c r="LMZ82" s="1"/>
      <c r="LNA82" s="1"/>
      <c r="LNB82" s="1"/>
      <c r="LNC82" s="1"/>
      <c r="LND82" s="1"/>
      <c r="LNE82" s="1"/>
      <c r="LNF82" s="1"/>
      <c r="LNG82" s="1"/>
      <c r="LNH82" s="1"/>
      <c r="LNI82" s="1"/>
      <c r="LNJ82" s="1"/>
      <c r="LNK82" s="1"/>
      <c r="LNL82" s="1"/>
      <c r="LNM82" s="1"/>
      <c r="LNN82" s="1"/>
      <c r="LNO82" s="1"/>
      <c r="LNP82" s="1"/>
      <c r="LNQ82" s="1"/>
      <c r="LNR82" s="1"/>
      <c r="LNS82" s="1"/>
      <c r="LNT82" s="1"/>
      <c r="LNU82" s="1"/>
      <c r="LNV82" s="1"/>
      <c r="LNW82" s="1"/>
      <c r="LNX82" s="1"/>
      <c r="LNY82" s="1"/>
      <c r="LNZ82" s="1"/>
      <c r="LOA82" s="1"/>
      <c r="LOB82" s="1"/>
      <c r="LOC82" s="1"/>
      <c r="LOD82" s="1"/>
      <c r="LOE82" s="1"/>
      <c r="LOF82" s="1"/>
      <c r="LOG82" s="1"/>
      <c r="LOH82" s="1"/>
      <c r="LOI82" s="1"/>
      <c r="LOJ82" s="1"/>
      <c r="LOK82" s="1"/>
      <c r="LOL82" s="1"/>
      <c r="LOM82" s="1"/>
      <c r="LON82" s="1"/>
      <c r="LOO82" s="1"/>
      <c r="LOP82" s="1"/>
      <c r="LOQ82" s="1"/>
      <c r="LOR82" s="1"/>
      <c r="LOS82" s="1"/>
      <c r="LOT82" s="1"/>
      <c r="LOU82" s="1"/>
      <c r="LOV82" s="1"/>
      <c r="LOW82" s="1"/>
      <c r="LOX82" s="1"/>
      <c r="LOY82" s="1"/>
      <c r="LOZ82" s="1"/>
      <c r="LPA82" s="1"/>
      <c r="LPB82" s="1"/>
      <c r="LPC82" s="1"/>
      <c r="LPD82" s="1"/>
      <c r="LPE82" s="1"/>
      <c r="LPF82" s="1"/>
      <c r="LPG82" s="1"/>
      <c r="LPH82" s="1"/>
      <c r="LPI82" s="1"/>
      <c r="LPJ82" s="1"/>
      <c r="LPK82" s="1"/>
      <c r="LPL82" s="1"/>
      <c r="LPM82" s="1"/>
      <c r="LPN82" s="1"/>
      <c r="LPO82" s="1"/>
      <c r="LPP82" s="1"/>
      <c r="LPQ82" s="1"/>
      <c r="LPR82" s="1"/>
      <c r="LPS82" s="1"/>
      <c r="LPT82" s="1"/>
      <c r="LPU82" s="1"/>
      <c r="LPV82" s="1"/>
      <c r="LPW82" s="1"/>
      <c r="LPX82" s="1"/>
      <c r="LPY82" s="1"/>
      <c r="LPZ82" s="1"/>
      <c r="LQA82" s="1"/>
      <c r="LQB82" s="1"/>
      <c r="LQC82" s="1"/>
      <c r="LQD82" s="1"/>
      <c r="LQE82" s="1"/>
      <c r="LQF82" s="1"/>
      <c r="LQG82" s="1"/>
      <c r="LQH82" s="1"/>
      <c r="LQI82" s="1"/>
      <c r="LQJ82" s="1"/>
      <c r="LQK82" s="1"/>
      <c r="LQL82" s="1"/>
      <c r="LQM82" s="1"/>
      <c r="LQN82" s="1"/>
      <c r="LQO82" s="1"/>
      <c r="LQP82" s="1"/>
      <c r="LQQ82" s="1"/>
      <c r="LQR82" s="1"/>
      <c r="LQS82" s="1"/>
      <c r="LQT82" s="1"/>
      <c r="LQU82" s="1"/>
      <c r="LQV82" s="1"/>
      <c r="LQW82" s="1"/>
      <c r="LQX82" s="1"/>
      <c r="LQY82" s="1"/>
      <c r="LQZ82" s="1"/>
      <c r="LRA82" s="1"/>
      <c r="LRB82" s="1"/>
      <c r="LRC82" s="1"/>
      <c r="LRD82" s="1"/>
      <c r="LRE82" s="1"/>
      <c r="LRF82" s="1"/>
      <c r="LRG82" s="1"/>
      <c r="LRH82" s="1"/>
      <c r="LRI82" s="1"/>
      <c r="LRJ82" s="1"/>
      <c r="LRK82" s="1"/>
      <c r="LRL82" s="1"/>
      <c r="LRM82" s="1"/>
      <c r="LRN82" s="1"/>
      <c r="LRO82" s="1"/>
      <c r="LRP82" s="1"/>
      <c r="LRQ82" s="1"/>
      <c r="LRR82" s="1"/>
      <c r="LRS82" s="1"/>
      <c r="LRT82" s="1"/>
      <c r="LRU82" s="1"/>
      <c r="LRV82" s="1"/>
      <c r="LRW82" s="1"/>
      <c r="LRX82" s="1"/>
      <c r="LRY82" s="1"/>
      <c r="LRZ82" s="1"/>
      <c r="LSA82" s="1"/>
      <c r="LSB82" s="1"/>
      <c r="LSC82" s="1"/>
      <c r="LSD82" s="1"/>
      <c r="LSE82" s="1"/>
      <c r="LSF82" s="1"/>
      <c r="LSG82" s="1"/>
      <c r="LSH82" s="1"/>
      <c r="LSI82" s="1"/>
      <c r="LSJ82" s="1"/>
      <c r="LSK82" s="1"/>
      <c r="LSL82" s="1"/>
      <c r="LSM82" s="1"/>
      <c r="LSN82" s="1"/>
      <c r="LSO82" s="1"/>
      <c r="LSP82" s="1"/>
      <c r="LSQ82" s="1"/>
      <c r="LSR82" s="1"/>
      <c r="LSS82" s="1"/>
      <c r="LST82" s="1"/>
      <c r="LSU82" s="1"/>
      <c r="LSV82" s="1"/>
      <c r="LSW82" s="1"/>
      <c r="LSX82" s="1"/>
      <c r="LSY82" s="1"/>
      <c r="LSZ82" s="1"/>
      <c r="LTA82" s="1"/>
      <c r="LTB82" s="1"/>
      <c r="LTC82" s="1"/>
      <c r="LTD82" s="1"/>
      <c r="LTE82" s="1"/>
      <c r="LTF82" s="1"/>
      <c r="LTG82" s="1"/>
      <c r="LTH82" s="1"/>
      <c r="LTI82" s="1"/>
      <c r="LTJ82" s="1"/>
      <c r="LTK82" s="1"/>
      <c r="LTL82" s="1"/>
      <c r="LTM82" s="1"/>
      <c r="LTN82" s="1"/>
      <c r="LTO82" s="1"/>
      <c r="LTP82" s="1"/>
      <c r="LTQ82" s="1"/>
      <c r="LTR82" s="1"/>
      <c r="LTS82" s="1"/>
      <c r="LTT82" s="1"/>
      <c r="LTU82" s="1"/>
      <c r="LTV82" s="1"/>
      <c r="LTW82" s="1"/>
      <c r="LTX82" s="1"/>
      <c r="LTY82" s="1"/>
      <c r="LTZ82" s="1"/>
      <c r="LUA82" s="1"/>
      <c r="LUB82" s="1"/>
      <c r="LUC82" s="1"/>
      <c r="LUD82" s="1"/>
      <c r="LUE82" s="1"/>
      <c r="LUF82" s="1"/>
      <c r="LUG82" s="1"/>
      <c r="LUH82" s="1"/>
      <c r="LUI82" s="1"/>
      <c r="LUJ82" s="1"/>
      <c r="LUK82" s="1"/>
      <c r="LUL82" s="1"/>
      <c r="LUM82" s="1"/>
      <c r="LUN82" s="1"/>
      <c r="LUO82" s="1"/>
      <c r="LUP82" s="1"/>
      <c r="LUQ82" s="1"/>
      <c r="LUR82" s="1"/>
      <c r="LUS82" s="1"/>
      <c r="LUT82" s="1"/>
      <c r="LUU82" s="1"/>
      <c r="LUV82" s="1"/>
      <c r="LUW82" s="1"/>
      <c r="LUX82" s="1"/>
      <c r="LUY82" s="1"/>
      <c r="LUZ82" s="1"/>
      <c r="LVA82" s="1"/>
      <c r="LVB82" s="1"/>
      <c r="LVC82" s="1"/>
      <c r="LVD82" s="1"/>
      <c r="LVE82" s="1"/>
      <c r="LVF82" s="1"/>
      <c r="LVG82" s="1"/>
      <c r="LVH82" s="1"/>
      <c r="LVI82" s="1"/>
      <c r="LVJ82" s="1"/>
      <c r="LVK82" s="1"/>
      <c r="LVL82" s="1"/>
      <c r="LVM82" s="1"/>
      <c r="LVN82" s="1"/>
      <c r="LVO82" s="1"/>
      <c r="LVP82" s="1"/>
      <c r="LVQ82" s="1"/>
      <c r="LVR82" s="1"/>
      <c r="LVS82" s="1"/>
      <c r="LVT82" s="1"/>
      <c r="LVU82" s="1"/>
      <c r="LVV82" s="1"/>
      <c r="LVW82" s="1"/>
      <c r="LVX82" s="1"/>
      <c r="LVY82" s="1"/>
      <c r="LVZ82" s="1"/>
      <c r="LWA82" s="1"/>
      <c r="LWB82" s="1"/>
      <c r="LWC82" s="1"/>
      <c r="LWD82" s="1"/>
      <c r="LWE82" s="1"/>
      <c r="LWF82" s="1"/>
      <c r="LWG82" s="1"/>
      <c r="LWH82" s="1"/>
      <c r="LWI82" s="1"/>
      <c r="LWJ82" s="1"/>
      <c r="LWK82" s="1"/>
      <c r="LWL82" s="1"/>
      <c r="LWM82" s="1"/>
      <c r="LWN82" s="1"/>
      <c r="LWO82" s="1"/>
      <c r="LWP82" s="1"/>
      <c r="LWQ82" s="1"/>
      <c r="LWR82" s="1"/>
      <c r="LWS82" s="1"/>
      <c r="LWT82" s="1"/>
      <c r="LWU82" s="1"/>
      <c r="LWV82" s="1"/>
      <c r="LWW82" s="1"/>
      <c r="LWX82" s="1"/>
      <c r="LWY82" s="1"/>
      <c r="LWZ82" s="1"/>
      <c r="LXA82" s="1"/>
      <c r="LXB82" s="1"/>
      <c r="LXC82" s="1"/>
      <c r="LXD82" s="1"/>
      <c r="LXE82" s="1"/>
      <c r="LXF82" s="1"/>
      <c r="LXG82" s="1"/>
      <c r="LXH82" s="1"/>
      <c r="LXI82" s="1"/>
      <c r="LXJ82" s="1"/>
      <c r="LXK82" s="1"/>
      <c r="LXL82" s="1"/>
      <c r="LXM82" s="1"/>
      <c r="LXN82" s="1"/>
      <c r="LXO82" s="1"/>
      <c r="LXP82" s="1"/>
      <c r="LXQ82" s="1"/>
      <c r="LXR82" s="1"/>
      <c r="LXS82" s="1"/>
      <c r="LXT82" s="1"/>
      <c r="LXU82" s="1"/>
      <c r="LXV82" s="1"/>
      <c r="LXW82" s="1"/>
      <c r="LXX82" s="1"/>
      <c r="LXY82" s="1"/>
      <c r="LXZ82" s="1"/>
      <c r="LYA82" s="1"/>
      <c r="LYB82" s="1"/>
      <c r="LYC82" s="1"/>
      <c r="LYD82" s="1"/>
      <c r="LYE82" s="1"/>
      <c r="LYF82" s="1"/>
      <c r="LYG82" s="1"/>
      <c r="LYH82" s="1"/>
      <c r="LYI82" s="1"/>
      <c r="LYJ82" s="1"/>
      <c r="LYK82" s="1"/>
      <c r="LYL82" s="1"/>
      <c r="LYM82" s="1"/>
      <c r="LYN82" s="1"/>
      <c r="LYO82" s="1"/>
      <c r="LYP82" s="1"/>
      <c r="LYQ82" s="1"/>
      <c r="LYR82" s="1"/>
      <c r="LYS82" s="1"/>
      <c r="LYT82" s="1"/>
      <c r="LYU82" s="1"/>
      <c r="LYV82" s="1"/>
      <c r="LYW82" s="1"/>
      <c r="LYX82" s="1"/>
      <c r="LYY82" s="1"/>
      <c r="LYZ82" s="1"/>
      <c r="LZA82" s="1"/>
      <c r="LZB82" s="1"/>
      <c r="LZC82" s="1"/>
      <c r="LZD82" s="1"/>
      <c r="LZE82" s="1"/>
      <c r="LZF82" s="1"/>
      <c r="LZG82" s="1"/>
      <c r="LZH82" s="1"/>
      <c r="LZI82" s="1"/>
      <c r="LZJ82" s="1"/>
      <c r="LZK82" s="1"/>
      <c r="LZL82" s="1"/>
      <c r="LZM82" s="1"/>
      <c r="LZN82" s="1"/>
      <c r="LZO82" s="1"/>
      <c r="LZP82" s="1"/>
      <c r="LZQ82" s="1"/>
      <c r="LZR82" s="1"/>
      <c r="LZS82" s="1"/>
      <c r="LZT82" s="1"/>
      <c r="LZU82" s="1"/>
      <c r="LZV82" s="1"/>
      <c r="LZW82" s="1"/>
      <c r="LZX82" s="1"/>
      <c r="LZY82" s="1"/>
      <c r="LZZ82" s="1"/>
      <c r="MAA82" s="1"/>
      <c r="MAB82" s="1"/>
      <c r="MAC82" s="1"/>
      <c r="MAD82" s="1"/>
      <c r="MAE82" s="1"/>
      <c r="MAF82" s="1"/>
      <c r="MAG82" s="1"/>
      <c r="MAH82" s="1"/>
      <c r="MAI82" s="1"/>
      <c r="MAJ82" s="1"/>
      <c r="MAK82" s="1"/>
      <c r="MAL82" s="1"/>
      <c r="MAM82" s="1"/>
      <c r="MAN82" s="1"/>
      <c r="MAO82" s="1"/>
      <c r="MAP82" s="1"/>
      <c r="MAQ82" s="1"/>
      <c r="MAR82" s="1"/>
      <c r="MAS82" s="1"/>
      <c r="MAT82" s="1"/>
      <c r="MAU82" s="1"/>
      <c r="MAV82" s="1"/>
      <c r="MAW82" s="1"/>
      <c r="MAX82" s="1"/>
      <c r="MAY82" s="1"/>
      <c r="MAZ82" s="1"/>
      <c r="MBA82" s="1"/>
      <c r="MBB82" s="1"/>
      <c r="MBC82" s="1"/>
      <c r="MBD82" s="1"/>
      <c r="MBE82" s="1"/>
      <c r="MBF82" s="1"/>
      <c r="MBG82" s="1"/>
      <c r="MBH82" s="1"/>
      <c r="MBI82" s="1"/>
      <c r="MBJ82" s="1"/>
      <c r="MBK82" s="1"/>
      <c r="MBL82" s="1"/>
      <c r="MBM82" s="1"/>
      <c r="MBN82" s="1"/>
      <c r="MBO82" s="1"/>
      <c r="MBP82" s="1"/>
      <c r="MBQ82" s="1"/>
      <c r="MBR82" s="1"/>
      <c r="MBS82" s="1"/>
      <c r="MBT82" s="1"/>
      <c r="MBU82" s="1"/>
      <c r="MBV82" s="1"/>
      <c r="MBW82" s="1"/>
      <c r="MBX82" s="1"/>
      <c r="MBY82" s="1"/>
      <c r="MBZ82" s="1"/>
      <c r="MCA82" s="1"/>
      <c r="MCB82" s="1"/>
      <c r="MCC82" s="1"/>
      <c r="MCD82" s="1"/>
      <c r="MCE82" s="1"/>
      <c r="MCF82" s="1"/>
      <c r="MCG82" s="1"/>
      <c r="MCH82" s="1"/>
      <c r="MCI82" s="1"/>
      <c r="MCJ82" s="1"/>
      <c r="MCK82" s="1"/>
      <c r="MCL82" s="1"/>
      <c r="MCM82" s="1"/>
      <c r="MCN82" s="1"/>
      <c r="MCO82" s="1"/>
      <c r="MCP82" s="1"/>
      <c r="MCQ82" s="1"/>
      <c r="MCR82" s="1"/>
      <c r="MCS82" s="1"/>
      <c r="MCT82" s="1"/>
      <c r="MCU82" s="1"/>
      <c r="MCV82" s="1"/>
      <c r="MCW82" s="1"/>
      <c r="MCX82" s="1"/>
      <c r="MCY82" s="1"/>
      <c r="MCZ82" s="1"/>
      <c r="MDA82" s="1"/>
      <c r="MDB82" s="1"/>
      <c r="MDC82" s="1"/>
      <c r="MDD82" s="1"/>
      <c r="MDE82" s="1"/>
      <c r="MDF82" s="1"/>
      <c r="MDG82" s="1"/>
      <c r="MDH82" s="1"/>
      <c r="MDI82" s="1"/>
      <c r="MDJ82" s="1"/>
      <c r="MDK82" s="1"/>
      <c r="MDL82" s="1"/>
      <c r="MDM82" s="1"/>
      <c r="MDN82" s="1"/>
      <c r="MDO82" s="1"/>
      <c r="MDP82" s="1"/>
      <c r="MDQ82" s="1"/>
      <c r="MDR82" s="1"/>
      <c r="MDS82" s="1"/>
      <c r="MDT82" s="1"/>
      <c r="MDU82" s="1"/>
      <c r="MDV82" s="1"/>
      <c r="MDW82" s="1"/>
      <c r="MDX82" s="1"/>
      <c r="MDY82" s="1"/>
      <c r="MDZ82" s="1"/>
      <c r="MEA82" s="1"/>
      <c r="MEB82" s="1"/>
      <c r="MEC82" s="1"/>
      <c r="MED82" s="1"/>
      <c r="MEE82" s="1"/>
      <c r="MEF82" s="1"/>
      <c r="MEG82" s="1"/>
      <c r="MEH82" s="1"/>
      <c r="MEI82" s="1"/>
      <c r="MEJ82" s="1"/>
      <c r="MEK82" s="1"/>
      <c r="MEL82" s="1"/>
      <c r="MEM82" s="1"/>
      <c r="MEN82" s="1"/>
      <c r="MEO82" s="1"/>
      <c r="MEP82" s="1"/>
      <c r="MEQ82" s="1"/>
      <c r="MER82" s="1"/>
      <c r="MES82" s="1"/>
      <c r="MET82" s="1"/>
      <c r="MEU82" s="1"/>
      <c r="MEV82" s="1"/>
      <c r="MEW82" s="1"/>
      <c r="MEX82" s="1"/>
      <c r="MEY82" s="1"/>
      <c r="MEZ82" s="1"/>
      <c r="MFA82" s="1"/>
      <c r="MFB82" s="1"/>
      <c r="MFC82" s="1"/>
      <c r="MFD82" s="1"/>
      <c r="MFE82" s="1"/>
      <c r="MFF82" s="1"/>
      <c r="MFG82" s="1"/>
      <c r="MFH82" s="1"/>
      <c r="MFI82" s="1"/>
      <c r="MFJ82" s="1"/>
      <c r="MFK82" s="1"/>
      <c r="MFL82" s="1"/>
      <c r="MFM82" s="1"/>
      <c r="MFN82" s="1"/>
      <c r="MFO82" s="1"/>
      <c r="MFP82" s="1"/>
      <c r="MFQ82" s="1"/>
      <c r="MFR82" s="1"/>
      <c r="MFS82" s="1"/>
      <c r="MFT82" s="1"/>
      <c r="MFU82" s="1"/>
      <c r="MFV82" s="1"/>
      <c r="MFW82" s="1"/>
      <c r="MFX82" s="1"/>
      <c r="MFY82" s="1"/>
      <c r="MFZ82" s="1"/>
      <c r="MGA82" s="1"/>
      <c r="MGB82" s="1"/>
      <c r="MGC82" s="1"/>
      <c r="MGD82" s="1"/>
      <c r="MGE82" s="1"/>
      <c r="MGF82" s="1"/>
      <c r="MGG82" s="1"/>
      <c r="MGH82" s="1"/>
      <c r="MGI82" s="1"/>
      <c r="MGJ82" s="1"/>
      <c r="MGK82" s="1"/>
      <c r="MGL82" s="1"/>
      <c r="MGM82" s="1"/>
      <c r="MGN82" s="1"/>
      <c r="MGO82" s="1"/>
      <c r="MGP82" s="1"/>
      <c r="MGQ82" s="1"/>
      <c r="MGR82" s="1"/>
      <c r="MGS82" s="1"/>
      <c r="MGT82" s="1"/>
      <c r="MGU82" s="1"/>
      <c r="MGV82" s="1"/>
      <c r="MGW82" s="1"/>
      <c r="MGX82" s="1"/>
      <c r="MGY82" s="1"/>
      <c r="MGZ82" s="1"/>
      <c r="MHA82" s="1"/>
      <c r="MHB82" s="1"/>
      <c r="MHC82" s="1"/>
      <c r="MHD82" s="1"/>
      <c r="MHE82" s="1"/>
      <c r="MHF82" s="1"/>
      <c r="MHG82" s="1"/>
      <c r="MHH82" s="1"/>
      <c r="MHI82" s="1"/>
      <c r="MHJ82" s="1"/>
      <c r="MHK82" s="1"/>
      <c r="MHL82" s="1"/>
      <c r="MHM82" s="1"/>
      <c r="MHN82" s="1"/>
      <c r="MHO82" s="1"/>
      <c r="MHP82" s="1"/>
      <c r="MHQ82" s="1"/>
      <c r="MHR82" s="1"/>
      <c r="MHS82" s="1"/>
      <c r="MHT82" s="1"/>
      <c r="MHU82" s="1"/>
      <c r="MHV82" s="1"/>
      <c r="MHW82" s="1"/>
      <c r="MHX82" s="1"/>
      <c r="MHY82" s="1"/>
      <c r="MHZ82" s="1"/>
      <c r="MIA82" s="1"/>
      <c r="MIB82" s="1"/>
      <c r="MIC82" s="1"/>
      <c r="MID82" s="1"/>
      <c r="MIE82" s="1"/>
      <c r="MIF82" s="1"/>
      <c r="MIG82" s="1"/>
      <c r="MIH82" s="1"/>
      <c r="MII82" s="1"/>
      <c r="MIJ82" s="1"/>
      <c r="MIK82" s="1"/>
      <c r="MIL82" s="1"/>
      <c r="MIM82" s="1"/>
      <c r="MIN82" s="1"/>
      <c r="MIO82" s="1"/>
      <c r="MIP82" s="1"/>
      <c r="MIQ82" s="1"/>
      <c r="MIR82" s="1"/>
      <c r="MIS82" s="1"/>
      <c r="MIT82" s="1"/>
      <c r="MIU82" s="1"/>
      <c r="MIV82" s="1"/>
      <c r="MIW82" s="1"/>
      <c r="MIX82" s="1"/>
      <c r="MIY82" s="1"/>
      <c r="MIZ82" s="1"/>
      <c r="MJA82" s="1"/>
      <c r="MJB82" s="1"/>
      <c r="MJC82" s="1"/>
      <c r="MJD82" s="1"/>
      <c r="MJE82" s="1"/>
      <c r="MJF82" s="1"/>
      <c r="MJG82" s="1"/>
      <c r="MJH82" s="1"/>
      <c r="MJI82" s="1"/>
      <c r="MJJ82" s="1"/>
      <c r="MJK82" s="1"/>
      <c r="MJL82" s="1"/>
      <c r="MJM82" s="1"/>
      <c r="MJN82" s="1"/>
      <c r="MJO82" s="1"/>
      <c r="MJP82" s="1"/>
      <c r="MJQ82" s="1"/>
      <c r="MJR82" s="1"/>
      <c r="MJS82" s="1"/>
      <c r="MJT82" s="1"/>
      <c r="MJU82" s="1"/>
      <c r="MJV82" s="1"/>
      <c r="MJW82" s="1"/>
      <c r="MJX82" s="1"/>
      <c r="MJY82" s="1"/>
      <c r="MJZ82" s="1"/>
      <c r="MKA82" s="1"/>
      <c r="MKB82" s="1"/>
      <c r="MKC82" s="1"/>
      <c r="MKD82" s="1"/>
      <c r="MKE82" s="1"/>
      <c r="MKF82" s="1"/>
      <c r="MKG82" s="1"/>
      <c r="MKH82" s="1"/>
      <c r="MKI82" s="1"/>
      <c r="MKJ82" s="1"/>
      <c r="MKK82" s="1"/>
      <c r="MKL82" s="1"/>
      <c r="MKM82" s="1"/>
      <c r="MKN82" s="1"/>
      <c r="MKO82" s="1"/>
      <c r="MKP82" s="1"/>
      <c r="MKQ82" s="1"/>
      <c r="MKR82" s="1"/>
      <c r="MKS82" s="1"/>
      <c r="MKT82" s="1"/>
      <c r="MKU82" s="1"/>
      <c r="MKV82" s="1"/>
      <c r="MKW82" s="1"/>
      <c r="MKX82" s="1"/>
      <c r="MKY82" s="1"/>
      <c r="MKZ82" s="1"/>
      <c r="MLA82" s="1"/>
      <c r="MLB82" s="1"/>
      <c r="MLC82" s="1"/>
      <c r="MLD82" s="1"/>
      <c r="MLE82" s="1"/>
      <c r="MLF82" s="1"/>
      <c r="MLG82" s="1"/>
      <c r="MLH82" s="1"/>
      <c r="MLI82" s="1"/>
      <c r="MLJ82" s="1"/>
      <c r="MLK82" s="1"/>
      <c r="MLL82" s="1"/>
      <c r="MLM82" s="1"/>
      <c r="MLN82" s="1"/>
      <c r="MLO82" s="1"/>
      <c r="MLP82" s="1"/>
      <c r="MLQ82" s="1"/>
      <c r="MLR82" s="1"/>
      <c r="MLS82" s="1"/>
      <c r="MLT82" s="1"/>
      <c r="MLU82" s="1"/>
      <c r="MLV82" s="1"/>
      <c r="MLW82" s="1"/>
      <c r="MLX82" s="1"/>
      <c r="MLY82" s="1"/>
      <c r="MLZ82" s="1"/>
      <c r="MMA82" s="1"/>
      <c r="MMB82" s="1"/>
      <c r="MMC82" s="1"/>
      <c r="MMD82" s="1"/>
      <c r="MME82" s="1"/>
      <c r="MMF82" s="1"/>
      <c r="MMG82" s="1"/>
      <c r="MMH82" s="1"/>
      <c r="MMI82" s="1"/>
      <c r="MMJ82" s="1"/>
      <c r="MMK82" s="1"/>
      <c r="MML82" s="1"/>
      <c r="MMM82" s="1"/>
      <c r="MMN82" s="1"/>
      <c r="MMO82" s="1"/>
      <c r="MMP82" s="1"/>
      <c r="MMQ82" s="1"/>
      <c r="MMR82" s="1"/>
      <c r="MMS82" s="1"/>
      <c r="MMT82" s="1"/>
      <c r="MMU82" s="1"/>
      <c r="MMV82" s="1"/>
      <c r="MMW82" s="1"/>
      <c r="MMX82" s="1"/>
      <c r="MMY82" s="1"/>
      <c r="MMZ82" s="1"/>
      <c r="MNA82" s="1"/>
      <c r="MNB82" s="1"/>
      <c r="MNC82" s="1"/>
      <c r="MND82" s="1"/>
      <c r="MNE82" s="1"/>
      <c r="MNF82" s="1"/>
      <c r="MNG82" s="1"/>
      <c r="MNH82" s="1"/>
      <c r="MNI82" s="1"/>
      <c r="MNJ82" s="1"/>
      <c r="MNK82" s="1"/>
      <c r="MNL82" s="1"/>
      <c r="MNM82" s="1"/>
      <c r="MNN82" s="1"/>
      <c r="MNO82" s="1"/>
      <c r="MNP82" s="1"/>
      <c r="MNQ82" s="1"/>
      <c r="MNR82" s="1"/>
      <c r="MNS82" s="1"/>
      <c r="MNT82" s="1"/>
      <c r="MNU82" s="1"/>
      <c r="MNV82" s="1"/>
      <c r="MNW82" s="1"/>
      <c r="MNX82" s="1"/>
      <c r="MNY82" s="1"/>
      <c r="MNZ82" s="1"/>
      <c r="MOA82" s="1"/>
      <c r="MOB82" s="1"/>
      <c r="MOC82" s="1"/>
      <c r="MOD82" s="1"/>
      <c r="MOE82" s="1"/>
      <c r="MOF82" s="1"/>
      <c r="MOG82" s="1"/>
      <c r="MOH82" s="1"/>
      <c r="MOI82" s="1"/>
      <c r="MOJ82" s="1"/>
      <c r="MOK82" s="1"/>
      <c r="MOL82" s="1"/>
      <c r="MOM82" s="1"/>
      <c r="MON82" s="1"/>
      <c r="MOO82" s="1"/>
      <c r="MOP82" s="1"/>
      <c r="MOQ82" s="1"/>
      <c r="MOR82" s="1"/>
      <c r="MOS82" s="1"/>
      <c r="MOT82" s="1"/>
      <c r="MOU82" s="1"/>
      <c r="MOV82" s="1"/>
      <c r="MOW82" s="1"/>
      <c r="MOX82" s="1"/>
      <c r="MOY82" s="1"/>
      <c r="MOZ82" s="1"/>
      <c r="MPA82" s="1"/>
      <c r="MPB82" s="1"/>
      <c r="MPC82" s="1"/>
      <c r="MPD82" s="1"/>
      <c r="MPE82" s="1"/>
      <c r="MPF82" s="1"/>
      <c r="MPG82" s="1"/>
      <c r="MPH82" s="1"/>
      <c r="MPI82" s="1"/>
      <c r="MPJ82" s="1"/>
      <c r="MPK82" s="1"/>
      <c r="MPL82" s="1"/>
      <c r="MPM82" s="1"/>
      <c r="MPN82" s="1"/>
      <c r="MPO82" s="1"/>
      <c r="MPP82" s="1"/>
      <c r="MPQ82" s="1"/>
      <c r="MPR82" s="1"/>
      <c r="MPS82" s="1"/>
      <c r="MPT82" s="1"/>
      <c r="MPU82" s="1"/>
      <c r="MPV82" s="1"/>
      <c r="MPW82" s="1"/>
      <c r="MPX82" s="1"/>
      <c r="MPY82" s="1"/>
      <c r="MPZ82" s="1"/>
      <c r="MQA82" s="1"/>
      <c r="MQB82" s="1"/>
      <c r="MQC82" s="1"/>
      <c r="MQD82" s="1"/>
      <c r="MQE82" s="1"/>
      <c r="MQF82" s="1"/>
      <c r="MQG82" s="1"/>
      <c r="MQH82" s="1"/>
      <c r="MQI82" s="1"/>
      <c r="MQJ82" s="1"/>
      <c r="MQK82" s="1"/>
      <c r="MQL82" s="1"/>
      <c r="MQM82" s="1"/>
      <c r="MQN82" s="1"/>
      <c r="MQO82" s="1"/>
      <c r="MQP82" s="1"/>
      <c r="MQQ82" s="1"/>
      <c r="MQR82" s="1"/>
      <c r="MQS82" s="1"/>
      <c r="MQT82" s="1"/>
      <c r="MQU82" s="1"/>
      <c r="MQV82" s="1"/>
      <c r="MQW82" s="1"/>
      <c r="MQX82" s="1"/>
      <c r="MQY82" s="1"/>
      <c r="MQZ82" s="1"/>
      <c r="MRA82" s="1"/>
      <c r="MRB82" s="1"/>
      <c r="MRC82" s="1"/>
      <c r="MRD82" s="1"/>
      <c r="MRE82" s="1"/>
      <c r="MRF82" s="1"/>
      <c r="MRG82" s="1"/>
      <c r="MRH82" s="1"/>
      <c r="MRI82" s="1"/>
      <c r="MRJ82" s="1"/>
      <c r="MRK82" s="1"/>
      <c r="MRL82" s="1"/>
      <c r="MRM82" s="1"/>
      <c r="MRN82" s="1"/>
      <c r="MRO82" s="1"/>
      <c r="MRP82" s="1"/>
      <c r="MRQ82" s="1"/>
      <c r="MRR82" s="1"/>
      <c r="MRS82" s="1"/>
      <c r="MRT82" s="1"/>
      <c r="MRU82" s="1"/>
      <c r="MRV82" s="1"/>
      <c r="MRW82" s="1"/>
      <c r="MRX82" s="1"/>
      <c r="MRY82" s="1"/>
      <c r="MRZ82" s="1"/>
      <c r="MSA82" s="1"/>
      <c r="MSB82" s="1"/>
      <c r="MSC82" s="1"/>
      <c r="MSD82" s="1"/>
      <c r="MSE82" s="1"/>
      <c r="MSF82" s="1"/>
      <c r="MSG82" s="1"/>
      <c r="MSH82" s="1"/>
      <c r="MSI82" s="1"/>
      <c r="MSJ82" s="1"/>
      <c r="MSK82" s="1"/>
      <c r="MSL82" s="1"/>
      <c r="MSM82" s="1"/>
      <c r="MSN82" s="1"/>
      <c r="MSO82" s="1"/>
      <c r="MSP82" s="1"/>
      <c r="MSQ82" s="1"/>
      <c r="MSR82" s="1"/>
      <c r="MSS82" s="1"/>
      <c r="MST82" s="1"/>
      <c r="MSU82" s="1"/>
      <c r="MSV82" s="1"/>
      <c r="MSW82" s="1"/>
      <c r="MSX82" s="1"/>
      <c r="MSY82" s="1"/>
      <c r="MSZ82" s="1"/>
      <c r="MTA82" s="1"/>
      <c r="MTB82" s="1"/>
      <c r="MTC82" s="1"/>
      <c r="MTD82" s="1"/>
      <c r="MTE82" s="1"/>
      <c r="MTF82" s="1"/>
      <c r="MTG82" s="1"/>
      <c r="MTH82" s="1"/>
      <c r="MTI82" s="1"/>
      <c r="MTJ82" s="1"/>
      <c r="MTK82" s="1"/>
      <c r="MTL82" s="1"/>
      <c r="MTM82" s="1"/>
      <c r="MTN82" s="1"/>
      <c r="MTO82" s="1"/>
      <c r="MTP82" s="1"/>
      <c r="MTQ82" s="1"/>
      <c r="MTR82" s="1"/>
      <c r="MTS82" s="1"/>
      <c r="MTT82" s="1"/>
      <c r="MTU82" s="1"/>
      <c r="MTV82" s="1"/>
      <c r="MTW82" s="1"/>
      <c r="MTX82" s="1"/>
      <c r="MTY82" s="1"/>
      <c r="MTZ82" s="1"/>
      <c r="MUA82" s="1"/>
      <c r="MUB82" s="1"/>
      <c r="MUC82" s="1"/>
      <c r="MUD82" s="1"/>
      <c r="MUE82" s="1"/>
      <c r="MUF82" s="1"/>
      <c r="MUG82" s="1"/>
      <c r="MUH82" s="1"/>
      <c r="MUI82" s="1"/>
      <c r="MUJ82" s="1"/>
      <c r="MUK82" s="1"/>
      <c r="MUL82" s="1"/>
      <c r="MUM82" s="1"/>
      <c r="MUN82" s="1"/>
      <c r="MUO82" s="1"/>
      <c r="MUP82" s="1"/>
      <c r="MUQ82" s="1"/>
      <c r="MUR82" s="1"/>
      <c r="MUS82" s="1"/>
      <c r="MUT82" s="1"/>
      <c r="MUU82" s="1"/>
      <c r="MUV82" s="1"/>
      <c r="MUW82" s="1"/>
      <c r="MUX82" s="1"/>
      <c r="MUY82" s="1"/>
      <c r="MUZ82" s="1"/>
      <c r="MVA82" s="1"/>
      <c r="MVB82" s="1"/>
      <c r="MVC82" s="1"/>
      <c r="MVD82" s="1"/>
      <c r="MVE82" s="1"/>
      <c r="MVF82" s="1"/>
      <c r="MVG82" s="1"/>
      <c r="MVH82" s="1"/>
      <c r="MVI82" s="1"/>
      <c r="MVJ82" s="1"/>
      <c r="MVK82" s="1"/>
      <c r="MVL82" s="1"/>
      <c r="MVM82" s="1"/>
      <c r="MVN82" s="1"/>
      <c r="MVO82" s="1"/>
      <c r="MVP82" s="1"/>
      <c r="MVQ82" s="1"/>
      <c r="MVR82" s="1"/>
      <c r="MVS82" s="1"/>
      <c r="MVT82" s="1"/>
      <c r="MVU82" s="1"/>
      <c r="MVV82" s="1"/>
      <c r="MVW82" s="1"/>
      <c r="MVX82" s="1"/>
      <c r="MVY82" s="1"/>
      <c r="MVZ82" s="1"/>
      <c r="MWA82" s="1"/>
      <c r="MWB82" s="1"/>
      <c r="MWC82" s="1"/>
      <c r="MWD82" s="1"/>
      <c r="MWE82" s="1"/>
      <c r="MWF82" s="1"/>
      <c r="MWG82" s="1"/>
      <c r="MWH82" s="1"/>
      <c r="MWI82" s="1"/>
      <c r="MWJ82" s="1"/>
      <c r="MWK82" s="1"/>
      <c r="MWL82" s="1"/>
      <c r="MWM82" s="1"/>
      <c r="MWN82" s="1"/>
      <c r="MWO82" s="1"/>
      <c r="MWP82" s="1"/>
      <c r="MWQ82" s="1"/>
      <c r="MWR82" s="1"/>
      <c r="MWS82" s="1"/>
      <c r="MWT82" s="1"/>
      <c r="MWU82" s="1"/>
      <c r="MWV82" s="1"/>
      <c r="MWW82" s="1"/>
      <c r="MWX82" s="1"/>
      <c r="MWY82" s="1"/>
      <c r="MWZ82" s="1"/>
      <c r="MXA82" s="1"/>
      <c r="MXB82" s="1"/>
      <c r="MXC82" s="1"/>
      <c r="MXD82" s="1"/>
      <c r="MXE82" s="1"/>
      <c r="MXF82" s="1"/>
      <c r="MXG82" s="1"/>
      <c r="MXH82" s="1"/>
      <c r="MXI82" s="1"/>
      <c r="MXJ82" s="1"/>
      <c r="MXK82" s="1"/>
      <c r="MXL82" s="1"/>
      <c r="MXM82" s="1"/>
      <c r="MXN82" s="1"/>
      <c r="MXO82" s="1"/>
      <c r="MXP82" s="1"/>
      <c r="MXQ82" s="1"/>
      <c r="MXR82" s="1"/>
      <c r="MXS82" s="1"/>
      <c r="MXT82" s="1"/>
      <c r="MXU82" s="1"/>
      <c r="MXV82" s="1"/>
      <c r="MXW82" s="1"/>
      <c r="MXX82" s="1"/>
      <c r="MXY82" s="1"/>
      <c r="MXZ82" s="1"/>
      <c r="MYA82" s="1"/>
      <c r="MYB82" s="1"/>
      <c r="MYC82" s="1"/>
      <c r="MYD82" s="1"/>
      <c r="MYE82" s="1"/>
      <c r="MYF82" s="1"/>
      <c r="MYG82" s="1"/>
      <c r="MYH82" s="1"/>
      <c r="MYI82" s="1"/>
      <c r="MYJ82" s="1"/>
      <c r="MYK82" s="1"/>
      <c r="MYL82" s="1"/>
      <c r="MYM82" s="1"/>
      <c r="MYN82" s="1"/>
      <c r="MYO82" s="1"/>
      <c r="MYP82" s="1"/>
      <c r="MYQ82" s="1"/>
      <c r="MYR82" s="1"/>
      <c r="MYS82" s="1"/>
      <c r="MYT82" s="1"/>
      <c r="MYU82" s="1"/>
      <c r="MYV82" s="1"/>
      <c r="MYW82" s="1"/>
      <c r="MYX82" s="1"/>
      <c r="MYY82" s="1"/>
      <c r="MYZ82" s="1"/>
      <c r="MZA82" s="1"/>
      <c r="MZB82" s="1"/>
      <c r="MZC82" s="1"/>
      <c r="MZD82" s="1"/>
      <c r="MZE82" s="1"/>
      <c r="MZF82" s="1"/>
      <c r="MZG82" s="1"/>
      <c r="MZH82" s="1"/>
      <c r="MZI82" s="1"/>
      <c r="MZJ82" s="1"/>
      <c r="MZK82" s="1"/>
      <c r="MZL82" s="1"/>
      <c r="MZM82" s="1"/>
      <c r="MZN82" s="1"/>
      <c r="MZO82" s="1"/>
      <c r="MZP82" s="1"/>
      <c r="MZQ82" s="1"/>
      <c r="MZR82" s="1"/>
      <c r="MZS82" s="1"/>
      <c r="MZT82" s="1"/>
      <c r="MZU82" s="1"/>
      <c r="MZV82" s="1"/>
      <c r="MZW82" s="1"/>
      <c r="MZX82" s="1"/>
      <c r="MZY82" s="1"/>
      <c r="MZZ82" s="1"/>
      <c r="NAA82" s="1"/>
      <c r="NAB82" s="1"/>
      <c r="NAC82" s="1"/>
      <c r="NAD82" s="1"/>
      <c r="NAE82" s="1"/>
      <c r="NAF82" s="1"/>
      <c r="NAG82" s="1"/>
      <c r="NAH82" s="1"/>
      <c r="NAI82" s="1"/>
      <c r="NAJ82" s="1"/>
      <c r="NAK82" s="1"/>
      <c r="NAL82" s="1"/>
      <c r="NAM82" s="1"/>
      <c r="NAN82" s="1"/>
      <c r="NAO82" s="1"/>
      <c r="NAP82" s="1"/>
      <c r="NAQ82" s="1"/>
      <c r="NAR82" s="1"/>
      <c r="NAS82" s="1"/>
      <c r="NAT82" s="1"/>
      <c r="NAU82" s="1"/>
      <c r="NAV82" s="1"/>
      <c r="NAW82" s="1"/>
      <c r="NAX82" s="1"/>
      <c r="NAY82" s="1"/>
      <c r="NAZ82" s="1"/>
      <c r="NBA82" s="1"/>
      <c r="NBB82" s="1"/>
      <c r="NBC82" s="1"/>
      <c r="NBD82" s="1"/>
      <c r="NBE82" s="1"/>
      <c r="NBF82" s="1"/>
      <c r="NBG82" s="1"/>
      <c r="NBH82" s="1"/>
      <c r="NBI82" s="1"/>
      <c r="NBJ82" s="1"/>
      <c r="NBK82" s="1"/>
      <c r="NBL82" s="1"/>
      <c r="NBM82" s="1"/>
      <c r="NBN82" s="1"/>
      <c r="NBO82" s="1"/>
      <c r="NBP82" s="1"/>
      <c r="NBQ82" s="1"/>
      <c r="NBR82" s="1"/>
      <c r="NBS82" s="1"/>
      <c r="NBT82" s="1"/>
      <c r="NBU82" s="1"/>
      <c r="NBV82" s="1"/>
      <c r="NBW82" s="1"/>
      <c r="NBX82" s="1"/>
      <c r="NBY82" s="1"/>
      <c r="NBZ82" s="1"/>
      <c r="NCA82" s="1"/>
      <c r="NCB82" s="1"/>
      <c r="NCC82" s="1"/>
      <c r="NCD82" s="1"/>
      <c r="NCE82" s="1"/>
      <c r="NCF82" s="1"/>
      <c r="NCG82" s="1"/>
      <c r="NCH82" s="1"/>
      <c r="NCI82" s="1"/>
      <c r="NCJ82" s="1"/>
      <c r="NCK82" s="1"/>
      <c r="NCL82" s="1"/>
      <c r="NCM82" s="1"/>
      <c r="NCN82" s="1"/>
      <c r="NCO82" s="1"/>
      <c r="NCP82" s="1"/>
      <c r="NCQ82" s="1"/>
      <c r="NCR82" s="1"/>
      <c r="NCS82" s="1"/>
      <c r="NCT82" s="1"/>
      <c r="NCU82" s="1"/>
      <c r="NCV82" s="1"/>
      <c r="NCW82" s="1"/>
      <c r="NCX82" s="1"/>
      <c r="NCY82" s="1"/>
      <c r="NCZ82" s="1"/>
      <c r="NDA82" s="1"/>
      <c r="NDB82" s="1"/>
      <c r="NDC82" s="1"/>
      <c r="NDD82" s="1"/>
      <c r="NDE82" s="1"/>
      <c r="NDF82" s="1"/>
      <c r="NDG82" s="1"/>
      <c r="NDH82" s="1"/>
      <c r="NDI82" s="1"/>
      <c r="NDJ82" s="1"/>
      <c r="NDK82" s="1"/>
      <c r="NDL82" s="1"/>
      <c r="NDM82" s="1"/>
      <c r="NDN82" s="1"/>
      <c r="NDO82" s="1"/>
      <c r="NDP82" s="1"/>
      <c r="NDQ82" s="1"/>
      <c r="NDR82" s="1"/>
      <c r="NDS82" s="1"/>
      <c r="NDT82" s="1"/>
      <c r="NDU82" s="1"/>
      <c r="NDV82" s="1"/>
      <c r="NDW82" s="1"/>
      <c r="NDX82" s="1"/>
      <c r="NDY82" s="1"/>
      <c r="NDZ82" s="1"/>
      <c r="NEA82" s="1"/>
      <c r="NEB82" s="1"/>
      <c r="NEC82" s="1"/>
      <c r="NED82" s="1"/>
      <c r="NEE82" s="1"/>
      <c r="NEF82" s="1"/>
      <c r="NEG82" s="1"/>
      <c r="NEH82" s="1"/>
      <c r="NEI82" s="1"/>
      <c r="NEJ82" s="1"/>
      <c r="NEK82" s="1"/>
      <c r="NEL82" s="1"/>
      <c r="NEM82" s="1"/>
      <c r="NEN82" s="1"/>
      <c r="NEO82" s="1"/>
      <c r="NEP82" s="1"/>
      <c r="NEQ82" s="1"/>
      <c r="NER82" s="1"/>
      <c r="NES82" s="1"/>
      <c r="NET82" s="1"/>
      <c r="NEU82" s="1"/>
      <c r="NEV82" s="1"/>
      <c r="NEW82" s="1"/>
      <c r="NEX82" s="1"/>
      <c r="NEY82" s="1"/>
      <c r="NEZ82" s="1"/>
      <c r="NFA82" s="1"/>
      <c r="NFB82" s="1"/>
      <c r="NFC82" s="1"/>
      <c r="NFD82" s="1"/>
      <c r="NFE82" s="1"/>
      <c r="NFF82" s="1"/>
      <c r="NFG82" s="1"/>
      <c r="NFH82" s="1"/>
      <c r="NFI82" s="1"/>
      <c r="NFJ82" s="1"/>
      <c r="NFK82" s="1"/>
      <c r="NFL82" s="1"/>
      <c r="NFM82" s="1"/>
      <c r="NFN82" s="1"/>
      <c r="NFO82" s="1"/>
      <c r="NFP82" s="1"/>
      <c r="NFQ82" s="1"/>
      <c r="NFR82" s="1"/>
      <c r="NFS82" s="1"/>
      <c r="NFT82" s="1"/>
      <c r="NFU82" s="1"/>
      <c r="NFV82" s="1"/>
      <c r="NFW82" s="1"/>
      <c r="NFX82" s="1"/>
      <c r="NFY82" s="1"/>
      <c r="NFZ82" s="1"/>
      <c r="NGA82" s="1"/>
      <c r="NGB82" s="1"/>
      <c r="NGC82" s="1"/>
      <c r="NGD82" s="1"/>
      <c r="NGE82" s="1"/>
      <c r="NGF82" s="1"/>
      <c r="NGG82" s="1"/>
      <c r="NGH82" s="1"/>
      <c r="NGI82" s="1"/>
      <c r="NGJ82" s="1"/>
      <c r="NGK82" s="1"/>
      <c r="NGL82" s="1"/>
      <c r="NGM82" s="1"/>
      <c r="NGN82" s="1"/>
      <c r="NGO82" s="1"/>
      <c r="NGP82" s="1"/>
      <c r="NGQ82" s="1"/>
      <c r="NGR82" s="1"/>
      <c r="NGS82" s="1"/>
      <c r="NGT82" s="1"/>
      <c r="NGU82" s="1"/>
      <c r="NGV82" s="1"/>
      <c r="NGW82" s="1"/>
      <c r="NGX82" s="1"/>
      <c r="NGY82" s="1"/>
      <c r="NGZ82" s="1"/>
      <c r="NHA82" s="1"/>
      <c r="NHB82" s="1"/>
      <c r="NHC82" s="1"/>
      <c r="NHD82" s="1"/>
      <c r="NHE82" s="1"/>
      <c r="NHF82" s="1"/>
      <c r="NHG82" s="1"/>
      <c r="NHH82" s="1"/>
      <c r="NHI82" s="1"/>
      <c r="NHJ82" s="1"/>
      <c r="NHK82" s="1"/>
      <c r="NHL82" s="1"/>
      <c r="NHM82" s="1"/>
      <c r="NHN82" s="1"/>
      <c r="NHO82" s="1"/>
      <c r="NHP82" s="1"/>
      <c r="NHQ82" s="1"/>
      <c r="NHR82" s="1"/>
      <c r="NHS82" s="1"/>
      <c r="NHT82" s="1"/>
      <c r="NHU82" s="1"/>
      <c r="NHV82" s="1"/>
      <c r="NHW82" s="1"/>
      <c r="NHX82" s="1"/>
      <c r="NHY82" s="1"/>
      <c r="NHZ82" s="1"/>
      <c r="NIA82" s="1"/>
      <c r="NIB82" s="1"/>
      <c r="NIC82" s="1"/>
      <c r="NID82" s="1"/>
      <c r="NIE82" s="1"/>
      <c r="NIF82" s="1"/>
      <c r="NIG82" s="1"/>
      <c r="NIH82" s="1"/>
      <c r="NII82" s="1"/>
      <c r="NIJ82" s="1"/>
      <c r="NIK82" s="1"/>
      <c r="NIL82" s="1"/>
      <c r="NIM82" s="1"/>
      <c r="NIN82" s="1"/>
      <c r="NIO82" s="1"/>
      <c r="NIP82" s="1"/>
      <c r="NIQ82" s="1"/>
      <c r="NIR82" s="1"/>
      <c r="NIS82" s="1"/>
      <c r="NIT82" s="1"/>
      <c r="NIU82" s="1"/>
      <c r="NIV82" s="1"/>
      <c r="NIW82" s="1"/>
      <c r="NIX82" s="1"/>
      <c r="NIY82" s="1"/>
      <c r="NIZ82" s="1"/>
      <c r="NJA82" s="1"/>
      <c r="NJB82" s="1"/>
      <c r="NJC82" s="1"/>
      <c r="NJD82" s="1"/>
      <c r="NJE82" s="1"/>
      <c r="NJF82" s="1"/>
      <c r="NJG82" s="1"/>
      <c r="NJH82" s="1"/>
      <c r="NJI82" s="1"/>
      <c r="NJJ82" s="1"/>
      <c r="NJK82" s="1"/>
      <c r="NJL82" s="1"/>
      <c r="NJM82" s="1"/>
      <c r="NJN82" s="1"/>
      <c r="NJO82" s="1"/>
      <c r="NJP82" s="1"/>
      <c r="NJQ82" s="1"/>
      <c r="NJR82" s="1"/>
      <c r="NJS82" s="1"/>
      <c r="NJT82" s="1"/>
      <c r="NJU82" s="1"/>
      <c r="NJV82" s="1"/>
      <c r="NJW82" s="1"/>
      <c r="NJX82" s="1"/>
      <c r="NJY82" s="1"/>
      <c r="NJZ82" s="1"/>
      <c r="NKA82" s="1"/>
      <c r="NKB82" s="1"/>
      <c r="NKC82" s="1"/>
      <c r="NKD82" s="1"/>
      <c r="NKE82" s="1"/>
      <c r="NKF82" s="1"/>
      <c r="NKG82" s="1"/>
      <c r="NKH82" s="1"/>
      <c r="NKI82" s="1"/>
      <c r="NKJ82" s="1"/>
      <c r="NKK82" s="1"/>
      <c r="NKL82" s="1"/>
      <c r="NKM82" s="1"/>
      <c r="NKN82" s="1"/>
      <c r="NKO82" s="1"/>
      <c r="NKP82" s="1"/>
      <c r="NKQ82" s="1"/>
      <c r="NKR82" s="1"/>
      <c r="NKS82" s="1"/>
      <c r="NKT82" s="1"/>
      <c r="NKU82" s="1"/>
      <c r="NKV82" s="1"/>
      <c r="NKW82" s="1"/>
      <c r="NKX82" s="1"/>
      <c r="NKY82" s="1"/>
      <c r="NKZ82" s="1"/>
      <c r="NLA82" s="1"/>
      <c r="NLB82" s="1"/>
      <c r="NLC82" s="1"/>
      <c r="NLD82" s="1"/>
      <c r="NLE82" s="1"/>
      <c r="NLF82" s="1"/>
      <c r="NLG82" s="1"/>
      <c r="NLH82" s="1"/>
      <c r="NLI82" s="1"/>
      <c r="NLJ82" s="1"/>
      <c r="NLK82" s="1"/>
      <c r="NLL82" s="1"/>
      <c r="NLM82" s="1"/>
      <c r="NLN82" s="1"/>
      <c r="NLO82" s="1"/>
      <c r="NLP82" s="1"/>
      <c r="NLQ82" s="1"/>
      <c r="NLR82" s="1"/>
      <c r="NLS82" s="1"/>
      <c r="NLT82" s="1"/>
      <c r="NLU82" s="1"/>
      <c r="NLV82" s="1"/>
      <c r="NLW82" s="1"/>
      <c r="NLX82" s="1"/>
      <c r="NLY82" s="1"/>
      <c r="NLZ82" s="1"/>
      <c r="NMA82" s="1"/>
      <c r="NMB82" s="1"/>
      <c r="NMC82" s="1"/>
      <c r="NMD82" s="1"/>
      <c r="NME82" s="1"/>
      <c r="NMF82" s="1"/>
      <c r="NMG82" s="1"/>
      <c r="NMH82" s="1"/>
      <c r="NMI82" s="1"/>
      <c r="NMJ82" s="1"/>
      <c r="NMK82" s="1"/>
      <c r="NML82" s="1"/>
      <c r="NMM82" s="1"/>
      <c r="NMN82" s="1"/>
      <c r="NMO82" s="1"/>
      <c r="NMP82" s="1"/>
      <c r="NMQ82" s="1"/>
      <c r="NMR82" s="1"/>
      <c r="NMS82" s="1"/>
      <c r="NMT82" s="1"/>
      <c r="NMU82" s="1"/>
      <c r="NMV82" s="1"/>
      <c r="NMW82" s="1"/>
      <c r="NMX82" s="1"/>
      <c r="NMY82" s="1"/>
      <c r="NMZ82" s="1"/>
      <c r="NNA82" s="1"/>
      <c r="NNB82" s="1"/>
      <c r="NNC82" s="1"/>
      <c r="NND82" s="1"/>
      <c r="NNE82" s="1"/>
      <c r="NNF82" s="1"/>
      <c r="NNG82" s="1"/>
      <c r="NNH82" s="1"/>
      <c r="NNI82" s="1"/>
      <c r="NNJ82" s="1"/>
      <c r="NNK82" s="1"/>
      <c r="NNL82" s="1"/>
      <c r="NNM82" s="1"/>
      <c r="NNN82" s="1"/>
      <c r="NNO82" s="1"/>
      <c r="NNP82" s="1"/>
      <c r="NNQ82" s="1"/>
      <c r="NNR82" s="1"/>
      <c r="NNS82" s="1"/>
      <c r="NNT82" s="1"/>
      <c r="NNU82" s="1"/>
      <c r="NNV82" s="1"/>
      <c r="NNW82" s="1"/>
      <c r="NNX82" s="1"/>
      <c r="NNY82" s="1"/>
      <c r="NNZ82" s="1"/>
      <c r="NOA82" s="1"/>
      <c r="NOB82" s="1"/>
      <c r="NOC82" s="1"/>
      <c r="NOD82" s="1"/>
      <c r="NOE82" s="1"/>
      <c r="NOF82" s="1"/>
      <c r="NOG82" s="1"/>
      <c r="NOH82" s="1"/>
      <c r="NOI82" s="1"/>
      <c r="NOJ82" s="1"/>
      <c r="NOK82" s="1"/>
      <c r="NOL82" s="1"/>
      <c r="NOM82" s="1"/>
      <c r="NON82" s="1"/>
      <c r="NOO82" s="1"/>
      <c r="NOP82" s="1"/>
      <c r="NOQ82" s="1"/>
      <c r="NOR82" s="1"/>
      <c r="NOS82" s="1"/>
      <c r="NOT82" s="1"/>
      <c r="NOU82" s="1"/>
      <c r="NOV82" s="1"/>
      <c r="NOW82" s="1"/>
      <c r="NOX82" s="1"/>
      <c r="NOY82" s="1"/>
      <c r="NOZ82" s="1"/>
      <c r="NPA82" s="1"/>
      <c r="NPB82" s="1"/>
      <c r="NPC82" s="1"/>
      <c r="NPD82" s="1"/>
      <c r="NPE82" s="1"/>
      <c r="NPF82" s="1"/>
      <c r="NPG82" s="1"/>
      <c r="NPH82" s="1"/>
      <c r="NPI82" s="1"/>
      <c r="NPJ82" s="1"/>
      <c r="NPK82" s="1"/>
      <c r="NPL82" s="1"/>
      <c r="NPM82" s="1"/>
      <c r="NPN82" s="1"/>
      <c r="NPO82" s="1"/>
      <c r="NPP82" s="1"/>
      <c r="NPQ82" s="1"/>
      <c r="NPR82" s="1"/>
      <c r="NPS82" s="1"/>
      <c r="NPT82" s="1"/>
      <c r="NPU82" s="1"/>
      <c r="NPV82" s="1"/>
      <c r="NPW82" s="1"/>
      <c r="NPX82" s="1"/>
      <c r="NPY82" s="1"/>
      <c r="NPZ82" s="1"/>
      <c r="NQA82" s="1"/>
      <c r="NQB82" s="1"/>
      <c r="NQC82" s="1"/>
      <c r="NQD82" s="1"/>
      <c r="NQE82" s="1"/>
      <c r="NQF82" s="1"/>
      <c r="NQG82" s="1"/>
      <c r="NQH82" s="1"/>
      <c r="NQI82" s="1"/>
      <c r="NQJ82" s="1"/>
      <c r="NQK82" s="1"/>
      <c r="NQL82" s="1"/>
      <c r="NQM82" s="1"/>
      <c r="NQN82" s="1"/>
      <c r="NQO82" s="1"/>
      <c r="NQP82" s="1"/>
      <c r="NQQ82" s="1"/>
      <c r="NQR82" s="1"/>
      <c r="NQS82" s="1"/>
      <c r="NQT82" s="1"/>
      <c r="NQU82" s="1"/>
      <c r="NQV82" s="1"/>
      <c r="NQW82" s="1"/>
      <c r="NQX82" s="1"/>
      <c r="NQY82" s="1"/>
      <c r="NQZ82" s="1"/>
      <c r="NRA82" s="1"/>
      <c r="NRB82" s="1"/>
      <c r="NRC82" s="1"/>
      <c r="NRD82" s="1"/>
      <c r="NRE82" s="1"/>
      <c r="NRF82" s="1"/>
      <c r="NRG82" s="1"/>
      <c r="NRH82" s="1"/>
      <c r="NRI82" s="1"/>
      <c r="NRJ82" s="1"/>
      <c r="NRK82" s="1"/>
      <c r="NRL82" s="1"/>
      <c r="NRM82" s="1"/>
      <c r="NRN82" s="1"/>
      <c r="NRO82" s="1"/>
      <c r="NRP82" s="1"/>
      <c r="NRQ82" s="1"/>
      <c r="NRR82" s="1"/>
      <c r="NRS82" s="1"/>
      <c r="NRT82" s="1"/>
      <c r="NRU82" s="1"/>
      <c r="NRV82" s="1"/>
      <c r="NRW82" s="1"/>
      <c r="NRX82" s="1"/>
      <c r="NRY82" s="1"/>
      <c r="NRZ82" s="1"/>
      <c r="NSA82" s="1"/>
      <c r="NSB82" s="1"/>
      <c r="NSC82" s="1"/>
      <c r="NSD82" s="1"/>
      <c r="NSE82" s="1"/>
      <c r="NSF82" s="1"/>
      <c r="NSG82" s="1"/>
      <c r="NSH82" s="1"/>
      <c r="NSI82" s="1"/>
      <c r="NSJ82" s="1"/>
      <c r="NSK82" s="1"/>
      <c r="NSL82" s="1"/>
      <c r="NSM82" s="1"/>
      <c r="NSN82" s="1"/>
      <c r="NSO82" s="1"/>
      <c r="NSP82" s="1"/>
      <c r="NSQ82" s="1"/>
      <c r="NSR82" s="1"/>
      <c r="NSS82" s="1"/>
      <c r="NST82" s="1"/>
      <c r="NSU82" s="1"/>
      <c r="NSV82" s="1"/>
      <c r="NSW82" s="1"/>
      <c r="NSX82" s="1"/>
      <c r="NSY82" s="1"/>
      <c r="NSZ82" s="1"/>
      <c r="NTA82" s="1"/>
      <c r="NTB82" s="1"/>
      <c r="NTC82" s="1"/>
      <c r="NTD82" s="1"/>
      <c r="NTE82" s="1"/>
      <c r="NTF82" s="1"/>
      <c r="NTG82" s="1"/>
      <c r="NTH82" s="1"/>
      <c r="NTI82" s="1"/>
      <c r="NTJ82" s="1"/>
      <c r="NTK82" s="1"/>
      <c r="NTL82" s="1"/>
      <c r="NTM82" s="1"/>
      <c r="NTN82" s="1"/>
      <c r="NTO82" s="1"/>
      <c r="NTP82" s="1"/>
      <c r="NTQ82" s="1"/>
      <c r="NTR82" s="1"/>
      <c r="NTS82" s="1"/>
      <c r="NTT82" s="1"/>
      <c r="NTU82" s="1"/>
      <c r="NTV82" s="1"/>
      <c r="NTW82" s="1"/>
      <c r="NTX82" s="1"/>
      <c r="NTY82" s="1"/>
      <c r="NTZ82" s="1"/>
      <c r="NUA82" s="1"/>
      <c r="NUB82" s="1"/>
      <c r="NUC82" s="1"/>
      <c r="NUD82" s="1"/>
      <c r="NUE82" s="1"/>
      <c r="NUF82" s="1"/>
      <c r="NUG82" s="1"/>
      <c r="NUH82" s="1"/>
      <c r="NUI82" s="1"/>
      <c r="NUJ82" s="1"/>
      <c r="NUK82" s="1"/>
      <c r="NUL82" s="1"/>
      <c r="NUM82" s="1"/>
      <c r="NUN82" s="1"/>
      <c r="NUO82" s="1"/>
      <c r="NUP82" s="1"/>
      <c r="NUQ82" s="1"/>
      <c r="NUR82" s="1"/>
      <c r="NUS82" s="1"/>
      <c r="NUT82" s="1"/>
      <c r="NUU82" s="1"/>
      <c r="NUV82" s="1"/>
      <c r="NUW82" s="1"/>
      <c r="NUX82" s="1"/>
      <c r="NUY82" s="1"/>
      <c r="NUZ82" s="1"/>
      <c r="NVA82" s="1"/>
      <c r="NVB82" s="1"/>
      <c r="NVC82" s="1"/>
      <c r="NVD82" s="1"/>
      <c r="NVE82" s="1"/>
      <c r="NVF82" s="1"/>
      <c r="NVG82" s="1"/>
      <c r="NVH82" s="1"/>
      <c r="NVI82" s="1"/>
      <c r="NVJ82" s="1"/>
      <c r="NVK82" s="1"/>
      <c r="NVL82" s="1"/>
      <c r="NVM82" s="1"/>
      <c r="NVN82" s="1"/>
      <c r="NVO82" s="1"/>
      <c r="NVP82" s="1"/>
      <c r="NVQ82" s="1"/>
      <c r="NVR82" s="1"/>
      <c r="NVS82" s="1"/>
      <c r="NVT82" s="1"/>
      <c r="NVU82" s="1"/>
      <c r="NVV82" s="1"/>
      <c r="NVW82" s="1"/>
      <c r="NVX82" s="1"/>
      <c r="NVY82" s="1"/>
      <c r="NVZ82" s="1"/>
      <c r="NWA82" s="1"/>
      <c r="NWB82" s="1"/>
      <c r="NWC82" s="1"/>
      <c r="NWD82" s="1"/>
      <c r="NWE82" s="1"/>
      <c r="NWF82" s="1"/>
      <c r="NWG82" s="1"/>
      <c r="NWH82" s="1"/>
      <c r="NWI82" s="1"/>
      <c r="NWJ82" s="1"/>
      <c r="NWK82" s="1"/>
      <c r="NWL82" s="1"/>
      <c r="NWM82" s="1"/>
      <c r="NWN82" s="1"/>
      <c r="NWO82" s="1"/>
      <c r="NWP82" s="1"/>
      <c r="NWQ82" s="1"/>
      <c r="NWR82" s="1"/>
      <c r="NWS82" s="1"/>
      <c r="NWT82" s="1"/>
      <c r="NWU82" s="1"/>
      <c r="NWV82" s="1"/>
      <c r="NWW82" s="1"/>
      <c r="NWX82" s="1"/>
      <c r="NWY82" s="1"/>
      <c r="NWZ82" s="1"/>
      <c r="NXA82" s="1"/>
      <c r="NXB82" s="1"/>
      <c r="NXC82" s="1"/>
      <c r="NXD82" s="1"/>
      <c r="NXE82" s="1"/>
      <c r="NXF82" s="1"/>
      <c r="NXG82" s="1"/>
      <c r="NXH82" s="1"/>
      <c r="NXI82" s="1"/>
      <c r="NXJ82" s="1"/>
      <c r="NXK82" s="1"/>
      <c r="NXL82" s="1"/>
      <c r="NXM82" s="1"/>
      <c r="NXN82" s="1"/>
      <c r="NXO82" s="1"/>
      <c r="NXP82" s="1"/>
      <c r="NXQ82" s="1"/>
      <c r="NXR82" s="1"/>
      <c r="NXS82" s="1"/>
      <c r="NXT82" s="1"/>
      <c r="NXU82" s="1"/>
      <c r="NXV82" s="1"/>
      <c r="NXW82" s="1"/>
      <c r="NXX82" s="1"/>
      <c r="NXY82" s="1"/>
      <c r="NXZ82" s="1"/>
      <c r="NYA82" s="1"/>
      <c r="NYB82" s="1"/>
      <c r="NYC82" s="1"/>
      <c r="NYD82" s="1"/>
      <c r="NYE82" s="1"/>
      <c r="NYF82" s="1"/>
      <c r="NYG82" s="1"/>
      <c r="NYH82" s="1"/>
      <c r="NYI82" s="1"/>
      <c r="NYJ82" s="1"/>
      <c r="NYK82" s="1"/>
      <c r="NYL82" s="1"/>
      <c r="NYM82" s="1"/>
      <c r="NYN82" s="1"/>
      <c r="NYO82" s="1"/>
      <c r="NYP82" s="1"/>
      <c r="NYQ82" s="1"/>
      <c r="NYR82" s="1"/>
      <c r="NYS82" s="1"/>
      <c r="NYT82" s="1"/>
      <c r="NYU82" s="1"/>
      <c r="NYV82" s="1"/>
      <c r="NYW82" s="1"/>
      <c r="NYX82" s="1"/>
      <c r="NYY82" s="1"/>
      <c r="NYZ82" s="1"/>
      <c r="NZA82" s="1"/>
      <c r="NZB82" s="1"/>
      <c r="NZC82" s="1"/>
      <c r="NZD82" s="1"/>
      <c r="NZE82" s="1"/>
      <c r="NZF82" s="1"/>
      <c r="NZG82" s="1"/>
      <c r="NZH82" s="1"/>
      <c r="NZI82" s="1"/>
      <c r="NZJ82" s="1"/>
      <c r="NZK82" s="1"/>
      <c r="NZL82" s="1"/>
      <c r="NZM82" s="1"/>
      <c r="NZN82" s="1"/>
      <c r="NZO82" s="1"/>
      <c r="NZP82" s="1"/>
      <c r="NZQ82" s="1"/>
      <c r="NZR82" s="1"/>
      <c r="NZS82" s="1"/>
      <c r="NZT82" s="1"/>
      <c r="NZU82" s="1"/>
      <c r="NZV82" s="1"/>
      <c r="NZW82" s="1"/>
      <c r="NZX82" s="1"/>
      <c r="NZY82" s="1"/>
      <c r="NZZ82" s="1"/>
      <c r="OAA82" s="1"/>
      <c r="OAB82" s="1"/>
      <c r="OAC82" s="1"/>
      <c r="OAD82" s="1"/>
      <c r="OAE82" s="1"/>
      <c r="OAF82" s="1"/>
      <c r="OAG82" s="1"/>
      <c r="OAH82" s="1"/>
      <c r="OAI82" s="1"/>
      <c r="OAJ82" s="1"/>
      <c r="OAK82" s="1"/>
      <c r="OAL82" s="1"/>
      <c r="OAM82" s="1"/>
      <c r="OAN82" s="1"/>
      <c r="OAO82" s="1"/>
      <c r="OAP82" s="1"/>
      <c r="OAQ82" s="1"/>
      <c r="OAR82" s="1"/>
      <c r="OAS82" s="1"/>
      <c r="OAT82" s="1"/>
      <c r="OAU82" s="1"/>
      <c r="OAV82" s="1"/>
      <c r="OAW82" s="1"/>
      <c r="OAX82" s="1"/>
      <c r="OAY82" s="1"/>
      <c r="OAZ82" s="1"/>
      <c r="OBA82" s="1"/>
      <c r="OBB82" s="1"/>
      <c r="OBC82" s="1"/>
      <c r="OBD82" s="1"/>
      <c r="OBE82" s="1"/>
      <c r="OBF82" s="1"/>
      <c r="OBG82" s="1"/>
      <c r="OBH82" s="1"/>
      <c r="OBI82" s="1"/>
      <c r="OBJ82" s="1"/>
      <c r="OBK82" s="1"/>
      <c r="OBL82" s="1"/>
      <c r="OBM82" s="1"/>
      <c r="OBN82" s="1"/>
      <c r="OBO82" s="1"/>
      <c r="OBP82" s="1"/>
      <c r="OBQ82" s="1"/>
      <c r="OBR82" s="1"/>
      <c r="OBS82" s="1"/>
      <c r="OBT82" s="1"/>
      <c r="OBU82" s="1"/>
      <c r="OBV82" s="1"/>
      <c r="OBW82" s="1"/>
      <c r="OBX82" s="1"/>
      <c r="OBY82" s="1"/>
      <c r="OBZ82" s="1"/>
      <c r="OCA82" s="1"/>
      <c r="OCB82" s="1"/>
      <c r="OCC82" s="1"/>
      <c r="OCD82" s="1"/>
      <c r="OCE82" s="1"/>
      <c r="OCF82" s="1"/>
      <c r="OCG82" s="1"/>
      <c r="OCH82" s="1"/>
      <c r="OCI82" s="1"/>
      <c r="OCJ82" s="1"/>
      <c r="OCK82" s="1"/>
      <c r="OCL82" s="1"/>
      <c r="OCM82" s="1"/>
      <c r="OCN82" s="1"/>
      <c r="OCO82" s="1"/>
      <c r="OCP82" s="1"/>
      <c r="OCQ82" s="1"/>
      <c r="OCR82" s="1"/>
      <c r="OCS82" s="1"/>
      <c r="OCT82" s="1"/>
      <c r="OCU82" s="1"/>
      <c r="OCV82" s="1"/>
      <c r="OCW82" s="1"/>
      <c r="OCX82" s="1"/>
      <c r="OCY82" s="1"/>
      <c r="OCZ82" s="1"/>
      <c r="ODA82" s="1"/>
      <c r="ODB82" s="1"/>
      <c r="ODC82" s="1"/>
      <c r="ODD82" s="1"/>
      <c r="ODE82" s="1"/>
      <c r="ODF82" s="1"/>
      <c r="ODG82" s="1"/>
      <c r="ODH82" s="1"/>
      <c r="ODI82" s="1"/>
      <c r="ODJ82" s="1"/>
      <c r="ODK82" s="1"/>
      <c r="ODL82" s="1"/>
      <c r="ODM82" s="1"/>
      <c r="ODN82" s="1"/>
      <c r="ODO82" s="1"/>
      <c r="ODP82" s="1"/>
      <c r="ODQ82" s="1"/>
      <c r="ODR82" s="1"/>
      <c r="ODS82" s="1"/>
      <c r="ODT82" s="1"/>
      <c r="ODU82" s="1"/>
      <c r="ODV82" s="1"/>
      <c r="ODW82" s="1"/>
      <c r="ODX82" s="1"/>
      <c r="ODY82" s="1"/>
      <c r="ODZ82" s="1"/>
      <c r="OEA82" s="1"/>
      <c r="OEB82" s="1"/>
      <c r="OEC82" s="1"/>
      <c r="OED82" s="1"/>
      <c r="OEE82" s="1"/>
      <c r="OEF82" s="1"/>
      <c r="OEG82" s="1"/>
      <c r="OEH82" s="1"/>
      <c r="OEI82" s="1"/>
      <c r="OEJ82" s="1"/>
      <c r="OEK82" s="1"/>
      <c r="OEL82" s="1"/>
      <c r="OEM82" s="1"/>
      <c r="OEN82" s="1"/>
      <c r="OEO82" s="1"/>
      <c r="OEP82" s="1"/>
      <c r="OEQ82" s="1"/>
      <c r="OER82" s="1"/>
      <c r="OES82" s="1"/>
      <c r="OET82" s="1"/>
      <c r="OEU82" s="1"/>
      <c r="OEV82" s="1"/>
      <c r="OEW82" s="1"/>
      <c r="OEX82" s="1"/>
      <c r="OEY82" s="1"/>
      <c r="OEZ82" s="1"/>
      <c r="OFA82" s="1"/>
      <c r="OFB82" s="1"/>
      <c r="OFC82" s="1"/>
      <c r="OFD82" s="1"/>
      <c r="OFE82" s="1"/>
      <c r="OFF82" s="1"/>
      <c r="OFG82" s="1"/>
      <c r="OFH82" s="1"/>
      <c r="OFI82" s="1"/>
      <c r="OFJ82" s="1"/>
      <c r="OFK82" s="1"/>
      <c r="OFL82" s="1"/>
      <c r="OFM82" s="1"/>
      <c r="OFN82" s="1"/>
      <c r="OFO82" s="1"/>
      <c r="OFP82" s="1"/>
      <c r="OFQ82" s="1"/>
      <c r="OFR82" s="1"/>
      <c r="OFS82" s="1"/>
      <c r="OFT82" s="1"/>
      <c r="OFU82" s="1"/>
      <c r="OFV82" s="1"/>
      <c r="OFW82" s="1"/>
      <c r="OFX82" s="1"/>
      <c r="OFY82" s="1"/>
      <c r="OFZ82" s="1"/>
      <c r="OGA82" s="1"/>
      <c r="OGB82" s="1"/>
      <c r="OGC82" s="1"/>
      <c r="OGD82" s="1"/>
      <c r="OGE82" s="1"/>
      <c r="OGF82" s="1"/>
      <c r="OGG82" s="1"/>
      <c r="OGH82" s="1"/>
      <c r="OGI82" s="1"/>
      <c r="OGJ82" s="1"/>
      <c r="OGK82" s="1"/>
      <c r="OGL82" s="1"/>
      <c r="OGM82" s="1"/>
      <c r="OGN82" s="1"/>
      <c r="OGO82" s="1"/>
      <c r="OGP82" s="1"/>
      <c r="OGQ82" s="1"/>
      <c r="OGR82" s="1"/>
      <c r="OGS82" s="1"/>
      <c r="OGT82" s="1"/>
      <c r="OGU82" s="1"/>
      <c r="OGV82" s="1"/>
      <c r="OGW82" s="1"/>
      <c r="OGX82" s="1"/>
      <c r="OGY82" s="1"/>
      <c r="OGZ82" s="1"/>
      <c r="OHA82" s="1"/>
      <c r="OHB82" s="1"/>
      <c r="OHC82" s="1"/>
      <c r="OHD82" s="1"/>
      <c r="OHE82" s="1"/>
      <c r="OHF82" s="1"/>
      <c r="OHG82" s="1"/>
      <c r="OHH82" s="1"/>
      <c r="OHI82" s="1"/>
      <c r="OHJ82" s="1"/>
      <c r="OHK82" s="1"/>
      <c r="OHL82" s="1"/>
      <c r="OHM82" s="1"/>
      <c r="OHN82" s="1"/>
      <c r="OHO82" s="1"/>
      <c r="OHP82" s="1"/>
      <c r="OHQ82" s="1"/>
      <c r="OHR82" s="1"/>
      <c r="OHS82" s="1"/>
      <c r="OHT82" s="1"/>
      <c r="OHU82" s="1"/>
      <c r="OHV82" s="1"/>
      <c r="OHW82" s="1"/>
      <c r="OHX82" s="1"/>
      <c r="OHY82" s="1"/>
      <c r="OHZ82" s="1"/>
      <c r="OIA82" s="1"/>
      <c r="OIB82" s="1"/>
      <c r="OIC82" s="1"/>
      <c r="OID82" s="1"/>
      <c r="OIE82" s="1"/>
      <c r="OIF82" s="1"/>
      <c r="OIG82" s="1"/>
      <c r="OIH82" s="1"/>
      <c r="OII82" s="1"/>
      <c r="OIJ82" s="1"/>
      <c r="OIK82" s="1"/>
      <c r="OIL82" s="1"/>
      <c r="OIM82" s="1"/>
      <c r="OIN82" s="1"/>
      <c r="OIO82" s="1"/>
      <c r="OIP82" s="1"/>
      <c r="OIQ82" s="1"/>
      <c r="OIR82" s="1"/>
      <c r="OIS82" s="1"/>
      <c r="OIT82" s="1"/>
      <c r="OIU82" s="1"/>
      <c r="OIV82" s="1"/>
      <c r="OIW82" s="1"/>
      <c r="OIX82" s="1"/>
      <c r="OIY82" s="1"/>
      <c r="OIZ82" s="1"/>
      <c r="OJA82" s="1"/>
      <c r="OJB82" s="1"/>
      <c r="OJC82" s="1"/>
      <c r="OJD82" s="1"/>
      <c r="OJE82" s="1"/>
      <c r="OJF82" s="1"/>
      <c r="OJG82" s="1"/>
      <c r="OJH82" s="1"/>
      <c r="OJI82" s="1"/>
      <c r="OJJ82" s="1"/>
      <c r="OJK82" s="1"/>
      <c r="OJL82" s="1"/>
      <c r="OJM82" s="1"/>
      <c r="OJN82" s="1"/>
      <c r="OJO82" s="1"/>
      <c r="OJP82" s="1"/>
      <c r="OJQ82" s="1"/>
      <c r="OJR82" s="1"/>
      <c r="OJS82" s="1"/>
      <c r="OJT82" s="1"/>
      <c r="OJU82" s="1"/>
      <c r="OJV82" s="1"/>
      <c r="OJW82" s="1"/>
      <c r="OJX82" s="1"/>
      <c r="OJY82" s="1"/>
      <c r="OJZ82" s="1"/>
      <c r="OKA82" s="1"/>
      <c r="OKB82" s="1"/>
      <c r="OKC82" s="1"/>
      <c r="OKD82" s="1"/>
      <c r="OKE82" s="1"/>
      <c r="OKF82" s="1"/>
      <c r="OKG82" s="1"/>
      <c r="OKH82" s="1"/>
      <c r="OKI82" s="1"/>
      <c r="OKJ82" s="1"/>
      <c r="OKK82" s="1"/>
      <c r="OKL82" s="1"/>
      <c r="OKM82" s="1"/>
      <c r="OKN82" s="1"/>
      <c r="OKO82" s="1"/>
      <c r="OKP82" s="1"/>
      <c r="OKQ82" s="1"/>
      <c r="OKR82" s="1"/>
      <c r="OKS82" s="1"/>
      <c r="OKT82" s="1"/>
      <c r="OKU82" s="1"/>
      <c r="OKV82" s="1"/>
      <c r="OKW82" s="1"/>
      <c r="OKX82" s="1"/>
      <c r="OKY82" s="1"/>
      <c r="OKZ82" s="1"/>
      <c r="OLA82" s="1"/>
      <c r="OLB82" s="1"/>
      <c r="OLC82" s="1"/>
      <c r="OLD82" s="1"/>
      <c r="OLE82" s="1"/>
      <c r="OLF82" s="1"/>
      <c r="OLG82" s="1"/>
      <c r="OLH82" s="1"/>
      <c r="OLI82" s="1"/>
      <c r="OLJ82" s="1"/>
      <c r="OLK82" s="1"/>
      <c r="OLL82" s="1"/>
      <c r="OLM82" s="1"/>
      <c r="OLN82" s="1"/>
      <c r="OLO82" s="1"/>
      <c r="OLP82" s="1"/>
      <c r="OLQ82" s="1"/>
      <c r="OLR82" s="1"/>
      <c r="OLS82" s="1"/>
      <c r="OLT82" s="1"/>
      <c r="OLU82" s="1"/>
      <c r="OLV82" s="1"/>
      <c r="OLW82" s="1"/>
      <c r="OLX82" s="1"/>
      <c r="OLY82" s="1"/>
      <c r="OLZ82" s="1"/>
      <c r="OMA82" s="1"/>
      <c r="OMB82" s="1"/>
      <c r="OMC82" s="1"/>
      <c r="OMD82" s="1"/>
      <c r="OME82" s="1"/>
      <c r="OMF82" s="1"/>
      <c r="OMG82" s="1"/>
      <c r="OMH82" s="1"/>
      <c r="OMI82" s="1"/>
      <c r="OMJ82" s="1"/>
      <c r="OMK82" s="1"/>
      <c r="OML82" s="1"/>
      <c r="OMM82" s="1"/>
      <c r="OMN82" s="1"/>
      <c r="OMO82" s="1"/>
      <c r="OMP82" s="1"/>
      <c r="OMQ82" s="1"/>
      <c r="OMR82" s="1"/>
      <c r="OMS82" s="1"/>
      <c r="OMT82" s="1"/>
      <c r="OMU82" s="1"/>
      <c r="OMV82" s="1"/>
      <c r="OMW82" s="1"/>
      <c r="OMX82" s="1"/>
      <c r="OMY82" s="1"/>
      <c r="OMZ82" s="1"/>
      <c r="ONA82" s="1"/>
      <c r="ONB82" s="1"/>
      <c r="ONC82" s="1"/>
      <c r="OND82" s="1"/>
      <c r="ONE82" s="1"/>
      <c r="ONF82" s="1"/>
      <c r="ONG82" s="1"/>
      <c r="ONH82" s="1"/>
      <c r="ONI82" s="1"/>
      <c r="ONJ82" s="1"/>
      <c r="ONK82" s="1"/>
      <c r="ONL82" s="1"/>
      <c r="ONM82" s="1"/>
      <c r="ONN82" s="1"/>
      <c r="ONO82" s="1"/>
      <c r="ONP82" s="1"/>
      <c r="ONQ82" s="1"/>
      <c r="ONR82" s="1"/>
      <c r="ONS82" s="1"/>
      <c r="ONT82" s="1"/>
      <c r="ONU82" s="1"/>
      <c r="ONV82" s="1"/>
      <c r="ONW82" s="1"/>
      <c r="ONX82" s="1"/>
      <c r="ONY82" s="1"/>
      <c r="ONZ82" s="1"/>
      <c r="OOA82" s="1"/>
      <c r="OOB82" s="1"/>
      <c r="OOC82" s="1"/>
      <c r="OOD82" s="1"/>
      <c r="OOE82" s="1"/>
      <c r="OOF82" s="1"/>
      <c r="OOG82" s="1"/>
      <c r="OOH82" s="1"/>
      <c r="OOI82" s="1"/>
      <c r="OOJ82" s="1"/>
      <c r="OOK82" s="1"/>
      <c r="OOL82" s="1"/>
      <c r="OOM82" s="1"/>
      <c r="OON82" s="1"/>
      <c r="OOO82" s="1"/>
      <c r="OOP82" s="1"/>
      <c r="OOQ82" s="1"/>
      <c r="OOR82" s="1"/>
      <c r="OOS82" s="1"/>
      <c r="OOT82" s="1"/>
      <c r="OOU82" s="1"/>
      <c r="OOV82" s="1"/>
      <c r="OOW82" s="1"/>
      <c r="OOX82" s="1"/>
      <c r="OOY82" s="1"/>
      <c r="OOZ82" s="1"/>
      <c r="OPA82" s="1"/>
      <c r="OPB82" s="1"/>
      <c r="OPC82" s="1"/>
      <c r="OPD82" s="1"/>
      <c r="OPE82" s="1"/>
      <c r="OPF82" s="1"/>
      <c r="OPG82" s="1"/>
      <c r="OPH82" s="1"/>
      <c r="OPI82" s="1"/>
      <c r="OPJ82" s="1"/>
      <c r="OPK82" s="1"/>
      <c r="OPL82" s="1"/>
      <c r="OPM82" s="1"/>
      <c r="OPN82" s="1"/>
      <c r="OPO82" s="1"/>
      <c r="OPP82" s="1"/>
      <c r="OPQ82" s="1"/>
      <c r="OPR82" s="1"/>
      <c r="OPS82" s="1"/>
      <c r="OPT82" s="1"/>
      <c r="OPU82" s="1"/>
      <c r="OPV82" s="1"/>
      <c r="OPW82" s="1"/>
      <c r="OPX82" s="1"/>
      <c r="OPY82" s="1"/>
      <c r="OPZ82" s="1"/>
      <c r="OQA82" s="1"/>
      <c r="OQB82" s="1"/>
      <c r="OQC82" s="1"/>
      <c r="OQD82" s="1"/>
      <c r="OQE82" s="1"/>
      <c r="OQF82" s="1"/>
      <c r="OQG82" s="1"/>
      <c r="OQH82" s="1"/>
      <c r="OQI82" s="1"/>
      <c r="OQJ82" s="1"/>
      <c r="OQK82" s="1"/>
      <c r="OQL82" s="1"/>
      <c r="OQM82" s="1"/>
      <c r="OQN82" s="1"/>
      <c r="OQO82" s="1"/>
      <c r="OQP82" s="1"/>
      <c r="OQQ82" s="1"/>
      <c r="OQR82" s="1"/>
      <c r="OQS82" s="1"/>
      <c r="OQT82" s="1"/>
      <c r="OQU82" s="1"/>
      <c r="OQV82" s="1"/>
      <c r="OQW82" s="1"/>
      <c r="OQX82" s="1"/>
      <c r="OQY82" s="1"/>
      <c r="OQZ82" s="1"/>
      <c r="ORA82" s="1"/>
      <c r="ORB82" s="1"/>
      <c r="ORC82" s="1"/>
      <c r="ORD82" s="1"/>
      <c r="ORE82" s="1"/>
      <c r="ORF82" s="1"/>
      <c r="ORG82" s="1"/>
      <c r="ORH82" s="1"/>
      <c r="ORI82" s="1"/>
      <c r="ORJ82" s="1"/>
      <c r="ORK82" s="1"/>
      <c r="ORL82" s="1"/>
      <c r="ORM82" s="1"/>
      <c r="ORN82" s="1"/>
      <c r="ORO82" s="1"/>
      <c r="ORP82" s="1"/>
      <c r="ORQ82" s="1"/>
      <c r="ORR82" s="1"/>
      <c r="ORS82" s="1"/>
      <c r="ORT82" s="1"/>
      <c r="ORU82" s="1"/>
      <c r="ORV82" s="1"/>
      <c r="ORW82" s="1"/>
      <c r="ORX82" s="1"/>
      <c r="ORY82" s="1"/>
      <c r="ORZ82" s="1"/>
      <c r="OSA82" s="1"/>
      <c r="OSB82" s="1"/>
      <c r="OSC82" s="1"/>
      <c r="OSD82" s="1"/>
      <c r="OSE82" s="1"/>
      <c r="OSF82" s="1"/>
      <c r="OSG82" s="1"/>
      <c r="OSH82" s="1"/>
      <c r="OSI82" s="1"/>
      <c r="OSJ82" s="1"/>
      <c r="OSK82" s="1"/>
      <c r="OSL82" s="1"/>
      <c r="OSM82" s="1"/>
      <c r="OSN82" s="1"/>
      <c r="OSO82" s="1"/>
      <c r="OSP82" s="1"/>
      <c r="OSQ82" s="1"/>
      <c r="OSR82" s="1"/>
      <c r="OSS82" s="1"/>
      <c r="OST82" s="1"/>
      <c r="OSU82" s="1"/>
      <c r="OSV82" s="1"/>
      <c r="OSW82" s="1"/>
      <c r="OSX82" s="1"/>
      <c r="OSY82" s="1"/>
      <c r="OSZ82" s="1"/>
      <c r="OTA82" s="1"/>
      <c r="OTB82" s="1"/>
      <c r="OTC82" s="1"/>
      <c r="OTD82" s="1"/>
      <c r="OTE82" s="1"/>
      <c r="OTF82" s="1"/>
      <c r="OTG82" s="1"/>
      <c r="OTH82" s="1"/>
      <c r="OTI82" s="1"/>
      <c r="OTJ82" s="1"/>
      <c r="OTK82" s="1"/>
      <c r="OTL82" s="1"/>
      <c r="OTM82" s="1"/>
      <c r="OTN82" s="1"/>
      <c r="OTO82" s="1"/>
      <c r="OTP82" s="1"/>
      <c r="OTQ82" s="1"/>
      <c r="OTR82" s="1"/>
      <c r="OTS82" s="1"/>
      <c r="OTT82" s="1"/>
      <c r="OTU82" s="1"/>
      <c r="OTV82" s="1"/>
      <c r="OTW82" s="1"/>
      <c r="OTX82" s="1"/>
      <c r="OTY82" s="1"/>
      <c r="OTZ82" s="1"/>
      <c r="OUA82" s="1"/>
      <c r="OUB82" s="1"/>
      <c r="OUC82" s="1"/>
      <c r="OUD82" s="1"/>
      <c r="OUE82" s="1"/>
      <c r="OUF82" s="1"/>
      <c r="OUG82" s="1"/>
      <c r="OUH82" s="1"/>
      <c r="OUI82" s="1"/>
      <c r="OUJ82" s="1"/>
      <c r="OUK82" s="1"/>
      <c r="OUL82" s="1"/>
      <c r="OUM82" s="1"/>
      <c r="OUN82" s="1"/>
      <c r="OUO82" s="1"/>
      <c r="OUP82" s="1"/>
      <c r="OUQ82" s="1"/>
      <c r="OUR82" s="1"/>
      <c r="OUS82" s="1"/>
      <c r="OUT82" s="1"/>
      <c r="OUU82" s="1"/>
      <c r="OUV82" s="1"/>
      <c r="OUW82" s="1"/>
      <c r="OUX82" s="1"/>
      <c r="OUY82" s="1"/>
      <c r="OUZ82" s="1"/>
      <c r="OVA82" s="1"/>
      <c r="OVB82" s="1"/>
      <c r="OVC82" s="1"/>
      <c r="OVD82" s="1"/>
      <c r="OVE82" s="1"/>
      <c r="OVF82" s="1"/>
      <c r="OVG82" s="1"/>
      <c r="OVH82" s="1"/>
      <c r="OVI82" s="1"/>
      <c r="OVJ82" s="1"/>
      <c r="OVK82" s="1"/>
      <c r="OVL82" s="1"/>
      <c r="OVM82" s="1"/>
      <c r="OVN82" s="1"/>
      <c r="OVO82" s="1"/>
      <c r="OVP82" s="1"/>
      <c r="OVQ82" s="1"/>
      <c r="OVR82" s="1"/>
      <c r="OVS82" s="1"/>
      <c r="OVT82" s="1"/>
      <c r="OVU82" s="1"/>
      <c r="OVV82" s="1"/>
      <c r="OVW82" s="1"/>
      <c r="OVX82" s="1"/>
      <c r="OVY82" s="1"/>
      <c r="OVZ82" s="1"/>
      <c r="OWA82" s="1"/>
      <c r="OWB82" s="1"/>
      <c r="OWC82" s="1"/>
      <c r="OWD82" s="1"/>
      <c r="OWE82" s="1"/>
      <c r="OWF82" s="1"/>
      <c r="OWG82" s="1"/>
      <c r="OWH82" s="1"/>
      <c r="OWI82" s="1"/>
      <c r="OWJ82" s="1"/>
      <c r="OWK82" s="1"/>
      <c r="OWL82" s="1"/>
      <c r="OWM82" s="1"/>
      <c r="OWN82" s="1"/>
      <c r="OWO82" s="1"/>
      <c r="OWP82" s="1"/>
      <c r="OWQ82" s="1"/>
      <c r="OWR82" s="1"/>
      <c r="OWS82" s="1"/>
      <c r="OWT82" s="1"/>
      <c r="OWU82" s="1"/>
      <c r="OWV82" s="1"/>
      <c r="OWW82" s="1"/>
      <c r="OWX82" s="1"/>
      <c r="OWY82" s="1"/>
      <c r="OWZ82" s="1"/>
      <c r="OXA82" s="1"/>
      <c r="OXB82" s="1"/>
      <c r="OXC82" s="1"/>
      <c r="OXD82" s="1"/>
      <c r="OXE82" s="1"/>
      <c r="OXF82" s="1"/>
      <c r="OXG82" s="1"/>
      <c r="OXH82" s="1"/>
      <c r="OXI82" s="1"/>
      <c r="OXJ82" s="1"/>
      <c r="OXK82" s="1"/>
      <c r="OXL82" s="1"/>
      <c r="OXM82" s="1"/>
      <c r="OXN82" s="1"/>
      <c r="OXO82" s="1"/>
      <c r="OXP82" s="1"/>
      <c r="OXQ82" s="1"/>
      <c r="OXR82" s="1"/>
      <c r="OXS82" s="1"/>
      <c r="OXT82" s="1"/>
      <c r="OXU82" s="1"/>
      <c r="OXV82" s="1"/>
      <c r="OXW82" s="1"/>
      <c r="OXX82" s="1"/>
      <c r="OXY82" s="1"/>
      <c r="OXZ82" s="1"/>
      <c r="OYA82" s="1"/>
      <c r="OYB82" s="1"/>
      <c r="OYC82" s="1"/>
      <c r="OYD82" s="1"/>
      <c r="OYE82" s="1"/>
      <c r="OYF82" s="1"/>
      <c r="OYG82" s="1"/>
      <c r="OYH82" s="1"/>
      <c r="OYI82" s="1"/>
      <c r="OYJ82" s="1"/>
      <c r="OYK82" s="1"/>
      <c r="OYL82" s="1"/>
      <c r="OYM82" s="1"/>
      <c r="OYN82" s="1"/>
      <c r="OYO82" s="1"/>
      <c r="OYP82" s="1"/>
      <c r="OYQ82" s="1"/>
      <c r="OYR82" s="1"/>
      <c r="OYS82" s="1"/>
      <c r="OYT82" s="1"/>
      <c r="OYU82" s="1"/>
      <c r="OYV82" s="1"/>
      <c r="OYW82" s="1"/>
      <c r="OYX82" s="1"/>
      <c r="OYY82" s="1"/>
      <c r="OYZ82" s="1"/>
      <c r="OZA82" s="1"/>
      <c r="OZB82" s="1"/>
      <c r="OZC82" s="1"/>
      <c r="OZD82" s="1"/>
      <c r="OZE82" s="1"/>
      <c r="OZF82" s="1"/>
      <c r="OZG82" s="1"/>
      <c r="OZH82" s="1"/>
      <c r="OZI82" s="1"/>
      <c r="OZJ82" s="1"/>
      <c r="OZK82" s="1"/>
      <c r="OZL82" s="1"/>
      <c r="OZM82" s="1"/>
      <c r="OZN82" s="1"/>
      <c r="OZO82" s="1"/>
      <c r="OZP82" s="1"/>
      <c r="OZQ82" s="1"/>
      <c r="OZR82" s="1"/>
      <c r="OZS82" s="1"/>
      <c r="OZT82" s="1"/>
      <c r="OZU82" s="1"/>
      <c r="OZV82" s="1"/>
      <c r="OZW82" s="1"/>
      <c r="OZX82" s="1"/>
      <c r="OZY82" s="1"/>
      <c r="OZZ82" s="1"/>
      <c r="PAA82" s="1"/>
      <c r="PAB82" s="1"/>
      <c r="PAC82" s="1"/>
      <c r="PAD82" s="1"/>
      <c r="PAE82" s="1"/>
      <c r="PAF82" s="1"/>
      <c r="PAG82" s="1"/>
      <c r="PAH82" s="1"/>
      <c r="PAI82" s="1"/>
      <c r="PAJ82" s="1"/>
      <c r="PAK82" s="1"/>
      <c r="PAL82" s="1"/>
      <c r="PAM82" s="1"/>
      <c r="PAN82" s="1"/>
      <c r="PAO82" s="1"/>
      <c r="PAP82" s="1"/>
      <c r="PAQ82" s="1"/>
      <c r="PAR82" s="1"/>
      <c r="PAS82" s="1"/>
      <c r="PAT82" s="1"/>
      <c r="PAU82" s="1"/>
      <c r="PAV82" s="1"/>
      <c r="PAW82" s="1"/>
      <c r="PAX82" s="1"/>
      <c r="PAY82" s="1"/>
      <c r="PAZ82" s="1"/>
      <c r="PBA82" s="1"/>
      <c r="PBB82" s="1"/>
      <c r="PBC82" s="1"/>
      <c r="PBD82" s="1"/>
      <c r="PBE82" s="1"/>
      <c r="PBF82" s="1"/>
      <c r="PBG82" s="1"/>
      <c r="PBH82" s="1"/>
      <c r="PBI82" s="1"/>
      <c r="PBJ82" s="1"/>
      <c r="PBK82" s="1"/>
      <c r="PBL82" s="1"/>
      <c r="PBM82" s="1"/>
      <c r="PBN82" s="1"/>
      <c r="PBO82" s="1"/>
      <c r="PBP82" s="1"/>
      <c r="PBQ82" s="1"/>
      <c r="PBR82" s="1"/>
      <c r="PBS82" s="1"/>
      <c r="PBT82" s="1"/>
      <c r="PBU82" s="1"/>
      <c r="PBV82" s="1"/>
      <c r="PBW82" s="1"/>
      <c r="PBX82" s="1"/>
      <c r="PBY82" s="1"/>
      <c r="PBZ82" s="1"/>
      <c r="PCA82" s="1"/>
      <c r="PCB82" s="1"/>
      <c r="PCC82" s="1"/>
      <c r="PCD82" s="1"/>
      <c r="PCE82" s="1"/>
      <c r="PCF82" s="1"/>
      <c r="PCG82" s="1"/>
      <c r="PCH82" s="1"/>
      <c r="PCI82" s="1"/>
      <c r="PCJ82" s="1"/>
      <c r="PCK82" s="1"/>
      <c r="PCL82" s="1"/>
      <c r="PCM82" s="1"/>
      <c r="PCN82" s="1"/>
      <c r="PCO82" s="1"/>
      <c r="PCP82" s="1"/>
      <c r="PCQ82" s="1"/>
      <c r="PCR82" s="1"/>
      <c r="PCS82" s="1"/>
      <c r="PCT82" s="1"/>
      <c r="PCU82" s="1"/>
      <c r="PCV82" s="1"/>
      <c r="PCW82" s="1"/>
      <c r="PCX82" s="1"/>
      <c r="PCY82" s="1"/>
      <c r="PCZ82" s="1"/>
      <c r="PDA82" s="1"/>
      <c r="PDB82" s="1"/>
      <c r="PDC82" s="1"/>
      <c r="PDD82" s="1"/>
      <c r="PDE82" s="1"/>
      <c r="PDF82" s="1"/>
      <c r="PDG82" s="1"/>
      <c r="PDH82" s="1"/>
      <c r="PDI82" s="1"/>
      <c r="PDJ82" s="1"/>
      <c r="PDK82" s="1"/>
      <c r="PDL82" s="1"/>
      <c r="PDM82" s="1"/>
      <c r="PDN82" s="1"/>
      <c r="PDO82" s="1"/>
      <c r="PDP82" s="1"/>
      <c r="PDQ82" s="1"/>
      <c r="PDR82" s="1"/>
      <c r="PDS82" s="1"/>
      <c r="PDT82" s="1"/>
      <c r="PDU82" s="1"/>
      <c r="PDV82" s="1"/>
      <c r="PDW82" s="1"/>
      <c r="PDX82" s="1"/>
      <c r="PDY82" s="1"/>
      <c r="PDZ82" s="1"/>
      <c r="PEA82" s="1"/>
      <c r="PEB82" s="1"/>
      <c r="PEC82" s="1"/>
      <c r="PED82" s="1"/>
      <c r="PEE82" s="1"/>
      <c r="PEF82" s="1"/>
      <c r="PEG82" s="1"/>
      <c r="PEH82" s="1"/>
      <c r="PEI82" s="1"/>
      <c r="PEJ82" s="1"/>
      <c r="PEK82" s="1"/>
      <c r="PEL82" s="1"/>
      <c r="PEM82" s="1"/>
      <c r="PEN82" s="1"/>
      <c r="PEO82" s="1"/>
      <c r="PEP82" s="1"/>
      <c r="PEQ82" s="1"/>
      <c r="PER82" s="1"/>
      <c r="PES82" s="1"/>
      <c r="PET82" s="1"/>
      <c r="PEU82" s="1"/>
      <c r="PEV82" s="1"/>
      <c r="PEW82" s="1"/>
      <c r="PEX82" s="1"/>
      <c r="PEY82" s="1"/>
      <c r="PEZ82" s="1"/>
      <c r="PFA82" s="1"/>
      <c r="PFB82" s="1"/>
      <c r="PFC82" s="1"/>
      <c r="PFD82" s="1"/>
      <c r="PFE82" s="1"/>
      <c r="PFF82" s="1"/>
      <c r="PFG82" s="1"/>
      <c r="PFH82" s="1"/>
      <c r="PFI82" s="1"/>
      <c r="PFJ82" s="1"/>
      <c r="PFK82" s="1"/>
      <c r="PFL82" s="1"/>
      <c r="PFM82" s="1"/>
      <c r="PFN82" s="1"/>
      <c r="PFO82" s="1"/>
      <c r="PFP82" s="1"/>
      <c r="PFQ82" s="1"/>
      <c r="PFR82" s="1"/>
      <c r="PFS82" s="1"/>
      <c r="PFT82" s="1"/>
      <c r="PFU82" s="1"/>
      <c r="PFV82" s="1"/>
      <c r="PFW82" s="1"/>
      <c r="PFX82" s="1"/>
      <c r="PFY82" s="1"/>
      <c r="PFZ82" s="1"/>
      <c r="PGA82" s="1"/>
      <c r="PGB82" s="1"/>
      <c r="PGC82" s="1"/>
      <c r="PGD82" s="1"/>
      <c r="PGE82" s="1"/>
      <c r="PGF82" s="1"/>
      <c r="PGG82" s="1"/>
      <c r="PGH82" s="1"/>
      <c r="PGI82" s="1"/>
      <c r="PGJ82" s="1"/>
      <c r="PGK82" s="1"/>
      <c r="PGL82" s="1"/>
      <c r="PGM82" s="1"/>
      <c r="PGN82" s="1"/>
      <c r="PGO82" s="1"/>
      <c r="PGP82" s="1"/>
      <c r="PGQ82" s="1"/>
      <c r="PGR82" s="1"/>
      <c r="PGS82" s="1"/>
      <c r="PGT82" s="1"/>
      <c r="PGU82" s="1"/>
      <c r="PGV82" s="1"/>
      <c r="PGW82" s="1"/>
      <c r="PGX82" s="1"/>
      <c r="PGY82" s="1"/>
      <c r="PGZ82" s="1"/>
      <c r="PHA82" s="1"/>
      <c r="PHB82" s="1"/>
      <c r="PHC82" s="1"/>
      <c r="PHD82" s="1"/>
      <c r="PHE82" s="1"/>
      <c r="PHF82" s="1"/>
      <c r="PHG82" s="1"/>
      <c r="PHH82" s="1"/>
      <c r="PHI82" s="1"/>
      <c r="PHJ82" s="1"/>
      <c r="PHK82" s="1"/>
      <c r="PHL82" s="1"/>
      <c r="PHM82" s="1"/>
      <c r="PHN82" s="1"/>
      <c r="PHO82" s="1"/>
      <c r="PHP82" s="1"/>
      <c r="PHQ82" s="1"/>
      <c r="PHR82" s="1"/>
      <c r="PHS82" s="1"/>
      <c r="PHT82" s="1"/>
      <c r="PHU82" s="1"/>
      <c r="PHV82" s="1"/>
      <c r="PHW82" s="1"/>
      <c r="PHX82" s="1"/>
      <c r="PHY82" s="1"/>
      <c r="PHZ82" s="1"/>
      <c r="PIA82" s="1"/>
      <c r="PIB82" s="1"/>
      <c r="PIC82" s="1"/>
      <c r="PID82" s="1"/>
      <c r="PIE82" s="1"/>
      <c r="PIF82" s="1"/>
      <c r="PIG82" s="1"/>
      <c r="PIH82" s="1"/>
      <c r="PII82" s="1"/>
      <c r="PIJ82" s="1"/>
      <c r="PIK82" s="1"/>
      <c r="PIL82" s="1"/>
      <c r="PIM82" s="1"/>
      <c r="PIN82" s="1"/>
      <c r="PIO82" s="1"/>
      <c r="PIP82" s="1"/>
      <c r="PIQ82" s="1"/>
      <c r="PIR82" s="1"/>
      <c r="PIS82" s="1"/>
      <c r="PIT82" s="1"/>
      <c r="PIU82" s="1"/>
      <c r="PIV82" s="1"/>
      <c r="PIW82" s="1"/>
      <c r="PIX82" s="1"/>
      <c r="PIY82" s="1"/>
      <c r="PIZ82" s="1"/>
      <c r="PJA82" s="1"/>
      <c r="PJB82" s="1"/>
      <c r="PJC82" s="1"/>
      <c r="PJD82" s="1"/>
      <c r="PJE82" s="1"/>
      <c r="PJF82" s="1"/>
      <c r="PJG82" s="1"/>
      <c r="PJH82" s="1"/>
      <c r="PJI82" s="1"/>
      <c r="PJJ82" s="1"/>
      <c r="PJK82" s="1"/>
      <c r="PJL82" s="1"/>
      <c r="PJM82" s="1"/>
      <c r="PJN82" s="1"/>
      <c r="PJO82" s="1"/>
      <c r="PJP82" s="1"/>
      <c r="PJQ82" s="1"/>
      <c r="PJR82" s="1"/>
      <c r="PJS82" s="1"/>
      <c r="PJT82" s="1"/>
      <c r="PJU82" s="1"/>
      <c r="PJV82" s="1"/>
      <c r="PJW82" s="1"/>
      <c r="PJX82" s="1"/>
      <c r="PJY82" s="1"/>
      <c r="PJZ82" s="1"/>
      <c r="PKA82" s="1"/>
      <c r="PKB82" s="1"/>
      <c r="PKC82" s="1"/>
      <c r="PKD82" s="1"/>
      <c r="PKE82" s="1"/>
      <c r="PKF82" s="1"/>
      <c r="PKG82" s="1"/>
      <c r="PKH82" s="1"/>
      <c r="PKI82" s="1"/>
      <c r="PKJ82" s="1"/>
      <c r="PKK82" s="1"/>
      <c r="PKL82" s="1"/>
      <c r="PKM82" s="1"/>
      <c r="PKN82" s="1"/>
      <c r="PKO82" s="1"/>
      <c r="PKP82" s="1"/>
      <c r="PKQ82" s="1"/>
      <c r="PKR82" s="1"/>
      <c r="PKS82" s="1"/>
      <c r="PKT82" s="1"/>
      <c r="PKU82" s="1"/>
      <c r="PKV82" s="1"/>
      <c r="PKW82" s="1"/>
      <c r="PKX82" s="1"/>
      <c r="PKY82" s="1"/>
      <c r="PKZ82" s="1"/>
      <c r="PLA82" s="1"/>
      <c r="PLB82" s="1"/>
      <c r="PLC82" s="1"/>
      <c r="PLD82" s="1"/>
      <c r="PLE82" s="1"/>
      <c r="PLF82" s="1"/>
      <c r="PLG82" s="1"/>
      <c r="PLH82" s="1"/>
      <c r="PLI82" s="1"/>
      <c r="PLJ82" s="1"/>
      <c r="PLK82" s="1"/>
      <c r="PLL82" s="1"/>
      <c r="PLM82" s="1"/>
      <c r="PLN82" s="1"/>
      <c r="PLO82" s="1"/>
      <c r="PLP82" s="1"/>
      <c r="PLQ82" s="1"/>
      <c r="PLR82" s="1"/>
      <c r="PLS82" s="1"/>
      <c r="PLT82" s="1"/>
      <c r="PLU82" s="1"/>
      <c r="PLV82" s="1"/>
      <c r="PLW82" s="1"/>
      <c r="PLX82" s="1"/>
      <c r="PLY82" s="1"/>
      <c r="PLZ82" s="1"/>
      <c r="PMA82" s="1"/>
      <c r="PMB82" s="1"/>
      <c r="PMC82" s="1"/>
      <c r="PMD82" s="1"/>
      <c r="PME82" s="1"/>
      <c r="PMF82" s="1"/>
      <c r="PMG82" s="1"/>
      <c r="PMH82" s="1"/>
      <c r="PMI82" s="1"/>
      <c r="PMJ82" s="1"/>
      <c r="PMK82" s="1"/>
      <c r="PML82" s="1"/>
      <c r="PMM82" s="1"/>
      <c r="PMN82" s="1"/>
      <c r="PMO82" s="1"/>
      <c r="PMP82" s="1"/>
      <c r="PMQ82" s="1"/>
      <c r="PMR82" s="1"/>
      <c r="PMS82" s="1"/>
      <c r="PMT82" s="1"/>
      <c r="PMU82" s="1"/>
      <c r="PMV82" s="1"/>
      <c r="PMW82" s="1"/>
      <c r="PMX82" s="1"/>
      <c r="PMY82" s="1"/>
      <c r="PMZ82" s="1"/>
      <c r="PNA82" s="1"/>
      <c r="PNB82" s="1"/>
      <c r="PNC82" s="1"/>
      <c r="PND82" s="1"/>
      <c r="PNE82" s="1"/>
      <c r="PNF82" s="1"/>
      <c r="PNG82" s="1"/>
      <c r="PNH82" s="1"/>
      <c r="PNI82" s="1"/>
      <c r="PNJ82" s="1"/>
      <c r="PNK82" s="1"/>
      <c r="PNL82" s="1"/>
      <c r="PNM82" s="1"/>
      <c r="PNN82" s="1"/>
      <c r="PNO82" s="1"/>
      <c r="PNP82" s="1"/>
      <c r="PNQ82" s="1"/>
      <c r="PNR82" s="1"/>
      <c r="PNS82" s="1"/>
      <c r="PNT82" s="1"/>
      <c r="PNU82" s="1"/>
      <c r="PNV82" s="1"/>
      <c r="PNW82" s="1"/>
      <c r="PNX82" s="1"/>
      <c r="PNY82" s="1"/>
      <c r="PNZ82" s="1"/>
      <c r="POA82" s="1"/>
      <c r="POB82" s="1"/>
      <c r="POC82" s="1"/>
      <c r="POD82" s="1"/>
      <c r="POE82" s="1"/>
      <c r="POF82" s="1"/>
      <c r="POG82" s="1"/>
      <c r="POH82" s="1"/>
      <c r="POI82" s="1"/>
      <c r="POJ82" s="1"/>
      <c r="POK82" s="1"/>
      <c r="POL82" s="1"/>
      <c r="POM82" s="1"/>
      <c r="PON82" s="1"/>
      <c r="POO82" s="1"/>
      <c r="POP82" s="1"/>
      <c r="POQ82" s="1"/>
      <c r="POR82" s="1"/>
      <c r="POS82" s="1"/>
      <c r="POT82" s="1"/>
      <c r="POU82" s="1"/>
      <c r="POV82" s="1"/>
      <c r="POW82" s="1"/>
      <c r="POX82" s="1"/>
      <c r="POY82" s="1"/>
      <c r="POZ82" s="1"/>
      <c r="PPA82" s="1"/>
      <c r="PPB82" s="1"/>
      <c r="PPC82" s="1"/>
      <c r="PPD82" s="1"/>
      <c r="PPE82" s="1"/>
      <c r="PPF82" s="1"/>
      <c r="PPG82" s="1"/>
      <c r="PPH82" s="1"/>
      <c r="PPI82" s="1"/>
      <c r="PPJ82" s="1"/>
      <c r="PPK82" s="1"/>
      <c r="PPL82" s="1"/>
      <c r="PPM82" s="1"/>
      <c r="PPN82" s="1"/>
      <c r="PPO82" s="1"/>
      <c r="PPP82" s="1"/>
      <c r="PPQ82" s="1"/>
      <c r="PPR82" s="1"/>
      <c r="PPS82" s="1"/>
      <c r="PPT82" s="1"/>
      <c r="PPU82" s="1"/>
      <c r="PPV82" s="1"/>
      <c r="PPW82" s="1"/>
      <c r="PPX82" s="1"/>
      <c r="PPY82" s="1"/>
      <c r="PPZ82" s="1"/>
      <c r="PQA82" s="1"/>
      <c r="PQB82" s="1"/>
      <c r="PQC82" s="1"/>
      <c r="PQD82" s="1"/>
      <c r="PQE82" s="1"/>
      <c r="PQF82" s="1"/>
      <c r="PQG82" s="1"/>
      <c r="PQH82" s="1"/>
      <c r="PQI82" s="1"/>
      <c r="PQJ82" s="1"/>
      <c r="PQK82" s="1"/>
      <c r="PQL82" s="1"/>
      <c r="PQM82" s="1"/>
      <c r="PQN82" s="1"/>
      <c r="PQO82" s="1"/>
      <c r="PQP82" s="1"/>
      <c r="PQQ82" s="1"/>
      <c r="PQR82" s="1"/>
      <c r="PQS82" s="1"/>
      <c r="PQT82" s="1"/>
      <c r="PQU82" s="1"/>
      <c r="PQV82" s="1"/>
      <c r="PQW82" s="1"/>
      <c r="PQX82" s="1"/>
      <c r="PQY82" s="1"/>
      <c r="PQZ82" s="1"/>
      <c r="PRA82" s="1"/>
      <c r="PRB82" s="1"/>
      <c r="PRC82" s="1"/>
      <c r="PRD82" s="1"/>
      <c r="PRE82" s="1"/>
      <c r="PRF82" s="1"/>
      <c r="PRG82" s="1"/>
      <c r="PRH82" s="1"/>
      <c r="PRI82" s="1"/>
      <c r="PRJ82" s="1"/>
      <c r="PRK82" s="1"/>
      <c r="PRL82" s="1"/>
      <c r="PRM82" s="1"/>
      <c r="PRN82" s="1"/>
      <c r="PRO82" s="1"/>
      <c r="PRP82" s="1"/>
      <c r="PRQ82" s="1"/>
      <c r="PRR82" s="1"/>
      <c r="PRS82" s="1"/>
      <c r="PRT82" s="1"/>
      <c r="PRU82" s="1"/>
      <c r="PRV82" s="1"/>
      <c r="PRW82" s="1"/>
      <c r="PRX82" s="1"/>
      <c r="PRY82" s="1"/>
      <c r="PRZ82" s="1"/>
      <c r="PSA82" s="1"/>
      <c r="PSB82" s="1"/>
      <c r="PSC82" s="1"/>
      <c r="PSD82" s="1"/>
      <c r="PSE82" s="1"/>
      <c r="PSF82" s="1"/>
      <c r="PSG82" s="1"/>
      <c r="PSH82" s="1"/>
      <c r="PSI82" s="1"/>
      <c r="PSJ82" s="1"/>
      <c r="PSK82" s="1"/>
      <c r="PSL82" s="1"/>
      <c r="PSM82" s="1"/>
      <c r="PSN82" s="1"/>
      <c r="PSO82" s="1"/>
      <c r="PSP82" s="1"/>
      <c r="PSQ82" s="1"/>
      <c r="PSR82" s="1"/>
      <c r="PSS82" s="1"/>
      <c r="PST82" s="1"/>
      <c r="PSU82" s="1"/>
      <c r="PSV82" s="1"/>
      <c r="PSW82" s="1"/>
      <c r="PSX82" s="1"/>
      <c r="PSY82" s="1"/>
      <c r="PSZ82" s="1"/>
      <c r="PTA82" s="1"/>
      <c r="PTB82" s="1"/>
      <c r="PTC82" s="1"/>
      <c r="PTD82" s="1"/>
      <c r="PTE82" s="1"/>
      <c r="PTF82" s="1"/>
      <c r="PTG82" s="1"/>
      <c r="PTH82" s="1"/>
      <c r="PTI82" s="1"/>
      <c r="PTJ82" s="1"/>
      <c r="PTK82" s="1"/>
      <c r="PTL82" s="1"/>
      <c r="PTM82" s="1"/>
      <c r="PTN82" s="1"/>
      <c r="PTO82" s="1"/>
      <c r="PTP82" s="1"/>
      <c r="PTQ82" s="1"/>
      <c r="PTR82" s="1"/>
      <c r="PTS82" s="1"/>
      <c r="PTT82" s="1"/>
      <c r="PTU82" s="1"/>
      <c r="PTV82" s="1"/>
      <c r="PTW82" s="1"/>
      <c r="PTX82" s="1"/>
      <c r="PTY82" s="1"/>
      <c r="PTZ82" s="1"/>
      <c r="PUA82" s="1"/>
      <c r="PUB82" s="1"/>
      <c r="PUC82" s="1"/>
      <c r="PUD82" s="1"/>
      <c r="PUE82" s="1"/>
      <c r="PUF82" s="1"/>
      <c r="PUG82" s="1"/>
      <c r="PUH82" s="1"/>
      <c r="PUI82" s="1"/>
      <c r="PUJ82" s="1"/>
      <c r="PUK82" s="1"/>
      <c r="PUL82" s="1"/>
      <c r="PUM82" s="1"/>
      <c r="PUN82" s="1"/>
      <c r="PUO82" s="1"/>
      <c r="PUP82" s="1"/>
      <c r="PUQ82" s="1"/>
      <c r="PUR82" s="1"/>
      <c r="PUS82" s="1"/>
      <c r="PUT82" s="1"/>
      <c r="PUU82" s="1"/>
      <c r="PUV82" s="1"/>
      <c r="PUW82" s="1"/>
      <c r="PUX82" s="1"/>
      <c r="PUY82" s="1"/>
      <c r="PUZ82" s="1"/>
      <c r="PVA82" s="1"/>
      <c r="PVB82" s="1"/>
      <c r="PVC82" s="1"/>
      <c r="PVD82" s="1"/>
      <c r="PVE82" s="1"/>
      <c r="PVF82" s="1"/>
      <c r="PVG82" s="1"/>
      <c r="PVH82" s="1"/>
      <c r="PVI82" s="1"/>
      <c r="PVJ82" s="1"/>
      <c r="PVK82" s="1"/>
      <c r="PVL82" s="1"/>
      <c r="PVM82" s="1"/>
      <c r="PVN82" s="1"/>
      <c r="PVO82" s="1"/>
      <c r="PVP82" s="1"/>
      <c r="PVQ82" s="1"/>
      <c r="PVR82" s="1"/>
      <c r="PVS82" s="1"/>
      <c r="PVT82" s="1"/>
      <c r="PVU82" s="1"/>
      <c r="PVV82" s="1"/>
      <c r="PVW82" s="1"/>
      <c r="PVX82" s="1"/>
      <c r="PVY82" s="1"/>
      <c r="PVZ82" s="1"/>
      <c r="PWA82" s="1"/>
      <c r="PWB82" s="1"/>
      <c r="PWC82" s="1"/>
      <c r="PWD82" s="1"/>
      <c r="PWE82" s="1"/>
      <c r="PWF82" s="1"/>
      <c r="PWG82" s="1"/>
      <c r="PWH82" s="1"/>
      <c r="PWI82" s="1"/>
      <c r="PWJ82" s="1"/>
      <c r="PWK82" s="1"/>
      <c r="PWL82" s="1"/>
      <c r="PWM82" s="1"/>
      <c r="PWN82" s="1"/>
      <c r="PWO82" s="1"/>
      <c r="PWP82" s="1"/>
      <c r="PWQ82" s="1"/>
      <c r="PWR82" s="1"/>
      <c r="PWS82" s="1"/>
      <c r="PWT82" s="1"/>
      <c r="PWU82" s="1"/>
      <c r="PWV82" s="1"/>
      <c r="PWW82" s="1"/>
      <c r="PWX82" s="1"/>
      <c r="PWY82" s="1"/>
      <c r="PWZ82" s="1"/>
      <c r="PXA82" s="1"/>
      <c r="PXB82" s="1"/>
      <c r="PXC82" s="1"/>
      <c r="PXD82" s="1"/>
      <c r="PXE82" s="1"/>
      <c r="PXF82" s="1"/>
      <c r="PXG82" s="1"/>
      <c r="PXH82" s="1"/>
      <c r="PXI82" s="1"/>
      <c r="PXJ82" s="1"/>
      <c r="PXK82" s="1"/>
      <c r="PXL82" s="1"/>
      <c r="PXM82" s="1"/>
      <c r="PXN82" s="1"/>
      <c r="PXO82" s="1"/>
      <c r="PXP82" s="1"/>
      <c r="PXQ82" s="1"/>
      <c r="PXR82" s="1"/>
      <c r="PXS82" s="1"/>
      <c r="PXT82" s="1"/>
      <c r="PXU82" s="1"/>
      <c r="PXV82" s="1"/>
      <c r="PXW82" s="1"/>
      <c r="PXX82" s="1"/>
      <c r="PXY82" s="1"/>
      <c r="PXZ82" s="1"/>
      <c r="PYA82" s="1"/>
      <c r="PYB82" s="1"/>
      <c r="PYC82" s="1"/>
      <c r="PYD82" s="1"/>
      <c r="PYE82" s="1"/>
      <c r="PYF82" s="1"/>
      <c r="PYG82" s="1"/>
      <c r="PYH82" s="1"/>
      <c r="PYI82" s="1"/>
      <c r="PYJ82" s="1"/>
      <c r="PYK82" s="1"/>
      <c r="PYL82" s="1"/>
      <c r="PYM82" s="1"/>
      <c r="PYN82" s="1"/>
      <c r="PYO82" s="1"/>
      <c r="PYP82" s="1"/>
      <c r="PYQ82" s="1"/>
      <c r="PYR82" s="1"/>
      <c r="PYS82" s="1"/>
      <c r="PYT82" s="1"/>
      <c r="PYU82" s="1"/>
      <c r="PYV82" s="1"/>
      <c r="PYW82" s="1"/>
      <c r="PYX82" s="1"/>
      <c r="PYY82" s="1"/>
      <c r="PYZ82" s="1"/>
      <c r="PZA82" s="1"/>
      <c r="PZB82" s="1"/>
      <c r="PZC82" s="1"/>
      <c r="PZD82" s="1"/>
      <c r="PZE82" s="1"/>
      <c r="PZF82" s="1"/>
      <c r="PZG82" s="1"/>
      <c r="PZH82" s="1"/>
      <c r="PZI82" s="1"/>
      <c r="PZJ82" s="1"/>
      <c r="PZK82" s="1"/>
      <c r="PZL82" s="1"/>
      <c r="PZM82" s="1"/>
      <c r="PZN82" s="1"/>
      <c r="PZO82" s="1"/>
      <c r="PZP82" s="1"/>
      <c r="PZQ82" s="1"/>
      <c r="PZR82" s="1"/>
      <c r="PZS82" s="1"/>
      <c r="PZT82" s="1"/>
      <c r="PZU82" s="1"/>
      <c r="PZV82" s="1"/>
      <c r="PZW82" s="1"/>
      <c r="PZX82" s="1"/>
      <c r="PZY82" s="1"/>
      <c r="PZZ82" s="1"/>
      <c r="QAA82" s="1"/>
      <c r="QAB82" s="1"/>
      <c r="QAC82" s="1"/>
      <c r="QAD82" s="1"/>
      <c r="QAE82" s="1"/>
      <c r="QAF82" s="1"/>
      <c r="QAG82" s="1"/>
      <c r="QAH82" s="1"/>
      <c r="QAI82" s="1"/>
      <c r="QAJ82" s="1"/>
      <c r="QAK82" s="1"/>
      <c r="QAL82" s="1"/>
      <c r="QAM82" s="1"/>
      <c r="QAN82" s="1"/>
      <c r="QAO82" s="1"/>
      <c r="QAP82" s="1"/>
      <c r="QAQ82" s="1"/>
      <c r="QAR82" s="1"/>
      <c r="QAS82" s="1"/>
      <c r="QAT82" s="1"/>
      <c r="QAU82" s="1"/>
      <c r="QAV82" s="1"/>
      <c r="QAW82" s="1"/>
      <c r="QAX82" s="1"/>
      <c r="QAY82" s="1"/>
      <c r="QAZ82" s="1"/>
      <c r="QBA82" s="1"/>
      <c r="QBB82" s="1"/>
      <c r="QBC82" s="1"/>
      <c r="QBD82" s="1"/>
      <c r="QBE82" s="1"/>
      <c r="QBF82" s="1"/>
      <c r="QBG82" s="1"/>
      <c r="QBH82" s="1"/>
      <c r="QBI82" s="1"/>
      <c r="QBJ82" s="1"/>
      <c r="QBK82" s="1"/>
      <c r="QBL82" s="1"/>
      <c r="QBM82" s="1"/>
      <c r="QBN82" s="1"/>
      <c r="QBO82" s="1"/>
      <c r="QBP82" s="1"/>
      <c r="QBQ82" s="1"/>
      <c r="QBR82" s="1"/>
      <c r="QBS82" s="1"/>
      <c r="QBT82" s="1"/>
      <c r="QBU82" s="1"/>
      <c r="QBV82" s="1"/>
      <c r="QBW82" s="1"/>
      <c r="QBX82" s="1"/>
      <c r="QBY82" s="1"/>
      <c r="QBZ82" s="1"/>
      <c r="QCA82" s="1"/>
      <c r="QCB82" s="1"/>
      <c r="QCC82" s="1"/>
      <c r="QCD82" s="1"/>
      <c r="QCE82" s="1"/>
      <c r="QCF82" s="1"/>
      <c r="QCG82" s="1"/>
      <c r="QCH82" s="1"/>
      <c r="QCI82" s="1"/>
      <c r="QCJ82" s="1"/>
      <c r="QCK82" s="1"/>
      <c r="QCL82" s="1"/>
      <c r="QCM82" s="1"/>
      <c r="QCN82" s="1"/>
      <c r="QCO82" s="1"/>
      <c r="QCP82" s="1"/>
      <c r="QCQ82" s="1"/>
      <c r="QCR82" s="1"/>
      <c r="QCS82" s="1"/>
      <c r="QCT82" s="1"/>
      <c r="QCU82" s="1"/>
      <c r="QCV82" s="1"/>
      <c r="QCW82" s="1"/>
      <c r="QCX82" s="1"/>
      <c r="QCY82" s="1"/>
      <c r="QCZ82" s="1"/>
      <c r="QDA82" s="1"/>
      <c r="QDB82" s="1"/>
      <c r="QDC82" s="1"/>
      <c r="QDD82" s="1"/>
      <c r="QDE82" s="1"/>
      <c r="QDF82" s="1"/>
      <c r="QDG82" s="1"/>
      <c r="QDH82" s="1"/>
      <c r="QDI82" s="1"/>
      <c r="QDJ82" s="1"/>
      <c r="QDK82" s="1"/>
      <c r="QDL82" s="1"/>
      <c r="QDM82" s="1"/>
      <c r="QDN82" s="1"/>
      <c r="QDO82" s="1"/>
      <c r="QDP82" s="1"/>
      <c r="QDQ82" s="1"/>
      <c r="QDR82" s="1"/>
      <c r="QDS82" s="1"/>
      <c r="QDT82" s="1"/>
      <c r="QDU82" s="1"/>
      <c r="QDV82" s="1"/>
      <c r="QDW82" s="1"/>
      <c r="QDX82" s="1"/>
      <c r="QDY82" s="1"/>
      <c r="QDZ82" s="1"/>
      <c r="QEA82" s="1"/>
      <c r="QEB82" s="1"/>
      <c r="QEC82" s="1"/>
      <c r="QED82" s="1"/>
      <c r="QEE82" s="1"/>
      <c r="QEF82" s="1"/>
      <c r="QEG82" s="1"/>
      <c r="QEH82" s="1"/>
      <c r="QEI82" s="1"/>
      <c r="QEJ82" s="1"/>
      <c r="QEK82" s="1"/>
      <c r="QEL82" s="1"/>
      <c r="QEM82" s="1"/>
      <c r="QEN82" s="1"/>
      <c r="QEO82" s="1"/>
      <c r="QEP82" s="1"/>
      <c r="QEQ82" s="1"/>
      <c r="QER82" s="1"/>
      <c r="QES82" s="1"/>
      <c r="QET82" s="1"/>
      <c r="QEU82" s="1"/>
      <c r="QEV82" s="1"/>
      <c r="QEW82" s="1"/>
      <c r="QEX82" s="1"/>
      <c r="QEY82" s="1"/>
      <c r="QEZ82" s="1"/>
      <c r="QFA82" s="1"/>
      <c r="QFB82" s="1"/>
      <c r="QFC82" s="1"/>
      <c r="QFD82" s="1"/>
      <c r="QFE82" s="1"/>
      <c r="QFF82" s="1"/>
      <c r="QFG82" s="1"/>
      <c r="QFH82" s="1"/>
      <c r="QFI82" s="1"/>
      <c r="QFJ82" s="1"/>
      <c r="QFK82" s="1"/>
      <c r="QFL82" s="1"/>
      <c r="QFM82" s="1"/>
      <c r="QFN82" s="1"/>
      <c r="QFO82" s="1"/>
      <c r="QFP82" s="1"/>
      <c r="QFQ82" s="1"/>
      <c r="QFR82" s="1"/>
      <c r="QFS82" s="1"/>
      <c r="QFT82" s="1"/>
      <c r="QFU82" s="1"/>
      <c r="QFV82" s="1"/>
      <c r="QFW82" s="1"/>
      <c r="QFX82" s="1"/>
      <c r="QFY82" s="1"/>
      <c r="QFZ82" s="1"/>
      <c r="QGA82" s="1"/>
      <c r="QGB82" s="1"/>
      <c r="QGC82" s="1"/>
      <c r="QGD82" s="1"/>
      <c r="QGE82" s="1"/>
      <c r="QGF82" s="1"/>
      <c r="QGG82" s="1"/>
      <c r="QGH82" s="1"/>
      <c r="QGI82" s="1"/>
      <c r="QGJ82" s="1"/>
      <c r="QGK82" s="1"/>
      <c r="QGL82" s="1"/>
      <c r="QGM82" s="1"/>
      <c r="QGN82" s="1"/>
      <c r="QGO82" s="1"/>
      <c r="QGP82" s="1"/>
      <c r="QGQ82" s="1"/>
      <c r="QGR82" s="1"/>
      <c r="QGS82" s="1"/>
      <c r="QGT82" s="1"/>
      <c r="QGU82" s="1"/>
      <c r="QGV82" s="1"/>
      <c r="QGW82" s="1"/>
      <c r="QGX82" s="1"/>
      <c r="QGY82" s="1"/>
      <c r="QGZ82" s="1"/>
      <c r="QHA82" s="1"/>
      <c r="QHB82" s="1"/>
      <c r="QHC82" s="1"/>
      <c r="QHD82" s="1"/>
      <c r="QHE82" s="1"/>
      <c r="QHF82" s="1"/>
      <c r="QHG82" s="1"/>
      <c r="QHH82" s="1"/>
      <c r="QHI82" s="1"/>
      <c r="QHJ82" s="1"/>
      <c r="QHK82" s="1"/>
      <c r="QHL82" s="1"/>
      <c r="QHM82" s="1"/>
      <c r="QHN82" s="1"/>
      <c r="QHO82" s="1"/>
      <c r="QHP82" s="1"/>
      <c r="QHQ82" s="1"/>
      <c r="QHR82" s="1"/>
      <c r="QHS82" s="1"/>
      <c r="QHT82" s="1"/>
      <c r="QHU82" s="1"/>
      <c r="QHV82" s="1"/>
      <c r="QHW82" s="1"/>
      <c r="QHX82" s="1"/>
      <c r="QHY82" s="1"/>
      <c r="QHZ82" s="1"/>
      <c r="QIA82" s="1"/>
      <c r="QIB82" s="1"/>
      <c r="QIC82" s="1"/>
      <c r="QID82" s="1"/>
      <c r="QIE82" s="1"/>
      <c r="QIF82" s="1"/>
      <c r="QIG82" s="1"/>
      <c r="QIH82" s="1"/>
      <c r="QII82" s="1"/>
      <c r="QIJ82" s="1"/>
      <c r="QIK82" s="1"/>
      <c r="QIL82" s="1"/>
      <c r="QIM82" s="1"/>
      <c r="QIN82" s="1"/>
      <c r="QIO82" s="1"/>
      <c r="QIP82" s="1"/>
      <c r="QIQ82" s="1"/>
      <c r="QIR82" s="1"/>
      <c r="QIS82" s="1"/>
      <c r="QIT82" s="1"/>
      <c r="QIU82" s="1"/>
      <c r="QIV82" s="1"/>
      <c r="QIW82" s="1"/>
      <c r="QIX82" s="1"/>
      <c r="QIY82" s="1"/>
      <c r="QIZ82" s="1"/>
      <c r="QJA82" s="1"/>
      <c r="QJB82" s="1"/>
      <c r="QJC82" s="1"/>
      <c r="QJD82" s="1"/>
      <c r="QJE82" s="1"/>
      <c r="QJF82" s="1"/>
      <c r="QJG82" s="1"/>
      <c r="QJH82" s="1"/>
      <c r="QJI82" s="1"/>
      <c r="QJJ82" s="1"/>
      <c r="QJK82" s="1"/>
      <c r="QJL82" s="1"/>
      <c r="QJM82" s="1"/>
      <c r="QJN82" s="1"/>
      <c r="QJO82" s="1"/>
      <c r="QJP82" s="1"/>
      <c r="QJQ82" s="1"/>
      <c r="QJR82" s="1"/>
      <c r="QJS82" s="1"/>
      <c r="QJT82" s="1"/>
      <c r="QJU82" s="1"/>
      <c r="QJV82" s="1"/>
      <c r="QJW82" s="1"/>
      <c r="QJX82" s="1"/>
      <c r="QJY82" s="1"/>
      <c r="QJZ82" s="1"/>
      <c r="QKA82" s="1"/>
      <c r="QKB82" s="1"/>
      <c r="QKC82" s="1"/>
      <c r="QKD82" s="1"/>
      <c r="QKE82" s="1"/>
      <c r="QKF82" s="1"/>
      <c r="QKG82" s="1"/>
      <c r="QKH82" s="1"/>
      <c r="QKI82" s="1"/>
      <c r="QKJ82" s="1"/>
      <c r="QKK82" s="1"/>
      <c r="QKL82" s="1"/>
      <c r="QKM82" s="1"/>
      <c r="QKN82" s="1"/>
      <c r="QKO82" s="1"/>
      <c r="QKP82" s="1"/>
      <c r="QKQ82" s="1"/>
      <c r="QKR82" s="1"/>
      <c r="QKS82" s="1"/>
      <c r="QKT82" s="1"/>
      <c r="QKU82" s="1"/>
      <c r="QKV82" s="1"/>
      <c r="QKW82" s="1"/>
      <c r="QKX82" s="1"/>
      <c r="QKY82" s="1"/>
      <c r="QKZ82" s="1"/>
      <c r="QLA82" s="1"/>
      <c r="QLB82" s="1"/>
      <c r="QLC82" s="1"/>
      <c r="QLD82" s="1"/>
      <c r="QLE82" s="1"/>
      <c r="QLF82" s="1"/>
      <c r="QLG82" s="1"/>
      <c r="QLH82" s="1"/>
      <c r="QLI82" s="1"/>
      <c r="QLJ82" s="1"/>
      <c r="QLK82" s="1"/>
      <c r="QLL82" s="1"/>
      <c r="QLM82" s="1"/>
      <c r="QLN82" s="1"/>
      <c r="QLO82" s="1"/>
      <c r="QLP82" s="1"/>
      <c r="QLQ82" s="1"/>
      <c r="QLR82" s="1"/>
      <c r="QLS82" s="1"/>
      <c r="QLT82" s="1"/>
      <c r="QLU82" s="1"/>
      <c r="QLV82" s="1"/>
      <c r="QLW82" s="1"/>
      <c r="QLX82" s="1"/>
      <c r="QLY82" s="1"/>
      <c r="QLZ82" s="1"/>
      <c r="QMA82" s="1"/>
      <c r="QMB82" s="1"/>
      <c r="QMC82" s="1"/>
      <c r="QMD82" s="1"/>
      <c r="QME82" s="1"/>
      <c r="QMF82" s="1"/>
      <c r="QMG82" s="1"/>
      <c r="QMH82" s="1"/>
      <c r="QMI82" s="1"/>
      <c r="QMJ82" s="1"/>
      <c r="QMK82" s="1"/>
      <c r="QML82" s="1"/>
      <c r="QMM82" s="1"/>
      <c r="QMN82" s="1"/>
      <c r="QMO82" s="1"/>
      <c r="QMP82" s="1"/>
      <c r="QMQ82" s="1"/>
      <c r="QMR82" s="1"/>
      <c r="QMS82" s="1"/>
      <c r="QMT82" s="1"/>
      <c r="QMU82" s="1"/>
      <c r="QMV82" s="1"/>
      <c r="QMW82" s="1"/>
      <c r="QMX82" s="1"/>
      <c r="QMY82" s="1"/>
      <c r="QMZ82" s="1"/>
      <c r="QNA82" s="1"/>
      <c r="QNB82" s="1"/>
      <c r="QNC82" s="1"/>
      <c r="QND82" s="1"/>
      <c r="QNE82" s="1"/>
      <c r="QNF82" s="1"/>
      <c r="QNG82" s="1"/>
      <c r="QNH82" s="1"/>
      <c r="QNI82" s="1"/>
      <c r="QNJ82" s="1"/>
      <c r="QNK82" s="1"/>
      <c r="QNL82" s="1"/>
      <c r="QNM82" s="1"/>
      <c r="QNN82" s="1"/>
      <c r="QNO82" s="1"/>
      <c r="QNP82" s="1"/>
      <c r="QNQ82" s="1"/>
      <c r="QNR82" s="1"/>
      <c r="QNS82" s="1"/>
      <c r="QNT82" s="1"/>
      <c r="QNU82" s="1"/>
      <c r="QNV82" s="1"/>
      <c r="QNW82" s="1"/>
      <c r="QNX82" s="1"/>
      <c r="QNY82" s="1"/>
      <c r="QNZ82" s="1"/>
      <c r="QOA82" s="1"/>
      <c r="QOB82" s="1"/>
      <c r="QOC82" s="1"/>
      <c r="QOD82" s="1"/>
      <c r="QOE82" s="1"/>
      <c r="QOF82" s="1"/>
      <c r="QOG82" s="1"/>
      <c r="QOH82" s="1"/>
      <c r="QOI82" s="1"/>
      <c r="QOJ82" s="1"/>
      <c r="QOK82" s="1"/>
      <c r="QOL82" s="1"/>
      <c r="QOM82" s="1"/>
      <c r="QON82" s="1"/>
      <c r="QOO82" s="1"/>
      <c r="QOP82" s="1"/>
      <c r="QOQ82" s="1"/>
      <c r="QOR82" s="1"/>
      <c r="QOS82" s="1"/>
      <c r="QOT82" s="1"/>
      <c r="QOU82" s="1"/>
      <c r="QOV82" s="1"/>
      <c r="QOW82" s="1"/>
      <c r="QOX82" s="1"/>
      <c r="QOY82" s="1"/>
      <c r="QOZ82" s="1"/>
      <c r="QPA82" s="1"/>
      <c r="QPB82" s="1"/>
      <c r="QPC82" s="1"/>
      <c r="QPD82" s="1"/>
      <c r="QPE82" s="1"/>
      <c r="QPF82" s="1"/>
      <c r="QPG82" s="1"/>
      <c r="QPH82" s="1"/>
      <c r="QPI82" s="1"/>
      <c r="QPJ82" s="1"/>
      <c r="QPK82" s="1"/>
      <c r="QPL82" s="1"/>
      <c r="QPM82" s="1"/>
      <c r="QPN82" s="1"/>
      <c r="QPO82" s="1"/>
      <c r="QPP82" s="1"/>
      <c r="QPQ82" s="1"/>
      <c r="QPR82" s="1"/>
      <c r="QPS82" s="1"/>
      <c r="QPT82" s="1"/>
      <c r="QPU82" s="1"/>
      <c r="QPV82" s="1"/>
      <c r="QPW82" s="1"/>
      <c r="QPX82" s="1"/>
      <c r="QPY82" s="1"/>
      <c r="QPZ82" s="1"/>
      <c r="QQA82" s="1"/>
      <c r="QQB82" s="1"/>
      <c r="QQC82" s="1"/>
      <c r="QQD82" s="1"/>
      <c r="QQE82" s="1"/>
      <c r="QQF82" s="1"/>
      <c r="QQG82" s="1"/>
      <c r="QQH82" s="1"/>
      <c r="QQI82" s="1"/>
      <c r="QQJ82" s="1"/>
      <c r="QQK82" s="1"/>
      <c r="QQL82" s="1"/>
      <c r="QQM82" s="1"/>
      <c r="QQN82" s="1"/>
      <c r="QQO82" s="1"/>
      <c r="QQP82" s="1"/>
      <c r="QQQ82" s="1"/>
      <c r="QQR82" s="1"/>
      <c r="QQS82" s="1"/>
      <c r="QQT82" s="1"/>
      <c r="QQU82" s="1"/>
      <c r="QQV82" s="1"/>
      <c r="QQW82" s="1"/>
      <c r="QQX82" s="1"/>
      <c r="QQY82" s="1"/>
      <c r="QQZ82" s="1"/>
      <c r="QRA82" s="1"/>
      <c r="QRB82" s="1"/>
      <c r="QRC82" s="1"/>
      <c r="QRD82" s="1"/>
      <c r="QRE82" s="1"/>
      <c r="QRF82" s="1"/>
      <c r="QRG82" s="1"/>
      <c r="QRH82" s="1"/>
      <c r="QRI82" s="1"/>
      <c r="QRJ82" s="1"/>
      <c r="QRK82" s="1"/>
      <c r="QRL82" s="1"/>
      <c r="QRM82" s="1"/>
      <c r="QRN82" s="1"/>
      <c r="QRO82" s="1"/>
      <c r="QRP82" s="1"/>
      <c r="QRQ82" s="1"/>
      <c r="QRR82" s="1"/>
      <c r="QRS82" s="1"/>
      <c r="QRT82" s="1"/>
      <c r="QRU82" s="1"/>
      <c r="QRV82" s="1"/>
      <c r="QRW82" s="1"/>
      <c r="QRX82" s="1"/>
      <c r="QRY82" s="1"/>
      <c r="QRZ82" s="1"/>
      <c r="QSA82" s="1"/>
      <c r="QSB82" s="1"/>
      <c r="QSC82" s="1"/>
      <c r="QSD82" s="1"/>
      <c r="QSE82" s="1"/>
      <c r="QSF82" s="1"/>
      <c r="QSG82" s="1"/>
      <c r="QSH82" s="1"/>
      <c r="QSI82" s="1"/>
      <c r="QSJ82" s="1"/>
      <c r="QSK82" s="1"/>
      <c r="QSL82" s="1"/>
      <c r="QSM82" s="1"/>
      <c r="QSN82" s="1"/>
      <c r="QSO82" s="1"/>
      <c r="QSP82" s="1"/>
      <c r="QSQ82" s="1"/>
      <c r="QSR82" s="1"/>
      <c r="QSS82" s="1"/>
      <c r="QST82" s="1"/>
      <c r="QSU82" s="1"/>
      <c r="QSV82" s="1"/>
      <c r="QSW82" s="1"/>
      <c r="QSX82" s="1"/>
      <c r="QSY82" s="1"/>
      <c r="QSZ82" s="1"/>
      <c r="QTA82" s="1"/>
      <c r="QTB82" s="1"/>
      <c r="QTC82" s="1"/>
      <c r="QTD82" s="1"/>
      <c r="QTE82" s="1"/>
      <c r="QTF82" s="1"/>
      <c r="QTG82" s="1"/>
      <c r="QTH82" s="1"/>
      <c r="QTI82" s="1"/>
      <c r="QTJ82" s="1"/>
      <c r="QTK82" s="1"/>
      <c r="QTL82" s="1"/>
      <c r="QTM82" s="1"/>
      <c r="QTN82" s="1"/>
      <c r="QTO82" s="1"/>
      <c r="QTP82" s="1"/>
      <c r="QTQ82" s="1"/>
      <c r="QTR82" s="1"/>
      <c r="QTS82" s="1"/>
      <c r="QTT82" s="1"/>
      <c r="QTU82" s="1"/>
      <c r="QTV82" s="1"/>
      <c r="QTW82" s="1"/>
      <c r="QTX82" s="1"/>
      <c r="QTY82" s="1"/>
      <c r="QTZ82" s="1"/>
      <c r="QUA82" s="1"/>
      <c r="QUB82" s="1"/>
      <c r="QUC82" s="1"/>
      <c r="QUD82" s="1"/>
      <c r="QUE82" s="1"/>
      <c r="QUF82" s="1"/>
      <c r="QUG82" s="1"/>
      <c r="QUH82" s="1"/>
      <c r="QUI82" s="1"/>
      <c r="QUJ82" s="1"/>
      <c r="QUK82" s="1"/>
      <c r="QUL82" s="1"/>
      <c r="QUM82" s="1"/>
      <c r="QUN82" s="1"/>
      <c r="QUO82" s="1"/>
      <c r="QUP82" s="1"/>
      <c r="QUQ82" s="1"/>
      <c r="QUR82" s="1"/>
      <c r="QUS82" s="1"/>
      <c r="QUT82" s="1"/>
      <c r="QUU82" s="1"/>
      <c r="QUV82" s="1"/>
      <c r="QUW82" s="1"/>
      <c r="QUX82" s="1"/>
      <c r="QUY82" s="1"/>
      <c r="QUZ82" s="1"/>
      <c r="QVA82" s="1"/>
      <c r="QVB82" s="1"/>
      <c r="QVC82" s="1"/>
      <c r="QVD82" s="1"/>
      <c r="QVE82" s="1"/>
      <c r="QVF82" s="1"/>
      <c r="QVG82" s="1"/>
      <c r="QVH82" s="1"/>
      <c r="QVI82" s="1"/>
      <c r="QVJ82" s="1"/>
      <c r="QVK82" s="1"/>
      <c r="QVL82" s="1"/>
      <c r="QVM82" s="1"/>
      <c r="QVN82" s="1"/>
      <c r="QVO82" s="1"/>
      <c r="QVP82" s="1"/>
      <c r="QVQ82" s="1"/>
      <c r="QVR82" s="1"/>
      <c r="QVS82" s="1"/>
      <c r="QVT82" s="1"/>
      <c r="QVU82" s="1"/>
      <c r="QVV82" s="1"/>
      <c r="QVW82" s="1"/>
      <c r="QVX82" s="1"/>
      <c r="QVY82" s="1"/>
      <c r="QVZ82" s="1"/>
      <c r="QWA82" s="1"/>
      <c r="QWB82" s="1"/>
      <c r="QWC82" s="1"/>
      <c r="QWD82" s="1"/>
      <c r="QWE82" s="1"/>
      <c r="QWF82" s="1"/>
      <c r="QWG82" s="1"/>
      <c r="QWH82" s="1"/>
      <c r="QWI82" s="1"/>
      <c r="QWJ82" s="1"/>
      <c r="QWK82" s="1"/>
      <c r="QWL82" s="1"/>
      <c r="QWM82" s="1"/>
      <c r="QWN82" s="1"/>
      <c r="QWO82" s="1"/>
      <c r="QWP82" s="1"/>
      <c r="QWQ82" s="1"/>
      <c r="QWR82" s="1"/>
      <c r="QWS82" s="1"/>
      <c r="QWT82" s="1"/>
      <c r="QWU82" s="1"/>
      <c r="QWV82" s="1"/>
      <c r="QWW82" s="1"/>
      <c r="QWX82" s="1"/>
      <c r="QWY82" s="1"/>
      <c r="QWZ82" s="1"/>
      <c r="QXA82" s="1"/>
      <c r="QXB82" s="1"/>
      <c r="QXC82" s="1"/>
      <c r="QXD82" s="1"/>
      <c r="QXE82" s="1"/>
      <c r="QXF82" s="1"/>
      <c r="QXG82" s="1"/>
      <c r="QXH82" s="1"/>
      <c r="QXI82" s="1"/>
      <c r="QXJ82" s="1"/>
      <c r="QXK82" s="1"/>
      <c r="QXL82" s="1"/>
      <c r="QXM82" s="1"/>
      <c r="QXN82" s="1"/>
      <c r="QXO82" s="1"/>
      <c r="QXP82" s="1"/>
      <c r="QXQ82" s="1"/>
      <c r="QXR82" s="1"/>
      <c r="QXS82" s="1"/>
      <c r="QXT82" s="1"/>
      <c r="QXU82" s="1"/>
      <c r="QXV82" s="1"/>
      <c r="QXW82" s="1"/>
      <c r="QXX82" s="1"/>
      <c r="QXY82" s="1"/>
      <c r="QXZ82" s="1"/>
      <c r="QYA82" s="1"/>
      <c r="QYB82" s="1"/>
      <c r="QYC82" s="1"/>
      <c r="QYD82" s="1"/>
      <c r="QYE82" s="1"/>
      <c r="QYF82" s="1"/>
      <c r="QYG82" s="1"/>
      <c r="QYH82" s="1"/>
      <c r="QYI82" s="1"/>
      <c r="QYJ82" s="1"/>
      <c r="QYK82" s="1"/>
      <c r="QYL82" s="1"/>
      <c r="QYM82" s="1"/>
      <c r="QYN82" s="1"/>
      <c r="QYO82" s="1"/>
      <c r="QYP82" s="1"/>
      <c r="QYQ82" s="1"/>
      <c r="QYR82" s="1"/>
      <c r="QYS82" s="1"/>
      <c r="QYT82" s="1"/>
      <c r="QYU82" s="1"/>
      <c r="QYV82" s="1"/>
      <c r="QYW82" s="1"/>
      <c r="QYX82" s="1"/>
      <c r="QYY82" s="1"/>
      <c r="QYZ82" s="1"/>
      <c r="QZA82" s="1"/>
      <c r="QZB82" s="1"/>
      <c r="QZC82" s="1"/>
      <c r="QZD82" s="1"/>
      <c r="QZE82" s="1"/>
      <c r="QZF82" s="1"/>
      <c r="QZG82" s="1"/>
      <c r="QZH82" s="1"/>
      <c r="QZI82" s="1"/>
      <c r="QZJ82" s="1"/>
      <c r="QZK82" s="1"/>
      <c r="QZL82" s="1"/>
      <c r="QZM82" s="1"/>
      <c r="QZN82" s="1"/>
      <c r="QZO82" s="1"/>
      <c r="QZP82" s="1"/>
      <c r="QZQ82" s="1"/>
      <c r="QZR82" s="1"/>
      <c r="QZS82" s="1"/>
      <c r="QZT82" s="1"/>
      <c r="QZU82" s="1"/>
      <c r="QZV82" s="1"/>
      <c r="QZW82" s="1"/>
      <c r="QZX82" s="1"/>
      <c r="QZY82" s="1"/>
      <c r="QZZ82" s="1"/>
      <c r="RAA82" s="1"/>
      <c r="RAB82" s="1"/>
      <c r="RAC82" s="1"/>
      <c r="RAD82" s="1"/>
      <c r="RAE82" s="1"/>
      <c r="RAF82" s="1"/>
      <c r="RAG82" s="1"/>
      <c r="RAH82" s="1"/>
      <c r="RAI82" s="1"/>
      <c r="RAJ82" s="1"/>
      <c r="RAK82" s="1"/>
      <c r="RAL82" s="1"/>
      <c r="RAM82" s="1"/>
      <c r="RAN82" s="1"/>
      <c r="RAO82" s="1"/>
      <c r="RAP82" s="1"/>
      <c r="RAQ82" s="1"/>
      <c r="RAR82" s="1"/>
      <c r="RAS82" s="1"/>
      <c r="RAT82" s="1"/>
      <c r="RAU82" s="1"/>
      <c r="RAV82" s="1"/>
      <c r="RAW82" s="1"/>
      <c r="RAX82" s="1"/>
      <c r="RAY82" s="1"/>
      <c r="RAZ82" s="1"/>
      <c r="RBA82" s="1"/>
      <c r="RBB82" s="1"/>
      <c r="RBC82" s="1"/>
      <c r="RBD82" s="1"/>
      <c r="RBE82" s="1"/>
      <c r="RBF82" s="1"/>
      <c r="RBG82" s="1"/>
      <c r="RBH82" s="1"/>
      <c r="RBI82" s="1"/>
      <c r="RBJ82" s="1"/>
      <c r="RBK82" s="1"/>
      <c r="RBL82" s="1"/>
      <c r="RBM82" s="1"/>
      <c r="RBN82" s="1"/>
      <c r="RBO82" s="1"/>
      <c r="RBP82" s="1"/>
      <c r="RBQ82" s="1"/>
      <c r="RBR82" s="1"/>
      <c r="RBS82" s="1"/>
      <c r="RBT82" s="1"/>
      <c r="RBU82" s="1"/>
      <c r="RBV82" s="1"/>
      <c r="RBW82" s="1"/>
      <c r="RBX82" s="1"/>
      <c r="RBY82" s="1"/>
      <c r="RBZ82" s="1"/>
      <c r="RCA82" s="1"/>
      <c r="RCB82" s="1"/>
      <c r="RCC82" s="1"/>
      <c r="RCD82" s="1"/>
      <c r="RCE82" s="1"/>
      <c r="RCF82" s="1"/>
      <c r="RCG82" s="1"/>
      <c r="RCH82" s="1"/>
      <c r="RCI82" s="1"/>
      <c r="RCJ82" s="1"/>
      <c r="RCK82" s="1"/>
      <c r="RCL82" s="1"/>
      <c r="RCM82" s="1"/>
      <c r="RCN82" s="1"/>
      <c r="RCO82" s="1"/>
      <c r="RCP82" s="1"/>
      <c r="RCQ82" s="1"/>
      <c r="RCR82" s="1"/>
      <c r="RCS82" s="1"/>
      <c r="RCT82" s="1"/>
      <c r="RCU82" s="1"/>
      <c r="RCV82" s="1"/>
      <c r="RCW82" s="1"/>
      <c r="RCX82" s="1"/>
      <c r="RCY82" s="1"/>
      <c r="RCZ82" s="1"/>
      <c r="RDA82" s="1"/>
      <c r="RDB82" s="1"/>
      <c r="RDC82" s="1"/>
      <c r="RDD82" s="1"/>
      <c r="RDE82" s="1"/>
      <c r="RDF82" s="1"/>
      <c r="RDG82" s="1"/>
      <c r="RDH82" s="1"/>
      <c r="RDI82" s="1"/>
      <c r="RDJ82" s="1"/>
      <c r="RDK82" s="1"/>
      <c r="RDL82" s="1"/>
      <c r="RDM82" s="1"/>
      <c r="RDN82" s="1"/>
      <c r="RDO82" s="1"/>
      <c r="RDP82" s="1"/>
      <c r="RDQ82" s="1"/>
      <c r="RDR82" s="1"/>
      <c r="RDS82" s="1"/>
      <c r="RDT82" s="1"/>
      <c r="RDU82" s="1"/>
      <c r="RDV82" s="1"/>
      <c r="RDW82" s="1"/>
      <c r="RDX82" s="1"/>
      <c r="RDY82" s="1"/>
      <c r="RDZ82" s="1"/>
      <c r="REA82" s="1"/>
      <c r="REB82" s="1"/>
      <c r="REC82" s="1"/>
      <c r="RED82" s="1"/>
      <c r="REE82" s="1"/>
      <c r="REF82" s="1"/>
      <c r="REG82" s="1"/>
      <c r="REH82" s="1"/>
      <c r="REI82" s="1"/>
      <c r="REJ82" s="1"/>
      <c r="REK82" s="1"/>
      <c r="REL82" s="1"/>
      <c r="REM82" s="1"/>
      <c r="REN82" s="1"/>
      <c r="REO82" s="1"/>
      <c r="REP82" s="1"/>
      <c r="REQ82" s="1"/>
      <c r="RER82" s="1"/>
      <c r="RES82" s="1"/>
      <c r="RET82" s="1"/>
      <c r="REU82" s="1"/>
      <c r="REV82" s="1"/>
      <c r="REW82" s="1"/>
      <c r="REX82" s="1"/>
      <c r="REY82" s="1"/>
      <c r="REZ82" s="1"/>
      <c r="RFA82" s="1"/>
      <c r="RFB82" s="1"/>
      <c r="RFC82" s="1"/>
      <c r="RFD82" s="1"/>
      <c r="RFE82" s="1"/>
      <c r="RFF82" s="1"/>
      <c r="RFG82" s="1"/>
      <c r="RFH82" s="1"/>
      <c r="RFI82" s="1"/>
      <c r="RFJ82" s="1"/>
      <c r="RFK82" s="1"/>
      <c r="RFL82" s="1"/>
      <c r="RFM82" s="1"/>
      <c r="RFN82" s="1"/>
      <c r="RFO82" s="1"/>
      <c r="RFP82" s="1"/>
      <c r="RFQ82" s="1"/>
      <c r="RFR82" s="1"/>
      <c r="RFS82" s="1"/>
      <c r="RFT82" s="1"/>
      <c r="RFU82" s="1"/>
      <c r="RFV82" s="1"/>
      <c r="RFW82" s="1"/>
      <c r="RFX82" s="1"/>
      <c r="RFY82" s="1"/>
      <c r="RFZ82" s="1"/>
      <c r="RGA82" s="1"/>
      <c r="RGB82" s="1"/>
      <c r="RGC82" s="1"/>
      <c r="RGD82" s="1"/>
      <c r="RGE82" s="1"/>
      <c r="RGF82" s="1"/>
      <c r="RGG82" s="1"/>
      <c r="RGH82" s="1"/>
      <c r="RGI82" s="1"/>
      <c r="RGJ82" s="1"/>
      <c r="RGK82" s="1"/>
      <c r="RGL82" s="1"/>
      <c r="RGM82" s="1"/>
      <c r="RGN82" s="1"/>
      <c r="RGO82" s="1"/>
      <c r="RGP82" s="1"/>
      <c r="RGQ82" s="1"/>
      <c r="RGR82" s="1"/>
      <c r="RGS82" s="1"/>
      <c r="RGT82" s="1"/>
      <c r="RGU82" s="1"/>
      <c r="RGV82" s="1"/>
      <c r="RGW82" s="1"/>
      <c r="RGX82" s="1"/>
      <c r="RGY82" s="1"/>
      <c r="RGZ82" s="1"/>
      <c r="RHA82" s="1"/>
      <c r="RHB82" s="1"/>
      <c r="RHC82" s="1"/>
      <c r="RHD82" s="1"/>
      <c r="RHE82" s="1"/>
      <c r="RHF82" s="1"/>
      <c r="RHG82" s="1"/>
      <c r="RHH82" s="1"/>
      <c r="RHI82" s="1"/>
      <c r="RHJ82" s="1"/>
      <c r="RHK82" s="1"/>
      <c r="RHL82" s="1"/>
      <c r="RHM82" s="1"/>
      <c r="RHN82" s="1"/>
      <c r="RHO82" s="1"/>
      <c r="RHP82" s="1"/>
      <c r="RHQ82" s="1"/>
      <c r="RHR82" s="1"/>
      <c r="RHS82" s="1"/>
      <c r="RHT82" s="1"/>
      <c r="RHU82" s="1"/>
      <c r="RHV82" s="1"/>
      <c r="RHW82" s="1"/>
      <c r="RHX82" s="1"/>
      <c r="RHY82" s="1"/>
      <c r="RHZ82" s="1"/>
      <c r="RIA82" s="1"/>
      <c r="RIB82" s="1"/>
      <c r="RIC82" s="1"/>
      <c r="RID82" s="1"/>
      <c r="RIE82" s="1"/>
      <c r="RIF82" s="1"/>
      <c r="RIG82" s="1"/>
      <c r="RIH82" s="1"/>
      <c r="RII82" s="1"/>
      <c r="RIJ82" s="1"/>
      <c r="RIK82" s="1"/>
      <c r="RIL82" s="1"/>
      <c r="RIM82" s="1"/>
      <c r="RIN82" s="1"/>
      <c r="RIO82" s="1"/>
      <c r="RIP82" s="1"/>
      <c r="RIQ82" s="1"/>
      <c r="RIR82" s="1"/>
      <c r="RIS82" s="1"/>
      <c r="RIT82" s="1"/>
      <c r="RIU82" s="1"/>
      <c r="RIV82" s="1"/>
      <c r="RIW82" s="1"/>
      <c r="RIX82" s="1"/>
      <c r="RIY82" s="1"/>
      <c r="RIZ82" s="1"/>
      <c r="RJA82" s="1"/>
      <c r="RJB82" s="1"/>
      <c r="RJC82" s="1"/>
      <c r="RJD82" s="1"/>
      <c r="RJE82" s="1"/>
      <c r="RJF82" s="1"/>
      <c r="RJG82" s="1"/>
      <c r="RJH82" s="1"/>
      <c r="RJI82" s="1"/>
      <c r="RJJ82" s="1"/>
      <c r="RJK82" s="1"/>
      <c r="RJL82" s="1"/>
      <c r="RJM82" s="1"/>
      <c r="RJN82" s="1"/>
      <c r="RJO82" s="1"/>
      <c r="RJP82" s="1"/>
      <c r="RJQ82" s="1"/>
      <c r="RJR82" s="1"/>
      <c r="RJS82" s="1"/>
      <c r="RJT82" s="1"/>
      <c r="RJU82" s="1"/>
      <c r="RJV82" s="1"/>
      <c r="RJW82" s="1"/>
      <c r="RJX82" s="1"/>
      <c r="RJY82" s="1"/>
      <c r="RJZ82" s="1"/>
      <c r="RKA82" s="1"/>
      <c r="RKB82" s="1"/>
      <c r="RKC82" s="1"/>
      <c r="RKD82" s="1"/>
      <c r="RKE82" s="1"/>
      <c r="RKF82" s="1"/>
      <c r="RKG82" s="1"/>
      <c r="RKH82" s="1"/>
      <c r="RKI82" s="1"/>
      <c r="RKJ82" s="1"/>
      <c r="RKK82" s="1"/>
      <c r="RKL82" s="1"/>
      <c r="RKM82" s="1"/>
      <c r="RKN82" s="1"/>
      <c r="RKO82" s="1"/>
      <c r="RKP82" s="1"/>
      <c r="RKQ82" s="1"/>
      <c r="RKR82" s="1"/>
      <c r="RKS82" s="1"/>
      <c r="RKT82" s="1"/>
      <c r="RKU82" s="1"/>
      <c r="RKV82" s="1"/>
      <c r="RKW82" s="1"/>
      <c r="RKX82" s="1"/>
      <c r="RKY82" s="1"/>
      <c r="RKZ82" s="1"/>
      <c r="RLA82" s="1"/>
      <c r="RLB82" s="1"/>
      <c r="RLC82" s="1"/>
      <c r="RLD82" s="1"/>
      <c r="RLE82" s="1"/>
      <c r="RLF82" s="1"/>
      <c r="RLG82" s="1"/>
      <c r="RLH82" s="1"/>
      <c r="RLI82" s="1"/>
      <c r="RLJ82" s="1"/>
      <c r="RLK82" s="1"/>
      <c r="RLL82" s="1"/>
      <c r="RLM82" s="1"/>
      <c r="RLN82" s="1"/>
      <c r="RLO82" s="1"/>
      <c r="RLP82" s="1"/>
      <c r="RLQ82" s="1"/>
      <c r="RLR82" s="1"/>
      <c r="RLS82" s="1"/>
      <c r="RLT82" s="1"/>
      <c r="RLU82" s="1"/>
      <c r="RLV82" s="1"/>
      <c r="RLW82" s="1"/>
      <c r="RLX82" s="1"/>
      <c r="RLY82" s="1"/>
      <c r="RLZ82" s="1"/>
      <c r="RMA82" s="1"/>
      <c r="RMB82" s="1"/>
      <c r="RMC82" s="1"/>
      <c r="RMD82" s="1"/>
      <c r="RME82" s="1"/>
      <c r="RMF82" s="1"/>
      <c r="RMG82" s="1"/>
      <c r="RMH82" s="1"/>
      <c r="RMI82" s="1"/>
      <c r="RMJ82" s="1"/>
      <c r="RMK82" s="1"/>
      <c r="RML82" s="1"/>
      <c r="RMM82" s="1"/>
      <c r="RMN82" s="1"/>
      <c r="RMO82" s="1"/>
      <c r="RMP82" s="1"/>
      <c r="RMQ82" s="1"/>
      <c r="RMR82" s="1"/>
      <c r="RMS82" s="1"/>
      <c r="RMT82" s="1"/>
      <c r="RMU82" s="1"/>
      <c r="RMV82" s="1"/>
      <c r="RMW82" s="1"/>
      <c r="RMX82" s="1"/>
      <c r="RMY82" s="1"/>
      <c r="RMZ82" s="1"/>
      <c r="RNA82" s="1"/>
      <c r="RNB82" s="1"/>
      <c r="RNC82" s="1"/>
      <c r="RND82" s="1"/>
      <c r="RNE82" s="1"/>
      <c r="RNF82" s="1"/>
      <c r="RNG82" s="1"/>
      <c r="RNH82" s="1"/>
      <c r="RNI82" s="1"/>
      <c r="RNJ82" s="1"/>
      <c r="RNK82" s="1"/>
      <c r="RNL82" s="1"/>
      <c r="RNM82" s="1"/>
      <c r="RNN82" s="1"/>
      <c r="RNO82" s="1"/>
      <c r="RNP82" s="1"/>
      <c r="RNQ82" s="1"/>
      <c r="RNR82" s="1"/>
      <c r="RNS82" s="1"/>
      <c r="RNT82" s="1"/>
      <c r="RNU82" s="1"/>
      <c r="RNV82" s="1"/>
      <c r="RNW82" s="1"/>
      <c r="RNX82" s="1"/>
      <c r="RNY82" s="1"/>
      <c r="RNZ82" s="1"/>
      <c r="ROA82" s="1"/>
      <c r="ROB82" s="1"/>
      <c r="ROC82" s="1"/>
      <c r="ROD82" s="1"/>
      <c r="ROE82" s="1"/>
      <c r="ROF82" s="1"/>
      <c r="ROG82" s="1"/>
      <c r="ROH82" s="1"/>
      <c r="ROI82" s="1"/>
      <c r="ROJ82" s="1"/>
      <c r="ROK82" s="1"/>
      <c r="ROL82" s="1"/>
      <c r="ROM82" s="1"/>
      <c r="RON82" s="1"/>
      <c r="ROO82" s="1"/>
      <c r="ROP82" s="1"/>
      <c r="ROQ82" s="1"/>
      <c r="ROR82" s="1"/>
      <c r="ROS82" s="1"/>
      <c r="ROT82" s="1"/>
      <c r="ROU82" s="1"/>
      <c r="ROV82" s="1"/>
      <c r="ROW82" s="1"/>
      <c r="ROX82" s="1"/>
      <c r="ROY82" s="1"/>
      <c r="ROZ82" s="1"/>
      <c r="RPA82" s="1"/>
      <c r="RPB82" s="1"/>
      <c r="RPC82" s="1"/>
      <c r="RPD82" s="1"/>
      <c r="RPE82" s="1"/>
      <c r="RPF82" s="1"/>
      <c r="RPG82" s="1"/>
      <c r="RPH82" s="1"/>
      <c r="RPI82" s="1"/>
      <c r="RPJ82" s="1"/>
      <c r="RPK82" s="1"/>
      <c r="RPL82" s="1"/>
      <c r="RPM82" s="1"/>
      <c r="RPN82" s="1"/>
      <c r="RPO82" s="1"/>
      <c r="RPP82" s="1"/>
      <c r="RPQ82" s="1"/>
      <c r="RPR82" s="1"/>
      <c r="RPS82" s="1"/>
      <c r="RPT82" s="1"/>
      <c r="RPU82" s="1"/>
      <c r="RPV82" s="1"/>
      <c r="RPW82" s="1"/>
      <c r="RPX82" s="1"/>
      <c r="RPY82" s="1"/>
      <c r="RPZ82" s="1"/>
      <c r="RQA82" s="1"/>
      <c r="RQB82" s="1"/>
      <c r="RQC82" s="1"/>
      <c r="RQD82" s="1"/>
      <c r="RQE82" s="1"/>
      <c r="RQF82" s="1"/>
      <c r="RQG82" s="1"/>
      <c r="RQH82" s="1"/>
      <c r="RQI82" s="1"/>
      <c r="RQJ82" s="1"/>
      <c r="RQK82" s="1"/>
      <c r="RQL82" s="1"/>
      <c r="RQM82" s="1"/>
      <c r="RQN82" s="1"/>
      <c r="RQO82" s="1"/>
      <c r="RQP82" s="1"/>
      <c r="RQQ82" s="1"/>
      <c r="RQR82" s="1"/>
      <c r="RQS82" s="1"/>
      <c r="RQT82" s="1"/>
      <c r="RQU82" s="1"/>
      <c r="RQV82" s="1"/>
      <c r="RQW82" s="1"/>
      <c r="RQX82" s="1"/>
      <c r="RQY82" s="1"/>
      <c r="RQZ82" s="1"/>
      <c r="RRA82" s="1"/>
      <c r="RRB82" s="1"/>
      <c r="RRC82" s="1"/>
      <c r="RRD82" s="1"/>
      <c r="RRE82" s="1"/>
      <c r="RRF82" s="1"/>
      <c r="RRG82" s="1"/>
      <c r="RRH82" s="1"/>
      <c r="RRI82" s="1"/>
      <c r="RRJ82" s="1"/>
      <c r="RRK82" s="1"/>
      <c r="RRL82" s="1"/>
      <c r="RRM82" s="1"/>
      <c r="RRN82" s="1"/>
      <c r="RRO82" s="1"/>
      <c r="RRP82" s="1"/>
      <c r="RRQ82" s="1"/>
      <c r="RRR82" s="1"/>
      <c r="RRS82" s="1"/>
      <c r="RRT82" s="1"/>
      <c r="RRU82" s="1"/>
      <c r="RRV82" s="1"/>
      <c r="RRW82" s="1"/>
      <c r="RRX82" s="1"/>
      <c r="RRY82" s="1"/>
      <c r="RRZ82" s="1"/>
      <c r="RSA82" s="1"/>
      <c r="RSB82" s="1"/>
      <c r="RSC82" s="1"/>
      <c r="RSD82" s="1"/>
      <c r="RSE82" s="1"/>
      <c r="RSF82" s="1"/>
      <c r="RSG82" s="1"/>
      <c r="RSH82" s="1"/>
      <c r="RSI82" s="1"/>
      <c r="RSJ82" s="1"/>
      <c r="RSK82" s="1"/>
      <c r="RSL82" s="1"/>
      <c r="RSM82" s="1"/>
      <c r="RSN82" s="1"/>
      <c r="RSO82" s="1"/>
      <c r="RSP82" s="1"/>
      <c r="RSQ82" s="1"/>
      <c r="RSR82" s="1"/>
      <c r="RSS82" s="1"/>
      <c r="RST82" s="1"/>
      <c r="RSU82" s="1"/>
      <c r="RSV82" s="1"/>
      <c r="RSW82" s="1"/>
      <c r="RSX82" s="1"/>
      <c r="RSY82" s="1"/>
      <c r="RSZ82" s="1"/>
      <c r="RTA82" s="1"/>
      <c r="RTB82" s="1"/>
      <c r="RTC82" s="1"/>
      <c r="RTD82" s="1"/>
      <c r="RTE82" s="1"/>
      <c r="RTF82" s="1"/>
      <c r="RTG82" s="1"/>
      <c r="RTH82" s="1"/>
      <c r="RTI82" s="1"/>
      <c r="RTJ82" s="1"/>
      <c r="RTK82" s="1"/>
      <c r="RTL82" s="1"/>
      <c r="RTM82" s="1"/>
      <c r="RTN82" s="1"/>
      <c r="RTO82" s="1"/>
      <c r="RTP82" s="1"/>
      <c r="RTQ82" s="1"/>
      <c r="RTR82" s="1"/>
      <c r="RTS82" s="1"/>
      <c r="RTT82" s="1"/>
      <c r="RTU82" s="1"/>
      <c r="RTV82" s="1"/>
      <c r="RTW82" s="1"/>
      <c r="RTX82" s="1"/>
      <c r="RTY82" s="1"/>
      <c r="RTZ82" s="1"/>
      <c r="RUA82" s="1"/>
      <c r="RUB82" s="1"/>
      <c r="RUC82" s="1"/>
      <c r="RUD82" s="1"/>
      <c r="RUE82" s="1"/>
      <c r="RUF82" s="1"/>
      <c r="RUG82" s="1"/>
      <c r="RUH82" s="1"/>
      <c r="RUI82" s="1"/>
      <c r="RUJ82" s="1"/>
      <c r="RUK82" s="1"/>
      <c r="RUL82" s="1"/>
      <c r="RUM82" s="1"/>
      <c r="RUN82" s="1"/>
      <c r="RUO82" s="1"/>
      <c r="RUP82" s="1"/>
      <c r="RUQ82" s="1"/>
      <c r="RUR82" s="1"/>
      <c r="RUS82" s="1"/>
      <c r="RUT82" s="1"/>
      <c r="RUU82" s="1"/>
      <c r="RUV82" s="1"/>
      <c r="RUW82" s="1"/>
      <c r="RUX82" s="1"/>
      <c r="RUY82" s="1"/>
      <c r="RUZ82" s="1"/>
      <c r="RVA82" s="1"/>
      <c r="RVB82" s="1"/>
      <c r="RVC82" s="1"/>
      <c r="RVD82" s="1"/>
      <c r="RVE82" s="1"/>
      <c r="RVF82" s="1"/>
      <c r="RVG82" s="1"/>
      <c r="RVH82" s="1"/>
      <c r="RVI82" s="1"/>
      <c r="RVJ82" s="1"/>
      <c r="RVK82" s="1"/>
      <c r="RVL82" s="1"/>
      <c r="RVM82" s="1"/>
      <c r="RVN82" s="1"/>
      <c r="RVO82" s="1"/>
      <c r="RVP82" s="1"/>
      <c r="RVQ82" s="1"/>
      <c r="RVR82" s="1"/>
      <c r="RVS82" s="1"/>
      <c r="RVT82" s="1"/>
      <c r="RVU82" s="1"/>
      <c r="RVV82" s="1"/>
      <c r="RVW82" s="1"/>
      <c r="RVX82" s="1"/>
      <c r="RVY82" s="1"/>
      <c r="RVZ82" s="1"/>
      <c r="RWA82" s="1"/>
      <c r="RWB82" s="1"/>
      <c r="RWC82" s="1"/>
      <c r="RWD82" s="1"/>
      <c r="RWE82" s="1"/>
      <c r="RWF82" s="1"/>
      <c r="RWG82" s="1"/>
      <c r="RWH82" s="1"/>
      <c r="RWI82" s="1"/>
      <c r="RWJ82" s="1"/>
      <c r="RWK82" s="1"/>
      <c r="RWL82" s="1"/>
      <c r="RWM82" s="1"/>
      <c r="RWN82" s="1"/>
      <c r="RWO82" s="1"/>
      <c r="RWP82" s="1"/>
      <c r="RWQ82" s="1"/>
      <c r="RWR82" s="1"/>
      <c r="RWS82" s="1"/>
      <c r="RWT82" s="1"/>
      <c r="RWU82" s="1"/>
      <c r="RWV82" s="1"/>
      <c r="RWW82" s="1"/>
      <c r="RWX82" s="1"/>
      <c r="RWY82" s="1"/>
      <c r="RWZ82" s="1"/>
      <c r="RXA82" s="1"/>
      <c r="RXB82" s="1"/>
      <c r="RXC82" s="1"/>
      <c r="RXD82" s="1"/>
      <c r="RXE82" s="1"/>
      <c r="RXF82" s="1"/>
      <c r="RXG82" s="1"/>
      <c r="RXH82" s="1"/>
      <c r="RXI82" s="1"/>
      <c r="RXJ82" s="1"/>
      <c r="RXK82" s="1"/>
      <c r="RXL82" s="1"/>
      <c r="RXM82" s="1"/>
      <c r="RXN82" s="1"/>
      <c r="RXO82" s="1"/>
      <c r="RXP82" s="1"/>
      <c r="RXQ82" s="1"/>
      <c r="RXR82" s="1"/>
      <c r="RXS82" s="1"/>
      <c r="RXT82" s="1"/>
      <c r="RXU82" s="1"/>
      <c r="RXV82" s="1"/>
      <c r="RXW82" s="1"/>
      <c r="RXX82" s="1"/>
      <c r="RXY82" s="1"/>
      <c r="RXZ82" s="1"/>
      <c r="RYA82" s="1"/>
      <c r="RYB82" s="1"/>
      <c r="RYC82" s="1"/>
      <c r="RYD82" s="1"/>
      <c r="RYE82" s="1"/>
      <c r="RYF82" s="1"/>
      <c r="RYG82" s="1"/>
      <c r="RYH82" s="1"/>
      <c r="RYI82" s="1"/>
      <c r="RYJ82" s="1"/>
      <c r="RYK82" s="1"/>
      <c r="RYL82" s="1"/>
      <c r="RYM82" s="1"/>
      <c r="RYN82" s="1"/>
      <c r="RYO82" s="1"/>
      <c r="RYP82" s="1"/>
      <c r="RYQ82" s="1"/>
      <c r="RYR82" s="1"/>
      <c r="RYS82" s="1"/>
      <c r="RYT82" s="1"/>
      <c r="RYU82" s="1"/>
      <c r="RYV82" s="1"/>
      <c r="RYW82" s="1"/>
      <c r="RYX82" s="1"/>
      <c r="RYY82" s="1"/>
      <c r="RYZ82" s="1"/>
      <c r="RZA82" s="1"/>
      <c r="RZB82" s="1"/>
      <c r="RZC82" s="1"/>
      <c r="RZD82" s="1"/>
      <c r="RZE82" s="1"/>
      <c r="RZF82" s="1"/>
      <c r="RZG82" s="1"/>
      <c r="RZH82" s="1"/>
      <c r="RZI82" s="1"/>
      <c r="RZJ82" s="1"/>
      <c r="RZK82" s="1"/>
      <c r="RZL82" s="1"/>
      <c r="RZM82" s="1"/>
      <c r="RZN82" s="1"/>
      <c r="RZO82" s="1"/>
      <c r="RZP82" s="1"/>
      <c r="RZQ82" s="1"/>
      <c r="RZR82" s="1"/>
      <c r="RZS82" s="1"/>
      <c r="RZT82" s="1"/>
      <c r="RZU82" s="1"/>
      <c r="RZV82" s="1"/>
      <c r="RZW82" s="1"/>
      <c r="RZX82" s="1"/>
      <c r="RZY82" s="1"/>
      <c r="RZZ82" s="1"/>
      <c r="SAA82" s="1"/>
      <c r="SAB82" s="1"/>
      <c r="SAC82" s="1"/>
      <c r="SAD82" s="1"/>
      <c r="SAE82" s="1"/>
      <c r="SAF82" s="1"/>
      <c r="SAG82" s="1"/>
      <c r="SAH82" s="1"/>
      <c r="SAI82" s="1"/>
      <c r="SAJ82" s="1"/>
      <c r="SAK82" s="1"/>
      <c r="SAL82" s="1"/>
      <c r="SAM82" s="1"/>
      <c r="SAN82" s="1"/>
      <c r="SAO82" s="1"/>
      <c r="SAP82" s="1"/>
      <c r="SAQ82" s="1"/>
      <c r="SAR82" s="1"/>
      <c r="SAS82" s="1"/>
      <c r="SAT82" s="1"/>
      <c r="SAU82" s="1"/>
      <c r="SAV82" s="1"/>
      <c r="SAW82" s="1"/>
      <c r="SAX82" s="1"/>
      <c r="SAY82" s="1"/>
      <c r="SAZ82" s="1"/>
      <c r="SBA82" s="1"/>
      <c r="SBB82" s="1"/>
      <c r="SBC82" s="1"/>
      <c r="SBD82" s="1"/>
      <c r="SBE82" s="1"/>
      <c r="SBF82" s="1"/>
      <c r="SBG82" s="1"/>
      <c r="SBH82" s="1"/>
      <c r="SBI82" s="1"/>
      <c r="SBJ82" s="1"/>
      <c r="SBK82" s="1"/>
      <c r="SBL82" s="1"/>
      <c r="SBM82" s="1"/>
      <c r="SBN82" s="1"/>
      <c r="SBO82" s="1"/>
      <c r="SBP82" s="1"/>
      <c r="SBQ82" s="1"/>
      <c r="SBR82" s="1"/>
      <c r="SBS82" s="1"/>
      <c r="SBT82" s="1"/>
      <c r="SBU82" s="1"/>
      <c r="SBV82" s="1"/>
      <c r="SBW82" s="1"/>
      <c r="SBX82" s="1"/>
      <c r="SBY82" s="1"/>
      <c r="SBZ82" s="1"/>
      <c r="SCA82" s="1"/>
      <c r="SCB82" s="1"/>
      <c r="SCC82" s="1"/>
      <c r="SCD82" s="1"/>
      <c r="SCE82" s="1"/>
      <c r="SCF82" s="1"/>
      <c r="SCG82" s="1"/>
      <c r="SCH82" s="1"/>
      <c r="SCI82" s="1"/>
      <c r="SCJ82" s="1"/>
      <c r="SCK82" s="1"/>
      <c r="SCL82" s="1"/>
      <c r="SCM82" s="1"/>
      <c r="SCN82" s="1"/>
      <c r="SCO82" s="1"/>
      <c r="SCP82" s="1"/>
      <c r="SCQ82" s="1"/>
      <c r="SCR82" s="1"/>
      <c r="SCS82" s="1"/>
      <c r="SCT82" s="1"/>
      <c r="SCU82" s="1"/>
      <c r="SCV82" s="1"/>
      <c r="SCW82" s="1"/>
      <c r="SCX82" s="1"/>
      <c r="SCY82" s="1"/>
      <c r="SCZ82" s="1"/>
      <c r="SDA82" s="1"/>
      <c r="SDB82" s="1"/>
      <c r="SDC82" s="1"/>
      <c r="SDD82" s="1"/>
      <c r="SDE82" s="1"/>
      <c r="SDF82" s="1"/>
      <c r="SDG82" s="1"/>
      <c r="SDH82" s="1"/>
      <c r="SDI82" s="1"/>
      <c r="SDJ82" s="1"/>
      <c r="SDK82" s="1"/>
      <c r="SDL82" s="1"/>
      <c r="SDM82" s="1"/>
      <c r="SDN82" s="1"/>
      <c r="SDO82" s="1"/>
      <c r="SDP82" s="1"/>
      <c r="SDQ82" s="1"/>
      <c r="SDR82" s="1"/>
      <c r="SDS82" s="1"/>
      <c r="SDT82" s="1"/>
      <c r="SDU82" s="1"/>
      <c r="SDV82" s="1"/>
      <c r="SDW82" s="1"/>
      <c r="SDX82" s="1"/>
      <c r="SDY82" s="1"/>
      <c r="SDZ82" s="1"/>
      <c r="SEA82" s="1"/>
      <c r="SEB82" s="1"/>
      <c r="SEC82" s="1"/>
      <c r="SED82" s="1"/>
      <c r="SEE82" s="1"/>
      <c r="SEF82" s="1"/>
      <c r="SEG82" s="1"/>
      <c r="SEH82" s="1"/>
      <c r="SEI82" s="1"/>
      <c r="SEJ82" s="1"/>
      <c r="SEK82" s="1"/>
      <c r="SEL82" s="1"/>
      <c r="SEM82" s="1"/>
      <c r="SEN82" s="1"/>
      <c r="SEO82" s="1"/>
      <c r="SEP82" s="1"/>
      <c r="SEQ82" s="1"/>
      <c r="SER82" s="1"/>
      <c r="SES82" s="1"/>
      <c r="SET82" s="1"/>
      <c r="SEU82" s="1"/>
      <c r="SEV82" s="1"/>
      <c r="SEW82" s="1"/>
      <c r="SEX82" s="1"/>
      <c r="SEY82" s="1"/>
      <c r="SEZ82" s="1"/>
      <c r="SFA82" s="1"/>
      <c r="SFB82" s="1"/>
      <c r="SFC82" s="1"/>
      <c r="SFD82" s="1"/>
      <c r="SFE82" s="1"/>
      <c r="SFF82" s="1"/>
      <c r="SFG82" s="1"/>
      <c r="SFH82" s="1"/>
      <c r="SFI82" s="1"/>
      <c r="SFJ82" s="1"/>
      <c r="SFK82" s="1"/>
      <c r="SFL82" s="1"/>
      <c r="SFM82" s="1"/>
      <c r="SFN82" s="1"/>
      <c r="SFO82" s="1"/>
      <c r="SFP82" s="1"/>
      <c r="SFQ82" s="1"/>
      <c r="SFR82" s="1"/>
      <c r="SFS82" s="1"/>
      <c r="SFT82" s="1"/>
      <c r="SFU82" s="1"/>
      <c r="SFV82" s="1"/>
      <c r="SFW82" s="1"/>
      <c r="SFX82" s="1"/>
      <c r="SFY82" s="1"/>
      <c r="SFZ82" s="1"/>
      <c r="SGA82" s="1"/>
      <c r="SGB82" s="1"/>
      <c r="SGC82" s="1"/>
      <c r="SGD82" s="1"/>
      <c r="SGE82" s="1"/>
      <c r="SGF82" s="1"/>
      <c r="SGG82" s="1"/>
      <c r="SGH82" s="1"/>
      <c r="SGI82" s="1"/>
      <c r="SGJ82" s="1"/>
      <c r="SGK82" s="1"/>
      <c r="SGL82" s="1"/>
      <c r="SGM82" s="1"/>
      <c r="SGN82" s="1"/>
      <c r="SGO82" s="1"/>
      <c r="SGP82" s="1"/>
      <c r="SGQ82" s="1"/>
      <c r="SGR82" s="1"/>
      <c r="SGS82" s="1"/>
      <c r="SGT82" s="1"/>
      <c r="SGU82" s="1"/>
      <c r="SGV82" s="1"/>
      <c r="SGW82" s="1"/>
      <c r="SGX82" s="1"/>
      <c r="SGY82" s="1"/>
      <c r="SGZ82" s="1"/>
      <c r="SHA82" s="1"/>
      <c r="SHB82" s="1"/>
      <c r="SHC82" s="1"/>
      <c r="SHD82" s="1"/>
      <c r="SHE82" s="1"/>
      <c r="SHF82" s="1"/>
      <c r="SHG82" s="1"/>
      <c r="SHH82" s="1"/>
      <c r="SHI82" s="1"/>
      <c r="SHJ82" s="1"/>
      <c r="SHK82" s="1"/>
      <c r="SHL82" s="1"/>
      <c r="SHM82" s="1"/>
      <c r="SHN82" s="1"/>
      <c r="SHO82" s="1"/>
      <c r="SHP82" s="1"/>
      <c r="SHQ82" s="1"/>
      <c r="SHR82" s="1"/>
      <c r="SHS82" s="1"/>
      <c r="SHT82" s="1"/>
      <c r="SHU82" s="1"/>
      <c r="SHV82" s="1"/>
      <c r="SHW82" s="1"/>
      <c r="SHX82" s="1"/>
      <c r="SHY82" s="1"/>
      <c r="SHZ82" s="1"/>
      <c r="SIA82" s="1"/>
      <c r="SIB82" s="1"/>
      <c r="SIC82" s="1"/>
      <c r="SID82" s="1"/>
      <c r="SIE82" s="1"/>
      <c r="SIF82" s="1"/>
      <c r="SIG82" s="1"/>
      <c r="SIH82" s="1"/>
      <c r="SII82" s="1"/>
      <c r="SIJ82" s="1"/>
      <c r="SIK82" s="1"/>
      <c r="SIL82" s="1"/>
      <c r="SIM82" s="1"/>
      <c r="SIN82" s="1"/>
      <c r="SIO82" s="1"/>
      <c r="SIP82" s="1"/>
      <c r="SIQ82" s="1"/>
      <c r="SIR82" s="1"/>
      <c r="SIS82" s="1"/>
      <c r="SIT82" s="1"/>
      <c r="SIU82" s="1"/>
      <c r="SIV82" s="1"/>
      <c r="SIW82" s="1"/>
      <c r="SIX82" s="1"/>
      <c r="SIY82" s="1"/>
      <c r="SIZ82" s="1"/>
      <c r="SJA82" s="1"/>
      <c r="SJB82" s="1"/>
      <c r="SJC82" s="1"/>
      <c r="SJD82" s="1"/>
      <c r="SJE82" s="1"/>
      <c r="SJF82" s="1"/>
      <c r="SJG82" s="1"/>
      <c r="SJH82" s="1"/>
      <c r="SJI82" s="1"/>
      <c r="SJJ82" s="1"/>
      <c r="SJK82" s="1"/>
      <c r="SJL82" s="1"/>
      <c r="SJM82" s="1"/>
      <c r="SJN82" s="1"/>
      <c r="SJO82" s="1"/>
      <c r="SJP82" s="1"/>
      <c r="SJQ82" s="1"/>
      <c r="SJR82" s="1"/>
      <c r="SJS82" s="1"/>
      <c r="SJT82" s="1"/>
      <c r="SJU82" s="1"/>
      <c r="SJV82" s="1"/>
      <c r="SJW82" s="1"/>
      <c r="SJX82" s="1"/>
      <c r="SJY82" s="1"/>
      <c r="SJZ82" s="1"/>
      <c r="SKA82" s="1"/>
      <c r="SKB82" s="1"/>
      <c r="SKC82" s="1"/>
      <c r="SKD82" s="1"/>
      <c r="SKE82" s="1"/>
      <c r="SKF82" s="1"/>
      <c r="SKG82" s="1"/>
      <c r="SKH82" s="1"/>
      <c r="SKI82" s="1"/>
      <c r="SKJ82" s="1"/>
      <c r="SKK82" s="1"/>
      <c r="SKL82" s="1"/>
      <c r="SKM82" s="1"/>
      <c r="SKN82" s="1"/>
      <c r="SKO82" s="1"/>
      <c r="SKP82" s="1"/>
      <c r="SKQ82" s="1"/>
      <c r="SKR82" s="1"/>
      <c r="SKS82" s="1"/>
      <c r="SKT82" s="1"/>
      <c r="SKU82" s="1"/>
      <c r="SKV82" s="1"/>
      <c r="SKW82" s="1"/>
      <c r="SKX82" s="1"/>
      <c r="SKY82" s="1"/>
      <c r="SKZ82" s="1"/>
      <c r="SLA82" s="1"/>
      <c r="SLB82" s="1"/>
      <c r="SLC82" s="1"/>
      <c r="SLD82" s="1"/>
      <c r="SLE82" s="1"/>
      <c r="SLF82" s="1"/>
      <c r="SLG82" s="1"/>
      <c r="SLH82" s="1"/>
      <c r="SLI82" s="1"/>
      <c r="SLJ82" s="1"/>
      <c r="SLK82" s="1"/>
      <c r="SLL82" s="1"/>
      <c r="SLM82" s="1"/>
      <c r="SLN82" s="1"/>
      <c r="SLO82" s="1"/>
      <c r="SLP82" s="1"/>
      <c r="SLQ82" s="1"/>
      <c r="SLR82" s="1"/>
      <c r="SLS82" s="1"/>
      <c r="SLT82" s="1"/>
      <c r="SLU82" s="1"/>
      <c r="SLV82" s="1"/>
      <c r="SLW82" s="1"/>
      <c r="SLX82" s="1"/>
      <c r="SLY82" s="1"/>
      <c r="SLZ82" s="1"/>
      <c r="SMA82" s="1"/>
      <c r="SMB82" s="1"/>
      <c r="SMC82" s="1"/>
      <c r="SMD82" s="1"/>
      <c r="SME82" s="1"/>
      <c r="SMF82" s="1"/>
      <c r="SMG82" s="1"/>
      <c r="SMH82" s="1"/>
      <c r="SMI82" s="1"/>
      <c r="SMJ82" s="1"/>
      <c r="SMK82" s="1"/>
      <c r="SML82" s="1"/>
      <c r="SMM82" s="1"/>
      <c r="SMN82" s="1"/>
      <c r="SMO82" s="1"/>
      <c r="SMP82" s="1"/>
      <c r="SMQ82" s="1"/>
      <c r="SMR82" s="1"/>
      <c r="SMS82" s="1"/>
      <c r="SMT82" s="1"/>
      <c r="SMU82" s="1"/>
      <c r="SMV82" s="1"/>
      <c r="SMW82" s="1"/>
      <c r="SMX82" s="1"/>
      <c r="SMY82" s="1"/>
      <c r="SMZ82" s="1"/>
      <c r="SNA82" s="1"/>
      <c r="SNB82" s="1"/>
      <c r="SNC82" s="1"/>
      <c r="SND82" s="1"/>
      <c r="SNE82" s="1"/>
      <c r="SNF82" s="1"/>
      <c r="SNG82" s="1"/>
      <c r="SNH82" s="1"/>
      <c r="SNI82" s="1"/>
      <c r="SNJ82" s="1"/>
      <c r="SNK82" s="1"/>
      <c r="SNL82" s="1"/>
      <c r="SNM82" s="1"/>
      <c r="SNN82" s="1"/>
      <c r="SNO82" s="1"/>
      <c r="SNP82" s="1"/>
      <c r="SNQ82" s="1"/>
      <c r="SNR82" s="1"/>
      <c r="SNS82" s="1"/>
      <c r="SNT82" s="1"/>
      <c r="SNU82" s="1"/>
      <c r="SNV82" s="1"/>
      <c r="SNW82" s="1"/>
      <c r="SNX82" s="1"/>
      <c r="SNY82" s="1"/>
      <c r="SNZ82" s="1"/>
      <c r="SOA82" s="1"/>
      <c r="SOB82" s="1"/>
      <c r="SOC82" s="1"/>
      <c r="SOD82" s="1"/>
      <c r="SOE82" s="1"/>
      <c r="SOF82" s="1"/>
      <c r="SOG82" s="1"/>
      <c r="SOH82" s="1"/>
      <c r="SOI82" s="1"/>
      <c r="SOJ82" s="1"/>
      <c r="SOK82" s="1"/>
      <c r="SOL82" s="1"/>
      <c r="SOM82" s="1"/>
      <c r="SON82" s="1"/>
      <c r="SOO82" s="1"/>
      <c r="SOP82" s="1"/>
      <c r="SOQ82" s="1"/>
      <c r="SOR82" s="1"/>
      <c r="SOS82" s="1"/>
      <c r="SOT82" s="1"/>
      <c r="SOU82" s="1"/>
      <c r="SOV82" s="1"/>
      <c r="SOW82" s="1"/>
      <c r="SOX82" s="1"/>
      <c r="SOY82" s="1"/>
      <c r="SOZ82" s="1"/>
      <c r="SPA82" s="1"/>
      <c r="SPB82" s="1"/>
      <c r="SPC82" s="1"/>
      <c r="SPD82" s="1"/>
      <c r="SPE82" s="1"/>
      <c r="SPF82" s="1"/>
      <c r="SPG82" s="1"/>
      <c r="SPH82" s="1"/>
      <c r="SPI82" s="1"/>
      <c r="SPJ82" s="1"/>
      <c r="SPK82" s="1"/>
      <c r="SPL82" s="1"/>
      <c r="SPM82" s="1"/>
      <c r="SPN82" s="1"/>
      <c r="SPO82" s="1"/>
      <c r="SPP82" s="1"/>
      <c r="SPQ82" s="1"/>
      <c r="SPR82" s="1"/>
      <c r="SPS82" s="1"/>
      <c r="SPT82" s="1"/>
      <c r="SPU82" s="1"/>
      <c r="SPV82" s="1"/>
      <c r="SPW82" s="1"/>
      <c r="SPX82" s="1"/>
      <c r="SPY82" s="1"/>
      <c r="SPZ82" s="1"/>
      <c r="SQA82" s="1"/>
      <c r="SQB82" s="1"/>
      <c r="SQC82" s="1"/>
      <c r="SQD82" s="1"/>
      <c r="SQE82" s="1"/>
      <c r="SQF82" s="1"/>
      <c r="SQG82" s="1"/>
      <c r="SQH82" s="1"/>
      <c r="SQI82" s="1"/>
      <c r="SQJ82" s="1"/>
      <c r="SQK82" s="1"/>
      <c r="SQL82" s="1"/>
      <c r="SQM82" s="1"/>
      <c r="SQN82" s="1"/>
      <c r="SQO82" s="1"/>
      <c r="SQP82" s="1"/>
      <c r="SQQ82" s="1"/>
      <c r="SQR82" s="1"/>
      <c r="SQS82" s="1"/>
      <c r="SQT82" s="1"/>
      <c r="SQU82" s="1"/>
      <c r="SQV82" s="1"/>
      <c r="SQW82" s="1"/>
      <c r="SQX82" s="1"/>
      <c r="SQY82" s="1"/>
      <c r="SQZ82" s="1"/>
      <c r="SRA82" s="1"/>
      <c r="SRB82" s="1"/>
      <c r="SRC82" s="1"/>
      <c r="SRD82" s="1"/>
      <c r="SRE82" s="1"/>
      <c r="SRF82" s="1"/>
      <c r="SRG82" s="1"/>
      <c r="SRH82" s="1"/>
      <c r="SRI82" s="1"/>
      <c r="SRJ82" s="1"/>
      <c r="SRK82" s="1"/>
      <c r="SRL82" s="1"/>
      <c r="SRM82" s="1"/>
      <c r="SRN82" s="1"/>
      <c r="SRO82" s="1"/>
      <c r="SRP82" s="1"/>
      <c r="SRQ82" s="1"/>
      <c r="SRR82" s="1"/>
      <c r="SRS82" s="1"/>
      <c r="SRT82" s="1"/>
      <c r="SRU82" s="1"/>
      <c r="SRV82" s="1"/>
      <c r="SRW82" s="1"/>
      <c r="SRX82" s="1"/>
      <c r="SRY82" s="1"/>
      <c r="SRZ82" s="1"/>
      <c r="SSA82" s="1"/>
      <c r="SSB82" s="1"/>
      <c r="SSC82" s="1"/>
      <c r="SSD82" s="1"/>
      <c r="SSE82" s="1"/>
      <c r="SSF82" s="1"/>
      <c r="SSG82" s="1"/>
      <c r="SSH82" s="1"/>
      <c r="SSI82" s="1"/>
      <c r="SSJ82" s="1"/>
      <c r="SSK82" s="1"/>
      <c r="SSL82" s="1"/>
      <c r="SSM82" s="1"/>
      <c r="SSN82" s="1"/>
      <c r="SSO82" s="1"/>
      <c r="SSP82" s="1"/>
      <c r="SSQ82" s="1"/>
      <c r="SSR82" s="1"/>
      <c r="SSS82" s="1"/>
      <c r="SST82" s="1"/>
      <c r="SSU82" s="1"/>
      <c r="SSV82" s="1"/>
      <c r="SSW82" s="1"/>
      <c r="SSX82" s="1"/>
      <c r="SSY82" s="1"/>
      <c r="SSZ82" s="1"/>
      <c r="STA82" s="1"/>
      <c r="STB82" s="1"/>
      <c r="STC82" s="1"/>
      <c r="STD82" s="1"/>
      <c r="STE82" s="1"/>
      <c r="STF82" s="1"/>
      <c r="STG82" s="1"/>
      <c r="STH82" s="1"/>
      <c r="STI82" s="1"/>
      <c r="STJ82" s="1"/>
      <c r="STK82" s="1"/>
      <c r="STL82" s="1"/>
      <c r="STM82" s="1"/>
      <c r="STN82" s="1"/>
      <c r="STO82" s="1"/>
      <c r="STP82" s="1"/>
      <c r="STQ82" s="1"/>
      <c r="STR82" s="1"/>
      <c r="STS82" s="1"/>
      <c r="STT82" s="1"/>
      <c r="STU82" s="1"/>
      <c r="STV82" s="1"/>
      <c r="STW82" s="1"/>
      <c r="STX82" s="1"/>
      <c r="STY82" s="1"/>
      <c r="STZ82" s="1"/>
      <c r="SUA82" s="1"/>
      <c r="SUB82" s="1"/>
      <c r="SUC82" s="1"/>
      <c r="SUD82" s="1"/>
      <c r="SUE82" s="1"/>
      <c r="SUF82" s="1"/>
      <c r="SUG82" s="1"/>
      <c r="SUH82" s="1"/>
      <c r="SUI82" s="1"/>
      <c r="SUJ82" s="1"/>
      <c r="SUK82" s="1"/>
      <c r="SUL82" s="1"/>
      <c r="SUM82" s="1"/>
      <c r="SUN82" s="1"/>
      <c r="SUO82" s="1"/>
      <c r="SUP82" s="1"/>
      <c r="SUQ82" s="1"/>
      <c r="SUR82" s="1"/>
      <c r="SUS82" s="1"/>
      <c r="SUT82" s="1"/>
      <c r="SUU82" s="1"/>
      <c r="SUV82" s="1"/>
      <c r="SUW82" s="1"/>
      <c r="SUX82" s="1"/>
      <c r="SUY82" s="1"/>
      <c r="SUZ82" s="1"/>
      <c r="SVA82" s="1"/>
      <c r="SVB82" s="1"/>
      <c r="SVC82" s="1"/>
      <c r="SVD82" s="1"/>
      <c r="SVE82" s="1"/>
      <c r="SVF82" s="1"/>
      <c r="SVG82" s="1"/>
      <c r="SVH82" s="1"/>
      <c r="SVI82" s="1"/>
      <c r="SVJ82" s="1"/>
      <c r="SVK82" s="1"/>
      <c r="SVL82" s="1"/>
      <c r="SVM82" s="1"/>
      <c r="SVN82" s="1"/>
      <c r="SVO82" s="1"/>
      <c r="SVP82" s="1"/>
      <c r="SVQ82" s="1"/>
      <c r="SVR82" s="1"/>
      <c r="SVS82" s="1"/>
      <c r="SVT82" s="1"/>
      <c r="SVU82" s="1"/>
      <c r="SVV82" s="1"/>
      <c r="SVW82" s="1"/>
      <c r="SVX82" s="1"/>
      <c r="SVY82" s="1"/>
      <c r="SVZ82" s="1"/>
      <c r="SWA82" s="1"/>
      <c r="SWB82" s="1"/>
      <c r="SWC82" s="1"/>
      <c r="SWD82" s="1"/>
      <c r="SWE82" s="1"/>
      <c r="SWF82" s="1"/>
      <c r="SWG82" s="1"/>
      <c r="SWH82" s="1"/>
      <c r="SWI82" s="1"/>
      <c r="SWJ82" s="1"/>
      <c r="SWK82" s="1"/>
      <c r="SWL82" s="1"/>
      <c r="SWM82" s="1"/>
      <c r="SWN82" s="1"/>
      <c r="SWO82" s="1"/>
      <c r="SWP82" s="1"/>
      <c r="SWQ82" s="1"/>
      <c r="SWR82" s="1"/>
      <c r="SWS82" s="1"/>
      <c r="SWT82" s="1"/>
      <c r="SWU82" s="1"/>
      <c r="SWV82" s="1"/>
      <c r="SWW82" s="1"/>
      <c r="SWX82" s="1"/>
      <c r="SWY82" s="1"/>
      <c r="SWZ82" s="1"/>
      <c r="SXA82" s="1"/>
      <c r="SXB82" s="1"/>
      <c r="SXC82" s="1"/>
      <c r="SXD82" s="1"/>
      <c r="SXE82" s="1"/>
      <c r="SXF82" s="1"/>
      <c r="SXG82" s="1"/>
      <c r="SXH82" s="1"/>
      <c r="SXI82" s="1"/>
      <c r="SXJ82" s="1"/>
      <c r="SXK82" s="1"/>
      <c r="SXL82" s="1"/>
      <c r="SXM82" s="1"/>
      <c r="SXN82" s="1"/>
      <c r="SXO82" s="1"/>
      <c r="SXP82" s="1"/>
      <c r="SXQ82" s="1"/>
      <c r="SXR82" s="1"/>
      <c r="SXS82" s="1"/>
      <c r="SXT82" s="1"/>
      <c r="SXU82" s="1"/>
      <c r="SXV82" s="1"/>
      <c r="SXW82" s="1"/>
      <c r="SXX82" s="1"/>
      <c r="SXY82" s="1"/>
      <c r="SXZ82" s="1"/>
      <c r="SYA82" s="1"/>
      <c r="SYB82" s="1"/>
      <c r="SYC82" s="1"/>
      <c r="SYD82" s="1"/>
      <c r="SYE82" s="1"/>
      <c r="SYF82" s="1"/>
      <c r="SYG82" s="1"/>
      <c r="SYH82" s="1"/>
      <c r="SYI82" s="1"/>
      <c r="SYJ82" s="1"/>
      <c r="SYK82" s="1"/>
      <c r="SYL82" s="1"/>
      <c r="SYM82" s="1"/>
      <c r="SYN82" s="1"/>
      <c r="SYO82" s="1"/>
      <c r="SYP82" s="1"/>
      <c r="SYQ82" s="1"/>
      <c r="SYR82" s="1"/>
      <c r="SYS82" s="1"/>
      <c r="SYT82" s="1"/>
      <c r="SYU82" s="1"/>
      <c r="SYV82" s="1"/>
      <c r="SYW82" s="1"/>
      <c r="SYX82" s="1"/>
      <c r="SYY82" s="1"/>
      <c r="SYZ82" s="1"/>
      <c r="SZA82" s="1"/>
      <c r="SZB82" s="1"/>
      <c r="SZC82" s="1"/>
      <c r="SZD82" s="1"/>
      <c r="SZE82" s="1"/>
      <c r="SZF82" s="1"/>
      <c r="SZG82" s="1"/>
      <c r="SZH82" s="1"/>
      <c r="SZI82" s="1"/>
      <c r="SZJ82" s="1"/>
      <c r="SZK82" s="1"/>
      <c r="SZL82" s="1"/>
      <c r="SZM82" s="1"/>
      <c r="SZN82" s="1"/>
      <c r="SZO82" s="1"/>
      <c r="SZP82" s="1"/>
      <c r="SZQ82" s="1"/>
      <c r="SZR82" s="1"/>
      <c r="SZS82" s="1"/>
      <c r="SZT82" s="1"/>
      <c r="SZU82" s="1"/>
      <c r="SZV82" s="1"/>
      <c r="SZW82" s="1"/>
      <c r="SZX82" s="1"/>
      <c r="SZY82" s="1"/>
      <c r="SZZ82" s="1"/>
      <c r="TAA82" s="1"/>
      <c r="TAB82" s="1"/>
      <c r="TAC82" s="1"/>
      <c r="TAD82" s="1"/>
      <c r="TAE82" s="1"/>
      <c r="TAF82" s="1"/>
      <c r="TAG82" s="1"/>
      <c r="TAH82" s="1"/>
      <c r="TAI82" s="1"/>
      <c r="TAJ82" s="1"/>
      <c r="TAK82" s="1"/>
      <c r="TAL82" s="1"/>
      <c r="TAM82" s="1"/>
      <c r="TAN82" s="1"/>
      <c r="TAO82" s="1"/>
      <c r="TAP82" s="1"/>
      <c r="TAQ82" s="1"/>
      <c r="TAR82" s="1"/>
      <c r="TAS82" s="1"/>
      <c r="TAT82" s="1"/>
      <c r="TAU82" s="1"/>
      <c r="TAV82" s="1"/>
      <c r="TAW82" s="1"/>
      <c r="TAX82" s="1"/>
      <c r="TAY82" s="1"/>
      <c r="TAZ82" s="1"/>
      <c r="TBA82" s="1"/>
      <c r="TBB82" s="1"/>
      <c r="TBC82" s="1"/>
      <c r="TBD82" s="1"/>
      <c r="TBE82" s="1"/>
      <c r="TBF82" s="1"/>
      <c r="TBG82" s="1"/>
      <c r="TBH82" s="1"/>
      <c r="TBI82" s="1"/>
      <c r="TBJ82" s="1"/>
      <c r="TBK82" s="1"/>
      <c r="TBL82" s="1"/>
      <c r="TBM82" s="1"/>
      <c r="TBN82" s="1"/>
      <c r="TBO82" s="1"/>
      <c r="TBP82" s="1"/>
      <c r="TBQ82" s="1"/>
      <c r="TBR82" s="1"/>
      <c r="TBS82" s="1"/>
      <c r="TBT82" s="1"/>
      <c r="TBU82" s="1"/>
      <c r="TBV82" s="1"/>
      <c r="TBW82" s="1"/>
      <c r="TBX82" s="1"/>
      <c r="TBY82" s="1"/>
      <c r="TBZ82" s="1"/>
      <c r="TCA82" s="1"/>
      <c r="TCB82" s="1"/>
      <c r="TCC82" s="1"/>
      <c r="TCD82" s="1"/>
      <c r="TCE82" s="1"/>
      <c r="TCF82" s="1"/>
      <c r="TCG82" s="1"/>
      <c r="TCH82" s="1"/>
      <c r="TCI82" s="1"/>
      <c r="TCJ82" s="1"/>
      <c r="TCK82" s="1"/>
      <c r="TCL82" s="1"/>
      <c r="TCM82" s="1"/>
      <c r="TCN82" s="1"/>
      <c r="TCO82" s="1"/>
      <c r="TCP82" s="1"/>
      <c r="TCQ82" s="1"/>
      <c r="TCR82" s="1"/>
      <c r="TCS82" s="1"/>
      <c r="TCT82" s="1"/>
      <c r="TCU82" s="1"/>
      <c r="TCV82" s="1"/>
      <c r="TCW82" s="1"/>
      <c r="TCX82" s="1"/>
      <c r="TCY82" s="1"/>
      <c r="TCZ82" s="1"/>
      <c r="TDA82" s="1"/>
      <c r="TDB82" s="1"/>
      <c r="TDC82" s="1"/>
      <c r="TDD82" s="1"/>
      <c r="TDE82" s="1"/>
      <c r="TDF82" s="1"/>
      <c r="TDG82" s="1"/>
      <c r="TDH82" s="1"/>
      <c r="TDI82" s="1"/>
      <c r="TDJ82" s="1"/>
      <c r="TDK82" s="1"/>
      <c r="TDL82" s="1"/>
      <c r="TDM82" s="1"/>
      <c r="TDN82" s="1"/>
      <c r="TDO82" s="1"/>
      <c r="TDP82" s="1"/>
      <c r="TDQ82" s="1"/>
      <c r="TDR82" s="1"/>
      <c r="TDS82" s="1"/>
      <c r="TDT82" s="1"/>
      <c r="TDU82" s="1"/>
      <c r="TDV82" s="1"/>
      <c r="TDW82" s="1"/>
      <c r="TDX82" s="1"/>
      <c r="TDY82" s="1"/>
      <c r="TDZ82" s="1"/>
      <c r="TEA82" s="1"/>
      <c r="TEB82" s="1"/>
      <c r="TEC82" s="1"/>
      <c r="TED82" s="1"/>
      <c r="TEE82" s="1"/>
      <c r="TEF82" s="1"/>
      <c r="TEG82" s="1"/>
      <c r="TEH82" s="1"/>
      <c r="TEI82" s="1"/>
      <c r="TEJ82" s="1"/>
      <c r="TEK82" s="1"/>
      <c r="TEL82" s="1"/>
      <c r="TEM82" s="1"/>
      <c r="TEN82" s="1"/>
      <c r="TEO82" s="1"/>
      <c r="TEP82" s="1"/>
      <c r="TEQ82" s="1"/>
      <c r="TER82" s="1"/>
      <c r="TES82" s="1"/>
      <c r="TET82" s="1"/>
      <c r="TEU82" s="1"/>
      <c r="TEV82" s="1"/>
      <c r="TEW82" s="1"/>
      <c r="TEX82" s="1"/>
      <c r="TEY82" s="1"/>
      <c r="TEZ82" s="1"/>
      <c r="TFA82" s="1"/>
      <c r="TFB82" s="1"/>
      <c r="TFC82" s="1"/>
      <c r="TFD82" s="1"/>
      <c r="TFE82" s="1"/>
      <c r="TFF82" s="1"/>
      <c r="TFG82" s="1"/>
      <c r="TFH82" s="1"/>
      <c r="TFI82" s="1"/>
      <c r="TFJ82" s="1"/>
      <c r="TFK82" s="1"/>
      <c r="TFL82" s="1"/>
      <c r="TFM82" s="1"/>
      <c r="TFN82" s="1"/>
      <c r="TFO82" s="1"/>
      <c r="TFP82" s="1"/>
      <c r="TFQ82" s="1"/>
      <c r="TFR82" s="1"/>
      <c r="TFS82" s="1"/>
      <c r="TFT82" s="1"/>
      <c r="TFU82" s="1"/>
      <c r="TFV82" s="1"/>
      <c r="TFW82" s="1"/>
      <c r="TFX82" s="1"/>
      <c r="TFY82" s="1"/>
      <c r="TFZ82" s="1"/>
      <c r="TGA82" s="1"/>
      <c r="TGB82" s="1"/>
      <c r="TGC82" s="1"/>
      <c r="TGD82" s="1"/>
      <c r="TGE82" s="1"/>
      <c r="TGF82" s="1"/>
      <c r="TGG82" s="1"/>
      <c r="TGH82" s="1"/>
      <c r="TGI82" s="1"/>
      <c r="TGJ82" s="1"/>
      <c r="TGK82" s="1"/>
      <c r="TGL82" s="1"/>
      <c r="TGM82" s="1"/>
      <c r="TGN82" s="1"/>
      <c r="TGO82" s="1"/>
      <c r="TGP82" s="1"/>
      <c r="TGQ82" s="1"/>
      <c r="TGR82" s="1"/>
      <c r="TGS82" s="1"/>
      <c r="TGT82" s="1"/>
      <c r="TGU82" s="1"/>
      <c r="TGV82" s="1"/>
      <c r="TGW82" s="1"/>
      <c r="TGX82" s="1"/>
      <c r="TGY82" s="1"/>
      <c r="TGZ82" s="1"/>
      <c r="THA82" s="1"/>
      <c r="THB82" s="1"/>
      <c r="THC82" s="1"/>
      <c r="THD82" s="1"/>
      <c r="THE82" s="1"/>
      <c r="THF82" s="1"/>
      <c r="THG82" s="1"/>
      <c r="THH82" s="1"/>
      <c r="THI82" s="1"/>
      <c r="THJ82" s="1"/>
      <c r="THK82" s="1"/>
      <c r="THL82" s="1"/>
      <c r="THM82" s="1"/>
      <c r="THN82" s="1"/>
      <c r="THO82" s="1"/>
      <c r="THP82" s="1"/>
      <c r="THQ82" s="1"/>
      <c r="THR82" s="1"/>
      <c r="THS82" s="1"/>
      <c r="THT82" s="1"/>
      <c r="THU82" s="1"/>
      <c r="THV82" s="1"/>
      <c r="THW82" s="1"/>
      <c r="THX82" s="1"/>
      <c r="THY82" s="1"/>
      <c r="THZ82" s="1"/>
      <c r="TIA82" s="1"/>
      <c r="TIB82" s="1"/>
      <c r="TIC82" s="1"/>
      <c r="TID82" s="1"/>
      <c r="TIE82" s="1"/>
      <c r="TIF82" s="1"/>
      <c r="TIG82" s="1"/>
      <c r="TIH82" s="1"/>
      <c r="TII82" s="1"/>
      <c r="TIJ82" s="1"/>
      <c r="TIK82" s="1"/>
      <c r="TIL82" s="1"/>
      <c r="TIM82" s="1"/>
      <c r="TIN82" s="1"/>
      <c r="TIO82" s="1"/>
      <c r="TIP82" s="1"/>
      <c r="TIQ82" s="1"/>
      <c r="TIR82" s="1"/>
      <c r="TIS82" s="1"/>
      <c r="TIT82" s="1"/>
      <c r="TIU82" s="1"/>
      <c r="TIV82" s="1"/>
      <c r="TIW82" s="1"/>
      <c r="TIX82" s="1"/>
      <c r="TIY82" s="1"/>
      <c r="TIZ82" s="1"/>
      <c r="TJA82" s="1"/>
      <c r="TJB82" s="1"/>
      <c r="TJC82" s="1"/>
      <c r="TJD82" s="1"/>
      <c r="TJE82" s="1"/>
      <c r="TJF82" s="1"/>
      <c r="TJG82" s="1"/>
      <c r="TJH82" s="1"/>
      <c r="TJI82" s="1"/>
      <c r="TJJ82" s="1"/>
      <c r="TJK82" s="1"/>
      <c r="TJL82" s="1"/>
      <c r="TJM82" s="1"/>
      <c r="TJN82" s="1"/>
      <c r="TJO82" s="1"/>
      <c r="TJP82" s="1"/>
      <c r="TJQ82" s="1"/>
      <c r="TJR82" s="1"/>
      <c r="TJS82" s="1"/>
      <c r="TJT82" s="1"/>
      <c r="TJU82" s="1"/>
      <c r="TJV82" s="1"/>
      <c r="TJW82" s="1"/>
      <c r="TJX82" s="1"/>
      <c r="TJY82" s="1"/>
      <c r="TJZ82" s="1"/>
      <c r="TKA82" s="1"/>
      <c r="TKB82" s="1"/>
      <c r="TKC82" s="1"/>
      <c r="TKD82" s="1"/>
      <c r="TKE82" s="1"/>
      <c r="TKF82" s="1"/>
      <c r="TKG82" s="1"/>
      <c r="TKH82" s="1"/>
      <c r="TKI82" s="1"/>
      <c r="TKJ82" s="1"/>
      <c r="TKK82" s="1"/>
      <c r="TKL82" s="1"/>
      <c r="TKM82" s="1"/>
      <c r="TKN82" s="1"/>
      <c r="TKO82" s="1"/>
      <c r="TKP82" s="1"/>
      <c r="TKQ82" s="1"/>
      <c r="TKR82" s="1"/>
      <c r="TKS82" s="1"/>
      <c r="TKT82" s="1"/>
      <c r="TKU82" s="1"/>
      <c r="TKV82" s="1"/>
      <c r="TKW82" s="1"/>
      <c r="TKX82" s="1"/>
      <c r="TKY82" s="1"/>
      <c r="TKZ82" s="1"/>
      <c r="TLA82" s="1"/>
      <c r="TLB82" s="1"/>
      <c r="TLC82" s="1"/>
      <c r="TLD82" s="1"/>
      <c r="TLE82" s="1"/>
      <c r="TLF82" s="1"/>
      <c r="TLG82" s="1"/>
      <c r="TLH82" s="1"/>
      <c r="TLI82" s="1"/>
      <c r="TLJ82" s="1"/>
      <c r="TLK82" s="1"/>
      <c r="TLL82" s="1"/>
      <c r="TLM82" s="1"/>
      <c r="TLN82" s="1"/>
      <c r="TLO82" s="1"/>
      <c r="TLP82" s="1"/>
      <c r="TLQ82" s="1"/>
      <c r="TLR82" s="1"/>
      <c r="TLS82" s="1"/>
      <c r="TLT82" s="1"/>
      <c r="TLU82" s="1"/>
      <c r="TLV82" s="1"/>
      <c r="TLW82" s="1"/>
      <c r="TLX82" s="1"/>
      <c r="TLY82" s="1"/>
      <c r="TLZ82" s="1"/>
      <c r="TMA82" s="1"/>
      <c r="TMB82" s="1"/>
      <c r="TMC82" s="1"/>
      <c r="TMD82" s="1"/>
      <c r="TME82" s="1"/>
      <c r="TMF82" s="1"/>
      <c r="TMG82" s="1"/>
      <c r="TMH82" s="1"/>
      <c r="TMI82" s="1"/>
      <c r="TMJ82" s="1"/>
      <c r="TMK82" s="1"/>
      <c r="TML82" s="1"/>
      <c r="TMM82" s="1"/>
      <c r="TMN82" s="1"/>
      <c r="TMO82" s="1"/>
      <c r="TMP82" s="1"/>
      <c r="TMQ82" s="1"/>
      <c r="TMR82" s="1"/>
      <c r="TMS82" s="1"/>
      <c r="TMT82" s="1"/>
      <c r="TMU82" s="1"/>
      <c r="TMV82" s="1"/>
      <c r="TMW82" s="1"/>
      <c r="TMX82" s="1"/>
      <c r="TMY82" s="1"/>
      <c r="TMZ82" s="1"/>
      <c r="TNA82" s="1"/>
      <c r="TNB82" s="1"/>
      <c r="TNC82" s="1"/>
      <c r="TND82" s="1"/>
      <c r="TNE82" s="1"/>
      <c r="TNF82" s="1"/>
      <c r="TNG82" s="1"/>
      <c r="TNH82" s="1"/>
      <c r="TNI82" s="1"/>
      <c r="TNJ82" s="1"/>
      <c r="TNK82" s="1"/>
      <c r="TNL82" s="1"/>
      <c r="TNM82" s="1"/>
      <c r="TNN82" s="1"/>
      <c r="TNO82" s="1"/>
      <c r="TNP82" s="1"/>
      <c r="TNQ82" s="1"/>
      <c r="TNR82" s="1"/>
      <c r="TNS82" s="1"/>
      <c r="TNT82" s="1"/>
      <c r="TNU82" s="1"/>
      <c r="TNV82" s="1"/>
      <c r="TNW82" s="1"/>
      <c r="TNX82" s="1"/>
      <c r="TNY82" s="1"/>
      <c r="TNZ82" s="1"/>
      <c r="TOA82" s="1"/>
      <c r="TOB82" s="1"/>
      <c r="TOC82" s="1"/>
      <c r="TOD82" s="1"/>
      <c r="TOE82" s="1"/>
      <c r="TOF82" s="1"/>
      <c r="TOG82" s="1"/>
      <c r="TOH82" s="1"/>
      <c r="TOI82" s="1"/>
      <c r="TOJ82" s="1"/>
      <c r="TOK82" s="1"/>
      <c r="TOL82" s="1"/>
      <c r="TOM82" s="1"/>
      <c r="TON82" s="1"/>
      <c r="TOO82" s="1"/>
      <c r="TOP82" s="1"/>
      <c r="TOQ82" s="1"/>
      <c r="TOR82" s="1"/>
      <c r="TOS82" s="1"/>
      <c r="TOT82" s="1"/>
      <c r="TOU82" s="1"/>
      <c r="TOV82" s="1"/>
      <c r="TOW82" s="1"/>
      <c r="TOX82" s="1"/>
      <c r="TOY82" s="1"/>
      <c r="TOZ82" s="1"/>
      <c r="TPA82" s="1"/>
      <c r="TPB82" s="1"/>
      <c r="TPC82" s="1"/>
      <c r="TPD82" s="1"/>
      <c r="TPE82" s="1"/>
      <c r="TPF82" s="1"/>
      <c r="TPG82" s="1"/>
      <c r="TPH82" s="1"/>
      <c r="TPI82" s="1"/>
      <c r="TPJ82" s="1"/>
      <c r="TPK82" s="1"/>
      <c r="TPL82" s="1"/>
      <c r="TPM82" s="1"/>
      <c r="TPN82" s="1"/>
      <c r="TPO82" s="1"/>
      <c r="TPP82" s="1"/>
      <c r="TPQ82" s="1"/>
      <c r="TPR82" s="1"/>
      <c r="TPS82" s="1"/>
      <c r="TPT82" s="1"/>
      <c r="TPU82" s="1"/>
      <c r="TPV82" s="1"/>
      <c r="TPW82" s="1"/>
      <c r="TPX82" s="1"/>
      <c r="TPY82" s="1"/>
      <c r="TPZ82" s="1"/>
      <c r="TQA82" s="1"/>
      <c r="TQB82" s="1"/>
      <c r="TQC82" s="1"/>
      <c r="TQD82" s="1"/>
      <c r="TQE82" s="1"/>
      <c r="TQF82" s="1"/>
      <c r="TQG82" s="1"/>
      <c r="TQH82" s="1"/>
      <c r="TQI82" s="1"/>
      <c r="TQJ82" s="1"/>
      <c r="TQK82" s="1"/>
      <c r="TQL82" s="1"/>
      <c r="TQM82" s="1"/>
      <c r="TQN82" s="1"/>
      <c r="TQO82" s="1"/>
      <c r="TQP82" s="1"/>
      <c r="TQQ82" s="1"/>
      <c r="TQR82" s="1"/>
      <c r="TQS82" s="1"/>
      <c r="TQT82" s="1"/>
      <c r="TQU82" s="1"/>
      <c r="TQV82" s="1"/>
      <c r="TQW82" s="1"/>
      <c r="TQX82" s="1"/>
      <c r="TQY82" s="1"/>
      <c r="TQZ82" s="1"/>
      <c r="TRA82" s="1"/>
      <c r="TRB82" s="1"/>
      <c r="TRC82" s="1"/>
      <c r="TRD82" s="1"/>
      <c r="TRE82" s="1"/>
      <c r="TRF82" s="1"/>
      <c r="TRG82" s="1"/>
      <c r="TRH82" s="1"/>
      <c r="TRI82" s="1"/>
      <c r="TRJ82" s="1"/>
      <c r="TRK82" s="1"/>
      <c r="TRL82" s="1"/>
      <c r="TRM82" s="1"/>
      <c r="TRN82" s="1"/>
      <c r="TRO82" s="1"/>
      <c r="TRP82" s="1"/>
      <c r="TRQ82" s="1"/>
      <c r="TRR82" s="1"/>
      <c r="TRS82" s="1"/>
      <c r="TRT82" s="1"/>
      <c r="TRU82" s="1"/>
      <c r="TRV82" s="1"/>
      <c r="TRW82" s="1"/>
      <c r="TRX82" s="1"/>
      <c r="TRY82" s="1"/>
      <c r="TRZ82" s="1"/>
      <c r="TSA82" s="1"/>
      <c r="TSB82" s="1"/>
      <c r="TSC82" s="1"/>
      <c r="TSD82" s="1"/>
      <c r="TSE82" s="1"/>
      <c r="TSF82" s="1"/>
      <c r="TSG82" s="1"/>
      <c r="TSH82" s="1"/>
      <c r="TSI82" s="1"/>
      <c r="TSJ82" s="1"/>
      <c r="TSK82" s="1"/>
      <c r="TSL82" s="1"/>
      <c r="TSM82" s="1"/>
      <c r="TSN82" s="1"/>
      <c r="TSO82" s="1"/>
      <c r="TSP82" s="1"/>
      <c r="TSQ82" s="1"/>
      <c r="TSR82" s="1"/>
      <c r="TSS82" s="1"/>
      <c r="TST82" s="1"/>
      <c r="TSU82" s="1"/>
      <c r="TSV82" s="1"/>
      <c r="TSW82" s="1"/>
      <c r="TSX82" s="1"/>
      <c r="TSY82" s="1"/>
      <c r="TSZ82" s="1"/>
      <c r="TTA82" s="1"/>
      <c r="TTB82" s="1"/>
      <c r="TTC82" s="1"/>
      <c r="TTD82" s="1"/>
      <c r="TTE82" s="1"/>
      <c r="TTF82" s="1"/>
      <c r="TTG82" s="1"/>
      <c r="TTH82" s="1"/>
      <c r="TTI82" s="1"/>
      <c r="TTJ82" s="1"/>
      <c r="TTK82" s="1"/>
      <c r="TTL82" s="1"/>
      <c r="TTM82" s="1"/>
      <c r="TTN82" s="1"/>
      <c r="TTO82" s="1"/>
      <c r="TTP82" s="1"/>
      <c r="TTQ82" s="1"/>
      <c r="TTR82" s="1"/>
      <c r="TTS82" s="1"/>
      <c r="TTT82" s="1"/>
      <c r="TTU82" s="1"/>
      <c r="TTV82" s="1"/>
      <c r="TTW82" s="1"/>
      <c r="TTX82" s="1"/>
      <c r="TTY82" s="1"/>
      <c r="TTZ82" s="1"/>
      <c r="TUA82" s="1"/>
      <c r="TUB82" s="1"/>
      <c r="TUC82" s="1"/>
      <c r="TUD82" s="1"/>
      <c r="TUE82" s="1"/>
      <c r="TUF82" s="1"/>
      <c r="TUG82" s="1"/>
      <c r="TUH82" s="1"/>
      <c r="TUI82" s="1"/>
      <c r="TUJ82" s="1"/>
      <c r="TUK82" s="1"/>
      <c r="TUL82" s="1"/>
      <c r="TUM82" s="1"/>
      <c r="TUN82" s="1"/>
      <c r="TUO82" s="1"/>
      <c r="TUP82" s="1"/>
      <c r="TUQ82" s="1"/>
      <c r="TUR82" s="1"/>
      <c r="TUS82" s="1"/>
      <c r="TUT82" s="1"/>
      <c r="TUU82" s="1"/>
      <c r="TUV82" s="1"/>
      <c r="TUW82" s="1"/>
      <c r="TUX82" s="1"/>
      <c r="TUY82" s="1"/>
      <c r="TUZ82" s="1"/>
      <c r="TVA82" s="1"/>
      <c r="TVB82" s="1"/>
      <c r="TVC82" s="1"/>
      <c r="TVD82" s="1"/>
      <c r="TVE82" s="1"/>
      <c r="TVF82" s="1"/>
      <c r="TVG82" s="1"/>
      <c r="TVH82" s="1"/>
      <c r="TVI82" s="1"/>
      <c r="TVJ82" s="1"/>
      <c r="TVK82" s="1"/>
      <c r="TVL82" s="1"/>
      <c r="TVM82" s="1"/>
      <c r="TVN82" s="1"/>
      <c r="TVO82" s="1"/>
      <c r="TVP82" s="1"/>
      <c r="TVQ82" s="1"/>
      <c r="TVR82" s="1"/>
      <c r="TVS82" s="1"/>
      <c r="TVT82" s="1"/>
      <c r="TVU82" s="1"/>
      <c r="TVV82" s="1"/>
      <c r="TVW82" s="1"/>
      <c r="TVX82" s="1"/>
      <c r="TVY82" s="1"/>
      <c r="TVZ82" s="1"/>
      <c r="TWA82" s="1"/>
      <c r="TWB82" s="1"/>
      <c r="TWC82" s="1"/>
      <c r="TWD82" s="1"/>
      <c r="TWE82" s="1"/>
      <c r="TWF82" s="1"/>
      <c r="TWG82" s="1"/>
      <c r="TWH82" s="1"/>
      <c r="TWI82" s="1"/>
      <c r="TWJ82" s="1"/>
      <c r="TWK82" s="1"/>
      <c r="TWL82" s="1"/>
      <c r="TWM82" s="1"/>
      <c r="TWN82" s="1"/>
      <c r="TWO82" s="1"/>
      <c r="TWP82" s="1"/>
      <c r="TWQ82" s="1"/>
      <c r="TWR82" s="1"/>
      <c r="TWS82" s="1"/>
      <c r="TWT82" s="1"/>
      <c r="TWU82" s="1"/>
      <c r="TWV82" s="1"/>
      <c r="TWW82" s="1"/>
      <c r="TWX82" s="1"/>
      <c r="TWY82" s="1"/>
      <c r="TWZ82" s="1"/>
      <c r="TXA82" s="1"/>
      <c r="TXB82" s="1"/>
      <c r="TXC82" s="1"/>
      <c r="TXD82" s="1"/>
      <c r="TXE82" s="1"/>
      <c r="TXF82" s="1"/>
      <c r="TXG82" s="1"/>
      <c r="TXH82" s="1"/>
      <c r="TXI82" s="1"/>
      <c r="TXJ82" s="1"/>
      <c r="TXK82" s="1"/>
      <c r="TXL82" s="1"/>
      <c r="TXM82" s="1"/>
      <c r="TXN82" s="1"/>
      <c r="TXO82" s="1"/>
      <c r="TXP82" s="1"/>
      <c r="TXQ82" s="1"/>
      <c r="TXR82" s="1"/>
      <c r="TXS82" s="1"/>
      <c r="TXT82" s="1"/>
      <c r="TXU82" s="1"/>
      <c r="TXV82" s="1"/>
      <c r="TXW82" s="1"/>
      <c r="TXX82" s="1"/>
      <c r="TXY82" s="1"/>
      <c r="TXZ82" s="1"/>
      <c r="TYA82" s="1"/>
      <c r="TYB82" s="1"/>
      <c r="TYC82" s="1"/>
      <c r="TYD82" s="1"/>
      <c r="TYE82" s="1"/>
      <c r="TYF82" s="1"/>
      <c r="TYG82" s="1"/>
      <c r="TYH82" s="1"/>
      <c r="TYI82" s="1"/>
      <c r="TYJ82" s="1"/>
      <c r="TYK82" s="1"/>
      <c r="TYL82" s="1"/>
      <c r="TYM82" s="1"/>
      <c r="TYN82" s="1"/>
      <c r="TYO82" s="1"/>
      <c r="TYP82" s="1"/>
      <c r="TYQ82" s="1"/>
      <c r="TYR82" s="1"/>
      <c r="TYS82" s="1"/>
      <c r="TYT82" s="1"/>
      <c r="TYU82" s="1"/>
      <c r="TYV82" s="1"/>
      <c r="TYW82" s="1"/>
      <c r="TYX82" s="1"/>
      <c r="TYY82" s="1"/>
      <c r="TYZ82" s="1"/>
      <c r="TZA82" s="1"/>
      <c r="TZB82" s="1"/>
      <c r="TZC82" s="1"/>
      <c r="TZD82" s="1"/>
      <c r="TZE82" s="1"/>
      <c r="TZF82" s="1"/>
      <c r="TZG82" s="1"/>
      <c r="TZH82" s="1"/>
      <c r="TZI82" s="1"/>
      <c r="TZJ82" s="1"/>
      <c r="TZK82" s="1"/>
      <c r="TZL82" s="1"/>
      <c r="TZM82" s="1"/>
      <c r="TZN82" s="1"/>
      <c r="TZO82" s="1"/>
      <c r="TZP82" s="1"/>
      <c r="TZQ82" s="1"/>
      <c r="TZR82" s="1"/>
      <c r="TZS82" s="1"/>
      <c r="TZT82" s="1"/>
      <c r="TZU82" s="1"/>
      <c r="TZV82" s="1"/>
      <c r="TZW82" s="1"/>
      <c r="TZX82" s="1"/>
      <c r="TZY82" s="1"/>
      <c r="TZZ82" s="1"/>
      <c r="UAA82" s="1"/>
      <c r="UAB82" s="1"/>
      <c r="UAC82" s="1"/>
      <c r="UAD82" s="1"/>
      <c r="UAE82" s="1"/>
      <c r="UAF82" s="1"/>
      <c r="UAG82" s="1"/>
      <c r="UAH82" s="1"/>
      <c r="UAI82" s="1"/>
      <c r="UAJ82" s="1"/>
      <c r="UAK82" s="1"/>
      <c r="UAL82" s="1"/>
      <c r="UAM82" s="1"/>
      <c r="UAN82" s="1"/>
      <c r="UAO82" s="1"/>
      <c r="UAP82" s="1"/>
      <c r="UAQ82" s="1"/>
      <c r="UAR82" s="1"/>
      <c r="UAS82" s="1"/>
      <c r="UAT82" s="1"/>
      <c r="UAU82" s="1"/>
      <c r="UAV82" s="1"/>
      <c r="UAW82" s="1"/>
      <c r="UAX82" s="1"/>
      <c r="UAY82" s="1"/>
      <c r="UAZ82" s="1"/>
      <c r="UBA82" s="1"/>
      <c r="UBB82" s="1"/>
      <c r="UBC82" s="1"/>
      <c r="UBD82" s="1"/>
      <c r="UBE82" s="1"/>
      <c r="UBF82" s="1"/>
      <c r="UBG82" s="1"/>
      <c r="UBH82" s="1"/>
      <c r="UBI82" s="1"/>
      <c r="UBJ82" s="1"/>
      <c r="UBK82" s="1"/>
      <c r="UBL82" s="1"/>
      <c r="UBM82" s="1"/>
      <c r="UBN82" s="1"/>
      <c r="UBO82" s="1"/>
      <c r="UBP82" s="1"/>
      <c r="UBQ82" s="1"/>
      <c r="UBR82" s="1"/>
      <c r="UBS82" s="1"/>
      <c r="UBT82" s="1"/>
      <c r="UBU82" s="1"/>
      <c r="UBV82" s="1"/>
      <c r="UBW82" s="1"/>
      <c r="UBX82" s="1"/>
      <c r="UBY82" s="1"/>
      <c r="UBZ82" s="1"/>
      <c r="UCA82" s="1"/>
      <c r="UCB82" s="1"/>
      <c r="UCC82" s="1"/>
      <c r="UCD82" s="1"/>
      <c r="UCE82" s="1"/>
      <c r="UCF82" s="1"/>
      <c r="UCG82" s="1"/>
      <c r="UCH82" s="1"/>
      <c r="UCI82" s="1"/>
      <c r="UCJ82" s="1"/>
      <c r="UCK82" s="1"/>
      <c r="UCL82" s="1"/>
      <c r="UCM82" s="1"/>
      <c r="UCN82" s="1"/>
      <c r="UCO82" s="1"/>
      <c r="UCP82" s="1"/>
      <c r="UCQ82" s="1"/>
      <c r="UCR82" s="1"/>
      <c r="UCS82" s="1"/>
      <c r="UCT82" s="1"/>
      <c r="UCU82" s="1"/>
      <c r="UCV82" s="1"/>
      <c r="UCW82" s="1"/>
      <c r="UCX82" s="1"/>
      <c r="UCY82" s="1"/>
      <c r="UCZ82" s="1"/>
      <c r="UDA82" s="1"/>
      <c r="UDB82" s="1"/>
      <c r="UDC82" s="1"/>
      <c r="UDD82" s="1"/>
      <c r="UDE82" s="1"/>
      <c r="UDF82" s="1"/>
      <c r="UDG82" s="1"/>
      <c r="UDH82" s="1"/>
      <c r="UDI82" s="1"/>
      <c r="UDJ82" s="1"/>
      <c r="UDK82" s="1"/>
      <c r="UDL82" s="1"/>
      <c r="UDM82" s="1"/>
      <c r="UDN82" s="1"/>
      <c r="UDO82" s="1"/>
      <c r="UDP82" s="1"/>
      <c r="UDQ82" s="1"/>
      <c r="UDR82" s="1"/>
      <c r="UDS82" s="1"/>
      <c r="UDT82" s="1"/>
      <c r="UDU82" s="1"/>
      <c r="UDV82" s="1"/>
      <c r="UDW82" s="1"/>
      <c r="UDX82" s="1"/>
      <c r="UDY82" s="1"/>
      <c r="UDZ82" s="1"/>
      <c r="UEA82" s="1"/>
      <c r="UEB82" s="1"/>
      <c r="UEC82" s="1"/>
      <c r="UED82" s="1"/>
      <c r="UEE82" s="1"/>
      <c r="UEF82" s="1"/>
      <c r="UEG82" s="1"/>
      <c r="UEH82" s="1"/>
      <c r="UEI82" s="1"/>
      <c r="UEJ82" s="1"/>
      <c r="UEK82" s="1"/>
      <c r="UEL82" s="1"/>
      <c r="UEM82" s="1"/>
      <c r="UEN82" s="1"/>
      <c r="UEO82" s="1"/>
      <c r="UEP82" s="1"/>
      <c r="UEQ82" s="1"/>
      <c r="UER82" s="1"/>
      <c r="UES82" s="1"/>
      <c r="UET82" s="1"/>
      <c r="UEU82" s="1"/>
      <c r="UEV82" s="1"/>
      <c r="UEW82" s="1"/>
      <c r="UEX82" s="1"/>
      <c r="UEY82" s="1"/>
      <c r="UEZ82" s="1"/>
      <c r="UFA82" s="1"/>
      <c r="UFB82" s="1"/>
      <c r="UFC82" s="1"/>
      <c r="UFD82" s="1"/>
      <c r="UFE82" s="1"/>
      <c r="UFF82" s="1"/>
      <c r="UFG82" s="1"/>
      <c r="UFH82" s="1"/>
      <c r="UFI82" s="1"/>
      <c r="UFJ82" s="1"/>
      <c r="UFK82" s="1"/>
      <c r="UFL82" s="1"/>
      <c r="UFM82" s="1"/>
      <c r="UFN82" s="1"/>
      <c r="UFO82" s="1"/>
      <c r="UFP82" s="1"/>
      <c r="UFQ82" s="1"/>
      <c r="UFR82" s="1"/>
      <c r="UFS82" s="1"/>
      <c r="UFT82" s="1"/>
      <c r="UFU82" s="1"/>
      <c r="UFV82" s="1"/>
      <c r="UFW82" s="1"/>
      <c r="UFX82" s="1"/>
      <c r="UFY82" s="1"/>
      <c r="UFZ82" s="1"/>
      <c r="UGA82" s="1"/>
      <c r="UGB82" s="1"/>
      <c r="UGC82" s="1"/>
      <c r="UGD82" s="1"/>
      <c r="UGE82" s="1"/>
      <c r="UGF82" s="1"/>
      <c r="UGG82" s="1"/>
      <c r="UGH82" s="1"/>
      <c r="UGI82" s="1"/>
      <c r="UGJ82" s="1"/>
      <c r="UGK82" s="1"/>
      <c r="UGL82" s="1"/>
      <c r="UGM82" s="1"/>
      <c r="UGN82" s="1"/>
      <c r="UGO82" s="1"/>
      <c r="UGP82" s="1"/>
      <c r="UGQ82" s="1"/>
      <c r="UGR82" s="1"/>
      <c r="UGS82" s="1"/>
      <c r="UGT82" s="1"/>
      <c r="UGU82" s="1"/>
      <c r="UGV82" s="1"/>
      <c r="UGW82" s="1"/>
      <c r="UGX82" s="1"/>
      <c r="UGY82" s="1"/>
      <c r="UGZ82" s="1"/>
      <c r="UHA82" s="1"/>
      <c r="UHB82" s="1"/>
      <c r="UHC82" s="1"/>
      <c r="UHD82" s="1"/>
      <c r="UHE82" s="1"/>
      <c r="UHF82" s="1"/>
      <c r="UHG82" s="1"/>
      <c r="UHH82" s="1"/>
      <c r="UHI82" s="1"/>
      <c r="UHJ82" s="1"/>
      <c r="UHK82" s="1"/>
      <c r="UHL82" s="1"/>
      <c r="UHM82" s="1"/>
      <c r="UHN82" s="1"/>
      <c r="UHO82" s="1"/>
      <c r="UHP82" s="1"/>
      <c r="UHQ82" s="1"/>
      <c r="UHR82" s="1"/>
      <c r="UHS82" s="1"/>
      <c r="UHT82" s="1"/>
      <c r="UHU82" s="1"/>
      <c r="UHV82" s="1"/>
      <c r="UHW82" s="1"/>
      <c r="UHX82" s="1"/>
      <c r="UHY82" s="1"/>
      <c r="UHZ82" s="1"/>
      <c r="UIA82" s="1"/>
      <c r="UIB82" s="1"/>
      <c r="UIC82" s="1"/>
      <c r="UID82" s="1"/>
      <c r="UIE82" s="1"/>
      <c r="UIF82" s="1"/>
      <c r="UIG82" s="1"/>
      <c r="UIH82" s="1"/>
      <c r="UII82" s="1"/>
      <c r="UIJ82" s="1"/>
      <c r="UIK82" s="1"/>
      <c r="UIL82" s="1"/>
      <c r="UIM82" s="1"/>
      <c r="UIN82" s="1"/>
      <c r="UIO82" s="1"/>
      <c r="UIP82" s="1"/>
      <c r="UIQ82" s="1"/>
      <c r="UIR82" s="1"/>
      <c r="UIS82" s="1"/>
      <c r="UIT82" s="1"/>
      <c r="UIU82" s="1"/>
      <c r="UIV82" s="1"/>
      <c r="UIW82" s="1"/>
      <c r="UIX82" s="1"/>
      <c r="UIY82" s="1"/>
      <c r="UIZ82" s="1"/>
      <c r="UJA82" s="1"/>
      <c r="UJB82" s="1"/>
      <c r="UJC82" s="1"/>
      <c r="UJD82" s="1"/>
      <c r="UJE82" s="1"/>
      <c r="UJF82" s="1"/>
      <c r="UJG82" s="1"/>
      <c r="UJH82" s="1"/>
      <c r="UJI82" s="1"/>
      <c r="UJJ82" s="1"/>
      <c r="UJK82" s="1"/>
      <c r="UJL82" s="1"/>
      <c r="UJM82" s="1"/>
      <c r="UJN82" s="1"/>
      <c r="UJO82" s="1"/>
      <c r="UJP82" s="1"/>
      <c r="UJQ82" s="1"/>
      <c r="UJR82" s="1"/>
      <c r="UJS82" s="1"/>
      <c r="UJT82" s="1"/>
      <c r="UJU82" s="1"/>
      <c r="UJV82" s="1"/>
      <c r="UJW82" s="1"/>
      <c r="UJX82" s="1"/>
      <c r="UJY82" s="1"/>
      <c r="UJZ82" s="1"/>
      <c r="UKA82" s="1"/>
      <c r="UKB82" s="1"/>
      <c r="UKC82" s="1"/>
      <c r="UKD82" s="1"/>
      <c r="UKE82" s="1"/>
      <c r="UKF82" s="1"/>
      <c r="UKG82" s="1"/>
      <c r="UKH82" s="1"/>
      <c r="UKI82" s="1"/>
      <c r="UKJ82" s="1"/>
      <c r="UKK82" s="1"/>
      <c r="UKL82" s="1"/>
      <c r="UKM82" s="1"/>
      <c r="UKN82" s="1"/>
      <c r="UKO82" s="1"/>
      <c r="UKP82" s="1"/>
      <c r="UKQ82" s="1"/>
      <c r="UKR82" s="1"/>
      <c r="UKS82" s="1"/>
      <c r="UKT82" s="1"/>
      <c r="UKU82" s="1"/>
      <c r="UKV82" s="1"/>
      <c r="UKW82" s="1"/>
      <c r="UKX82" s="1"/>
      <c r="UKY82" s="1"/>
      <c r="UKZ82" s="1"/>
      <c r="ULA82" s="1"/>
      <c r="ULB82" s="1"/>
      <c r="ULC82" s="1"/>
      <c r="ULD82" s="1"/>
      <c r="ULE82" s="1"/>
      <c r="ULF82" s="1"/>
      <c r="ULG82" s="1"/>
      <c r="ULH82" s="1"/>
      <c r="ULI82" s="1"/>
      <c r="ULJ82" s="1"/>
      <c r="ULK82" s="1"/>
      <c r="ULL82" s="1"/>
      <c r="ULM82" s="1"/>
      <c r="ULN82" s="1"/>
      <c r="ULO82" s="1"/>
      <c r="ULP82" s="1"/>
      <c r="ULQ82" s="1"/>
      <c r="ULR82" s="1"/>
      <c r="ULS82" s="1"/>
      <c r="ULT82" s="1"/>
      <c r="ULU82" s="1"/>
      <c r="ULV82" s="1"/>
      <c r="ULW82" s="1"/>
      <c r="ULX82" s="1"/>
      <c r="ULY82" s="1"/>
      <c r="ULZ82" s="1"/>
      <c r="UMA82" s="1"/>
      <c r="UMB82" s="1"/>
      <c r="UMC82" s="1"/>
      <c r="UMD82" s="1"/>
      <c r="UME82" s="1"/>
      <c r="UMF82" s="1"/>
      <c r="UMG82" s="1"/>
      <c r="UMH82" s="1"/>
      <c r="UMI82" s="1"/>
      <c r="UMJ82" s="1"/>
      <c r="UMK82" s="1"/>
      <c r="UML82" s="1"/>
      <c r="UMM82" s="1"/>
      <c r="UMN82" s="1"/>
      <c r="UMO82" s="1"/>
      <c r="UMP82" s="1"/>
      <c r="UMQ82" s="1"/>
      <c r="UMR82" s="1"/>
      <c r="UMS82" s="1"/>
      <c r="UMT82" s="1"/>
      <c r="UMU82" s="1"/>
      <c r="UMV82" s="1"/>
      <c r="UMW82" s="1"/>
      <c r="UMX82" s="1"/>
      <c r="UMY82" s="1"/>
      <c r="UMZ82" s="1"/>
      <c r="UNA82" s="1"/>
      <c r="UNB82" s="1"/>
      <c r="UNC82" s="1"/>
      <c r="UND82" s="1"/>
      <c r="UNE82" s="1"/>
      <c r="UNF82" s="1"/>
      <c r="UNG82" s="1"/>
      <c r="UNH82" s="1"/>
      <c r="UNI82" s="1"/>
      <c r="UNJ82" s="1"/>
      <c r="UNK82" s="1"/>
      <c r="UNL82" s="1"/>
      <c r="UNM82" s="1"/>
      <c r="UNN82" s="1"/>
      <c r="UNO82" s="1"/>
      <c r="UNP82" s="1"/>
      <c r="UNQ82" s="1"/>
      <c r="UNR82" s="1"/>
      <c r="UNS82" s="1"/>
      <c r="UNT82" s="1"/>
      <c r="UNU82" s="1"/>
      <c r="UNV82" s="1"/>
      <c r="UNW82" s="1"/>
      <c r="UNX82" s="1"/>
      <c r="UNY82" s="1"/>
      <c r="UNZ82" s="1"/>
      <c r="UOA82" s="1"/>
      <c r="UOB82" s="1"/>
      <c r="UOC82" s="1"/>
      <c r="UOD82" s="1"/>
      <c r="UOE82" s="1"/>
      <c r="UOF82" s="1"/>
      <c r="UOG82" s="1"/>
      <c r="UOH82" s="1"/>
      <c r="UOI82" s="1"/>
      <c r="UOJ82" s="1"/>
      <c r="UOK82" s="1"/>
      <c r="UOL82" s="1"/>
      <c r="UOM82" s="1"/>
      <c r="UON82" s="1"/>
      <c r="UOO82" s="1"/>
      <c r="UOP82" s="1"/>
      <c r="UOQ82" s="1"/>
      <c r="UOR82" s="1"/>
      <c r="UOS82" s="1"/>
      <c r="UOT82" s="1"/>
      <c r="UOU82" s="1"/>
      <c r="UOV82" s="1"/>
      <c r="UOW82" s="1"/>
      <c r="UOX82" s="1"/>
      <c r="UOY82" s="1"/>
      <c r="UOZ82" s="1"/>
      <c r="UPA82" s="1"/>
      <c r="UPB82" s="1"/>
      <c r="UPC82" s="1"/>
      <c r="UPD82" s="1"/>
      <c r="UPE82" s="1"/>
      <c r="UPF82" s="1"/>
      <c r="UPG82" s="1"/>
      <c r="UPH82" s="1"/>
      <c r="UPI82" s="1"/>
      <c r="UPJ82" s="1"/>
      <c r="UPK82" s="1"/>
      <c r="UPL82" s="1"/>
      <c r="UPM82" s="1"/>
      <c r="UPN82" s="1"/>
      <c r="UPO82" s="1"/>
      <c r="UPP82" s="1"/>
      <c r="UPQ82" s="1"/>
      <c r="UPR82" s="1"/>
      <c r="UPS82" s="1"/>
      <c r="UPT82" s="1"/>
      <c r="UPU82" s="1"/>
      <c r="UPV82" s="1"/>
      <c r="UPW82" s="1"/>
      <c r="UPX82" s="1"/>
      <c r="UPY82" s="1"/>
      <c r="UPZ82" s="1"/>
      <c r="UQA82" s="1"/>
      <c r="UQB82" s="1"/>
      <c r="UQC82" s="1"/>
      <c r="UQD82" s="1"/>
      <c r="UQE82" s="1"/>
      <c r="UQF82" s="1"/>
      <c r="UQG82" s="1"/>
      <c r="UQH82" s="1"/>
      <c r="UQI82" s="1"/>
      <c r="UQJ82" s="1"/>
      <c r="UQK82" s="1"/>
      <c r="UQL82" s="1"/>
      <c r="UQM82" s="1"/>
      <c r="UQN82" s="1"/>
      <c r="UQO82" s="1"/>
      <c r="UQP82" s="1"/>
      <c r="UQQ82" s="1"/>
      <c r="UQR82" s="1"/>
      <c r="UQS82" s="1"/>
      <c r="UQT82" s="1"/>
      <c r="UQU82" s="1"/>
      <c r="UQV82" s="1"/>
      <c r="UQW82" s="1"/>
      <c r="UQX82" s="1"/>
      <c r="UQY82" s="1"/>
      <c r="UQZ82" s="1"/>
      <c r="URA82" s="1"/>
      <c r="URB82" s="1"/>
      <c r="URC82" s="1"/>
      <c r="URD82" s="1"/>
      <c r="URE82" s="1"/>
      <c r="URF82" s="1"/>
      <c r="URG82" s="1"/>
      <c r="URH82" s="1"/>
      <c r="URI82" s="1"/>
      <c r="URJ82" s="1"/>
      <c r="URK82" s="1"/>
      <c r="URL82" s="1"/>
      <c r="URM82" s="1"/>
      <c r="URN82" s="1"/>
      <c r="URO82" s="1"/>
      <c r="URP82" s="1"/>
      <c r="URQ82" s="1"/>
      <c r="URR82" s="1"/>
      <c r="URS82" s="1"/>
      <c r="URT82" s="1"/>
      <c r="URU82" s="1"/>
      <c r="URV82" s="1"/>
      <c r="URW82" s="1"/>
      <c r="URX82" s="1"/>
      <c r="URY82" s="1"/>
      <c r="URZ82" s="1"/>
      <c r="USA82" s="1"/>
      <c r="USB82" s="1"/>
      <c r="USC82" s="1"/>
      <c r="USD82" s="1"/>
      <c r="USE82" s="1"/>
      <c r="USF82" s="1"/>
      <c r="USG82" s="1"/>
      <c r="USH82" s="1"/>
      <c r="USI82" s="1"/>
      <c r="USJ82" s="1"/>
      <c r="USK82" s="1"/>
      <c r="USL82" s="1"/>
      <c r="USM82" s="1"/>
      <c r="USN82" s="1"/>
      <c r="USO82" s="1"/>
      <c r="USP82" s="1"/>
      <c r="USQ82" s="1"/>
      <c r="USR82" s="1"/>
      <c r="USS82" s="1"/>
      <c r="UST82" s="1"/>
      <c r="USU82" s="1"/>
      <c r="USV82" s="1"/>
      <c r="USW82" s="1"/>
      <c r="USX82" s="1"/>
      <c r="USY82" s="1"/>
      <c r="USZ82" s="1"/>
      <c r="UTA82" s="1"/>
      <c r="UTB82" s="1"/>
      <c r="UTC82" s="1"/>
      <c r="UTD82" s="1"/>
      <c r="UTE82" s="1"/>
      <c r="UTF82" s="1"/>
      <c r="UTG82" s="1"/>
      <c r="UTH82" s="1"/>
      <c r="UTI82" s="1"/>
      <c r="UTJ82" s="1"/>
      <c r="UTK82" s="1"/>
      <c r="UTL82" s="1"/>
      <c r="UTM82" s="1"/>
      <c r="UTN82" s="1"/>
      <c r="UTO82" s="1"/>
      <c r="UTP82" s="1"/>
      <c r="UTQ82" s="1"/>
      <c r="UTR82" s="1"/>
      <c r="UTS82" s="1"/>
      <c r="UTT82" s="1"/>
      <c r="UTU82" s="1"/>
      <c r="UTV82" s="1"/>
      <c r="UTW82" s="1"/>
      <c r="UTX82" s="1"/>
      <c r="UTY82" s="1"/>
      <c r="UTZ82" s="1"/>
      <c r="UUA82" s="1"/>
      <c r="UUB82" s="1"/>
      <c r="UUC82" s="1"/>
      <c r="UUD82" s="1"/>
      <c r="UUE82" s="1"/>
      <c r="UUF82" s="1"/>
      <c r="UUG82" s="1"/>
      <c r="UUH82" s="1"/>
      <c r="UUI82" s="1"/>
      <c r="UUJ82" s="1"/>
      <c r="UUK82" s="1"/>
      <c r="UUL82" s="1"/>
      <c r="UUM82" s="1"/>
      <c r="UUN82" s="1"/>
      <c r="UUO82" s="1"/>
      <c r="UUP82" s="1"/>
      <c r="UUQ82" s="1"/>
      <c r="UUR82" s="1"/>
      <c r="UUS82" s="1"/>
      <c r="UUT82" s="1"/>
      <c r="UUU82" s="1"/>
      <c r="UUV82" s="1"/>
      <c r="UUW82" s="1"/>
      <c r="UUX82" s="1"/>
      <c r="UUY82" s="1"/>
      <c r="UUZ82" s="1"/>
      <c r="UVA82" s="1"/>
      <c r="UVB82" s="1"/>
      <c r="UVC82" s="1"/>
      <c r="UVD82" s="1"/>
      <c r="UVE82" s="1"/>
      <c r="UVF82" s="1"/>
      <c r="UVG82" s="1"/>
      <c r="UVH82" s="1"/>
      <c r="UVI82" s="1"/>
      <c r="UVJ82" s="1"/>
      <c r="UVK82" s="1"/>
      <c r="UVL82" s="1"/>
      <c r="UVM82" s="1"/>
      <c r="UVN82" s="1"/>
      <c r="UVO82" s="1"/>
      <c r="UVP82" s="1"/>
      <c r="UVQ82" s="1"/>
      <c r="UVR82" s="1"/>
      <c r="UVS82" s="1"/>
      <c r="UVT82" s="1"/>
      <c r="UVU82" s="1"/>
      <c r="UVV82" s="1"/>
      <c r="UVW82" s="1"/>
      <c r="UVX82" s="1"/>
      <c r="UVY82" s="1"/>
      <c r="UVZ82" s="1"/>
      <c r="UWA82" s="1"/>
      <c r="UWB82" s="1"/>
      <c r="UWC82" s="1"/>
      <c r="UWD82" s="1"/>
      <c r="UWE82" s="1"/>
      <c r="UWF82" s="1"/>
      <c r="UWG82" s="1"/>
      <c r="UWH82" s="1"/>
      <c r="UWI82" s="1"/>
      <c r="UWJ82" s="1"/>
      <c r="UWK82" s="1"/>
      <c r="UWL82" s="1"/>
      <c r="UWM82" s="1"/>
      <c r="UWN82" s="1"/>
      <c r="UWO82" s="1"/>
      <c r="UWP82" s="1"/>
      <c r="UWQ82" s="1"/>
      <c r="UWR82" s="1"/>
      <c r="UWS82" s="1"/>
      <c r="UWT82" s="1"/>
      <c r="UWU82" s="1"/>
      <c r="UWV82" s="1"/>
      <c r="UWW82" s="1"/>
      <c r="UWX82" s="1"/>
      <c r="UWY82" s="1"/>
      <c r="UWZ82" s="1"/>
      <c r="UXA82" s="1"/>
      <c r="UXB82" s="1"/>
      <c r="UXC82" s="1"/>
      <c r="UXD82" s="1"/>
      <c r="UXE82" s="1"/>
      <c r="UXF82" s="1"/>
      <c r="UXG82" s="1"/>
      <c r="UXH82" s="1"/>
      <c r="UXI82" s="1"/>
      <c r="UXJ82" s="1"/>
      <c r="UXK82" s="1"/>
      <c r="UXL82" s="1"/>
      <c r="UXM82" s="1"/>
      <c r="UXN82" s="1"/>
      <c r="UXO82" s="1"/>
      <c r="UXP82" s="1"/>
      <c r="UXQ82" s="1"/>
      <c r="UXR82" s="1"/>
      <c r="UXS82" s="1"/>
      <c r="UXT82" s="1"/>
      <c r="UXU82" s="1"/>
      <c r="UXV82" s="1"/>
      <c r="UXW82" s="1"/>
      <c r="UXX82" s="1"/>
      <c r="UXY82" s="1"/>
      <c r="UXZ82" s="1"/>
      <c r="UYA82" s="1"/>
      <c r="UYB82" s="1"/>
      <c r="UYC82" s="1"/>
      <c r="UYD82" s="1"/>
      <c r="UYE82" s="1"/>
      <c r="UYF82" s="1"/>
      <c r="UYG82" s="1"/>
      <c r="UYH82" s="1"/>
      <c r="UYI82" s="1"/>
      <c r="UYJ82" s="1"/>
      <c r="UYK82" s="1"/>
      <c r="UYL82" s="1"/>
      <c r="UYM82" s="1"/>
      <c r="UYN82" s="1"/>
      <c r="UYO82" s="1"/>
      <c r="UYP82" s="1"/>
      <c r="UYQ82" s="1"/>
      <c r="UYR82" s="1"/>
      <c r="UYS82" s="1"/>
      <c r="UYT82" s="1"/>
      <c r="UYU82" s="1"/>
      <c r="UYV82" s="1"/>
      <c r="UYW82" s="1"/>
      <c r="UYX82" s="1"/>
      <c r="UYY82" s="1"/>
      <c r="UYZ82" s="1"/>
      <c r="UZA82" s="1"/>
      <c r="UZB82" s="1"/>
      <c r="UZC82" s="1"/>
      <c r="UZD82" s="1"/>
      <c r="UZE82" s="1"/>
      <c r="UZF82" s="1"/>
      <c r="UZG82" s="1"/>
      <c r="UZH82" s="1"/>
      <c r="UZI82" s="1"/>
      <c r="UZJ82" s="1"/>
      <c r="UZK82" s="1"/>
      <c r="UZL82" s="1"/>
      <c r="UZM82" s="1"/>
      <c r="UZN82" s="1"/>
      <c r="UZO82" s="1"/>
      <c r="UZP82" s="1"/>
      <c r="UZQ82" s="1"/>
      <c r="UZR82" s="1"/>
      <c r="UZS82" s="1"/>
      <c r="UZT82" s="1"/>
      <c r="UZU82" s="1"/>
      <c r="UZV82" s="1"/>
      <c r="UZW82" s="1"/>
      <c r="UZX82" s="1"/>
      <c r="UZY82" s="1"/>
      <c r="UZZ82" s="1"/>
      <c r="VAA82" s="1"/>
      <c r="VAB82" s="1"/>
      <c r="VAC82" s="1"/>
      <c r="VAD82" s="1"/>
      <c r="VAE82" s="1"/>
      <c r="VAF82" s="1"/>
      <c r="VAG82" s="1"/>
      <c r="VAH82" s="1"/>
      <c r="VAI82" s="1"/>
      <c r="VAJ82" s="1"/>
      <c r="VAK82" s="1"/>
      <c r="VAL82" s="1"/>
      <c r="VAM82" s="1"/>
      <c r="VAN82" s="1"/>
      <c r="VAO82" s="1"/>
      <c r="VAP82" s="1"/>
      <c r="VAQ82" s="1"/>
      <c r="VAR82" s="1"/>
      <c r="VAS82" s="1"/>
      <c r="VAT82" s="1"/>
      <c r="VAU82" s="1"/>
      <c r="VAV82" s="1"/>
      <c r="VAW82" s="1"/>
      <c r="VAX82" s="1"/>
      <c r="VAY82" s="1"/>
      <c r="VAZ82" s="1"/>
      <c r="VBA82" s="1"/>
      <c r="VBB82" s="1"/>
      <c r="VBC82" s="1"/>
      <c r="VBD82" s="1"/>
      <c r="VBE82" s="1"/>
      <c r="VBF82" s="1"/>
      <c r="VBG82" s="1"/>
      <c r="VBH82" s="1"/>
      <c r="VBI82" s="1"/>
      <c r="VBJ82" s="1"/>
      <c r="VBK82" s="1"/>
      <c r="VBL82" s="1"/>
      <c r="VBM82" s="1"/>
      <c r="VBN82" s="1"/>
      <c r="VBO82" s="1"/>
      <c r="VBP82" s="1"/>
      <c r="VBQ82" s="1"/>
      <c r="VBR82" s="1"/>
      <c r="VBS82" s="1"/>
      <c r="VBT82" s="1"/>
      <c r="VBU82" s="1"/>
      <c r="VBV82" s="1"/>
      <c r="VBW82" s="1"/>
      <c r="VBX82" s="1"/>
      <c r="VBY82" s="1"/>
      <c r="VBZ82" s="1"/>
      <c r="VCA82" s="1"/>
      <c r="VCB82" s="1"/>
      <c r="VCC82" s="1"/>
      <c r="VCD82" s="1"/>
      <c r="VCE82" s="1"/>
      <c r="VCF82" s="1"/>
      <c r="VCG82" s="1"/>
      <c r="VCH82" s="1"/>
      <c r="VCI82" s="1"/>
      <c r="VCJ82" s="1"/>
      <c r="VCK82" s="1"/>
      <c r="VCL82" s="1"/>
      <c r="VCM82" s="1"/>
      <c r="VCN82" s="1"/>
      <c r="VCO82" s="1"/>
      <c r="VCP82" s="1"/>
      <c r="VCQ82" s="1"/>
      <c r="VCR82" s="1"/>
      <c r="VCS82" s="1"/>
      <c r="VCT82" s="1"/>
      <c r="VCU82" s="1"/>
      <c r="VCV82" s="1"/>
      <c r="VCW82" s="1"/>
      <c r="VCX82" s="1"/>
      <c r="VCY82" s="1"/>
      <c r="VCZ82" s="1"/>
      <c r="VDA82" s="1"/>
      <c r="VDB82" s="1"/>
      <c r="VDC82" s="1"/>
      <c r="VDD82" s="1"/>
      <c r="VDE82" s="1"/>
      <c r="VDF82" s="1"/>
      <c r="VDG82" s="1"/>
      <c r="VDH82" s="1"/>
      <c r="VDI82" s="1"/>
      <c r="VDJ82" s="1"/>
      <c r="VDK82" s="1"/>
      <c r="VDL82" s="1"/>
      <c r="VDM82" s="1"/>
      <c r="VDN82" s="1"/>
      <c r="VDO82" s="1"/>
      <c r="VDP82" s="1"/>
      <c r="VDQ82" s="1"/>
      <c r="VDR82" s="1"/>
      <c r="VDS82" s="1"/>
      <c r="VDT82" s="1"/>
      <c r="VDU82" s="1"/>
      <c r="VDV82" s="1"/>
      <c r="VDW82" s="1"/>
      <c r="VDX82" s="1"/>
      <c r="VDY82" s="1"/>
      <c r="VDZ82" s="1"/>
      <c r="VEA82" s="1"/>
      <c r="VEB82" s="1"/>
      <c r="VEC82" s="1"/>
      <c r="VED82" s="1"/>
      <c r="VEE82" s="1"/>
      <c r="VEF82" s="1"/>
      <c r="VEG82" s="1"/>
      <c r="VEH82" s="1"/>
      <c r="VEI82" s="1"/>
      <c r="VEJ82" s="1"/>
      <c r="VEK82" s="1"/>
      <c r="VEL82" s="1"/>
      <c r="VEM82" s="1"/>
      <c r="VEN82" s="1"/>
      <c r="VEO82" s="1"/>
      <c r="VEP82" s="1"/>
      <c r="VEQ82" s="1"/>
      <c r="VER82" s="1"/>
      <c r="VES82" s="1"/>
      <c r="VET82" s="1"/>
      <c r="VEU82" s="1"/>
      <c r="VEV82" s="1"/>
      <c r="VEW82" s="1"/>
      <c r="VEX82" s="1"/>
      <c r="VEY82" s="1"/>
      <c r="VEZ82" s="1"/>
      <c r="VFA82" s="1"/>
      <c r="VFB82" s="1"/>
      <c r="VFC82" s="1"/>
      <c r="VFD82" s="1"/>
      <c r="VFE82" s="1"/>
      <c r="VFF82" s="1"/>
      <c r="VFG82" s="1"/>
      <c r="VFH82" s="1"/>
      <c r="VFI82" s="1"/>
      <c r="VFJ82" s="1"/>
      <c r="VFK82" s="1"/>
      <c r="VFL82" s="1"/>
      <c r="VFM82" s="1"/>
      <c r="VFN82" s="1"/>
      <c r="VFO82" s="1"/>
      <c r="VFP82" s="1"/>
      <c r="VFQ82" s="1"/>
      <c r="VFR82" s="1"/>
      <c r="VFS82" s="1"/>
      <c r="VFT82" s="1"/>
      <c r="VFU82" s="1"/>
      <c r="VFV82" s="1"/>
      <c r="VFW82" s="1"/>
      <c r="VFX82" s="1"/>
      <c r="VFY82" s="1"/>
      <c r="VFZ82" s="1"/>
      <c r="VGA82" s="1"/>
      <c r="VGB82" s="1"/>
      <c r="VGC82" s="1"/>
      <c r="VGD82" s="1"/>
      <c r="VGE82" s="1"/>
      <c r="VGF82" s="1"/>
      <c r="VGG82" s="1"/>
      <c r="VGH82" s="1"/>
      <c r="VGI82" s="1"/>
      <c r="VGJ82" s="1"/>
      <c r="VGK82" s="1"/>
      <c r="VGL82" s="1"/>
      <c r="VGM82" s="1"/>
      <c r="VGN82" s="1"/>
      <c r="VGO82" s="1"/>
      <c r="VGP82" s="1"/>
      <c r="VGQ82" s="1"/>
      <c r="VGR82" s="1"/>
      <c r="VGS82" s="1"/>
      <c r="VGT82" s="1"/>
      <c r="VGU82" s="1"/>
      <c r="VGV82" s="1"/>
      <c r="VGW82" s="1"/>
      <c r="VGX82" s="1"/>
      <c r="VGY82" s="1"/>
      <c r="VGZ82" s="1"/>
      <c r="VHA82" s="1"/>
      <c r="VHB82" s="1"/>
      <c r="VHC82" s="1"/>
      <c r="VHD82" s="1"/>
      <c r="VHE82" s="1"/>
      <c r="VHF82" s="1"/>
      <c r="VHG82" s="1"/>
      <c r="VHH82" s="1"/>
      <c r="VHI82" s="1"/>
      <c r="VHJ82" s="1"/>
      <c r="VHK82" s="1"/>
      <c r="VHL82" s="1"/>
      <c r="VHM82" s="1"/>
      <c r="VHN82" s="1"/>
      <c r="VHO82" s="1"/>
      <c r="VHP82" s="1"/>
      <c r="VHQ82" s="1"/>
      <c r="VHR82" s="1"/>
      <c r="VHS82" s="1"/>
      <c r="VHT82" s="1"/>
      <c r="VHU82" s="1"/>
      <c r="VHV82" s="1"/>
      <c r="VHW82" s="1"/>
      <c r="VHX82" s="1"/>
      <c r="VHY82" s="1"/>
      <c r="VHZ82" s="1"/>
      <c r="VIA82" s="1"/>
      <c r="VIB82" s="1"/>
      <c r="VIC82" s="1"/>
      <c r="VID82" s="1"/>
      <c r="VIE82" s="1"/>
      <c r="VIF82" s="1"/>
      <c r="VIG82" s="1"/>
      <c r="VIH82" s="1"/>
      <c r="VII82" s="1"/>
      <c r="VIJ82" s="1"/>
      <c r="VIK82" s="1"/>
      <c r="VIL82" s="1"/>
      <c r="VIM82" s="1"/>
      <c r="VIN82" s="1"/>
      <c r="VIO82" s="1"/>
      <c r="VIP82" s="1"/>
      <c r="VIQ82" s="1"/>
      <c r="VIR82" s="1"/>
      <c r="VIS82" s="1"/>
      <c r="VIT82" s="1"/>
      <c r="VIU82" s="1"/>
      <c r="VIV82" s="1"/>
      <c r="VIW82" s="1"/>
      <c r="VIX82" s="1"/>
      <c r="VIY82" s="1"/>
      <c r="VIZ82" s="1"/>
      <c r="VJA82" s="1"/>
      <c r="VJB82" s="1"/>
      <c r="VJC82" s="1"/>
      <c r="VJD82" s="1"/>
      <c r="VJE82" s="1"/>
      <c r="VJF82" s="1"/>
      <c r="VJG82" s="1"/>
      <c r="VJH82" s="1"/>
      <c r="VJI82" s="1"/>
      <c r="VJJ82" s="1"/>
      <c r="VJK82" s="1"/>
      <c r="VJL82" s="1"/>
      <c r="VJM82" s="1"/>
      <c r="VJN82" s="1"/>
      <c r="VJO82" s="1"/>
      <c r="VJP82" s="1"/>
      <c r="VJQ82" s="1"/>
      <c r="VJR82" s="1"/>
      <c r="VJS82" s="1"/>
      <c r="VJT82" s="1"/>
      <c r="VJU82" s="1"/>
      <c r="VJV82" s="1"/>
      <c r="VJW82" s="1"/>
      <c r="VJX82" s="1"/>
      <c r="VJY82" s="1"/>
      <c r="VJZ82" s="1"/>
      <c r="VKA82" s="1"/>
      <c r="VKB82" s="1"/>
      <c r="VKC82" s="1"/>
      <c r="VKD82" s="1"/>
      <c r="VKE82" s="1"/>
      <c r="VKF82" s="1"/>
      <c r="VKG82" s="1"/>
      <c r="VKH82" s="1"/>
      <c r="VKI82" s="1"/>
      <c r="VKJ82" s="1"/>
      <c r="VKK82" s="1"/>
      <c r="VKL82" s="1"/>
      <c r="VKM82" s="1"/>
      <c r="VKN82" s="1"/>
      <c r="VKO82" s="1"/>
      <c r="VKP82" s="1"/>
      <c r="VKQ82" s="1"/>
      <c r="VKR82" s="1"/>
      <c r="VKS82" s="1"/>
      <c r="VKT82" s="1"/>
      <c r="VKU82" s="1"/>
      <c r="VKV82" s="1"/>
      <c r="VKW82" s="1"/>
      <c r="VKX82" s="1"/>
      <c r="VKY82" s="1"/>
      <c r="VKZ82" s="1"/>
      <c r="VLA82" s="1"/>
      <c r="VLB82" s="1"/>
      <c r="VLC82" s="1"/>
      <c r="VLD82" s="1"/>
      <c r="VLE82" s="1"/>
      <c r="VLF82" s="1"/>
      <c r="VLG82" s="1"/>
      <c r="VLH82" s="1"/>
      <c r="VLI82" s="1"/>
      <c r="VLJ82" s="1"/>
      <c r="VLK82" s="1"/>
      <c r="VLL82" s="1"/>
      <c r="VLM82" s="1"/>
      <c r="VLN82" s="1"/>
      <c r="VLO82" s="1"/>
      <c r="VLP82" s="1"/>
      <c r="VLQ82" s="1"/>
      <c r="VLR82" s="1"/>
      <c r="VLS82" s="1"/>
      <c r="VLT82" s="1"/>
      <c r="VLU82" s="1"/>
      <c r="VLV82" s="1"/>
      <c r="VLW82" s="1"/>
      <c r="VLX82" s="1"/>
      <c r="VLY82" s="1"/>
      <c r="VLZ82" s="1"/>
      <c r="VMA82" s="1"/>
      <c r="VMB82" s="1"/>
      <c r="VMC82" s="1"/>
      <c r="VMD82" s="1"/>
      <c r="VME82" s="1"/>
      <c r="VMF82" s="1"/>
      <c r="VMG82" s="1"/>
      <c r="VMH82" s="1"/>
      <c r="VMI82" s="1"/>
      <c r="VMJ82" s="1"/>
      <c r="VMK82" s="1"/>
      <c r="VML82" s="1"/>
      <c r="VMM82" s="1"/>
      <c r="VMN82" s="1"/>
      <c r="VMO82" s="1"/>
      <c r="VMP82" s="1"/>
      <c r="VMQ82" s="1"/>
      <c r="VMR82" s="1"/>
      <c r="VMS82" s="1"/>
      <c r="VMT82" s="1"/>
      <c r="VMU82" s="1"/>
      <c r="VMV82" s="1"/>
      <c r="VMW82" s="1"/>
      <c r="VMX82" s="1"/>
      <c r="VMY82" s="1"/>
      <c r="VMZ82" s="1"/>
      <c r="VNA82" s="1"/>
      <c r="VNB82" s="1"/>
      <c r="VNC82" s="1"/>
      <c r="VND82" s="1"/>
      <c r="VNE82" s="1"/>
      <c r="VNF82" s="1"/>
      <c r="VNG82" s="1"/>
      <c r="VNH82" s="1"/>
      <c r="VNI82" s="1"/>
      <c r="VNJ82" s="1"/>
      <c r="VNK82" s="1"/>
      <c r="VNL82" s="1"/>
      <c r="VNM82" s="1"/>
      <c r="VNN82" s="1"/>
      <c r="VNO82" s="1"/>
      <c r="VNP82" s="1"/>
      <c r="VNQ82" s="1"/>
      <c r="VNR82" s="1"/>
      <c r="VNS82" s="1"/>
      <c r="VNT82" s="1"/>
      <c r="VNU82" s="1"/>
      <c r="VNV82" s="1"/>
      <c r="VNW82" s="1"/>
      <c r="VNX82" s="1"/>
      <c r="VNY82" s="1"/>
      <c r="VNZ82" s="1"/>
      <c r="VOA82" s="1"/>
      <c r="VOB82" s="1"/>
      <c r="VOC82" s="1"/>
      <c r="VOD82" s="1"/>
      <c r="VOE82" s="1"/>
      <c r="VOF82" s="1"/>
      <c r="VOG82" s="1"/>
      <c r="VOH82" s="1"/>
      <c r="VOI82" s="1"/>
      <c r="VOJ82" s="1"/>
      <c r="VOK82" s="1"/>
      <c r="VOL82" s="1"/>
      <c r="VOM82" s="1"/>
      <c r="VON82" s="1"/>
      <c r="VOO82" s="1"/>
      <c r="VOP82" s="1"/>
      <c r="VOQ82" s="1"/>
      <c r="VOR82" s="1"/>
      <c r="VOS82" s="1"/>
      <c r="VOT82" s="1"/>
      <c r="VOU82" s="1"/>
      <c r="VOV82" s="1"/>
      <c r="VOW82" s="1"/>
      <c r="VOX82" s="1"/>
      <c r="VOY82" s="1"/>
      <c r="VOZ82" s="1"/>
      <c r="VPA82" s="1"/>
      <c r="VPB82" s="1"/>
      <c r="VPC82" s="1"/>
      <c r="VPD82" s="1"/>
      <c r="VPE82" s="1"/>
      <c r="VPF82" s="1"/>
      <c r="VPG82" s="1"/>
      <c r="VPH82" s="1"/>
      <c r="VPI82" s="1"/>
      <c r="VPJ82" s="1"/>
      <c r="VPK82" s="1"/>
      <c r="VPL82" s="1"/>
      <c r="VPM82" s="1"/>
      <c r="VPN82" s="1"/>
      <c r="VPO82" s="1"/>
      <c r="VPP82" s="1"/>
      <c r="VPQ82" s="1"/>
      <c r="VPR82" s="1"/>
      <c r="VPS82" s="1"/>
      <c r="VPT82" s="1"/>
      <c r="VPU82" s="1"/>
      <c r="VPV82" s="1"/>
      <c r="VPW82" s="1"/>
      <c r="VPX82" s="1"/>
      <c r="VPY82" s="1"/>
      <c r="VPZ82" s="1"/>
      <c r="VQA82" s="1"/>
      <c r="VQB82" s="1"/>
      <c r="VQC82" s="1"/>
      <c r="VQD82" s="1"/>
      <c r="VQE82" s="1"/>
      <c r="VQF82" s="1"/>
      <c r="VQG82" s="1"/>
      <c r="VQH82" s="1"/>
      <c r="VQI82" s="1"/>
      <c r="VQJ82" s="1"/>
      <c r="VQK82" s="1"/>
      <c r="VQL82" s="1"/>
      <c r="VQM82" s="1"/>
      <c r="VQN82" s="1"/>
      <c r="VQO82" s="1"/>
      <c r="VQP82" s="1"/>
      <c r="VQQ82" s="1"/>
      <c r="VQR82" s="1"/>
      <c r="VQS82" s="1"/>
      <c r="VQT82" s="1"/>
      <c r="VQU82" s="1"/>
      <c r="VQV82" s="1"/>
      <c r="VQW82" s="1"/>
      <c r="VQX82" s="1"/>
      <c r="VQY82" s="1"/>
      <c r="VQZ82" s="1"/>
      <c r="VRA82" s="1"/>
      <c r="VRB82" s="1"/>
      <c r="VRC82" s="1"/>
      <c r="VRD82" s="1"/>
      <c r="VRE82" s="1"/>
      <c r="VRF82" s="1"/>
      <c r="VRG82" s="1"/>
      <c r="VRH82" s="1"/>
      <c r="VRI82" s="1"/>
      <c r="VRJ82" s="1"/>
      <c r="VRK82" s="1"/>
      <c r="VRL82" s="1"/>
      <c r="VRM82" s="1"/>
      <c r="VRN82" s="1"/>
      <c r="VRO82" s="1"/>
      <c r="VRP82" s="1"/>
      <c r="VRQ82" s="1"/>
      <c r="VRR82" s="1"/>
      <c r="VRS82" s="1"/>
      <c r="VRT82" s="1"/>
      <c r="VRU82" s="1"/>
      <c r="VRV82" s="1"/>
      <c r="VRW82" s="1"/>
      <c r="VRX82" s="1"/>
      <c r="VRY82" s="1"/>
      <c r="VRZ82" s="1"/>
      <c r="VSA82" s="1"/>
      <c r="VSB82" s="1"/>
      <c r="VSC82" s="1"/>
      <c r="VSD82" s="1"/>
      <c r="VSE82" s="1"/>
      <c r="VSF82" s="1"/>
      <c r="VSG82" s="1"/>
      <c r="VSH82" s="1"/>
      <c r="VSI82" s="1"/>
      <c r="VSJ82" s="1"/>
      <c r="VSK82" s="1"/>
      <c r="VSL82" s="1"/>
      <c r="VSM82" s="1"/>
      <c r="VSN82" s="1"/>
      <c r="VSO82" s="1"/>
      <c r="VSP82" s="1"/>
      <c r="VSQ82" s="1"/>
      <c r="VSR82" s="1"/>
      <c r="VSS82" s="1"/>
      <c r="VST82" s="1"/>
      <c r="VSU82" s="1"/>
      <c r="VSV82" s="1"/>
      <c r="VSW82" s="1"/>
      <c r="VSX82" s="1"/>
      <c r="VSY82" s="1"/>
      <c r="VSZ82" s="1"/>
      <c r="VTA82" s="1"/>
      <c r="VTB82" s="1"/>
      <c r="VTC82" s="1"/>
      <c r="VTD82" s="1"/>
      <c r="VTE82" s="1"/>
      <c r="VTF82" s="1"/>
      <c r="VTG82" s="1"/>
      <c r="VTH82" s="1"/>
      <c r="VTI82" s="1"/>
      <c r="VTJ82" s="1"/>
      <c r="VTK82" s="1"/>
      <c r="VTL82" s="1"/>
      <c r="VTM82" s="1"/>
      <c r="VTN82" s="1"/>
      <c r="VTO82" s="1"/>
      <c r="VTP82" s="1"/>
      <c r="VTQ82" s="1"/>
      <c r="VTR82" s="1"/>
      <c r="VTS82" s="1"/>
      <c r="VTT82" s="1"/>
      <c r="VTU82" s="1"/>
      <c r="VTV82" s="1"/>
      <c r="VTW82" s="1"/>
      <c r="VTX82" s="1"/>
      <c r="VTY82" s="1"/>
      <c r="VTZ82" s="1"/>
      <c r="VUA82" s="1"/>
      <c r="VUB82" s="1"/>
      <c r="VUC82" s="1"/>
      <c r="VUD82" s="1"/>
      <c r="VUE82" s="1"/>
      <c r="VUF82" s="1"/>
      <c r="VUG82" s="1"/>
      <c r="VUH82" s="1"/>
      <c r="VUI82" s="1"/>
      <c r="VUJ82" s="1"/>
      <c r="VUK82" s="1"/>
      <c r="VUL82" s="1"/>
      <c r="VUM82" s="1"/>
      <c r="VUN82" s="1"/>
      <c r="VUO82" s="1"/>
      <c r="VUP82" s="1"/>
      <c r="VUQ82" s="1"/>
      <c r="VUR82" s="1"/>
      <c r="VUS82" s="1"/>
      <c r="VUT82" s="1"/>
      <c r="VUU82" s="1"/>
      <c r="VUV82" s="1"/>
      <c r="VUW82" s="1"/>
      <c r="VUX82" s="1"/>
      <c r="VUY82" s="1"/>
      <c r="VUZ82" s="1"/>
      <c r="VVA82" s="1"/>
      <c r="VVB82" s="1"/>
      <c r="VVC82" s="1"/>
      <c r="VVD82" s="1"/>
      <c r="VVE82" s="1"/>
      <c r="VVF82" s="1"/>
      <c r="VVG82" s="1"/>
      <c r="VVH82" s="1"/>
      <c r="VVI82" s="1"/>
      <c r="VVJ82" s="1"/>
      <c r="VVK82" s="1"/>
      <c r="VVL82" s="1"/>
      <c r="VVM82" s="1"/>
      <c r="VVN82" s="1"/>
      <c r="VVO82" s="1"/>
      <c r="VVP82" s="1"/>
      <c r="VVQ82" s="1"/>
      <c r="VVR82" s="1"/>
      <c r="VVS82" s="1"/>
      <c r="VVT82" s="1"/>
      <c r="VVU82" s="1"/>
      <c r="VVV82" s="1"/>
      <c r="VVW82" s="1"/>
      <c r="VVX82" s="1"/>
      <c r="VVY82" s="1"/>
      <c r="VVZ82" s="1"/>
      <c r="VWA82" s="1"/>
      <c r="VWB82" s="1"/>
      <c r="VWC82" s="1"/>
      <c r="VWD82" s="1"/>
      <c r="VWE82" s="1"/>
      <c r="VWF82" s="1"/>
      <c r="VWG82" s="1"/>
      <c r="VWH82" s="1"/>
      <c r="VWI82" s="1"/>
      <c r="VWJ82" s="1"/>
      <c r="VWK82" s="1"/>
      <c r="VWL82" s="1"/>
      <c r="VWM82" s="1"/>
      <c r="VWN82" s="1"/>
      <c r="VWO82" s="1"/>
      <c r="VWP82" s="1"/>
      <c r="VWQ82" s="1"/>
      <c r="VWR82" s="1"/>
      <c r="VWS82" s="1"/>
      <c r="VWT82" s="1"/>
      <c r="VWU82" s="1"/>
      <c r="VWV82" s="1"/>
      <c r="VWW82" s="1"/>
      <c r="VWX82" s="1"/>
      <c r="VWY82" s="1"/>
      <c r="VWZ82" s="1"/>
      <c r="VXA82" s="1"/>
      <c r="VXB82" s="1"/>
      <c r="VXC82" s="1"/>
      <c r="VXD82" s="1"/>
      <c r="VXE82" s="1"/>
      <c r="VXF82" s="1"/>
      <c r="VXG82" s="1"/>
      <c r="VXH82" s="1"/>
      <c r="VXI82" s="1"/>
      <c r="VXJ82" s="1"/>
      <c r="VXK82" s="1"/>
      <c r="VXL82" s="1"/>
      <c r="VXM82" s="1"/>
      <c r="VXN82" s="1"/>
      <c r="VXO82" s="1"/>
      <c r="VXP82" s="1"/>
      <c r="VXQ82" s="1"/>
      <c r="VXR82" s="1"/>
      <c r="VXS82" s="1"/>
      <c r="VXT82" s="1"/>
      <c r="VXU82" s="1"/>
      <c r="VXV82" s="1"/>
      <c r="VXW82" s="1"/>
      <c r="VXX82" s="1"/>
      <c r="VXY82" s="1"/>
      <c r="VXZ82" s="1"/>
      <c r="VYA82" s="1"/>
      <c r="VYB82" s="1"/>
      <c r="VYC82" s="1"/>
      <c r="VYD82" s="1"/>
      <c r="VYE82" s="1"/>
      <c r="VYF82" s="1"/>
      <c r="VYG82" s="1"/>
      <c r="VYH82" s="1"/>
      <c r="VYI82" s="1"/>
      <c r="VYJ82" s="1"/>
      <c r="VYK82" s="1"/>
      <c r="VYL82" s="1"/>
      <c r="VYM82" s="1"/>
      <c r="VYN82" s="1"/>
      <c r="VYO82" s="1"/>
      <c r="VYP82" s="1"/>
      <c r="VYQ82" s="1"/>
      <c r="VYR82" s="1"/>
      <c r="VYS82" s="1"/>
      <c r="VYT82" s="1"/>
      <c r="VYU82" s="1"/>
      <c r="VYV82" s="1"/>
      <c r="VYW82" s="1"/>
      <c r="VYX82" s="1"/>
      <c r="VYY82" s="1"/>
      <c r="VYZ82" s="1"/>
      <c r="VZA82" s="1"/>
      <c r="VZB82" s="1"/>
      <c r="VZC82" s="1"/>
      <c r="VZD82" s="1"/>
      <c r="VZE82" s="1"/>
      <c r="VZF82" s="1"/>
      <c r="VZG82" s="1"/>
      <c r="VZH82" s="1"/>
      <c r="VZI82" s="1"/>
      <c r="VZJ82" s="1"/>
      <c r="VZK82" s="1"/>
      <c r="VZL82" s="1"/>
      <c r="VZM82" s="1"/>
      <c r="VZN82" s="1"/>
      <c r="VZO82" s="1"/>
      <c r="VZP82" s="1"/>
      <c r="VZQ82" s="1"/>
      <c r="VZR82" s="1"/>
      <c r="VZS82" s="1"/>
      <c r="VZT82" s="1"/>
      <c r="VZU82" s="1"/>
      <c r="VZV82" s="1"/>
      <c r="VZW82" s="1"/>
      <c r="VZX82" s="1"/>
      <c r="VZY82" s="1"/>
      <c r="VZZ82" s="1"/>
      <c r="WAA82" s="1"/>
      <c r="WAB82" s="1"/>
      <c r="WAC82" s="1"/>
      <c r="WAD82" s="1"/>
      <c r="WAE82" s="1"/>
      <c r="WAF82" s="1"/>
      <c r="WAG82" s="1"/>
      <c r="WAH82" s="1"/>
      <c r="WAI82" s="1"/>
      <c r="WAJ82" s="1"/>
      <c r="WAK82" s="1"/>
      <c r="WAL82" s="1"/>
      <c r="WAM82" s="1"/>
      <c r="WAN82" s="1"/>
      <c r="WAO82" s="1"/>
      <c r="WAP82" s="1"/>
      <c r="WAQ82" s="1"/>
      <c r="WAR82" s="1"/>
      <c r="WAS82" s="1"/>
      <c r="WAT82" s="1"/>
      <c r="WAU82" s="1"/>
      <c r="WAV82" s="1"/>
      <c r="WAW82" s="1"/>
      <c r="WAX82" s="1"/>
      <c r="WAY82" s="1"/>
      <c r="WAZ82" s="1"/>
      <c r="WBA82" s="1"/>
      <c r="WBB82" s="1"/>
      <c r="WBC82" s="1"/>
      <c r="WBD82" s="1"/>
      <c r="WBE82" s="1"/>
      <c r="WBF82" s="1"/>
      <c r="WBG82" s="1"/>
      <c r="WBH82" s="1"/>
      <c r="WBI82" s="1"/>
      <c r="WBJ82" s="1"/>
      <c r="WBK82" s="1"/>
      <c r="WBL82" s="1"/>
      <c r="WBM82" s="1"/>
      <c r="WBN82" s="1"/>
      <c r="WBO82" s="1"/>
      <c r="WBP82" s="1"/>
      <c r="WBQ82" s="1"/>
      <c r="WBR82" s="1"/>
      <c r="WBS82" s="1"/>
      <c r="WBT82" s="1"/>
      <c r="WBU82" s="1"/>
      <c r="WBV82" s="1"/>
      <c r="WBW82" s="1"/>
      <c r="WBX82" s="1"/>
      <c r="WBY82" s="1"/>
      <c r="WBZ82" s="1"/>
      <c r="WCA82" s="1"/>
      <c r="WCB82" s="1"/>
      <c r="WCC82" s="1"/>
      <c r="WCD82" s="1"/>
      <c r="WCE82" s="1"/>
      <c r="WCF82" s="1"/>
      <c r="WCG82" s="1"/>
      <c r="WCH82" s="1"/>
      <c r="WCI82" s="1"/>
      <c r="WCJ82" s="1"/>
      <c r="WCK82" s="1"/>
      <c r="WCL82" s="1"/>
      <c r="WCM82" s="1"/>
      <c r="WCN82" s="1"/>
      <c r="WCO82" s="1"/>
      <c r="WCP82" s="1"/>
      <c r="WCQ82" s="1"/>
      <c r="WCR82" s="1"/>
      <c r="WCS82" s="1"/>
      <c r="WCT82" s="1"/>
      <c r="WCU82" s="1"/>
      <c r="WCV82" s="1"/>
      <c r="WCW82" s="1"/>
      <c r="WCX82" s="1"/>
      <c r="WCY82" s="1"/>
      <c r="WCZ82" s="1"/>
      <c r="WDA82" s="1"/>
      <c r="WDB82" s="1"/>
      <c r="WDC82" s="1"/>
      <c r="WDD82" s="1"/>
      <c r="WDE82" s="1"/>
      <c r="WDF82" s="1"/>
      <c r="WDG82" s="1"/>
      <c r="WDH82" s="1"/>
      <c r="WDI82" s="1"/>
      <c r="WDJ82" s="1"/>
      <c r="WDK82" s="1"/>
      <c r="WDL82" s="1"/>
      <c r="WDM82" s="1"/>
      <c r="WDN82" s="1"/>
      <c r="WDO82" s="1"/>
      <c r="WDP82" s="1"/>
      <c r="WDQ82" s="1"/>
      <c r="WDR82" s="1"/>
      <c r="WDS82" s="1"/>
      <c r="WDT82" s="1"/>
      <c r="WDU82" s="1"/>
      <c r="WDV82" s="1"/>
      <c r="WDW82" s="1"/>
      <c r="WDX82" s="1"/>
      <c r="WDY82" s="1"/>
      <c r="WDZ82" s="1"/>
      <c r="WEA82" s="1"/>
      <c r="WEB82" s="1"/>
      <c r="WEC82" s="1"/>
      <c r="WED82" s="1"/>
      <c r="WEE82" s="1"/>
      <c r="WEF82" s="1"/>
      <c r="WEG82" s="1"/>
      <c r="WEH82" s="1"/>
      <c r="WEI82" s="1"/>
      <c r="WEJ82" s="1"/>
      <c r="WEK82" s="1"/>
      <c r="WEL82" s="1"/>
      <c r="WEM82" s="1"/>
      <c r="WEN82" s="1"/>
      <c r="WEO82" s="1"/>
      <c r="WEP82" s="1"/>
      <c r="WEQ82" s="1"/>
      <c r="WER82" s="1"/>
      <c r="WES82" s="1"/>
      <c r="WET82" s="1"/>
      <c r="WEU82" s="1"/>
      <c r="WEV82" s="1"/>
      <c r="WEW82" s="1"/>
      <c r="WEX82" s="1"/>
      <c r="WEY82" s="1"/>
      <c r="WEZ82" s="1"/>
      <c r="WFA82" s="1"/>
      <c r="WFB82" s="1"/>
      <c r="WFC82" s="1"/>
      <c r="WFD82" s="1"/>
      <c r="WFE82" s="1"/>
      <c r="WFF82" s="1"/>
      <c r="WFG82" s="1"/>
      <c r="WFH82" s="1"/>
      <c r="WFI82" s="1"/>
      <c r="WFJ82" s="1"/>
      <c r="WFK82" s="1"/>
      <c r="WFL82" s="1"/>
      <c r="WFM82" s="1"/>
      <c r="WFN82" s="1"/>
      <c r="WFO82" s="1"/>
      <c r="WFP82" s="1"/>
      <c r="WFQ82" s="1"/>
      <c r="WFR82" s="1"/>
      <c r="WFS82" s="1"/>
      <c r="WFT82" s="1"/>
      <c r="WFU82" s="1"/>
      <c r="WFV82" s="1"/>
      <c r="WFW82" s="1"/>
      <c r="WFX82" s="1"/>
      <c r="WFY82" s="1"/>
      <c r="WFZ82" s="1"/>
      <c r="WGA82" s="1"/>
      <c r="WGB82" s="1"/>
      <c r="WGC82" s="1"/>
      <c r="WGD82" s="1"/>
      <c r="WGE82" s="1"/>
      <c r="WGF82" s="1"/>
      <c r="WGG82" s="1"/>
      <c r="WGH82" s="1"/>
      <c r="WGI82" s="1"/>
      <c r="WGJ82" s="1"/>
      <c r="WGK82" s="1"/>
      <c r="WGL82" s="1"/>
      <c r="WGM82" s="1"/>
      <c r="WGN82" s="1"/>
      <c r="WGO82" s="1"/>
      <c r="WGP82" s="1"/>
      <c r="WGQ82" s="1"/>
      <c r="WGR82" s="1"/>
      <c r="WGS82" s="1"/>
      <c r="WGT82" s="1"/>
      <c r="WGU82" s="1"/>
      <c r="WGV82" s="1"/>
      <c r="WGW82" s="1"/>
      <c r="WGX82" s="1"/>
      <c r="WGY82" s="1"/>
      <c r="WGZ82" s="1"/>
      <c r="WHA82" s="1"/>
      <c r="WHB82" s="1"/>
      <c r="WHC82" s="1"/>
      <c r="WHD82" s="1"/>
      <c r="WHE82" s="1"/>
      <c r="WHF82" s="1"/>
      <c r="WHG82" s="1"/>
      <c r="WHH82" s="1"/>
      <c r="WHI82" s="1"/>
      <c r="WHJ82" s="1"/>
      <c r="WHK82" s="1"/>
      <c r="WHL82" s="1"/>
      <c r="WHM82" s="1"/>
      <c r="WHN82" s="1"/>
      <c r="WHO82" s="1"/>
      <c r="WHP82" s="1"/>
      <c r="WHQ82" s="1"/>
      <c r="WHR82" s="1"/>
      <c r="WHS82" s="1"/>
      <c r="WHT82" s="1"/>
      <c r="WHU82" s="1"/>
      <c r="WHV82" s="1"/>
      <c r="WHW82" s="1"/>
      <c r="WHX82" s="1"/>
      <c r="WHY82" s="1"/>
      <c r="WHZ82" s="1"/>
      <c r="WIA82" s="1"/>
      <c r="WIB82" s="1"/>
      <c r="WIC82" s="1"/>
      <c r="WID82" s="1"/>
      <c r="WIE82" s="1"/>
      <c r="WIF82" s="1"/>
      <c r="WIG82" s="1"/>
      <c r="WIH82" s="1"/>
      <c r="WII82" s="1"/>
      <c r="WIJ82" s="1"/>
      <c r="WIK82" s="1"/>
      <c r="WIL82" s="1"/>
      <c r="WIM82" s="1"/>
      <c r="WIN82" s="1"/>
      <c r="WIO82" s="1"/>
      <c r="WIP82" s="1"/>
      <c r="WIQ82" s="1"/>
      <c r="WIR82" s="1"/>
      <c r="WIS82" s="1"/>
      <c r="WIT82" s="1"/>
      <c r="WIU82" s="1"/>
      <c r="WIV82" s="1"/>
      <c r="WIW82" s="1"/>
      <c r="WIX82" s="1"/>
      <c r="WIY82" s="1"/>
      <c r="WIZ82" s="1"/>
      <c r="WJA82" s="1"/>
      <c r="WJB82" s="1"/>
      <c r="WJC82" s="1"/>
      <c r="WJD82" s="1"/>
      <c r="WJE82" s="1"/>
      <c r="WJF82" s="1"/>
      <c r="WJG82" s="1"/>
      <c r="WJH82" s="1"/>
      <c r="WJI82" s="1"/>
      <c r="WJJ82" s="1"/>
      <c r="WJK82" s="1"/>
      <c r="WJL82" s="1"/>
      <c r="WJM82" s="1"/>
      <c r="WJN82" s="1"/>
      <c r="WJO82" s="1"/>
      <c r="WJP82" s="1"/>
      <c r="WJQ82" s="1"/>
      <c r="WJR82" s="1"/>
      <c r="WJS82" s="1"/>
      <c r="WJT82" s="1"/>
      <c r="WJU82" s="1"/>
      <c r="WJV82" s="1"/>
      <c r="WJW82" s="1"/>
      <c r="WJX82" s="1"/>
      <c r="WJY82" s="1"/>
      <c r="WJZ82" s="1"/>
      <c r="WKA82" s="1"/>
      <c r="WKB82" s="1"/>
      <c r="WKC82" s="1"/>
      <c r="WKD82" s="1"/>
      <c r="WKE82" s="1"/>
      <c r="WKF82" s="1"/>
      <c r="WKG82" s="1"/>
      <c r="WKH82" s="1"/>
      <c r="WKI82" s="1"/>
      <c r="WKJ82" s="1"/>
      <c r="WKK82" s="1"/>
      <c r="WKL82" s="1"/>
      <c r="WKM82" s="1"/>
      <c r="WKN82" s="1"/>
      <c r="WKO82" s="1"/>
      <c r="WKP82" s="1"/>
      <c r="WKQ82" s="1"/>
      <c r="WKR82" s="1"/>
      <c r="WKS82" s="1"/>
      <c r="WKT82" s="1"/>
      <c r="WKU82" s="1"/>
      <c r="WKV82" s="1"/>
      <c r="WKW82" s="1"/>
      <c r="WKX82" s="1"/>
      <c r="WKY82" s="1"/>
      <c r="WKZ82" s="1"/>
      <c r="WLA82" s="1"/>
      <c r="WLB82" s="1"/>
      <c r="WLC82" s="1"/>
      <c r="WLD82" s="1"/>
      <c r="WLE82" s="1"/>
      <c r="WLF82" s="1"/>
      <c r="WLG82" s="1"/>
      <c r="WLH82" s="1"/>
      <c r="WLI82" s="1"/>
      <c r="WLJ82" s="1"/>
      <c r="WLK82" s="1"/>
      <c r="WLL82" s="1"/>
      <c r="WLM82" s="1"/>
      <c r="WLN82" s="1"/>
      <c r="WLO82" s="1"/>
      <c r="WLP82" s="1"/>
      <c r="WLQ82" s="1"/>
      <c r="WLR82" s="1"/>
      <c r="WLS82" s="1"/>
      <c r="WLT82" s="1"/>
      <c r="WLU82" s="1"/>
      <c r="WLV82" s="1"/>
      <c r="WLW82" s="1"/>
      <c r="WLX82" s="1"/>
      <c r="WLY82" s="1"/>
      <c r="WLZ82" s="1"/>
      <c r="WMA82" s="1"/>
      <c r="WMB82" s="1"/>
      <c r="WMC82" s="1"/>
      <c r="WMD82" s="1"/>
      <c r="WME82" s="1"/>
      <c r="WMF82" s="1"/>
      <c r="WMG82" s="1"/>
      <c r="WMH82" s="1"/>
      <c r="WMI82" s="1"/>
      <c r="WMJ82" s="1"/>
      <c r="WMK82" s="1"/>
      <c r="WML82" s="1"/>
      <c r="WMM82" s="1"/>
      <c r="WMN82" s="1"/>
      <c r="WMO82" s="1"/>
      <c r="WMP82" s="1"/>
      <c r="WMQ82" s="1"/>
      <c r="WMR82" s="1"/>
      <c r="WMS82" s="1"/>
      <c r="WMT82" s="1"/>
      <c r="WMU82" s="1"/>
      <c r="WMV82" s="1"/>
      <c r="WMW82" s="1"/>
      <c r="WMX82" s="1"/>
      <c r="WMY82" s="1"/>
      <c r="WMZ82" s="1"/>
      <c r="WNA82" s="1"/>
      <c r="WNB82" s="1"/>
      <c r="WNC82" s="1"/>
      <c r="WND82" s="1"/>
      <c r="WNE82" s="1"/>
      <c r="WNF82" s="1"/>
      <c r="WNG82" s="1"/>
      <c r="WNH82" s="1"/>
      <c r="WNI82" s="1"/>
      <c r="WNJ82" s="1"/>
      <c r="WNK82" s="1"/>
      <c r="WNL82" s="1"/>
      <c r="WNM82" s="1"/>
      <c r="WNN82" s="1"/>
      <c r="WNO82" s="1"/>
      <c r="WNP82" s="1"/>
      <c r="WNQ82" s="1"/>
      <c r="WNR82" s="1"/>
      <c r="WNS82" s="1"/>
      <c r="WNT82" s="1"/>
      <c r="WNU82" s="1"/>
      <c r="WNV82" s="1"/>
      <c r="WNW82" s="1"/>
      <c r="WNX82" s="1"/>
      <c r="WNY82" s="1"/>
      <c r="WNZ82" s="1"/>
      <c r="WOA82" s="1"/>
      <c r="WOB82" s="1"/>
      <c r="WOC82" s="1"/>
      <c r="WOD82" s="1"/>
      <c r="WOE82" s="1"/>
      <c r="WOF82" s="1"/>
      <c r="WOG82" s="1"/>
      <c r="WOH82" s="1"/>
      <c r="WOI82" s="1"/>
      <c r="WOJ82" s="1"/>
      <c r="WOK82" s="1"/>
      <c r="WOL82" s="1"/>
      <c r="WOM82" s="1"/>
      <c r="WON82" s="1"/>
      <c r="WOO82" s="1"/>
      <c r="WOP82" s="1"/>
      <c r="WOQ82" s="1"/>
      <c r="WOR82" s="1"/>
      <c r="WOS82" s="1"/>
      <c r="WOT82" s="1"/>
      <c r="WOU82" s="1"/>
      <c r="WOV82" s="1"/>
      <c r="WOW82" s="1"/>
      <c r="WOX82" s="1"/>
      <c r="WOY82" s="1"/>
      <c r="WOZ82" s="1"/>
      <c r="WPA82" s="1"/>
      <c r="WPB82" s="1"/>
      <c r="WPC82" s="1"/>
      <c r="WPD82" s="1"/>
      <c r="WPE82" s="1"/>
      <c r="WPF82" s="1"/>
      <c r="WPG82" s="1"/>
      <c r="WPH82" s="1"/>
      <c r="WPI82" s="1"/>
      <c r="WPJ82" s="1"/>
      <c r="WPK82" s="1"/>
      <c r="WPL82" s="1"/>
      <c r="WPM82" s="1"/>
      <c r="WPN82" s="1"/>
      <c r="WPO82" s="1"/>
      <c r="WPP82" s="1"/>
      <c r="WPQ82" s="1"/>
      <c r="WPR82" s="1"/>
      <c r="WPS82" s="1"/>
      <c r="WPT82" s="1"/>
      <c r="WPU82" s="1"/>
      <c r="WPV82" s="1"/>
      <c r="WPW82" s="1"/>
      <c r="WPX82" s="1"/>
      <c r="WPY82" s="1"/>
      <c r="WPZ82" s="1"/>
      <c r="WQA82" s="1"/>
      <c r="WQB82" s="1"/>
      <c r="WQC82" s="1"/>
      <c r="WQD82" s="1"/>
      <c r="WQE82" s="1"/>
      <c r="WQF82" s="1"/>
      <c r="WQG82" s="1"/>
      <c r="WQH82" s="1"/>
      <c r="WQI82" s="1"/>
      <c r="WQJ82" s="1"/>
      <c r="WQK82" s="1"/>
      <c r="WQL82" s="1"/>
      <c r="WQM82" s="1"/>
      <c r="WQN82" s="1"/>
      <c r="WQO82" s="1"/>
      <c r="WQP82" s="1"/>
      <c r="WQQ82" s="1"/>
      <c r="WQR82" s="1"/>
      <c r="WQS82" s="1"/>
      <c r="WQT82" s="1"/>
      <c r="WQU82" s="1"/>
      <c r="WQV82" s="1"/>
      <c r="WQW82" s="1"/>
      <c r="WQX82" s="1"/>
      <c r="WQY82" s="1"/>
      <c r="WQZ82" s="1"/>
      <c r="WRA82" s="1"/>
      <c r="WRB82" s="1"/>
      <c r="WRC82" s="1"/>
      <c r="WRD82" s="1"/>
      <c r="WRE82" s="1"/>
      <c r="WRF82" s="1"/>
      <c r="WRG82" s="1"/>
      <c r="WRH82" s="1"/>
      <c r="WRI82" s="1"/>
      <c r="WRJ82" s="1"/>
      <c r="WRK82" s="1"/>
      <c r="WRL82" s="1"/>
      <c r="WRM82" s="1"/>
      <c r="WRN82" s="1"/>
      <c r="WRO82" s="1"/>
      <c r="WRP82" s="1"/>
      <c r="WRQ82" s="1"/>
      <c r="WRR82" s="1"/>
      <c r="WRS82" s="1"/>
      <c r="WRT82" s="1"/>
      <c r="WRU82" s="1"/>
      <c r="WRV82" s="1"/>
      <c r="WRW82" s="1"/>
      <c r="WRX82" s="1"/>
      <c r="WRY82" s="1"/>
      <c r="WRZ82" s="1"/>
      <c r="WSA82" s="1"/>
      <c r="WSB82" s="1"/>
      <c r="WSC82" s="1"/>
      <c r="WSD82" s="1"/>
      <c r="WSE82" s="1"/>
      <c r="WSF82" s="1"/>
      <c r="WSG82" s="1"/>
      <c r="WSH82" s="1"/>
      <c r="WSI82" s="1"/>
      <c r="WSJ82" s="1"/>
      <c r="WSK82" s="1"/>
      <c r="WSL82" s="1"/>
      <c r="WSM82" s="1"/>
      <c r="WSN82" s="1"/>
      <c r="WSO82" s="1"/>
      <c r="WSP82" s="1"/>
      <c r="WSQ82" s="1"/>
      <c r="WSR82" s="1"/>
      <c r="WSS82" s="1"/>
      <c r="WST82" s="1"/>
      <c r="WSU82" s="1"/>
      <c r="WSV82" s="1"/>
      <c r="WSW82" s="1"/>
      <c r="WSX82" s="1"/>
      <c r="WSY82" s="1"/>
      <c r="WSZ82" s="1"/>
      <c r="WTA82" s="1"/>
      <c r="WTB82" s="1"/>
      <c r="WTC82" s="1"/>
      <c r="WTD82" s="1"/>
      <c r="WTE82" s="1"/>
      <c r="WTF82" s="1"/>
      <c r="WTG82" s="1"/>
      <c r="WTH82" s="1"/>
      <c r="WTI82" s="1"/>
      <c r="WTJ82" s="1"/>
      <c r="WTK82" s="1"/>
      <c r="WTL82" s="1"/>
      <c r="WTM82" s="1"/>
      <c r="WTN82" s="1"/>
      <c r="WTO82" s="1"/>
      <c r="WTP82" s="1"/>
      <c r="WTQ82" s="1"/>
      <c r="WTR82" s="1"/>
      <c r="WTS82" s="1"/>
      <c r="WTT82" s="1"/>
      <c r="WTU82" s="1"/>
      <c r="WTV82" s="1"/>
      <c r="WTW82" s="1"/>
      <c r="WTX82" s="1"/>
      <c r="WTY82" s="1"/>
      <c r="WTZ82" s="1"/>
      <c r="WUA82" s="1"/>
      <c r="WUB82" s="1"/>
      <c r="WUC82" s="1"/>
      <c r="WUD82" s="1"/>
      <c r="WUE82" s="1"/>
      <c r="WUF82" s="1"/>
      <c r="WUG82" s="1"/>
      <c r="WUH82" s="1"/>
      <c r="WUI82" s="1"/>
      <c r="WUJ82" s="1"/>
      <c r="WUK82" s="1"/>
      <c r="WUL82" s="1"/>
      <c r="WUM82" s="1"/>
      <c r="WUN82" s="1"/>
      <c r="WUO82" s="1"/>
      <c r="WUP82" s="1"/>
      <c r="WUQ82" s="1"/>
      <c r="WUR82" s="1"/>
      <c r="WUS82" s="1"/>
      <c r="WUT82" s="1"/>
      <c r="WUU82" s="1"/>
      <c r="WUV82" s="1"/>
      <c r="WUW82" s="1"/>
      <c r="WUX82" s="1"/>
      <c r="WUY82" s="1"/>
      <c r="WUZ82" s="1"/>
      <c r="WVA82" s="1"/>
      <c r="WVB82" s="1"/>
      <c r="WVC82" s="1"/>
      <c r="WVD82" s="1"/>
      <c r="WVE82" s="1"/>
      <c r="WVF82" s="1"/>
      <c r="WVG82" s="1"/>
      <c r="WVH82" s="1"/>
      <c r="WVI82" s="1"/>
      <c r="WVJ82" s="1"/>
      <c r="WVK82" s="1"/>
      <c r="WVL82" s="1"/>
      <c r="WVM82" s="1"/>
      <c r="WVN82" s="1"/>
      <c r="WVO82" s="1"/>
      <c r="WVP82" s="1"/>
      <c r="WVQ82" s="1"/>
      <c r="WVR82" s="1"/>
      <c r="WVS82" s="1"/>
      <c r="WVT82" s="1"/>
      <c r="WVU82" s="1"/>
      <c r="WVV82" s="1"/>
      <c r="WVW82" s="1"/>
      <c r="WVX82" s="1"/>
      <c r="WVY82" s="1"/>
      <c r="WVZ82" s="1"/>
      <c r="WWA82" s="1"/>
      <c r="WWB82" s="1"/>
      <c r="WWC82" s="1"/>
      <c r="WWD82" s="1"/>
      <c r="WWE82" s="1"/>
      <c r="WWF82" s="1"/>
      <c r="WWG82" s="1"/>
      <c r="WWH82" s="1"/>
      <c r="WWI82" s="1"/>
      <c r="WWJ82" s="1"/>
      <c r="WWK82" s="1"/>
      <c r="WWL82" s="1"/>
      <c r="WWM82" s="1"/>
      <c r="WWN82" s="1"/>
      <c r="WWO82" s="1"/>
      <c r="WWP82" s="1"/>
      <c r="WWQ82" s="1"/>
      <c r="WWR82" s="1"/>
      <c r="WWS82" s="1"/>
      <c r="WWT82" s="1"/>
      <c r="WWU82" s="1"/>
      <c r="WWV82" s="1"/>
      <c r="WWW82" s="1"/>
      <c r="WWX82" s="1"/>
      <c r="WWY82" s="1"/>
      <c r="WWZ82" s="1"/>
      <c r="WXA82" s="1"/>
      <c r="WXB82" s="1"/>
      <c r="WXC82" s="1"/>
      <c r="WXD82" s="1"/>
      <c r="WXE82" s="1"/>
      <c r="WXF82" s="1"/>
      <c r="WXG82" s="1"/>
      <c r="WXH82" s="1"/>
      <c r="WXI82" s="1"/>
      <c r="WXJ82" s="1"/>
      <c r="WXK82" s="1"/>
      <c r="WXL82" s="1"/>
      <c r="WXM82" s="1"/>
      <c r="WXN82" s="1"/>
      <c r="WXO82" s="1"/>
      <c r="WXP82" s="1"/>
      <c r="WXQ82" s="1"/>
      <c r="WXR82" s="1"/>
      <c r="WXS82" s="1"/>
      <c r="WXT82" s="1"/>
      <c r="WXU82" s="1"/>
      <c r="WXV82" s="1"/>
      <c r="WXW82" s="1"/>
      <c r="WXX82" s="1"/>
      <c r="WXY82" s="1"/>
      <c r="WXZ82" s="1"/>
      <c r="WYA82" s="1"/>
      <c r="WYB82" s="1"/>
      <c r="WYC82" s="1"/>
      <c r="WYD82" s="1"/>
      <c r="WYE82" s="1"/>
      <c r="WYF82" s="1"/>
      <c r="WYG82" s="1"/>
      <c r="WYH82" s="1"/>
      <c r="WYI82" s="1"/>
      <c r="WYJ82" s="1"/>
      <c r="WYK82" s="1"/>
      <c r="WYL82" s="1"/>
      <c r="WYM82" s="1"/>
      <c r="WYN82" s="1"/>
      <c r="WYO82" s="1"/>
      <c r="WYP82" s="1"/>
      <c r="WYQ82" s="1"/>
      <c r="WYR82" s="1"/>
      <c r="WYS82" s="1"/>
      <c r="WYT82" s="1"/>
      <c r="WYU82" s="1"/>
      <c r="WYV82" s="1"/>
      <c r="WYW82" s="1"/>
      <c r="WYX82" s="1"/>
      <c r="WYY82" s="1"/>
      <c r="WYZ82" s="1"/>
      <c r="WZA82" s="1"/>
      <c r="WZB82" s="1"/>
      <c r="WZC82" s="1"/>
      <c r="WZD82" s="1"/>
      <c r="WZE82" s="1"/>
      <c r="WZF82" s="1"/>
      <c r="WZG82" s="1"/>
      <c r="WZH82" s="1"/>
      <c r="WZI82" s="1"/>
      <c r="WZJ82" s="1"/>
      <c r="WZK82" s="1"/>
      <c r="WZL82" s="1"/>
      <c r="WZM82" s="1"/>
      <c r="WZN82" s="1"/>
      <c r="WZO82" s="1"/>
      <c r="WZP82" s="1"/>
      <c r="WZQ82" s="1"/>
      <c r="WZR82" s="1"/>
      <c r="WZS82" s="1"/>
      <c r="WZT82" s="1"/>
      <c r="WZU82" s="1"/>
      <c r="WZV82" s="1"/>
      <c r="WZW82" s="1"/>
      <c r="WZX82" s="1"/>
      <c r="WZY82" s="1"/>
      <c r="WZZ82" s="1"/>
      <c r="XAA82" s="1"/>
      <c r="XAB82" s="1"/>
      <c r="XAC82" s="1"/>
      <c r="XAD82" s="1"/>
      <c r="XAE82" s="1"/>
      <c r="XAF82" s="1"/>
      <c r="XAG82" s="1"/>
      <c r="XAH82" s="1"/>
      <c r="XAI82" s="1"/>
      <c r="XAJ82" s="1"/>
      <c r="XAK82" s="1"/>
      <c r="XAL82" s="1"/>
      <c r="XAM82" s="1"/>
      <c r="XAN82" s="1"/>
      <c r="XAO82" s="1"/>
      <c r="XAP82" s="1"/>
      <c r="XAQ82" s="1"/>
      <c r="XAR82" s="1"/>
      <c r="XAS82" s="1"/>
      <c r="XAT82" s="1"/>
      <c r="XAU82" s="1"/>
      <c r="XAV82" s="1"/>
      <c r="XAW82" s="1"/>
      <c r="XAX82" s="1"/>
      <c r="XAY82" s="1"/>
      <c r="XAZ82" s="1"/>
      <c r="XBA82" s="1"/>
      <c r="XBB82" s="1"/>
      <c r="XBC82" s="1"/>
      <c r="XBD82" s="1"/>
      <c r="XBE82" s="1"/>
      <c r="XBF82" s="1"/>
      <c r="XBG82" s="1"/>
      <c r="XBH82" s="1"/>
      <c r="XBI82" s="1"/>
      <c r="XBJ82" s="1"/>
      <c r="XBK82" s="1"/>
      <c r="XBL82" s="1"/>
      <c r="XBM82" s="1"/>
      <c r="XBN82" s="1"/>
      <c r="XBO82" s="1"/>
      <c r="XBP82" s="1"/>
      <c r="XBQ82" s="1"/>
      <c r="XBR82" s="1"/>
      <c r="XBS82" s="1"/>
      <c r="XBT82" s="1"/>
      <c r="XBU82" s="1"/>
      <c r="XBV82" s="1"/>
      <c r="XBW82" s="1"/>
      <c r="XBX82" s="1"/>
      <c r="XBY82" s="1"/>
      <c r="XBZ82" s="1"/>
      <c r="XCA82" s="1"/>
      <c r="XCB82" s="1"/>
      <c r="XCC82" s="1"/>
      <c r="XCD82" s="1"/>
      <c r="XCE82" s="1"/>
      <c r="XCF82" s="1"/>
      <c r="XCG82" s="1"/>
      <c r="XCH82" s="1"/>
      <c r="XCI82" s="1"/>
      <c r="XCJ82" s="1"/>
      <c r="XCK82" s="1"/>
      <c r="XCL82" s="1"/>
      <c r="XCM82" s="1"/>
      <c r="XCN82" s="1"/>
      <c r="XCO82" s="1"/>
      <c r="XCP82" s="1"/>
      <c r="XCQ82" s="1"/>
      <c r="XCR82" s="1"/>
      <c r="XCS82" s="1"/>
      <c r="XCT82" s="1"/>
      <c r="XCU82" s="1"/>
      <c r="XCV82" s="1"/>
      <c r="XCW82" s="1"/>
      <c r="XCX82" s="1"/>
      <c r="XCY82" s="1"/>
      <c r="XCZ82" s="1"/>
      <c r="XDA82" s="1"/>
      <c r="XDB82" s="1"/>
      <c r="XDC82" s="1"/>
      <c r="XDD82" s="1"/>
      <c r="XDE82" s="1"/>
      <c r="XDF82" s="1"/>
      <c r="XDG82" s="1"/>
      <c r="XDH82" s="1"/>
      <c r="XDI82" s="1"/>
      <c r="XDJ82" s="1"/>
      <c r="XDK82" s="1"/>
      <c r="XDL82" s="1"/>
      <c r="XDM82" s="1"/>
      <c r="XDN82" s="1"/>
      <c r="XDO82" s="1"/>
      <c r="XDP82" s="1"/>
      <c r="XDQ82" s="1"/>
      <c r="XDR82" s="1"/>
      <c r="XDS82" s="1"/>
      <c r="XDT82" s="1"/>
      <c r="XDU82" s="1"/>
      <c r="XDV82" s="1"/>
      <c r="XDW82" s="1"/>
      <c r="XDX82" s="1"/>
      <c r="XDY82" s="1"/>
      <c r="XDZ82" s="1"/>
      <c r="XEA82" s="1"/>
      <c r="XEB82" s="1"/>
      <c r="XEC82" s="1"/>
      <c r="XED82" s="1"/>
      <c r="XEE82" s="1"/>
      <c r="XEF82" s="1"/>
      <c r="XEG82" s="1"/>
      <c r="XEH82" s="1"/>
      <c r="XEI82" s="1"/>
      <c r="XEJ82" s="1"/>
      <c r="XEK82" s="1"/>
      <c r="XEL82" s="1"/>
      <c r="XEM82" s="1"/>
      <c r="XEN82" s="1"/>
      <c r="XEO82" s="1"/>
      <c r="XEP82" s="1"/>
      <c r="XEQ82" s="1"/>
      <c r="XER82" s="1"/>
      <c r="XES82" s="1"/>
      <c r="XET82" s="1"/>
      <c r="XEU82" s="1"/>
      <c r="XEV82" s="1"/>
      <c r="XEW82" s="1"/>
      <c r="XEX82" s="1"/>
      <c r="XEY82" s="1"/>
      <c r="XEZ82" s="1"/>
      <c r="XFA82" s="1"/>
      <c r="XFB82" s="1"/>
    </row>
    <row r="83" spans="1:16382" s="2" customFormat="1" ht="10.5" hidden="1" customHeight="1">
      <c r="A83" s="74"/>
      <c r="I83" s="1"/>
      <c r="J83" s="23"/>
      <c r="K83" s="124"/>
      <c r="L83" s="122"/>
      <c r="M83" s="122"/>
      <c r="N83" s="122"/>
      <c r="O83" s="122"/>
      <c r="P83" s="122"/>
      <c r="Q83" s="122"/>
      <c r="R83" s="122"/>
      <c r="S83" s="1"/>
      <c r="T83" s="1"/>
      <c r="U83" s="1"/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1"/>
      <c r="AR83" s="1"/>
      <c r="AS83" s="1"/>
      <c r="AT83" s="1"/>
      <c r="AU83" s="1"/>
      <c r="AV83" s="1"/>
      <c r="AW83" s="1"/>
      <c r="AX83" s="1"/>
      <c r="AY83" s="1"/>
      <c r="AZ83" s="1"/>
      <c r="BA83" s="1"/>
      <c r="BB83" s="1"/>
      <c r="BC83" s="1"/>
      <c r="BD83" s="1"/>
      <c r="BE83" s="1"/>
      <c r="BF83" s="1"/>
      <c r="BG83" s="1"/>
      <c r="BH83" s="1"/>
      <c r="BI83" s="1"/>
      <c r="BJ83" s="1"/>
      <c r="BK83" s="1"/>
      <c r="BL83" s="1"/>
      <c r="BM83" s="1"/>
      <c r="BN83" s="1"/>
      <c r="BO83" s="1"/>
      <c r="BP83" s="1"/>
      <c r="BQ83" s="1"/>
      <c r="BR83" s="1"/>
      <c r="BS83" s="1"/>
      <c r="BT83" s="1"/>
      <c r="BU83" s="1"/>
      <c r="BV83" s="1"/>
      <c r="BW83" s="1"/>
      <c r="BX83" s="1"/>
      <c r="BY83" s="1"/>
      <c r="BZ83" s="1"/>
      <c r="CA83" s="1"/>
      <c r="CB83" s="1"/>
      <c r="CC83" s="1"/>
      <c r="CD83" s="1"/>
      <c r="CE83" s="1"/>
      <c r="CF83" s="1"/>
      <c r="CG83" s="1"/>
      <c r="CH83" s="1"/>
      <c r="CI83" s="1"/>
      <c r="CJ83" s="1"/>
      <c r="CK83" s="1"/>
      <c r="CL83" s="1"/>
      <c r="CM83" s="1"/>
      <c r="CN83" s="1"/>
      <c r="CO83" s="1"/>
      <c r="CP83" s="1"/>
      <c r="CQ83" s="1"/>
      <c r="CR83" s="1"/>
      <c r="CS83" s="1"/>
      <c r="CT83" s="1"/>
      <c r="CU83" s="1"/>
      <c r="CV83" s="1"/>
      <c r="CW83" s="1"/>
      <c r="CX83" s="1"/>
      <c r="CY83" s="1"/>
      <c r="CZ83" s="1"/>
      <c r="DA83" s="1"/>
      <c r="DB83" s="1"/>
      <c r="DC83" s="1"/>
      <c r="DD83" s="1"/>
      <c r="DE83" s="1"/>
      <c r="DF83" s="1"/>
      <c r="DG83" s="1"/>
      <c r="DH83" s="1"/>
      <c r="DI83" s="1"/>
      <c r="DJ83" s="1"/>
      <c r="DK83" s="1"/>
      <c r="DL83" s="1"/>
      <c r="DM83" s="1"/>
      <c r="DN83" s="1"/>
      <c r="DO83" s="1"/>
      <c r="DP83" s="1"/>
      <c r="DQ83" s="1"/>
      <c r="DR83" s="1"/>
      <c r="DS83" s="1"/>
      <c r="DT83" s="1"/>
      <c r="DU83" s="1"/>
      <c r="DV83" s="1"/>
      <c r="DW83" s="1"/>
      <c r="DX83" s="1"/>
      <c r="DY83" s="1"/>
      <c r="DZ83" s="1"/>
      <c r="EA83" s="1"/>
      <c r="EB83" s="1"/>
      <c r="EC83" s="1"/>
      <c r="ED83" s="1"/>
      <c r="EE83" s="1"/>
      <c r="EF83" s="1"/>
      <c r="EG83" s="1"/>
      <c r="EH83" s="1"/>
      <c r="EI83" s="1"/>
      <c r="EJ83" s="1"/>
      <c r="EK83" s="1"/>
      <c r="EL83" s="1"/>
      <c r="EM83" s="1"/>
      <c r="EN83" s="1"/>
      <c r="EO83" s="1"/>
      <c r="EP83" s="1"/>
      <c r="EQ83" s="1"/>
      <c r="ER83" s="1"/>
      <c r="ES83" s="1"/>
      <c r="ET83" s="1"/>
      <c r="EU83" s="1"/>
      <c r="EV83" s="1"/>
      <c r="EW83" s="1"/>
      <c r="EX83" s="1"/>
      <c r="EY83" s="1"/>
      <c r="EZ83" s="1"/>
      <c r="FA83" s="1"/>
      <c r="FB83" s="1"/>
      <c r="FC83" s="1"/>
      <c r="FD83" s="1"/>
      <c r="FE83" s="1"/>
      <c r="FF83" s="1"/>
      <c r="FG83" s="1"/>
      <c r="FH83" s="1"/>
      <c r="FI83" s="1"/>
      <c r="FJ83" s="1"/>
      <c r="FK83" s="1"/>
      <c r="FL83" s="1"/>
      <c r="FM83" s="1"/>
      <c r="FN83" s="1"/>
      <c r="FO83" s="1"/>
      <c r="FP83" s="1"/>
      <c r="FQ83" s="1"/>
      <c r="FR83" s="1"/>
      <c r="FS83" s="1"/>
      <c r="FT83" s="1"/>
      <c r="FU83" s="1"/>
      <c r="FV83" s="1"/>
      <c r="FW83" s="1"/>
      <c r="FX83" s="1"/>
      <c r="FY83" s="1"/>
      <c r="FZ83" s="1"/>
      <c r="GA83" s="1"/>
      <c r="GB83" s="1"/>
      <c r="GC83" s="1"/>
      <c r="GD83" s="1"/>
      <c r="GE83" s="1"/>
      <c r="GF83" s="1"/>
      <c r="GG83" s="1"/>
      <c r="GH83" s="1"/>
      <c r="GI83" s="1"/>
      <c r="GJ83" s="1"/>
      <c r="GK83" s="1"/>
      <c r="GL83" s="1"/>
      <c r="GM83" s="1"/>
      <c r="GN83" s="1"/>
      <c r="GO83" s="1"/>
      <c r="GP83" s="1"/>
      <c r="GQ83" s="1"/>
      <c r="GR83" s="1"/>
      <c r="GS83" s="1"/>
      <c r="GT83" s="1"/>
      <c r="GU83" s="1"/>
      <c r="GV83" s="1"/>
      <c r="GW83" s="1"/>
      <c r="GX83" s="1"/>
      <c r="GY83" s="1"/>
      <c r="GZ83" s="1"/>
      <c r="HA83" s="1"/>
      <c r="HB83" s="1"/>
      <c r="HC83" s="1"/>
      <c r="HD83" s="1"/>
      <c r="HE83" s="1"/>
      <c r="HF83" s="1"/>
      <c r="HG83" s="1"/>
      <c r="HH83" s="1"/>
      <c r="HI83" s="1"/>
      <c r="HJ83" s="1"/>
      <c r="HK83" s="1"/>
      <c r="HL83" s="1"/>
      <c r="HM83" s="1"/>
      <c r="HN83" s="1"/>
      <c r="HO83" s="1"/>
      <c r="HP83" s="1"/>
      <c r="HQ83" s="1"/>
      <c r="HR83" s="1"/>
      <c r="HS83" s="1"/>
      <c r="HT83" s="1"/>
      <c r="HU83" s="1"/>
      <c r="HV83" s="1"/>
      <c r="HW83" s="1"/>
      <c r="HX83" s="1"/>
      <c r="HY83" s="1"/>
      <c r="HZ83" s="1"/>
      <c r="IA83" s="1"/>
      <c r="IB83" s="1"/>
      <c r="IC83" s="1"/>
      <c r="ID83" s="1"/>
      <c r="IE83" s="1"/>
      <c r="IF83" s="1"/>
      <c r="IG83" s="1"/>
      <c r="IH83" s="1"/>
      <c r="II83" s="1"/>
      <c r="IJ83" s="1"/>
      <c r="IK83" s="1"/>
      <c r="IL83" s="1"/>
      <c r="IM83" s="1"/>
      <c r="IN83" s="1"/>
      <c r="IO83" s="1"/>
      <c r="IP83" s="1"/>
      <c r="IQ83" s="1"/>
      <c r="IR83" s="1"/>
      <c r="IS83" s="1"/>
      <c r="IT83" s="1"/>
      <c r="IU83" s="1"/>
      <c r="IV83" s="1"/>
      <c r="IW83" s="1"/>
      <c r="IX83" s="1"/>
      <c r="IY83" s="1"/>
      <c r="IZ83" s="1"/>
      <c r="JA83" s="1"/>
      <c r="JB83" s="1"/>
      <c r="JC83" s="1"/>
      <c r="JD83" s="1"/>
      <c r="JE83" s="1"/>
      <c r="JF83" s="1"/>
      <c r="JG83" s="1"/>
      <c r="JH83" s="1"/>
      <c r="JI83" s="1"/>
      <c r="JJ83" s="1"/>
      <c r="JK83" s="1"/>
      <c r="JL83" s="1"/>
      <c r="JM83" s="1"/>
      <c r="JN83" s="1"/>
      <c r="JO83" s="1"/>
      <c r="JP83" s="1"/>
      <c r="JQ83" s="1"/>
      <c r="JR83" s="1"/>
      <c r="JS83" s="1"/>
      <c r="JT83" s="1"/>
      <c r="JU83" s="1"/>
      <c r="JV83" s="1"/>
      <c r="JW83" s="1"/>
      <c r="JX83" s="1"/>
      <c r="JY83" s="1"/>
      <c r="JZ83" s="1"/>
      <c r="KA83" s="1"/>
      <c r="KB83" s="1"/>
      <c r="KC83" s="1"/>
      <c r="KD83" s="1"/>
      <c r="KE83" s="1"/>
      <c r="KF83" s="1"/>
      <c r="KG83" s="1"/>
      <c r="KH83" s="1"/>
      <c r="KI83" s="1"/>
      <c r="KJ83" s="1"/>
      <c r="KK83" s="1"/>
      <c r="KL83" s="1"/>
      <c r="KM83" s="1"/>
      <c r="KN83" s="1"/>
      <c r="KO83" s="1"/>
      <c r="KP83" s="1"/>
      <c r="KQ83" s="1"/>
      <c r="KR83" s="1"/>
      <c r="KS83" s="1"/>
      <c r="KT83" s="1"/>
      <c r="KU83" s="1"/>
      <c r="KV83" s="1"/>
      <c r="KW83" s="1"/>
      <c r="KX83" s="1"/>
      <c r="KY83" s="1"/>
      <c r="KZ83" s="1"/>
      <c r="LA83" s="1"/>
      <c r="LB83" s="1"/>
      <c r="LC83" s="1"/>
      <c r="LD83" s="1"/>
      <c r="LE83" s="1"/>
      <c r="LF83" s="1"/>
      <c r="LG83" s="1"/>
      <c r="LH83" s="1"/>
      <c r="LI83" s="1"/>
      <c r="LJ83" s="1"/>
      <c r="LK83" s="1"/>
      <c r="LL83" s="1"/>
      <c r="LM83" s="1"/>
      <c r="LN83" s="1"/>
      <c r="LO83" s="1"/>
      <c r="LP83" s="1"/>
      <c r="LQ83" s="1"/>
      <c r="LR83" s="1"/>
      <c r="LS83" s="1"/>
      <c r="LT83" s="1"/>
      <c r="LU83" s="1"/>
      <c r="LV83" s="1"/>
      <c r="LW83" s="1"/>
      <c r="LX83" s="1"/>
      <c r="LY83" s="1"/>
      <c r="LZ83" s="1"/>
      <c r="MA83" s="1"/>
      <c r="MB83" s="1"/>
      <c r="MC83" s="1"/>
      <c r="MD83" s="1"/>
      <c r="ME83" s="1"/>
      <c r="MF83" s="1"/>
      <c r="MG83" s="1"/>
      <c r="MH83" s="1"/>
      <c r="MI83" s="1"/>
      <c r="MJ83" s="1"/>
      <c r="MK83" s="1"/>
      <c r="ML83" s="1"/>
      <c r="MM83" s="1"/>
      <c r="MN83" s="1"/>
      <c r="MO83" s="1"/>
      <c r="MP83" s="1"/>
      <c r="MQ83" s="1"/>
      <c r="MR83" s="1"/>
      <c r="MS83" s="1"/>
      <c r="MT83" s="1"/>
      <c r="MU83" s="1"/>
      <c r="MV83" s="1"/>
      <c r="MW83" s="1"/>
      <c r="MX83" s="1"/>
      <c r="MY83" s="1"/>
      <c r="MZ83" s="1"/>
      <c r="NA83" s="1"/>
      <c r="NB83" s="1"/>
      <c r="NC83" s="1"/>
      <c r="ND83" s="1"/>
      <c r="NE83" s="1"/>
      <c r="NF83" s="1"/>
      <c r="NG83" s="1"/>
      <c r="NH83" s="1"/>
      <c r="NI83" s="1"/>
      <c r="NJ83" s="1"/>
      <c r="NK83" s="1"/>
      <c r="NL83" s="1"/>
      <c r="NM83" s="1"/>
      <c r="NN83" s="1"/>
      <c r="NO83" s="1"/>
      <c r="NP83" s="1"/>
      <c r="NQ83" s="1"/>
      <c r="NR83" s="1"/>
      <c r="NS83" s="1"/>
      <c r="NT83" s="1"/>
      <c r="NU83" s="1"/>
      <c r="NV83" s="1"/>
      <c r="NW83" s="1"/>
      <c r="NX83" s="1"/>
      <c r="NY83" s="1"/>
      <c r="NZ83" s="1"/>
      <c r="OA83" s="1"/>
      <c r="OB83" s="1"/>
      <c r="OC83" s="1"/>
      <c r="OD83" s="1"/>
      <c r="OE83" s="1"/>
      <c r="OF83" s="1"/>
      <c r="OG83" s="1"/>
      <c r="OH83" s="1"/>
      <c r="OI83" s="1"/>
      <c r="OJ83" s="1"/>
      <c r="OK83" s="1"/>
      <c r="OL83" s="1"/>
      <c r="OM83" s="1"/>
      <c r="ON83" s="1"/>
      <c r="OO83" s="1"/>
      <c r="OP83" s="1"/>
      <c r="OQ83" s="1"/>
      <c r="OR83" s="1"/>
      <c r="OS83" s="1"/>
      <c r="OT83" s="1"/>
      <c r="OU83" s="1"/>
      <c r="OV83" s="1"/>
      <c r="OW83" s="1"/>
      <c r="OX83" s="1"/>
      <c r="OY83" s="1"/>
      <c r="OZ83" s="1"/>
      <c r="PA83" s="1"/>
      <c r="PB83" s="1"/>
      <c r="PC83" s="1"/>
      <c r="PD83" s="1"/>
      <c r="PE83" s="1"/>
      <c r="PF83" s="1"/>
      <c r="PG83" s="1"/>
      <c r="PH83" s="1"/>
      <c r="PI83" s="1"/>
      <c r="PJ83" s="1"/>
      <c r="PK83" s="1"/>
      <c r="PL83" s="1"/>
      <c r="PM83" s="1"/>
      <c r="PN83" s="1"/>
      <c r="PO83" s="1"/>
      <c r="PP83" s="1"/>
      <c r="PQ83" s="1"/>
      <c r="PR83" s="1"/>
      <c r="PS83" s="1"/>
      <c r="PT83" s="1"/>
      <c r="PU83" s="1"/>
      <c r="PV83" s="1"/>
      <c r="PW83" s="1"/>
      <c r="PX83" s="1"/>
      <c r="PY83" s="1"/>
      <c r="PZ83" s="1"/>
      <c r="QA83" s="1"/>
      <c r="QB83" s="1"/>
      <c r="QC83" s="1"/>
      <c r="QD83" s="1"/>
      <c r="QE83" s="1"/>
      <c r="QF83" s="1"/>
      <c r="QG83" s="1"/>
      <c r="QH83" s="1"/>
      <c r="QI83" s="1"/>
      <c r="QJ83" s="1"/>
      <c r="QK83" s="1"/>
      <c r="QL83" s="1"/>
      <c r="QM83" s="1"/>
      <c r="QN83" s="1"/>
      <c r="QO83" s="1"/>
      <c r="QP83" s="1"/>
      <c r="QQ83" s="1"/>
      <c r="QR83" s="1"/>
      <c r="QS83" s="1"/>
      <c r="QT83" s="1"/>
      <c r="QU83" s="1"/>
      <c r="QV83" s="1"/>
      <c r="QW83" s="1"/>
      <c r="QX83" s="1"/>
      <c r="QY83" s="1"/>
      <c r="QZ83" s="1"/>
      <c r="RA83" s="1"/>
      <c r="RB83" s="1"/>
      <c r="RC83" s="1"/>
      <c r="RD83" s="1"/>
      <c r="RE83" s="1"/>
      <c r="RF83" s="1"/>
      <c r="RG83" s="1"/>
      <c r="RH83" s="1"/>
      <c r="RI83" s="1"/>
      <c r="RJ83" s="1"/>
      <c r="RK83" s="1"/>
      <c r="RL83" s="1"/>
      <c r="RM83" s="1"/>
      <c r="RN83" s="1"/>
      <c r="RO83" s="1"/>
      <c r="RP83" s="1"/>
      <c r="RQ83" s="1"/>
      <c r="RR83" s="1"/>
      <c r="RS83" s="1"/>
      <c r="RT83" s="1"/>
      <c r="RU83" s="1"/>
      <c r="RV83" s="1"/>
      <c r="RW83" s="1"/>
      <c r="RX83" s="1"/>
      <c r="RY83" s="1"/>
      <c r="RZ83" s="1"/>
      <c r="SA83" s="1"/>
      <c r="SB83" s="1"/>
      <c r="SC83" s="1"/>
      <c r="SD83" s="1"/>
      <c r="SE83" s="1"/>
      <c r="SF83" s="1"/>
      <c r="SG83" s="1"/>
      <c r="SH83" s="1"/>
      <c r="SI83" s="1"/>
      <c r="SJ83" s="1"/>
      <c r="SK83" s="1"/>
      <c r="SL83" s="1"/>
      <c r="SM83" s="1"/>
      <c r="SN83" s="1"/>
      <c r="SO83" s="1"/>
      <c r="SP83" s="1"/>
      <c r="SQ83" s="1"/>
      <c r="SR83" s="1"/>
      <c r="SS83" s="1"/>
      <c r="ST83" s="1"/>
      <c r="SU83" s="1"/>
      <c r="SV83" s="1"/>
      <c r="SW83" s="1"/>
      <c r="SX83" s="1"/>
      <c r="SY83" s="1"/>
      <c r="SZ83" s="1"/>
      <c r="TA83" s="1"/>
      <c r="TB83" s="1"/>
      <c r="TC83" s="1"/>
      <c r="TD83" s="1"/>
      <c r="TE83" s="1"/>
      <c r="TF83" s="1"/>
      <c r="TG83" s="1"/>
      <c r="TH83" s="1"/>
      <c r="TI83" s="1"/>
      <c r="TJ83" s="1"/>
      <c r="TK83" s="1"/>
      <c r="TL83" s="1"/>
      <c r="TM83" s="1"/>
      <c r="TN83" s="1"/>
      <c r="TO83" s="1"/>
      <c r="TP83" s="1"/>
      <c r="TQ83" s="1"/>
      <c r="TR83" s="1"/>
      <c r="TS83" s="1"/>
      <c r="TT83" s="1"/>
      <c r="TU83" s="1"/>
      <c r="TV83" s="1"/>
      <c r="TW83" s="1"/>
      <c r="TX83" s="1"/>
      <c r="TY83" s="1"/>
      <c r="TZ83" s="1"/>
      <c r="UA83" s="1"/>
      <c r="UB83" s="1"/>
      <c r="UC83" s="1"/>
      <c r="UD83" s="1"/>
      <c r="UE83" s="1"/>
      <c r="UF83" s="1"/>
      <c r="UG83" s="1"/>
      <c r="UH83" s="1"/>
      <c r="UI83" s="1"/>
      <c r="UJ83" s="1"/>
      <c r="UK83" s="1"/>
      <c r="UL83" s="1"/>
      <c r="UM83" s="1"/>
      <c r="UN83" s="1"/>
      <c r="UO83" s="1"/>
      <c r="UP83" s="1"/>
      <c r="UQ83" s="1"/>
      <c r="UR83" s="1"/>
      <c r="US83" s="1"/>
      <c r="UT83" s="1"/>
      <c r="UU83" s="1"/>
      <c r="UV83" s="1"/>
      <c r="UW83" s="1"/>
      <c r="UX83" s="1"/>
      <c r="UY83" s="1"/>
      <c r="UZ83" s="1"/>
      <c r="VA83" s="1"/>
      <c r="VB83" s="1"/>
      <c r="VC83" s="1"/>
      <c r="VD83" s="1"/>
      <c r="VE83" s="1"/>
      <c r="VF83" s="1"/>
      <c r="VG83" s="1"/>
      <c r="VH83" s="1"/>
      <c r="VI83" s="1"/>
      <c r="VJ83" s="1"/>
      <c r="VK83" s="1"/>
      <c r="VL83" s="1"/>
      <c r="VM83" s="1"/>
      <c r="VN83" s="1"/>
      <c r="VO83" s="1"/>
      <c r="VP83" s="1"/>
      <c r="VQ83" s="1"/>
      <c r="VR83" s="1"/>
      <c r="VS83" s="1"/>
      <c r="VT83" s="1"/>
      <c r="VU83" s="1"/>
      <c r="VV83" s="1"/>
      <c r="VW83" s="1"/>
      <c r="VX83" s="1"/>
      <c r="VY83" s="1"/>
      <c r="VZ83" s="1"/>
      <c r="WA83" s="1"/>
      <c r="WB83" s="1"/>
      <c r="WC83" s="1"/>
      <c r="WD83" s="1"/>
      <c r="WE83" s="1"/>
      <c r="WF83" s="1"/>
      <c r="WG83" s="1"/>
      <c r="WH83" s="1"/>
      <c r="WI83" s="1"/>
      <c r="WJ83" s="1"/>
      <c r="WK83" s="1"/>
      <c r="WL83" s="1"/>
      <c r="WM83" s="1"/>
      <c r="WN83" s="1"/>
      <c r="WO83" s="1"/>
      <c r="WP83" s="1"/>
      <c r="WQ83" s="1"/>
      <c r="WR83" s="1"/>
      <c r="WS83" s="1"/>
      <c r="WT83" s="1"/>
      <c r="WU83" s="1"/>
      <c r="WV83" s="1"/>
      <c r="WW83" s="1"/>
      <c r="WX83" s="1"/>
      <c r="WY83" s="1"/>
      <c r="WZ83" s="1"/>
      <c r="XA83" s="1"/>
      <c r="XB83" s="1"/>
      <c r="XC83" s="1"/>
      <c r="XD83" s="1"/>
      <c r="XE83" s="1"/>
      <c r="XF83" s="1"/>
      <c r="XG83" s="1"/>
      <c r="XH83" s="1"/>
      <c r="XI83" s="1"/>
      <c r="XJ83" s="1"/>
      <c r="XK83" s="1"/>
      <c r="XL83" s="1"/>
      <c r="XM83" s="1"/>
      <c r="XN83" s="1"/>
      <c r="XO83" s="1"/>
      <c r="XP83" s="1"/>
      <c r="XQ83" s="1"/>
      <c r="XR83" s="1"/>
      <c r="XS83" s="1"/>
      <c r="XT83" s="1"/>
      <c r="XU83" s="1"/>
      <c r="XV83" s="1"/>
      <c r="XW83" s="1"/>
      <c r="XX83" s="1"/>
      <c r="XY83" s="1"/>
      <c r="XZ83" s="1"/>
      <c r="YA83" s="1"/>
      <c r="YB83" s="1"/>
      <c r="YC83" s="1"/>
      <c r="YD83" s="1"/>
      <c r="YE83" s="1"/>
      <c r="YF83" s="1"/>
      <c r="YG83" s="1"/>
      <c r="YH83" s="1"/>
      <c r="YI83" s="1"/>
      <c r="YJ83" s="1"/>
      <c r="YK83" s="1"/>
      <c r="YL83" s="1"/>
      <c r="YM83" s="1"/>
      <c r="YN83" s="1"/>
      <c r="YO83" s="1"/>
      <c r="YP83" s="1"/>
      <c r="YQ83" s="1"/>
      <c r="YR83" s="1"/>
      <c r="YS83" s="1"/>
      <c r="YT83" s="1"/>
      <c r="YU83" s="1"/>
      <c r="YV83" s="1"/>
      <c r="YW83" s="1"/>
      <c r="YX83" s="1"/>
      <c r="YY83" s="1"/>
      <c r="YZ83" s="1"/>
      <c r="ZA83" s="1"/>
      <c r="ZB83" s="1"/>
      <c r="ZC83" s="1"/>
      <c r="ZD83" s="1"/>
      <c r="ZE83" s="1"/>
      <c r="ZF83" s="1"/>
      <c r="ZG83" s="1"/>
      <c r="ZH83" s="1"/>
      <c r="ZI83" s="1"/>
      <c r="ZJ83" s="1"/>
      <c r="ZK83" s="1"/>
      <c r="ZL83" s="1"/>
      <c r="ZM83" s="1"/>
      <c r="ZN83" s="1"/>
      <c r="ZO83" s="1"/>
      <c r="ZP83" s="1"/>
      <c r="ZQ83" s="1"/>
      <c r="ZR83" s="1"/>
      <c r="ZS83" s="1"/>
      <c r="ZT83" s="1"/>
      <c r="ZU83" s="1"/>
      <c r="ZV83" s="1"/>
      <c r="ZW83" s="1"/>
      <c r="ZX83" s="1"/>
      <c r="ZY83" s="1"/>
      <c r="ZZ83" s="1"/>
      <c r="AAA83" s="1"/>
      <c r="AAB83" s="1"/>
      <c r="AAC83" s="1"/>
      <c r="AAD83" s="1"/>
      <c r="AAE83" s="1"/>
      <c r="AAF83" s="1"/>
      <c r="AAG83" s="1"/>
      <c r="AAH83" s="1"/>
      <c r="AAI83" s="1"/>
      <c r="AAJ83" s="1"/>
      <c r="AAK83" s="1"/>
      <c r="AAL83" s="1"/>
      <c r="AAM83" s="1"/>
      <c r="AAN83" s="1"/>
      <c r="AAO83" s="1"/>
      <c r="AAP83" s="1"/>
      <c r="AAQ83" s="1"/>
      <c r="AAR83" s="1"/>
      <c r="AAS83" s="1"/>
      <c r="AAT83" s="1"/>
      <c r="AAU83" s="1"/>
      <c r="AAV83" s="1"/>
      <c r="AAW83" s="1"/>
      <c r="AAX83" s="1"/>
      <c r="AAY83" s="1"/>
      <c r="AAZ83" s="1"/>
      <c r="ABA83" s="1"/>
      <c r="ABB83" s="1"/>
      <c r="ABC83" s="1"/>
      <c r="ABD83" s="1"/>
      <c r="ABE83" s="1"/>
      <c r="ABF83" s="1"/>
      <c r="ABG83" s="1"/>
      <c r="ABH83" s="1"/>
      <c r="ABI83" s="1"/>
      <c r="ABJ83" s="1"/>
      <c r="ABK83" s="1"/>
      <c r="ABL83" s="1"/>
      <c r="ABM83" s="1"/>
      <c r="ABN83" s="1"/>
      <c r="ABO83" s="1"/>
      <c r="ABP83" s="1"/>
      <c r="ABQ83" s="1"/>
      <c r="ABR83" s="1"/>
      <c r="ABS83" s="1"/>
      <c r="ABT83" s="1"/>
      <c r="ABU83" s="1"/>
      <c r="ABV83" s="1"/>
      <c r="ABW83" s="1"/>
      <c r="ABX83" s="1"/>
      <c r="ABY83" s="1"/>
      <c r="ABZ83" s="1"/>
      <c r="ACA83" s="1"/>
      <c r="ACB83" s="1"/>
      <c r="ACC83" s="1"/>
      <c r="ACD83" s="1"/>
      <c r="ACE83" s="1"/>
      <c r="ACF83" s="1"/>
      <c r="ACG83" s="1"/>
      <c r="ACH83" s="1"/>
      <c r="ACI83" s="1"/>
      <c r="ACJ83" s="1"/>
      <c r="ACK83" s="1"/>
      <c r="ACL83" s="1"/>
      <c r="ACM83" s="1"/>
      <c r="ACN83" s="1"/>
      <c r="ACO83" s="1"/>
      <c r="ACP83" s="1"/>
      <c r="ACQ83" s="1"/>
      <c r="ACR83" s="1"/>
      <c r="ACS83" s="1"/>
      <c r="ACT83" s="1"/>
      <c r="ACU83" s="1"/>
      <c r="ACV83" s="1"/>
      <c r="ACW83" s="1"/>
      <c r="ACX83" s="1"/>
      <c r="ACY83" s="1"/>
      <c r="ACZ83" s="1"/>
      <c r="ADA83" s="1"/>
      <c r="ADB83" s="1"/>
      <c r="ADC83" s="1"/>
      <c r="ADD83" s="1"/>
      <c r="ADE83" s="1"/>
      <c r="ADF83" s="1"/>
      <c r="ADG83" s="1"/>
      <c r="ADH83" s="1"/>
      <c r="ADI83" s="1"/>
      <c r="ADJ83" s="1"/>
      <c r="ADK83" s="1"/>
      <c r="ADL83" s="1"/>
      <c r="ADM83" s="1"/>
      <c r="ADN83" s="1"/>
      <c r="ADO83" s="1"/>
      <c r="ADP83" s="1"/>
      <c r="ADQ83" s="1"/>
      <c r="ADR83" s="1"/>
      <c r="ADS83" s="1"/>
      <c r="ADT83" s="1"/>
      <c r="ADU83" s="1"/>
      <c r="ADV83" s="1"/>
      <c r="ADW83" s="1"/>
      <c r="ADX83" s="1"/>
      <c r="ADY83" s="1"/>
      <c r="ADZ83" s="1"/>
      <c r="AEA83" s="1"/>
      <c r="AEB83" s="1"/>
      <c r="AEC83" s="1"/>
      <c r="AED83" s="1"/>
      <c r="AEE83" s="1"/>
      <c r="AEF83" s="1"/>
      <c r="AEG83" s="1"/>
      <c r="AEH83" s="1"/>
      <c r="AEI83" s="1"/>
      <c r="AEJ83" s="1"/>
      <c r="AEK83" s="1"/>
      <c r="AEL83" s="1"/>
      <c r="AEM83" s="1"/>
      <c r="AEN83" s="1"/>
      <c r="AEO83" s="1"/>
      <c r="AEP83" s="1"/>
      <c r="AEQ83" s="1"/>
      <c r="AER83" s="1"/>
      <c r="AES83" s="1"/>
      <c r="AET83" s="1"/>
      <c r="AEU83" s="1"/>
      <c r="AEV83" s="1"/>
      <c r="AEW83" s="1"/>
      <c r="AEX83" s="1"/>
      <c r="AEY83" s="1"/>
      <c r="AEZ83" s="1"/>
      <c r="AFA83" s="1"/>
      <c r="AFB83" s="1"/>
      <c r="AFC83" s="1"/>
      <c r="AFD83" s="1"/>
      <c r="AFE83" s="1"/>
      <c r="AFF83" s="1"/>
      <c r="AFG83" s="1"/>
      <c r="AFH83" s="1"/>
      <c r="AFI83" s="1"/>
      <c r="AFJ83" s="1"/>
      <c r="AFK83" s="1"/>
      <c r="AFL83" s="1"/>
      <c r="AFM83" s="1"/>
      <c r="AFN83" s="1"/>
      <c r="AFO83" s="1"/>
      <c r="AFP83" s="1"/>
      <c r="AFQ83" s="1"/>
      <c r="AFR83" s="1"/>
      <c r="AFS83" s="1"/>
      <c r="AFT83" s="1"/>
      <c r="AFU83" s="1"/>
      <c r="AFV83" s="1"/>
      <c r="AFW83" s="1"/>
      <c r="AFX83" s="1"/>
      <c r="AFY83" s="1"/>
      <c r="AFZ83" s="1"/>
      <c r="AGA83" s="1"/>
      <c r="AGB83" s="1"/>
      <c r="AGC83" s="1"/>
      <c r="AGD83" s="1"/>
      <c r="AGE83" s="1"/>
      <c r="AGF83" s="1"/>
      <c r="AGG83" s="1"/>
      <c r="AGH83" s="1"/>
      <c r="AGI83" s="1"/>
      <c r="AGJ83" s="1"/>
      <c r="AGK83" s="1"/>
      <c r="AGL83" s="1"/>
      <c r="AGM83" s="1"/>
      <c r="AGN83" s="1"/>
      <c r="AGO83" s="1"/>
      <c r="AGP83" s="1"/>
      <c r="AGQ83" s="1"/>
      <c r="AGR83" s="1"/>
      <c r="AGS83" s="1"/>
      <c r="AGT83" s="1"/>
      <c r="AGU83" s="1"/>
      <c r="AGV83" s="1"/>
      <c r="AGW83" s="1"/>
      <c r="AGX83" s="1"/>
      <c r="AGY83" s="1"/>
      <c r="AGZ83" s="1"/>
      <c r="AHA83" s="1"/>
      <c r="AHB83" s="1"/>
      <c r="AHC83" s="1"/>
      <c r="AHD83" s="1"/>
      <c r="AHE83" s="1"/>
      <c r="AHF83" s="1"/>
      <c r="AHG83" s="1"/>
      <c r="AHH83" s="1"/>
      <c r="AHI83" s="1"/>
      <c r="AHJ83" s="1"/>
      <c r="AHK83" s="1"/>
      <c r="AHL83" s="1"/>
      <c r="AHM83" s="1"/>
      <c r="AHN83" s="1"/>
      <c r="AHO83" s="1"/>
      <c r="AHP83" s="1"/>
      <c r="AHQ83" s="1"/>
      <c r="AHR83" s="1"/>
      <c r="AHS83" s="1"/>
      <c r="AHT83" s="1"/>
      <c r="AHU83" s="1"/>
      <c r="AHV83" s="1"/>
      <c r="AHW83" s="1"/>
      <c r="AHX83" s="1"/>
      <c r="AHY83" s="1"/>
      <c r="AHZ83" s="1"/>
      <c r="AIA83" s="1"/>
      <c r="AIB83" s="1"/>
      <c r="AIC83" s="1"/>
      <c r="AID83" s="1"/>
      <c r="AIE83" s="1"/>
      <c r="AIF83" s="1"/>
      <c r="AIG83" s="1"/>
      <c r="AIH83" s="1"/>
      <c r="AII83" s="1"/>
      <c r="AIJ83" s="1"/>
      <c r="AIK83" s="1"/>
      <c r="AIL83" s="1"/>
      <c r="AIM83" s="1"/>
      <c r="AIN83" s="1"/>
      <c r="AIO83" s="1"/>
      <c r="AIP83" s="1"/>
      <c r="AIQ83" s="1"/>
      <c r="AIR83" s="1"/>
      <c r="AIS83" s="1"/>
      <c r="AIT83" s="1"/>
      <c r="AIU83" s="1"/>
      <c r="AIV83" s="1"/>
      <c r="AIW83" s="1"/>
      <c r="AIX83" s="1"/>
      <c r="AIY83" s="1"/>
      <c r="AIZ83" s="1"/>
      <c r="AJA83" s="1"/>
      <c r="AJB83" s="1"/>
      <c r="AJC83" s="1"/>
      <c r="AJD83" s="1"/>
      <c r="AJE83" s="1"/>
      <c r="AJF83" s="1"/>
      <c r="AJG83" s="1"/>
      <c r="AJH83" s="1"/>
      <c r="AJI83" s="1"/>
      <c r="AJJ83" s="1"/>
      <c r="AJK83" s="1"/>
      <c r="AJL83" s="1"/>
      <c r="AJM83" s="1"/>
      <c r="AJN83" s="1"/>
      <c r="AJO83" s="1"/>
      <c r="AJP83" s="1"/>
      <c r="AJQ83" s="1"/>
      <c r="AJR83" s="1"/>
      <c r="AJS83" s="1"/>
      <c r="AJT83" s="1"/>
      <c r="AJU83" s="1"/>
      <c r="AJV83" s="1"/>
      <c r="AJW83" s="1"/>
      <c r="AJX83" s="1"/>
      <c r="AJY83" s="1"/>
      <c r="AJZ83" s="1"/>
      <c r="AKA83" s="1"/>
      <c r="AKB83" s="1"/>
      <c r="AKC83" s="1"/>
      <c r="AKD83" s="1"/>
      <c r="AKE83" s="1"/>
      <c r="AKF83" s="1"/>
      <c r="AKG83" s="1"/>
      <c r="AKH83" s="1"/>
      <c r="AKI83" s="1"/>
      <c r="AKJ83" s="1"/>
      <c r="AKK83" s="1"/>
      <c r="AKL83" s="1"/>
      <c r="AKM83" s="1"/>
      <c r="AKN83" s="1"/>
      <c r="AKO83" s="1"/>
      <c r="AKP83" s="1"/>
      <c r="AKQ83" s="1"/>
      <c r="AKR83" s="1"/>
      <c r="AKS83" s="1"/>
      <c r="AKT83" s="1"/>
      <c r="AKU83" s="1"/>
      <c r="AKV83" s="1"/>
      <c r="AKW83" s="1"/>
      <c r="AKX83" s="1"/>
      <c r="AKY83" s="1"/>
      <c r="AKZ83" s="1"/>
      <c r="ALA83" s="1"/>
      <c r="ALB83" s="1"/>
      <c r="ALC83" s="1"/>
      <c r="ALD83" s="1"/>
      <c r="ALE83" s="1"/>
      <c r="ALF83" s="1"/>
      <c r="ALG83" s="1"/>
      <c r="ALH83" s="1"/>
      <c r="ALI83" s="1"/>
      <c r="ALJ83" s="1"/>
      <c r="ALK83" s="1"/>
      <c r="ALL83" s="1"/>
      <c r="ALM83" s="1"/>
      <c r="ALN83" s="1"/>
      <c r="ALO83" s="1"/>
      <c r="ALP83" s="1"/>
      <c r="ALQ83" s="1"/>
      <c r="ALR83" s="1"/>
      <c r="ALS83" s="1"/>
      <c r="ALT83" s="1"/>
      <c r="ALU83" s="1"/>
      <c r="ALV83" s="1"/>
      <c r="ALW83" s="1"/>
      <c r="ALX83" s="1"/>
      <c r="ALY83" s="1"/>
      <c r="ALZ83" s="1"/>
      <c r="AMA83" s="1"/>
      <c r="AMB83" s="1"/>
      <c r="AMC83" s="1"/>
      <c r="AMD83" s="1"/>
      <c r="AME83" s="1"/>
      <c r="AMF83" s="1"/>
      <c r="AMG83" s="1"/>
      <c r="AMH83" s="1"/>
      <c r="AMI83" s="1"/>
      <c r="AMJ83" s="1"/>
      <c r="AMK83" s="1"/>
      <c r="AML83" s="1"/>
      <c r="AMM83" s="1"/>
      <c r="AMN83" s="1"/>
      <c r="AMO83" s="1"/>
      <c r="AMP83" s="1"/>
      <c r="AMQ83" s="1"/>
      <c r="AMR83" s="1"/>
      <c r="AMS83" s="1"/>
      <c r="AMT83" s="1"/>
      <c r="AMU83" s="1"/>
      <c r="AMV83" s="1"/>
      <c r="AMW83" s="1"/>
      <c r="AMX83" s="1"/>
      <c r="AMY83" s="1"/>
      <c r="AMZ83" s="1"/>
      <c r="ANA83" s="1"/>
      <c r="ANB83" s="1"/>
      <c r="ANC83" s="1"/>
      <c r="AND83" s="1"/>
      <c r="ANE83" s="1"/>
      <c r="ANF83" s="1"/>
      <c r="ANG83" s="1"/>
      <c r="ANH83" s="1"/>
      <c r="ANI83" s="1"/>
      <c r="ANJ83" s="1"/>
      <c r="ANK83" s="1"/>
      <c r="ANL83" s="1"/>
      <c r="ANM83" s="1"/>
      <c r="ANN83" s="1"/>
      <c r="ANO83" s="1"/>
      <c r="ANP83" s="1"/>
      <c r="ANQ83" s="1"/>
      <c r="ANR83" s="1"/>
      <c r="ANS83" s="1"/>
      <c r="ANT83" s="1"/>
      <c r="ANU83" s="1"/>
      <c r="ANV83" s="1"/>
      <c r="ANW83" s="1"/>
      <c r="ANX83" s="1"/>
      <c r="ANY83" s="1"/>
      <c r="ANZ83" s="1"/>
      <c r="AOA83" s="1"/>
      <c r="AOB83" s="1"/>
      <c r="AOC83" s="1"/>
      <c r="AOD83" s="1"/>
      <c r="AOE83" s="1"/>
      <c r="AOF83" s="1"/>
      <c r="AOG83" s="1"/>
      <c r="AOH83" s="1"/>
      <c r="AOI83" s="1"/>
      <c r="AOJ83" s="1"/>
      <c r="AOK83" s="1"/>
      <c r="AOL83" s="1"/>
      <c r="AOM83" s="1"/>
      <c r="AON83" s="1"/>
      <c r="AOO83" s="1"/>
      <c r="AOP83" s="1"/>
      <c r="AOQ83" s="1"/>
      <c r="AOR83" s="1"/>
      <c r="AOS83" s="1"/>
      <c r="AOT83" s="1"/>
      <c r="AOU83" s="1"/>
      <c r="AOV83" s="1"/>
      <c r="AOW83" s="1"/>
      <c r="AOX83" s="1"/>
      <c r="AOY83" s="1"/>
      <c r="AOZ83" s="1"/>
      <c r="APA83" s="1"/>
      <c r="APB83" s="1"/>
      <c r="APC83" s="1"/>
      <c r="APD83" s="1"/>
      <c r="APE83" s="1"/>
      <c r="APF83" s="1"/>
      <c r="APG83" s="1"/>
      <c r="APH83" s="1"/>
      <c r="API83" s="1"/>
      <c r="APJ83" s="1"/>
      <c r="APK83" s="1"/>
      <c r="APL83" s="1"/>
      <c r="APM83" s="1"/>
      <c r="APN83" s="1"/>
      <c r="APO83" s="1"/>
      <c r="APP83" s="1"/>
      <c r="APQ83" s="1"/>
      <c r="APR83" s="1"/>
      <c r="APS83" s="1"/>
      <c r="APT83" s="1"/>
      <c r="APU83" s="1"/>
      <c r="APV83" s="1"/>
      <c r="APW83" s="1"/>
      <c r="APX83" s="1"/>
      <c r="APY83" s="1"/>
      <c r="APZ83" s="1"/>
      <c r="AQA83" s="1"/>
      <c r="AQB83" s="1"/>
      <c r="AQC83" s="1"/>
      <c r="AQD83" s="1"/>
      <c r="AQE83" s="1"/>
      <c r="AQF83" s="1"/>
      <c r="AQG83" s="1"/>
      <c r="AQH83" s="1"/>
      <c r="AQI83" s="1"/>
      <c r="AQJ83" s="1"/>
      <c r="AQK83" s="1"/>
      <c r="AQL83" s="1"/>
      <c r="AQM83" s="1"/>
      <c r="AQN83" s="1"/>
      <c r="AQO83" s="1"/>
      <c r="AQP83" s="1"/>
      <c r="AQQ83" s="1"/>
      <c r="AQR83" s="1"/>
      <c r="AQS83" s="1"/>
      <c r="AQT83" s="1"/>
      <c r="AQU83" s="1"/>
      <c r="AQV83" s="1"/>
      <c r="AQW83" s="1"/>
      <c r="AQX83" s="1"/>
      <c r="AQY83" s="1"/>
      <c r="AQZ83" s="1"/>
      <c r="ARA83" s="1"/>
      <c r="ARB83" s="1"/>
      <c r="ARC83" s="1"/>
      <c r="ARD83" s="1"/>
      <c r="ARE83" s="1"/>
      <c r="ARF83" s="1"/>
      <c r="ARG83" s="1"/>
      <c r="ARH83" s="1"/>
      <c r="ARI83" s="1"/>
      <c r="ARJ83" s="1"/>
      <c r="ARK83" s="1"/>
      <c r="ARL83" s="1"/>
      <c r="ARM83" s="1"/>
      <c r="ARN83" s="1"/>
      <c r="ARO83" s="1"/>
      <c r="ARP83" s="1"/>
      <c r="ARQ83" s="1"/>
      <c r="ARR83" s="1"/>
      <c r="ARS83" s="1"/>
      <c r="ART83" s="1"/>
      <c r="ARU83" s="1"/>
      <c r="ARV83" s="1"/>
      <c r="ARW83" s="1"/>
      <c r="ARX83" s="1"/>
      <c r="ARY83" s="1"/>
      <c r="ARZ83" s="1"/>
      <c r="ASA83" s="1"/>
      <c r="ASB83" s="1"/>
      <c r="ASC83" s="1"/>
      <c r="ASD83" s="1"/>
      <c r="ASE83" s="1"/>
      <c r="ASF83" s="1"/>
      <c r="ASG83" s="1"/>
      <c r="ASH83" s="1"/>
      <c r="ASI83" s="1"/>
      <c r="ASJ83" s="1"/>
      <c r="ASK83" s="1"/>
      <c r="ASL83" s="1"/>
      <c r="ASM83" s="1"/>
      <c r="ASN83" s="1"/>
      <c r="ASO83" s="1"/>
      <c r="ASP83" s="1"/>
      <c r="ASQ83" s="1"/>
      <c r="ASR83" s="1"/>
      <c r="ASS83" s="1"/>
      <c r="AST83" s="1"/>
      <c r="ASU83" s="1"/>
      <c r="ASV83" s="1"/>
      <c r="ASW83" s="1"/>
      <c r="ASX83" s="1"/>
      <c r="ASY83" s="1"/>
      <c r="ASZ83" s="1"/>
      <c r="ATA83" s="1"/>
      <c r="ATB83" s="1"/>
      <c r="ATC83" s="1"/>
      <c r="ATD83" s="1"/>
      <c r="ATE83" s="1"/>
      <c r="ATF83" s="1"/>
      <c r="ATG83" s="1"/>
      <c r="ATH83" s="1"/>
      <c r="ATI83" s="1"/>
      <c r="ATJ83" s="1"/>
      <c r="ATK83" s="1"/>
      <c r="ATL83" s="1"/>
      <c r="ATM83" s="1"/>
      <c r="ATN83" s="1"/>
      <c r="ATO83" s="1"/>
      <c r="ATP83" s="1"/>
      <c r="ATQ83" s="1"/>
      <c r="ATR83" s="1"/>
      <c r="ATS83" s="1"/>
      <c r="ATT83" s="1"/>
      <c r="ATU83" s="1"/>
      <c r="ATV83" s="1"/>
      <c r="ATW83" s="1"/>
      <c r="ATX83" s="1"/>
      <c r="ATY83" s="1"/>
      <c r="ATZ83" s="1"/>
      <c r="AUA83" s="1"/>
      <c r="AUB83" s="1"/>
      <c r="AUC83" s="1"/>
      <c r="AUD83" s="1"/>
      <c r="AUE83" s="1"/>
      <c r="AUF83" s="1"/>
      <c r="AUG83" s="1"/>
      <c r="AUH83" s="1"/>
      <c r="AUI83" s="1"/>
      <c r="AUJ83" s="1"/>
      <c r="AUK83" s="1"/>
      <c r="AUL83" s="1"/>
      <c r="AUM83" s="1"/>
      <c r="AUN83" s="1"/>
      <c r="AUO83" s="1"/>
      <c r="AUP83" s="1"/>
      <c r="AUQ83" s="1"/>
      <c r="AUR83" s="1"/>
      <c r="AUS83" s="1"/>
      <c r="AUT83" s="1"/>
      <c r="AUU83" s="1"/>
      <c r="AUV83" s="1"/>
      <c r="AUW83" s="1"/>
      <c r="AUX83" s="1"/>
      <c r="AUY83" s="1"/>
      <c r="AUZ83" s="1"/>
      <c r="AVA83" s="1"/>
      <c r="AVB83" s="1"/>
      <c r="AVC83" s="1"/>
      <c r="AVD83" s="1"/>
      <c r="AVE83" s="1"/>
      <c r="AVF83" s="1"/>
      <c r="AVG83" s="1"/>
      <c r="AVH83" s="1"/>
      <c r="AVI83" s="1"/>
      <c r="AVJ83" s="1"/>
      <c r="AVK83" s="1"/>
      <c r="AVL83" s="1"/>
      <c r="AVM83" s="1"/>
      <c r="AVN83" s="1"/>
      <c r="AVO83" s="1"/>
      <c r="AVP83" s="1"/>
      <c r="AVQ83" s="1"/>
      <c r="AVR83" s="1"/>
      <c r="AVS83" s="1"/>
      <c r="AVT83" s="1"/>
      <c r="AVU83" s="1"/>
      <c r="AVV83" s="1"/>
      <c r="AVW83" s="1"/>
      <c r="AVX83" s="1"/>
      <c r="AVY83" s="1"/>
      <c r="AVZ83" s="1"/>
      <c r="AWA83" s="1"/>
      <c r="AWB83" s="1"/>
      <c r="AWC83" s="1"/>
      <c r="AWD83" s="1"/>
      <c r="AWE83" s="1"/>
      <c r="AWF83" s="1"/>
      <c r="AWG83" s="1"/>
      <c r="AWH83" s="1"/>
      <c r="AWI83" s="1"/>
      <c r="AWJ83" s="1"/>
      <c r="AWK83" s="1"/>
      <c r="AWL83" s="1"/>
      <c r="AWM83" s="1"/>
      <c r="AWN83" s="1"/>
      <c r="AWO83" s="1"/>
      <c r="AWP83" s="1"/>
      <c r="AWQ83" s="1"/>
      <c r="AWR83" s="1"/>
      <c r="AWS83" s="1"/>
      <c r="AWT83" s="1"/>
      <c r="AWU83" s="1"/>
      <c r="AWV83" s="1"/>
      <c r="AWW83" s="1"/>
      <c r="AWX83" s="1"/>
      <c r="AWY83" s="1"/>
      <c r="AWZ83" s="1"/>
      <c r="AXA83" s="1"/>
      <c r="AXB83" s="1"/>
      <c r="AXC83" s="1"/>
      <c r="AXD83" s="1"/>
      <c r="AXE83" s="1"/>
      <c r="AXF83" s="1"/>
      <c r="AXG83" s="1"/>
      <c r="AXH83" s="1"/>
      <c r="AXI83" s="1"/>
      <c r="AXJ83" s="1"/>
      <c r="AXK83" s="1"/>
      <c r="AXL83" s="1"/>
      <c r="AXM83" s="1"/>
      <c r="AXN83" s="1"/>
      <c r="AXO83" s="1"/>
      <c r="AXP83" s="1"/>
      <c r="AXQ83" s="1"/>
      <c r="AXR83" s="1"/>
      <c r="AXS83" s="1"/>
      <c r="AXT83" s="1"/>
      <c r="AXU83" s="1"/>
      <c r="AXV83" s="1"/>
      <c r="AXW83" s="1"/>
      <c r="AXX83" s="1"/>
      <c r="AXY83" s="1"/>
      <c r="AXZ83" s="1"/>
      <c r="AYA83" s="1"/>
      <c r="AYB83" s="1"/>
      <c r="AYC83" s="1"/>
      <c r="AYD83" s="1"/>
      <c r="AYE83" s="1"/>
      <c r="AYF83" s="1"/>
      <c r="AYG83" s="1"/>
      <c r="AYH83" s="1"/>
      <c r="AYI83" s="1"/>
      <c r="AYJ83" s="1"/>
      <c r="AYK83" s="1"/>
      <c r="AYL83" s="1"/>
      <c r="AYM83" s="1"/>
      <c r="AYN83" s="1"/>
      <c r="AYO83" s="1"/>
      <c r="AYP83" s="1"/>
      <c r="AYQ83" s="1"/>
      <c r="AYR83" s="1"/>
      <c r="AYS83" s="1"/>
      <c r="AYT83" s="1"/>
      <c r="AYU83" s="1"/>
      <c r="AYV83" s="1"/>
      <c r="AYW83" s="1"/>
      <c r="AYX83" s="1"/>
      <c r="AYY83" s="1"/>
      <c r="AYZ83" s="1"/>
      <c r="AZA83" s="1"/>
      <c r="AZB83" s="1"/>
      <c r="AZC83" s="1"/>
      <c r="AZD83" s="1"/>
      <c r="AZE83" s="1"/>
      <c r="AZF83" s="1"/>
      <c r="AZG83" s="1"/>
      <c r="AZH83" s="1"/>
      <c r="AZI83" s="1"/>
      <c r="AZJ83" s="1"/>
      <c r="AZK83" s="1"/>
      <c r="AZL83" s="1"/>
      <c r="AZM83" s="1"/>
      <c r="AZN83" s="1"/>
      <c r="AZO83" s="1"/>
      <c r="AZP83" s="1"/>
      <c r="AZQ83" s="1"/>
      <c r="AZR83" s="1"/>
      <c r="AZS83" s="1"/>
      <c r="AZT83" s="1"/>
      <c r="AZU83" s="1"/>
      <c r="AZV83" s="1"/>
      <c r="AZW83" s="1"/>
      <c r="AZX83" s="1"/>
      <c r="AZY83" s="1"/>
      <c r="AZZ83" s="1"/>
      <c r="BAA83" s="1"/>
      <c r="BAB83" s="1"/>
      <c r="BAC83" s="1"/>
      <c r="BAD83" s="1"/>
      <c r="BAE83" s="1"/>
      <c r="BAF83" s="1"/>
      <c r="BAG83" s="1"/>
      <c r="BAH83" s="1"/>
      <c r="BAI83" s="1"/>
      <c r="BAJ83" s="1"/>
      <c r="BAK83" s="1"/>
      <c r="BAL83" s="1"/>
      <c r="BAM83" s="1"/>
      <c r="BAN83" s="1"/>
      <c r="BAO83" s="1"/>
      <c r="BAP83" s="1"/>
      <c r="BAQ83" s="1"/>
      <c r="BAR83" s="1"/>
      <c r="BAS83" s="1"/>
      <c r="BAT83" s="1"/>
      <c r="BAU83" s="1"/>
      <c r="BAV83" s="1"/>
      <c r="BAW83" s="1"/>
      <c r="BAX83" s="1"/>
      <c r="BAY83" s="1"/>
      <c r="BAZ83" s="1"/>
      <c r="BBA83" s="1"/>
      <c r="BBB83" s="1"/>
      <c r="BBC83" s="1"/>
      <c r="BBD83" s="1"/>
      <c r="BBE83" s="1"/>
      <c r="BBF83" s="1"/>
      <c r="BBG83" s="1"/>
      <c r="BBH83" s="1"/>
      <c r="BBI83" s="1"/>
      <c r="BBJ83" s="1"/>
      <c r="BBK83" s="1"/>
      <c r="BBL83" s="1"/>
      <c r="BBM83" s="1"/>
      <c r="BBN83" s="1"/>
      <c r="BBO83" s="1"/>
      <c r="BBP83" s="1"/>
      <c r="BBQ83" s="1"/>
      <c r="BBR83" s="1"/>
      <c r="BBS83" s="1"/>
      <c r="BBT83" s="1"/>
      <c r="BBU83" s="1"/>
      <c r="BBV83" s="1"/>
      <c r="BBW83" s="1"/>
      <c r="BBX83" s="1"/>
      <c r="BBY83" s="1"/>
      <c r="BBZ83" s="1"/>
      <c r="BCA83" s="1"/>
      <c r="BCB83" s="1"/>
      <c r="BCC83" s="1"/>
      <c r="BCD83" s="1"/>
      <c r="BCE83" s="1"/>
      <c r="BCF83" s="1"/>
      <c r="BCG83" s="1"/>
      <c r="BCH83" s="1"/>
      <c r="BCI83" s="1"/>
      <c r="BCJ83" s="1"/>
      <c r="BCK83" s="1"/>
      <c r="BCL83" s="1"/>
      <c r="BCM83" s="1"/>
      <c r="BCN83" s="1"/>
      <c r="BCO83" s="1"/>
      <c r="BCP83" s="1"/>
      <c r="BCQ83" s="1"/>
      <c r="BCR83" s="1"/>
      <c r="BCS83" s="1"/>
      <c r="BCT83" s="1"/>
      <c r="BCU83" s="1"/>
      <c r="BCV83" s="1"/>
      <c r="BCW83" s="1"/>
      <c r="BCX83" s="1"/>
      <c r="BCY83" s="1"/>
      <c r="BCZ83" s="1"/>
      <c r="BDA83" s="1"/>
      <c r="BDB83" s="1"/>
      <c r="BDC83" s="1"/>
      <c r="BDD83" s="1"/>
      <c r="BDE83" s="1"/>
      <c r="BDF83" s="1"/>
      <c r="BDG83" s="1"/>
      <c r="BDH83" s="1"/>
      <c r="BDI83" s="1"/>
      <c r="BDJ83" s="1"/>
      <c r="BDK83" s="1"/>
      <c r="BDL83" s="1"/>
      <c r="BDM83" s="1"/>
      <c r="BDN83" s="1"/>
      <c r="BDO83" s="1"/>
      <c r="BDP83" s="1"/>
      <c r="BDQ83" s="1"/>
      <c r="BDR83" s="1"/>
      <c r="BDS83" s="1"/>
      <c r="BDT83" s="1"/>
      <c r="BDU83" s="1"/>
      <c r="BDV83" s="1"/>
      <c r="BDW83" s="1"/>
      <c r="BDX83" s="1"/>
      <c r="BDY83" s="1"/>
      <c r="BDZ83" s="1"/>
      <c r="BEA83" s="1"/>
      <c r="BEB83" s="1"/>
      <c r="BEC83" s="1"/>
      <c r="BED83" s="1"/>
      <c r="BEE83" s="1"/>
      <c r="BEF83" s="1"/>
      <c r="BEG83" s="1"/>
      <c r="BEH83" s="1"/>
      <c r="BEI83" s="1"/>
      <c r="BEJ83" s="1"/>
      <c r="BEK83" s="1"/>
      <c r="BEL83" s="1"/>
      <c r="BEM83" s="1"/>
      <c r="BEN83" s="1"/>
      <c r="BEO83" s="1"/>
      <c r="BEP83" s="1"/>
      <c r="BEQ83" s="1"/>
      <c r="BER83" s="1"/>
      <c r="BES83" s="1"/>
      <c r="BET83" s="1"/>
      <c r="BEU83" s="1"/>
      <c r="BEV83" s="1"/>
      <c r="BEW83" s="1"/>
      <c r="BEX83" s="1"/>
      <c r="BEY83" s="1"/>
      <c r="BEZ83" s="1"/>
      <c r="BFA83" s="1"/>
      <c r="BFB83" s="1"/>
      <c r="BFC83" s="1"/>
      <c r="BFD83" s="1"/>
      <c r="BFE83" s="1"/>
      <c r="BFF83" s="1"/>
      <c r="BFG83" s="1"/>
      <c r="BFH83" s="1"/>
      <c r="BFI83" s="1"/>
      <c r="BFJ83" s="1"/>
      <c r="BFK83" s="1"/>
      <c r="BFL83" s="1"/>
      <c r="BFM83" s="1"/>
      <c r="BFN83" s="1"/>
      <c r="BFO83" s="1"/>
      <c r="BFP83" s="1"/>
      <c r="BFQ83" s="1"/>
      <c r="BFR83" s="1"/>
      <c r="BFS83" s="1"/>
      <c r="BFT83" s="1"/>
      <c r="BFU83" s="1"/>
      <c r="BFV83" s="1"/>
      <c r="BFW83" s="1"/>
      <c r="BFX83" s="1"/>
      <c r="BFY83" s="1"/>
      <c r="BFZ83" s="1"/>
      <c r="BGA83" s="1"/>
      <c r="BGB83" s="1"/>
      <c r="BGC83" s="1"/>
      <c r="BGD83" s="1"/>
      <c r="BGE83" s="1"/>
      <c r="BGF83" s="1"/>
      <c r="BGG83" s="1"/>
      <c r="BGH83" s="1"/>
      <c r="BGI83" s="1"/>
      <c r="BGJ83" s="1"/>
      <c r="BGK83" s="1"/>
      <c r="BGL83" s="1"/>
      <c r="BGM83" s="1"/>
      <c r="BGN83" s="1"/>
      <c r="BGO83" s="1"/>
      <c r="BGP83" s="1"/>
      <c r="BGQ83" s="1"/>
      <c r="BGR83" s="1"/>
      <c r="BGS83" s="1"/>
      <c r="BGT83" s="1"/>
      <c r="BGU83" s="1"/>
      <c r="BGV83" s="1"/>
      <c r="BGW83" s="1"/>
      <c r="BGX83" s="1"/>
      <c r="BGY83" s="1"/>
      <c r="BGZ83" s="1"/>
      <c r="BHA83" s="1"/>
      <c r="BHB83" s="1"/>
      <c r="BHC83" s="1"/>
      <c r="BHD83" s="1"/>
      <c r="BHE83" s="1"/>
      <c r="BHF83" s="1"/>
      <c r="BHG83" s="1"/>
      <c r="BHH83" s="1"/>
      <c r="BHI83" s="1"/>
      <c r="BHJ83" s="1"/>
      <c r="BHK83" s="1"/>
      <c r="BHL83" s="1"/>
      <c r="BHM83" s="1"/>
      <c r="BHN83" s="1"/>
      <c r="BHO83" s="1"/>
      <c r="BHP83" s="1"/>
      <c r="BHQ83" s="1"/>
      <c r="BHR83" s="1"/>
      <c r="BHS83" s="1"/>
      <c r="BHT83" s="1"/>
      <c r="BHU83" s="1"/>
      <c r="BHV83" s="1"/>
      <c r="BHW83" s="1"/>
      <c r="BHX83" s="1"/>
      <c r="BHY83" s="1"/>
      <c r="BHZ83" s="1"/>
      <c r="BIA83" s="1"/>
      <c r="BIB83" s="1"/>
      <c r="BIC83" s="1"/>
      <c r="BID83" s="1"/>
      <c r="BIE83" s="1"/>
      <c r="BIF83" s="1"/>
      <c r="BIG83" s="1"/>
      <c r="BIH83" s="1"/>
      <c r="BII83" s="1"/>
      <c r="BIJ83" s="1"/>
      <c r="BIK83" s="1"/>
      <c r="BIL83" s="1"/>
      <c r="BIM83" s="1"/>
      <c r="BIN83" s="1"/>
      <c r="BIO83" s="1"/>
      <c r="BIP83" s="1"/>
      <c r="BIQ83" s="1"/>
      <c r="BIR83" s="1"/>
      <c r="BIS83" s="1"/>
      <c r="BIT83" s="1"/>
      <c r="BIU83" s="1"/>
      <c r="BIV83" s="1"/>
      <c r="BIW83" s="1"/>
      <c r="BIX83" s="1"/>
      <c r="BIY83" s="1"/>
      <c r="BIZ83" s="1"/>
      <c r="BJA83" s="1"/>
      <c r="BJB83" s="1"/>
      <c r="BJC83" s="1"/>
      <c r="BJD83" s="1"/>
      <c r="BJE83" s="1"/>
      <c r="BJF83" s="1"/>
      <c r="BJG83" s="1"/>
      <c r="BJH83" s="1"/>
      <c r="BJI83" s="1"/>
      <c r="BJJ83" s="1"/>
      <c r="BJK83" s="1"/>
      <c r="BJL83" s="1"/>
      <c r="BJM83" s="1"/>
      <c r="BJN83" s="1"/>
      <c r="BJO83" s="1"/>
      <c r="BJP83" s="1"/>
      <c r="BJQ83" s="1"/>
      <c r="BJR83" s="1"/>
      <c r="BJS83" s="1"/>
      <c r="BJT83" s="1"/>
      <c r="BJU83" s="1"/>
      <c r="BJV83" s="1"/>
      <c r="BJW83" s="1"/>
      <c r="BJX83" s="1"/>
      <c r="BJY83" s="1"/>
      <c r="BJZ83" s="1"/>
      <c r="BKA83" s="1"/>
      <c r="BKB83" s="1"/>
      <c r="BKC83" s="1"/>
      <c r="BKD83" s="1"/>
      <c r="BKE83" s="1"/>
      <c r="BKF83" s="1"/>
      <c r="BKG83" s="1"/>
      <c r="BKH83" s="1"/>
      <c r="BKI83" s="1"/>
      <c r="BKJ83" s="1"/>
      <c r="BKK83" s="1"/>
      <c r="BKL83" s="1"/>
      <c r="BKM83" s="1"/>
      <c r="BKN83" s="1"/>
      <c r="BKO83" s="1"/>
      <c r="BKP83" s="1"/>
      <c r="BKQ83" s="1"/>
      <c r="BKR83" s="1"/>
      <c r="BKS83" s="1"/>
      <c r="BKT83" s="1"/>
      <c r="BKU83" s="1"/>
      <c r="BKV83" s="1"/>
      <c r="BKW83" s="1"/>
      <c r="BKX83" s="1"/>
      <c r="BKY83" s="1"/>
      <c r="BKZ83" s="1"/>
      <c r="BLA83" s="1"/>
      <c r="BLB83" s="1"/>
      <c r="BLC83" s="1"/>
      <c r="BLD83" s="1"/>
      <c r="BLE83" s="1"/>
      <c r="BLF83" s="1"/>
      <c r="BLG83" s="1"/>
      <c r="BLH83" s="1"/>
      <c r="BLI83" s="1"/>
      <c r="BLJ83" s="1"/>
      <c r="BLK83" s="1"/>
      <c r="BLL83" s="1"/>
      <c r="BLM83" s="1"/>
      <c r="BLN83" s="1"/>
      <c r="BLO83" s="1"/>
      <c r="BLP83" s="1"/>
      <c r="BLQ83" s="1"/>
      <c r="BLR83" s="1"/>
      <c r="BLS83" s="1"/>
      <c r="BLT83" s="1"/>
      <c r="BLU83" s="1"/>
      <c r="BLV83" s="1"/>
      <c r="BLW83" s="1"/>
      <c r="BLX83" s="1"/>
      <c r="BLY83" s="1"/>
      <c r="BLZ83" s="1"/>
      <c r="BMA83" s="1"/>
      <c r="BMB83" s="1"/>
      <c r="BMC83" s="1"/>
      <c r="BMD83" s="1"/>
      <c r="BME83" s="1"/>
      <c r="BMF83" s="1"/>
      <c r="BMG83" s="1"/>
      <c r="BMH83" s="1"/>
      <c r="BMI83" s="1"/>
      <c r="BMJ83" s="1"/>
      <c r="BMK83" s="1"/>
      <c r="BML83" s="1"/>
      <c r="BMM83" s="1"/>
      <c r="BMN83" s="1"/>
      <c r="BMO83" s="1"/>
      <c r="BMP83" s="1"/>
      <c r="BMQ83" s="1"/>
      <c r="BMR83" s="1"/>
      <c r="BMS83" s="1"/>
      <c r="BMT83" s="1"/>
      <c r="BMU83" s="1"/>
      <c r="BMV83" s="1"/>
      <c r="BMW83" s="1"/>
      <c r="BMX83" s="1"/>
      <c r="BMY83" s="1"/>
      <c r="BMZ83" s="1"/>
      <c r="BNA83" s="1"/>
      <c r="BNB83" s="1"/>
      <c r="BNC83" s="1"/>
      <c r="BND83" s="1"/>
      <c r="BNE83" s="1"/>
      <c r="BNF83" s="1"/>
      <c r="BNG83" s="1"/>
      <c r="BNH83" s="1"/>
      <c r="BNI83" s="1"/>
      <c r="BNJ83" s="1"/>
      <c r="BNK83" s="1"/>
      <c r="BNL83" s="1"/>
      <c r="BNM83" s="1"/>
      <c r="BNN83" s="1"/>
      <c r="BNO83" s="1"/>
      <c r="BNP83" s="1"/>
      <c r="BNQ83" s="1"/>
      <c r="BNR83" s="1"/>
      <c r="BNS83" s="1"/>
      <c r="BNT83" s="1"/>
      <c r="BNU83" s="1"/>
      <c r="BNV83" s="1"/>
      <c r="BNW83" s="1"/>
      <c r="BNX83" s="1"/>
      <c r="BNY83" s="1"/>
      <c r="BNZ83" s="1"/>
      <c r="BOA83" s="1"/>
      <c r="BOB83" s="1"/>
      <c r="BOC83" s="1"/>
      <c r="BOD83" s="1"/>
      <c r="BOE83" s="1"/>
      <c r="BOF83" s="1"/>
      <c r="BOG83" s="1"/>
      <c r="BOH83" s="1"/>
      <c r="BOI83" s="1"/>
      <c r="BOJ83" s="1"/>
      <c r="BOK83" s="1"/>
      <c r="BOL83" s="1"/>
      <c r="BOM83" s="1"/>
      <c r="BON83" s="1"/>
      <c r="BOO83" s="1"/>
      <c r="BOP83" s="1"/>
      <c r="BOQ83" s="1"/>
      <c r="BOR83" s="1"/>
      <c r="BOS83" s="1"/>
      <c r="BOT83" s="1"/>
      <c r="BOU83" s="1"/>
      <c r="BOV83" s="1"/>
      <c r="BOW83" s="1"/>
      <c r="BOX83" s="1"/>
      <c r="BOY83" s="1"/>
      <c r="BOZ83" s="1"/>
      <c r="BPA83" s="1"/>
      <c r="BPB83" s="1"/>
      <c r="BPC83" s="1"/>
      <c r="BPD83" s="1"/>
      <c r="BPE83" s="1"/>
      <c r="BPF83" s="1"/>
      <c r="BPG83" s="1"/>
      <c r="BPH83" s="1"/>
      <c r="BPI83" s="1"/>
      <c r="BPJ83" s="1"/>
      <c r="BPK83" s="1"/>
      <c r="BPL83" s="1"/>
      <c r="BPM83" s="1"/>
      <c r="BPN83" s="1"/>
      <c r="BPO83" s="1"/>
      <c r="BPP83" s="1"/>
      <c r="BPQ83" s="1"/>
      <c r="BPR83" s="1"/>
      <c r="BPS83" s="1"/>
      <c r="BPT83" s="1"/>
      <c r="BPU83" s="1"/>
      <c r="BPV83" s="1"/>
      <c r="BPW83" s="1"/>
      <c r="BPX83" s="1"/>
      <c r="BPY83" s="1"/>
      <c r="BPZ83" s="1"/>
      <c r="BQA83" s="1"/>
      <c r="BQB83" s="1"/>
      <c r="BQC83" s="1"/>
      <c r="BQD83" s="1"/>
      <c r="BQE83" s="1"/>
      <c r="BQF83" s="1"/>
      <c r="BQG83" s="1"/>
      <c r="BQH83" s="1"/>
      <c r="BQI83" s="1"/>
      <c r="BQJ83" s="1"/>
      <c r="BQK83" s="1"/>
      <c r="BQL83" s="1"/>
      <c r="BQM83" s="1"/>
      <c r="BQN83" s="1"/>
      <c r="BQO83" s="1"/>
      <c r="BQP83" s="1"/>
      <c r="BQQ83" s="1"/>
      <c r="BQR83" s="1"/>
      <c r="BQS83" s="1"/>
      <c r="BQT83" s="1"/>
      <c r="BQU83" s="1"/>
      <c r="BQV83" s="1"/>
      <c r="BQW83" s="1"/>
      <c r="BQX83" s="1"/>
      <c r="BQY83" s="1"/>
      <c r="BQZ83" s="1"/>
      <c r="BRA83" s="1"/>
      <c r="BRB83" s="1"/>
      <c r="BRC83" s="1"/>
      <c r="BRD83" s="1"/>
      <c r="BRE83" s="1"/>
      <c r="BRF83" s="1"/>
      <c r="BRG83" s="1"/>
      <c r="BRH83" s="1"/>
      <c r="BRI83" s="1"/>
      <c r="BRJ83" s="1"/>
      <c r="BRK83" s="1"/>
      <c r="BRL83" s="1"/>
      <c r="BRM83" s="1"/>
      <c r="BRN83" s="1"/>
      <c r="BRO83" s="1"/>
      <c r="BRP83" s="1"/>
      <c r="BRQ83" s="1"/>
      <c r="BRR83" s="1"/>
      <c r="BRS83" s="1"/>
      <c r="BRT83" s="1"/>
      <c r="BRU83" s="1"/>
      <c r="BRV83" s="1"/>
      <c r="BRW83" s="1"/>
      <c r="BRX83" s="1"/>
      <c r="BRY83" s="1"/>
      <c r="BRZ83" s="1"/>
      <c r="BSA83" s="1"/>
      <c r="BSB83" s="1"/>
      <c r="BSC83" s="1"/>
      <c r="BSD83" s="1"/>
      <c r="BSE83" s="1"/>
      <c r="BSF83" s="1"/>
      <c r="BSG83" s="1"/>
      <c r="BSH83" s="1"/>
      <c r="BSI83" s="1"/>
      <c r="BSJ83" s="1"/>
      <c r="BSK83" s="1"/>
      <c r="BSL83" s="1"/>
      <c r="BSM83" s="1"/>
      <c r="BSN83" s="1"/>
      <c r="BSO83" s="1"/>
      <c r="BSP83" s="1"/>
      <c r="BSQ83" s="1"/>
      <c r="BSR83" s="1"/>
      <c r="BSS83" s="1"/>
      <c r="BST83" s="1"/>
      <c r="BSU83" s="1"/>
      <c r="BSV83" s="1"/>
      <c r="BSW83" s="1"/>
      <c r="BSX83" s="1"/>
      <c r="BSY83" s="1"/>
      <c r="BSZ83" s="1"/>
      <c r="BTA83" s="1"/>
      <c r="BTB83" s="1"/>
      <c r="BTC83" s="1"/>
      <c r="BTD83" s="1"/>
      <c r="BTE83" s="1"/>
      <c r="BTF83" s="1"/>
      <c r="BTG83" s="1"/>
      <c r="BTH83" s="1"/>
      <c r="BTI83" s="1"/>
      <c r="BTJ83" s="1"/>
      <c r="BTK83" s="1"/>
      <c r="BTL83" s="1"/>
      <c r="BTM83" s="1"/>
      <c r="BTN83" s="1"/>
      <c r="BTO83" s="1"/>
      <c r="BTP83" s="1"/>
      <c r="BTQ83" s="1"/>
      <c r="BTR83" s="1"/>
      <c r="BTS83" s="1"/>
      <c r="BTT83" s="1"/>
      <c r="BTU83" s="1"/>
      <c r="BTV83" s="1"/>
      <c r="BTW83" s="1"/>
      <c r="BTX83" s="1"/>
      <c r="BTY83" s="1"/>
      <c r="BTZ83" s="1"/>
      <c r="BUA83" s="1"/>
      <c r="BUB83" s="1"/>
      <c r="BUC83" s="1"/>
      <c r="BUD83" s="1"/>
      <c r="BUE83" s="1"/>
      <c r="BUF83" s="1"/>
      <c r="BUG83" s="1"/>
      <c r="BUH83" s="1"/>
      <c r="BUI83" s="1"/>
      <c r="BUJ83" s="1"/>
      <c r="BUK83" s="1"/>
      <c r="BUL83" s="1"/>
      <c r="BUM83" s="1"/>
      <c r="BUN83" s="1"/>
      <c r="BUO83" s="1"/>
      <c r="BUP83" s="1"/>
      <c r="BUQ83" s="1"/>
      <c r="BUR83" s="1"/>
      <c r="BUS83" s="1"/>
      <c r="BUT83" s="1"/>
      <c r="BUU83" s="1"/>
      <c r="BUV83" s="1"/>
      <c r="BUW83" s="1"/>
      <c r="BUX83" s="1"/>
      <c r="BUY83" s="1"/>
      <c r="BUZ83" s="1"/>
      <c r="BVA83" s="1"/>
      <c r="BVB83" s="1"/>
      <c r="BVC83" s="1"/>
      <c r="BVD83" s="1"/>
      <c r="BVE83" s="1"/>
      <c r="BVF83" s="1"/>
      <c r="BVG83" s="1"/>
      <c r="BVH83" s="1"/>
      <c r="BVI83" s="1"/>
      <c r="BVJ83" s="1"/>
      <c r="BVK83" s="1"/>
      <c r="BVL83" s="1"/>
      <c r="BVM83" s="1"/>
      <c r="BVN83" s="1"/>
      <c r="BVO83" s="1"/>
      <c r="BVP83" s="1"/>
      <c r="BVQ83" s="1"/>
      <c r="BVR83" s="1"/>
      <c r="BVS83" s="1"/>
      <c r="BVT83" s="1"/>
      <c r="BVU83" s="1"/>
      <c r="BVV83" s="1"/>
      <c r="BVW83" s="1"/>
      <c r="BVX83" s="1"/>
      <c r="BVY83" s="1"/>
      <c r="BVZ83" s="1"/>
      <c r="BWA83" s="1"/>
      <c r="BWB83" s="1"/>
      <c r="BWC83" s="1"/>
      <c r="BWD83" s="1"/>
      <c r="BWE83" s="1"/>
      <c r="BWF83" s="1"/>
      <c r="BWG83" s="1"/>
      <c r="BWH83" s="1"/>
      <c r="BWI83" s="1"/>
      <c r="BWJ83" s="1"/>
      <c r="BWK83" s="1"/>
      <c r="BWL83" s="1"/>
      <c r="BWM83" s="1"/>
      <c r="BWN83" s="1"/>
      <c r="BWO83" s="1"/>
      <c r="BWP83" s="1"/>
      <c r="BWQ83" s="1"/>
      <c r="BWR83" s="1"/>
      <c r="BWS83" s="1"/>
      <c r="BWT83" s="1"/>
      <c r="BWU83" s="1"/>
      <c r="BWV83" s="1"/>
      <c r="BWW83" s="1"/>
      <c r="BWX83" s="1"/>
      <c r="BWY83" s="1"/>
      <c r="BWZ83" s="1"/>
      <c r="BXA83" s="1"/>
      <c r="BXB83" s="1"/>
      <c r="BXC83" s="1"/>
      <c r="BXD83" s="1"/>
      <c r="BXE83" s="1"/>
      <c r="BXF83" s="1"/>
      <c r="BXG83" s="1"/>
      <c r="BXH83" s="1"/>
      <c r="BXI83" s="1"/>
      <c r="BXJ83" s="1"/>
      <c r="BXK83" s="1"/>
      <c r="BXL83" s="1"/>
      <c r="BXM83" s="1"/>
      <c r="BXN83" s="1"/>
      <c r="BXO83" s="1"/>
      <c r="BXP83" s="1"/>
      <c r="BXQ83" s="1"/>
      <c r="BXR83" s="1"/>
      <c r="BXS83" s="1"/>
      <c r="BXT83" s="1"/>
      <c r="BXU83" s="1"/>
      <c r="BXV83" s="1"/>
      <c r="BXW83" s="1"/>
      <c r="BXX83" s="1"/>
      <c r="BXY83" s="1"/>
      <c r="BXZ83" s="1"/>
      <c r="BYA83" s="1"/>
      <c r="BYB83" s="1"/>
      <c r="BYC83" s="1"/>
      <c r="BYD83" s="1"/>
      <c r="BYE83" s="1"/>
      <c r="BYF83" s="1"/>
      <c r="BYG83" s="1"/>
      <c r="BYH83" s="1"/>
      <c r="BYI83" s="1"/>
      <c r="BYJ83" s="1"/>
      <c r="BYK83" s="1"/>
      <c r="BYL83" s="1"/>
      <c r="BYM83" s="1"/>
      <c r="BYN83" s="1"/>
      <c r="BYO83" s="1"/>
      <c r="BYP83" s="1"/>
      <c r="BYQ83" s="1"/>
      <c r="BYR83" s="1"/>
      <c r="BYS83" s="1"/>
      <c r="BYT83" s="1"/>
      <c r="BYU83" s="1"/>
      <c r="BYV83" s="1"/>
      <c r="BYW83" s="1"/>
      <c r="BYX83" s="1"/>
      <c r="BYY83" s="1"/>
      <c r="BYZ83" s="1"/>
      <c r="BZA83" s="1"/>
      <c r="BZB83" s="1"/>
      <c r="BZC83" s="1"/>
      <c r="BZD83" s="1"/>
      <c r="BZE83" s="1"/>
      <c r="BZF83" s="1"/>
      <c r="BZG83" s="1"/>
      <c r="BZH83" s="1"/>
      <c r="BZI83" s="1"/>
      <c r="BZJ83" s="1"/>
      <c r="BZK83" s="1"/>
      <c r="BZL83" s="1"/>
      <c r="BZM83" s="1"/>
      <c r="BZN83" s="1"/>
      <c r="BZO83" s="1"/>
      <c r="BZP83" s="1"/>
      <c r="BZQ83" s="1"/>
      <c r="BZR83" s="1"/>
      <c r="BZS83" s="1"/>
      <c r="BZT83" s="1"/>
      <c r="BZU83" s="1"/>
      <c r="BZV83" s="1"/>
      <c r="BZW83" s="1"/>
      <c r="BZX83" s="1"/>
      <c r="BZY83" s="1"/>
      <c r="BZZ83" s="1"/>
      <c r="CAA83" s="1"/>
      <c r="CAB83" s="1"/>
      <c r="CAC83" s="1"/>
      <c r="CAD83" s="1"/>
      <c r="CAE83" s="1"/>
      <c r="CAF83" s="1"/>
      <c r="CAG83" s="1"/>
      <c r="CAH83" s="1"/>
      <c r="CAI83" s="1"/>
      <c r="CAJ83" s="1"/>
      <c r="CAK83" s="1"/>
      <c r="CAL83" s="1"/>
      <c r="CAM83" s="1"/>
      <c r="CAN83" s="1"/>
      <c r="CAO83" s="1"/>
      <c r="CAP83" s="1"/>
      <c r="CAQ83" s="1"/>
      <c r="CAR83" s="1"/>
      <c r="CAS83" s="1"/>
      <c r="CAT83" s="1"/>
      <c r="CAU83" s="1"/>
      <c r="CAV83" s="1"/>
      <c r="CAW83" s="1"/>
      <c r="CAX83" s="1"/>
      <c r="CAY83" s="1"/>
      <c r="CAZ83" s="1"/>
      <c r="CBA83" s="1"/>
      <c r="CBB83" s="1"/>
      <c r="CBC83" s="1"/>
      <c r="CBD83" s="1"/>
      <c r="CBE83" s="1"/>
      <c r="CBF83" s="1"/>
      <c r="CBG83" s="1"/>
      <c r="CBH83" s="1"/>
      <c r="CBI83" s="1"/>
      <c r="CBJ83" s="1"/>
      <c r="CBK83" s="1"/>
      <c r="CBL83" s="1"/>
      <c r="CBM83" s="1"/>
      <c r="CBN83" s="1"/>
      <c r="CBO83" s="1"/>
      <c r="CBP83" s="1"/>
      <c r="CBQ83" s="1"/>
      <c r="CBR83" s="1"/>
      <c r="CBS83" s="1"/>
      <c r="CBT83" s="1"/>
      <c r="CBU83" s="1"/>
      <c r="CBV83" s="1"/>
      <c r="CBW83" s="1"/>
      <c r="CBX83" s="1"/>
      <c r="CBY83" s="1"/>
      <c r="CBZ83" s="1"/>
      <c r="CCA83" s="1"/>
      <c r="CCB83" s="1"/>
      <c r="CCC83" s="1"/>
      <c r="CCD83" s="1"/>
      <c r="CCE83" s="1"/>
      <c r="CCF83" s="1"/>
      <c r="CCG83" s="1"/>
      <c r="CCH83" s="1"/>
      <c r="CCI83" s="1"/>
      <c r="CCJ83" s="1"/>
      <c r="CCK83" s="1"/>
      <c r="CCL83" s="1"/>
      <c r="CCM83" s="1"/>
      <c r="CCN83" s="1"/>
      <c r="CCO83" s="1"/>
      <c r="CCP83" s="1"/>
      <c r="CCQ83" s="1"/>
      <c r="CCR83" s="1"/>
      <c r="CCS83" s="1"/>
      <c r="CCT83" s="1"/>
      <c r="CCU83" s="1"/>
      <c r="CCV83" s="1"/>
      <c r="CCW83" s="1"/>
      <c r="CCX83" s="1"/>
      <c r="CCY83" s="1"/>
      <c r="CCZ83" s="1"/>
      <c r="CDA83" s="1"/>
      <c r="CDB83" s="1"/>
      <c r="CDC83" s="1"/>
      <c r="CDD83" s="1"/>
      <c r="CDE83" s="1"/>
      <c r="CDF83" s="1"/>
      <c r="CDG83" s="1"/>
      <c r="CDH83" s="1"/>
      <c r="CDI83" s="1"/>
      <c r="CDJ83" s="1"/>
      <c r="CDK83" s="1"/>
      <c r="CDL83" s="1"/>
      <c r="CDM83" s="1"/>
      <c r="CDN83" s="1"/>
      <c r="CDO83" s="1"/>
      <c r="CDP83" s="1"/>
      <c r="CDQ83" s="1"/>
      <c r="CDR83" s="1"/>
      <c r="CDS83" s="1"/>
      <c r="CDT83" s="1"/>
      <c r="CDU83" s="1"/>
      <c r="CDV83" s="1"/>
      <c r="CDW83" s="1"/>
      <c r="CDX83" s="1"/>
      <c r="CDY83" s="1"/>
      <c r="CDZ83" s="1"/>
      <c r="CEA83" s="1"/>
      <c r="CEB83" s="1"/>
      <c r="CEC83" s="1"/>
      <c r="CED83" s="1"/>
      <c r="CEE83" s="1"/>
      <c r="CEF83" s="1"/>
      <c r="CEG83" s="1"/>
      <c r="CEH83" s="1"/>
      <c r="CEI83" s="1"/>
      <c r="CEJ83" s="1"/>
      <c r="CEK83" s="1"/>
      <c r="CEL83" s="1"/>
      <c r="CEM83" s="1"/>
      <c r="CEN83" s="1"/>
      <c r="CEO83" s="1"/>
      <c r="CEP83" s="1"/>
      <c r="CEQ83" s="1"/>
      <c r="CER83" s="1"/>
      <c r="CES83" s="1"/>
      <c r="CET83" s="1"/>
      <c r="CEU83" s="1"/>
      <c r="CEV83" s="1"/>
      <c r="CEW83" s="1"/>
      <c r="CEX83" s="1"/>
      <c r="CEY83" s="1"/>
      <c r="CEZ83" s="1"/>
      <c r="CFA83" s="1"/>
      <c r="CFB83" s="1"/>
      <c r="CFC83" s="1"/>
      <c r="CFD83" s="1"/>
      <c r="CFE83" s="1"/>
      <c r="CFF83" s="1"/>
      <c r="CFG83" s="1"/>
      <c r="CFH83" s="1"/>
      <c r="CFI83" s="1"/>
      <c r="CFJ83" s="1"/>
      <c r="CFK83" s="1"/>
      <c r="CFL83" s="1"/>
      <c r="CFM83" s="1"/>
      <c r="CFN83" s="1"/>
      <c r="CFO83" s="1"/>
      <c r="CFP83" s="1"/>
      <c r="CFQ83" s="1"/>
      <c r="CFR83" s="1"/>
      <c r="CFS83" s="1"/>
      <c r="CFT83" s="1"/>
      <c r="CFU83" s="1"/>
      <c r="CFV83" s="1"/>
      <c r="CFW83" s="1"/>
      <c r="CFX83" s="1"/>
      <c r="CFY83" s="1"/>
      <c r="CFZ83" s="1"/>
      <c r="CGA83" s="1"/>
      <c r="CGB83" s="1"/>
      <c r="CGC83" s="1"/>
      <c r="CGD83" s="1"/>
      <c r="CGE83" s="1"/>
      <c r="CGF83" s="1"/>
      <c r="CGG83" s="1"/>
      <c r="CGH83" s="1"/>
      <c r="CGI83" s="1"/>
      <c r="CGJ83" s="1"/>
      <c r="CGK83" s="1"/>
      <c r="CGL83" s="1"/>
      <c r="CGM83" s="1"/>
      <c r="CGN83" s="1"/>
      <c r="CGO83" s="1"/>
      <c r="CGP83" s="1"/>
      <c r="CGQ83" s="1"/>
      <c r="CGR83" s="1"/>
      <c r="CGS83" s="1"/>
      <c r="CGT83" s="1"/>
      <c r="CGU83" s="1"/>
      <c r="CGV83" s="1"/>
      <c r="CGW83" s="1"/>
      <c r="CGX83" s="1"/>
      <c r="CGY83" s="1"/>
      <c r="CGZ83" s="1"/>
      <c r="CHA83" s="1"/>
      <c r="CHB83" s="1"/>
      <c r="CHC83" s="1"/>
      <c r="CHD83" s="1"/>
      <c r="CHE83" s="1"/>
      <c r="CHF83" s="1"/>
      <c r="CHG83" s="1"/>
      <c r="CHH83" s="1"/>
      <c r="CHI83" s="1"/>
      <c r="CHJ83" s="1"/>
      <c r="CHK83" s="1"/>
      <c r="CHL83" s="1"/>
      <c r="CHM83" s="1"/>
      <c r="CHN83" s="1"/>
      <c r="CHO83" s="1"/>
      <c r="CHP83" s="1"/>
      <c r="CHQ83" s="1"/>
      <c r="CHR83" s="1"/>
      <c r="CHS83" s="1"/>
      <c r="CHT83" s="1"/>
      <c r="CHU83" s="1"/>
      <c r="CHV83" s="1"/>
      <c r="CHW83" s="1"/>
      <c r="CHX83" s="1"/>
      <c r="CHY83" s="1"/>
      <c r="CHZ83" s="1"/>
      <c r="CIA83" s="1"/>
      <c r="CIB83" s="1"/>
      <c r="CIC83" s="1"/>
      <c r="CID83" s="1"/>
      <c r="CIE83" s="1"/>
      <c r="CIF83" s="1"/>
      <c r="CIG83" s="1"/>
      <c r="CIH83" s="1"/>
      <c r="CII83" s="1"/>
      <c r="CIJ83" s="1"/>
      <c r="CIK83" s="1"/>
      <c r="CIL83" s="1"/>
      <c r="CIM83" s="1"/>
      <c r="CIN83" s="1"/>
      <c r="CIO83" s="1"/>
      <c r="CIP83" s="1"/>
      <c r="CIQ83" s="1"/>
      <c r="CIR83" s="1"/>
      <c r="CIS83" s="1"/>
      <c r="CIT83" s="1"/>
      <c r="CIU83" s="1"/>
      <c r="CIV83" s="1"/>
      <c r="CIW83" s="1"/>
      <c r="CIX83" s="1"/>
      <c r="CIY83" s="1"/>
      <c r="CIZ83" s="1"/>
      <c r="CJA83" s="1"/>
      <c r="CJB83" s="1"/>
      <c r="CJC83" s="1"/>
      <c r="CJD83" s="1"/>
      <c r="CJE83" s="1"/>
      <c r="CJF83" s="1"/>
      <c r="CJG83" s="1"/>
      <c r="CJH83" s="1"/>
      <c r="CJI83" s="1"/>
      <c r="CJJ83" s="1"/>
      <c r="CJK83" s="1"/>
      <c r="CJL83" s="1"/>
      <c r="CJM83" s="1"/>
      <c r="CJN83" s="1"/>
      <c r="CJO83" s="1"/>
      <c r="CJP83" s="1"/>
      <c r="CJQ83" s="1"/>
      <c r="CJR83" s="1"/>
      <c r="CJS83" s="1"/>
      <c r="CJT83" s="1"/>
      <c r="CJU83" s="1"/>
      <c r="CJV83" s="1"/>
      <c r="CJW83" s="1"/>
      <c r="CJX83" s="1"/>
      <c r="CJY83" s="1"/>
      <c r="CJZ83" s="1"/>
      <c r="CKA83" s="1"/>
      <c r="CKB83" s="1"/>
      <c r="CKC83" s="1"/>
      <c r="CKD83" s="1"/>
      <c r="CKE83" s="1"/>
      <c r="CKF83" s="1"/>
      <c r="CKG83" s="1"/>
      <c r="CKH83" s="1"/>
      <c r="CKI83" s="1"/>
      <c r="CKJ83" s="1"/>
      <c r="CKK83" s="1"/>
      <c r="CKL83" s="1"/>
      <c r="CKM83" s="1"/>
      <c r="CKN83" s="1"/>
      <c r="CKO83" s="1"/>
      <c r="CKP83" s="1"/>
      <c r="CKQ83" s="1"/>
      <c r="CKR83" s="1"/>
      <c r="CKS83" s="1"/>
      <c r="CKT83" s="1"/>
      <c r="CKU83" s="1"/>
      <c r="CKV83" s="1"/>
      <c r="CKW83" s="1"/>
      <c r="CKX83" s="1"/>
      <c r="CKY83" s="1"/>
      <c r="CKZ83" s="1"/>
      <c r="CLA83" s="1"/>
      <c r="CLB83" s="1"/>
      <c r="CLC83" s="1"/>
      <c r="CLD83" s="1"/>
      <c r="CLE83" s="1"/>
      <c r="CLF83" s="1"/>
      <c r="CLG83" s="1"/>
      <c r="CLH83" s="1"/>
      <c r="CLI83" s="1"/>
      <c r="CLJ83" s="1"/>
      <c r="CLK83" s="1"/>
      <c r="CLL83" s="1"/>
      <c r="CLM83" s="1"/>
      <c r="CLN83" s="1"/>
      <c r="CLO83" s="1"/>
      <c r="CLP83" s="1"/>
      <c r="CLQ83" s="1"/>
      <c r="CLR83" s="1"/>
      <c r="CLS83" s="1"/>
      <c r="CLT83" s="1"/>
      <c r="CLU83" s="1"/>
      <c r="CLV83" s="1"/>
      <c r="CLW83" s="1"/>
      <c r="CLX83" s="1"/>
      <c r="CLY83" s="1"/>
      <c r="CLZ83" s="1"/>
      <c r="CMA83" s="1"/>
      <c r="CMB83" s="1"/>
      <c r="CMC83" s="1"/>
      <c r="CMD83" s="1"/>
      <c r="CME83" s="1"/>
      <c r="CMF83" s="1"/>
      <c r="CMG83" s="1"/>
      <c r="CMH83" s="1"/>
      <c r="CMI83" s="1"/>
      <c r="CMJ83" s="1"/>
      <c r="CMK83" s="1"/>
      <c r="CML83" s="1"/>
      <c r="CMM83" s="1"/>
      <c r="CMN83" s="1"/>
      <c r="CMO83" s="1"/>
      <c r="CMP83" s="1"/>
      <c r="CMQ83" s="1"/>
      <c r="CMR83" s="1"/>
      <c r="CMS83" s="1"/>
      <c r="CMT83" s="1"/>
      <c r="CMU83" s="1"/>
      <c r="CMV83" s="1"/>
      <c r="CMW83" s="1"/>
      <c r="CMX83" s="1"/>
      <c r="CMY83" s="1"/>
      <c r="CMZ83" s="1"/>
      <c r="CNA83" s="1"/>
      <c r="CNB83" s="1"/>
      <c r="CNC83" s="1"/>
      <c r="CND83" s="1"/>
      <c r="CNE83" s="1"/>
      <c r="CNF83" s="1"/>
      <c r="CNG83" s="1"/>
      <c r="CNH83" s="1"/>
      <c r="CNI83" s="1"/>
      <c r="CNJ83" s="1"/>
      <c r="CNK83" s="1"/>
      <c r="CNL83" s="1"/>
      <c r="CNM83" s="1"/>
      <c r="CNN83" s="1"/>
      <c r="CNO83" s="1"/>
      <c r="CNP83" s="1"/>
      <c r="CNQ83" s="1"/>
      <c r="CNR83" s="1"/>
      <c r="CNS83" s="1"/>
      <c r="CNT83" s="1"/>
      <c r="CNU83" s="1"/>
      <c r="CNV83" s="1"/>
      <c r="CNW83" s="1"/>
      <c r="CNX83" s="1"/>
      <c r="CNY83" s="1"/>
      <c r="CNZ83" s="1"/>
      <c r="COA83" s="1"/>
      <c r="COB83" s="1"/>
      <c r="COC83" s="1"/>
      <c r="COD83" s="1"/>
      <c r="COE83" s="1"/>
      <c r="COF83" s="1"/>
      <c r="COG83" s="1"/>
      <c r="COH83" s="1"/>
      <c r="COI83" s="1"/>
      <c r="COJ83" s="1"/>
      <c r="COK83" s="1"/>
      <c r="COL83" s="1"/>
      <c r="COM83" s="1"/>
      <c r="CON83" s="1"/>
      <c r="COO83" s="1"/>
      <c r="COP83" s="1"/>
      <c r="COQ83" s="1"/>
      <c r="COR83" s="1"/>
      <c r="COS83" s="1"/>
      <c r="COT83" s="1"/>
      <c r="COU83" s="1"/>
      <c r="COV83" s="1"/>
      <c r="COW83" s="1"/>
      <c r="COX83" s="1"/>
      <c r="COY83" s="1"/>
      <c r="COZ83" s="1"/>
      <c r="CPA83" s="1"/>
      <c r="CPB83" s="1"/>
      <c r="CPC83" s="1"/>
      <c r="CPD83" s="1"/>
      <c r="CPE83" s="1"/>
      <c r="CPF83" s="1"/>
      <c r="CPG83" s="1"/>
      <c r="CPH83" s="1"/>
      <c r="CPI83" s="1"/>
      <c r="CPJ83" s="1"/>
      <c r="CPK83" s="1"/>
      <c r="CPL83" s="1"/>
      <c r="CPM83" s="1"/>
      <c r="CPN83" s="1"/>
      <c r="CPO83" s="1"/>
      <c r="CPP83" s="1"/>
      <c r="CPQ83" s="1"/>
      <c r="CPR83" s="1"/>
      <c r="CPS83" s="1"/>
      <c r="CPT83" s="1"/>
      <c r="CPU83" s="1"/>
      <c r="CPV83" s="1"/>
      <c r="CPW83" s="1"/>
      <c r="CPX83" s="1"/>
      <c r="CPY83" s="1"/>
      <c r="CPZ83" s="1"/>
      <c r="CQA83" s="1"/>
      <c r="CQB83" s="1"/>
      <c r="CQC83" s="1"/>
      <c r="CQD83" s="1"/>
      <c r="CQE83" s="1"/>
      <c r="CQF83" s="1"/>
      <c r="CQG83" s="1"/>
      <c r="CQH83" s="1"/>
      <c r="CQI83" s="1"/>
      <c r="CQJ83" s="1"/>
      <c r="CQK83" s="1"/>
      <c r="CQL83" s="1"/>
      <c r="CQM83" s="1"/>
      <c r="CQN83" s="1"/>
      <c r="CQO83" s="1"/>
      <c r="CQP83" s="1"/>
      <c r="CQQ83" s="1"/>
      <c r="CQR83" s="1"/>
      <c r="CQS83" s="1"/>
      <c r="CQT83" s="1"/>
      <c r="CQU83" s="1"/>
      <c r="CQV83" s="1"/>
      <c r="CQW83" s="1"/>
      <c r="CQX83" s="1"/>
      <c r="CQY83" s="1"/>
      <c r="CQZ83" s="1"/>
      <c r="CRA83" s="1"/>
      <c r="CRB83" s="1"/>
      <c r="CRC83" s="1"/>
      <c r="CRD83" s="1"/>
      <c r="CRE83" s="1"/>
      <c r="CRF83" s="1"/>
      <c r="CRG83" s="1"/>
      <c r="CRH83" s="1"/>
      <c r="CRI83" s="1"/>
      <c r="CRJ83" s="1"/>
      <c r="CRK83" s="1"/>
      <c r="CRL83" s="1"/>
      <c r="CRM83" s="1"/>
      <c r="CRN83" s="1"/>
      <c r="CRO83" s="1"/>
      <c r="CRP83" s="1"/>
      <c r="CRQ83" s="1"/>
      <c r="CRR83" s="1"/>
      <c r="CRS83" s="1"/>
      <c r="CRT83" s="1"/>
      <c r="CRU83" s="1"/>
      <c r="CRV83" s="1"/>
      <c r="CRW83" s="1"/>
      <c r="CRX83" s="1"/>
      <c r="CRY83" s="1"/>
      <c r="CRZ83" s="1"/>
      <c r="CSA83" s="1"/>
      <c r="CSB83" s="1"/>
      <c r="CSC83" s="1"/>
      <c r="CSD83" s="1"/>
      <c r="CSE83" s="1"/>
      <c r="CSF83" s="1"/>
      <c r="CSG83" s="1"/>
      <c r="CSH83" s="1"/>
      <c r="CSI83" s="1"/>
      <c r="CSJ83" s="1"/>
      <c r="CSK83" s="1"/>
      <c r="CSL83" s="1"/>
      <c r="CSM83" s="1"/>
      <c r="CSN83" s="1"/>
      <c r="CSO83" s="1"/>
      <c r="CSP83" s="1"/>
      <c r="CSQ83" s="1"/>
      <c r="CSR83" s="1"/>
      <c r="CSS83" s="1"/>
      <c r="CST83" s="1"/>
      <c r="CSU83" s="1"/>
      <c r="CSV83" s="1"/>
      <c r="CSW83" s="1"/>
      <c r="CSX83" s="1"/>
      <c r="CSY83" s="1"/>
      <c r="CSZ83" s="1"/>
      <c r="CTA83" s="1"/>
      <c r="CTB83" s="1"/>
      <c r="CTC83" s="1"/>
      <c r="CTD83" s="1"/>
      <c r="CTE83" s="1"/>
      <c r="CTF83" s="1"/>
      <c r="CTG83" s="1"/>
      <c r="CTH83" s="1"/>
      <c r="CTI83" s="1"/>
      <c r="CTJ83" s="1"/>
      <c r="CTK83" s="1"/>
      <c r="CTL83" s="1"/>
      <c r="CTM83" s="1"/>
      <c r="CTN83" s="1"/>
      <c r="CTO83" s="1"/>
      <c r="CTP83" s="1"/>
      <c r="CTQ83" s="1"/>
      <c r="CTR83" s="1"/>
      <c r="CTS83" s="1"/>
      <c r="CTT83" s="1"/>
      <c r="CTU83" s="1"/>
      <c r="CTV83" s="1"/>
      <c r="CTW83" s="1"/>
      <c r="CTX83" s="1"/>
      <c r="CTY83" s="1"/>
      <c r="CTZ83" s="1"/>
      <c r="CUA83" s="1"/>
      <c r="CUB83" s="1"/>
      <c r="CUC83" s="1"/>
      <c r="CUD83" s="1"/>
      <c r="CUE83" s="1"/>
      <c r="CUF83" s="1"/>
      <c r="CUG83" s="1"/>
      <c r="CUH83" s="1"/>
      <c r="CUI83" s="1"/>
      <c r="CUJ83" s="1"/>
      <c r="CUK83" s="1"/>
      <c r="CUL83" s="1"/>
      <c r="CUM83" s="1"/>
      <c r="CUN83" s="1"/>
      <c r="CUO83" s="1"/>
      <c r="CUP83" s="1"/>
      <c r="CUQ83" s="1"/>
      <c r="CUR83" s="1"/>
      <c r="CUS83" s="1"/>
      <c r="CUT83" s="1"/>
      <c r="CUU83" s="1"/>
      <c r="CUV83" s="1"/>
      <c r="CUW83" s="1"/>
      <c r="CUX83" s="1"/>
      <c r="CUY83" s="1"/>
      <c r="CUZ83" s="1"/>
      <c r="CVA83" s="1"/>
      <c r="CVB83" s="1"/>
      <c r="CVC83" s="1"/>
      <c r="CVD83" s="1"/>
      <c r="CVE83" s="1"/>
      <c r="CVF83" s="1"/>
      <c r="CVG83" s="1"/>
      <c r="CVH83" s="1"/>
      <c r="CVI83" s="1"/>
      <c r="CVJ83" s="1"/>
      <c r="CVK83" s="1"/>
      <c r="CVL83" s="1"/>
      <c r="CVM83" s="1"/>
      <c r="CVN83" s="1"/>
      <c r="CVO83" s="1"/>
      <c r="CVP83" s="1"/>
      <c r="CVQ83" s="1"/>
      <c r="CVR83" s="1"/>
      <c r="CVS83" s="1"/>
      <c r="CVT83" s="1"/>
      <c r="CVU83" s="1"/>
      <c r="CVV83" s="1"/>
      <c r="CVW83" s="1"/>
      <c r="CVX83" s="1"/>
      <c r="CVY83" s="1"/>
      <c r="CVZ83" s="1"/>
      <c r="CWA83" s="1"/>
      <c r="CWB83" s="1"/>
      <c r="CWC83" s="1"/>
      <c r="CWD83" s="1"/>
      <c r="CWE83" s="1"/>
      <c r="CWF83" s="1"/>
      <c r="CWG83" s="1"/>
      <c r="CWH83" s="1"/>
      <c r="CWI83" s="1"/>
      <c r="CWJ83" s="1"/>
      <c r="CWK83" s="1"/>
      <c r="CWL83" s="1"/>
      <c r="CWM83" s="1"/>
      <c r="CWN83" s="1"/>
      <c r="CWO83" s="1"/>
      <c r="CWP83" s="1"/>
      <c r="CWQ83" s="1"/>
      <c r="CWR83" s="1"/>
      <c r="CWS83" s="1"/>
      <c r="CWT83" s="1"/>
      <c r="CWU83" s="1"/>
      <c r="CWV83" s="1"/>
      <c r="CWW83" s="1"/>
      <c r="CWX83" s="1"/>
      <c r="CWY83" s="1"/>
      <c r="CWZ83" s="1"/>
      <c r="CXA83" s="1"/>
      <c r="CXB83" s="1"/>
      <c r="CXC83" s="1"/>
      <c r="CXD83" s="1"/>
      <c r="CXE83" s="1"/>
      <c r="CXF83" s="1"/>
      <c r="CXG83" s="1"/>
      <c r="CXH83" s="1"/>
      <c r="CXI83" s="1"/>
      <c r="CXJ83" s="1"/>
      <c r="CXK83" s="1"/>
      <c r="CXL83" s="1"/>
      <c r="CXM83" s="1"/>
      <c r="CXN83" s="1"/>
      <c r="CXO83" s="1"/>
      <c r="CXP83" s="1"/>
      <c r="CXQ83" s="1"/>
      <c r="CXR83" s="1"/>
      <c r="CXS83" s="1"/>
      <c r="CXT83" s="1"/>
      <c r="CXU83" s="1"/>
      <c r="CXV83" s="1"/>
      <c r="CXW83" s="1"/>
      <c r="CXX83" s="1"/>
      <c r="CXY83" s="1"/>
      <c r="CXZ83" s="1"/>
      <c r="CYA83" s="1"/>
      <c r="CYB83" s="1"/>
      <c r="CYC83" s="1"/>
      <c r="CYD83" s="1"/>
      <c r="CYE83" s="1"/>
      <c r="CYF83" s="1"/>
      <c r="CYG83" s="1"/>
      <c r="CYH83" s="1"/>
      <c r="CYI83" s="1"/>
      <c r="CYJ83" s="1"/>
      <c r="CYK83" s="1"/>
      <c r="CYL83" s="1"/>
      <c r="CYM83" s="1"/>
      <c r="CYN83" s="1"/>
      <c r="CYO83" s="1"/>
      <c r="CYP83" s="1"/>
      <c r="CYQ83" s="1"/>
      <c r="CYR83" s="1"/>
      <c r="CYS83" s="1"/>
      <c r="CYT83" s="1"/>
      <c r="CYU83" s="1"/>
      <c r="CYV83" s="1"/>
      <c r="CYW83" s="1"/>
      <c r="CYX83" s="1"/>
      <c r="CYY83" s="1"/>
      <c r="CYZ83" s="1"/>
      <c r="CZA83" s="1"/>
      <c r="CZB83" s="1"/>
      <c r="CZC83" s="1"/>
      <c r="CZD83" s="1"/>
      <c r="CZE83" s="1"/>
      <c r="CZF83" s="1"/>
      <c r="CZG83" s="1"/>
      <c r="CZH83" s="1"/>
      <c r="CZI83" s="1"/>
      <c r="CZJ83" s="1"/>
      <c r="CZK83" s="1"/>
      <c r="CZL83" s="1"/>
      <c r="CZM83" s="1"/>
      <c r="CZN83" s="1"/>
      <c r="CZO83" s="1"/>
      <c r="CZP83" s="1"/>
      <c r="CZQ83" s="1"/>
      <c r="CZR83" s="1"/>
      <c r="CZS83" s="1"/>
      <c r="CZT83" s="1"/>
      <c r="CZU83" s="1"/>
      <c r="CZV83" s="1"/>
      <c r="CZW83" s="1"/>
      <c r="CZX83" s="1"/>
      <c r="CZY83" s="1"/>
      <c r="CZZ83" s="1"/>
      <c r="DAA83" s="1"/>
      <c r="DAB83" s="1"/>
      <c r="DAC83" s="1"/>
      <c r="DAD83" s="1"/>
      <c r="DAE83" s="1"/>
      <c r="DAF83" s="1"/>
      <c r="DAG83" s="1"/>
      <c r="DAH83" s="1"/>
      <c r="DAI83" s="1"/>
      <c r="DAJ83" s="1"/>
      <c r="DAK83" s="1"/>
      <c r="DAL83" s="1"/>
      <c r="DAM83" s="1"/>
      <c r="DAN83" s="1"/>
      <c r="DAO83" s="1"/>
      <c r="DAP83" s="1"/>
      <c r="DAQ83" s="1"/>
      <c r="DAR83" s="1"/>
      <c r="DAS83" s="1"/>
      <c r="DAT83" s="1"/>
      <c r="DAU83" s="1"/>
      <c r="DAV83" s="1"/>
      <c r="DAW83" s="1"/>
      <c r="DAX83" s="1"/>
      <c r="DAY83" s="1"/>
      <c r="DAZ83" s="1"/>
      <c r="DBA83" s="1"/>
      <c r="DBB83" s="1"/>
      <c r="DBC83" s="1"/>
      <c r="DBD83" s="1"/>
      <c r="DBE83" s="1"/>
      <c r="DBF83" s="1"/>
      <c r="DBG83" s="1"/>
      <c r="DBH83" s="1"/>
      <c r="DBI83" s="1"/>
      <c r="DBJ83" s="1"/>
      <c r="DBK83" s="1"/>
      <c r="DBL83" s="1"/>
      <c r="DBM83" s="1"/>
      <c r="DBN83" s="1"/>
      <c r="DBO83" s="1"/>
      <c r="DBP83" s="1"/>
      <c r="DBQ83" s="1"/>
      <c r="DBR83" s="1"/>
      <c r="DBS83" s="1"/>
      <c r="DBT83" s="1"/>
      <c r="DBU83" s="1"/>
      <c r="DBV83" s="1"/>
      <c r="DBW83" s="1"/>
      <c r="DBX83" s="1"/>
      <c r="DBY83" s="1"/>
      <c r="DBZ83" s="1"/>
      <c r="DCA83" s="1"/>
      <c r="DCB83" s="1"/>
      <c r="DCC83" s="1"/>
      <c r="DCD83" s="1"/>
      <c r="DCE83" s="1"/>
      <c r="DCF83" s="1"/>
      <c r="DCG83" s="1"/>
      <c r="DCH83" s="1"/>
      <c r="DCI83" s="1"/>
      <c r="DCJ83" s="1"/>
      <c r="DCK83" s="1"/>
      <c r="DCL83" s="1"/>
      <c r="DCM83" s="1"/>
      <c r="DCN83" s="1"/>
      <c r="DCO83" s="1"/>
      <c r="DCP83" s="1"/>
      <c r="DCQ83" s="1"/>
      <c r="DCR83" s="1"/>
      <c r="DCS83" s="1"/>
      <c r="DCT83" s="1"/>
      <c r="DCU83" s="1"/>
      <c r="DCV83" s="1"/>
      <c r="DCW83" s="1"/>
      <c r="DCX83" s="1"/>
      <c r="DCY83" s="1"/>
      <c r="DCZ83" s="1"/>
      <c r="DDA83" s="1"/>
      <c r="DDB83" s="1"/>
      <c r="DDC83" s="1"/>
      <c r="DDD83" s="1"/>
      <c r="DDE83" s="1"/>
      <c r="DDF83" s="1"/>
      <c r="DDG83" s="1"/>
      <c r="DDH83" s="1"/>
      <c r="DDI83" s="1"/>
      <c r="DDJ83" s="1"/>
      <c r="DDK83" s="1"/>
      <c r="DDL83" s="1"/>
      <c r="DDM83" s="1"/>
      <c r="DDN83" s="1"/>
      <c r="DDO83" s="1"/>
      <c r="DDP83" s="1"/>
      <c r="DDQ83" s="1"/>
      <c r="DDR83" s="1"/>
      <c r="DDS83" s="1"/>
      <c r="DDT83" s="1"/>
      <c r="DDU83" s="1"/>
      <c r="DDV83" s="1"/>
      <c r="DDW83" s="1"/>
      <c r="DDX83" s="1"/>
      <c r="DDY83" s="1"/>
      <c r="DDZ83" s="1"/>
      <c r="DEA83" s="1"/>
      <c r="DEB83" s="1"/>
      <c r="DEC83" s="1"/>
      <c r="DED83" s="1"/>
      <c r="DEE83" s="1"/>
      <c r="DEF83" s="1"/>
      <c r="DEG83" s="1"/>
      <c r="DEH83" s="1"/>
      <c r="DEI83" s="1"/>
      <c r="DEJ83" s="1"/>
      <c r="DEK83" s="1"/>
      <c r="DEL83" s="1"/>
      <c r="DEM83" s="1"/>
      <c r="DEN83" s="1"/>
      <c r="DEO83" s="1"/>
      <c r="DEP83" s="1"/>
      <c r="DEQ83" s="1"/>
      <c r="DER83" s="1"/>
      <c r="DES83" s="1"/>
      <c r="DET83" s="1"/>
      <c r="DEU83" s="1"/>
      <c r="DEV83" s="1"/>
      <c r="DEW83" s="1"/>
      <c r="DEX83" s="1"/>
      <c r="DEY83" s="1"/>
      <c r="DEZ83" s="1"/>
      <c r="DFA83" s="1"/>
      <c r="DFB83" s="1"/>
      <c r="DFC83" s="1"/>
      <c r="DFD83" s="1"/>
      <c r="DFE83" s="1"/>
      <c r="DFF83" s="1"/>
      <c r="DFG83" s="1"/>
      <c r="DFH83" s="1"/>
      <c r="DFI83" s="1"/>
      <c r="DFJ83" s="1"/>
      <c r="DFK83" s="1"/>
      <c r="DFL83" s="1"/>
      <c r="DFM83" s="1"/>
      <c r="DFN83" s="1"/>
      <c r="DFO83" s="1"/>
      <c r="DFP83" s="1"/>
      <c r="DFQ83" s="1"/>
      <c r="DFR83" s="1"/>
      <c r="DFS83" s="1"/>
      <c r="DFT83" s="1"/>
      <c r="DFU83" s="1"/>
      <c r="DFV83" s="1"/>
      <c r="DFW83" s="1"/>
      <c r="DFX83" s="1"/>
      <c r="DFY83" s="1"/>
      <c r="DFZ83" s="1"/>
      <c r="DGA83" s="1"/>
      <c r="DGB83" s="1"/>
      <c r="DGC83" s="1"/>
      <c r="DGD83" s="1"/>
      <c r="DGE83" s="1"/>
      <c r="DGF83" s="1"/>
      <c r="DGG83" s="1"/>
      <c r="DGH83" s="1"/>
      <c r="DGI83" s="1"/>
      <c r="DGJ83" s="1"/>
      <c r="DGK83" s="1"/>
      <c r="DGL83" s="1"/>
      <c r="DGM83" s="1"/>
      <c r="DGN83" s="1"/>
      <c r="DGO83" s="1"/>
      <c r="DGP83" s="1"/>
      <c r="DGQ83" s="1"/>
      <c r="DGR83" s="1"/>
      <c r="DGS83" s="1"/>
      <c r="DGT83" s="1"/>
      <c r="DGU83" s="1"/>
      <c r="DGV83" s="1"/>
      <c r="DGW83" s="1"/>
      <c r="DGX83" s="1"/>
      <c r="DGY83" s="1"/>
      <c r="DGZ83" s="1"/>
      <c r="DHA83" s="1"/>
      <c r="DHB83" s="1"/>
      <c r="DHC83" s="1"/>
      <c r="DHD83" s="1"/>
      <c r="DHE83" s="1"/>
      <c r="DHF83" s="1"/>
      <c r="DHG83" s="1"/>
      <c r="DHH83" s="1"/>
      <c r="DHI83" s="1"/>
      <c r="DHJ83" s="1"/>
      <c r="DHK83" s="1"/>
      <c r="DHL83" s="1"/>
      <c r="DHM83" s="1"/>
      <c r="DHN83" s="1"/>
      <c r="DHO83" s="1"/>
      <c r="DHP83" s="1"/>
      <c r="DHQ83" s="1"/>
      <c r="DHR83" s="1"/>
      <c r="DHS83" s="1"/>
      <c r="DHT83" s="1"/>
      <c r="DHU83" s="1"/>
      <c r="DHV83" s="1"/>
      <c r="DHW83" s="1"/>
      <c r="DHX83" s="1"/>
      <c r="DHY83" s="1"/>
      <c r="DHZ83" s="1"/>
      <c r="DIA83" s="1"/>
      <c r="DIB83" s="1"/>
      <c r="DIC83" s="1"/>
      <c r="DID83" s="1"/>
      <c r="DIE83" s="1"/>
      <c r="DIF83" s="1"/>
      <c r="DIG83" s="1"/>
      <c r="DIH83" s="1"/>
      <c r="DII83" s="1"/>
      <c r="DIJ83" s="1"/>
      <c r="DIK83" s="1"/>
      <c r="DIL83" s="1"/>
      <c r="DIM83" s="1"/>
      <c r="DIN83" s="1"/>
      <c r="DIO83" s="1"/>
      <c r="DIP83" s="1"/>
      <c r="DIQ83" s="1"/>
      <c r="DIR83" s="1"/>
      <c r="DIS83" s="1"/>
      <c r="DIT83" s="1"/>
      <c r="DIU83" s="1"/>
      <c r="DIV83" s="1"/>
      <c r="DIW83" s="1"/>
      <c r="DIX83" s="1"/>
      <c r="DIY83" s="1"/>
      <c r="DIZ83" s="1"/>
      <c r="DJA83" s="1"/>
      <c r="DJB83" s="1"/>
      <c r="DJC83" s="1"/>
      <c r="DJD83" s="1"/>
      <c r="DJE83" s="1"/>
      <c r="DJF83" s="1"/>
      <c r="DJG83" s="1"/>
      <c r="DJH83" s="1"/>
      <c r="DJI83" s="1"/>
      <c r="DJJ83" s="1"/>
      <c r="DJK83" s="1"/>
      <c r="DJL83" s="1"/>
      <c r="DJM83" s="1"/>
      <c r="DJN83" s="1"/>
      <c r="DJO83" s="1"/>
      <c r="DJP83" s="1"/>
      <c r="DJQ83" s="1"/>
      <c r="DJR83" s="1"/>
      <c r="DJS83" s="1"/>
      <c r="DJT83" s="1"/>
      <c r="DJU83" s="1"/>
      <c r="DJV83" s="1"/>
      <c r="DJW83" s="1"/>
      <c r="DJX83" s="1"/>
      <c r="DJY83" s="1"/>
      <c r="DJZ83" s="1"/>
      <c r="DKA83" s="1"/>
      <c r="DKB83" s="1"/>
      <c r="DKC83" s="1"/>
      <c r="DKD83" s="1"/>
      <c r="DKE83" s="1"/>
      <c r="DKF83" s="1"/>
      <c r="DKG83" s="1"/>
      <c r="DKH83" s="1"/>
      <c r="DKI83" s="1"/>
      <c r="DKJ83" s="1"/>
      <c r="DKK83" s="1"/>
      <c r="DKL83" s="1"/>
      <c r="DKM83" s="1"/>
      <c r="DKN83" s="1"/>
      <c r="DKO83" s="1"/>
      <c r="DKP83" s="1"/>
      <c r="DKQ83" s="1"/>
      <c r="DKR83" s="1"/>
      <c r="DKS83" s="1"/>
      <c r="DKT83" s="1"/>
      <c r="DKU83" s="1"/>
      <c r="DKV83" s="1"/>
      <c r="DKW83" s="1"/>
      <c r="DKX83" s="1"/>
      <c r="DKY83" s="1"/>
      <c r="DKZ83" s="1"/>
      <c r="DLA83" s="1"/>
      <c r="DLB83" s="1"/>
      <c r="DLC83" s="1"/>
      <c r="DLD83" s="1"/>
      <c r="DLE83" s="1"/>
      <c r="DLF83" s="1"/>
      <c r="DLG83" s="1"/>
      <c r="DLH83" s="1"/>
      <c r="DLI83" s="1"/>
      <c r="DLJ83" s="1"/>
      <c r="DLK83" s="1"/>
      <c r="DLL83" s="1"/>
      <c r="DLM83" s="1"/>
      <c r="DLN83" s="1"/>
      <c r="DLO83" s="1"/>
      <c r="DLP83" s="1"/>
      <c r="DLQ83" s="1"/>
      <c r="DLR83" s="1"/>
      <c r="DLS83" s="1"/>
      <c r="DLT83" s="1"/>
      <c r="DLU83" s="1"/>
      <c r="DLV83" s="1"/>
      <c r="DLW83" s="1"/>
      <c r="DLX83" s="1"/>
      <c r="DLY83" s="1"/>
      <c r="DLZ83" s="1"/>
      <c r="DMA83" s="1"/>
      <c r="DMB83" s="1"/>
      <c r="DMC83" s="1"/>
      <c r="DMD83" s="1"/>
      <c r="DME83" s="1"/>
      <c r="DMF83" s="1"/>
      <c r="DMG83" s="1"/>
      <c r="DMH83" s="1"/>
      <c r="DMI83" s="1"/>
      <c r="DMJ83" s="1"/>
      <c r="DMK83" s="1"/>
      <c r="DML83" s="1"/>
      <c r="DMM83" s="1"/>
      <c r="DMN83" s="1"/>
      <c r="DMO83" s="1"/>
      <c r="DMP83" s="1"/>
      <c r="DMQ83" s="1"/>
      <c r="DMR83" s="1"/>
      <c r="DMS83" s="1"/>
      <c r="DMT83" s="1"/>
      <c r="DMU83" s="1"/>
      <c r="DMV83" s="1"/>
      <c r="DMW83" s="1"/>
      <c r="DMX83" s="1"/>
      <c r="DMY83" s="1"/>
      <c r="DMZ83" s="1"/>
      <c r="DNA83" s="1"/>
      <c r="DNB83" s="1"/>
      <c r="DNC83" s="1"/>
      <c r="DND83" s="1"/>
      <c r="DNE83" s="1"/>
      <c r="DNF83" s="1"/>
      <c r="DNG83" s="1"/>
      <c r="DNH83" s="1"/>
      <c r="DNI83" s="1"/>
      <c r="DNJ83" s="1"/>
      <c r="DNK83" s="1"/>
      <c r="DNL83" s="1"/>
      <c r="DNM83" s="1"/>
      <c r="DNN83" s="1"/>
      <c r="DNO83" s="1"/>
      <c r="DNP83" s="1"/>
      <c r="DNQ83" s="1"/>
      <c r="DNR83" s="1"/>
      <c r="DNS83" s="1"/>
      <c r="DNT83" s="1"/>
      <c r="DNU83" s="1"/>
      <c r="DNV83" s="1"/>
      <c r="DNW83" s="1"/>
      <c r="DNX83" s="1"/>
      <c r="DNY83" s="1"/>
      <c r="DNZ83" s="1"/>
      <c r="DOA83" s="1"/>
      <c r="DOB83" s="1"/>
      <c r="DOC83" s="1"/>
      <c r="DOD83" s="1"/>
      <c r="DOE83" s="1"/>
      <c r="DOF83" s="1"/>
      <c r="DOG83" s="1"/>
      <c r="DOH83" s="1"/>
      <c r="DOI83" s="1"/>
      <c r="DOJ83" s="1"/>
      <c r="DOK83" s="1"/>
      <c r="DOL83" s="1"/>
      <c r="DOM83" s="1"/>
      <c r="DON83" s="1"/>
      <c r="DOO83" s="1"/>
      <c r="DOP83" s="1"/>
      <c r="DOQ83" s="1"/>
      <c r="DOR83" s="1"/>
      <c r="DOS83" s="1"/>
      <c r="DOT83" s="1"/>
      <c r="DOU83" s="1"/>
      <c r="DOV83" s="1"/>
      <c r="DOW83" s="1"/>
      <c r="DOX83" s="1"/>
      <c r="DOY83" s="1"/>
      <c r="DOZ83" s="1"/>
      <c r="DPA83" s="1"/>
      <c r="DPB83" s="1"/>
      <c r="DPC83" s="1"/>
      <c r="DPD83" s="1"/>
      <c r="DPE83" s="1"/>
      <c r="DPF83" s="1"/>
      <c r="DPG83" s="1"/>
      <c r="DPH83" s="1"/>
      <c r="DPI83" s="1"/>
      <c r="DPJ83" s="1"/>
      <c r="DPK83" s="1"/>
      <c r="DPL83" s="1"/>
      <c r="DPM83" s="1"/>
      <c r="DPN83" s="1"/>
      <c r="DPO83" s="1"/>
      <c r="DPP83" s="1"/>
      <c r="DPQ83" s="1"/>
      <c r="DPR83" s="1"/>
      <c r="DPS83" s="1"/>
      <c r="DPT83" s="1"/>
      <c r="DPU83" s="1"/>
      <c r="DPV83" s="1"/>
      <c r="DPW83" s="1"/>
      <c r="DPX83" s="1"/>
      <c r="DPY83" s="1"/>
      <c r="DPZ83" s="1"/>
      <c r="DQA83" s="1"/>
      <c r="DQB83" s="1"/>
      <c r="DQC83" s="1"/>
      <c r="DQD83" s="1"/>
      <c r="DQE83" s="1"/>
      <c r="DQF83" s="1"/>
      <c r="DQG83" s="1"/>
      <c r="DQH83" s="1"/>
      <c r="DQI83" s="1"/>
      <c r="DQJ83" s="1"/>
      <c r="DQK83" s="1"/>
      <c r="DQL83" s="1"/>
      <c r="DQM83" s="1"/>
      <c r="DQN83" s="1"/>
      <c r="DQO83" s="1"/>
      <c r="DQP83" s="1"/>
      <c r="DQQ83" s="1"/>
      <c r="DQR83" s="1"/>
      <c r="DQS83" s="1"/>
      <c r="DQT83" s="1"/>
      <c r="DQU83" s="1"/>
      <c r="DQV83" s="1"/>
      <c r="DQW83" s="1"/>
      <c r="DQX83" s="1"/>
      <c r="DQY83" s="1"/>
      <c r="DQZ83" s="1"/>
      <c r="DRA83" s="1"/>
      <c r="DRB83" s="1"/>
      <c r="DRC83" s="1"/>
      <c r="DRD83" s="1"/>
      <c r="DRE83" s="1"/>
      <c r="DRF83" s="1"/>
      <c r="DRG83" s="1"/>
      <c r="DRH83" s="1"/>
      <c r="DRI83" s="1"/>
      <c r="DRJ83" s="1"/>
      <c r="DRK83" s="1"/>
      <c r="DRL83" s="1"/>
      <c r="DRM83" s="1"/>
      <c r="DRN83" s="1"/>
      <c r="DRO83" s="1"/>
      <c r="DRP83" s="1"/>
      <c r="DRQ83" s="1"/>
      <c r="DRR83" s="1"/>
      <c r="DRS83" s="1"/>
      <c r="DRT83" s="1"/>
      <c r="DRU83" s="1"/>
      <c r="DRV83" s="1"/>
      <c r="DRW83" s="1"/>
      <c r="DRX83" s="1"/>
      <c r="DRY83" s="1"/>
      <c r="DRZ83" s="1"/>
      <c r="DSA83" s="1"/>
      <c r="DSB83" s="1"/>
      <c r="DSC83" s="1"/>
      <c r="DSD83" s="1"/>
      <c r="DSE83" s="1"/>
      <c r="DSF83" s="1"/>
      <c r="DSG83" s="1"/>
      <c r="DSH83" s="1"/>
      <c r="DSI83" s="1"/>
      <c r="DSJ83" s="1"/>
      <c r="DSK83" s="1"/>
      <c r="DSL83" s="1"/>
      <c r="DSM83" s="1"/>
      <c r="DSN83" s="1"/>
      <c r="DSO83" s="1"/>
      <c r="DSP83" s="1"/>
      <c r="DSQ83" s="1"/>
      <c r="DSR83" s="1"/>
      <c r="DSS83" s="1"/>
      <c r="DST83" s="1"/>
      <c r="DSU83" s="1"/>
      <c r="DSV83" s="1"/>
      <c r="DSW83" s="1"/>
      <c r="DSX83" s="1"/>
      <c r="DSY83" s="1"/>
      <c r="DSZ83" s="1"/>
      <c r="DTA83" s="1"/>
      <c r="DTB83" s="1"/>
      <c r="DTC83" s="1"/>
      <c r="DTD83" s="1"/>
      <c r="DTE83" s="1"/>
      <c r="DTF83" s="1"/>
      <c r="DTG83" s="1"/>
      <c r="DTH83" s="1"/>
      <c r="DTI83" s="1"/>
      <c r="DTJ83" s="1"/>
      <c r="DTK83" s="1"/>
      <c r="DTL83" s="1"/>
      <c r="DTM83" s="1"/>
      <c r="DTN83" s="1"/>
      <c r="DTO83" s="1"/>
      <c r="DTP83" s="1"/>
      <c r="DTQ83" s="1"/>
      <c r="DTR83" s="1"/>
      <c r="DTS83" s="1"/>
      <c r="DTT83" s="1"/>
      <c r="DTU83" s="1"/>
      <c r="DTV83" s="1"/>
      <c r="DTW83" s="1"/>
      <c r="DTX83" s="1"/>
      <c r="DTY83" s="1"/>
      <c r="DTZ83" s="1"/>
      <c r="DUA83" s="1"/>
      <c r="DUB83" s="1"/>
      <c r="DUC83" s="1"/>
      <c r="DUD83" s="1"/>
      <c r="DUE83" s="1"/>
      <c r="DUF83" s="1"/>
      <c r="DUG83" s="1"/>
      <c r="DUH83" s="1"/>
      <c r="DUI83" s="1"/>
      <c r="DUJ83" s="1"/>
      <c r="DUK83" s="1"/>
      <c r="DUL83" s="1"/>
      <c r="DUM83" s="1"/>
      <c r="DUN83" s="1"/>
      <c r="DUO83" s="1"/>
      <c r="DUP83" s="1"/>
      <c r="DUQ83" s="1"/>
      <c r="DUR83" s="1"/>
      <c r="DUS83" s="1"/>
      <c r="DUT83" s="1"/>
      <c r="DUU83" s="1"/>
      <c r="DUV83" s="1"/>
      <c r="DUW83" s="1"/>
      <c r="DUX83" s="1"/>
      <c r="DUY83" s="1"/>
      <c r="DUZ83" s="1"/>
      <c r="DVA83" s="1"/>
      <c r="DVB83" s="1"/>
      <c r="DVC83" s="1"/>
      <c r="DVD83" s="1"/>
      <c r="DVE83" s="1"/>
      <c r="DVF83" s="1"/>
      <c r="DVG83" s="1"/>
      <c r="DVH83" s="1"/>
      <c r="DVI83" s="1"/>
      <c r="DVJ83" s="1"/>
      <c r="DVK83" s="1"/>
      <c r="DVL83" s="1"/>
      <c r="DVM83" s="1"/>
      <c r="DVN83" s="1"/>
      <c r="DVO83" s="1"/>
      <c r="DVP83" s="1"/>
      <c r="DVQ83" s="1"/>
      <c r="DVR83" s="1"/>
      <c r="DVS83" s="1"/>
      <c r="DVT83" s="1"/>
      <c r="DVU83" s="1"/>
      <c r="DVV83" s="1"/>
      <c r="DVW83" s="1"/>
      <c r="DVX83" s="1"/>
      <c r="DVY83" s="1"/>
      <c r="DVZ83" s="1"/>
      <c r="DWA83" s="1"/>
      <c r="DWB83" s="1"/>
      <c r="DWC83" s="1"/>
      <c r="DWD83" s="1"/>
      <c r="DWE83" s="1"/>
      <c r="DWF83" s="1"/>
      <c r="DWG83" s="1"/>
      <c r="DWH83" s="1"/>
      <c r="DWI83" s="1"/>
      <c r="DWJ83" s="1"/>
      <c r="DWK83" s="1"/>
      <c r="DWL83" s="1"/>
      <c r="DWM83" s="1"/>
      <c r="DWN83" s="1"/>
      <c r="DWO83" s="1"/>
      <c r="DWP83" s="1"/>
      <c r="DWQ83" s="1"/>
      <c r="DWR83" s="1"/>
      <c r="DWS83" s="1"/>
      <c r="DWT83" s="1"/>
      <c r="DWU83" s="1"/>
      <c r="DWV83" s="1"/>
      <c r="DWW83" s="1"/>
      <c r="DWX83" s="1"/>
      <c r="DWY83" s="1"/>
      <c r="DWZ83" s="1"/>
      <c r="DXA83" s="1"/>
      <c r="DXB83" s="1"/>
      <c r="DXC83" s="1"/>
      <c r="DXD83" s="1"/>
      <c r="DXE83" s="1"/>
      <c r="DXF83" s="1"/>
      <c r="DXG83" s="1"/>
      <c r="DXH83" s="1"/>
      <c r="DXI83" s="1"/>
      <c r="DXJ83" s="1"/>
      <c r="DXK83" s="1"/>
      <c r="DXL83" s="1"/>
      <c r="DXM83" s="1"/>
      <c r="DXN83" s="1"/>
      <c r="DXO83" s="1"/>
      <c r="DXP83" s="1"/>
      <c r="DXQ83" s="1"/>
      <c r="DXR83" s="1"/>
      <c r="DXS83" s="1"/>
      <c r="DXT83" s="1"/>
      <c r="DXU83" s="1"/>
      <c r="DXV83" s="1"/>
      <c r="DXW83" s="1"/>
      <c r="DXX83" s="1"/>
      <c r="DXY83" s="1"/>
      <c r="DXZ83" s="1"/>
      <c r="DYA83" s="1"/>
      <c r="DYB83" s="1"/>
      <c r="DYC83" s="1"/>
      <c r="DYD83" s="1"/>
      <c r="DYE83" s="1"/>
      <c r="DYF83" s="1"/>
      <c r="DYG83" s="1"/>
      <c r="DYH83" s="1"/>
      <c r="DYI83" s="1"/>
      <c r="DYJ83" s="1"/>
      <c r="DYK83" s="1"/>
      <c r="DYL83" s="1"/>
      <c r="DYM83" s="1"/>
      <c r="DYN83" s="1"/>
      <c r="DYO83" s="1"/>
      <c r="DYP83" s="1"/>
      <c r="DYQ83" s="1"/>
      <c r="DYR83" s="1"/>
      <c r="DYS83" s="1"/>
      <c r="DYT83" s="1"/>
      <c r="DYU83" s="1"/>
      <c r="DYV83" s="1"/>
      <c r="DYW83" s="1"/>
      <c r="DYX83" s="1"/>
      <c r="DYY83" s="1"/>
      <c r="DYZ83" s="1"/>
      <c r="DZA83" s="1"/>
      <c r="DZB83" s="1"/>
      <c r="DZC83" s="1"/>
      <c r="DZD83" s="1"/>
      <c r="DZE83" s="1"/>
      <c r="DZF83" s="1"/>
      <c r="DZG83" s="1"/>
      <c r="DZH83" s="1"/>
      <c r="DZI83" s="1"/>
      <c r="DZJ83" s="1"/>
      <c r="DZK83" s="1"/>
      <c r="DZL83" s="1"/>
      <c r="DZM83" s="1"/>
      <c r="DZN83" s="1"/>
      <c r="DZO83" s="1"/>
      <c r="DZP83" s="1"/>
      <c r="DZQ83" s="1"/>
      <c r="DZR83" s="1"/>
      <c r="DZS83" s="1"/>
      <c r="DZT83" s="1"/>
      <c r="DZU83" s="1"/>
      <c r="DZV83" s="1"/>
      <c r="DZW83" s="1"/>
      <c r="DZX83" s="1"/>
      <c r="DZY83" s="1"/>
      <c r="DZZ83" s="1"/>
      <c r="EAA83" s="1"/>
      <c r="EAB83" s="1"/>
      <c r="EAC83" s="1"/>
      <c r="EAD83" s="1"/>
      <c r="EAE83" s="1"/>
      <c r="EAF83" s="1"/>
      <c r="EAG83" s="1"/>
      <c r="EAH83" s="1"/>
      <c r="EAI83" s="1"/>
      <c r="EAJ83" s="1"/>
      <c r="EAK83" s="1"/>
      <c r="EAL83" s="1"/>
      <c r="EAM83" s="1"/>
      <c r="EAN83" s="1"/>
      <c r="EAO83" s="1"/>
      <c r="EAP83" s="1"/>
      <c r="EAQ83" s="1"/>
      <c r="EAR83" s="1"/>
      <c r="EAS83" s="1"/>
      <c r="EAT83" s="1"/>
      <c r="EAU83" s="1"/>
      <c r="EAV83" s="1"/>
      <c r="EAW83" s="1"/>
      <c r="EAX83" s="1"/>
      <c r="EAY83" s="1"/>
      <c r="EAZ83" s="1"/>
      <c r="EBA83" s="1"/>
      <c r="EBB83" s="1"/>
      <c r="EBC83" s="1"/>
      <c r="EBD83" s="1"/>
      <c r="EBE83" s="1"/>
      <c r="EBF83" s="1"/>
      <c r="EBG83" s="1"/>
      <c r="EBH83" s="1"/>
      <c r="EBI83" s="1"/>
      <c r="EBJ83" s="1"/>
      <c r="EBK83" s="1"/>
      <c r="EBL83" s="1"/>
      <c r="EBM83" s="1"/>
      <c r="EBN83" s="1"/>
      <c r="EBO83" s="1"/>
      <c r="EBP83" s="1"/>
      <c r="EBQ83" s="1"/>
      <c r="EBR83" s="1"/>
      <c r="EBS83" s="1"/>
      <c r="EBT83" s="1"/>
      <c r="EBU83" s="1"/>
      <c r="EBV83" s="1"/>
      <c r="EBW83" s="1"/>
      <c r="EBX83" s="1"/>
      <c r="EBY83" s="1"/>
      <c r="EBZ83" s="1"/>
      <c r="ECA83" s="1"/>
      <c r="ECB83" s="1"/>
      <c r="ECC83" s="1"/>
      <c r="ECD83" s="1"/>
      <c r="ECE83" s="1"/>
      <c r="ECF83" s="1"/>
      <c r="ECG83" s="1"/>
      <c r="ECH83" s="1"/>
      <c r="ECI83" s="1"/>
      <c r="ECJ83" s="1"/>
      <c r="ECK83" s="1"/>
      <c r="ECL83" s="1"/>
      <c r="ECM83" s="1"/>
      <c r="ECN83" s="1"/>
      <c r="ECO83" s="1"/>
      <c r="ECP83" s="1"/>
      <c r="ECQ83" s="1"/>
      <c r="ECR83" s="1"/>
      <c r="ECS83" s="1"/>
      <c r="ECT83" s="1"/>
      <c r="ECU83" s="1"/>
      <c r="ECV83" s="1"/>
      <c r="ECW83" s="1"/>
      <c r="ECX83" s="1"/>
      <c r="ECY83" s="1"/>
      <c r="ECZ83" s="1"/>
      <c r="EDA83" s="1"/>
      <c r="EDB83" s="1"/>
      <c r="EDC83" s="1"/>
      <c r="EDD83" s="1"/>
      <c r="EDE83" s="1"/>
      <c r="EDF83" s="1"/>
      <c r="EDG83" s="1"/>
      <c r="EDH83" s="1"/>
      <c r="EDI83" s="1"/>
      <c r="EDJ83" s="1"/>
      <c r="EDK83" s="1"/>
      <c r="EDL83" s="1"/>
      <c r="EDM83" s="1"/>
      <c r="EDN83" s="1"/>
      <c r="EDO83" s="1"/>
      <c r="EDP83" s="1"/>
      <c r="EDQ83" s="1"/>
      <c r="EDR83" s="1"/>
      <c r="EDS83" s="1"/>
      <c r="EDT83" s="1"/>
      <c r="EDU83" s="1"/>
      <c r="EDV83" s="1"/>
      <c r="EDW83" s="1"/>
      <c r="EDX83" s="1"/>
      <c r="EDY83" s="1"/>
      <c r="EDZ83" s="1"/>
      <c r="EEA83" s="1"/>
      <c r="EEB83" s="1"/>
      <c r="EEC83" s="1"/>
      <c r="EED83" s="1"/>
      <c r="EEE83" s="1"/>
      <c r="EEF83" s="1"/>
      <c r="EEG83" s="1"/>
      <c r="EEH83" s="1"/>
      <c r="EEI83" s="1"/>
      <c r="EEJ83" s="1"/>
      <c r="EEK83" s="1"/>
      <c r="EEL83" s="1"/>
      <c r="EEM83" s="1"/>
      <c r="EEN83" s="1"/>
      <c r="EEO83" s="1"/>
      <c r="EEP83" s="1"/>
      <c r="EEQ83" s="1"/>
      <c r="EER83" s="1"/>
      <c r="EES83" s="1"/>
      <c r="EET83" s="1"/>
      <c r="EEU83" s="1"/>
      <c r="EEV83" s="1"/>
      <c r="EEW83" s="1"/>
      <c r="EEX83" s="1"/>
      <c r="EEY83" s="1"/>
      <c r="EEZ83" s="1"/>
      <c r="EFA83" s="1"/>
      <c r="EFB83" s="1"/>
      <c r="EFC83" s="1"/>
      <c r="EFD83" s="1"/>
      <c r="EFE83" s="1"/>
      <c r="EFF83" s="1"/>
      <c r="EFG83" s="1"/>
      <c r="EFH83" s="1"/>
      <c r="EFI83" s="1"/>
      <c r="EFJ83" s="1"/>
      <c r="EFK83" s="1"/>
      <c r="EFL83" s="1"/>
      <c r="EFM83" s="1"/>
      <c r="EFN83" s="1"/>
      <c r="EFO83" s="1"/>
      <c r="EFP83" s="1"/>
      <c r="EFQ83" s="1"/>
      <c r="EFR83" s="1"/>
      <c r="EFS83" s="1"/>
      <c r="EFT83" s="1"/>
      <c r="EFU83" s="1"/>
      <c r="EFV83" s="1"/>
      <c r="EFW83" s="1"/>
      <c r="EFX83" s="1"/>
      <c r="EFY83" s="1"/>
      <c r="EFZ83" s="1"/>
      <c r="EGA83" s="1"/>
      <c r="EGB83" s="1"/>
      <c r="EGC83" s="1"/>
      <c r="EGD83" s="1"/>
      <c r="EGE83" s="1"/>
      <c r="EGF83" s="1"/>
      <c r="EGG83" s="1"/>
      <c r="EGH83" s="1"/>
      <c r="EGI83" s="1"/>
      <c r="EGJ83" s="1"/>
      <c r="EGK83" s="1"/>
      <c r="EGL83" s="1"/>
      <c r="EGM83" s="1"/>
      <c r="EGN83" s="1"/>
      <c r="EGO83" s="1"/>
      <c r="EGP83" s="1"/>
      <c r="EGQ83" s="1"/>
      <c r="EGR83" s="1"/>
      <c r="EGS83" s="1"/>
      <c r="EGT83" s="1"/>
      <c r="EGU83" s="1"/>
      <c r="EGV83" s="1"/>
      <c r="EGW83" s="1"/>
      <c r="EGX83" s="1"/>
      <c r="EGY83" s="1"/>
      <c r="EGZ83" s="1"/>
      <c r="EHA83" s="1"/>
      <c r="EHB83" s="1"/>
      <c r="EHC83" s="1"/>
      <c r="EHD83" s="1"/>
      <c r="EHE83" s="1"/>
      <c r="EHF83" s="1"/>
      <c r="EHG83" s="1"/>
      <c r="EHH83" s="1"/>
      <c r="EHI83" s="1"/>
      <c r="EHJ83" s="1"/>
      <c r="EHK83" s="1"/>
      <c r="EHL83" s="1"/>
      <c r="EHM83" s="1"/>
      <c r="EHN83" s="1"/>
      <c r="EHO83" s="1"/>
      <c r="EHP83" s="1"/>
      <c r="EHQ83" s="1"/>
      <c r="EHR83" s="1"/>
      <c r="EHS83" s="1"/>
      <c r="EHT83" s="1"/>
      <c r="EHU83" s="1"/>
      <c r="EHV83" s="1"/>
      <c r="EHW83" s="1"/>
      <c r="EHX83" s="1"/>
      <c r="EHY83" s="1"/>
      <c r="EHZ83" s="1"/>
      <c r="EIA83" s="1"/>
      <c r="EIB83" s="1"/>
      <c r="EIC83" s="1"/>
      <c r="EID83" s="1"/>
      <c r="EIE83" s="1"/>
      <c r="EIF83" s="1"/>
      <c r="EIG83" s="1"/>
      <c r="EIH83" s="1"/>
      <c r="EII83" s="1"/>
      <c r="EIJ83" s="1"/>
      <c r="EIK83" s="1"/>
      <c r="EIL83" s="1"/>
      <c r="EIM83" s="1"/>
      <c r="EIN83" s="1"/>
      <c r="EIO83" s="1"/>
      <c r="EIP83" s="1"/>
      <c r="EIQ83" s="1"/>
      <c r="EIR83" s="1"/>
      <c r="EIS83" s="1"/>
      <c r="EIT83" s="1"/>
      <c r="EIU83" s="1"/>
      <c r="EIV83" s="1"/>
      <c r="EIW83" s="1"/>
      <c r="EIX83" s="1"/>
      <c r="EIY83" s="1"/>
      <c r="EIZ83" s="1"/>
      <c r="EJA83" s="1"/>
      <c r="EJB83" s="1"/>
      <c r="EJC83" s="1"/>
      <c r="EJD83" s="1"/>
      <c r="EJE83" s="1"/>
      <c r="EJF83" s="1"/>
      <c r="EJG83" s="1"/>
      <c r="EJH83" s="1"/>
      <c r="EJI83" s="1"/>
      <c r="EJJ83" s="1"/>
      <c r="EJK83" s="1"/>
      <c r="EJL83" s="1"/>
      <c r="EJM83" s="1"/>
      <c r="EJN83" s="1"/>
      <c r="EJO83" s="1"/>
      <c r="EJP83" s="1"/>
      <c r="EJQ83" s="1"/>
      <c r="EJR83" s="1"/>
      <c r="EJS83" s="1"/>
      <c r="EJT83" s="1"/>
      <c r="EJU83" s="1"/>
      <c r="EJV83" s="1"/>
      <c r="EJW83" s="1"/>
      <c r="EJX83" s="1"/>
      <c r="EJY83" s="1"/>
      <c r="EJZ83" s="1"/>
      <c r="EKA83" s="1"/>
      <c r="EKB83" s="1"/>
      <c r="EKC83" s="1"/>
      <c r="EKD83" s="1"/>
      <c r="EKE83" s="1"/>
      <c r="EKF83" s="1"/>
      <c r="EKG83" s="1"/>
      <c r="EKH83" s="1"/>
      <c r="EKI83" s="1"/>
      <c r="EKJ83" s="1"/>
      <c r="EKK83" s="1"/>
      <c r="EKL83" s="1"/>
      <c r="EKM83" s="1"/>
      <c r="EKN83" s="1"/>
      <c r="EKO83" s="1"/>
      <c r="EKP83" s="1"/>
      <c r="EKQ83" s="1"/>
      <c r="EKR83" s="1"/>
      <c r="EKS83" s="1"/>
      <c r="EKT83" s="1"/>
      <c r="EKU83" s="1"/>
      <c r="EKV83" s="1"/>
      <c r="EKW83" s="1"/>
      <c r="EKX83" s="1"/>
      <c r="EKY83" s="1"/>
      <c r="EKZ83" s="1"/>
      <c r="ELA83" s="1"/>
      <c r="ELB83" s="1"/>
      <c r="ELC83" s="1"/>
      <c r="ELD83" s="1"/>
      <c r="ELE83" s="1"/>
      <c r="ELF83" s="1"/>
      <c r="ELG83" s="1"/>
      <c r="ELH83" s="1"/>
      <c r="ELI83" s="1"/>
      <c r="ELJ83" s="1"/>
      <c r="ELK83" s="1"/>
      <c r="ELL83" s="1"/>
      <c r="ELM83" s="1"/>
      <c r="ELN83" s="1"/>
      <c r="ELO83" s="1"/>
      <c r="ELP83" s="1"/>
      <c r="ELQ83" s="1"/>
      <c r="ELR83" s="1"/>
      <c r="ELS83" s="1"/>
      <c r="ELT83" s="1"/>
      <c r="ELU83" s="1"/>
      <c r="ELV83" s="1"/>
      <c r="ELW83" s="1"/>
      <c r="ELX83" s="1"/>
      <c r="ELY83" s="1"/>
      <c r="ELZ83" s="1"/>
      <c r="EMA83" s="1"/>
      <c r="EMB83" s="1"/>
      <c r="EMC83" s="1"/>
      <c r="EMD83" s="1"/>
      <c r="EME83" s="1"/>
      <c r="EMF83" s="1"/>
      <c r="EMG83" s="1"/>
      <c r="EMH83" s="1"/>
      <c r="EMI83" s="1"/>
      <c r="EMJ83" s="1"/>
      <c r="EMK83" s="1"/>
      <c r="EML83" s="1"/>
      <c r="EMM83" s="1"/>
      <c r="EMN83" s="1"/>
      <c r="EMO83" s="1"/>
      <c r="EMP83" s="1"/>
      <c r="EMQ83" s="1"/>
      <c r="EMR83" s="1"/>
      <c r="EMS83" s="1"/>
      <c r="EMT83" s="1"/>
      <c r="EMU83" s="1"/>
      <c r="EMV83" s="1"/>
      <c r="EMW83" s="1"/>
      <c r="EMX83" s="1"/>
      <c r="EMY83" s="1"/>
      <c r="EMZ83" s="1"/>
      <c r="ENA83" s="1"/>
      <c r="ENB83" s="1"/>
      <c r="ENC83" s="1"/>
      <c r="END83" s="1"/>
      <c r="ENE83" s="1"/>
      <c r="ENF83" s="1"/>
      <c r="ENG83" s="1"/>
      <c r="ENH83" s="1"/>
      <c r="ENI83" s="1"/>
      <c r="ENJ83" s="1"/>
      <c r="ENK83" s="1"/>
      <c r="ENL83" s="1"/>
      <c r="ENM83" s="1"/>
      <c r="ENN83" s="1"/>
      <c r="ENO83" s="1"/>
      <c r="ENP83" s="1"/>
      <c r="ENQ83" s="1"/>
      <c r="ENR83" s="1"/>
      <c r="ENS83" s="1"/>
      <c r="ENT83" s="1"/>
      <c r="ENU83" s="1"/>
      <c r="ENV83" s="1"/>
      <c r="ENW83" s="1"/>
      <c r="ENX83" s="1"/>
      <c r="ENY83" s="1"/>
      <c r="ENZ83" s="1"/>
      <c r="EOA83" s="1"/>
      <c r="EOB83" s="1"/>
      <c r="EOC83" s="1"/>
      <c r="EOD83" s="1"/>
      <c r="EOE83" s="1"/>
      <c r="EOF83" s="1"/>
      <c r="EOG83" s="1"/>
      <c r="EOH83" s="1"/>
      <c r="EOI83" s="1"/>
      <c r="EOJ83" s="1"/>
      <c r="EOK83" s="1"/>
      <c r="EOL83" s="1"/>
      <c r="EOM83" s="1"/>
      <c r="EON83" s="1"/>
      <c r="EOO83" s="1"/>
      <c r="EOP83" s="1"/>
      <c r="EOQ83" s="1"/>
      <c r="EOR83" s="1"/>
      <c r="EOS83" s="1"/>
      <c r="EOT83" s="1"/>
      <c r="EOU83" s="1"/>
      <c r="EOV83" s="1"/>
      <c r="EOW83" s="1"/>
      <c r="EOX83" s="1"/>
      <c r="EOY83" s="1"/>
      <c r="EOZ83" s="1"/>
      <c r="EPA83" s="1"/>
      <c r="EPB83" s="1"/>
      <c r="EPC83" s="1"/>
      <c r="EPD83" s="1"/>
      <c r="EPE83" s="1"/>
      <c r="EPF83" s="1"/>
      <c r="EPG83" s="1"/>
      <c r="EPH83" s="1"/>
      <c r="EPI83" s="1"/>
      <c r="EPJ83" s="1"/>
      <c r="EPK83" s="1"/>
      <c r="EPL83" s="1"/>
      <c r="EPM83" s="1"/>
      <c r="EPN83" s="1"/>
      <c r="EPO83" s="1"/>
      <c r="EPP83" s="1"/>
      <c r="EPQ83" s="1"/>
      <c r="EPR83" s="1"/>
      <c r="EPS83" s="1"/>
      <c r="EPT83" s="1"/>
      <c r="EPU83" s="1"/>
      <c r="EPV83" s="1"/>
      <c r="EPW83" s="1"/>
      <c r="EPX83" s="1"/>
      <c r="EPY83" s="1"/>
      <c r="EPZ83" s="1"/>
      <c r="EQA83" s="1"/>
      <c r="EQB83" s="1"/>
      <c r="EQC83" s="1"/>
      <c r="EQD83" s="1"/>
      <c r="EQE83" s="1"/>
      <c r="EQF83" s="1"/>
      <c r="EQG83" s="1"/>
      <c r="EQH83" s="1"/>
      <c r="EQI83" s="1"/>
      <c r="EQJ83" s="1"/>
      <c r="EQK83" s="1"/>
      <c r="EQL83" s="1"/>
      <c r="EQM83" s="1"/>
      <c r="EQN83" s="1"/>
      <c r="EQO83" s="1"/>
      <c r="EQP83" s="1"/>
      <c r="EQQ83" s="1"/>
      <c r="EQR83" s="1"/>
      <c r="EQS83" s="1"/>
      <c r="EQT83" s="1"/>
      <c r="EQU83" s="1"/>
      <c r="EQV83" s="1"/>
      <c r="EQW83" s="1"/>
      <c r="EQX83" s="1"/>
      <c r="EQY83" s="1"/>
      <c r="EQZ83" s="1"/>
      <c r="ERA83" s="1"/>
      <c r="ERB83" s="1"/>
      <c r="ERC83" s="1"/>
      <c r="ERD83" s="1"/>
      <c r="ERE83" s="1"/>
      <c r="ERF83" s="1"/>
      <c r="ERG83" s="1"/>
      <c r="ERH83" s="1"/>
      <c r="ERI83" s="1"/>
      <c r="ERJ83" s="1"/>
      <c r="ERK83" s="1"/>
      <c r="ERL83" s="1"/>
      <c r="ERM83" s="1"/>
      <c r="ERN83" s="1"/>
      <c r="ERO83" s="1"/>
      <c r="ERP83" s="1"/>
      <c r="ERQ83" s="1"/>
      <c r="ERR83" s="1"/>
      <c r="ERS83" s="1"/>
      <c r="ERT83" s="1"/>
      <c r="ERU83" s="1"/>
      <c r="ERV83" s="1"/>
      <c r="ERW83" s="1"/>
      <c r="ERX83" s="1"/>
      <c r="ERY83" s="1"/>
      <c r="ERZ83" s="1"/>
      <c r="ESA83" s="1"/>
      <c r="ESB83" s="1"/>
      <c r="ESC83" s="1"/>
      <c r="ESD83" s="1"/>
      <c r="ESE83" s="1"/>
      <c r="ESF83" s="1"/>
      <c r="ESG83" s="1"/>
      <c r="ESH83" s="1"/>
      <c r="ESI83" s="1"/>
      <c r="ESJ83" s="1"/>
      <c r="ESK83" s="1"/>
      <c r="ESL83" s="1"/>
      <c r="ESM83" s="1"/>
      <c r="ESN83" s="1"/>
      <c r="ESO83" s="1"/>
      <c r="ESP83" s="1"/>
      <c r="ESQ83" s="1"/>
      <c r="ESR83" s="1"/>
      <c r="ESS83" s="1"/>
      <c r="EST83" s="1"/>
      <c r="ESU83" s="1"/>
      <c r="ESV83" s="1"/>
      <c r="ESW83" s="1"/>
      <c r="ESX83" s="1"/>
      <c r="ESY83" s="1"/>
      <c r="ESZ83" s="1"/>
      <c r="ETA83" s="1"/>
      <c r="ETB83" s="1"/>
      <c r="ETC83" s="1"/>
      <c r="ETD83" s="1"/>
      <c r="ETE83" s="1"/>
      <c r="ETF83" s="1"/>
      <c r="ETG83" s="1"/>
      <c r="ETH83" s="1"/>
      <c r="ETI83" s="1"/>
      <c r="ETJ83" s="1"/>
      <c r="ETK83" s="1"/>
      <c r="ETL83" s="1"/>
      <c r="ETM83" s="1"/>
      <c r="ETN83" s="1"/>
      <c r="ETO83" s="1"/>
      <c r="ETP83" s="1"/>
      <c r="ETQ83" s="1"/>
      <c r="ETR83" s="1"/>
      <c r="ETS83" s="1"/>
      <c r="ETT83" s="1"/>
      <c r="ETU83" s="1"/>
      <c r="ETV83" s="1"/>
      <c r="ETW83" s="1"/>
      <c r="ETX83" s="1"/>
      <c r="ETY83" s="1"/>
      <c r="ETZ83" s="1"/>
      <c r="EUA83" s="1"/>
      <c r="EUB83" s="1"/>
      <c r="EUC83" s="1"/>
      <c r="EUD83" s="1"/>
      <c r="EUE83" s="1"/>
      <c r="EUF83" s="1"/>
      <c r="EUG83" s="1"/>
      <c r="EUH83" s="1"/>
      <c r="EUI83" s="1"/>
      <c r="EUJ83" s="1"/>
      <c r="EUK83" s="1"/>
      <c r="EUL83" s="1"/>
      <c r="EUM83" s="1"/>
      <c r="EUN83" s="1"/>
      <c r="EUO83" s="1"/>
      <c r="EUP83" s="1"/>
      <c r="EUQ83" s="1"/>
      <c r="EUR83" s="1"/>
      <c r="EUS83" s="1"/>
      <c r="EUT83" s="1"/>
      <c r="EUU83" s="1"/>
      <c r="EUV83" s="1"/>
      <c r="EUW83" s="1"/>
      <c r="EUX83" s="1"/>
      <c r="EUY83" s="1"/>
      <c r="EUZ83" s="1"/>
      <c r="EVA83" s="1"/>
      <c r="EVB83" s="1"/>
      <c r="EVC83" s="1"/>
      <c r="EVD83" s="1"/>
      <c r="EVE83" s="1"/>
      <c r="EVF83" s="1"/>
      <c r="EVG83" s="1"/>
      <c r="EVH83" s="1"/>
      <c r="EVI83" s="1"/>
      <c r="EVJ83" s="1"/>
      <c r="EVK83" s="1"/>
      <c r="EVL83" s="1"/>
      <c r="EVM83" s="1"/>
      <c r="EVN83" s="1"/>
      <c r="EVO83" s="1"/>
      <c r="EVP83" s="1"/>
      <c r="EVQ83" s="1"/>
      <c r="EVR83" s="1"/>
      <c r="EVS83" s="1"/>
      <c r="EVT83" s="1"/>
      <c r="EVU83" s="1"/>
      <c r="EVV83" s="1"/>
      <c r="EVW83" s="1"/>
      <c r="EVX83" s="1"/>
      <c r="EVY83" s="1"/>
      <c r="EVZ83" s="1"/>
      <c r="EWA83" s="1"/>
      <c r="EWB83" s="1"/>
      <c r="EWC83" s="1"/>
      <c r="EWD83" s="1"/>
      <c r="EWE83" s="1"/>
      <c r="EWF83" s="1"/>
      <c r="EWG83" s="1"/>
      <c r="EWH83" s="1"/>
      <c r="EWI83" s="1"/>
      <c r="EWJ83" s="1"/>
      <c r="EWK83" s="1"/>
      <c r="EWL83" s="1"/>
      <c r="EWM83" s="1"/>
      <c r="EWN83" s="1"/>
      <c r="EWO83" s="1"/>
      <c r="EWP83" s="1"/>
      <c r="EWQ83" s="1"/>
      <c r="EWR83" s="1"/>
      <c r="EWS83" s="1"/>
      <c r="EWT83" s="1"/>
      <c r="EWU83" s="1"/>
      <c r="EWV83" s="1"/>
      <c r="EWW83" s="1"/>
      <c r="EWX83" s="1"/>
      <c r="EWY83" s="1"/>
      <c r="EWZ83" s="1"/>
      <c r="EXA83" s="1"/>
      <c r="EXB83" s="1"/>
      <c r="EXC83" s="1"/>
      <c r="EXD83" s="1"/>
      <c r="EXE83" s="1"/>
      <c r="EXF83" s="1"/>
      <c r="EXG83" s="1"/>
      <c r="EXH83" s="1"/>
      <c r="EXI83" s="1"/>
      <c r="EXJ83" s="1"/>
      <c r="EXK83" s="1"/>
      <c r="EXL83" s="1"/>
      <c r="EXM83" s="1"/>
      <c r="EXN83" s="1"/>
      <c r="EXO83" s="1"/>
      <c r="EXP83" s="1"/>
      <c r="EXQ83" s="1"/>
      <c r="EXR83" s="1"/>
      <c r="EXS83" s="1"/>
      <c r="EXT83" s="1"/>
      <c r="EXU83" s="1"/>
      <c r="EXV83" s="1"/>
      <c r="EXW83" s="1"/>
      <c r="EXX83" s="1"/>
      <c r="EXY83" s="1"/>
      <c r="EXZ83" s="1"/>
      <c r="EYA83" s="1"/>
      <c r="EYB83" s="1"/>
      <c r="EYC83" s="1"/>
      <c r="EYD83" s="1"/>
      <c r="EYE83" s="1"/>
      <c r="EYF83" s="1"/>
      <c r="EYG83" s="1"/>
      <c r="EYH83" s="1"/>
      <c r="EYI83" s="1"/>
      <c r="EYJ83" s="1"/>
      <c r="EYK83" s="1"/>
      <c r="EYL83" s="1"/>
      <c r="EYM83" s="1"/>
      <c r="EYN83" s="1"/>
      <c r="EYO83" s="1"/>
      <c r="EYP83" s="1"/>
      <c r="EYQ83" s="1"/>
      <c r="EYR83" s="1"/>
      <c r="EYS83" s="1"/>
      <c r="EYT83" s="1"/>
      <c r="EYU83" s="1"/>
      <c r="EYV83" s="1"/>
      <c r="EYW83" s="1"/>
      <c r="EYX83" s="1"/>
      <c r="EYY83" s="1"/>
      <c r="EYZ83" s="1"/>
      <c r="EZA83" s="1"/>
      <c r="EZB83" s="1"/>
      <c r="EZC83" s="1"/>
      <c r="EZD83" s="1"/>
      <c r="EZE83" s="1"/>
      <c r="EZF83" s="1"/>
      <c r="EZG83" s="1"/>
      <c r="EZH83" s="1"/>
      <c r="EZI83" s="1"/>
      <c r="EZJ83" s="1"/>
      <c r="EZK83" s="1"/>
      <c r="EZL83" s="1"/>
      <c r="EZM83" s="1"/>
      <c r="EZN83" s="1"/>
      <c r="EZO83" s="1"/>
      <c r="EZP83" s="1"/>
      <c r="EZQ83" s="1"/>
      <c r="EZR83" s="1"/>
      <c r="EZS83" s="1"/>
      <c r="EZT83" s="1"/>
      <c r="EZU83" s="1"/>
      <c r="EZV83" s="1"/>
      <c r="EZW83" s="1"/>
      <c r="EZX83" s="1"/>
      <c r="EZY83" s="1"/>
      <c r="EZZ83" s="1"/>
      <c r="FAA83" s="1"/>
      <c r="FAB83" s="1"/>
      <c r="FAC83" s="1"/>
      <c r="FAD83" s="1"/>
      <c r="FAE83" s="1"/>
      <c r="FAF83" s="1"/>
      <c r="FAG83" s="1"/>
      <c r="FAH83" s="1"/>
      <c r="FAI83" s="1"/>
      <c r="FAJ83" s="1"/>
      <c r="FAK83" s="1"/>
      <c r="FAL83" s="1"/>
      <c r="FAM83" s="1"/>
      <c r="FAN83" s="1"/>
      <c r="FAO83" s="1"/>
      <c r="FAP83" s="1"/>
      <c r="FAQ83" s="1"/>
      <c r="FAR83" s="1"/>
      <c r="FAS83" s="1"/>
      <c r="FAT83" s="1"/>
      <c r="FAU83" s="1"/>
      <c r="FAV83" s="1"/>
      <c r="FAW83" s="1"/>
      <c r="FAX83" s="1"/>
      <c r="FAY83" s="1"/>
      <c r="FAZ83" s="1"/>
      <c r="FBA83" s="1"/>
      <c r="FBB83" s="1"/>
      <c r="FBC83" s="1"/>
      <c r="FBD83" s="1"/>
      <c r="FBE83" s="1"/>
      <c r="FBF83" s="1"/>
      <c r="FBG83" s="1"/>
      <c r="FBH83" s="1"/>
      <c r="FBI83" s="1"/>
      <c r="FBJ83" s="1"/>
      <c r="FBK83" s="1"/>
      <c r="FBL83" s="1"/>
      <c r="FBM83" s="1"/>
      <c r="FBN83" s="1"/>
      <c r="FBO83" s="1"/>
      <c r="FBP83" s="1"/>
      <c r="FBQ83" s="1"/>
      <c r="FBR83" s="1"/>
      <c r="FBS83" s="1"/>
      <c r="FBT83" s="1"/>
      <c r="FBU83" s="1"/>
      <c r="FBV83" s="1"/>
      <c r="FBW83" s="1"/>
      <c r="FBX83" s="1"/>
      <c r="FBY83" s="1"/>
      <c r="FBZ83" s="1"/>
      <c r="FCA83" s="1"/>
      <c r="FCB83" s="1"/>
      <c r="FCC83" s="1"/>
      <c r="FCD83" s="1"/>
      <c r="FCE83" s="1"/>
      <c r="FCF83" s="1"/>
      <c r="FCG83" s="1"/>
      <c r="FCH83" s="1"/>
      <c r="FCI83" s="1"/>
      <c r="FCJ83" s="1"/>
      <c r="FCK83" s="1"/>
      <c r="FCL83" s="1"/>
      <c r="FCM83" s="1"/>
      <c r="FCN83" s="1"/>
      <c r="FCO83" s="1"/>
      <c r="FCP83" s="1"/>
      <c r="FCQ83" s="1"/>
      <c r="FCR83" s="1"/>
      <c r="FCS83" s="1"/>
      <c r="FCT83" s="1"/>
      <c r="FCU83" s="1"/>
      <c r="FCV83" s="1"/>
      <c r="FCW83" s="1"/>
      <c r="FCX83" s="1"/>
      <c r="FCY83" s="1"/>
      <c r="FCZ83" s="1"/>
      <c r="FDA83" s="1"/>
      <c r="FDB83" s="1"/>
      <c r="FDC83" s="1"/>
      <c r="FDD83" s="1"/>
      <c r="FDE83" s="1"/>
      <c r="FDF83" s="1"/>
      <c r="FDG83" s="1"/>
      <c r="FDH83" s="1"/>
      <c r="FDI83" s="1"/>
      <c r="FDJ83" s="1"/>
      <c r="FDK83" s="1"/>
      <c r="FDL83" s="1"/>
      <c r="FDM83" s="1"/>
      <c r="FDN83" s="1"/>
      <c r="FDO83" s="1"/>
      <c r="FDP83" s="1"/>
      <c r="FDQ83" s="1"/>
      <c r="FDR83" s="1"/>
      <c r="FDS83" s="1"/>
      <c r="FDT83" s="1"/>
      <c r="FDU83" s="1"/>
      <c r="FDV83" s="1"/>
      <c r="FDW83" s="1"/>
      <c r="FDX83" s="1"/>
      <c r="FDY83" s="1"/>
      <c r="FDZ83" s="1"/>
      <c r="FEA83" s="1"/>
      <c r="FEB83" s="1"/>
      <c r="FEC83" s="1"/>
      <c r="FED83" s="1"/>
      <c r="FEE83" s="1"/>
      <c r="FEF83" s="1"/>
      <c r="FEG83" s="1"/>
      <c r="FEH83" s="1"/>
      <c r="FEI83" s="1"/>
      <c r="FEJ83" s="1"/>
      <c r="FEK83" s="1"/>
      <c r="FEL83" s="1"/>
      <c r="FEM83" s="1"/>
      <c r="FEN83" s="1"/>
      <c r="FEO83" s="1"/>
      <c r="FEP83" s="1"/>
      <c r="FEQ83" s="1"/>
      <c r="FER83" s="1"/>
      <c r="FES83" s="1"/>
      <c r="FET83" s="1"/>
      <c r="FEU83" s="1"/>
      <c r="FEV83" s="1"/>
      <c r="FEW83" s="1"/>
      <c r="FEX83" s="1"/>
      <c r="FEY83" s="1"/>
      <c r="FEZ83" s="1"/>
      <c r="FFA83" s="1"/>
      <c r="FFB83" s="1"/>
      <c r="FFC83" s="1"/>
      <c r="FFD83" s="1"/>
      <c r="FFE83" s="1"/>
      <c r="FFF83" s="1"/>
      <c r="FFG83" s="1"/>
      <c r="FFH83" s="1"/>
      <c r="FFI83" s="1"/>
      <c r="FFJ83" s="1"/>
      <c r="FFK83" s="1"/>
      <c r="FFL83" s="1"/>
      <c r="FFM83" s="1"/>
      <c r="FFN83" s="1"/>
      <c r="FFO83" s="1"/>
      <c r="FFP83" s="1"/>
      <c r="FFQ83" s="1"/>
      <c r="FFR83" s="1"/>
      <c r="FFS83" s="1"/>
      <c r="FFT83" s="1"/>
      <c r="FFU83" s="1"/>
      <c r="FFV83" s="1"/>
      <c r="FFW83" s="1"/>
      <c r="FFX83" s="1"/>
      <c r="FFY83" s="1"/>
      <c r="FFZ83" s="1"/>
      <c r="FGA83" s="1"/>
      <c r="FGB83" s="1"/>
      <c r="FGC83" s="1"/>
      <c r="FGD83" s="1"/>
      <c r="FGE83" s="1"/>
      <c r="FGF83" s="1"/>
      <c r="FGG83" s="1"/>
      <c r="FGH83" s="1"/>
      <c r="FGI83" s="1"/>
      <c r="FGJ83" s="1"/>
      <c r="FGK83" s="1"/>
      <c r="FGL83" s="1"/>
      <c r="FGM83" s="1"/>
      <c r="FGN83" s="1"/>
      <c r="FGO83" s="1"/>
      <c r="FGP83" s="1"/>
      <c r="FGQ83" s="1"/>
      <c r="FGR83" s="1"/>
      <c r="FGS83" s="1"/>
      <c r="FGT83" s="1"/>
      <c r="FGU83" s="1"/>
      <c r="FGV83" s="1"/>
      <c r="FGW83" s="1"/>
      <c r="FGX83" s="1"/>
      <c r="FGY83" s="1"/>
      <c r="FGZ83" s="1"/>
      <c r="FHA83" s="1"/>
      <c r="FHB83" s="1"/>
      <c r="FHC83" s="1"/>
      <c r="FHD83" s="1"/>
      <c r="FHE83" s="1"/>
      <c r="FHF83" s="1"/>
      <c r="FHG83" s="1"/>
      <c r="FHH83" s="1"/>
      <c r="FHI83" s="1"/>
      <c r="FHJ83" s="1"/>
      <c r="FHK83" s="1"/>
      <c r="FHL83" s="1"/>
      <c r="FHM83" s="1"/>
      <c r="FHN83" s="1"/>
      <c r="FHO83" s="1"/>
      <c r="FHP83" s="1"/>
      <c r="FHQ83" s="1"/>
      <c r="FHR83" s="1"/>
      <c r="FHS83" s="1"/>
      <c r="FHT83" s="1"/>
      <c r="FHU83" s="1"/>
      <c r="FHV83" s="1"/>
      <c r="FHW83" s="1"/>
      <c r="FHX83" s="1"/>
      <c r="FHY83" s="1"/>
      <c r="FHZ83" s="1"/>
      <c r="FIA83" s="1"/>
      <c r="FIB83" s="1"/>
      <c r="FIC83" s="1"/>
      <c r="FID83" s="1"/>
      <c r="FIE83" s="1"/>
      <c r="FIF83" s="1"/>
      <c r="FIG83" s="1"/>
      <c r="FIH83" s="1"/>
      <c r="FII83" s="1"/>
      <c r="FIJ83" s="1"/>
      <c r="FIK83" s="1"/>
      <c r="FIL83" s="1"/>
      <c r="FIM83" s="1"/>
      <c r="FIN83" s="1"/>
      <c r="FIO83" s="1"/>
      <c r="FIP83" s="1"/>
      <c r="FIQ83" s="1"/>
      <c r="FIR83" s="1"/>
      <c r="FIS83" s="1"/>
      <c r="FIT83" s="1"/>
      <c r="FIU83" s="1"/>
      <c r="FIV83" s="1"/>
      <c r="FIW83" s="1"/>
      <c r="FIX83" s="1"/>
      <c r="FIY83" s="1"/>
      <c r="FIZ83" s="1"/>
      <c r="FJA83" s="1"/>
      <c r="FJB83" s="1"/>
      <c r="FJC83" s="1"/>
      <c r="FJD83" s="1"/>
      <c r="FJE83" s="1"/>
      <c r="FJF83" s="1"/>
      <c r="FJG83" s="1"/>
      <c r="FJH83" s="1"/>
      <c r="FJI83" s="1"/>
      <c r="FJJ83" s="1"/>
      <c r="FJK83" s="1"/>
      <c r="FJL83" s="1"/>
      <c r="FJM83" s="1"/>
      <c r="FJN83" s="1"/>
      <c r="FJO83" s="1"/>
      <c r="FJP83" s="1"/>
      <c r="FJQ83" s="1"/>
      <c r="FJR83" s="1"/>
      <c r="FJS83" s="1"/>
      <c r="FJT83" s="1"/>
      <c r="FJU83" s="1"/>
      <c r="FJV83" s="1"/>
      <c r="FJW83" s="1"/>
      <c r="FJX83" s="1"/>
      <c r="FJY83" s="1"/>
      <c r="FJZ83" s="1"/>
      <c r="FKA83" s="1"/>
      <c r="FKB83" s="1"/>
      <c r="FKC83" s="1"/>
      <c r="FKD83" s="1"/>
      <c r="FKE83" s="1"/>
      <c r="FKF83" s="1"/>
      <c r="FKG83" s="1"/>
      <c r="FKH83" s="1"/>
      <c r="FKI83" s="1"/>
      <c r="FKJ83" s="1"/>
      <c r="FKK83" s="1"/>
      <c r="FKL83" s="1"/>
      <c r="FKM83" s="1"/>
      <c r="FKN83" s="1"/>
      <c r="FKO83" s="1"/>
      <c r="FKP83" s="1"/>
      <c r="FKQ83" s="1"/>
      <c r="FKR83" s="1"/>
      <c r="FKS83" s="1"/>
      <c r="FKT83" s="1"/>
      <c r="FKU83" s="1"/>
      <c r="FKV83" s="1"/>
      <c r="FKW83" s="1"/>
      <c r="FKX83" s="1"/>
      <c r="FKY83" s="1"/>
      <c r="FKZ83" s="1"/>
      <c r="FLA83" s="1"/>
      <c r="FLB83" s="1"/>
      <c r="FLC83" s="1"/>
      <c r="FLD83" s="1"/>
      <c r="FLE83" s="1"/>
      <c r="FLF83" s="1"/>
      <c r="FLG83" s="1"/>
      <c r="FLH83" s="1"/>
      <c r="FLI83" s="1"/>
      <c r="FLJ83" s="1"/>
      <c r="FLK83" s="1"/>
      <c r="FLL83" s="1"/>
      <c r="FLM83" s="1"/>
      <c r="FLN83" s="1"/>
      <c r="FLO83" s="1"/>
      <c r="FLP83" s="1"/>
      <c r="FLQ83" s="1"/>
      <c r="FLR83" s="1"/>
      <c r="FLS83" s="1"/>
      <c r="FLT83" s="1"/>
      <c r="FLU83" s="1"/>
      <c r="FLV83" s="1"/>
      <c r="FLW83" s="1"/>
      <c r="FLX83" s="1"/>
      <c r="FLY83" s="1"/>
      <c r="FLZ83" s="1"/>
      <c r="FMA83" s="1"/>
      <c r="FMB83" s="1"/>
      <c r="FMC83" s="1"/>
      <c r="FMD83" s="1"/>
      <c r="FME83" s="1"/>
      <c r="FMF83" s="1"/>
      <c r="FMG83" s="1"/>
      <c r="FMH83" s="1"/>
      <c r="FMI83" s="1"/>
      <c r="FMJ83" s="1"/>
      <c r="FMK83" s="1"/>
      <c r="FML83" s="1"/>
      <c r="FMM83" s="1"/>
      <c r="FMN83" s="1"/>
      <c r="FMO83" s="1"/>
      <c r="FMP83" s="1"/>
      <c r="FMQ83" s="1"/>
      <c r="FMR83" s="1"/>
      <c r="FMS83" s="1"/>
      <c r="FMT83" s="1"/>
      <c r="FMU83" s="1"/>
      <c r="FMV83" s="1"/>
      <c r="FMW83" s="1"/>
      <c r="FMX83" s="1"/>
      <c r="FMY83" s="1"/>
      <c r="FMZ83" s="1"/>
      <c r="FNA83" s="1"/>
      <c r="FNB83" s="1"/>
      <c r="FNC83" s="1"/>
      <c r="FND83" s="1"/>
      <c r="FNE83" s="1"/>
      <c r="FNF83" s="1"/>
      <c r="FNG83" s="1"/>
      <c r="FNH83" s="1"/>
      <c r="FNI83" s="1"/>
      <c r="FNJ83" s="1"/>
      <c r="FNK83" s="1"/>
      <c r="FNL83" s="1"/>
      <c r="FNM83" s="1"/>
      <c r="FNN83" s="1"/>
      <c r="FNO83" s="1"/>
      <c r="FNP83" s="1"/>
      <c r="FNQ83" s="1"/>
      <c r="FNR83" s="1"/>
      <c r="FNS83" s="1"/>
      <c r="FNT83" s="1"/>
      <c r="FNU83" s="1"/>
      <c r="FNV83" s="1"/>
      <c r="FNW83" s="1"/>
      <c r="FNX83" s="1"/>
      <c r="FNY83" s="1"/>
      <c r="FNZ83" s="1"/>
      <c r="FOA83" s="1"/>
      <c r="FOB83" s="1"/>
      <c r="FOC83" s="1"/>
      <c r="FOD83" s="1"/>
      <c r="FOE83" s="1"/>
      <c r="FOF83" s="1"/>
      <c r="FOG83" s="1"/>
      <c r="FOH83" s="1"/>
      <c r="FOI83" s="1"/>
      <c r="FOJ83" s="1"/>
      <c r="FOK83" s="1"/>
      <c r="FOL83" s="1"/>
      <c r="FOM83" s="1"/>
      <c r="FON83" s="1"/>
      <c r="FOO83" s="1"/>
      <c r="FOP83" s="1"/>
      <c r="FOQ83" s="1"/>
      <c r="FOR83" s="1"/>
      <c r="FOS83" s="1"/>
      <c r="FOT83" s="1"/>
      <c r="FOU83" s="1"/>
      <c r="FOV83" s="1"/>
      <c r="FOW83" s="1"/>
      <c r="FOX83" s="1"/>
      <c r="FOY83" s="1"/>
      <c r="FOZ83" s="1"/>
      <c r="FPA83" s="1"/>
      <c r="FPB83" s="1"/>
      <c r="FPC83" s="1"/>
      <c r="FPD83" s="1"/>
      <c r="FPE83" s="1"/>
      <c r="FPF83" s="1"/>
      <c r="FPG83" s="1"/>
      <c r="FPH83" s="1"/>
      <c r="FPI83" s="1"/>
      <c r="FPJ83" s="1"/>
      <c r="FPK83" s="1"/>
      <c r="FPL83" s="1"/>
      <c r="FPM83" s="1"/>
      <c r="FPN83" s="1"/>
      <c r="FPO83" s="1"/>
      <c r="FPP83" s="1"/>
      <c r="FPQ83" s="1"/>
      <c r="FPR83" s="1"/>
      <c r="FPS83" s="1"/>
      <c r="FPT83" s="1"/>
      <c r="FPU83" s="1"/>
      <c r="FPV83" s="1"/>
      <c r="FPW83" s="1"/>
      <c r="FPX83" s="1"/>
      <c r="FPY83" s="1"/>
      <c r="FPZ83" s="1"/>
      <c r="FQA83" s="1"/>
      <c r="FQB83" s="1"/>
      <c r="FQC83" s="1"/>
      <c r="FQD83" s="1"/>
      <c r="FQE83" s="1"/>
      <c r="FQF83" s="1"/>
      <c r="FQG83" s="1"/>
      <c r="FQH83" s="1"/>
      <c r="FQI83" s="1"/>
      <c r="FQJ83" s="1"/>
      <c r="FQK83" s="1"/>
      <c r="FQL83" s="1"/>
      <c r="FQM83" s="1"/>
      <c r="FQN83" s="1"/>
      <c r="FQO83" s="1"/>
      <c r="FQP83" s="1"/>
      <c r="FQQ83" s="1"/>
      <c r="FQR83" s="1"/>
      <c r="FQS83" s="1"/>
      <c r="FQT83" s="1"/>
      <c r="FQU83" s="1"/>
      <c r="FQV83" s="1"/>
      <c r="FQW83" s="1"/>
      <c r="FQX83" s="1"/>
      <c r="FQY83" s="1"/>
      <c r="FQZ83" s="1"/>
      <c r="FRA83" s="1"/>
      <c r="FRB83" s="1"/>
      <c r="FRC83" s="1"/>
      <c r="FRD83" s="1"/>
      <c r="FRE83" s="1"/>
      <c r="FRF83" s="1"/>
      <c r="FRG83" s="1"/>
      <c r="FRH83" s="1"/>
      <c r="FRI83" s="1"/>
      <c r="FRJ83" s="1"/>
      <c r="FRK83" s="1"/>
      <c r="FRL83" s="1"/>
      <c r="FRM83" s="1"/>
      <c r="FRN83" s="1"/>
      <c r="FRO83" s="1"/>
      <c r="FRP83" s="1"/>
      <c r="FRQ83" s="1"/>
      <c r="FRR83" s="1"/>
      <c r="FRS83" s="1"/>
      <c r="FRT83" s="1"/>
      <c r="FRU83" s="1"/>
      <c r="FRV83" s="1"/>
      <c r="FRW83" s="1"/>
      <c r="FRX83" s="1"/>
      <c r="FRY83" s="1"/>
      <c r="FRZ83" s="1"/>
      <c r="FSA83" s="1"/>
      <c r="FSB83" s="1"/>
      <c r="FSC83" s="1"/>
      <c r="FSD83" s="1"/>
      <c r="FSE83" s="1"/>
      <c r="FSF83" s="1"/>
      <c r="FSG83" s="1"/>
      <c r="FSH83" s="1"/>
      <c r="FSI83" s="1"/>
      <c r="FSJ83" s="1"/>
      <c r="FSK83" s="1"/>
      <c r="FSL83" s="1"/>
      <c r="FSM83" s="1"/>
      <c r="FSN83" s="1"/>
      <c r="FSO83" s="1"/>
      <c r="FSP83" s="1"/>
      <c r="FSQ83" s="1"/>
      <c r="FSR83" s="1"/>
      <c r="FSS83" s="1"/>
      <c r="FST83" s="1"/>
      <c r="FSU83" s="1"/>
      <c r="FSV83" s="1"/>
      <c r="FSW83" s="1"/>
      <c r="FSX83" s="1"/>
      <c r="FSY83" s="1"/>
      <c r="FSZ83" s="1"/>
      <c r="FTA83" s="1"/>
      <c r="FTB83" s="1"/>
      <c r="FTC83" s="1"/>
      <c r="FTD83" s="1"/>
      <c r="FTE83" s="1"/>
      <c r="FTF83" s="1"/>
      <c r="FTG83" s="1"/>
      <c r="FTH83" s="1"/>
      <c r="FTI83" s="1"/>
      <c r="FTJ83" s="1"/>
      <c r="FTK83" s="1"/>
      <c r="FTL83" s="1"/>
      <c r="FTM83" s="1"/>
      <c r="FTN83" s="1"/>
      <c r="FTO83" s="1"/>
      <c r="FTP83" s="1"/>
      <c r="FTQ83" s="1"/>
      <c r="FTR83" s="1"/>
      <c r="FTS83" s="1"/>
      <c r="FTT83" s="1"/>
      <c r="FTU83" s="1"/>
      <c r="FTV83" s="1"/>
      <c r="FTW83" s="1"/>
      <c r="FTX83" s="1"/>
      <c r="FTY83" s="1"/>
      <c r="FTZ83" s="1"/>
      <c r="FUA83" s="1"/>
      <c r="FUB83" s="1"/>
      <c r="FUC83" s="1"/>
      <c r="FUD83" s="1"/>
      <c r="FUE83" s="1"/>
      <c r="FUF83" s="1"/>
      <c r="FUG83" s="1"/>
      <c r="FUH83" s="1"/>
      <c r="FUI83" s="1"/>
      <c r="FUJ83" s="1"/>
      <c r="FUK83" s="1"/>
      <c r="FUL83" s="1"/>
      <c r="FUM83" s="1"/>
      <c r="FUN83" s="1"/>
      <c r="FUO83" s="1"/>
      <c r="FUP83" s="1"/>
      <c r="FUQ83" s="1"/>
      <c r="FUR83" s="1"/>
      <c r="FUS83" s="1"/>
      <c r="FUT83" s="1"/>
      <c r="FUU83" s="1"/>
      <c r="FUV83" s="1"/>
      <c r="FUW83" s="1"/>
      <c r="FUX83" s="1"/>
      <c r="FUY83" s="1"/>
      <c r="FUZ83" s="1"/>
      <c r="FVA83" s="1"/>
      <c r="FVB83" s="1"/>
      <c r="FVC83" s="1"/>
      <c r="FVD83" s="1"/>
      <c r="FVE83" s="1"/>
      <c r="FVF83" s="1"/>
      <c r="FVG83" s="1"/>
      <c r="FVH83" s="1"/>
      <c r="FVI83" s="1"/>
      <c r="FVJ83" s="1"/>
      <c r="FVK83" s="1"/>
      <c r="FVL83" s="1"/>
      <c r="FVM83" s="1"/>
      <c r="FVN83" s="1"/>
      <c r="FVO83" s="1"/>
      <c r="FVP83" s="1"/>
      <c r="FVQ83" s="1"/>
      <c r="FVR83" s="1"/>
      <c r="FVS83" s="1"/>
      <c r="FVT83" s="1"/>
      <c r="FVU83" s="1"/>
      <c r="FVV83" s="1"/>
      <c r="FVW83" s="1"/>
      <c r="FVX83" s="1"/>
      <c r="FVY83" s="1"/>
      <c r="FVZ83" s="1"/>
      <c r="FWA83" s="1"/>
      <c r="FWB83" s="1"/>
      <c r="FWC83" s="1"/>
      <c r="FWD83" s="1"/>
      <c r="FWE83" s="1"/>
      <c r="FWF83" s="1"/>
      <c r="FWG83" s="1"/>
      <c r="FWH83" s="1"/>
      <c r="FWI83" s="1"/>
      <c r="FWJ83" s="1"/>
      <c r="FWK83" s="1"/>
      <c r="FWL83" s="1"/>
      <c r="FWM83" s="1"/>
      <c r="FWN83" s="1"/>
      <c r="FWO83" s="1"/>
      <c r="FWP83" s="1"/>
      <c r="FWQ83" s="1"/>
      <c r="FWR83" s="1"/>
      <c r="FWS83" s="1"/>
      <c r="FWT83" s="1"/>
      <c r="FWU83" s="1"/>
      <c r="FWV83" s="1"/>
      <c r="FWW83" s="1"/>
      <c r="FWX83" s="1"/>
      <c r="FWY83" s="1"/>
      <c r="FWZ83" s="1"/>
      <c r="FXA83" s="1"/>
      <c r="FXB83" s="1"/>
      <c r="FXC83" s="1"/>
      <c r="FXD83" s="1"/>
      <c r="FXE83" s="1"/>
      <c r="FXF83" s="1"/>
      <c r="FXG83" s="1"/>
      <c r="FXH83" s="1"/>
      <c r="FXI83" s="1"/>
      <c r="FXJ83" s="1"/>
      <c r="FXK83" s="1"/>
      <c r="FXL83" s="1"/>
      <c r="FXM83" s="1"/>
      <c r="FXN83" s="1"/>
      <c r="FXO83" s="1"/>
      <c r="FXP83" s="1"/>
      <c r="FXQ83" s="1"/>
      <c r="FXR83" s="1"/>
      <c r="FXS83" s="1"/>
      <c r="FXT83" s="1"/>
      <c r="FXU83" s="1"/>
      <c r="FXV83" s="1"/>
      <c r="FXW83" s="1"/>
      <c r="FXX83" s="1"/>
      <c r="FXY83" s="1"/>
      <c r="FXZ83" s="1"/>
      <c r="FYA83" s="1"/>
      <c r="FYB83" s="1"/>
      <c r="FYC83" s="1"/>
      <c r="FYD83" s="1"/>
      <c r="FYE83" s="1"/>
      <c r="FYF83" s="1"/>
      <c r="FYG83" s="1"/>
      <c r="FYH83" s="1"/>
      <c r="FYI83" s="1"/>
      <c r="FYJ83" s="1"/>
      <c r="FYK83" s="1"/>
      <c r="FYL83" s="1"/>
      <c r="FYM83" s="1"/>
      <c r="FYN83" s="1"/>
      <c r="FYO83" s="1"/>
      <c r="FYP83" s="1"/>
      <c r="FYQ83" s="1"/>
      <c r="FYR83" s="1"/>
      <c r="FYS83" s="1"/>
      <c r="FYT83" s="1"/>
      <c r="FYU83" s="1"/>
      <c r="FYV83" s="1"/>
      <c r="FYW83" s="1"/>
      <c r="FYX83" s="1"/>
      <c r="FYY83" s="1"/>
      <c r="FYZ83" s="1"/>
      <c r="FZA83" s="1"/>
      <c r="FZB83" s="1"/>
      <c r="FZC83" s="1"/>
      <c r="FZD83" s="1"/>
      <c r="FZE83" s="1"/>
      <c r="FZF83" s="1"/>
      <c r="FZG83" s="1"/>
      <c r="FZH83" s="1"/>
      <c r="FZI83" s="1"/>
      <c r="FZJ83" s="1"/>
      <c r="FZK83" s="1"/>
      <c r="FZL83" s="1"/>
      <c r="FZM83" s="1"/>
      <c r="FZN83" s="1"/>
      <c r="FZO83" s="1"/>
      <c r="FZP83" s="1"/>
      <c r="FZQ83" s="1"/>
      <c r="FZR83" s="1"/>
      <c r="FZS83" s="1"/>
      <c r="FZT83" s="1"/>
      <c r="FZU83" s="1"/>
      <c r="FZV83" s="1"/>
      <c r="FZW83" s="1"/>
      <c r="FZX83" s="1"/>
      <c r="FZY83" s="1"/>
      <c r="FZZ83" s="1"/>
      <c r="GAA83" s="1"/>
      <c r="GAB83" s="1"/>
      <c r="GAC83" s="1"/>
      <c r="GAD83" s="1"/>
      <c r="GAE83" s="1"/>
      <c r="GAF83" s="1"/>
      <c r="GAG83" s="1"/>
      <c r="GAH83" s="1"/>
      <c r="GAI83" s="1"/>
      <c r="GAJ83" s="1"/>
      <c r="GAK83" s="1"/>
      <c r="GAL83" s="1"/>
      <c r="GAM83" s="1"/>
      <c r="GAN83" s="1"/>
      <c r="GAO83" s="1"/>
      <c r="GAP83" s="1"/>
      <c r="GAQ83" s="1"/>
      <c r="GAR83" s="1"/>
      <c r="GAS83" s="1"/>
      <c r="GAT83" s="1"/>
      <c r="GAU83" s="1"/>
      <c r="GAV83" s="1"/>
      <c r="GAW83" s="1"/>
      <c r="GAX83" s="1"/>
      <c r="GAY83" s="1"/>
      <c r="GAZ83" s="1"/>
      <c r="GBA83" s="1"/>
      <c r="GBB83" s="1"/>
      <c r="GBC83" s="1"/>
      <c r="GBD83" s="1"/>
      <c r="GBE83" s="1"/>
      <c r="GBF83" s="1"/>
      <c r="GBG83" s="1"/>
      <c r="GBH83" s="1"/>
      <c r="GBI83" s="1"/>
      <c r="GBJ83" s="1"/>
      <c r="GBK83" s="1"/>
      <c r="GBL83" s="1"/>
      <c r="GBM83" s="1"/>
      <c r="GBN83" s="1"/>
      <c r="GBO83" s="1"/>
      <c r="GBP83" s="1"/>
      <c r="GBQ83" s="1"/>
      <c r="GBR83" s="1"/>
      <c r="GBS83" s="1"/>
      <c r="GBT83" s="1"/>
      <c r="GBU83" s="1"/>
      <c r="GBV83" s="1"/>
      <c r="GBW83" s="1"/>
      <c r="GBX83" s="1"/>
      <c r="GBY83" s="1"/>
      <c r="GBZ83" s="1"/>
      <c r="GCA83" s="1"/>
      <c r="GCB83" s="1"/>
      <c r="GCC83" s="1"/>
      <c r="GCD83" s="1"/>
      <c r="GCE83" s="1"/>
      <c r="GCF83" s="1"/>
      <c r="GCG83" s="1"/>
      <c r="GCH83" s="1"/>
      <c r="GCI83" s="1"/>
      <c r="GCJ83" s="1"/>
      <c r="GCK83" s="1"/>
      <c r="GCL83" s="1"/>
      <c r="GCM83" s="1"/>
      <c r="GCN83" s="1"/>
      <c r="GCO83" s="1"/>
      <c r="GCP83" s="1"/>
      <c r="GCQ83" s="1"/>
      <c r="GCR83" s="1"/>
      <c r="GCS83" s="1"/>
      <c r="GCT83" s="1"/>
      <c r="GCU83" s="1"/>
      <c r="GCV83" s="1"/>
      <c r="GCW83" s="1"/>
      <c r="GCX83" s="1"/>
      <c r="GCY83" s="1"/>
      <c r="GCZ83" s="1"/>
      <c r="GDA83" s="1"/>
      <c r="GDB83" s="1"/>
      <c r="GDC83" s="1"/>
      <c r="GDD83" s="1"/>
      <c r="GDE83" s="1"/>
      <c r="GDF83" s="1"/>
      <c r="GDG83" s="1"/>
      <c r="GDH83" s="1"/>
      <c r="GDI83" s="1"/>
      <c r="GDJ83" s="1"/>
      <c r="GDK83" s="1"/>
      <c r="GDL83" s="1"/>
      <c r="GDM83" s="1"/>
      <c r="GDN83" s="1"/>
      <c r="GDO83" s="1"/>
      <c r="GDP83" s="1"/>
      <c r="GDQ83" s="1"/>
      <c r="GDR83" s="1"/>
      <c r="GDS83" s="1"/>
      <c r="GDT83" s="1"/>
      <c r="GDU83" s="1"/>
      <c r="GDV83" s="1"/>
      <c r="GDW83" s="1"/>
      <c r="GDX83" s="1"/>
      <c r="GDY83" s="1"/>
      <c r="GDZ83" s="1"/>
      <c r="GEA83" s="1"/>
      <c r="GEB83" s="1"/>
      <c r="GEC83" s="1"/>
      <c r="GED83" s="1"/>
      <c r="GEE83" s="1"/>
      <c r="GEF83" s="1"/>
      <c r="GEG83" s="1"/>
      <c r="GEH83" s="1"/>
      <c r="GEI83" s="1"/>
      <c r="GEJ83" s="1"/>
      <c r="GEK83" s="1"/>
      <c r="GEL83" s="1"/>
      <c r="GEM83" s="1"/>
      <c r="GEN83" s="1"/>
      <c r="GEO83" s="1"/>
      <c r="GEP83" s="1"/>
      <c r="GEQ83" s="1"/>
      <c r="GER83" s="1"/>
      <c r="GES83" s="1"/>
      <c r="GET83" s="1"/>
      <c r="GEU83" s="1"/>
      <c r="GEV83" s="1"/>
      <c r="GEW83" s="1"/>
      <c r="GEX83" s="1"/>
      <c r="GEY83" s="1"/>
      <c r="GEZ83" s="1"/>
      <c r="GFA83" s="1"/>
      <c r="GFB83" s="1"/>
      <c r="GFC83" s="1"/>
      <c r="GFD83" s="1"/>
      <c r="GFE83" s="1"/>
      <c r="GFF83" s="1"/>
      <c r="GFG83" s="1"/>
      <c r="GFH83" s="1"/>
      <c r="GFI83" s="1"/>
      <c r="GFJ83" s="1"/>
      <c r="GFK83" s="1"/>
      <c r="GFL83" s="1"/>
      <c r="GFM83" s="1"/>
      <c r="GFN83" s="1"/>
      <c r="GFO83" s="1"/>
      <c r="GFP83" s="1"/>
      <c r="GFQ83" s="1"/>
      <c r="GFR83" s="1"/>
      <c r="GFS83" s="1"/>
      <c r="GFT83" s="1"/>
      <c r="GFU83" s="1"/>
      <c r="GFV83" s="1"/>
      <c r="GFW83" s="1"/>
      <c r="GFX83" s="1"/>
      <c r="GFY83" s="1"/>
      <c r="GFZ83" s="1"/>
      <c r="GGA83" s="1"/>
      <c r="GGB83" s="1"/>
      <c r="GGC83" s="1"/>
      <c r="GGD83" s="1"/>
      <c r="GGE83" s="1"/>
      <c r="GGF83" s="1"/>
      <c r="GGG83" s="1"/>
      <c r="GGH83" s="1"/>
      <c r="GGI83" s="1"/>
      <c r="GGJ83" s="1"/>
      <c r="GGK83" s="1"/>
      <c r="GGL83" s="1"/>
      <c r="GGM83" s="1"/>
      <c r="GGN83" s="1"/>
      <c r="GGO83" s="1"/>
      <c r="GGP83" s="1"/>
      <c r="GGQ83" s="1"/>
      <c r="GGR83" s="1"/>
      <c r="GGS83" s="1"/>
      <c r="GGT83" s="1"/>
      <c r="GGU83" s="1"/>
      <c r="GGV83" s="1"/>
      <c r="GGW83" s="1"/>
      <c r="GGX83" s="1"/>
      <c r="GGY83" s="1"/>
      <c r="GGZ83" s="1"/>
      <c r="GHA83" s="1"/>
      <c r="GHB83" s="1"/>
      <c r="GHC83" s="1"/>
      <c r="GHD83" s="1"/>
      <c r="GHE83" s="1"/>
      <c r="GHF83" s="1"/>
      <c r="GHG83" s="1"/>
      <c r="GHH83" s="1"/>
      <c r="GHI83" s="1"/>
      <c r="GHJ83" s="1"/>
      <c r="GHK83" s="1"/>
      <c r="GHL83" s="1"/>
      <c r="GHM83" s="1"/>
      <c r="GHN83" s="1"/>
      <c r="GHO83" s="1"/>
      <c r="GHP83" s="1"/>
      <c r="GHQ83" s="1"/>
      <c r="GHR83" s="1"/>
      <c r="GHS83" s="1"/>
      <c r="GHT83" s="1"/>
      <c r="GHU83" s="1"/>
      <c r="GHV83" s="1"/>
      <c r="GHW83" s="1"/>
      <c r="GHX83" s="1"/>
      <c r="GHY83" s="1"/>
      <c r="GHZ83" s="1"/>
      <c r="GIA83" s="1"/>
      <c r="GIB83" s="1"/>
      <c r="GIC83" s="1"/>
      <c r="GID83" s="1"/>
      <c r="GIE83" s="1"/>
      <c r="GIF83" s="1"/>
      <c r="GIG83" s="1"/>
      <c r="GIH83" s="1"/>
      <c r="GII83" s="1"/>
      <c r="GIJ83" s="1"/>
      <c r="GIK83" s="1"/>
      <c r="GIL83" s="1"/>
      <c r="GIM83" s="1"/>
      <c r="GIN83" s="1"/>
      <c r="GIO83" s="1"/>
      <c r="GIP83" s="1"/>
      <c r="GIQ83" s="1"/>
      <c r="GIR83" s="1"/>
      <c r="GIS83" s="1"/>
      <c r="GIT83" s="1"/>
      <c r="GIU83" s="1"/>
      <c r="GIV83" s="1"/>
      <c r="GIW83" s="1"/>
      <c r="GIX83" s="1"/>
      <c r="GIY83" s="1"/>
      <c r="GIZ83" s="1"/>
      <c r="GJA83" s="1"/>
      <c r="GJB83" s="1"/>
      <c r="GJC83" s="1"/>
      <c r="GJD83" s="1"/>
      <c r="GJE83" s="1"/>
      <c r="GJF83" s="1"/>
      <c r="GJG83" s="1"/>
      <c r="GJH83" s="1"/>
      <c r="GJI83" s="1"/>
      <c r="GJJ83" s="1"/>
      <c r="GJK83" s="1"/>
      <c r="GJL83" s="1"/>
      <c r="GJM83" s="1"/>
      <c r="GJN83" s="1"/>
      <c r="GJO83" s="1"/>
      <c r="GJP83" s="1"/>
      <c r="GJQ83" s="1"/>
      <c r="GJR83" s="1"/>
      <c r="GJS83" s="1"/>
      <c r="GJT83" s="1"/>
      <c r="GJU83" s="1"/>
      <c r="GJV83" s="1"/>
      <c r="GJW83" s="1"/>
      <c r="GJX83" s="1"/>
      <c r="GJY83" s="1"/>
      <c r="GJZ83" s="1"/>
      <c r="GKA83" s="1"/>
      <c r="GKB83" s="1"/>
      <c r="GKC83" s="1"/>
      <c r="GKD83" s="1"/>
      <c r="GKE83" s="1"/>
      <c r="GKF83" s="1"/>
      <c r="GKG83" s="1"/>
      <c r="GKH83" s="1"/>
      <c r="GKI83" s="1"/>
      <c r="GKJ83" s="1"/>
      <c r="GKK83" s="1"/>
      <c r="GKL83" s="1"/>
      <c r="GKM83" s="1"/>
      <c r="GKN83" s="1"/>
      <c r="GKO83" s="1"/>
      <c r="GKP83" s="1"/>
      <c r="GKQ83" s="1"/>
      <c r="GKR83" s="1"/>
      <c r="GKS83" s="1"/>
      <c r="GKT83" s="1"/>
      <c r="GKU83" s="1"/>
      <c r="GKV83" s="1"/>
      <c r="GKW83" s="1"/>
      <c r="GKX83" s="1"/>
      <c r="GKY83" s="1"/>
      <c r="GKZ83" s="1"/>
      <c r="GLA83" s="1"/>
      <c r="GLB83" s="1"/>
      <c r="GLC83" s="1"/>
      <c r="GLD83" s="1"/>
      <c r="GLE83" s="1"/>
      <c r="GLF83" s="1"/>
      <c r="GLG83" s="1"/>
      <c r="GLH83" s="1"/>
      <c r="GLI83" s="1"/>
      <c r="GLJ83" s="1"/>
      <c r="GLK83" s="1"/>
      <c r="GLL83" s="1"/>
      <c r="GLM83" s="1"/>
      <c r="GLN83" s="1"/>
      <c r="GLO83" s="1"/>
      <c r="GLP83" s="1"/>
      <c r="GLQ83" s="1"/>
      <c r="GLR83" s="1"/>
      <c r="GLS83" s="1"/>
      <c r="GLT83" s="1"/>
      <c r="GLU83" s="1"/>
      <c r="GLV83" s="1"/>
      <c r="GLW83" s="1"/>
      <c r="GLX83" s="1"/>
      <c r="GLY83" s="1"/>
      <c r="GLZ83" s="1"/>
      <c r="GMA83" s="1"/>
      <c r="GMB83" s="1"/>
      <c r="GMC83" s="1"/>
      <c r="GMD83" s="1"/>
      <c r="GME83" s="1"/>
      <c r="GMF83" s="1"/>
      <c r="GMG83" s="1"/>
      <c r="GMH83" s="1"/>
      <c r="GMI83" s="1"/>
      <c r="GMJ83" s="1"/>
      <c r="GMK83" s="1"/>
      <c r="GML83" s="1"/>
      <c r="GMM83" s="1"/>
      <c r="GMN83" s="1"/>
      <c r="GMO83" s="1"/>
      <c r="GMP83" s="1"/>
      <c r="GMQ83" s="1"/>
      <c r="GMR83" s="1"/>
      <c r="GMS83" s="1"/>
      <c r="GMT83" s="1"/>
      <c r="GMU83" s="1"/>
      <c r="GMV83" s="1"/>
      <c r="GMW83" s="1"/>
      <c r="GMX83" s="1"/>
      <c r="GMY83" s="1"/>
      <c r="GMZ83" s="1"/>
      <c r="GNA83" s="1"/>
      <c r="GNB83" s="1"/>
      <c r="GNC83" s="1"/>
      <c r="GND83" s="1"/>
      <c r="GNE83" s="1"/>
      <c r="GNF83" s="1"/>
      <c r="GNG83" s="1"/>
      <c r="GNH83" s="1"/>
      <c r="GNI83" s="1"/>
      <c r="GNJ83" s="1"/>
      <c r="GNK83" s="1"/>
      <c r="GNL83" s="1"/>
      <c r="GNM83" s="1"/>
      <c r="GNN83" s="1"/>
      <c r="GNO83" s="1"/>
      <c r="GNP83" s="1"/>
      <c r="GNQ83" s="1"/>
      <c r="GNR83" s="1"/>
      <c r="GNS83" s="1"/>
      <c r="GNT83" s="1"/>
      <c r="GNU83" s="1"/>
      <c r="GNV83" s="1"/>
      <c r="GNW83" s="1"/>
      <c r="GNX83" s="1"/>
      <c r="GNY83" s="1"/>
      <c r="GNZ83" s="1"/>
      <c r="GOA83" s="1"/>
      <c r="GOB83" s="1"/>
      <c r="GOC83" s="1"/>
      <c r="GOD83" s="1"/>
      <c r="GOE83" s="1"/>
      <c r="GOF83" s="1"/>
      <c r="GOG83" s="1"/>
      <c r="GOH83" s="1"/>
      <c r="GOI83" s="1"/>
      <c r="GOJ83" s="1"/>
      <c r="GOK83" s="1"/>
      <c r="GOL83" s="1"/>
      <c r="GOM83" s="1"/>
      <c r="GON83" s="1"/>
      <c r="GOO83" s="1"/>
      <c r="GOP83" s="1"/>
      <c r="GOQ83" s="1"/>
      <c r="GOR83" s="1"/>
      <c r="GOS83" s="1"/>
      <c r="GOT83" s="1"/>
      <c r="GOU83" s="1"/>
      <c r="GOV83" s="1"/>
      <c r="GOW83" s="1"/>
      <c r="GOX83" s="1"/>
      <c r="GOY83" s="1"/>
      <c r="GOZ83" s="1"/>
      <c r="GPA83" s="1"/>
      <c r="GPB83" s="1"/>
      <c r="GPC83" s="1"/>
      <c r="GPD83" s="1"/>
      <c r="GPE83" s="1"/>
      <c r="GPF83" s="1"/>
      <c r="GPG83" s="1"/>
      <c r="GPH83" s="1"/>
      <c r="GPI83" s="1"/>
      <c r="GPJ83" s="1"/>
      <c r="GPK83" s="1"/>
      <c r="GPL83" s="1"/>
      <c r="GPM83" s="1"/>
      <c r="GPN83" s="1"/>
      <c r="GPO83" s="1"/>
      <c r="GPP83" s="1"/>
      <c r="GPQ83" s="1"/>
      <c r="GPR83" s="1"/>
      <c r="GPS83" s="1"/>
      <c r="GPT83" s="1"/>
      <c r="GPU83" s="1"/>
      <c r="GPV83" s="1"/>
      <c r="GPW83" s="1"/>
      <c r="GPX83" s="1"/>
      <c r="GPY83" s="1"/>
      <c r="GPZ83" s="1"/>
      <c r="GQA83" s="1"/>
      <c r="GQB83" s="1"/>
      <c r="GQC83" s="1"/>
      <c r="GQD83" s="1"/>
      <c r="GQE83" s="1"/>
      <c r="GQF83" s="1"/>
      <c r="GQG83" s="1"/>
      <c r="GQH83" s="1"/>
      <c r="GQI83" s="1"/>
      <c r="GQJ83" s="1"/>
      <c r="GQK83" s="1"/>
      <c r="GQL83" s="1"/>
      <c r="GQM83" s="1"/>
      <c r="GQN83" s="1"/>
      <c r="GQO83" s="1"/>
      <c r="GQP83" s="1"/>
      <c r="GQQ83" s="1"/>
      <c r="GQR83" s="1"/>
      <c r="GQS83" s="1"/>
      <c r="GQT83" s="1"/>
      <c r="GQU83" s="1"/>
      <c r="GQV83" s="1"/>
      <c r="GQW83" s="1"/>
      <c r="GQX83" s="1"/>
      <c r="GQY83" s="1"/>
      <c r="GQZ83" s="1"/>
      <c r="GRA83" s="1"/>
      <c r="GRB83" s="1"/>
      <c r="GRC83" s="1"/>
      <c r="GRD83" s="1"/>
      <c r="GRE83" s="1"/>
      <c r="GRF83" s="1"/>
      <c r="GRG83" s="1"/>
      <c r="GRH83" s="1"/>
      <c r="GRI83" s="1"/>
      <c r="GRJ83" s="1"/>
      <c r="GRK83" s="1"/>
      <c r="GRL83" s="1"/>
      <c r="GRM83" s="1"/>
      <c r="GRN83" s="1"/>
      <c r="GRO83" s="1"/>
      <c r="GRP83" s="1"/>
      <c r="GRQ83" s="1"/>
      <c r="GRR83" s="1"/>
      <c r="GRS83" s="1"/>
      <c r="GRT83" s="1"/>
      <c r="GRU83" s="1"/>
      <c r="GRV83" s="1"/>
      <c r="GRW83" s="1"/>
      <c r="GRX83" s="1"/>
      <c r="GRY83" s="1"/>
      <c r="GRZ83" s="1"/>
      <c r="GSA83" s="1"/>
      <c r="GSB83" s="1"/>
      <c r="GSC83" s="1"/>
      <c r="GSD83" s="1"/>
      <c r="GSE83" s="1"/>
      <c r="GSF83" s="1"/>
      <c r="GSG83" s="1"/>
      <c r="GSH83" s="1"/>
      <c r="GSI83" s="1"/>
      <c r="GSJ83" s="1"/>
      <c r="GSK83" s="1"/>
      <c r="GSL83" s="1"/>
      <c r="GSM83" s="1"/>
      <c r="GSN83" s="1"/>
      <c r="GSO83" s="1"/>
      <c r="GSP83" s="1"/>
      <c r="GSQ83" s="1"/>
      <c r="GSR83" s="1"/>
      <c r="GSS83" s="1"/>
      <c r="GST83" s="1"/>
      <c r="GSU83" s="1"/>
      <c r="GSV83" s="1"/>
      <c r="GSW83" s="1"/>
      <c r="GSX83" s="1"/>
      <c r="GSY83" s="1"/>
      <c r="GSZ83" s="1"/>
      <c r="GTA83" s="1"/>
      <c r="GTB83" s="1"/>
      <c r="GTC83" s="1"/>
      <c r="GTD83" s="1"/>
      <c r="GTE83" s="1"/>
      <c r="GTF83" s="1"/>
      <c r="GTG83" s="1"/>
      <c r="GTH83" s="1"/>
      <c r="GTI83" s="1"/>
      <c r="GTJ83" s="1"/>
      <c r="GTK83" s="1"/>
      <c r="GTL83" s="1"/>
      <c r="GTM83" s="1"/>
      <c r="GTN83" s="1"/>
      <c r="GTO83" s="1"/>
      <c r="GTP83" s="1"/>
      <c r="GTQ83" s="1"/>
      <c r="GTR83" s="1"/>
      <c r="GTS83" s="1"/>
      <c r="GTT83" s="1"/>
      <c r="GTU83" s="1"/>
      <c r="GTV83" s="1"/>
      <c r="GTW83" s="1"/>
      <c r="GTX83" s="1"/>
      <c r="GTY83" s="1"/>
      <c r="GTZ83" s="1"/>
      <c r="GUA83" s="1"/>
      <c r="GUB83" s="1"/>
      <c r="GUC83" s="1"/>
      <c r="GUD83" s="1"/>
      <c r="GUE83" s="1"/>
      <c r="GUF83" s="1"/>
      <c r="GUG83" s="1"/>
      <c r="GUH83" s="1"/>
      <c r="GUI83" s="1"/>
      <c r="GUJ83" s="1"/>
      <c r="GUK83" s="1"/>
      <c r="GUL83" s="1"/>
      <c r="GUM83" s="1"/>
      <c r="GUN83" s="1"/>
      <c r="GUO83" s="1"/>
      <c r="GUP83" s="1"/>
      <c r="GUQ83" s="1"/>
      <c r="GUR83" s="1"/>
      <c r="GUS83" s="1"/>
      <c r="GUT83" s="1"/>
      <c r="GUU83" s="1"/>
      <c r="GUV83" s="1"/>
      <c r="GUW83" s="1"/>
      <c r="GUX83" s="1"/>
      <c r="GUY83" s="1"/>
      <c r="GUZ83" s="1"/>
      <c r="GVA83" s="1"/>
      <c r="GVB83" s="1"/>
      <c r="GVC83" s="1"/>
      <c r="GVD83" s="1"/>
      <c r="GVE83" s="1"/>
      <c r="GVF83" s="1"/>
      <c r="GVG83" s="1"/>
      <c r="GVH83" s="1"/>
      <c r="GVI83" s="1"/>
      <c r="GVJ83" s="1"/>
      <c r="GVK83" s="1"/>
      <c r="GVL83" s="1"/>
      <c r="GVM83" s="1"/>
      <c r="GVN83" s="1"/>
      <c r="GVO83" s="1"/>
      <c r="GVP83" s="1"/>
      <c r="GVQ83" s="1"/>
      <c r="GVR83" s="1"/>
      <c r="GVS83" s="1"/>
      <c r="GVT83" s="1"/>
      <c r="GVU83" s="1"/>
      <c r="GVV83" s="1"/>
      <c r="GVW83" s="1"/>
      <c r="GVX83" s="1"/>
      <c r="GVY83" s="1"/>
      <c r="GVZ83" s="1"/>
      <c r="GWA83" s="1"/>
      <c r="GWB83" s="1"/>
      <c r="GWC83" s="1"/>
      <c r="GWD83" s="1"/>
      <c r="GWE83" s="1"/>
      <c r="GWF83" s="1"/>
      <c r="GWG83" s="1"/>
      <c r="GWH83" s="1"/>
      <c r="GWI83" s="1"/>
      <c r="GWJ83" s="1"/>
      <c r="GWK83" s="1"/>
      <c r="GWL83" s="1"/>
      <c r="GWM83" s="1"/>
      <c r="GWN83" s="1"/>
      <c r="GWO83" s="1"/>
      <c r="GWP83" s="1"/>
      <c r="GWQ83" s="1"/>
      <c r="GWR83" s="1"/>
      <c r="GWS83" s="1"/>
      <c r="GWT83" s="1"/>
      <c r="GWU83" s="1"/>
      <c r="GWV83" s="1"/>
      <c r="GWW83" s="1"/>
      <c r="GWX83" s="1"/>
      <c r="GWY83" s="1"/>
      <c r="GWZ83" s="1"/>
      <c r="GXA83" s="1"/>
      <c r="GXB83" s="1"/>
      <c r="GXC83" s="1"/>
      <c r="GXD83" s="1"/>
      <c r="GXE83" s="1"/>
      <c r="GXF83" s="1"/>
      <c r="GXG83" s="1"/>
      <c r="GXH83" s="1"/>
      <c r="GXI83" s="1"/>
      <c r="GXJ83" s="1"/>
      <c r="GXK83" s="1"/>
      <c r="GXL83" s="1"/>
      <c r="GXM83" s="1"/>
      <c r="GXN83" s="1"/>
      <c r="GXO83" s="1"/>
      <c r="GXP83" s="1"/>
      <c r="GXQ83" s="1"/>
      <c r="GXR83" s="1"/>
      <c r="GXS83" s="1"/>
      <c r="GXT83" s="1"/>
      <c r="GXU83" s="1"/>
      <c r="GXV83" s="1"/>
      <c r="GXW83" s="1"/>
      <c r="GXX83" s="1"/>
      <c r="GXY83" s="1"/>
      <c r="GXZ83" s="1"/>
      <c r="GYA83" s="1"/>
      <c r="GYB83" s="1"/>
      <c r="GYC83" s="1"/>
      <c r="GYD83" s="1"/>
      <c r="GYE83" s="1"/>
      <c r="GYF83" s="1"/>
      <c r="GYG83" s="1"/>
      <c r="GYH83" s="1"/>
      <c r="GYI83" s="1"/>
      <c r="GYJ83" s="1"/>
      <c r="GYK83" s="1"/>
      <c r="GYL83" s="1"/>
      <c r="GYM83" s="1"/>
      <c r="GYN83" s="1"/>
      <c r="GYO83" s="1"/>
      <c r="GYP83" s="1"/>
      <c r="GYQ83" s="1"/>
      <c r="GYR83" s="1"/>
      <c r="GYS83" s="1"/>
      <c r="GYT83" s="1"/>
      <c r="GYU83" s="1"/>
      <c r="GYV83" s="1"/>
      <c r="GYW83" s="1"/>
      <c r="GYX83" s="1"/>
      <c r="GYY83" s="1"/>
      <c r="GYZ83" s="1"/>
      <c r="GZA83" s="1"/>
      <c r="GZB83" s="1"/>
      <c r="GZC83" s="1"/>
      <c r="GZD83" s="1"/>
      <c r="GZE83" s="1"/>
      <c r="GZF83" s="1"/>
      <c r="GZG83" s="1"/>
      <c r="GZH83" s="1"/>
      <c r="GZI83" s="1"/>
      <c r="GZJ83" s="1"/>
      <c r="GZK83" s="1"/>
      <c r="GZL83" s="1"/>
      <c r="GZM83" s="1"/>
      <c r="GZN83" s="1"/>
      <c r="GZO83" s="1"/>
      <c r="GZP83" s="1"/>
      <c r="GZQ83" s="1"/>
      <c r="GZR83" s="1"/>
      <c r="GZS83" s="1"/>
      <c r="GZT83" s="1"/>
      <c r="GZU83" s="1"/>
      <c r="GZV83" s="1"/>
      <c r="GZW83" s="1"/>
      <c r="GZX83" s="1"/>
      <c r="GZY83" s="1"/>
      <c r="GZZ83" s="1"/>
      <c r="HAA83" s="1"/>
      <c r="HAB83" s="1"/>
      <c r="HAC83" s="1"/>
      <c r="HAD83" s="1"/>
      <c r="HAE83" s="1"/>
      <c r="HAF83" s="1"/>
      <c r="HAG83" s="1"/>
      <c r="HAH83" s="1"/>
      <c r="HAI83" s="1"/>
      <c r="HAJ83" s="1"/>
      <c r="HAK83" s="1"/>
      <c r="HAL83" s="1"/>
      <c r="HAM83" s="1"/>
      <c r="HAN83" s="1"/>
      <c r="HAO83" s="1"/>
      <c r="HAP83" s="1"/>
      <c r="HAQ83" s="1"/>
      <c r="HAR83" s="1"/>
      <c r="HAS83" s="1"/>
      <c r="HAT83" s="1"/>
      <c r="HAU83" s="1"/>
      <c r="HAV83" s="1"/>
      <c r="HAW83" s="1"/>
      <c r="HAX83" s="1"/>
      <c r="HAY83" s="1"/>
      <c r="HAZ83" s="1"/>
      <c r="HBA83" s="1"/>
      <c r="HBB83" s="1"/>
      <c r="HBC83" s="1"/>
      <c r="HBD83" s="1"/>
      <c r="HBE83" s="1"/>
      <c r="HBF83" s="1"/>
      <c r="HBG83" s="1"/>
      <c r="HBH83" s="1"/>
      <c r="HBI83" s="1"/>
      <c r="HBJ83" s="1"/>
      <c r="HBK83" s="1"/>
      <c r="HBL83" s="1"/>
      <c r="HBM83" s="1"/>
      <c r="HBN83" s="1"/>
      <c r="HBO83" s="1"/>
      <c r="HBP83" s="1"/>
      <c r="HBQ83" s="1"/>
      <c r="HBR83" s="1"/>
      <c r="HBS83" s="1"/>
      <c r="HBT83" s="1"/>
      <c r="HBU83" s="1"/>
      <c r="HBV83" s="1"/>
      <c r="HBW83" s="1"/>
      <c r="HBX83" s="1"/>
      <c r="HBY83" s="1"/>
      <c r="HBZ83" s="1"/>
      <c r="HCA83" s="1"/>
      <c r="HCB83" s="1"/>
      <c r="HCC83" s="1"/>
      <c r="HCD83" s="1"/>
      <c r="HCE83" s="1"/>
      <c r="HCF83" s="1"/>
      <c r="HCG83" s="1"/>
      <c r="HCH83" s="1"/>
      <c r="HCI83" s="1"/>
      <c r="HCJ83" s="1"/>
      <c r="HCK83" s="1"/>
      <c r="HCL83" s="1"/>
      <c r="HCM83" s="1"/>
      <c r="HCN83" s="1"/>
      <c r="HCO83" s="1"/>
      <c r="HCP83" s="1"/>
      <c r="HCQ83" s="1"/>
      <c r="HCR83" s="1"/>
      <c r="HCS83" s="1"/>
      <c r="HCT83" s="1"/>
      <c r="HCU83" s="1"/>
      <c r="HCV83" s="1"/>
      <c r="HCW83" s="1"/>
      <c r="HCX83" s="1"/>
      <c r="HCY83" s="1"/>
      <c r="HCZ83" s="1"/>
      <c r="HDA83" s="1"/>
      <c r="HDB83" s="1"/>
      <c r="HDC83" s="1"/>
      <c r="HDD83" s="1"/>
      <c r="HDE83" s="1"/>
      <c r="HDF83" s="1"/>
      <c r="HDG83" s="1"/>
      <c r="HDH83" s="1"/>
      <c r="HDI83" s="1"/>
      <c r="HDJ83" s="1"/>
      <c r="HDK83" s="1"/>
      <c r="HDL83" s="1"/>
      <c r="HDM83" s="1"/>
      <c r="HDN83" s="1"/>
      <c r="HDO83" s="1"/>
      <c r="HDP83" s="1"/>
      <c r="HDQ83" s="1"/>
      <c r="HDR83" s="1"/>
      <c r="HDS83" s="1"/>
      <c r="HDT83" s="1"/>
      <c r="HDU83" s="1"/>
      <c r="HDV83" s="1"/>
      <c r="HDW83" s="1"/>
      <c r="HDX83" s="1"/>
      <c r="HDY83" s="1"/>
      <c r="HDZ83" s="1"/>
      <c r="HEA83" s="1"/>
      <c r="HEB83" s="1"/>
      <c r="HEC83" s="1"/>
      <c r="HED83" s="1"/>
      <c r="HEE83" s="1"/>
      <c r="HEF83" s="1"/>
      <c r="HEG83" s="1"/>
      <c r="HEH83" s="1"/>
      <c r="HEI83" s="1"/>
      <c r="HEJ83" s="1"/>
      <c r="HEK83" s="1"/>
      <c r="HEL83" s="1"/>
      <c r="HEM83" s="1"/>
      <c r="HEN83" s="1"/>
      <c r="HEO83" s="1"/>
      <c r="HEP83" s="1"/>
      <c r="HEQ83" s="1"/>
      <c r="HER83" s="1"/>
      <c r="HES83" s="1"/>
      <c r="HET83" s="1"/>
      <c r="HEU83" s="1"/>
      <c r="HEV83" s="1"/>
      <c r="HEW83" s="1"/>
      <c r="HEX83" s="1"/>
      <c r="HEY83" s="1"/>
      <c r="HEZ83" s="1"/>
      <c r="HFA83" s="1"/>
      <c r="HFB83" s="1"/>
      <c r="HFC83" s="1"/>
      <c r="HFD83" s="1"/>
      <c r="HFE83" s="1"/>
      <c r="HFF83" s="1"/>
      <c r="HFG83" s="1"/>
      <c r="HFH83" s="1"/>
      <c r="HFI83" s="1"/>
      <c r="HFJ83" s="1"/>
      <c r="HFK83" s="1"/>
      <c r="HFL83" s="1"/>
      <c r="HFM83" s="1"/>
      <c r="HFN83" s="1"/>
      <c r="HFO83" s="1"/>
      <c r="HFP83" s="1"/>
      <c r="HFQ83" s="1"/>
      <c r="HFR83" s="1"/>
      <c r="HFS83" s="1"/>
      <c r="HFT83" s="1"/>
      <c r="HFU83" s="1"/>
      <c r="HFV83" s="1"/>
      <c r="HFW83" s="1"/>
      <c r="HFX83" s="1"/>
      <c r="HFY83" s="1"/>
      <c r="HFZ83" s="1"/>
      <c r="HGA83" s="1"/>
      <c r="HGB83" s="1"/>
      <c r="HGC83" s="1"/>
      <c r="HGD83" s="1"/>
      <c r="HGE83" s="1"/>
      <c r="HGF83" s="1"/>
      <c r="HGG83" s="1"/>
      <c r="HGH83" s="1"/>
      <c r="HGI83" s="1"/>
      <c r="HGJ83" s="1"/>
      <c r="HGK83" s="1"/>
      <c r="HGL83" s="1"/>
      <c r="HGM83" s="1"/>
      <c r="HGN83" s="1"/>
      <c r="HGO83" s="1"/>
      <c r="HGP83" s="1"/>
      <c r="HGQ83" s="1"/>
      <c r="HGR83" s="1"/>
      <c r="HGS83" s="1"/>
      <c r="HGT83" s="1"/>
      <c r="HGU83" s="1"/>
      <c r="HGV83" s="1"/>
      <c r="HGW83" s="1"/>
      <c r="HGX83" s="1"/>
      <c r="HGY83" s="1"/>
      <c r="HGZ83" s="1"/>
      <c r="HHA83" s="1"/>
      <c r="HHB83" s="1"/>
      <c r="HHC83" s="1"/>
      <c r="HHD83" s="1"/>
      <c r="HHE83" s="1"/>
      <c r="HHF83" s="1"/>
      <c r="HHG83" s="1"/>
      <c r="HHH83" s="1"/>
      <c r="HHI83" s="1"/>
      <c r="HHJ83" s="1"/>
      <c r="HHK83" s="1"/>
      <c r="HHL83" s="1"/>
      <c r="HHM83" s="1"/>
      <c r="HHN83" s="1"/>
      <c r="HHO83" s="1"/>
      <c r="HHP83" s="1"/>
      <c r="HHQ83" s="1"/>
      <c r="HHR83" s="1"/>
      <c r="HHS83" s="1"/>
      <c r="HHT83" s="1"/>
      <c r="HHU83" s="1"/>
      <c r="HHV83" s="1"/>
      <c r="HHW83" s="1"/>
      <c r="HHX83" s="1"/>
      <c r="HHY83" s="1"/>
      <c r="HHZ83" s="1"/>
      <c r="HIA83" s="1"/>
      <c r="HIB83" s="1"/>
      <c r="HIC83" s="1"/>
      <c r="HID83" s="1"/>
      <c r="HIE83" s="1"/>
      <c r="HIF83" s="1"/>
      <c r="HIG83" s="1"/>
      <c r="HIH83" s="1"/>
      <c r="HII83" s="1"/>
      <c r="HIJ83" s="1"/>
      <c r="HIK83" s="1"/>
      <c r="HIL83" s="1"/>
      <c r="HIM83" s="1"/>
      <c r="HIN83" s="1"/>
      <c r="HIO83" s="1"/>
      <c r="HIP83" s="1"/>
      <c r="HIQ83" s="1"/>
      <c r="HIR83" s="1"/>
      <c r="HIS83" s="1"/>
      <c r="HIT83" s="1"/>
      <c r="HIU83" s="1"/>
      <c r="HIV83" s="1"/>
      <c r="HIW83" s="1"/>
      <c r="HIX83" s="1"/>
      <c r="HIY83" s="1"/>
      <c r="HIZ83" s="1"/>
      <c r="HJA83" s="1"/>
      <c r="HJB83" s="1"/>
      <c r="HJC83" s="1"/>
      <c r="HJD83" s="1"/>
      <c r="HJE83" s="1"/>
      <c r="HJF83" s="1"/>
      <c r="HJG83" s="1"/>
      <c r="HJH83" s="1"/>
      <c r="HJI83" s="1"/>
      <c r="HJJ83" s="1"/>
      <c r="HJK83" s="1"/>
      <c r="HJL83" s="1"/>
      <c r="HJM83" s="1"/>
      <c r="HJN83" s="1"/>
      <c r="HJO83" s="1"/>
      <c r="HJP83" s="1"/>
      <c r="HJQ83" s="1"/>
      <c r="HJR83" s="1"/>
      <c r="HJS83" s="1"/>
      <c r="HJT83" s="1"/>
      <c r="HJU83" s="1"/>
      <c r="HJV83" s="1"/>
      <c r="HJW83" s="1"/>
      <c r="HJX83" s="1"/>
      <c r="HJY83" s="1"/>
      <c r="HJZ83" s="1"/>
      <c r="HKA83" s="1"/>
      <c r="HKB83" s="1"/>
      <c r="HKC83" s="1"/>
      <c r="HKD83" s="1"/>
      <c r="HKE83" s="1"/>
      <c r="HKF83" s="1"/>
      <c r="HKG83" s="1"/>
      <c r="HKH83" s="1"/>
      <c r="HKI83" s="1"/>
      <c r="HKJ83" s="1"/>
      <c r="HKK83" s="1"/>
      <c r="HKL83" s="1"/>
      <c r="HKM83" s="1"/>
      <c r="HKN83" s="1"/>
      <c r="HKO83" s="1"/>
      <c r="HKP83" s="1"/>
      <c r="HKQ83" s="1"/>
      <c r="HKR83" s="1"/>
      <c r="HKS83" s="1"/>
      <c r="HKT83" s="1"/>
      <c r="HKU83" s="1"/>
      <c r="HKV83" s="1"/>
      <c r="HKW83" s="1"/>
      <c r="HKX83" s="1"/>
      <c r="HKY83" s="1"/>
      <c r="HKZ83" s="1"/>
      <c r="HLA83" s="1"/>
      <c r="HLB83" s="1"/>
      <c r="HLC83" s="1"/>
      <c r="HLD83" s="1"/>
      <c r="HLE83" s="1"/>
      <c r="HLF83" s="1"/>
      <c r="HLG83" s="1"/>
      <c r="HLH83" s="1"/>
      <c r="HLI83" s="1"/>
      <c r="HLJ83" s="1"/>
      <c r="HLK83" s="1"/>
      <c r="HLL83" s="1"/>
      <c r="HLM83" s="1"/>
      <c r="HLN83" s="1"/>
      <c r="HLO83" s="1"/>
      <c r="HLP83" s="1"/>
      <c r="HLQ83" s="1"/>
      <c r="HLR83" s="1"/>
      <c r="HLS83" s="1"/>
      <c r="HLT83" s="1"/>
      <c r="HLU83" s="1"/>
      <c r="HLV83" s="1"/>
      <c r="HLW83" s="1"/>
      <c r="HLX83" s="1"/>
      <c r="HLY83" s="1"/>
      <c r="HLZ83" s="1"/>
      <c r="HMA83" s="1"/>
      <c r="HMB83" s="1"/>
      <c r="HMC83" s="1"/>
      <c r="HMD83" s="1"/>
      <c r="HME83" s="1"/>
      <c r="HMF83" s="1"/>
      <c r="HMG83" s="1"/>
      <c r="HMH83" s="1"/>
      <c r="HMI83" s="1"/>
      <c r="HMJ83" s="1"/>
      <c r="HMK83" s="1"/>
      <c r="HML83" s="1"/>
      <c r="HMM83" s="1"/>
      <c r="HMN83" s="1"/>
      <c r="HMO83" s="1"/>
      <c r="HMP83" s="1"/>
      <c r="HMQ83" s="1"/>
      <c r="HMR83" s="1"/>
      <c r="HMS83" s="1"/>
      <c r="HMT83" s="1"/>
      <c r="HMU83" s="1"/>
      <c r="HMV83" s="1"/>
      <c r="HMW83" s="1"/>
      <c r="HMX83" s="1"/>
      <c r="HMY83" s="1"/>
      <c r="HMZ83" s="1"/>
      <c r="HNA83" s="1"/>
      <c r="HNB83" s="1"/>
      <c r="HNC83" s="1"/>
      <c r="HND83" s="1"/>
      <c r="HNE83" s="1"/>
      <c r="HNF83" s="1"/>
      <c r="HNG83" s="1"/>
      <c r="HNH83" s="1"/>
      <c r="HNI83" s="1"/>
      <c r="HNJ83" s="1"/>
      <c r="HNK83" s="1"/>
      <c r="HNL83" s="1"/>
      <c r="HNM83" s="1"/>
      <c r="HNN83" s="1"/>
      <c r="HNO83" s="1"/>
      <c r="HNP83" s="1"/>
      <c r="HNQ83" s="1"/>
      <c r="HNR83" s="1"/>
      <c r="HNS83" s="1"/>
      <c r="HNT83" s="1"/>
      <c r="HNU83" s="1"/>
      <c r="HNV83" s="1"/>
      <c r="HNW83" s="1"/>
      <c r="HNX83" s="1"/>
      <c r="HNY83" s="1"/>
      <c r="HNZ83" s="1"/>
      <c r="HOA83" s="1"/>
      <c r="HOB83" s="1"/>
      <c r="HOC83" s="1"/>
      <c r="HOD83" s="1"/>
      <c r="HOE83" s="1"/>
      <c r="HOF83" s="1"/>
      <c r="HOG83" s="1"/>
      <c r="HOH83" s="1"/>
      <c r="HOI83" s="1"/>
      <c r="HOJ83" s="1"/>
      <c r="HOK83" s="1"/>
      <c r="HOL83" s="1"/>
      <c r="HOM83" s="1"/>
      <c r="HON83" s="1"/>
      <c r="HOO83" s="1"/>
      <c r="HOP83" s="1"/>
      <c r="HOQ83" s="1"/>
      <c r="HOR83" s="1"/>
      <c r="HOS83" s="1"/>
      <c r="HOT83" s="1"/>
      <c r="HOU83" s="1"/>
      <c r="HOV83" s="1"/>
      <c r="HOW83" s="1"/>
      <c r="HOX83" s="1"/>
      <c r="HOY83" s="1"/>
      <c r="HOZ83" s="1"/>
      <c r="HPA83" s="1"/>
      <c r="HPB83" s="1"/>
      <c r="HPC83" s="1"/>
      <c r="HPD83" s="1"/>
      <c r="HPE83" s="1"/>
      <c r="HPF83" s="1"/>
      <c r="HPG83" s="1"/>
      <c r="HPH83" s="1"/>
      <c r="HPI83" s="1"/>
      <c r="HPJ83" s="1"/>
      <c r="HPK83" s="1"/>
      <c r="HPL83" s="1"/>
      <c r="HPM83" s="1"/>
      <c r="HPN83" s="1"/>
      <c r="HPO83" s="1"/>
      <c r="HPP83" s="1"/>
      <c r="HPQ83" s="1"/>
      <c r="HPR83" s="1"/>
      <c r="HPS83" s="1"/>
      <c r="HPT83" s="1"/>
      <c r="HPU83" s="1"/>
      <c r="HPV83" s="1"/>
      <c r="HPW83" s="1"/>
      <c r="HPX83" s="1"/>
      <c r="HPY83" s="1"/>
      <c r="HPZ83" s="1"/>
      <c r="HQA83" s="1"/>
      <c r="HQB83" s="1"/>
      <c r="HQC83" s="1"/>
      <c r="HQD83" s="1"/>
      <c r="HQE83" s="1"/>
      <c r="HQF83" s="1"/>
      <c r="HQG83" s="1"/>
      <c r="HQH83" s="1"/>
      <c r="HQI83" s="1"/>
      <c r="HQJ83" s="1"/>
      <c r="HQK83" s="1"/>
      <c r="HQL83" s="1"/>
      <c r="HQM83" s="1"/>
      <c r="HQN83" s="1"/>
      <c r="HQO83" s="1"/>
      <c r="HQP83" s="1"/>
      <c r="HQQ83" s="1"/>
      <c r="HQR83" s="1"/>
      <c r="HQS83" s="1"/>
      <c r="HQT83" s="1"/>
      <c r="HQU83" s="1"/>
      <c r="HQV83" s="1"/>
      <c r="HQW83" s="1"/>
      <c r="HQX83" s="1"/>
      <c r="HQY83" s="1"/>
      <c r="HQZ83" s="1"/>
      <c r="HRA83" s="1"/>
      <c r="HRB83" s="1"/>
      <c r="HRC83" s="1"/>
      <c r="HRD83" s="1"/>
      <c r="HRE83" s="1"/>
      <c r="HRF83" s="1"/>
      <c r="HRG83" s="1"/>
      <c r="HRH83" s="1"/>
      <c r="HRI83" s="1"/>
      <c r="HRJ83" s="1"/>
      <c r="HRK83" s="1"/>
      <c r="HRL83" s="1"/>
      <c r="HRM83" s="1"/>
      <c r="HRN83" s="1"/>
      <c r="HRO83" s="1"/>
      <c r="HRP83" s="1"/>
      <c r="HRQ83" s="1"/>
      <c r="HRR83" s="1"/>
      <c r="HRS83" s="1"/>
      <c r="HRT83" s="1"/>
      <c r="HRU83" s="1"/>
      <c r="HRV83" s="1"/>
      <c r="HRW83" s="1"/>
      <c r="HRX83" s="1"/>
      <c r="HRY83" s="1"/>
      <c r="HRZ83" s="1"/>
      <c r="HSA83" s="1"/>
      <c r="HSB83" s="1"/>
      <c r="HSC83" s="1"/>
      <c r="HSD83" s="1"/>
      <c r="HSE83" s="1"/>
      <c r="HSF83" s="1"/>
      <c r="HSG83" s="1"/>
      <c r="HSH83" s="1"/>
      <c r="HSI83" s="1"/>
      <c r="HSJ83" s="1"/>
      <c r="HSK83" s="1"/>
      <c r="HSL83" s="1"/>
      <c r="HSM83" s="1"/>
      <c r="HSN83" s="1"/>
      <c r="HSO83" s="1"/>
      <c r="HSP83" s="1"/>
      <c r="HSQ83" s="1"/>
      <c r="HSR83" s="1"/>
      <c r="HSS83" s="1"/>
      <c r="HST83" s="1"/>
      <c r="HSU83" s="1"/>
      <c r="HSV83" s="1"/>
      <c r="HSW83" s="1"/>
      <c r="HSX83" s="1"/>
      <c r="HSY83" s="1"/>
      <c r="HSZ83" s="1"/>
      <c r="HTA83" s="1"/>
      <c r="HTB83" s="1"/>
      <c r="HTC83" s="1"/>
      <c r="HTD83" s="1"/>
      <c r="HTE83" s="1"/>
      <c r="HTF83" s="1"/>
      <c r="HTG83" s="1"/>
      <c r="HTH83" s="1"/>
      <c r="HTI83" s="1"/>
      <c r="HTJ83" s="1"/>
      <c r="HTK83" s="1"/>
      <c r="HTL83" s="1"/>
      <c r="HTM83" s="1"/>
      <c r="HTN83" s="1"/>
      <c r="HTO83" s="1"/>
      <c r="HTP83" s="1"/>
      <c r="HTQ83" s="1"/>
      <c r="HTR83" s="1"/>
      <c r="HTS83" s="1"/>
      <c r="HTT83" s="1"/>
      <c r="HTU83" s="1"/>
      <c r="HTV83" s="1"/>
      <c r="HTW83" s="1"/>
      <c r="HTX83" s="1"/>
      <c r="HTY83" s="1"/>
      <c r="HTZ83" s="1"/>
      <c r="HUA83" s="1"/>
      <c r="HUB83" s="1"/>
      <c r="HUC83" s="1"/>
      <c r="HUD83" s="1"/>
      <c r="HUE83" s="1"/>
      <c r="HUF83" s="1"/>
      <c r="HUG83" s="1"/>
      <c r="HUH83" s="1"/>
      <c r="HUI83" s="1"/>
      <c r="HUJ83" s="1"/>
      <c r="HUK83" s="1"/>
      <c r="HUL83" s="1"/>
      <c r="HUM83" s="1"/>
      <c r="HUN83" s="1"/>
      <c r="HUO83" s="1"/>
      <c r="HUP83" s="1"/>
      <c r="HUQ83" s="1"/>
      <c r="HUR83" s="1"/>
      <c r="HUS83" s="1"/>
      <c r="HUT83" s="1"/>
      <c r="HUU83" s="1"/>
      <c r="HUV83" s="1"/>
      <c r="HUW83" s="1"/>
      <c r="HUX83" s="1"/>
      <c r="HUY83" s="1"/>
      <c r="HUZ83" s="1"/>
      <c r="HVA83" s="1"/>
      <c r="HVB83" s="1"/>
      <c r="HVC83" s="1"/>
      <c r="HVD83" s="1"/>
      <c r="HVE83" s="1"/>
      <c r="HVF83" s="1"/>
      <c r="HVG83" s="1"/>
      <c r="HVH83" s="1"/>
      <c r="HVI83" s="1"/>
      <c r="HVJ83" s="1"/>
      <c r="HVK83" s="1"/>
      <c r="HVL83" s="1"/>
      <c r="HVM83" s="1"/>
      <c r="HVN83" s="1"/>
      <c r="HVO83" s="1"/>
      <c r="HVP83" s="1"/>
      <c r="HVQ83" s="1"/>
      <c r="HVR83" s="1"/>
      <c r="HVS83" s="1"/>
      <c r="HVT83" s="1"/>
      <c r="HVU83" s="1"/>
      <c r="HVV83" s="1"/>
      <c r="HVW83" s="1"/>
      <c r="HVX83" s="1"/>
      <c r="HVY83" s="1"/>
      <c r="HVZ83" s="1"/>
      <c r="HWA83" s="1"/>
      <c r="HWB83" s="1"/>
      <c r="HWC83" s="1"/>
      <c r="HWD83" s="1"/>
      <c r="HWE83" s="1"/>
      <c r="HWF83" s="1"/>
      <c r="HWG83" s="1"/>
      <c r="HWH83" s="1"/>
      <c r="HWI83" s="1"/>
      <c r="HWJ83" s="1"/>
      <c r="HWK83" s="1"/>
      <c r="HWL83" s="1"/>
      <c r="HWM83" s="1"/>
      <c r="HWN83" s="1"/>
      <c r="HWO83" s="1"/>
      <c r="HWP83" s="1"/>
      <c r="HWQ83" s="1"/>
      <c r="HWR83" s="1"/>
      <c r="HWS83" s="1"/>
      <c r="HWT83" s="1"/>
      <c r="HWU83" s="1"/>
      <c r="HWV83" s="1"/>
      <c r="HWW83" s="1"/>
      <c r="HWX83" s="1"/>
      <c r="HWY83" s="1"/>
      <c r="HWZ83" s="1"/>
      <c r="HXA83" s="1"/>
      <c r="HXB83" s="1"/>
      <c r="HXC83" s="1"/>
      <c r="HXD83" s="1"/>
      <c r="HXE83" s="1"/>
      <c r="HXF83" s="1"/>
      <c r="HXG83" s="1"/>
      <c r="HXH83" s="1"/>
      <c r="HXI83" s="1"/>
      <c r="HXJ83" s="1"/>
      <c r="HXK83" s="1"/>
      <c r="HXL83" s="1"/>
      <c r="HXM83" s="1"/>
      <c r="HXN83" s="1"/>
      <c r="HXO83" s="1"/>
      <c r="HXP83" s="1"/>
      <c r="HXQ83" s="1"/>
      <c r="HXR83" s="1"/>
      <c r="HXS83" s="1"/>
      <c r="HXT83" s="1"/>
      <c r="HXU83" s="1"/>
      <c r="HXV83" s="1"/>
      <c r="HXW83" s="1"/>
      <c r="HXX83" s="1"/>
      <c r="HXY83" s="1"/>
      <c r="HXZ83" s="1"/>
      <c r="HYA83" s="1"/>
      <c r="HYB83" s="1"/>
      <c r="HYC83" s="1"/>
      <c r="HYD83" s="1"/>
      <c r="HYE83" s="1"/>
      <c r="HYF83" s="1"/>
      <c r="HYG83" s="1"/>
      <c r="HYH83" s="1"/>
      <c r="HYI83" s="1"/>
      <c r="HYJ83" s="1"/>
      <c r="HYK83" s="1"/>
      <c r="HYL83" s="1"/>
      <c r="HYM83" s="1"/>
      <c r="HYN83" s="1"/>
      <c r="HYO83" s="1"/>
      <c r="HYP83" s="1"/>
      <c r="HYQ83" s="1"/>
      <c r="HYR83" s="1"/>
      <c r="HYS83" s="1"/>
      <c r="HYT83" s="1"/>
      <c r="HYU83" s="1"/>
      <c r="HYV83" s="1"/>
      <c r="HYW83" s="1"/>
      <c r="HYX83" s="1"/>
      <c r="HYY83" s="1"/>
      <c r="HYZ83" s="1"/>
      <c r="HZA83" s="1"/>
      <c r="HZB83" s="1"/>
      <c r="HZC83" s="1"/>
      <c r="HZD83" s="1"/>
      <c r="HZE83" s="1"/>
      <c r="HZF83" s="1"/>
      <c r="HZG83" s="1"/>
      <c r="HZH83" s="1"/>
      <c r="HZI83" s="1"/>
      <c r="HZJ83" s="1"/>
      <c r="HZK83" s="1"/>
      <c r="HZL83" s="1"/>
      <c r="HZM83" s="1"/>
      <c r="HZN83" s="1"/>
      <c r="HZO83" s="1"/>
      <c r="HZP83" s="1"/>
      <c r="HZQ83" s="1"/>
      <c r="HZR83" s="1"/>
      <c r="HZS83" s="1"/>
      <c r="HZT83" s="1"/>
      <c r="HZU83" s="1"/>
      <c r="HZV83" s="1"/>
      <c r="HZW83" s="1"/>
      <c r="HZX83" s="1"/>
      <c r="HZY83" s="1"/>
      <c r="HZZ83" s="1"/>
      <c r="IAA83" s="1"/>
      <c r="IAB83" s="1"/>
      <c r="IAC83" s="1"/>
      <c r="IAD83" s="1"/>
      <c r="IAE83" s="1"/>
      <c r="IAF83" s="1"/>
      <c r="IAG83" s="1"/>
      <c r="IAH83" s="1"/>
      <c r="IAI83" s="1"/>
      <c r="IAJ83" s="1"/>
      <c r="IAK83" s="1"/>
      <c r="IAL83" s="1"/>
      <c r="IAM83" s="1"/>
      <c r="IAN83" s="1"/>
      <c r="IAO83" s="1"/>
      <c r="IAP83" s="1"/>
      <c r="IAQ83" s="1"/>
      <c r="IAR83" s="1"/>
      <c r="IAS83" s="1"/>
      <c r="IAT83" s="1"/>
      <c r="IAU83" s="1"/>
      <c r="IAV83" s="1"/>
      <c r="IAW83" s="1"/>
      <c r="IAX83" s="1"/>
      <c r="IAY83" s="1"/>
      <c r="IAZ83" s="1"/>
      <c r="IBA83" s="1"/>
      <c r="IBB83" s="1"/>
      <c r="IBC83" s="1"/>
      <c r="IBD83" s="1"/>
      <c r="IBE83" s="1"/>
      <c r="IBF83" s="1"/>
      <c r="IBG83" s="1"/>
      <c r="IBH83" s="1"/>
      <c r="IBI83" s="1"/>
      <c r="IBJ83" s="1"/>
      <c r="IBK83" s="1"/>
      <c r="IBL83" s="1"/>
      <c r="IBM83" s="1"/>
      <c r="IBN83" s="1"/>
      <c r="IBO83" s="1"/>
      <c r="IBP83" s="1"/>
      <c r="IBQ83" s="1"/>
      <c r="IBR83" s="1"/>
      <c r="IBS83" s="1"/>
      <c r="IBT83" s="1"/>
      <c r="IBU83" s="1"/>
      <c r="IBV83" s="1"/>
      <c r="IBW83" s="1"/>
      <c r="IBX83" s="1"/>
      <c r="IBY83" s="1"/>
      <c r="IBZ83" s="1"/>
      <c r="ICA83" s="1"/>
      <c r="ICB83" s="1"/>
      <c r="ICC83" s="1"/>
      <c r="ICD83" s="1"/>
      <c r="ICE83" s="1"/>
      <c r="ICF83" s="1"/>
      <c r="ICG83" s="1"/>
      <c r="ICH83" s="1"/>
      <c r="ICI83" s="1"/>
      <c r="ICJ83" s="1"/>
      <c r="ICK83" s="1"/>
      <c r="ICL83" s="1"/>
      <c r="ICM83" s="1"/>
      <c r="ICN83" s="1"/>
      <c r="ICO83" s="1"/>
      <c r="ICP83" s="1"/>
      <c r="ICQ83" s="1"/>
      <c r="ICR83" s="1"/>
      <c r="ICS83" s="1"/>
      <c r="ICT83" s="1"/>
      <c r="ICU83" s="1"/>
      <c r="ICV83" s="1"/>
      <c r="ICW83" s="1"/>
      <c r="ICX83" s="1"/>
      <c r="ICY83" s="1"/>
      <c r="ICZ83" s="1"/>
      <c r="IDA83" s="1"/>
      <c r="IDB83" s="1"/>
      <c r="IDC83" s="1"/>
      <c r="IDD83" s="1"/>
      <c r="IDE83" s="1"/>
      <c r="IDF83" s="1"/>
      <c r="IDG83" s="1"/>
      <c r="IDH83" s="1"/>
      <c r="IDI83" s="1"/>
      <c r="IDJ83" s="1"/>
      <c r="IDK83" s="1"/>
      <c r="IDL83" s="1"/>
      <c r="IDM83" s="1"/>
      <c r="IDN83" s="1"/>
      <c r="IDO83" s="1"/>
      <c r="IDP83" s="1"/>
      <c r="IDQ83" s="1"/>
      <c r="IDR83" s="1"/>
      <c r="IDS83" s="1"/>
      <c r="IDT83" s="1"/>
      <c r="IDU83" s="1"/>
      <c r="IDV83" s="1"/>
      <c r="IDW83" s="1"/>
      <c r="IDX83" s="1"/>
      <c r="IDY83" s="1"/>
      <c r="IDZ83" s="1"/>
      <c r="IEA83" s="1"/>
      <c r="IEB83" s="1"/>
      <c r="IEC83" s="1"/>
      <c r="IED83" s="1"/>
      <c r="IEE83" s="1"/>
      <c r="IEF83" s="1"/>
      <c r="IEG83" s="1"/>
      <c r="IEH83" s="1"/>
      <c r="IEI83" s="1"/>
      <c r="IEJ83" s="1"/>
      <c r="IEK83" s="1"/>
      <c r="IEL83" s="1"/>
      <c r="IEM83" s="1"/>
      <c r="IEN83" s="1"/>
      <c r="IEO83" s="1"/>
      <c r="IEP83" s="1"/>
      <c r="IEQ83" s="1"/>
      <c r="IER83" s="1"/>
      <c r="IES83" s="1"/>
      <c r="IET83" s="1"/>
      <c r="IEU83" s="1"/>
      <c r="IEV83" s="1"/>
      <c r="IEW83" s="1"/>
      <c r="IEX83" s="1"/>
      <c r="IEY83" s="1"/>
      <c r="IEZ83" s="1"/>
      <c r="IFA83" s="1"/>
      <c r="IFB83" s="1"/>
      <c r="IFC83" s="1"/>
      <c r="IFD83" s="1"/>
      <c r="IFE83" s="1"/>
      <c r="IFF83" s="1"/>
      <c r="IFG83" s="1"/>
      <c r="IFH83" s="1"/>
      <c r="IFI83" s="1"/>
      <c r="IFJ83" s="1"/>
      <c r="IFK83" s="1"/>
      <c r="IFL83" s="1"/>
      <c r="IFM83" s="1"/>
      <c r="IFN83" s="1"/>
      <c r="IFO83" s="1"/>
      <c r="IFP83" s="1"/>
      <c r="IFQ83" s="1"/>
      <c r="IFR83" s="1"/>
      <c r="IFS83" s="1"/>
      <c r="IFT83" s="1"/>
      <c r="IFU83" s="1"/>
      <c r="IFV83" s="1"/>
      <c r="IFW83" s="1"/>
      <c r="IFX83" s="1"/>
      <c r="IFY83" s="1"/>
      <c r="IFZ83" s="1"/>
      <c r="IGA83" s="1"/>
      <c r="IGB83" s="1"/>
      <c r="IGC83" s="1"/>
      <c r="IGD83" s="1"/>
      <c r="IGE83" s="1"/>
      <c r="IGF83" s="1"/>
      <c r="IGG83" s="1"/>
      <c r="IGH83" s="1"/>
      <c r="IGI83" s="1"/>
      <c r="IGJ83" s="1"/>
      <c r="IGK83" s="1"/>
      <c r="IGL83" s="1"/>
      <c r="IGM83" s="1"/>
      <c r="IGN83" s="1"/>
      <c r="IGO83" s="1"/>
      <c r="IGP83" s="1"/>
      <c r="IGQ83" s="1"/>
      <c r="IGR83" s="1"/>
      <c r="IGS83" s="1"/>
      <c r="IGT83" s="1"/>
      <c r="IGU83" s="1"/>
      <c r="IGV83" s="1"/>
      <c r="IGW83" s="1"/>
      <c r="IGX83" s="1"/>
      <c r="IGY83" s="1"/>
      <c r="IGZ83" s="1"/>
      <c r="IHA83" s="1"/>
      <c r="IHB83" s="1"/>
      <c r="IHC83" s="1"/>
      <c r="IHD83" s="1"/>
      <c r="IHE83" s="1"/>
      <c r="IHF83" s="1"/>
      <c r="IHG83" s="1"/>
      <c r="IHH83" s="1"/>
      <c r="IHI83" s="1"/>
      <c r="IHJ83" s="1"/>
      <c r="IHK83" s="1"/>
      <c r="IHL83" s="1"/>
      <c r="IHM83" s="1"/>
      <c r="IHN83" s="1"/>
      <c r="IHO83" s="1"/>
      <c r="IHP83" s="1"/>
      <c r="IHQ83" s="1"/>
      <c r="IHR83" s="1"/>
      <c r="IHS83" s="1"/>
      <c r="IHT83" s="1"/>
      <c r="IHU83" s="1"/>
      <c r="IHV83" s="1"/>
      <c r="IHW83" s="1"/>
      <c r="IHX83" s="1"/>
      <c r="IHY83" s="1"/>
      <c r="IHZ83" s="1"/>
      <c r="IIA83" s="1"/>
      <c r="IIB83" s="1"/>
      <c r="IIC83" s="1"/>
      <c r="IID83" s="1"/>
      <c r="IIE83" s="1"/>
      <c r="IIF83" s="1"/>
      <c r="IIG83" s="1"/>
      <c r="IIH83" s="1"/>
      <c r="III83" s="1"/>
      <c r="IIJ83" s="1"/>
      <c r="IIK83" s="1"/>
      <c r="IIL83" s="1"/>
      <c r="IIM83" s="1"/>
      <c r="IIN83" s="1"/>
      <c r="IIO83" s="1"/>
      <c r="IIP83" s="1"/>
      <c r="IIQ83" s="1"/>
      <c r="IIR83" s="1"/>
      <c r="IIS83" s="1"/>
      <c r="IIT83" s="1"/>
      <c r="IIU83" s="1"/>
      <c r="IIV83" s="1"/>
      <c r="IIW83" s="1"/>
      <c r="IIX83" s="1"/>
      <c r="IIY83" s="1"/>
      <c r="IIZ83" s="1"/>
      <c r="IJA83" s="1"/>
      <c r="IJB83" s="1"/>
      <c r="IJC83" s="1"/>
      <c r="IJD83" s="1"/>
      <c r="IJE83" s="1"/>
      <c r="IJF83" s="1"/>
      <c r="IJG83" s="1"/>
      <c r="IJH83" s="1"/>
      <c r="IJI83" s="1"/>
      <c r="IJJ83" s="1"/>
      <c r="IJK83" s="1"/>
      <c r="IJL83" s="1"/>
      <c r="IJM83" s="1"/>
      <c r="IJN83" s="1"/>
      <c r="IJO83" s="1"/>
      <c r="IJP83" s="1"/>
      <c r="IJQ83" s="1"/>
      <c r="IJR83" s="1"/>
      <c r="IJS83" s="1"/>
      <c r="IJT83" s="1"/>
      <c r="IJU83" s="1"/>
      <c r="IJV83" s="1"/>
      <c r="IJW83" s="1"/>
      <c r="IJX83" s="1"/>
      <c r="IJY83" s="1"/>
      <c r="IJZ83" s="1"/>
      <c r="IKA83" s="1"/>
      <c r="IKB83" s="1"/>
      <c r="IKC83" s="1"/>
      <c r="IKD83" s="1"/>
      <c r="IKE83" s="1"/>
      <c r="IKF83" s="1"/>
      <c r="IKG83" s="1"/>
      <c r="IKH83" s="1"/>
      <c r="IKI83" s="1"/>
      <c r="IKJ83" s="1"/>
      <c r="IKK83" s="1"/>
      <c r="IKL83" s="1"/>
      <c r="IKM83" s="1"/>
      <c r="IKN83" s="1"/>
      <c r="IKO83" s="1"/>
      <c r="IKP83" s="1"/>
      <c r="IKQ83" s="1"/>
      <c r="IKR83" s="1"/>
      <c r="IKS83" s="1"/>
      <c r="IKT83" s="1"/>
      <c r="IKU83" s="1"/>
      <c r="IKV83" s="1"/>
      <c r="IKW83" s="1"/>
      <c r="IKX83" s="1"/>
      <c r="IKY83" s="1"/>
      <c r="IKZ83" s="1"/>
      <c r="ILA83" s="1"/>
      <c r="ILB83" s="1"/>
      <c r="ILC83" s="1"/>
      <c r="ILD83" s="1"/>
      <c r="ILE83" s="1"/>
      <c r="ILF83" s="1"/>
      <c r="ILG83" s="1"/>
      <c r="ILH83" s="1"/>
      <c r="ILI83" s="1"/>
      <c r="ILJ83" s="1"/>
      <c r="ILK83" s="1"/>
      <c r="ILL83" s="1"/>
      <c r="ILM83" s="1"/>
      <c r="ILN83" s="1"/>
      <c r="ILO83" s="1"/>
      <c r="ILP83" s="1"/>
      <c r="ILQ83" s="1"/>
      <c r="ILR83" s="1"/>
      <c r="ILS83" s="1"/>
      <c r="ILT83" s="1"/>
      <c r="ILU83" s="1"/>
      <c r="ILV83" s="1"/>
      <c r="ILW83" s="1"/>
      <c r="ILX83" s="1"/>
      <c r="ILY83" s="1"/>
      <c r="ILZ83" s="1"/>
      <c r="IMA83" s="1"/>
      <c r="IMB83" s="1"/>
      <c r="IMC83" s="1"/>
      <c r="IMD83" s="1"/>
      <c r="IME83" s="1"/>
      <c r="IMF83" s="1"/>
      <c r="IMG83" s="1"/>
      <c r="IMH83" s="1"/>
      <c r="IMI83" s="1"/>
      <c r="IMJ83" s="1"/>
      <c r="IMK83" s="1"/>
      <c r="IML83" s="1"/>
      <c r="IMM83" s="1"/>
      <c r="IMN83" s="1"/>
      <c r="IMO83" s="1"/>
      <c r="IMP83" s="1"/>
      <c r="IMQ83" s="1"/>
      <c r="IMR83" s="1"/>
      <c r="IMS83" s="1"/>
      <c r="IMT83" s="1"/>
      <c r="IMU83" s="1"/>
      <c r="IMV83" s="1"/>
      <c r="IMW83" s="1"/>
      <c r="IMX83" s="1"/>
      <c r="IMY83" s="1"/>
      <c r="IMZ83" s="1"/>
      <c r="INA83" s="1"/>
      <c r="INB83" s="1"/>
      <c r="INC83" s="1"/>
      <c r="IND83" s="1"/>
      <c r="INE83" s="1"/>
      <c r="INF83" s="1"/>
      <c r="ING83" s="1"/>
      <c r="INH83" s="1"/>
      <c r="INI83" s="1"/>
      <c r="INJ83" s="1"/>
      <c r="INK83" s="1"/>
      <c r="INL83" s="1"/>
      <c r="INM83" s="1"/>
      <c r="INN83" s="1"/>
      <c r="INO83" s="1"/>
      <c r="INP83" s="1"/>
      <c r="INQ83" s="1"/>
      <c r="INR83" s="1"/>
      <c r="INS83" s="1"/>
      <c r="INT83" s="1"/>
      <c r="INU83" s="1"/>
      <c r="INV83" s="1"/>
      <c r="INW83" s="1"/>
      <c r="INX83" s="1"/>
      <c r="INY83" s="1"/>
      <c r="INZ83" s="1"/>
      <c r="IOA83" s="1"/>
      <c r="IOB83" s="1"/>
      <c r="IOC83" s="1"/>
      <c r="IOD83" s="1"/>
      <c r="IOE83" s="1"/>
      <c r="IOF83" s="1"/>
      <c r="IOG83" s="1"/>
      <c r="IOH83" s="1"/>
      <c r="IOI83" s="1"/>
      <c r="IOJ83" s="1"/>
      <c r="IOK83" s="1"/>
      <c r="IOL83" s="1"/>
      <c r="IOM83" s="1"/>
      <c r="ION83" s="1"/>
      <c r="IOO83" s="1"/>
      <c r="IOP83" s="1"/>
      <c r="IOQ83" s="1"/>
      <c r="IOR83" s="1"/>
      <c r="IOS83" s="1"/>
      <c r="IOT83" s="1"/>
      <c r="IOU83" s="1"/>
      <c r="IOV83" s="1"/>
      <c r="IOW83" s="1"/>
      <c r="IOX83" s="1"/>
      <c r="IOY83" s="1"/>
      <c r="IOZ83" s="1"/>
      <c r="IPA83" s="1"/>
      <c r="IPB83" s="1"/>
      <c r="IPC83" s="1"/>
      <c r="IPD83" s="1"/>
      <c r="IPE83" s="1"/>
      <c r="IPF83" s="1"/>
      <c r="IPG83" s="1"/>
      <c r="IPH83" s="1"/>
      <c r="IPI83" s="1"/>
      <c r="IPJ83" s="1"/>
      <c r="IPK83" s="1"/>
      <c r="IPL83" s="1"/>
      <c r="IPM83" s="1"/>
      <c r="IPN83" s="1"/>
      <c r="IPO83" s="1"/>
      <c r="IPP83" s="1"/>
      <c r="IPQ83" s="1"/>
      <c r="IPR83" s="1"/>
      <c r="IPS83" s="1"/>
      <c r="IPT83" s="1"/>
      <c r="IPU83" s="1"/>
      <c r="IPV83" s="1"/>
      <c r="IPW83" s="1"/>
      <c r="IPX83" s="1"/>
      <c r="IPY83" s="1"/>
      <c r="IPZ83" s="1"/>
      <c r="IQA83" s="1"/>
      <c r="IQB83" s="1"/>
      <c r="IQC83" s="1"/>
      <c r="IQD83" s="1"/>
      <c r="IQE83" s="1"/>
      <c r="IQF83" s="1"/>
      <c r="IQG83" s="1"/>
      <c r="IQH83" s="1"/>
      <c r="IQI83" s="1"/>
      <c r="IQJ83" s="1"/>
      <c r="IQK83" s="1"/>
      <c r="IQL83" s="1"/>
      <c r="IQM83" s="1"/>
      <c r="IQN83" s="1"/>
      <c r="IQO83" s="1"/>
      <c r="IQP83" s="1"/>
      <c r="IQQ83" s="1"/>
      <c r="IQR83" s="1"/>
      <c r="IQS83" s="1"/>
      <c r="IQT83" s="1"/>
      <c r="IQU83" s="1"/>
      <c r="IQV83" s="1"/>
      <c r="IQW83" s="1"/>
      <c r="IQX83" s="1"/>
      <c r="IQY83" s="1"/>
      <c r="IQZ83" s="1"/>
      <c r="IRA83" s="1"/>
      <c r="IRB83" s="1"/>
      <c r="IRC83" s="1"/>
      <c r="IRD83" s="1"/>
      <c r="IRE83" s="1"/>
      <c r="IRF83" s="1"/>
      <c r="IRG83" s="1"/>
      <c r="IRH83" s="1"/>
      <c r="IRI83" s="1"/>
      <c r="IRJ83" s="1"/>
      <c r="IRK83" s="1"/>
      <c r="IRL83" s="1"/>
      <c r="IRM83" s="1"/>
      <c r="IRN83" s="1"/>
      <c r="IRO83" s="1"/>
      <c r="IRP83" s="1"/>
      <c r="IRQ83" s="1"/>
      <c r="IRR83" s="1"/>
      <c r="IRS83" s="1"/>
      <c r="IRT83" s="1"/>
      <c r="IRU83" s="1"/>
      <c r="IRV83" s="1"/>
      <c r="IRW83" s="1"/>
      <c r="IRX83" s="1"/>
      <c r="IRY83" s="1"/>
      <c r="IRZ83" s="1"/>
      <c r="ISA83" s="1"/>
      <c r="ISB83" s="1"/>
      <c r="ISC83" s="1"/>
      <c r="ISD83" s="1"/>
      <c r="ISE83" s="1"/>
      <c r="ISF83" s="1"/>
      <c r="ISG83" s="1"/>
      <c r="ISH83" s="1"/>
      <c r="ISI83" s="1"/>
      <c r="ISJ83" s="1"/>
      <c r="ISK83" s="1"/>
      <c r="ISL83" s="1"/>
      <c r="ISM83" s="1"/>
      <c r="ISN83" s="1"/>
      <c r="ISO83" s="1"/>
      <c r="ISP83" s="1"/>
      <c r="ISQ83" s="1"/>
      <c r="ISR83" s="1"/>
      <c r="ISS83" s="1"/>
      <c r="IST83" s="1"/>
      <c r="ISU83" s="1"/>
      <c r="ISV83" s="1"/>
      <c r="ISW83" s="1"/>
      <c r="ISX83" s="1"/>
      <c r="ISY83" s="1"/>
      <c r="ISZ83" s="1"/>
      <c r="ITA83" s="1"/>
      <c r="ITB83" s="1"/>
      <c r="ITC83" s="1"/>
      <c r="ITD83" s="1"/>
      <c r="ITE83" s="1"/>
      <c r="ITF83" s="1"/>
      <c r="ITG83" s="1"/>
      <c r="ITH83" s="1"/>
      <c r="ITI83" s="1"/>
      <c r="ITJ83" s="1"/>
      <c r="ITK83" s="1"/>
      <c r="ITL83" s="1"/>
      <c r="ITM83" s="1"/>
      <c r="ITN83" s="1"/>
      <c r="ITO83" s="1"/>
      <c r="ITP83" s="1"/>
      <c r="ITQ83" s="1"/>
      <c r="ITR83" s="1"/>
      <c r="ITS83" s="1"/>
      <c r="ITT83" s="1"/>
      <c r="ITU83" s="1"/>
      <c r="ITV83" s="1"/>
      <c r="ITW83" s="1"/>
      <c r="ITX83" s="1"/>
      <c r="ITY83" s="1"/>
      <c r="ITZ83" s="1"/>
      <c r="IUA83" s="1"/>
      <c r="IUB83" s="1"/>
      <c r="IUC83" s="1"/>
      <c r="IUD83" s="1"/>
      <c r="IUE83" s="1"/>
      <c r="IUF83" s="1"/>
      <c r="IUG83" s="1"/>
      <c r="IUH83" s="1"/>
      <c r="IUI83" s="1"/>
      <c r="IUJ83" s="1"/>
      <c r="IUK83" s="1"/>
      <c r="IUL83" s="1"/>
      <c r="IUM83" s="1"/>
      <c r="IUN83" s="1"/>
      <c r="IUO83" s="1"/>
      <c r="IUP83" s="1"/>
      <c r="IUQ83" s="1"/>
      <c r="IUR83" s="1"/>
      <c r="IUS83" s="1"/>
      <c r="IUT83" s="1"/>
      <c r="IUU83" s="1"/>
      <c r="IUV83" s="1"/>
      <c r="IUW83" s="1"/>
      <c r="IUX83" s="1"/>
      <c r="IUY83" s="1"/>
      <c r="IUZ83" s="1"/>
      <c r="IVA83" s="1"/>
      <c r="IVB83" s="1"/>
      <c r="IVC83" s="1"/>
      <c r="IVD83" s="1"/>
      <c r="IVE83" s="1"/>
      <c r="IVF83" s="1"/>
      <c r="IVG83" s="1"/>
      <c r="IVH83" s="1"/>
      <c r="IVI83" s="1"/>
      <c r="IVJ83" s="1"/>
      <c r="IVK83" s="1"/>
      <c r="IVL83" s="1"/>
      <c r="IVM83" s="1"/>
      <c r="IVN83" s="1"/>
      <c r="IVO83" s="1"/>
      <c r="IVP83" s="1"/>
      <c r="IVQ83" s="1"/>
      <c r="IVR83" s="1"/>
      <c r="IVS83" s="1"/>
      <c r="IVT83" s="1"/>
      <c r="IVU83" s="1"/>
      <c r="IVV83" s="1"/>
      <c r="IVW83" s="1"/>
      <c r="IVX83" s="1"/>
      <c r="IVY83" s="1"/>
      <c r="IVZ83" s="1"/>
      <c r="IWA83" s="1"/>
      <c r="IWB83" s="1"/>
      <c r="IWC83" s="1"/>
      <c r="IWD83" s="1"/>
      <c r="IWE83" s="1"/>
      <c r="IWF83" s="1"/>
      <c r="IWG83" s="1"/>
      <c r="IWH83" s="1"/>
      <c r="IWI83" s="1"/>
      <c r="IWJ83" s="1"/>
      <c r="IWK83" s="1"/>
      <c r="IWL83" s="1"/>
      <c r="IWM83" s="1"/>
      <c r="IWN83" s="1"/>
      <c r="IWO83" s="1"/>
      <c r="IWP83" s="1"/>
      <c r="IWQ83" s="1"/>
      <c r="IWR83" s="1"/>
      <c r="IWS83" s="1"/>
      <c r="IWT83" s="1"/>
      <c r="IWU83" s="1"/>
      <c r="IWV83" s="1"/>
      <c r="IWW83" s="1"/>
      <c r="IWX83" s="1"/>
      <c r="IWY83" s="1"/>
      <c r="IWZ83" s="1"/>
      <c r="IXA83" s="1"/>
      <c r="IXB83" s="1"/>
      <c r="IXC83" s="1"/>
      <c r="IXD83" s="1"/>
      <c r="IXE83" s="1"/>
      <c r="IXF83" s="1"/>
      <c r="IXG83" s="1"/>
      <c r="IXH83" s="1"/>
      <c r="IXI83" s="1"/>
      <c r="IXJ83" s="1"/>
      <c r="IXK83" s="1"/>
      <c r="IXL83" s="1"/>
      <c r="IXM83" s="1"/>
      <c r="IXN83" s="1"/>
      <c r="IXO83" s="1"/>
      <c r="IXP83" s="1"/>
      <c r="IXQ83" s="1"/>
      <c r="IXR83" s="1"/>
      <c r="IXS83" s="1"/>
      <c r="IXT83" s="1"/>
      <c r="IXU83" s="1"/>
      <c r="IXV83" s="1"/>
      <c r="IXW83" s="1"/>
      <c r="IXX83" s="1"/>
      <c r="IXY83" s="1"/>
      <c r="IXZ83" s="1"/>
      <c r="IYA83" s="1"/>
      <c r="IYB83" s="1"/>
      <c r="IYC83" s="1"/>
      <c r="IYD83" s="1"/>
      <c r="IYE83" s="1"/>
      <c r="IYF83" s="1"/>
      <c r="IYG83" s="1"/>
      <c r="IYH83" s="1"/>
      <c r="IYI83" s="1"/>
      <c r="IYJ83" s="1"/>
      <c r="IYK83" s="1"/>
      <c r="IYL83" s="1"/>
      <c r="IYM83" s="1"/>
      <c r="IYN83" s="1"/>
      <c r="IYO83" s="1"/>
      <c r="IYP83" s="1"/>
      <c r="IYQ83" s="1"/>
      <c r="IYR83" s="1"/>
      <c r="IYS83" s="1"/>
      <c r="IYT83" s="1"/>
      <c r="IYU83" s="1"/>
      <c r="IYV83" s="1"/>
      <c r="IYW83" s="1"/>
      <c r="IYX83" s="1"/>
      <c r="IYY83" s="1"/>
      <c r="IYZ83" s="1"/>
      <c r="IZA83" s="1"/>
      <c r="IZB83" s="1"/>
      <c r="IZC83" s="1"/>
      <c r="IZD83" s="1"/>
      <c r="IZE83" s="1"/>
      <c r="IZF83" s="1"/>
      <c r="IZG83" s="1"/>
      <c r="IZH83" s="1"/>
      <c r="IZI83" s="1"/>
      <c r="IZJ83" s="1"/>
      <c r="IZK83" s="1"/>
      <c r="IZL83" s="1"/>
      <c r="IZM83" s="1"/>
      <c r="IZN83" s="1"/>
      <c r="IZO83" s="1"/>
      <c r="IZP83" s="1"/>
      <c r="IZQ83" s="1"/>
      <c r="IZR83" s="1"/>
      <c r="IZS83" s="1"/>
      <c r="IZT83" s="1"/>
      <c r="IZU83" s="1"/>
      <c r="IZV83" s="1"/>
      <c r="IZW83" s="1"/>
      <c r="IZX83" s="1"/>
      <c r="IZY83" s="1"/>
      <c r="IZZ83" s="1"/>
      <c r="JAA83" s="1"/>
      <c r="JAB83" s="1"/>
      <c r="JAC83" s="1"/>
      <c r="JAD83" s="1"/>
      <c r="JAE83" s="1"/>
      <c r="JAF83" s="1"/>
      <c r="JAG83" s="1"/>
      <c r="JAH83" s="1"/>
      <c r="JAI83" s="1"/>
      <c r="JAJ83" s="1"/>
      <c r="JAK83" s="1"/>
      <c r="JAL83" s="1"/>
      <c r="JAM83" s="1"/>
      <c r="JAN83" s="1"/>
      <c r="JAO83" s="1"/>
      <c r="JAP83" s="1"/>
      <c r="JAQ83" s="1"/>
      <c r="JAR83" s="1"/>
      <c r="JAS83" s="1"/>
      <c r="JAT83" s="1"/>
      <c r="JAU83" s="1"/>
      <c r="JAV83" s="1"/>
      <c r="JAW83" s="1"/>
      <c r="JAX83" s="1"/>
      <c r="JAY83" s="1"/>
      <c r="JAZ83" s="1"/>
      <c r="JBA83" s="1"/>
      <c r="JBB83" s="1"/>
      <c r="JBC83" s="1"/>
      <c r="JBD83" s="1"/>
      <c r="JBE83" s="1"/>
      <c r="JBF83" s="1"/>
      <c r="JBG83" s="1"/>
      <c r="JBH83" s="1"/>
      <c r="JBI83" s="1"/>
      <c r="JBJ83" s="1"/>
      <c r="JBK83" s="1"/>
      <c r="JBL83" s="1"/>
      <c r="JBM83" s="1"/>
      <c r="JBN83" s="1"/>
      <c r="JBO83" s="1"/>
      <c r="JBP83" s="1"/>
      <c r="JBQ83" s="1"/>
      <c r="JBR83" s="1"/>
      <c r="JBS83" s="1"/>
      <c r="JBT83" s="1"/>
      <c r="JBU83" s="1"/>
      <c r="JBV83" s="1"/>
      <c r="JBW83" s="1"/>
      <c r="JBX83" s="1"/>
      <c r="JBY83" s="1"/>
      <c r="JBZ83" s="1"/>
      <c r="JCA83" s="1"/>
      <c r="JCB83" s="1"/>
      <c r="JCC83" s="1"/>
      <c r="JCD83" s="1"/>
      <c r="JCE83" s="1"/>
      <c r="JCF83" s="1"/>
      <c r="JCG83" s="1"/>
      <c r="JCH83" s="1"/>
      <c r="JCI83" s="1"/>
      <c r="JCJ83" s="1"/>
      <c r="JCK83" s="1"/>
      <c r="JCL83" s="1"/>
      <c r="JCM83" s="1"/>
      <c r="JCN83" s="1"/>
      <c r="JCO83" s="1"/>
      <c r="JCP83" s="1"/>
      <c r="JCQ83" s="1"/>
      <c r="JCR83" s="1"/>
      <c r="JCS83" s="1"/>
      <c r="JCT83" s="1"/>
      <c r="JCU83" s="1"/>
      <c r="JCV83" s="1"/>
      <c r="JCW83" s="1"/>
      <c r="JCX83" s="1"/>
      <c r="JCY83" s="1"/>
      <c r="JCZ83" s="1"/>
      <c r="JDA83" s="1"/>
      <c r="JDB83" s="1"/>
      <c r="JDC83" s="1"/>
      <c r="JDD83" s="1"/>
      <c r="JDE83" s="1"/>
      <c r="JDF83" s="1"/>
      <c r="JDG83" s="1"/>
      <c r="JDH83" s="1"/>
      <c r="JDI83" s="1"/>
      <c r="JDJ83" s="1"/>
      <c r="JDK83" s="1"/>
      <c r="JDL83" s="1"/>
      <c r="JDM83" s="1"/>
      <c r="JDN83" s="1"/>
      <c r="JDO83" s="1"/>
      <c r="JDP83" s="1"/>
      <c r="JDQ83" s="1"/>
      <c r="JDR83" s="1"/>
      <c r="JDS83" s="1"/>
      <c r="JDT83" s="1"/>
      <c r="JDU83" s="1"/>
      <c r="JDV83" s="1"/>
      <c r="JDW83" s="1"/>
      <c r="JDX83" s="1"/>
      <c r="JDY83" s="1"/>
      <c r="JDZ83" s="1"/>
      <c r="JEA83" s="1"/>
      <c r="JEB83" s="1"/>
      <c r="JEC83" s="1"/>
      <c r="JED83" s="1"/>
      <c r="JEE83" s="1"/>
      <c r="JEF83" s="1"/>
      <c r="JEG83" s="1"/>
      <c r="JEH83" s="1"/>
      <c r="JEI83" s="1"/>
      <c r="JEJ83" s="1"/>
      <c r="JEK83" s="1"/>
      <c r="JEL83" s="1"/>
      <c r="JEM83" s="1"/>
      <c r="JEN83" s="1"/>
      <c r="JEO83" s="1"/>
      <c r="JEP83" s="1"/>
      <c r="JEQ83" s="1"/>
      <c r="JER83" s="1"/>
      <c r="JES83" s="1"/>
      <c r="JET83" s="1"/>
      <c r="JEU83" s="1"/>
      <c r="JEV83" s="1"/>
      <c r="JEW83" s="1"/>
      <c r="JEX83" s="1"/>
      <c r="JEY83" s="1"/>
      <c r="JEZ83" s="1"/>
      <c r="JFA83" s="1"/>
      <c r="JFB83" s="1"/>
      <c r="JFC83" s="1"/>
      <c r="JFD83" s="1"/>
      <c r="JFE83" s="1"/>
      <c r="JFF83" s="1"/>
      <c r="JFG83" s="1"/>
      <c r="JFH83" s="1"/>
      <c r="JFI83" s="1"/>
      <c r="JFJ83" s="1"/>
      <c r="JFK83" s="1"/>
      <c r="JFL83" s="1"/>
      <c r="JFM83" s="1"/>
      <c r="JFN83" s="1"/>
      <c r="JFO83" s="1"/>
      <c r="JFP83" s="1"/>
      <c r="JFQ83" s="1"/>
      <c r="JFR83" s="1"/>
      <c r="JFS83" s="1"/>
      <c r="JFT83" s="1"/>
      <c r="JFU83" s="1"/>
      <c r="JFV83" s="1"/>
      <c r="JFW83" s="1"/>
      <c r="JFX83" s="1"/>
      <c r="JFY83" s="1"/>
      <c r="JFZ83" s="1"/>
      <c r="JGA83" s="1"/>
      <c r="JGB83" s="1"/>
      <c r="JGC83" s="1"/>
      <c r="JGD83" s="1"/>
      <c r="JGE83" s="1"/>
      <c r="JGF83" s="1"/>
      <c r="JGG83" s="1"/>
      <c r="JGH83" s="1"/>
      <c r="JGI83" s="1"/>
      <c r="JGJ83" s="1"/>
      <c r="JGK83" s="1"/>
      <c r="JGL83" s="1"/>
      <c r="JGM83" s="1"/>
      <c r="JGN83" s="1"/>
      <c r="JGO83" s="1"/>
      <c r="JGP83" s="1"/>
      <c r="JGQ83" s="1"/>
      <c r="JGR83" s="1"/>
      <c r="JGS83" s="1"/>
      <c r="JGT83" s="1"/>
      <c r="JGU83" s="1"/>
      <c r="JGV83" s="1"/>
      <c r="JGW83" s="1"/>
      <c r="JGX83" s="1"/>
      <c r="JGY83" s="1"/>
      <c r="JGZ83" s="1"/>
      <c r="JHA83" s="1"/>
      <c r="JHB83" s="1"/>
      <c r="JHC83" s="1"/>
      <c r="JHD83" s="1"/>
      <c r="JHE83" s="1"/>
      <c r="JHF83" s="1"/>
      <c r="JHG83" s="1"/>
      <c r="JHH83" s="1"/>
      <c r="JHI83" s="1"/>
      <c r="JHJ83" s="1"/>
      <c r="JHK83" s="1"/>
      <c r="JHL83" s="1"/>
      <c r="JHM83" s="1"/>
      <c r="JHN83" s="1"/>
      <c r="JHO83" s="1"/>
      <c r="JHP83" s="1"/>
      <c r="JHQ83" s="1"/>
      <c r="JHR83" s="1"/>
      <c r="JHS83" s="1"/>
      <c r="JHT83" s="1"/>
      <c r="JHU83" s="1"/>
      <c r="JHV83" s="1"/>
      <c r="JHW83" s="1"/>
      <c r="JHX83" s="1"/>
      <c r="JHY83" s="1"/>
      <c r="JHZ83" s="1"/>
      <c r="JIA83" s="1"/>
      <c r="JIB83" s="1"/>
      <c r="JIC83" s="1"/>
      <c r="JID83" s="1"/>
      <c r="JIE83" s="1"/>
      <c r="JIF83" s="1"/>
      <c r="JIG83" s="1"/>
      <c r="JIH83" s="1"/>
      <c r="JII83" s="1"/>
      <c r="JIJ83" s="1"/>
      <c r="JIK83" s="1"/>
      <c r="JIL83" s="1"/>
      <c r="JIM83" s="1"/>
      <c r="JIN83" s="1"/>
      <c r="JIO83" s="1"/>
      <c r="JIP83" s="1"/>
      <c r="JIQ83" s="1"/>
      <c r="JIR83" s="1"/>
      <c r="JIS83" s="1"/>
      <c r="JIT83" s="1"/>
      <c r="JIU83" s="1"/>
      <c r="JIV83" s="1"/>
      <c r="JIW83" s="1"/>
      <c r="JIX83" s="1"/>
      <c r="JIY83" s="1"/>
      <c r="JIZ83" s="1"/>
      <c r="JJA83" s="1"/>
      <c r="JJB83" s="1"/>
      <c r="JJC83" s="1"/>
      <c r="JJD83" s="1"/>
      <c r="JJE83" s="1"/>
      <c r="JJF83" s="1"/>
      <c r="JJG83" s="1"/>
      <c r="JJH83" s="1"/>
      <c r="JJI83" s="1"/>
      <c r="JJJ83" s="1"/>
      <c r="JJK83" s="1"/>
      <c r="JJL83" s="1"/>
      <c r="JJM83" s="1"/>
      <c r="JJN83" s="1"/>
      <c r="JJO83" s="1"/>
      <c r="JJP83" s="1"/>
      <c r="JJQ83" s="1"/>
      <c r="JJR83" s="1"/>
      <c r="JJS83" s="1"/>
      <c r="JJT83" s="1"/>
      <c r="JJU83" s="1"/>
      <c r="JJV83" s="1"/>
      <c r="JJW83" s="1"/>
      <c r="JJX83" s="1"/>
      <c r="JJY83" s="1"/>
      <c r="JJZ83" s="1"/>
      <c r="JKA83" s="1"/>
      <c r="JKB83" s="1"/>
      <c r="JKC83" s="1"/>
      <c r="JKD83" s="1"/>
      <c r="JKE83" s="1"/>
      <c r="JKF83" s="1"/>
      <c r="JKG83" s="1"/>
      <c r="JKH83" s="1"/>
      <c r="JKI83" s="1"/>
      <c r="JKJ83" s="1"/>
      <c r="JKK83" s="1"/>
      <c r="JKL83" s="1"/>
      <c r="JKM83" s="1"/>
      <c r="JKN83" s="1"/>
      <c r="JKO83" s="1"/>
      <c r="JKP83" s="1"/>
      <c r="JKQ83" s="1"/>
      <c r="JKR83" s="1"/>
      <c r="JKS83" s="1"/>
      <c r="JKT83" s="1"/>
      <c r="JKU83" s="1"/>
      <c r="JKV83" s="1"/>
      <c r="JKW83" s="1"/>
      <c r="JKX83" s="1"/>
      <c r="JKY83" s="1"/>
      <c r="JKZ83" s="1"/>
      <c r="JLA83" s="1"/>
      <c r="JLB83" s="1"/>
      <c r="JLC83" s="1"/>
      <c r="JLD83" s="1"/>
      <c r="JLE83" s="1"/>
      <c r="JLF83" s="1"/>
      <c r="JLG83" s="1"/>
      <c r="JLH83" s="1"/>
      <c r="JLI83" s="1"/>
      <c r="JLJ83" s="1"/>
      <c r="JLK83" s="1"/>
      <c r="JLL83" s="1"/>
      <c r="JLM83" s="1"/>
      <c r="JLN83" s="1"/>
      <c r="JLO83" s="1"/>
      <c r="JLP83" s="1"/>
      <c r="JLQ83" s="1"/>
      <c r="JLR83" s="1"/>
      <c r="JLS83" s="1"/>
      <c r="JLT83" s="1"/>
      <c r="JLU83" s="1"/>
      <c r="JLV83" s="1"/>
      <c r="JLW83" s="1"/>
      <c r="JLX83" s="1"/>
      <c r="JLY83" s="1"/>
      <c r="JLZ83" s="1"/>
      <c r="JMA83" s="1"/>
      <c r="JMB83" s="1"/>
      <c r="JMC83" s="1"/>
      <c r="JMD83" s="1"/>
      <c r="JME83" s="1"/>
      <c r="JMF83" s="1"/>
      <c r="JMG83" s="1"/>
      <c r="JMH83" s="1"/>
      <c r="JMI83" s="1"/>
      <c r="JMJ83" s="1"/>
      <c r="JMK83" s="1"/>
      <c r="JML83" s="1"/>
      <c r="JMM83" s="1"/>
      <c r="JMN83" s="1"/>
      <c r="JMO83" s="1"/>
      <c r="JMP83" s="1"/>
      <c r="JMQ83" s="1"/>
      <c r="JMR83" s="1"/>
      <c r="JMS83" s="1"/>
      <c r="JMT83" s="1"/>
      <c r="JMU83" s="1"/>
      <c r="JMV83" s="1"/>
      <c r="JMW83" s="1"/>
      <c r="JMX83" s="1"/>
      <c r="JMY83" s="1"/>
      <c r="JMZ83" s="1"/>
      <c r="JNA83" s="1"/>
      <c r="JNB83" s="1"/>
      <c r="JNC83" s="1"/>
      <c r="JND83" s="1"/>
      <c r="JNE83" s="1"/>
      <c r="JNF83" s="1"/>
      <c r="JNG83" s="1"/>
      <c r="JNH83" s="1"/>
      <c r="JNI83" s="1"/>
      <c r="JNJ83" s="1"/>
      <c r="JNK83" s="1"/>
      <c r="JNL83" s="1"/>
      <c r="JNM83" s="1"/>
      <c r="JNN83" s="1"/>
      <c r="JNO83" s="1"/>
      <c r="JNP83" s="1"/>
      <c r="JNQ83" s="1"/>
      <c r="JNR83" s="1"/>
      <c r="JNS83" s="1"/>
      <c r="JNT83" s="1"/>
      <c r="JNU83" s="1"/>
      <c r="JNV83" s="1"/>
      <c r="JNW83" s="1"/>
      <c r="JNX83" s="1"/>
      <c r="JNY83" s="1"/>
      <c r="JNZ83" s="1"/>
      <c r="JOA83" s="1"/>
      <c r="JOB83" s="1"/>
      <c r="JOC83" s="1"/>
      <c r="JOD83" s="1"/>
      <c r="JOE83" s="1"/>
      <c r="JOF83" s="1"/>
      <c r="JOG83" s="1"/>
      <c r="JOH83" s="1"/>
      <c r="JOI83" s="1"/>
      <c r="JOJ83" s="1"/>
      <c r="JOK83" s="1"/>
      <c r="JOL83" s="1"/>
      <c r="JOM83" s="1"/>
      <c r="JON83" s="1"/>
      <c r="JOO83" s="1"/>
      <c r="JOP83" s="1"/>
      <c r="JOQ83" s="1"/>
      <c r="JOR83" s="1"/>
      <c r="JOS83" s="1"/>
      <c r="JOT83" s="1"/>
      <c r="JOU83" s="1"/>
      <c r="JOV83" s="1"/>
      <c r="JOW83" s="1"/>
      <c r="JOX83" s="1"/>
      <c r="JOY83" s="1"/>
      <c r="JOZ83" s="1"/>
      <c r="JPA83" s="1"/>
      <c r="JPB83" s="1"/>
      <c r="JPC83" s="1"/>
      <c r="JPD83" s="1"/>
      <c r="JPE83" s="1"/>
      <c r="JPF83" s="1"/>
      <c r="JPG83" s="1"/>
      <c r="JPH83" s="1"/>
      <c r="JPI83" s="1"/>
      <c r="JPJ83" s="1"/>
      <c r="JPK83" s="1"/>
      <c r="JPL83" s="1"/>
      <c r="JPM83" s="1"/>
      <c r="JPN83" s="1"/>
      <c r="JPO83" s="1"/>
      <c r="JPP83" s="1"/>
      <c r="JPQ83" s="1"/>
      <c r="JPR83" s="1"/>
      <c r="JPS83" s="1"/>
      <c r="JPT83" s="1"/>
      <c r="JPU83" s="1"/>
      <c r="JPV83" s="1"/>
      <c r="JPW83" s="1"/>
      <c r="JPX83" s="1"/>
      <c r="JPY83" s="1"/>
      <c r="JPZ83" s="1"/>
      <c r="JQA83" s="1"/>
      <c r="JQB83" s="1"/>
      <c r="JQC83" s="1"/>
      <c r="JQD83" s="1"/>
      <c r="JQE83" s="1"/>
      <c r="JQF83" s="1"/>
      <c r="JQG83" s="1"/>
      <c r="JQH83" s="1"/>
      <c r="JQI83" s="1"/>
      <c r="JQJ83" s="1"/>
      <c r="JQK83" s="1"/>
      <c r="JQL83" s="1"/>
      <c r="JQM83" s="1"/>
      <c r="JQN83" s="1"/>
      <c r="JQO83" s="1"/>
      <c r="JQP83" s="1"/>
      <c r="JQQ83" s="1"/>
      <c r="JQR83" s="1"/>
      <c r="JQS83" s="1"/>
      <c r="JQT83" s="1"/>
      <c r="JQU83" s="1"/>
      <c r="JQV83" s="1"/>
      <c r="JQW83" s="1"/>
      <c r="JQX83" s="1"/>
      <c r="JQY83" s="1"/>
      <c r="JQZ83" s="1"/>
      <c r="JRA83" s="1"/>
      <c r="JRB83" s="1"/>
      <c r="JRC83" s="1"/>
      <c r="JRD83" s="1"/>
      <c r="JRE83" s="1"/>
      <c r="JRF83" s="1"/>
      <c r="JRG83" s="1"/>
      <c r="JRH83" s="1"/>
      <c r="JRI83" s="1"/>
      <c r="JRJ83" s="1"/>
      <c r="JRK83" s="1"/>
      <c r="JRL83" s="1"/>
      <c r="JRM83" s="1"/>
      <c r="JRN83" s="1"/>
      <c r="JRO83" s="1"/>
      <c r="JRP83" s="1"/>
      <c r="JRQ83" s="1"/>
      <c r="JRR83" s="1"/>
      <c r="JRS83" s="1"/>
      <c r="JRT83" s="1"/>
      <c r="JRU83" s="1"/>
      <c r="JRV83" s="1"/>
      <c r="JRW83" s="1"/>
      <c r="JRX83" s="1"/>
      <c r="JRY83" s="1"/>
      <c r="JRZ83" s="1"/>
      <c r="JSA83" s="1"/>
      <c r="JSB83" s="1"/>
      <c r="JSC83" s="1"/>
      <c r="JSD83" s="1"/>
      <c r="JSE83" s="1"/>
      <c r="JSF83" s="1"/>
      <c r="JSG83" s="1"/>
      <c r="JSH83" s="1"/>
      <c r="JSI83" s="1"/>
      <c r="JSJ83" s="1"/>
      <c r="JSK83" s="1"/>
      <c r="JSL83" s="1"/>
      <c r="JSM83" s="1"/>
      <c r="JSN83" s="1"/>
      <c r="JSO83" s="1"/>
      <c r="JSP83" s="1"/>
      <c r="JSQ83" s="1"/>
      <c r="JSR83" s="1"/>
      <c r="JSS83" s="1"/>
      <c r="JST83" s="1"/>
      <c r="JSU83" s="1"/>
      <c r="JSV83" s="1"/>
      <c r="JSW83" s="1"/>
      <c r="JSX83" s="1"/>
      <c r="JSY83" s="1"/>
      <c r="JSZ83" s="1"/>
      <c r="JTA83" s="1"/>
      <c r="JTB83" s="1"/>
      <c r="JTC83" s="1"/>
      <c r="JTD83" s="1"/>
      <c r="JTE83" s="1"/>
      <c r="JTF83" s="1"/>
      <c r="JTG83" s="1"/>
      <c r="JTH83" s="1"/>
      <c r="JTI83" s="1"/>
      <c r="JTJ83" s="1"/>
      <c r="JTK83" s="1"/>
      <c r="JTL83" s="1"/>
      <c r="JTM83" s="1"/>
      <c r="JTN83" s="1"/>
      <c r="JTO83" s="1"/>
      <c r="JTP83" s="1"/>
      <c r="JTQ83" s="1"/>
      <c r="JTR83" s="1"/>
      <c r="JTS83" s="1"/>
      <c r="JTT83" s="1"/>
      <c r="JTU83" s="1"/>
      <c r="JTV83" s="1"/>
      <c r="JTW83" s="1"/>
      <c r="JTX83" s="1"/>
      <c r="JTY83" s="1"/>
      <c r="JTZ83" s="1"/>
      <c r="JUA83" s="1"/>
      <c r="JUB83" s="1"/>
      <c r="JUC83" s="1"/>
      <c r="JUD83" s="1"/>
      <c r="JUE83" s="1"/>
      <c r="JUF83" s="1"/>
      <c r="JUG83" s="1"/>
      <c r="JUH83" s="1"/>
      <c r="JUI83" s="1"/>
      <c r="JUJ83" s="1"/>
      <c r="JUK83" s="1"/>
      <c r="JUL83" s="1"/>
      <c r="JUM83" s="1"/>
      <c r="JUN83" s="1"/>
      <c r="JUO83" s="1"/>
      <c r="JUP83" s="1"/>
      <c r="JUQ83" s="1"/>
      <c r="JUR83" s="1"/>
      <c r="JUS83" s="1"/>
      <c r="JUT83" s="1"/>
      <c r="JUU83" s="1"/>
      <c r="JUV83" s="1"/>
      <c r="JUW83" s="1"/>
      <c r="JUX83" s="1"/>
      <c r="JUY83" s="1"/>
      <c r="JUZ83" s="1"/>
      <c r="JVA83" s="1"/>
      <c r="JVB83" s="1"/>
      <c r="JVC83" s="1"/>
      <c r="JVD83" s="1"/>
      <c r="JVE83" s="1"/>
      <c r="JVF83" s="1"/>
      <c r="JVG83" s="1"/>
      <c r="JVH83" s="1"/>
      <c r="JVI83" s="1"/>
      <c r="JVJ83" s="1"/>
      <c r="JVK83" s="1"/>
      <c r="JVL83" s="1"/>
      <c r="JVM83" s="1"/>
      <c r="JVN83" s="1"/>
      <c r="JVO83" s="1"/>
      <c r="JVP83" s="1"/>
      <c r="JVQ83" s="1"/>
      <c r="JVR83" s="1"/>
      <c r="JVS83" s="1"/>
      <c r="JVT83" s="1"/>
      <c r="JVU83" s="1"/>
      <c r="JVV83" s="1"/>
      <c r="JVW83" s="1"/>
      <c r="JVX83" s="1"/>
      <c r="JVY83" s="1"/>
      <c r="JVZ83" s="1"/>
      <c r="JWA83" s="1"/>
      <c r="JWB83" s="1"/>
      <c r="JWC83" s="1"/>
      <c r="JWD83" s="1"/>
      <c r="JWE83" s="1"/>
      <c r="JWF83" s="1"/>
      <c r="JWG83" s="1"/>
      <c r="JWH83" s="1"/>
      <c r="JWI83" s="1"/>
      <c r="JWJ83" s="1"/>
      <c r="JWK83" s="1"/>
      <c r="JWL83" s="1"/>
      <c r="JWM83" s="1"/>
      <c r="JWN83" s="1"/>
      <c r="JWO83" s="1"/>
      <c r="JWP83" s="1"/>
      <c r="JWQ83" s="1"/>
      <c r="JWR83" s="1"/>
      <c r="JWS83" s="1"/>
      <c r="JWT83" s="1"/>
      <c r="JWU83" s="1"/>
      <c r="JWV83" s="1"/>
      <c r="JWW83" s="1"/>
      <c r="JWX83" s="1"/>
      <c r="JWY83" s="1"/>
      <c r="JWZ83" s="1"/>
      <c r="JXA83" s="1"/>
      <c r="JXB83" s="1"/>
      <c r="JXC83" s="1"/>
      <c r="JXD83" s="1"/>
      <c r="JXE83" s="1"/>
      <c r="JXF83" s="1"/>
      <c r="JXG83" s="1"/>
      <c r="JXH83" s="1"/>
      <c r="JXI83" s="1"/>
      <c r="JXJ83" s="1"/>
      <c r="JXK83" s="1"/>
      <c r="JXL83" s="1"/>
      <c r="JXM83" s="1"/>
      <c r="JXN83" s="1"/>
      <c r="JXO83" s="1"/>
      <c r="JXP83" s="1"/>
      <c r="JXQ83" s="1"/>
      <c r="JXR83" s="1"/>
      <c r="JXS83" s="1"/>
      <c r="JXT83" s="1"/>
      <c r="JXU83" s="1"/>
      <c r="JXV83" s="1"/>
      <c r="JXW83" s="1"/>
      <c r="JXX83" s="1"/>
      <c r="JXY83" s="1"/>
      <c r="JXZ83" s="1"/>
      <c r="JYA83" s="1"/>
      <c r="JYB83" s="1"/>
      <c r="JYC83" s="1"/>
      <c r="JYD83" s="1"/>
      <c r="JYE83" s="1"/>
      <c r="JYF83" s="1"/>
      <c r="JYG83" s="1"/>
      <c r="JYH83" s="1"/>
      <c r="JYI83" s="1"/>
      <c r="JYJ83" s="1"/>
      <c r="JYK83" s="1"/>
      <c r="JYL83" s="1"/>
      <c r="JYM83" s="1"/>
      <c r="JYN83" s="1"/>
      <c r="JYO83" s="1"/>
      <c r="JYP83" s="1"/>
      <c r="JYQ83" s="1"/>
      <c r="JYR83" s="1"/>
      <c r="JYS83" s="1"/>
      <c r="JYT83" s="1"/>
      <c r="JYU83" s="1"/>
      <c r="JYV83" s="1"/>
      <c r="JYW83" s="1"/>
      <c r="JYX83" s="1"/>
      <c r="JYY83" s="1"/>
      <c r="JYZ83" s="1"/>
      <c r="JZA83" s="1"/>
      <c r="JZB83" s="1"/>
      <c r="JZC83" s="1"/>
      <c r="JZD83" s="1"/>
      <c r="JZE83" s="1"/>
      <c r="JZF83" s="1"/>
      <c r="JZG83" s="1"/>
      <c r="JZH83" s="1"/>
      <c r="JZI83" s="1"/>
      <c r="JZJ83" s="1"/>
      <c r="JZK83" s="1"/>
      <c r="JZL83" s="1"/>
      <c r="JZM83" s="1"/>
      <c r="JZN83" s="1"/>
      <c r="JZO83" s="1"/>
      <c r="JZP83" s="1"/>
      <c r="JZQ83" s="1"/>
      <c r="JZR83" s="1"/>
      <c r="JZS83" s="1"/>
      <c r="JZT83" s="1"/>
      <c r="JZU83" s="1"/>
      <c r="JZV83" s="1"/>
      <c r="JZW83" s="1"/>
      <c r="JZX83" s="1"/>
      <c r="JZY83" s="1"/>
      <c r="JZZ83" s="1"/>
      <c r="KAA83" s="1"/>
      <c r="KAB83" s="1"/>
      <c r="KAC83" s="1"/>
      <c r="KAD83" s="1"/>
      <c r="KAE83" s="1"/>
      <c r="KAF83" s="1"/>
      <c r="KAG83" s="1"/>
      <c r="KAH83" s="1"/>
      <c r="KAI83" s="1"/>
      <c r="KAJ83" s="1"/>
      <c r="KAK83" s="1"/>
      <c r="KAL83" s="1"/>
      <c r="KAM83" s="1"/>
      <c r="KAN83" s="1"/>
      <c r="KAO83" s="1"/>
      <c r="KAP83" s="1"/>
      <c r="KAQ83" s="1"/>
      <c r="KAR83" s="1"/>
      <c r="KAS83" s="1"/>
      <c r="KAT83" s="1"/>
      <c r="KAU83" s="1"/>
      <c r="KAV83" s="1"/>
      <c r="KAW83" s="1"/>
      <c r="KAX83" s="1"/>
      <c r="KAY83" s="1"/>
      <c r="KAZ83" s="1"/>
      <c r="KBA83" s="1"/>
      <c r="KBB83" s="1"/>
      <c r="KBC83" s="1"/>
      <c r="KBD83" s="1"/>
      <c r="KBE83" s="1"/>
      <c r="KBF83" s="1"/>
      <c r="KBG83" s="1"/>
      <c r="KBH83" s="1"/>
      <c r="KBI83" s="1"/>
      <c r="KBJ83" s="1"/>
      <c r="KBK83" s="1"/>
      <c r="KBL83" s="1"/>
      <c r="KBM83" s="1"/>
      <c r="KBN83" s="1"/>
      <c r="KBO83" s="1"/>
      <c r="KBP83" s="1"/>
      <c r="KBQ83" s="1"/>
      <c r="KBR83" s="1"/>
      <c r="KBS83" s="1"/>
      <c r="KBT83" s="1"/>
      <c r="KBU83" s="1"/>
      <c r="KBV83" s="1"/>
      <c r="KBW83" s="1"/>
      <c r="KBX83" s="1"/>
      <c r="KBY83" s="1"/>
      <c r="KBZ83" s="1"/>
      <c r="KCA83" s="1"/>
      <c r="KCB83" s="1"/>
      <c r="KCC83" s="1"/>
      <c r="KCD83" s="1"/>
      <c r="KCE83" s="1"/>
      <c r="KCF83" s="1"/>
      <c r="KCG83" s="1"/>
      <c r="KCH83" s="1"/>
      <c r="KCI83" s="1"/>
      <c r="KCJ83" s="1"/>
      <c r="KCK83" s="1"/>
      <c r="KCL83" s="1"/>
      <c r="KCM83" s="1"/>
      <c r="KCN83" s="1"/>
      <c r="KCO83" s="1"/>
      <c r="KCP83" s="1"/>
      <c r="KCQ83" s="1"/>
      <c r="KCR83" s="1"/>
      <c r="KCS83" s="1"/>
      <c r="KCT83" s="1"/>
      <c r="KCU83" s="1"/>
      <c r="KCV83" s="1"/>
      <c r="KCW83" s="1"/>
      <c r="KCX83" s="1"/>
      <c r="KCY83" s="1"/>
      <c r="KCZ83" s="1"/>
      <c r="KDA83" s="1"/>
      <c r="KDB83" s="1"/>
      <c r="KDC83" s="1"/>
      <c r="KDD83" s="1"/>
      <c r="KDE83" s="1"/>
      <c r="KDF83" s="1"/>
      <c r="KDG83" s="1"/>
      <c r="KDH83" s="1"/>
      <c r="KDI83" s="1"/>
      <c r="KDJ83" s="1"/>
      <c r="KDK83" s="1"/>
      <c r="KDL83" s="1"/>
      <c r="KDM83" s="1"/>
      <c r="KDN83" s="1"/>
      <c r="KDO83" s="1"/>
      <c r="KDP83" s="1"/>
      <c r="KDQ83" s="1"/>
      <c r="KDR83" s="1"/>
      <c r="KDS83" s="1"/>
      <c r="KDT83" s="1"/>
      <c r="KDU83" s="1"/>
      <c r="KDV83" s="1"/>
      <c r="KDW83" s="1"/>
      <c r="KDX83" s="1"/>
      <c r="KDY83" s="1"/>
      <c r="KDZ83" s="1"/>
      <c r="KEA83" s="1"/>
      <c r="KEB83" s="1"/>
      <c r="KEC83" s="1"/>
      <c r="KED83" s="1"/>
      <c r="KEE83" s="1"/>
      <c r="KEF83" s="1"/>
      <c r="KEG83" s="1"/>
      <c r="KEH83" s="1"/>
      <c r="KEI83" s="1"/>
      <c r="KEJ83" s="1"/>
      <c r="KEK83" s="1"/>
      <c r="KEL83" s="1"/>
      <c r="KEM83" s="1"/>
      <c r="KEN83" s="1"/>
      <c r="KEO83" s="1"/>
      <c r="KEP83" s="1"/>
      <c r="KEQ83" s="1"/>
      <c r="KER83" s="1"/>
      <c r="KES83" s="1"/>
      <c r="KET83" s="1"/>
      <c r="KEU83" s="1"/>
      <c r="KEV83" s="1"/>
      <c r="KEW83" s="1"/>
      <c r="KEX83" s="1"/>
      <c r="KEY83" s="1"/>
      <c r="KEZ83" s="1"/>
      <c r="KFA83" s="1"/>
      <c r="KFB83" s="1"/>
      <c r="KFC83" s="1"/>
      <c r="KFD83" s="1"/>
      <c r="KFE83" s="1"/>
      <c r="KFF83" s="1"/>
      <c r="KFG83" s="1"/>
      <c r="KFH83" s="1"/>
      <c r="KFI83" s="1"/>
      <c r="KFJ83" s="1"/>
      <c r="KFK83" s="1"/>
      <c r="KFL83" s="1"/>
      <c r="KFM83" s="1"/>
      <c r="KFN83" s="1"/>
      <c r="KFO83" s="1"/>
      <c r="KFP83" s="1"/>
      <c r="KFQ83" s="1"/>
      <c r="KFR83" s="1"/>
      <c r="KFS83" s="1"/>
      <c r="KFT83" s="1"/>
      <c r="KFU83" s="1"/>
      <c r="KFV83" s="1"/>
      <c r="KFW83" s="1"/>
      <c r="KFX83" s="1"/>
      <c r="KFY83" s="1"/>
      <c r="KFZ83" s="1"/>
      <c r="KGA83" s="1"/>
      <c r="KGB83" s="1"/>
      <c r="KGC83" s="1"/>
      <c r="KGD83" s="1"/>
      <c r="KGE83" s="1"/>
      <c r="KGF83" s="1"/>
      <c r="KGG83" s="1"/>
      <c r="KGH83" s="1"/>
      <c r="KGI83" s="1"/>
      <c r="KGJ83" s="1"/>
      <c r="KGK83" s="1"/>
      <c r="KGL83" s="1"/>
      <c r="KGM83" s="1"/>
      <c r="KGN83" s="1"/>
      <c r="KGO83" s="1"/>
      <c r="KGP83" s="1"/>
      <c r="KGQ83" s="1"/>
      <c r="KGR83" s="1"/>
      <c r="KGS83" s="1"/>
      <c r="KGT83" s="1"/>
      <c r="KGU83" s="1"/>
      <c r="KGV83" s="1"/>
      <c r="KGW83" s="1"/>
      <c r="KGX83" s="1"/>
      <c r="KGY83" s="1"/>
      <c r="KGZ83" s="1"/>
      <c r="KHA83" s="1"/>
      <c r="KHB83" s="1"/>
      <c r="KHC83" s="1"/>
      <c r="KHD83" s="1"/>
      <c r="KHE83" s="1"/>
      <c r="KHF83" s="1"/>
      <c r="KHG83" s="1"/>
      <c r="KHH83" s="1"/>
      <c r="KHI83" s="1"/>
      <c r="KHJ83" s="1"/>
      <c r="KHK83" s="1"/>
      <c r="KHL83" s="1"/>
      <c r="KHM83" s="1"/>
      <c r="KHN83" s="1"/>
      <c r="KHO83" s="1"/>
      <c r="KHP83" s="1"/>
      <c r="KHQ83" s="1"/>
      <c r="KHR83" s="1"/>
      <c r="KHS83" s="1"/>
      <c r="KHT83" s="1"/>
      <c r="KHU83" s="1"/>
      <c r="KHV83" s="1"/>
      <c r="KHW83" s="1"/>
      <c r="KHX83" s="1"/>
      <c r="KHY83" s="1"/>
      <c r="KHZ83" s="1"/>
      <c r="KIA83" s="1"/>
      <c r="KIB83" s="1"/>
      <c r="KIC83" s="1"/>
      <c r="KID83" s="1"/>
      <c r="KIE83" s="1"/>
      <c r="KIF83" s="1"/>
      <c r="KIG83" s="1"/>
      <c r="KIH83" s="1"/>
      <c r="KII83" s="1"/>
      <c r="KIJ83" s="1"/>
      <c r="KIK83" s="1"/>
      <c r="KIL83" s="1"/>
      <c r="KIM83" s="1"/>
      <c r="KIN83" s="1"/>
      <c r="KIO83" s="1"/>
      <c r="KIP83" s="1"/>
      <c r="KIQ83" s="1"/>
      <c r="KIR83" s="1"/>
      <c r="KIS83" s="1"/>
      <c r="KIT83" s="1"/>
      <c r="KIU83" s="1"/>
      <c r="KIV83" s="1"/>
      <c r="KIW83" s="1"/>
      <c r="KIX83" s="1"/>
      <c r="KIY83" s="1"/>
      <c r="KIZ83" s="1"/>
      <c r="KJA83" s="1"/>
      <c r="KJB83" s="1"/>
      <c r="KJC83" s="1"/>
      <c r="KJD83" s="1"/>
      <c r="KJE83" s="1"/>
      <c r="KJF83" s="1"/>
      <c r="KJG83" s="1"/>
      <c r="KJH83" s="1"/>
      <c r="KJI83" s="1"/>
      <c r="KJJ83" s="1"/>
      <c r="KJK83" s="1"/>
      <c r="KJL83" s="1"/>
      <c r="KJM83" s="1"/>
      <c r="KJN83" s="1"/>
      <c r="KJO83" s="1"/>
      <c r="KJP83" s="1"/>
      <c r="KJQ83" s="1"/>
      <c r="KJR83" s="1"/>
      <c r="KJS83" s="1"/>
      <c r="KJT83" s="1"/>
      <c r="KJU83" s="1"/>
      <c r="KJV83" s="1"/>
      <c r="KJW83" s="1"/>
      <c r="KJX83" s="1"/>
      <c r="KJY83" s="1"/>
      <c r="KJZ83" s="1"/>
      <c r="KKA83" s="1"/>
      <c r="KKB83" s="1"/>
      <c r="KKC83" s="1"/>
      <c r="KKD83" s="1"/>
      <c r="KKE83" s="1"/>
      <c r="KKF83" s="1"/>
      <c r="KKG83" s="1"/>
      <c r="KKH83" s="1"/>
      <c r="KKI83" s="1"/>
      <c r="KKJ83" s="1"/>
      <c r="KKK83" s="1"/>
      <c r="KKL83" s="1"/>
      <c r="KKM83" s="1"/>
      <c r="KKN83" s="1"/>
      <c r="KKO83" s="1"/>
      <c r="KKP83" s="1"/>
      <c r="KKQ83" s="1"/>
      <c r="KKR83" s="1"/>
      <c r="KKS83" s="1"/>
      <c r="KKT83" s="1"/>
      <c r="KKU83" s="1"/>
      <c r="KKV83" s="1"/>
      <c r="KKW83" s="1"/>
      <c r="KKX83" s="1"/>
      <c r="KKY83" s="1"/>
      <c r="KKZ83" s="1"/>
      <c r="KLA83" s="1"/>
      <c r="KLB83" s="1"/>
      <c r="KLC83" s="1"/>
      <c r="KLD83" s="1"/>
      <c r="KLE83" s="1"/>
      <c r="KLF83" s="1"/>
      <c r="KLG83" s="1"/>
      <c r="KLH83" s="1"/>
      <c r="KLI83" s="1"/>
      <c r="KLJ83" s="1"/>
      <c r="KLK83" s="1"/>
      <c r="KLL83" s="1"/>
      <c r="KLM83" s="1"/>
      <c r="KLN83" s="1"/>
      <c r="KLO83" s="1"/>
      <c r="KLP83" s="1"/>
      <c r="KLQ83" s="1"/>
      <c r="KLR83" s="1"/>
      <c r="KLS83" s="1"/>
      <c r="KLT83" s="1"/>
      <c r="KLU83" s="1"/>
      <c r="KLV83" s="1"/>
      <c r="KLW83" s="1"/>
      <c r="KLX83" s="1"/>
      <c r="KLY83" s="1"/>
      <c r="KLZ83" s="1"/>
      <c r="KMA83" s="1"/>
      <c r="KMB83" s="1"/>
      <c r="KMC83" s="1"/>
      <c r="KMD83" s="1"/>
      <c r="KME83" s="1"/>
      <c r="KMF83" s="1"/>
      <c r="KMG83" s="1"/>
      <c r="KMH83" s="1"/>
      <c r="KMI83" s="1"/>
      <c r="KMJ83" s="1"/>
      <c r="KMK83" s="1"/>
      <c r="KML83" s="1"/>
      <c r="KMM83" s="1"/>
      <c r="KMN83" s="1"/>
      <c r="KMO83" s="1"/>
      <c r="KMP83" s="1"/>
      <c r="KMQ83" s="1"/>
      <c r="KMR83" s="1"/>
      <c r="KMS83" s="1"/>
      <c r="KMT83" s="1"/>
      <c r="KMU83" s="1"/>
      <c r="KMV83" s="1"/>
      <c r="KMW83" s="1"/>
      <c r="KMX83" s="1"/>
      <c r="KMY83" s="1"/>
      <c r="KMZ83" s="1"/>
      <c r="KNA83" s="1"/>
      <c r="KNB83" s="1"/>
      <c r="KNC83" s="1"/>
      <c r="KND83" s="1"/>
      <c r="KNE83" s="1"/>
      <c r="KNF83" s="1"/>
      <c r="KNG83" s="1"/>
      <c r="KNH83" s="1"/>
      <c r="KNI83" s="1"/>
      <c r="KNJ83" s="1"/>
      <c r="KNK83" s="1"/>
      <c r="KNL83" s="1"/>
      <c r="KNM83" s="1"/>
      <c r="KNN83" s="1"/>
      <c r="KNO83" s="1"/>
      <c r="KNP83" s="1"/>
      <c r="KNQ83" s="1"/>
      <c r="KNR83" s="1"/>
      <c r="KNS83" s="1"/>
      <c r="KNT83" s="1"/>
      <c r="KNU83" s="1"/>
      <c r="KNV83" s="1"/>
      <c r="KNW83" s="1"/>
      <c r="KNX83" s="1"/>
      <c r="KNY83" s="1"/>
      <c r="KNZ83" s="1"/>
      <c r="KOA83" s="1"/>
      <c r="KOB83" s="1"/>
      <c r="KOC83" s="1"/>
      <c r="KOD83" s="1"/>
      <c r="KOE83" s="1"/>
      <c r="KOF83" s="1"/>
      <c r="KOG83" s="1"/>
      <c r="KOH83" s="1"/>
      <c r="KOI83" s="1"/>
      <c r="KOJ83" s="1"/>
      <c r="KOK83" s="1"/>
      <c r="KOL83" s="1"/>
      <c r="KOM83" s="1"/>
      <c r="KON83" s="1"/>
      <c r="KOO83" s="1"/>
      <c r="KOP83" s="1"/>
      <c r="KOQ83" s="1"/>
      <c r="KOR83" s="1"/>
      <c r="KOS83" s="1"/>
      <c r="KOT83" s="1"/>
      <c r="KOU83" s="1"/>
      <c r="KOV83" s="1"/>
      <c r="KOW83" s="1"/>
      <c r="KOX83" s="1"/>
      <c r="KOY83" s="1"/>
      <c r="KOZ83" s="1"/>
      <c r="KPA83" s="1"/>
      <c r="KPB83" s="1"/>
      <c r="KPC83" s="1"/>
      <c r="KPD83" s="1"/>
      <c r="KPE83" s="1"/>
      <c r="KPF83" s="1"/>
      <c r="KPG83" s="1"/>
      <c r="KPH83" s="1"/>
      <c r="KPI83" s="1"/>
      <c r="KPJ83" s="1"/>
      <c r="KPK83" s="1"/>
      <c r="KPL83" s="1"/>
      <c r="KPM83" s="1"/>
      <c r="KPN83" s="1"/>
      <c r="KPO83" s="1"/>
      <c r="KPP83" s="1"/>
      <c r="KPQ83" s="1"/>
      <c r="KPR83" s="1"/>
      <c r="KPS83" s="1"/>
      <c r="KPT83" s="1"/>
      <c r="KPU83" s="1"/>
      <c r="KPV83" s="1"/>
      <c r="KPW83" s="1"/>
      <c r="KPX83" s="1"/>
      <c r="KPY83" s="1"/>
      <c r="KPZ83" s="1"/>
      <c r="KQA83" s="1"/>
      <c r="KQB83" s="1"/>
      <c r="KQC83" s="1"/>
      <c r="KQD83" s="1"/>
      <c r="KQE83" s="1"/>
      <c r="KQF83" s="1"/>
      <c r="KQG83" s="1"/>
      <c r="KQH83" s="1"/>
      <c r="KQI83" s="1"/>
      <c r="KQJ83" s="1"/>
      <c r="KQK83" s="1"/>
      <c r="KQL83" s="1"/>
      <c r="KQM83" s="1"/>
      <c r="KQN83" s="1"/>
      <c r="KQO83" s="1"/>
      <c r="KQP83" s="1"/>
      <c r="KQQ83" s="1"/>
      <c r="KQR83" s="1"/>
      <c r="KQS83" s="1"/>
      <c r="KQT83" s="1"/>
      <c r="KQU83" s="1"/>
      <c r="KQV83" s="1"/>
      <c r="KQW83" s="1"/>
      <c r="KQX83" s="1"/>
      <c r="KQY83" s="1"/>
      <c r="KQZ83" s="1"/>
      <c r="KRA83" s="1"/>
      <c r="KRB83" s="1"/>
      <c r="KRC83" s="1"/>
      <c r="KRD83" s="1"/>
      <c r="KRE83" s="1"/>
      <c r="KRF83" s="1"/>
      <c r="KRG83" s="1"/>
      <c r="KRH83" s="1"/>
      <c r="KRI83" s="1"/>
      <c r="KRJ83" s="1"/>
      <c r="KRK83" s="1"/>
      <c r="KRL83" s="1"/>
      <c r="KRM83" s="1"/>
      <c r="KRN83" s="1"/>
      <c r="KRO83" s="1"/>
      <c r="KRP83" s="1"/>
      <c r="KRQ83" s="1"/>
      <c r="KRR83" s="1"/>
      <c r="KRS83" s="1"/>
      <c r="KRT83" s="1"/>
      <c r="KRU83" s="1"/>
      <c r="KRV83" s="1"/>
      <c r="KRW83" s="1"/>
      <c r="KRX83" s="1"/>
      <c r="KRY83" s="1"/>
      <c r="KRZ83" s="1"/>
      <c r="KSA83" s="1"/>
      <c r="KSB83" s="1"/>
      <c r="KSC83" s="1"/>
      <c r="KSD83" s="1"/>
      <c r="KSE83" s="1"/>
      <c r="KSF83" s="1"/>
      <c r="KSG83" s="1"/>
      <c r="KSH83" s="1"/>
      <c r="KSI83" s="1"/>
      <c r="KSJ83" s="1"/>
      <c r="KSK83" s="1"/>
      <c r="KSL83" s="1"/>
      <c r="KSM83" s="1"/>
      <c r="KSN83" s="1"/>
      <c r="KSO83" s="1"/>
      <c r="KSP83" s="1"/>
      <c r="KSQ83" s="1"/>
      <c r="KSR83" s="1"/>
      <c r="KSS83" s="1"/>
      <c r="KST83" s="1"/>
      <c r="KSU83" s="1"/>
      <c r="KSV83" s="1"/>
      <c r="KSW83" s="1"/>
      <c r="KSX83" s="1"/>
      <c r="KSY83" s="1"/>
      <c r="KSZ83" s="1"/>
      <c r="KTA83" s="1"/>
      <c r="KTB83" s="1"/>
      <c r="KTC83" s="1"/>
      <c r="KTD83" s="1"/>
      <c r="KTE83" s="1"/>
      <c r="KTF83" s="1"/>
      <c r="KTG83" s="1"/>
      <c r="KTH83" s="1"/>
      <c r="KTI83" s="1"/>
      <c r="KTJ83" s="1"/>
      <c r="KTK83" s="1"/>
      <c r="KTL83" s="1"/>
      <c r="KTM83" s="1"/>
      <c r="KTN83" s="1"/>
      <c r="KTO83" s="1"/>
      <c r="KTP83" s="1"/>
      <c r="KTQ83" s="1"/>
      <c r="KTR83" s="1"/>
      <c r="KTS83" s="1"/>
      <c r="KTT83" s="1"/>
      <c r="KTU83" s="1"/>
      <c r="KTV83" s="1"/>
      <c r="KTW83" s="1"/>
      <c r="KTX83" s="1"/>
      <c r="KTY83" s="1"/>
      <c r="KTZ83" s="1"/>
      <c r="KUA83" s="1"/>
      <c r="KUB83" s="1"/>
      <c r="KUC83" s="1"/>
      <c r="KUD83" s="1"/>
      <c r="KUE83" s="1"/>
      <c r="KUF83" s="1"/>
      <c r="KUG83" s="1"/>
      <c r="KUH83" s="1"/>
      <c r="KUI83" s="1"/>
      <c r="KUJ83" s="1"/>
      <c r="KUK83" s="1"/>
      <c r="KUL83" s="1"/>
      <c r="KUM83" s="1"/>
      <c r="KUN83" s="1"/>
      <c r="KUO83" s="1"/>
      <c r="KUP83" s="1"/>
      <c r="KUQ83" s="1"/>
      <c r="KUR83" s="1"/>
      <c r="KUS83" s="1"/>
      <c r="KUT83" s="1"/>
      <c r="KUU83" s="1"/>
      <c r="KUV83" s="1"/>
      <c r="KUW83" s="1"/>
      <c r="KUX83" s="1"/>
      <c r="KUY83" s="1"/>
      <c r="KUZ83" s="1"/>
      <c r="KVA83" s="1"/>
      <c r="KVB83" s="1"/>
      <c r="KVC83" s="1"/>
      <c r="KVD83" s="1"/>
      <c r="KVE83" s="1"/>
      <c r="KVF83" s="1"/>
      <c r="KVG83" s="1"/>
      <c r="KVH83" s="1"/>
      <c r="KVI83" s="1"/>
      <c r="KVJ83" s="1"/>
      <c r="KVK83" s="1"/>
      <c r="KVL83" s="1"/>
      <c r="KVM83" s="1"/>
      <c r="KVN83" s="1"/>
      <c r="KVO83" s="1"/>
      <c r="KVP83" s="1"/>
      <c r="KVQ83" s="1"/>
      <c r="KVR83" s="1"/>
      <c r="KVS83" s="1"/>
      <c r="KVT83" s="1"/>
      <c r="KVU83" s="1"/>
      <c r="KVV83" s="1"/>
      <c r="KVW83" s="1"/>
      <c r="KVX83" s="1"/>
      <c r="KVY83" s="1"/>
      <c r="KVZ83" s="1"/>
      <c r="KWA83" s="1"/>
      <c r="KWB83" s="1"/>
      <c r="KWC83" s="1"/>
      <c r="KWD83" s="1"/>
      <c r="KWE83" s="1"/>
      <c r="KWF83" s="1"/>
      <c r="KWG83" s="1"/>
      <c r="KWH83" s="1"/>
      <c r="KWI83" s="1"/>
      <c r="KWJ83" s="1"/>
      <c r="KWK83" s="1"/>
      <c r="KWL83" s="1"/>
      <c r="KWM83" s="1"/>
      <c r="KWN83" s="1"/>
      <c r="KWO83" s="1"/>
      <c r="KWP83" s="1"/>
      <c r="KWQ83" s="1"/>
      <c r="KWR83" s="1"/>
      <c r="KWS83" s="1"/>
      <c r="KWT83" s="1"/>
      <c r="KWU83" s="1"/>
      <c r="KWV83" s="1"/>
      <c r="KWW83" s="1"/>
      <c r="KWX83" s="1"/>
      <c r="KWY83" s="1"/>
      <c r="KWZ83" s="1"/>
      <c r="KXA83" s="1"/>
      <c r="KXB83" s="1"/>
      <c r="KXC83" s="1"/>
      <c r="KXD83" s="1"/>
      <c r="KXE83" s="1"/>
      <c r="KXF83" s="1"/>
      <c r="KXG83" s="1"/>
      <c r="KXH83" s="1"/>
      <c r="KXI83" s="1"/>
      <c r="KXJ83" s="1"/>
      <c r="KXK83" s="1"/>
      <c r="KXL83" s="1"/>
      <c r="KXM83" s="1"/>
      <c r="KXN83" s="1"/>
      <c r="KXO83" s="1"/>
      <c r="KXP83" s="1"/>
      <c r="KXQ83" s="1"/>
      <c r="KXR83" s="1"/>
      <c r="KXS83" s="1"/>
      <c r="KXT83" s="1"/>
      <c r="KXU83" s="1"/>
      <c r="KXV83" s="1"/>
      <c r="KXW83" s="1"/>
      <c r="KXX83" s="1"/>
      <c r="KXY83" s="1"/>
      <c r="KXZ83" s="1"/>
      <c r="KYA83" s="1"/>
      <c r="KYB83" s="1"/>
      <c r="KYC83" s="1"/>
      <c r="KYD83" s="1"/>
      <c r="KYE83" s="1"/>
      <c r="KYF83" s="1"/>
      <c r="KYG83" s="1"/>
      <c r="KYH83" s="1"/>
      <c r="KYI83" s="1"/>
      <c r="KYJ83" s="1"/>
      <c r="KYK83" s="1"/>
      <c r="KYL83" s="1"/>
      <c r="KYM83" s="1"/>
      <c r="KYN83" s="1"/>
      <c r="KYO83" s="1"/>
      <c r="KYP83" s="1"/>
      <c r="KYQ83" s="1"/>
      <c r="KYR83" s="1"/>
      <c r="KYS83" s="1"/>
      <c r="KYT83" s="1"/>
      <c r="KYU83" s="1"/>
      <c r="KYV83" s="1"/>
      <c r="KYW83" s="1"/>
      <c r="KYX83" s="1"/>
      <c r="KYY83" s="1"/>
      <c r="KYZ83" s="1"/>
      <c r="KZA83" s="1"/>
      <c r="KZB83" s="1"/>
      <c r="KZC83" s="1"/>
      <c r="KZD83" s="1"/>
      <c r="KZE83" s="1"/>
      <c r="KZF83" s="1"/>
      <c r="KZG83" s="1"/>
      <c r="KZH83" s="1"/>
      <c r="KZI83" s="1"/>
      <c r="KZJ83" s="1"/>
      <c r="KZK83" s="1"/>
      <c r="KZL83" s="1"/>
      <c r="KZM83" s="1"/>
      <c r="KZN83" s="1"/>
      <c r="KZO83" s="1"/>
      <c r="KZP83" s="1"/>
      <c r="KZQ83" s="1"/>
      <c r="KZR83" s="1"/>
      <c r="KZS83" s="1"/>
      <c r="KZT83" s="1"/>
      <c r="KZU83" s="1"/>
      <c r="KZV83" s="1"/>
      <c r="KZW83" s="1"/>
      <c r="KZX83" s="1"/>
      <c r="KZY83" s="1"/>
      <c r="KZZ83" s="1"/>
      <c r="LAA83" s="1"/>
      <c r="LAB83" s="1"/>
      <c r="LAC83" s="1"/>
      <c r="LAD83" s="1"/>
      <c r="LAE83" s="1"/>
      <c r="LAF83" s="1"/>
      <c r="LAG83" s="1"/>
      <c r="LAH83" s="1"/>
      <c r="LAI83" s="1"/>
      <c r="LAJ83" s="1"/>
      <c r="LAK83" s="1"/>
      <c r="LAL83" s="1"/>
      <c r="LAM83" s="1"/>
      <c r="LAN83" s="1"/>
      <c r="LAO83" s="1"/>
      <c r="LAP83" s="1"/>
      <c r="LAQ83" s="1"/>
      <c r="LAR83" s="1"/>
      <c r="LAS83" s="1"/>
      <c r="LAT83" s="1"/>
      <c r="LAU83" s="1"/>
      <c r="LAV83" s="1"/>
      <c r="LAW83" s="1"/>
      <c r="LAX83" s="1"/>
      <c r="LAY83" s="1"/>
      <c r="LAZ83" s="1"/>
      <c r="LBA83" s="1"/>
      <c r="LBB83" s="1"/>
      <c r="LBC83" s="1"/>
      <c r="LBD83" s="1"/>
      <c r="LBE83" s="1"/>
      <c r="LBF83" s="1"/>
      <c r="LBG83" s="1"/>
      <c r="LBH83" s="1"/>
      <c r="LBI83" s="1"/>
      <c r="LBJ83" s="1"/>
      <c r="LBK83" s="1"/>
      <c r="LBL83" s="1"/>
      <c r="LBM83" s="1"/>
      <c r="LBN83" s="1"/>
      <c r="LBO83" s="1"/>
      <c r="LBP83" s="1"/>
      <c r="LBQ83" s="1"/>
      <c r="LBR83" s="1"/>
      <c r="LBS83" s="1"/>
      <c r="LBT83" s="1"/>
      <c r="LBU83" s="1"/>
      <c r="LBV83" s="1"/>
      <c r="LBW83" s="1"/>
      <c r="LBX83" s="1"/>
      <c r="LBY83" s="1"/>
      <c r="LBZ83" s="1"/>
      <c r="LCA83" s="1"/>
      <c r="LCB83" s="1"/>
      <c r="LCC83" s="1"/>
      <c r="LCD83" s="1"/>
      <c r="LCE83" s="1"/>
      <c r="LCF83" s="1"/>
      <c r="LCG83" s="1"/>
      <c r="LCH83" s="1"/>
      <c r="LCI83" s="1"/>
      <c r="LCJ83" s="1"/>
      <c r="LCK83" s="1"/>
      <c r="LCL83" s="1"/>
      <c r="LCM83" s="1"/>
      <c r="LCN83" s="1"/>
      <c r="LCO83" s="1"/>
      <c r="LCP83" s="1"/>
      <c r="LCQ83" s="1"/>
      <c r="LCR83" s="1"/>
      <c r="LCS83" s="1"/>
      <c r="LCT83" s="1"/>
      <c r="LCU83" s="1"/>
      <c r="LCV83" s="1"/>
      <c r="LCW83" s="1"/>
      <c r="LCX83" s="1"/>
      <c r="LCY83" s="1"/>
      <c r="LCZ83" s="1"/>
      <c r="LDA83" s="1"/>
      <c r="LDB83" s="1"/>
      <c r="LDC83" s="1"/>
      <c r="LDD83" s="1"/>
      <c r="LDE83" s="1"/>
      <c r="LDF83" s="1"/>
      <c r="LDG83" s="1"/>
      <c r="LDH83" s="1"/>
      <c r="LDI83" s="1"/>
      <c r="LDJ83" s="1"/>
      <c r="LDK83" s="1"/>
      <c r="LDL83" s="1"/>
      <c r="LDM83" s="1"/>
      <c r="LDN83" s="1"/>
      <c r="LDO83" s="1"/>
      <c r="LDP83" s="1"/>
      <c r="LDQ83" s="1"/>
      <c r="LDR83" s="1"/>
      <c r="LDS83" s="1"/>
      <c r="LDT83" s="1"/>
      <c r="LDU83" s="1"/>
      <c r="LDV83" s="1"/>
      <c r="LDW83" s="1"/>
      <c r="LDX83" s="1"/>
      <c r="LDY83" s="1"/>
      <c r="LDZ83" s="1"/>
      <c r="LEA83" s="1"/>
      <c r="LEB83" s="1"/>
      <c r="LEC83" s="1"/>
      <c r="LED83" s="1"/>
      <c r="LEE83" s="1"/>
      <c r="LEF83" s="1"/>
      <c r="LEG83" s="1"/>
      <c r="LEH83" s="1"/>
      <c r="LEI83" s="1"/>
      <c r="LEJ83" s="1"/>
      <c r="LEK83" s="1"/>
      <c r="LEL83" s="1"/>
      <c r="LEM83" s="1"/>
      <c r="LEN83" s="1"/>
      <c r="LEO83" s="1"/>
      <c r="LEP83" s="1"/>
      <c r="LEQ83" s="1"/>
      <c r="LER83" s="1"/>
      <c r="LES83" s="1"/>
      <c r="LET83" s="1"/>
      <c r="LEU83" s="1"/>
      <c r="LEV83" s="1"/>
      <c r="LEW83" s="1"/>
      <c r="LEX83" s="1"/>
      <c r="LEY83" s="1"/>
      <c r="LEZ83" s="1"/>
      <c r="LFA83" s="1"/>
      <c r="LFB83" s="1"/>
      <c r="LFC83" s="1"/>
      <c r="LFD83" s="1"/>
      <c r="LFE83" s="1"/>
      <c r="LFF83" s="1"/>
      <c r="LFG83" s="1"/>
      <c r="LFH83" s="1"/>
      <c r="LFI83" s="1"/>
      <c r="LFJ83" s="1"/>
      <c r="LFK83" s="1"/>
      <c r="LFL83" s="1"/>
      <c r="LFM83" s="1"/>
      <c r="LFN83" s="1"/>
      <c r="LFO83" s="1"/>
      <c r="LFP83" s="1"/>
      <c r="LFQ83" s="1"/>
      <c r="LFR83" s="1"/>
      <c r="LFS83" s="1"/>
      <c r="LFT83" s="1"/>
      <c r="LFU83" s="1"/>
      <c r="LFV83" s="1"/>
      <c r="LFW83" s="1"/>
      <c r="LFX83" s="1"/>
      <c r="LFY83" s="1"/>
      <c r="LFZ83" s="1"/>
      <c r="LGA83" s="1"/>
      <c r="LGB83" s="1"/>
      <c r="LGC83" s="1"/>
      <c r="LGD83" s="1"/>
      <c r="LGE83" s="1"/>
      <c r="LGF83" s="1"/>
      <c r="LGG83" s="1"/>
      <c r="LGH83" s="1"/>
      <c r="LGI83" s="1"/>
      <c r="LGJ83" s="1"/>
      <c r="LGK83" s="1"/>
      <c r="LGL83" s="1"/>
      <c r="LGM83" s="1"/>
      <c r="LGN83" s="1"/>
      <c r="LGO83" s="1"/>
      <c r="LGP83" s="1"/>
      <c r="LGQ83" s="1"/>
      <c r="LGR83" s="1"/>
      <c r="LGS83" s="1"/>
      <c r="LGT83" s="1"/>
      <c r="LGU83" s="1"/>
      <c r="LGV83" s="1"/>
      <c r="LGW83" s="1"/>
      <c r="LGX83" s="1"/>
      <c r="LGY83" s="1"/>
      <c r="LGZ83" s="1"/>
      <c r="LHA83" s="1"/>
      <c r="LHB83" s="1"/>
      <c r="LHC83" s="1"/>
      <c r="LHD83" s="1"/>
      <c r="LHE83" s="1"/>
      <c r="LHF83" s="1"/>
      <c r="LHG83" s="1"/>
      <c r="LHH83" s="1"/>
      <c r="LHI83" s="1"/>
      <c r="LHJ83" s="1"/>
      <c r="LHK83" s="1"/>
      <c r="LHL83" s="1"/>
      <c r="LHM83" s="1"/>
      <c r="LHN83" s="1"/>
      <c r="LHO83" s="1"/>
      <c r="LHP83" s="1"/>
      <c r="LHQ83" s="1"/>
      <c r="LHR83" s="1"/>
      <c r="LHS83" s="1"/>
      <c r="LHT83" s="1"/>
      <c r="LHU83" s="1"/>
      <c r="LHV83" s="1"/>
      <c r="LHW83" s="1"/>
      <c r="LHX83" s="1"/>
      <c r="LHY83" s="1"/>
      <c r="LHZ83" s="1"/>
      <c r="LIA83" s="1"/>
      <c r="LIB83" s="1"/>
      <c r="LIC83" s="1"/>
      <c r="LID83" s="1"/>
      <c r="LIE83" s="1"/>
      <c r="LIF83" s="1"/>
      <c r="LIG83" s="1"/>
      <c r="LIH83" s="1"/>
      <c r="LII83" s="1"/>
      <c r="LIJ83" s="1"/>
      <c r="LIK83" s="1"/>
      <c r="LIL83" s="1"/>
      <c r="LIM83" s="1"/>
      <c r="LIN83" s="1"/>
      <c r="LIO83" s="1"/>
      <c r="LIP83" s="1"/>
      <c r="LIQ83" s="1"/>
      <c r="LIR83" s="1"/>
      <c r="LIS83" s="1"/>
      <c r="LIT83" s="1"/>
      <c r="LIU83" s="1"/>
      <c r="LIV83" s="1"/>
      <c r="LIW83" s="1"/>
      <c r="LIX83" s="1"/>
      <c r="LIY83" s="1"/>
      <c r="LIZ83" s="1"/>
      <c r="LJA83" s="1"/>
      <c r="LJB83" s="1"/>
      <c r="LJC83" s="1"/>
      <c r="LJD83" s="1"/>
      <c r="LJE83" s="1"/>
      <c r="LJF83" s="1"/>
      <c r="LJG83" s="1"/>
      <c r="LJH83" s="1"/>
      <c r="LJI83" s="1"/>
      <c r="LJJ83" s="1"/>
      <c r="LJK83" s="1"/>
      <c r="LJL83" s="1"/>
      <c r="LJM83" s="1"/>
      <c r="LJN83" s="1"/>
      <c r="LJO83" s="1"/>
      <c r="LJP83" s="1"/>
      <c r="LJQ83" s="1"/>
      <c r="LJR83" s="1"/>
      <c r="LJS83" s="1"/>
      <c r="LJT83" s="1"/>
      <c r="LJU83" s="1"/>
      <c r="LJV83" s="1"/>
      <c r="LJW83" s="1"/>
      <c r="LJX83" s="1"/>
      <c r="LJY83" s="1"/>
      <c r="LJZ83" s="1"/>
      <c r="LKA83" s="1"/>
      <c r="LKB83" s="1"/>
      <c r="LKC83" s="1"/>
      <c r="LKD83" s="1"/>
      <c r="LKE83" s="1"/>
      <c r="LKF83" s="1"/>
      <c r="LKG83" s="1"/>
      <c r="LKH83" s="1"/>
      <c r="LKI83" s="1"/>
      <c r="LKJ83" s="1"/>
      <c r="LKK83" s="1"/>
      <c r="LKL83" s="1"/>
      <c r="LKM83" s="1"/>
      <c r="LKN83" s="1"/>
      <c r="LKO83" s="1"/>
      <c r="LKP83" s="1"/>
      <c r="LKQ83" s="1"/>
      <c r="LKR83" s="1"/>
      <c r="LKS83" s="1"/>
      <c r="LKT83" s="1"/>
      <c r="LKU83" s="1"/>
      <c r="LKV83" s="1"/>
      <c r="LKW83" s="1"/>
      <c r="LKX83" s="1"/>
      <c r="LKY83" s="1"/>
      <c r="LKZ83" s="1"/>
      <c r="LLA83" s="1"/>
      <c r="LLB83" s="1"/>
      <c r="LLC83" s="1"/>
      <c r="LLD83" s="1"/>
      <c r="LLE83" s="1"/>
      <c r="LLF83" s="1"/>
      <c r="LLG83" s="1"/>
      <c r="LLH83" s="1"/>
      <c r="LLI83" s="1"/>
      <c r="LLJ83" s="1"/>
      <c r="LLK83" s="1"/>
      <c r="LLL83" s="1"/>
      <c r="LLM83" s="1"/>
      <c r="LLN83" s="1"/>
      <c r="LLO83" s="1"/>
      <c r="LLP83" s="1"/>
      <c r="LLQ83" s="1"/>
      <c r="LLR83" s="1"/>
      <c r="LLS83" s="1"/>
      <c r="LLT83" s="1"/>
      <c r="LLU83" s="1"/>
      <c r="LLV83" s="1"/>
      <c r="LLW83" s="1"/>
      <c r="LLX83" s="1"/>
      <c r="LLY83" s="1"/>
      <c r="LLZ83" s="1"/>
      <c r="LMA83" s="1"/>
      <c r="LMB83" s="1"/>
      <c r="LMC83" s="1"/>
      <c r="LMD83" s="1"/>
      <c r="LME83" s="1"/>
      <c r="LMF83" s="1"/>
      <c r="LMG83" s="1"/>
      <c r="LMH83" s="1"/>
      <c r="LMI83" s="1"/>
      <c r="LMJ83" s="1"/>
      <c r="LMK83" s="1"/>
      <c r="LML83" s="1"/>
      <c r="LMM83" s="1"/>
      <c r="LMN83" s="1"/>
      <c r="LMO83" s="1"/>
      <c r="LMP83" s="1"/>
      <c r="LMQ83" s="1"/>
      <c r="LMR83" s="1"/>
      <c r="LMS83" s="1"/>
      <c r="LMT83" s="1"/>
      <c r="LMU83" s="1"/>
      <c r="LMV83" s="1"/>
      <c r="LMW83" s="1"/>
      <c r="LMX83" s="1"/>
      <c r="LMY83" s="1"/>
      <c r="LMZ83" s="1"/>
      <c r="LNA83" s="1"/>
      <c r="LNB83" s="1"/>
      <c r="LNC83" s="1"/>
      <c r="LND83" s="1"/>
      <c r="LNE83" s="1"/>
      <c r="LNF83" s="1"/>
      <c r="LNG83" s="1"/>
      <c r="LNH83" s="1"/>
      <c r="LNI83" s="1"/>
      <c r="LNJ83" s="1"/>
      <c r="LNK83" s="1"/>
      <c r="LNL83" s="1"/>
      <c r="LNM83" s="1"/>
      <c r="LNN83" s="1"/>
      <c r="LNO83" s="1"/>
      <c r="LNP83" s="1"/>
      <c r="LNQ83" s="1"/>
      <c r="LNR83" s="1"/>
      <c r="LNS83" s="1"/>
      <c r="LNT83" s="1"/>
      <c r="LNU83" s="1"/>
      <c r="LNV83" s="1"/>
      <c r="LNW83" s="1"/>
      <c r="LNX83" s="1"/>
      <c r="LNY83" s="1"/>
      <c r="LNZ83" s="1"/>
      <c r="LOA83" s="1"/>
      <c r="LOB83" s="1"/>
      <c r="LOC83" s="1"/>
      <c r="LOD83" s="1"/>
      <c r="LOE83" s="1"/>
      <c r="LOF83" s="1"/>
      <c r="LOG83" s="1"/>
      <c r="LOH83" s="1"/>
      <c r="LOI83" s="1"/>
      <c r="LOJ83" s="1"/>
      <c r="LOK83" s="1"/>
      <c r="LOL83" s="1"/>
      <c r="LOM83" s="1"/>
      <c r="LON83" s="1"/>
      <c r="LOO83" s="1"/>
      <c r="LOP83" s="1"/>
      <c r="LOQ83" s="1"/>
      <c r="LOR83" s="1"/>
      <c r="LOS83" s="1"/>
      <c r="LOT83" s="1"/>
      <c r="LOU83" s="1"/>
      <c r="LOV83" s="1"/>
      <c r="LOW83" s="1"/>
      <c r="LOX83" s="1"/>
      <c r="LOY83" s="1"/>
      <c r="LOZ83" s="1"/>
      <c r="LPA83" s="1"/>
      <c r="LPB83" s="1"/>
      <c r="LPC83" s="1"/>
      <c r="LPD83" s="1"/>
      <c r="LPE83" s="1"/>
      <c r="LPF83" s="1"/>
      <c r="LPG83" s="1"/>
      <c r="LPH83" s="1"/>
      <c r="LPI83" s="1"/>
      <c r="LPJ83" s="1"/>
      <c r="LPK83" s="1"/>
      <c r="LPL83" s="1"/>
      <c r="LPM83" s="1"/>
      <c r="LPN83" s="1"/>
      <c r="LPO83" s="1"/>
      <c r="LPP83" s="1"/>
      <c r="LPQ83" s="1"/>
      <c r="LPR83" s="1"/>
      <c r="LPS83" s="1"/>
      <c r="LPT83" s="1"/>
      <c r="LPU83" s="1"/>
      <c r="LPV83" s="1"/>
      <c r="LPW83" s="1"/>
      <c r="LPX83" s="1"/>
      <c r="LPY83" s="1"/>
      <c r="LPZ83" s="1"/>
      <c r="LQA83" s="1"/>
      <c r="LQB83" s="1"/>
      <c r="LQC83" s="1"/>
      <c r="LQD83" s="1"/>
      <c r="LQE83" s="1"/>
      <c r="LQF83" s="1"/>
      <c r="LQG83" s="1"/>
      <c r="LQH83" s="1"/>
      <c r="LQI83" s="1"/>
      <c r="LQJ83" s="1"/>
      <c r="LQK83" s="1"/>
      <c r="LQL83" s="1"/>
      <c r="LQM83" s="1"/>
      <c r="LQN83" s="1"/>
      <c r="LQO83" s="1"/>
      <c r="LQP83" s="1"/>
      <c r="LQQ83" s="1"/>
      <c r="LQR83" s="1"/>
      <c r="LQS83" s="1"/>
      <c r="LQT83" s="1"/>
      <c r="LQU83" s="1"/>
      <c r="LQV83" s="1"/>
      <c r="LQW83" s="1"/>
      <c r="LQX83" s="1"/>
      <c r="LQY83" s="1"/>
      <c r="LQZ83" s="1"/>
      <c r="LRA83" s="1"/>
      <c r="LRB83" s="1"/>
      <c r="LRC83" s="1"/>
      <c r="LRD83" s="1"/>
      <c r="LRE83" s="1"/>
      <c r="LRF83" s="1"/>
      <c r="LRG83" s="1"/>
      <c r="LRH83" s="1"/>
      <c r="LRI83" s="1"/>
      <c r="LRJ83" s="1"/>
      <c r="LRK83" s="1"/>
      <c r="LRL83" s="1"/>
      <c r="LRM83" s="1"/>
      <c r="LRN83" s="1"/>
      <c r="LRO83" s="1"/>
      <c r="LRP83" s="1"/>
      <c r="LRQ83" s="1"/>
      <c r="LRR83" s="1"/>
      <c r="LRS83" s="1"/>
      <c r="LRT83" s="1"/>
      <c r="LRU83" s="1"/>
      <c r="LRV83" s="1"/>
      <c r="LRW83" s="1"/>
      <c r="LRX83" s="1"/>
      <c r="LRY83" s="1"/>
      <c r="LRZ83" s="1"/>
      <c r="LSA83" s="1"/>
      <c r="LSB83" s="1"/>
      <c r="LSC83" s="1"/>
      <c r="LSD83" s="1"/>
      <c r="LSE83" s="1"/>
      <c r="LSF83" s="1"/>
      <c r="LSG83" s="1"/>
      <c r="LSH83" s="1"/>
      <c r="LSI83" s="1"/>
      <c r="LSJ83" s="1"/>
      <c r="LSK83" s="1"/>
      <c r="LSL83" s="1"/>
      <c r="LSM83" s="1"/>
      <c r="LSN83" s="1"/>
      <c r="LSO83" s="1"/>
      <c r="LSP83" s="1"/>
      <c r="LSQ83" s="1"/>
      <c r="LSR83" s="1"/>
      <c r="LSS83" s="1"/>
      <c r="LST83" s="1"/>
      <c r="LSU83" s="1"/>
      <c r="LSV83" s="1"/>
      <c r="LSW83" s="1"/>
      <c r="LSX83" s="1"/>
      <c r="LSY83" s="1"/>
      <c r="LSZ83" s="1"/>
      <c r="LTA83" s="1"/>
      <c r="LTB83" s="1"/>
      <c r="LTC83" s="1"/>
      <c r="LTD83" s="1"/>
      <c r="LTE83" s="1"/>
      <c r="LTF83" s="1"/>
      <c r="LTG83" s="1"/>
      <c r="LTH83" s="1"/>
      <c r="LTI83" s="1"/>
      <c r="LTJ83" s="1"/>
      <c r="LTK83" s="1"/>
      <c r="LTL83" s="1"/>
      <c r="LTM83" s="1"/>
      <c r="LTN83" s="1"/>
      <c r="LTO83" s="1"/>
      <c r="LTP83" s="1"/>
      <c r="LTQ83" s="1"/>
      <c r="LTR83" s="1"/>
      <c r="LTS83" s="1"/>
      <c r="LTT83" s="1"/>
      <c r="LTU83" s="1"/>
      <c r="LTV83" s="1"/>
      <c r="LTW83" s="1"/>
      <c r="LTX83" s="1"/>
      <c r="LTY83" s="1"/>
      <c r="LTZ83" s="1"/>
      <c r="LUA83" s="1"/>
      <c r="LUB83" s="1"/>
      <c r="LUC83" s="1"/>
      <c r="LUD83" s="1"/>
      <c r="LUE83" s="1"/>
      <c r="LUF83" s="1"/>
      <c r="LUG83" s="1"/>
      <c r="LUH83" s="1"/>
      <c r="LUI83" s="1"/>
      <c r="LUJ83" s="1"/>
      <c r="LUK83" s="1"/>
      <c r="LUL83" s="1"/>
      <c r="LUM83" s="1"/>
      <c r="LUN83" s="1"/>
      <c r="LUO83" s="1"/>
      <c r="LUP83" s="1"/>
      <c r="LUQ83" s="1"/>
      <c r="LUR83" s="1"/>
      <c r="LUS83" s="1"/>
      <c r="LUT83" s="1"/>
      <c r="LUU83" s="1"/>
      <c r="LUV83" s="1"/>
      <c r="LUW83" s="1"/>
      <c r="LUX83" s="1"/>
      <c r="LUY83" s="1"/>
      <c r="LUZ83" s="1"/>
      <c r="LVA83" s="1"/>
      <c r="LVB83" s="1"/>
      <c r="LVC83" s="1"/>
      <c r="LVD83" s="1"/>
      <c r="LVE83" s="1"/>
      <c r="LVF83" s="1"/>
      <c r="LVG83" s="1"/>
      <c r="LVH83" s="1"/>
      <c r="LVI83" s="1"/>
      <c r="LVJ83" s="1"/>
      <c r="LVK83" s="1"/>
      <c r="LVL83" s="1"/>
      <c r="LVM83" s="1"/>
      <c r="LVN83" s="1"/>
      <c r="LVO83" s="1"/>
      <c r="LVP83" s="1"/>
      <c r="LVQ83" s="1"/>
      <c r="LVR83" s="1"/>
      <c r="LVS83" s="1"/>
      <c r="LVT83" s="1"/>
      <c r="LVU83" s="1"/>
      <c r="LVV83" s="1"/>
      <c r="LVW83" s="1"/>
      <c r="LVX83" s="1"/>
      <c r="LVY83" s="1"/>
      <c r="LVZ83" s="1"/>
      <c r="LWA83" s="1"/>
      <c r="LWB83" s="1"/>
      <c r="LWC83" s="1"/>
      <c r="LWD83" s="1"/>
      <c r="LWE83" s="1"/>
      <c r="LWF83" s="1"/>
      <c r="LWG83" s="1"/>
      <c r="LWH83" s="1"/>
      <c r="LWI83" s="1"/>
      <c r="LWJ83" s="1"/>
      <c r="LWK83" s="1"/>
      <c r="LWL83" s="1"/>
      <c r="LWM83" s="1"/>
      <c r="LWN83" s="1"/>
      <c r="LWO83" s="1"/>
      <c r="LWP83" s="1"/>
      <c r="LWQ83" s="1"/>
      <c r="LWR83" s="1"/>
      <c r="LWS83" s="1"/>
      <c r="LWT83" s="1"/>
      <c r="LWU83" s="1"/>
      <c r="LWV83" s="1"/>
      <c r="LWW83" s="1"/>
      <c r="LWX83" s="1"/>
      <c r="LWY83" s="1"/>
      <c r="LWZ83" s="1"/>
      <c r="LXA83" s="1"/>
      <c r="LXB83" s="1"/>
      <c r="LXC83" s="1"/>
      <c r="LXD83" s="1"/>
      <c r="LXE83" s="1"/>
      <c r="LXF83" s="1"/>
      <c r="LXG83" s="1"/>
      <c r="LXH83" s="1"/>
      <c r="LXI83" s="1"/>
      <c r="LXJ83" s="1"/>
      <c r="LXK83" s="1"/>
      <c r="LXL83" s="1"/>
      <c r="LXM83" s="1"/>
      <c r="LXN83" s="1"/>
      <c r="LXO83" s="1"/>
      <c r="LXP83" s="1"/>
      <c r="LXQ83" s="1"/>
      <c r="LXR83" s="1"/>
      <c r="LXS83" s="1"/>
      <c r="LXT83" s="1"/>
      <c r="LXU83" s="1"/>
      <c r="LXV83" s="1"/>
      <c r="LXW83" s="1"/>
      <c r="LXX83" s="1"/>
      <c r="LXY83" s="1"/>
      <c r="LXZ83" s="1"/>
      <c r="LYA83" s="1"/>
      <c r="LYB83" s="1"/>
      <c r="LYC83" s="1"/>
      <c r="LYD83" s="1"/>
      <c r="LYE83" s="1"/>
      <c r="LYF83" s="1"/>
      <c r="LYG83" s="1"/>
      <c r="LYH83" s="1"/>
      <c r="LYI83" s="1"/>
      <c r="LYJ83" s="1"/>
      <c r="LYK83" s="1"/>
      <c r="LYL83" s="1"/>
      <c r="LYM83" s="1"/>
      <c r="LYN83" s="1"/>
      <c r="LYO83" s="1"/>
      <c r="LYP83" s="1"/>
      <c r="LYQ83" s="1"/>
      <c r="LYR83" s="1"/>
      <c r="LYS83" s="1"/>
      <c r="LYT83" s="1"/>
      <c r="LYU83" s="1"/>
      <c r="LYV83" s="1"/>
      <c r="LYW83" s="1"/>
      <c r="LYX83" s="1"/>
      <c r="LYY83" s="1"/>
      <c r="LYZ83" s="1"/>
      <c r="LZA83" s="1"/>
      <c r="LZB83" s="1"/>
      <c r="LZC83" s="1"/>
      <c r="LZD83" s="1"/>
      <c r="LZE83" s="1"/>
      <c r="LZF83" s="1"/>
      <c r="LZG83" s="1"/>
      <c r="LZH83" s="1"/>
      <c r="LZI83" s="1"/>
      <c r="LZJ83" s="1"/>
      <c r="LZK83" s="1"/>
      <c r="LZL83" s="1"/>
      <c r="LZM83" s="1"/>
      <c r="LZN83" s="1"/>
      <c r="LZO83" s="1"/>
      <c r="LZP83" s="1"/>
      <c r="LZQ83" s="1"/>
      <c r="LZR83" s="1"/>
      <c r="LZS83" s="1"/>
      <c r="LZT83" s="1"/>
      <c r="LZU83" s="1"/>
      <c r="LZV83" s="1"/>
      <c r="LZW83" s="1"/>
      <c r="LZX83" s="1"/>
      <c r="LZY83" s="1"/>
      <c r="LZZ83" s="1"/>
      <c r="MAA83" s="1"/>
      <c r="MAB83" s="1"/>
      <c r="MAC83" s="1"/>
      <c r="MAD83" s="1"/>
      <c r="MAE83" s="1"/>
      <c r="MAF83" s="1"/>
      <c r="MAG83" s="1"/>
      <c r="MAH83" s="1"/>
      <c r="MAI83" s="1"/>
      <c r="MAJ83" s="1"/>
      <c r="MAK83" s="1"/>
      <c r="MAL83" s="1"/>
      <c r="MAM83" s="1"/>
      <c r="MAN83" s="1"/>
      <c r="MAO83" s="1"/>
      <c r="MAP83" s="1"/>
      <c r="MAQ83" s="1"/>
      <c r="MAR83" s="1"/>
      <c r="MAS83" s="1"/>
      <c r="MAT83" s="1"/>
      <c r="MAU83" s="1"/>
      <c r="MAV83" s="1"/>
      <c r="MAW83" s="1"/>
      <c r="MAX83" s="1"/>
      <c r="MAY83" s="1"/>
      <c r="MAZ83" s="1"/>
      <c r="MBA83" s="1"/>
      <c r="MBB83" s="1"/>
      <c r="MBC83" s="1"/>
      <c r="MBD83" s="1"/>
      <c r="MBE83" s="1"/>
      <c r="MBF83" s="1"/>
      <c r="MBG83" s="1"/>
      <c r="MBH83" s="1"/>
      <c r="MBI83" s="1"/>
      <c r="MBJ83" s="1"/>
      <c r="MBK83" s="1"/>
      <c r="MBL83" s="1"/>
      <c r="MBM83" s="1"/>
      <c r="MBN83" s="1"/>
      <c r="MBO83" s="1"/>
      <c r="MBP83" s="1"/>
      <c r="MBQ83" s="1"/>
      <c r="MBR83" s="1"/>
      <c r="MBS83" s="1"/>
      <c r="MBT83" s="1"/>
      <c r="MBU83" s="1"/>
      <c r="MBV83" s="1"/>
      <c r="MBW83" s="1"/>
      <c r="MBX83" s="1"/>
      <c r="MBY83" s="1"/>
      <c r="MBZ83" s="1"/>
      <c r="MCA83" s="1"/>
      <c r="MCB83" s="1"/>
      <c r="MCC83" s="1"/>
      <c r="MCD83" s="1"/>
      <c r="MCE83" s="1"/>
      <c r="MCF83" s="1"/>
      <c r="MCG83" s="1"/>
      <c r="MCH83" s="1"/>
      <c r="MCI83" s="1"/>
      <c r="MCJ83" s="1"/>
      <c r="MCK83" s="1"/>
      <c r="MCL83" s="1"/>
      <c r="MCM83" s="1"/>
      <c r="MCN83" s="1"/>
      <c r="MCO83" s="1"/>
      <c r="MCP83" s="1"/>
      <c r="MCQ83" s="1"/>
      <c r="MCR83" s="1"/>
      <c r="MCS83" s="1"/>
      <c r="MCT83" s="1"/>
      <c r="MCU83" s="1"/>
      <c r="MCV83" s="1"/>
      <c r="MCW83" s="1"/>
      <c r="MCX83" s="1"/>
      <c r="MCY83" s="1"/>
      <c r="MCZ83" s="1"/>
      <c r="MDA83" s="1"/>
      <c r="MDB83" s="1"/>
      <c r="MDC83" s="1"/>
      <c r="MDD83" s="1"/>
      <c r="MDE83" s="1"/>
      <c r="MDF83" s="1"/>
      <c r="MDG83" s="1"/>
      <c r="MDH83" s="1"/>
      <c r="MDI83" s="1"/>
      <c r="MDJ83" s="1"/>
      <c r="MDK83" s="1"/>
      <c r="MDL83" s="1"/>
      <c r="MDM83" s="1"/>
      <c r="MDN83" s="1"/>
      <c r="MDO83" s="1"/>
      <c r="MDP83" s="1"/>
      <c r="MDQ83" s="1"/>
      <c r="MDR83" s="1"/>
      <c r="MDS83" s="1"/>
      <c r="MDT83" s="1"/>
      <c r="MDU83" s="1"/>
      <c r="MDV83" s="1"/>
      <c r="MDW83" s="1"/>
      <c r="MDX83" s="1"/>
      <c r="MDY83" s="1"/>
      <c r="MDZ83" s="1"/>
      <c r="MEA83" s="1"/>
      <c r="MEB83" s="1"/>
      <c r="MEC83" s="1"/>
      <c r="MED83" s="1"/>
      <c r="MEE83" s="1"/>
      <c r="MEF83" s="1"/>
      <c r="MEG83" s="1"/>
      <c r="MEH83" s="1"/>
      <c r="MEI83" s="1"/>
      <c r="MEJ83" s="1"/>
      <c r="MEK83" s="1"/>
      <c r="MEL83" s="1"/>
      <c r="MEM83" s="1"/>
      <c r="MEN83" s="1"/>
      <c r="MEO83" s="1"/>
      <c r="MEP83" s="1"/>
      <c r="MEQ83" s="1"/>
      <c r="MER83" s="1"/>
      <c r="MES83" s="1"/>
      <c r="MET83" s="1"/>
      <c r="MEU83" s="1"/>
      <c r="MEV83" s="1"/>
      <c r="MEW83" s="1"/>
      <c r="MEX83" s="1"/>
      <c r="MEY83" s="1"/>
      <c r="MEZ83" s="1"/>
      <c r="MFA83" s="1"/>
      <c r="MFB83" s="1"/>
      <c r="MFC83" s="1"/>
      <c r="MFD83" s="1"/>
      <c r="MFE83" s="1"/>
      <c r="MFF83" s="1"/>
      <c r="MFG83" s="1"/>
      <c r="MFH83" s="1"/>
      <c r="MFI83" s="1"/>
      <c r="MFJ83" s="1"/>
      <c r="MFK83" s="1"/>
      <c r="MFL83" s="1"/>
      <c r="MFM83" s="1"/>
      <c r="MFN83" s="1"/>
      <c r="MFO83" s="1"/>
      <c r="MFP83" s="1"/>
      <c r="MFQ83" s="1"/>
      <c r="MFR83" s="1"/>
      <c r="MFS83" s="1"/>
      <c r="MFT83" s="1"/>
      <c r="MFU83" s="1"/>
      <c r="MFV83" s="1"/>
      <c r="MFW83" s="1"/>
      <c r="MFX83" s="1"/>
      <c r="MFY83" s="1"/>
      <c r="MFZ83" s="1"/>
      <c r="MGA83" s="1"/>
      <c r="MGB83" s="1"/>
      <c r="MGC83" s="1"/>
      <c r="MGD83" s="1"/>
      <c r="MGE83" s="1"/>
      <c r="MGF83" s="1"/>
      <c r="MGG83" s="1"/>
      <c r="MGH83" s="1"/>
      <c r="MGI83" s="1"/>
      <c r="MGJ83" s="1"/>
      <c r="MGK83" s="1"/>
      <c r="MGL83" s="1"/>
      <c r="MGM83" s="1"/>
      <c r="MGN83" s="1"/>
      <c r="MGO83" s="1"/>
      <c r="MGP83" s="1"/>
      <c r="MGQ83" s="1"/>
      <c r="MGR83" s="1"/>
      <c r="MGS83" s="1"/>
      <c r="MGT83" s="1"/>
      <c r="MGU83" s="1"/>
      <c r="MGV83" s="1"/>
      <c r="MGW83" s="1"/>
      <c r="MGX83" s="1"/>
      <c r="MGY83" s="1"/>
      <c r="MGZ83" s="1"/>
      <c r="MHA83" s="1"/>
      <c r="MHB83" s="1"/>
      <c r="MHC83" s="1"/>
      <c r="MHD83" s="1"/>
      <c r="MHE83" s="1"/>
      <c r="MHF83" s="1"/>
      <c r="MHG83" s="1"/>
      <c r="MHH83" s="1"/>
      <c r="MHI83" s="1"/>
      <c r="MHJ83" s="1"/>
      <c r="MHK83" s="1"/>
      <c r="MHL83" s="1"/>
      <c r="MHM83" s="1"/>
      <c r="MHN83" s="1"/>
      <c r="MHO83" s="1"/>
      <c r="MHP83" s="1"/>
      <c r="MHQ83" s="1"/>
      <c r="MHR83" s="1"/>
      <c r="MHS83" s="1"/>
      <c r="MHT83" s="1"/>
      <c r="MHU83" s="1"/>
      <c r="MHV83" s="1"/>
      <c r="MHW83" s="1"/>
      <c r="MHX83" s="1"/>
      <c r="MHY83" s="1"/>
      <c r="MHZ83" s="1"/>
      <c r="MIA83" s="1"/>
      <c r="MIB83" s="1"/>
      <c r="MIC83" s="1"/>
      <c r="MID83" s="1"/>
      <c r="MIE83" s="1"/>
      <c r="MIF83" s="1"/>
      <c r="MIG83" s="1"/>
      <c r="MIH83" s="1"/>
      <c r="MII83" s="1"/>
      <c r="MIJ83" s="1"/>
      <c r="MIK83" s="1"/>
      <c r="MIL83" s="1"/>
      <c r="MIM83" s="1"/>
      <c r="MIN83" s="1"/>
      <c r="MIO83" s="1"/>
      <c r="MIP83" s="1"/>
      <c r="MIQ83" s="1"/>
      <c r="MIR83" s="1"/>
      <c r="MIS83" s="1"/>
      <c r="MIT83" s="1"/>
      <c r="MIU83" s="1"/>
      <c r="MIV83" s="1"/>
      <c r="MIW83" s="1"/>
      <c r="MIX83" s="1"/>
      <c r="MIY83" s="1"/>
      <c r="MIZ83" s="1"/>
      <c r="MJA83" s="1"/>
      <c r="MJB83" s="1"/>
      <c r="MJC83" s="1"/>
      <c r="MJD83" s="1"/>
      <c r="MJE83" s="1"/>
      <c r="MJF83" s="1"/>
      <c r="MJG83" s="1"/>
      <c r="MJH83" s="1"/>
      <c r="MJI83" s="1"/>
      <c r="MJJ83" s="1"/>
      <c r="MJK83" s="1"/>
      <c r="MJL83" s="1"/>
      <c r="MJM83" s="1"/>
      <c r="MJN83" s="1"/>
      <c r="MJO83" s="1"/>
      <c r="MJP83" s="1"/>
      <c r="MJQ83" s="1"/>
      <c r="MJR83" s="1"/>
      <c r="MJS83" s="1"/>
      <c r="MJT83" s="1"/>
      <c r="MJU83" s="1"/>
      <c r="MJV83" s="1"/>
      <c r="MJW83" s="1"/>
      <c r="MJX83" s="1"/>
      <c r="MJY83" s="1"/>
      <c r="MJZ83" s="1"/>
      <c r="MKA83" s="1"/>
      <c r="MKB83" s="1"/>
      <c r="MKC83" s="1"/>
      <c r="MKD83" s="1"/>
      <c r="MKE83" s="1"/>
      <c r="MKF83" s="1"/>
      <c r="MKG83" s="1"/>
      <c r="MKH83" s="1"/>
      <c r="MKI83" s="1"/>
      <c r="MKJ83" s="1"/>
      <c r="MKK83" s="1"/>
      <c r="MKL83" s="1"/>
      <c r="MKM83" s="1"/>
      <c r="MKN83" s="1"/>
      <c r="MKO83" s="1"/>
      <c r="MKP83" s="1"/>
      <c r="MKQ83" s="1"/>
      <c r="MKR83" s="1"/>
      <c r="MKS83" s="1"/>
      <c r="MKT83" s="1"/>
      <c r="MKU83" s="1"/>
      <c r="MKV83" s="1"/>
      <c r="MKW83" s="1"/>
      <c r="MKX83" s="1"/>
      <c r="MKY83" s="1"/>
      <c r="MKZ83" s="1"/>
      <c r="MLA83" s="1"/>
      <c r="MLB83" s="1"/>
      <c r="MLC83" s="1"/>
      <c r="MLD83" s="1"/>
      <c r="MLE83" s="1"/>
      <c r="MLF83" s="1"/>
      <c r="MLG83" s="1"/>
      <c r="MLH83" s="1"/>
      <c r="MLI83" s="1"/>
      <c r="MLJ83" s="1"/>
      <c r="MLK83" s="1"/>
      <c r="MLL83" s="1"/>
      <c r="MLM83" s="1"/>
      <c r="MLN83" s="1"/>
      <c r="MLO83" s="1"/>
      <c r="MLP83" s="1"/>
      <c r="MLQ83" s="1"/>
      <c r="MLR83" s="1"/>
      <c r="MLS83" s="1"/>
      <c r="MLT83" s="1"/>
      <c r="MLU83" s="1"/>
      <c r="MLV83" s="1"/>
      <c r="MLW83" s="1"/>
      <c r="MLX83" s="1"/>
      <c r="MLY83" s="1"/>
      <c r="MLZ83" s="1"/>
      <c r="MMA83" s="1"/>
      <c r="MMB83" s="1"/>
      <c r="MMC83" s="1"/>
      <c r="MMD83" s="1"/>
      <c r="MME83" s="1"/>
      <c r="MMF83" s="1"/>
      <c r="MMG83" s="1"/>
      <c r="MMH83" s="1"/>
      <c r="MMI83" s="1"/>
      <c r="MMJ83" s="1"/>
      <c r="MMK83" s="1"/>
      <c r="MML83" s="1"/>
      <c r="MMM83" s="1"/>
      <c r="MMN83" s="1"/>
      <c r="MMO83" s="1"/>
      <c r="MMP83" s="1"/>
      <c r="MMQ83" s="1"/>
      <c r="MMR83" s="1"/>
      <c r="MMS83" s="1"/>
      <c r="MMT83" s="1"/>
      <c r="MMU83" s="1"/>
      <c r="MMV83" s="1"/>
      <c r="MMW83" s="1"/>
      <c r="MMX83" s="1"/>
      <c r="MMY83" s="1"/>
      <c r="MMZ83" s="1"/>
      <c r="MNA83" s="1"/>
      <c r="MNB83" s="1"/>
      <c r="MNC83" s="1"/>
      <c r="MND83" s="1"/>
      <c r="MNE83" s="1"/>
      <c r="MNF83" s="1"/>
      <c r="MNG83" s="1"/>
      <c r="MNH83" s="1"/>
      <c r="MNI83" s="1"/>
      <c r="MNJ83" s="1"/>
      <c r="MNK83" s="1"/>
      <c r="MNL83" s="1"/>
      <c r="MNM83" s="1"/>
      <c r="MNN83" s="1"/>
      <c r="MNO83" s="1"/>
      <c r="MNP83" s="1"/>
      <c r="MNQ83" s="1"/>
      <c r="MNR83" s="1"/>
      <c r="MNS83" s="1"/>
      <c r="MNT83" s="1"/>
      <c r="MNU83" s="1"/>
      <c r="MNV83" s="1"/>
      <c r="MNW83" s="1"/>
      <c r="MNX83" s="1"/>
      <c r="MNY83" s="1"/>
      <c r="MNZ83" s="1"/>
      <c r="MOA83" s="1"/>
      <c r="MOB83" s="1"/>
      <c r="MOC83" s="1"/>
      <c r="MOD83" s="1"/>
      <c r="MOE83" s="1"/>
      <c r="MOF83" s="1"/>
      <c r="MOG83" s="1"/>
      <c r="MOH83" s="1"/>
      <c r="MOI83" s="1"/>
      <c r="MOJ83" s="1"/>
      <c r="MOK83" s="1"/>
      <c r="MOL83" s="1"/>
      <c r="MOM83" s="1"/>
      <c r="MON83" s="1"/>
      <c r="MOO83" s="1"/>
      <c r="MOP83" s="1"/>
      <c r="MOQ83" s="1"/>
      <c r="MOR83" s="1"/>
      <c r="MOS83" s="1"/>
      <c r="MOT83" s="1"/>
      <c r="MOU83" s="1"/>
      <c r="MOV83" s="1"/>
      <c r="MOW83" s="1"/>
      <c r="MOX83" s="1"/>
      <c r="MOY83" s="1"/>
      <c r="MOZ83" s="1"/>
      <c r="MPA83" s="1"/>
      <c r="MPB83" s="1"/>
      <c r="MPC83" s="1"/>
      <c r="MPD83" s="1"/>
      <c r="MPE83" s="1"/>
      <c r="MPF83" s="1"/>
      <c r="MPG83" s="1"/>
      <c r="MPH83" s="1"/>
      <c r="MPI83" s="1"/>
      <c r="MPJ83" s="1"/>
      <c r="MPK83" s="1"/>
      <c r="MPL83" s="1"/>
      <c r="MPM83" s="1"/>
      <c r="MPN83" s="1"/>
      <c r="MPO83" s="1"/>
      <c r="MPP83" s="1"/>
      <c r="MPQ83" s="1"/>
      <c r="MPR83" s="1"/>
      <c r="MPS83" s="1"/>
      <c r="MPT83" s="1"/>
      <c r="MPU83" s="1"/>
      <c r="MPV83" s="1"/>
      <c r="MPW83" s="1"/>
      <c r="MPX83" s="1"/>
      <c r="MPY83" s="1"/>
      <c r="MPZ83" s="1"/>
      <c r="MQA83" s="1"/>
      <c r="MQB83" s="1"/>
      <c r="MQC83" s="1"/>
      <c r="MQD83" s="1"/>
      <c r="MQE83" s="1"/>
      <c r="MQF83" s="1"/>
      <c r="MQG83" s="1"/>
      <c r="MQH83" s="1"/>
      <c r="MQI83" s="1"/>
      <c r="MQJ83" s="1"/>
      <c r="MQK83" s="1"/>
      <c r="MQL83" s="1"/>
      <c r="MQM83" s="1"/>
      <c r="MQN83" s="1"/>
      <c r="MQO83" s="1"/>
      <c r="MQP83" s="1"/>
      <c r="MQQ83" s="1"/>
      <c r="MQR83" s="1"/>
      <c r="MQS83" s="1"/>
      <c r="MQT83" s="1"/>
      <c r="MQU83" s="1"/>
      <c r="MQV83" s="1"/>
      <c r="MQW83" s="1"/>
      <c r="MQX83" s="1"/>
      <c r="MQY83" s="1"/>
      <c r="MQZ83" s="1"/>
      <c r="MRA83" s="1"/>
      <c r="MRB83" s="1"/>
      <c r="MRC83" s="1"/>
      <c r="MRD83" s="1"/>
      <c r="MRE83" s="1"/>
      <c r="MRF83" s="1"/>
      <c r="MRG83" s="1"/>
      <c r="MRH83" s="1"/>
      <c r="MRI83" s="1"/>
      <c r="MRJ83" s="1"/>
      <c r="MRK83" s="1"/>
      <c r="MRL83" s="1"/>
      <c r="MRM83" s="1"/>
      <c r="MRN83" s="1"/>
      <c r="MRO83" s="1"/>
      <c r="MRP83" s="1"/>
      <c r="MRQ83" s="1"/>
      <c r="MRR83" s="1"/>
      <c r="MRS83" s="1"/>
      <c r="MRT83" s="1"/>
      <c r="MRU83" s="1"/>
      <c r="MRV83" s="1"/>
      <c r="MRW83" s="1"/>
      <c r="MRX83" s="1"/>
      <c r="MRY83" s="1"/>
      <c r="MRZ83" s="1"/>
      <c r="MSA83" s="1"/>
      <c r="MSB83" s="1"/>
      <c r="MSC83" s="1"/>
      <c r="MSD83" s="1"/>
      <c r="MSE83" s="1"/>
      <c r="MSF83" s="1"/>
      <c r="MSG83" s="1"/>
      <c r="MSH83" s="1"/>
      <c r="MSI83" s="1"/>
      <c r="MSJ83" s="1"/>
      <c r="MSK83" s="1"/>
      <c r="MSL83" s="1"/>
      <c r="MSM83" s="1"/>
      <c r="MSN83" s="1"/>
      <c r="MSO83" s="1"/>
      <c r="MSP83" s="1"/>
      <c r="MSQ83" s="1"/>
      <c r="MSR83" s="1"/>
      <c r="MSS83" s="1"/>
      <c r="MST83" s="1"/>
      <c r="MSU83" s="1"/>
      <c r="MSV83" s="1"/>
      <c r="MSW83" s="1"/>
      <c r="MSX83" s="1"/>
      <c r="MSY83" s="1"/>
      <c r="MSZ83" s="1"/>
      <c r="MTA83" s="1"/>
      <c r="MTB83" s="1"/>
      <c r="MTC83" s="1"/>
      <c r="MTD83" s="1"/>
      <c r="MTE83" s="1"/>
      <c r="MTF83" s="1"/>
      <c r="MTG83" s="1"/>
      <c r="MTH83" s="1"/>
      <c r="MTI83" s="1"/>
      <c r="MTJ83" s="1"/>
      <c r="MTK83" s="1"/>
      <c r="MTL83" s="1"/>
      <c r="MTM83" s="1"/>
      <c r="MTN83" s="1"/>
      <c r="MTO83" s="1"/>
      <c r="MTP83" s="1"/>
      <c r="MTQ83" s="1"/>
      <c r="MTR83" s="1"/>
      <c r="MTS83" s="1"/>
      <c r="MTT83" s="1"/>
      <c r="MTU83" s="1"/>
      <c r="MTV83" s="1"/>
      <c r="MTW83" s="1"/>
      <c r="MTX83" s="1"/>
      <c r="MTY83" s="1"/>
      <c r="MTZ83" s="1"/>
      <c r="MUA83" s="1"/>
      <c r="MUB83" s="1"/>
      <c r="MUC83" s="1"/>
      <c r="MUD83" s="1"/>
      <c r="MUE83" s="1"/>
      <c r="MUF83" s="1"/>
      <c r="MUG83" s="1"/>
      <c r="MUH83" s="1"/>
      <c r="MUI83" s="1"/>
      <c r="MUJ83" s="1"/>
      <c r="MUK83" s="1"/>
      <c r="MUL83" s="1"/>
      <c r="MUM83" s="1"/>
      <c r="MUN83" s="1"/>
      <c r="MUO83" s="1"/>
      <c r="MUP83" s="1"/>
      <c r="MUQ83" s="1"/>
      <c r="MUR83" s="1"/>
      <c r="MUS83" s="1"/>
      <c r="MUT83" s="1"/>
      <c r="MUU83" s="1"/>
      <c r="MUV83" s="1"/>
      <c r="MUW83" s="1"/>
      <c r="MUX83" s="1"/>
      <c r="MUY83" s="1"/>
      <c r="MUZ83" s="1"/>
      <c r="MVA83" s="1"/>
      <c r="MVB83" s="1"/>
      <c r="MVC83" s="1"/>
      <c r="MVD83" s="1"/>
      <c r="MVE83" s="1"/>
      <c r="MVF83" s="1"/>
      <c r="MVG83" s="1"/>
      <c r="MVH83" s="1"/>
      <c r="MVI83" s="1"/>
      <c r="MVJ83" s="1"/>
      <c r="MVK83" s="1"/>
      <c r="MVL83" s="1"/>
      <c r="MVM83" s="1"/>
      <c r="MVN83" s="1"/>
      <c r="MVO83" s="1"/>
      <c r="MVP83" s="1"/>
      <c r="MVQ83" s="1"/>
      <c r="MVR83" s="1"/>
      <c r="MVS83" s="1"/>
      <c r="MVT83" s="1"/>
      <c r="MVU83" s="1"/>
      <c r="MVV83" s="1"/>
      <c r="MVW83" s="1"/>
      <c r="MVX83" s="1"/>
      <c r="MVY83" s="1"/>
      <c r="MVZ83" s="1"/>
      <c r="MWA83" s="1"/>
      <c r="MWB83" s="1"/>
      <c r="MWC83" s="1"/>
      <c r="MWD83" s="1"/>
      <c r="MWE83" s="1"/>
      <c r="MWF83" s="1"/>
      <c r="MWG83" s="1"/>
      <c r="MWH83" s="1"/>
      <c r="MWI83" s="1"/>
      <c r="MWJ83" s="1"/>
      <c r="MWK83" s="1"/>
      <c r="MWL83" s="1"/>
      <c r="MWM83" s="1"/>
      <c r="MWN83" s="1"/>
      <c r="MWO83" s="1"/>
      <c r="MWP83" s="1"/>
      <c r="MWQ83" s="1"/>
      <c r="MWR83" s="1"/>
      <c r="MWS83" s="1"/>
      <c r="MWT83" s="1"/>
      <c r="MWU83" s="1"/>
      <c r="MWV83" s="1"/>
      <c r="MWW83" s="1"/>
      <c r="MWX83" s="1"/>
      <c r="MWY83" s="1"/>
      <c r="MWZ83" s="1"/>
      <c r="MXA83" s="1"/>
      <c r="MXB83" s="1"/>
      <c r="MXC83" s="1"/>
      <c r="MXD83" s="1"/>
      <c r="MXE83" s="1"/>
      <c r="MXF83" s="1"/>
      <c r="MXG83" s="1"/>
      <c r="MXH83" s="1"/>
      <c r="MXI83" s="1"/>
      <c r="MXJ83" s="1"/>
      <c r="MXK83" s="1"/>
      <c r="MXL83" s="1"/>
      <c r="MXM83" s="1"/>
      <c r="MXN83" s="1"/>
      <c r="MXO83" s="1"/>
      <c r="MXP83" s="1"/>
      <c r="MXQ83" s="1"/>
      <c r="MXR83" s="1"/>
      <c r="MXS83" s="1"/>
      <c r="MXT83" s="1"/>
      <c r="MXU83" s="1"/>
      <c r="MXV83" s="1"/>
      <c r="MXW83" s="1"/>
      <c r="MXX83" s="1"/>
      <c r="MXY83" s="1"/>
      <c r="MXZ83" s="1"/>
      <c r="MYA83" s="1"/>
      <c r="MYB83" s="1"/>
      <c r="MYC83" s="1"/>
      <c r="MYD83" s="1"/>
      <c r="MYE83" s="1"/>
      <c r="MYF83" s="1"/>
      <c r="MYG83" s="1"/>
      <c r="MYH83" s="1"/>
      <c r="MYI83" s="1"/>
      <c r="MYJ83" s="1"/>
      <c r="MYK83" s="1"/>
      <c r="MYL83" s="1"/>
      <c r="MYM83" s="1"/>
      <c r="MYN83" s="1"/>
      <c r="MYO83" s="1"/>
      <c r="MYP83" s="1"/>
      <c r="MYQ83" s="1"/>
      <c r="MYR83" s="1"/>
      <c r="MYS83" s="1"/>
      <c r="MYT83" s="1"/>
      <c r="MYU83" s="1"/>
      <c r="MYV83" s="1"/>
      <c r="MYW83" s="1"/>
      <c r="MYX83" s="1"/>
      <c r="MYY83" s="1"/>
      <c r="MYZ83" s="1"/>
      <c r="MZA83" s="1"/>
      <c r="MZB83" s="1"/>
      <c r="MZC83" s="1"/>
      <c r="MZD83" s="1"/>
      <c r="MZE83" s="1"/>
      <c r="MZF83" s="1"/>
      <c r="MZG83" s="1"/>
      <c r="MZH83" s="1"/>
      <c r="MZI83" s="1"/>
      <c r="MZJ83" s="1"/>
      <c r="MZK83" s="1"/>
      <c r="MZL83" s="1"/>
      <c r="MZM83" s="1"/>
      <c r="MZN83" s="1"/>
      <c r="MZO83" s="1"/>
      <c r="MZP83" s="1"/>
      <c r="MZQ83" s="1"/>
      <c r="MZR83" s="1"/>
      <c r="MZS83" s="1"/>
      <c r="MZT83" s="1"/>
      <c r="MZU83" s="1"/>
      <c r="MZV83" s="1"/>
      <c r="MZW83" s="1"/>
      <c r="MZX83" s="1"/>
      <c r="MZY83" s="1"/>
      <c r="MZZ83" s="1"/>
      <c r="NAA83" s="1"/>
      <c r="NAB83" s="1"/>
      <c r="NAC83" s="1"/>
      <c r="NAD83" s="1"/>
      <c r="NAE83" s="1"/>
      <c r="NAF83" s="1"/>
      <c r="NAG83" s="1"/>
      <c r="NAH83" s="1"/>
      <c r="NAI83" s="1"/>
      <c r="NAJ83" s="1"/>
      <c r="NAK83" s="1"/>
      <c r="NAL83" s="1"/>
      <c r="NAM83" s="1"/>
      <c r="NAN83" s="1"/>
      <c r="NAO83" s="1"/>
      <c r="NAP83" s="1"/>
      <c r="NAQ83" s="1"/>
      <c r="NAR83" s="1"/>
      <c r="NAS83" s="1"/>
      <c r="NAT83" s="1"/>
      <c r="NAU83" s="1"/>
      <c r="NAV83" s="1"/>
      <c r="NAW83" s="1"/>
      <c r="NAX83" s="1"/>
      <c r="NAY83" s="1"/>
      <c r="NAZ83" s="1"/>
      <c r="NBA83" s="1"/>
      <c r="NBB83" s="1"/>
      <c r="NBC83" s="1"/>
      <c r="NBD83" s="1"/>
      <c r="NBE83" s="1"/>
      <c r="NBF83" s="1"/>
      <c r="NBG83" s="1"/>
      <c r="NBH83" s="1"/>
      <c r="NBI83" s="1"/>
      <c r="NBJ83" s="1"/>
      <c r="NBK83" s="1"/>
      <c r="NBL83" s="1"/>
      <c r="NBM83" s="1"/>
      <c r="NBN83" s="1"/>
      <c r="NBO83" s="1"/>
      <c r="NBP83" s="1"/>
      <c r="NBQ83" s="1"/>
      <c r="NBR83" s="1"/>
      <c r="NBS83" s="1"/>
      <c r="NBT83" s="1"/>
      <c r="NBU83" s="1"/>
      <c r="NBV83" s="1"/>
      <c r="NBW83" s="1"/>
      <c r="NBX83" s="1"/>
      <c r="NBY83" s="1"/>
      <c r="NBZ83" s="1"/>
      <c r="NCA83" s="1"/>
      <c r="NCB83" s="1"/>
      <c r="NCC83" s="1"/>
      <c r="NCD83" s="1"/>
      <c r="NCE83" s="1"/>
      <c r="NCF83" s="1"/>
      <c r="NCG83" s="1"/>
      <c r="NCH83" s="1"/>
      <c r="NCI83" s="1"/>
      <c r="NCJ83" s="1"/>
      <c r="NCK83" s="1"/>
      <c r="NCL83" s="1"/>
      <c r="NCM83" s="1"/>
      <c r="NCN83" s="1"/>
      <c r="NCO83" s="1"/>
      <c r="NCP83" s="1"/>
      <c r="NCQ83" s="1"/>
      <c r="NCR83" s="1"/>
      <c r="NCS83" s="1"/>
      <c r="NCT83" s="1"/>
      <c r="NCU83" s="1"/>
      <c r="NCV83" s="1"/>
      <c r="NCW83" s="1"/>
      <c r="NCX83" s="1"/>
      <c r="NCY83" s="1"/>
      <c r="NCZ83" s="1"/>
      <c r="NDA83" s="1"/>
      <c r="NDB83" s="1"/>
      <c r="NDC83" s="1"/>
      <c r="NDD83" s="1"/>
      <c r="NDE83" s="1"/>
      <c r="NDF83" s="1"/>
      <c r="NDG83" s="1"/>
      <c r="NDH83" s="1"/>
      <c r="NDI83" s="1"/>
      <c r="NDJ83" s="1"/>
      <c r="NDK83" s="1"/>
      <c r="NDL83" s="1"/>
      <c r="NDM83" s="1"/>
      <c r="NDN83" s="1"/>
      <c r="NDO83" s="1"/>
      <c r="NDP83" s="1"/>
      <c r="NDQ83" s="1"/>
      <c r="NDR83" s="1"/>
      <c r="NDS83" s="1"/>
      <c r="NDT83" s="1"/>
      <c r="NDU83" s="1"/>
      <c r="NDV83" s="1"/>
      <c r="NDW83" s="1"/>
      <c r="NDX83" s="1"/>
      <c r="NDY83" s="1"/>
      <c r="NDZ83" s="1"/>
      <c r="NEA83" s="1"/>
      <c r="NEB83" s="1"/>
      <c r="NEC83" s="1"/>
      <c r="NED83" s="1"/>
      <c r="NEE83" s="1"/>
      <c r="NEF83" s="1"/>
      <c r="NEG83" s="1"/>
      <c r="NEH83" s="1"/>
      <c r="NEI83" s="1"/>
      <c r="NEJ83" s="1"/>
      <c r="NEK83" s="1"/>
      <c r="NEL83" s="1"/>
      <c r="NEM83" s="1"/>
      <c r="NEN83" s="1"/>
      <c r="NEO83" s="1"/>
      <c r="NEP83" s="1"/>
      <c r="NEQ83" s="1"/>
      <c r="NER83" s="1"/>
      <c r="NES83" s="1"/>
      <c r="NET83" s="1"/>
      <c r="NEU83" s="1"/>
      <c r="NEV83" s="1"/>
      <c r="NEW83" s="1"/>
      <c r="NEX83" s="1"/>
      <c r="NEY83" s="1"/>
      <c r="NEZ83" s="1"/>
      <c r="NFA83" s="1"/>
      <c r="NFB83" s="1"/>
      <c r="NFC83" s="1"/>
      <c r="NFD83" s="1"/>
      <c r="NFE83" s="1"/>
      <c r="NFF83" s="1"/>
      <c r="NFG83" s="1"/>
      <c r="NFH83" s="1"/>
      <c r="NFI83" s="1"/>
      <c r="NFJ83" s="1"/>
      <c r="NFK83" s="1"/>
      <c r="NFL83" s="1"/>
      <c r="NFM83" s="1"/>
      <c r="NFN83" s="1"/>
      <c r="NFO83" s="1"/>
      <c r="NFP83" s="1"/>
      <c r="NFQ83" s="1"/>
      <c r="NFR83" s="1"/>
      <c r="NFS83" s="1"/>
      <c r="NFT83" s="1"/>
      <c r="NFU83" s="1"/>
      <c r="NFV83" s="1"/>
      <c r="NFW83" s="1"/>
      <c r="NFX83" s="1"/>
      <c r="NFY83" s="1"/>
      <c r="NFZ83" s="1"/>
      <c r="NGA83" s="1"/>
      <c r="NGB83" s="1"/>
      <c r="NGC83" s="1"/>
      <c r="NGD83" s="1"/>
      <c r="NGE83" s="1"/>
      <c r="NGF83" s="1"/>
      <c r="NGG83" s="1"/>
      <c r="NGH83" s="1"/>
      <c r="NGI83" s="1"/>
      <c r="NGJ83" s="1"/>
      <c r="NGK83" s="1"/>
      <c r="NGL83" s="1"/>
      <c r="NGM83" s="1"/>
      <c r="NGN83" s="1"/>
      <c r="NGO83" s="1"/>
      <c r="NGP83" s="1"/>
      <c r="NGQ83" s="1"/>
      <c r="NGR83" s="1"/>
      <c r="NGS83" s="1"/>
      <c r="NGT83" s="1"/>
      <c r="NGU83" s="1"/>
      <c r="NGV83" s="1"/>
      <c r="NGW83" s="1"/>
      <c r="NGX83" s="1"/>
      <c r="NGY83" s="1"/>
      <c r="NGZ83" s="1"/>
      <c r="NHA83" s="1"/>
      <c r="NHB83" s="1"/>
      <c r="NHC83" s="1"/>
      <c r="NHD83" s="1"/>
      <c r="NHE83" s="1"/>
      <c r="NHF83" s="1"/>
      <c r="NHG83" s="1"/>
      <c r="NHH83" s="1"/>
      <c r="NHI83" s="1"/>
      <c r="NHJ83" s="1"/>
      <c r="NHK83" s="1"/>
      <c r="NHL83" s="1"/>
      <c r="NHM83" s="1"/>
      <c r="NHN83" s="1"/>
      <c r="NHO83" s="1"/>
      <c r="NHP83" s="1"/>
      <c r="NHQ83" s="1"/>
      <c r="NHR83" s="1"/>
      <c r="NHS83" s="1"/>
      <c r="NHT83" s="1"/>
      <c r="NHU83" s="1"/>
      <c r="NHV83" s="1"/>
      <c r="NHW83" s="1"/>
      <c r="NHX83" s="1"/>
      <c r="NHY83" s="1"/>
      <c r="NHZ83" s="1"/>
      <c r="NIA83" s="1"/>
      <c r="NIB83" s="1"/>
      <c r="NIC83" s="1"/>
      <c r="NID83" s="1"/>
      <c r="NIE83" s="1"/>
      <c r="NIF83" s="1"/>
      <c r="NIG83" s="1"/>
      <c r="NIH83" s="1"/>
      <c r="NII83" s="1"/>
      <c r="NIJ83" s="1"/>
      <c r="NIK83" s="1"/>
      <c r="NIL83" s="1"/>
      <c r="NIM83" s="1"/>
      <c r="NIN83" s="1"/>
      <c r="NIO83" s="1"/>
      <c r="NIP83" s="1"/>
      <c r="NIQ83" s="1"/>
      <c r="NIR83" s="1"/>
      <c r="NIS83" s="1"/>
      <c r="NIT83" s="1"/>
      <c r="NIU83" s="1"/>
      <c r="NIV83" s="1"/>
      <c r="NIW83" s="1"/>
      <c r="NIX83" s="1"/>
      <c r="NIY83" s="1"/>
      <c r="NIZ83" s="1"/>
      <c r="NJA83" s="1"/>
      <c r="NJB83" s="1"/>
      <c r="NJC83" s="1"/>
      <c r="NJD83" s="1"/>
      <c r="NJE83" s="1"/>
      <c r="NJF83" s="1"/>
      <c r="NJG83" s="1"/>
      <c r="NJH83" s="1"/>
      <c r="NJI83" s="1"/>
      <c r="NJJ83" s="1"/>
      <c r="NJK83" s="1"/>
      <c r="NJL83" s="1"/>
      <c r="NJM83" s="1"/>
      <c r="NJN83" s="1"/>
      <c r="NJO83" s="1"/>
      <c r="NJP83" s="1"/>
      <c r="NJQ83" s="1"/>
      <c r="NJR83" s="1"/>
      <c r="NJS83" s="1"/>
      <c r="NJT83" s="1"/>
      <c r="NJU83" s="1"/>
      <c r="NJV83" s="1"/>
      <c r="NJW83" s="1"/>
      <c r="NJX83" s="1"/>
      <c r="NJY83" s="1"/>
      <c r="NJZ83" s="1"/>
      <c r="NKA83" s="1"/>
      <c r="NKB83" s="1"/>
      <c r="NKC83" s="1"/>
      <c r="NKD83" s="1"/>
      <c r="NKE83" s="1"/>
      <c r="NKF83" s="1"/>
      <c r="NKG83" s="1"/>
      <c r="NKH83" s="1"/>
      <c r="NKI83" s="1"/>
      <c r="NKJ83" s="1"/>
      <c r="NKK83" s="1"/>
      <c r="NKL83" s="1"/>
      <c r="NKM83" s="1"/>
      <c r="NKN83" s="1"/>
      <c r="NKO83" s="1"/>
      <c r="NKP83" s="1"/>
      <c r="NKQ83" s="1"/>
      <c r="NKR83" s="1"/>
      <c r="NKS83" s="1"/>
      <c r="NKT83" s="1"/>
      <c r="NKU83" s="1"/>
      <c r="NKV83" s="1"/>
      <c r="NKW83" s="1"/>
      <c r="NKX83" s="1"/>
      <c r="NKY83" s="1"/>
      <c r="NKZ83" s="1"/>
      <c r="NLA83" s="1"/>
      <c r="NLB83" s="1"/>
      <c r="NLC83" s="1"/>
      <c r="NLD83" s="1"/>
      <c r="NLE83" s="1"/>
      <c r="NLF83" s="1"/>
      <c r="NLG83" s="1"/>
      <c r="NLH83" s="1"/>
      <c r="NLI83" s="1"/>
      <c r="NLJ83" s="1"/>
      <c r="NLK83" s="1"/>
      <c r="NLL83" s="1"/>
      <c r="NLM83" s="1"/>
      <c r="NLN83" s="1"/>
      <c r="NLO83" s="1"/>
      <c r="NLP83" s="1"/>
      <c r="NLQ83" s="1"/>
      <c r="NLR83" s="1"/>
      <c r="NLS83" s="1"/>
      <c r="NLT83" s="1"/>
      <c r="NLU83" s="1"/>
      <c r="NLV83" s="1"/>
      <c r="NLW83" s="1"/>
      <c r="NLX83" s="1"/>
      <c r="NLY83" s="1"/>
      <c r="NLZ83" s="1"/>
      <c r="NMA83" s="1"/>
      <c r="NMB83" s="1"/>
      <c r="NMC83" s="1"/>
      <c r="NMD83" s="1"/>
      <c r="NME83" s="1"/>
      <c r="NMF83" s="1"/>
      <c r="NMG83" s="1"/>
      <c r="NMH83" s="1"/>
      <c r="NMI83" s="1"/>
      <c r="NMJ83" s="1"/>
      <c r="NMK83" s="1"/>
      <c r="NML83" s="1"/>
      <c r="NMM83" s="1"/>
      <c r="NMN83" s="1"/>
      <c r="NMO83" s="1"/>
      <c r="NMP83" s="1"/>
      <c r="NMQ83" s="1"/>
      <c r="NMR83" s="1"/>
      <c r="NMS83" s="1"/>
      <c r="NMT83" s="1"/>
      <c r="NMU83" s="1"/>
      <c r="NMV83" s="1"/>
      <c r="NMW83" s="1"/>
      <c r="NMX83" s="1"/>
      <c r="NMY83" s="1"/>
      <c r="NMZ83" s="1"/>
      <c r="NNA83" s="1"/>
      <c r="NNB83" s="1"/>
      <c r="NNC83" s="1"/>
      <c r="NND83" s="1"/>
      <c r="NNE83" s="1"/>
      <c r="NNF83" s="1"/>
      <c r="NNG83" s="1"/>
      <c r="NNH83" s="1"/>
      <c r="NNI83" s="1"/>
      <c r="NNJ83" s="1"/>
      <c r="NNK83" s="1"/>
      <c r="NNL83" s="1"/>
      <c r="NNM83" s="1"/>
      <c r="NNN83" s="1"/>
      <c r="NNO83" s="1"/>
      <c r="NNP83" s="1"/>
      <c r="NNQ83" s="1"/>
      <c r="NNR83" s="1"/>
      <c r="NNS83" s="1"/>
      <c r="NNT83" s="1"/>
      <c r="NNU83" s="1"/>
      <c r="NNV83" s="1"/>
      <c r="NNW83" s="1"/>
      <c r="NNX83" s="1"/>
      <c r="NNY83" s="1"/>
      <c r="NNZ83" s="1"/>
      <c r="NOA83" s="1"/>
      <c r="NOB83" s="1"/>
      <c r="NOC83" s="1"/>
      <c r="NOD83" s="1"/>
      <c r="NOE83" s="1"/>
      <c r="NOF83" s="1"/>
      <c r="NOG83" s="1"/>
      <c r="NOH83" s="1"/>
      <c r="NOI83" s="1"/>
      <c r="NOJ83" s="1"/>
      <c r="NOK83" s="1"/>
      <c r="NOL83" s="1"/>
      <c r="NOM83" s="1"/>
      <c r="NON83" s="1"/>
      <c r="NOO83" s="1"/>
      <c r="NOP83" s="1"/>
      <c r="NOQ83" s="1"/>
      <c r="NOR83" s="1"/>
      <c r="NOS83" s="1"/>
      <c r="NOT83" s="1"/>
      <c r="NOU83" s="1"/>
      <c r="NOV83" s="1"/>
      <c r="NOW83" s="1"/>
      <c r="NOX83" s="1"/>
      <c r="NOY83" s="1"/>
      <c r="NOZ83" s="1"/>
      <c r="NPA83" s="1"/>
      <c r="NPB83" s="1"/>
      <c r="NPC83" s="1"/>
      <c r="NPD83" s="1"/>
      <c r="NPE83" s="1"/>
      <c r="NPF83" s="1"/>
      <c r="NPG83" s="1"/>
      <c r="NPH83" s="1"/>
      <c r="NPI83" s="1"/>
      <c r="NPJ83" s="1"/>
      <c r="NPK83" s="1"/>
      <c r="NPL83" s="1"/>
      <c r="NPM83" s="1"/>
      <c r="NPN83" s="1"/>
      <c r="NPO83" s="1"/>
      <c r="NPP83" s="1"/>
      <c r="NPQ83" s="1"/>
      <c r="NPR83" s="1"/>
      <c r="NPS83" s="1"/>
      <c r="NPT83" s="1"/>
      <c r="NPU83" s="1"/>
      <c r="NPV83" s="1"/>
      <c r="NPW83" s="1"/>
      <c r="NPX83" s="1"/>
      <c r="NPY83" s="1"/>
      <c r="NPZ83" s="1"/>
      <c r="NQA83" s="1"/>
      <c r="NQB83" s="1"/>
      <c r="NQC83" s="1"/>
      <c r="NQD83" s="1"/>
      <c r="NQE83" s="1"/>
      <c r="NQF83" s="1"/>
      <c r="NQG83" s="1"/>
      <c r="NQH83" s="1"/>
      <c r="NQI83" s="1"/>
      <c r="NQJ83" s="1"/>
      <c r="NQK83" s="1"/>
      <c r="NQL83" s="1"/>
      <c r="NQM83" s="1"/>
      <c r="NQN83" s="1"/>
      <c r="NQO83" s="1"/>
      <c r="NQP83" s="1"/>
      <c r="NQQ83" s="1"/>
      <c r="NQR83" s="1"/>
      <c r="NQS83" s="1"/>
      <c r="NQT83" s="1"/>
      <c r="NQU83" s="1"/>
      <c r="NQV83" s="1"/>
      <c r="NQW83" s="1"/>
      <c r="NQX83" s="1"/>
      <c r="NQY83" s="1"/>
      <c r="NQZ83" s="1"/>
      <c r="NRA83" s="1"/>
      <c r="NRB83" s="1"/>
      <c r="NRC83" s="1"/>
      <c r="NRD83" s="1"/>
      <c r="NRE83" s="1"/>
      <c r="NRF83" s="1"/>
      <c r="NRG83" s="1"/>
      <c r="NRH83" s="1"/>
      <c r="NRI83" s="1"/>
      <c r="NRJ83" s="1"/>
      <c r="NRK83" s="1"/>
      <c r="NRL83" s="1"/>
      <c r="NRM83" s="1"/>
      <c r="NRN83" s="1"/>
      <c r="NRO83" s="1"/>
      <c r="NRP83" s="1"/>
      <c r="NRQ83" s="1"/>
      <c r="NRR83" s="1"/>
      <c r="NRS83" s="1"/>
      <c r="NRT83" s="1"/>
      <c r="NRU83" s="1"/>
      <c r="NRV83" s="1"/>
      <c r="NRW83" s="1"/>
      <c r="NRX83" s="1"/>
      <c r="NRY83" s="1"/>
      <c r="NRZ83" s="1"/>
      <c r="NSA83" s="1"/>
      <c r="NSB83" s="1"/>
      <c r="NSC83" s="1"/>
      <c r="NSD83" s="1"/>
      <c r="NSE83" s="1"/>
      <c r="NSF83" s="1"/>
      <c r="NSG83" s="1"/>
      <c r="NSH83" s="1"/>
      <c r="NSI83" s="1"/>
      <c r="NSJ83" s="1"/>
      <c r="NSK83" s="1"/>
      <c r="NSL83" s="1"/>
      <c r="NSM83" s="1"/>
      <c r="NSN83" s="1"/>
      <c r="NSO83" s="1"/>
      <c r="NSP83" s="1"/>
      <c r="NSQ83" s="1"/>
      <c r="NSR83" s="1"/>
      <c r="NSS83" s="1"/>
      <c r="NST83" s="1"/>
      <c r="NSU83" s="1"/>
      <c r="NSV83" s="1"/>
      <c r="NSW83" s="1"/>
      <c r="NSX83" s="1"/>
      <c r="NSY83" s="1"/>
      <c r="NSZ83" s="1"/>
      <c r="NTA83" s="1"/>
      <c r="NTB83" s="1"/>
      <c r="NTC83" s="1"/>
      <c r="NTD83" s="1"/>
      <c r="NTE83" s="1"/>
      <c r="NTF83" s="1"/>
      <c r="NTG83" s="1"/>
      <c r="NTH83" s="1"/>
      <c r="NTI83" s="1"/>
      <c r="NTJ83" s="1"/>
      <c r="NTK83" s="1"/>
      <c r="NTL83" s="1"/>
      <c r="NTM83" s="1"/>
      <c r="NTN83" s="1"/>
      <c r="NTO83" s="1"/>
      <c r="NTP83" s="1"/>
      <c r="NTQ83" s="1"/>
      <c r="NTR83" s="1"/>
      <c r="NTS83" s="1"/>
      <c r="NTT83" s="1"/>
      <c r="NTU83" s="1"/>
      <c r="NTV83" s="1"/>
      <c r="NTW83" s="1"/>
      <c r="NTX83" s="1"/>
      <c r="NTY83" s="1"/>
      <c r="NTZ83" s="1"/>
      <c r="NUA83" s="1"/>
      <c r="NUB83" s="1"/>
      <c r="NUC83" s="1"/>
      <c r="NUD83" s="1"/>
      <c r="NUE83" s="1"/>
      <c r="NUF83" s="1"/>
      <c r="NUG83" s="1"/>
      <c r="NUH83" s="1"/>
      <c r="NUI83" s="1"/>
      <c r="NUJ83" s="1"/>
      <c r="NUK83" s="1"/>
      <c r="NUL83" s="1"/>
      <c r="NUM83" s="1"/>
      <c r="NUN83" s="1"/>
      <c r="NUO83" s="1"/>
      <c r="NUP83" s="1"/>
      <c r="NUQ83" s="1"/>
      <c r="NUR83" s="1"/>
      <c r="NUS83" s="1"/>
      <c r="NUT83" s="1"/>
      <c r="NUU83" s="1"/>
      <c r="NUV83" s="1"/>
      <c r="NUW83" s="1"/>
      <c r="NUX83" s="1"/>
      <c r="NUY83" s="1"/>
      <c r="NUZ83" s="1"/>
      <c r="NVA83" s="1"/>
      <c r="NVB83" s="1"/>
      <c r="NVC83" s="1"/>
      <c r="NVD83" s="1"/>
      <c r="NVE83" s="1"/>
      <c r="NVF83" s="1"/>
      <c r="NVG83" s="1"/>
      <c r="NVH83" s="1"/>
      <c r="NVI83" s="1"/>
      <c r="NVJ83" s="1"/>
      <c r="NVK83" s="1"/>
      <c r="NVL83" s="1"/>
      <c r="NVM83" s="1"/>
      <c r="NVN83" s="1"/>
      <c r="NVO83" s="1"/>
      <c r="NVP83" s="1"/>
      <c r="NVQ83" s="1"/>
      <c r="NVR83" s="1"/>
      <c r="NVS83" s="1"/>
      <c r="NVT83" s="1"/>
      <c r="NVU83" s="1"/>
      <c r="NVV83" s="1"/>
      <c r="NVW83" s="1"/>
      <c r="NVX83" s="1"/>
      <c r="NVY83" s="1"/>
      <c r="NVZ83" s="1"/>
      <c r="NWA83" s="1"/>
      <c r="NWB83" s="1"/>
      <c r="NWC83" s="1"/>
      <c r="NWD83" s="1"/>
      <c r="NWE83" s="1"/>
      <c r="NWF83" s="1"/>
      <c r="NWG83" s="1"/>
      <c r="NWH83" s="1"/>
      <c r="NWI83" s="1"/>
      <c r="NWJ83" s="1"/>
      <c r="NWK83" s="1"/>
      <c r="NWL83" s="1"/>
      <c r="NWM83" s="1"/>
      <c r="NWN83" s="1"/>
      <c r="NWO83" s="1"/>
      <c r="NWP83" s="1"/>
      <c r="NWQ83" s="1"/>
      <c r="NWR83" s="1"/>
      <c r="NWS83" s="1"/>
      <c r="NWT83" s="1"/>
      <c r="NWU83" s="1"/>
      <c r="NWV83" s="1"/>
      <c r="NWW83" s="1"/>
      <c r="NWX83" s="1"/>
      <c r="NWY83" s="1"/>
      <c r="NWZ83" s="1"/>
      <c r="NXA83" s="1"/>
      <c r="NXB83" s="1"/>
      <c r="NXC83" s="1"/>
      <c r="NXD83" s="1"/>
      <c r="NXE83" s="1"/>
      <c r="NXF83" s="1"/>
      <c r="NXG83" s="1"/>
      <c r="NXH83" s="1"/>
      <c r="NXI83" s="1"/>
      <c r="NXJ83" s="1"/>
      <c r="NXK83" s="1"/>
      <c r="NXL83" s="1"/>
      <c r="NXM83" s="1"/>
      <c r="NXN83" s="1"/>
      <c r="NXO83" s="1"/>
      <c r="NXP83" s="1"/>
      <c r="NXQ83" s="1"/>
      <c r="NXR83" s="1"/>
      <c r="NXS83" s="1"/>
      <c r="NXT83" s="1"/>
      <c r="NXU83" s="1"/>
      <c r="NXV83" s="1"/>
      <c r="NXW83" s="1"/>
      <c r="NXX83" s="1"/>
      <c r="NXY83" s="1"/>
      <c r="NXZ83" s="1"/>
      <c r="NYA83" s="1"/>
      <c r="NYB83" s="1"/>
      <c r="NYC83" s="1"/>
      <c r="NYD83" s="1"/>
      <c r="NYE83" s="1"/>
      <c r="NYF83" s="1"/>
      <c r="NYG83" s="1"/>
      <c r="NYH83" s="1"/>
      <c r="NYI83" s="1"/>
      <c r="NYJ83" s="1"/>
      <c r="NYK83" s="1"/>
      <c r="NYL83" s="1"/>
      <c r="NYM83" s="1"/>
      <c r="NYN83" s="1"/>
      <c r="NYO83" s="1"/>
      <c r="NYP83" s="1"/>
      <c r="NYQ83" s="1"/>
      <c r="NYR83" s="1"/>
      <c r="NYS83" s="1"/>
      <c r="NYT83" s="1"/>
      <c r="NYU83" s="1"/>
      <c r="NYV83" s="1"/>
      <c r="NYW83" s="1"/>
      <c r="NYX83" s="1"/>
      <c r="NYY83" s="1"/>
      <c r="NYZ83" s="1"/>
      <c r="NZA83" s="1"/>
      <c r="NZB83" s="1"/>
      <c r="NZC83" s="1"/>
      <c r="NZD83" s="1"/>
      <c r="NZE83" s="1"/>
      <c r="NZF83" s="1"/>
      <c r="NZG83" s="1"/>
      <c r="NZH83" s="1"/>
      <c r="NZI83" s="1"/>
      <c r="NZJ83" s="1"/>
      <c r="NZK83" s="1"/>
      <c r="NZL83" s="1"/>
      <c r="NZM83" s="1"/>
      <c r="NZN83" s="1"/>
      <c r="NZO83" s="1"/>
      <c r="NZP83" s="1"/>
      <c r="NZQ83" s="1"/>
      <c r="NZR83" s="1"/>
      <c r="NZS83" s="1"/>
      <c r="NZT83" s="1"/>
      <c r="NZU83" s="1"/>
      <c r="NZV83" s="1"/>
      <c r="NZW83" s="1"/>
      <c r="NZX83" s="1"/>
      <c r="NZY83" s="1"/>
      <c r="NZZ83" s="1"/>
      <c r="OAA83" s="1"/>
      <c r="OAB83" s="1"/>
      <c r="OAC83" s="1"/>
      <c r="OAD83" s="1"/>
      <c r="OAE83" s="1"/>
      <c r="OAF83" s="1"/>
      <c r="OAG83" s="1"/>
      <c r="OAH83" s="1"/>
      <c r="OAI83" s="1"/>
      <c r="OAJ83" s="1"/>
      <c r="OAK83" s="1"/>
      <c r="OAL83" s="1"/>
      <c r="OAM83" s="1"/>
      <c r="OAN83" s="1"/>
      <c r="OAO83" s="1"/>
      <c r="OAP83" s="1"/>
      <c r="OAQ83" s="1"/>
      <c r="OAR83" s="1"/>
      <c r="OAS83" s="1"/>
      <c r="OAT83" s="1"/>
      <c r="OAU83" s="1"/>
      <c r="OAV83" s="1"/>
      <c r="OAW83" s="1"/>
      <c r="OAX83" s="1"/>
      <c r="OAY83" s="1"/>
      <c r="OAZ83" s="1"/>
      <c r="OBA83" s="1"/>
      <c r="OBB83" s="1"/>
      <c r="OBC83" s="1"/>
      <c r="OBD83" s="1"/>
      <c r="OBE83" s="1"/>
      <c r="OBF83" s="1"/>
      <c r="OBG83" s="1"/>
      <c r="OBH83" s="1"/>
      <c r="OBI83" s="1"/>
      <c r="OBJ83" s="1"/>
      <c r="OBK83" s="1"/>
      <c r="OBL83" s="1"/>
      <c r="OBM83" s="1"/>
      <c r="OBN83" s="1"/>
      <c r="OBO83" s="1"/>
      <c r="OBP83" s="1"/>
      <c r="OBQ83" s="1"/>
      <c r="OBR83" s="1"/>
      <c r="OBS83" s="1"/>
      <c r="OBT83" s="1"/>
      <c r="OBU83" s="1"/>
      <c r="OBV83" s="1"/>
      <c r="OBW83" s="1"/>
      <c r="OBX83" s="1"/>
      <c r="OBY83" s="1"/>
      <c r="OBZ83" s="1"/>
      <c r="OCA83" s="1"/>
      <c r="OCB83" s="1"/>
      <c r="OCC83" s="1"/>
      <c r="OCD83" s="1"/>
      <c r="OCE83" s="1"/>
      <c r="OCF83" s="1"/>
      <c r="OCG83" s="1"/>
      <c r="OCH83" s="1"/>
      <c r="OCI83" s="1"/>
      <c r="OCJ83" s="1"/>
      <c r="OCK83" s="1"/>
      <c r="OCL83" s="1"/>
      <c r="OCM83" s="1"/>
      <c r="OCN83" s="1"/>
      <c r="OCO83" s="1"/>
      <c r="OCP83" s="1"/>
      <c r="OCQ83" s="1"/>
      <c r="OCR83" s="1"/>
      <c r="OCS83" s="1"/>
      <c r="OCT83" s="1"/>
      <c r="OCU83" s="1"/>
      <c r="OCV83" s="1"/>
      <c r="OCW83" s="1"/>
      <c r="OCX83" s="1"/>
      <c r="OCY83" s="1"/>
      <c r="OCZ83" s="1"/>
      <c r="ODA83" s="1"/>
      <c r="ODB83" s="1"/>
      <c r="ODC83" s="1"/>
      <c r="ODD83" s="1"/>
      <c r="ODE83" s="1"/>
      <c r="ODF83" s="1"/>
      <c r="ODG83" s="1"/>
      <c r="ODH83" s="1"/>
      <c r="ODI83" s="1"/>
      <c r="ODJ83" s="1"/>
      <c r="ODK83" s="1"/>
      <c r="ODL83" s="1"/>
      <c r="ODM83" s="1"/>
      <c r="ODN83" s="1"/>
      <c r="ODO83" s="1"/>
      <c r="ODP83" s="1"/>
      <c r="ODQ83" s="1"/>
      <c r="ODR83" s="1"/>
      <c r="ODS83" s="1"/>
      <c r="ODT83" s="1"/>
      <c r="ODU83" s="1"/>
      <c r="ODV83" s="1"/>
      <c r="ODW83" s="1"/>
      <c r="ODX83" s="1"/>
      <c r="ODY83" s="1"/>
      <c r="ODZ83" s="1"/>
      <c r="OEA83" s="1"/>
      <c r="OEB83" s="1"/>
      <c r="OEC83" s="1"/>
      <c r="OED83" s="1"/>
      <c r="OEE83" s="1"/>
      <c r="OEF83" s="1"/>
      <c r="OEG83" s="1"/>
      <c r="OEH83" s="1"/>
      <c r="OEI83" s="1"/>
      <c r="OEJ83" s="1"/>
      <c r="OEK83" s="1"/>
      <c r="OEL83" s="1"/>
      <c r="OEM83" s="1"/>
      <c r="OEN83" s="1"/>
      <c r="OEO83" s="1"/>
      <c r="OEP83" s="1"/>
      <c r="OEQ83" s="1"/>
      <c r="OER83" s="1"/>
      <c r="OES83" s="1"/>
      <c r="OET83" s="1"/>
      <c r="OEU83" s="1"/>
      <c r="OEV83" s="1"/>
      <c r="OEW83" s="1"/>
      <c r="OEX83" s="1"/>
      <c r="OEY83" s="1"/>
      <c r="OEZ83" s="1"/>
      <c r="OFA83" s="1"/>
      <c r="OFB83" s="1"/>
      <c r="OFC83" s="1"/>
      <c r="OFD83" s="1"/>
      <c r="OFE83" s="1"/>
      <c r="OFF83" s="1"/>
      <c r="OFG83" s="1"/>
      <c r="OFH83" s="1"/>
      <c r="OFI83" s="1"/>
      <c r="OFJ83" s="1"/>
      <c r="OFK83" s="1"/>
      <c r="OFL83" s="1"/>
      <c r="OFM83" s="1"/>
      <c r="OFN83" s="1"/>
      <c r="OFO83" s="1"/>
      <c r="OFP83" s="1"/>
      <c r="OFQ83" s="1"/>
      <c r="OFR83" s="1"/>
      <c r="OFS83" s="1"/>
      <c r="OFT83" s="1"/>
      <c r="OFU83" s="1"/>
      <c r="OFV83" s="1"/>
      <c r="OFW83" s="1"/>
      <c r="OFX83" s="1"/>
      <c r="OFY83" s="1"/>
      <c r="OFZ83" s="1"/>
      <c r="OGA83" s="1"/>
      <c r="OGB83" s="1"/>
      <c r="OGC83" s="1"/>
      <c r="OGD83" s="1"/>
      <c r="OGE83" s="1"/>
      <c r="OGF83" s="1"/>
      <c r="OGG83" s="1"/>
      <c r="OGH83" s="1"/>
      <c r="OGI83" s="1"/>
      <c r="OGJ83" s="1"/>
      <c r="OGK83" s="1"/>
      <c r="OGL83" s="1"/>
      <c r="OGM83" s="1"/>
      <c r="OGN83" s="1"/>
      <c r="OGO83" s="1"/>
      <c r="OGP83" s="1"/>
      <c r="OGQ83" s="1"/>
      <c r="OGR83" s="1"/>
      <c r="OGS83" s="1"/>
      <c r="OGT83" s="1"/>
      <c r="OGU83" s="1"/>
      <c r="OGV83" s="1"/>
      <c r="OGW83" s="1"/>
      <c r="OGX83" s="1"/>
      <c r="OGY83" s="1"/>
      <c r="OGZ83" s="1"/>
      <c r="OHA83" s="1"/>
      <c r="OHB83" s="1"/>
      <c r="OHC83" s="1"/>
      <c r="OHD83" s="1"/>
      <c r="OHE83" s="1"/>
      <c r="OHF83" s="1"/>
      <c r="OHG83" s="1"/>
      <c r="OHH83" s="1"/>
      <c r="OHI83" s="1"/>
      <c r="OHJ83" s="1"/>
      <c r="OHK83" s="1"/>
      <c r="OHL83" s="1"/>
      <c r="OHM83" s="1"/>
      <c r="OHN83" s="1"/>
      <c r="OHO83" s="1"/>
      <c r="OHP83" s="1"/>
      <c r="OHQ83" s="1"/>
      <c r="OHR83" s="1"/>
      <c r="OHS83" s="1"/>
      <c r="OHT83" s="1"/>
      <c r="OHU83" s="1"/>
      <c r="OHV83" s="1"/>
      <c r="OHW83" s="1"/>
      <c r="OHX83" s="1"/>
      <c r="OHY83" s="1"/>
      <c r="OHZ83" s="1"/>
      <c r="OIA83" s="1"/>
      <c r="OIB83" s="1"/>
      <c r="OIC83" s="1"/>
      <c r="OID83" s="1"/>
      <c r="OIE83" s="1"/>
      <c r="OIF83" s="1"/>
      <c r="OIG83" s="1"/>
      <c r="OIH83" s="1"/>
      <c r="OII83" s="1"/>
      <c r="OIJ83" s="1"/>
      <c r="OIK83" s="1"/>
      <c r="OIL83" s="1"/>
      <c r="OIM83" s="1"/>
      <c r="OIN83" s="1"/>
      <c r="OIO83" s="1"/>
      <c r="OIP83" s="1"/>
      <c r="OIQ83" s="1"/>
      <c r="OIR83" s="1"/>
      <c r="OIS83" s="1"/>
      <c r="OIT83" s="1"/>
      <c r="OIU83" s="1"/>
      <c r="OIV83" s="1"/>
      <c r="OIW83" s="1"/>
      <c r="OIX83" s="1"/>
      <c r="OIY83" s="1"/>
      <c r="OIZ83" s="1"/>
      <c r="OJA83" s="1"/>
      <c r="OJB83" s="1"/>
      <c r="OJC83" s="1"/>
      <c r="OJD83" s="1"/>
      <c r="OJE83" s="1"/>
      <c r="OJF83" s="1"/>
      <c r="OJG83" s="1"/>
      <c r="OJH83" s="1"/>
      <c r="OJI83" s="1"/>
      <c r="OJJ83" s="1"/>
      <c r="OJK83" s="1"/>
      <c r="OJL83" s="1"/>
      <c r="OJM83" s="1"/>
      <c r="OJN83" s="1"/>
      <c r="OJO83" s="1"/>
      <c r="OJP83" s="1"/>
      <c r="OJQ83" s="1"/>
      <c r="OJR83" s="1"/>
      <c r="OJS83" s="1"/>
      <c r="OJT83" s="1"/>
      <c r="OJU83" s="1"/>
      <c r="OJV83" s="1"/>
      <c r="OJW83" s="1"/>
      <c r="OJX83" s="1"/>
      <c r="OJY83" s="1"/>
      <c r="OJZ83" s="1"/>
      <c r="OKA83" s="1"/>
      <c r="OKB83" s="1"/>
      <c r="OKC83" s="1"/>
      <c r="OKD83" s="1"/>
      <c r="OKE83" s="1"/>
      <c r="OKF83" s="1"/>
      <c r="OKG83" s="1"/>
      <c r="OKH83" s="1"/>
      <c r="OKI83" s="1"/>
      <c r="OKJ83" s="1"/>
      <c r="OKK83" s="1"/>
      <c r="OKL83" s="1"/>
      <c r="OKM83" s="1"/>
      <c r="OKN83" s="1"/>
      <c r="OKO83" s="1"/>
      <c r="OKP83" s="1"/>
      <c r="OKQ83" s="1"/>
      <c r="OKR83" s="1"/>
      <c r="OKS83" s="1"/>
      <c r="OKT83" s="1"/>
      <c r="OKU83" s="1"/>
      <c r="OKV83" s="1"/>
      <c r="OKW83" s="1"/>
      <c r="OKX83" s="1"/>
      <c r="OKY83" s="1"/>
      <c r="OKZ83" s="1"/>
      <c r="OLA83" s="1"/>
      <c r="OLB83" s="1"/>
      <c r="OLC83" s="1"/>
      <c r="OLD83" s="1"/>
      <c r="OLE83" s="1"/>
      <c r="OLF83" s="1"/>
      <c r="OLG83" s="1"/>
      <c r="OLH83" s="1"/>
      <c r="OLI83" s="1"/>
      <c r="OLJ83" s="1"/>
      <c r="OLK83" s="1"/>
      <c r="OLL83" s="1"/>
      <c r="OLM83" s="1"/>
      <c r="OLN83" s="1"/>
      <c r="OLO83" s="1"/>
      <c r="OLP83" s="1"/>
      <c r="OLQ83" s="1"/>
      <c r="OLR83" s="1"/>
      <c r="OLS83" s="1"/>
      <c r="OLT83" s="1"/>
      <c r="OLU83" s="1"/>
      <c r="OLV83" s="1"/>
      <c r="OLW83" s="1"/>
      <c r="OLX83" s="1"/>
      <c r="OLY83" s="1"/>
      <c r="OLZ83" s="1"/>
      <c r="OMA83" s="1"/>
      <c r="OMB83" s="1"/>
      <c r="OMC83" s="1"/>
      <c r="OMD83" s="1"/>
      <c r="OME83" s="1"/>
      <c r="OMF83" s="1"/>
      <c r="OMG83" s="1"/>
      <c r="OMH83" s="1"/>
      <c r="OMI83" s="1"/>
      <c r="OMJ83" s="1"/>
      <c r="OMK83" s="1"/>
      <c r="OML83" s="1"/>
      <c r="OMM83" s="1"/>
      <c r="OMN83" s="1"/>
      <c r="OMO83" s="1"/>
      <c r="OMP83" s="1"/>
      <c r="OMQ83" s="1"/>
      <c r="OMR83" s="1"/>
      <c r="OMS83" s="1"/>
      <c r="OMT83" s="1"/>
      <c r="OMU83" s="1"/>
      <c r="OMV83" s="1"/>
      <c r="OMW83" s="1"/>
      <c r="OMX83" s="1"/>
      <c r="OMY83" s="1"/>
      <c r="OMZ83" s="1"/>
      <c r="ONA83" s="1"/>
      <c r="ONB83" s="1"/>
      <c r="ONC83" s="1"/>
      <c r="OND83" s="1"/>
      <c r="ONE83" s="1"/>
      <c r="ONF83" s="1"/>
      <c r="ONG83" s="1"/>
      <c r="ONH83" s="1"/>
      <c r="ONI83" s="1"/>
      <c r="ONJ83" s="1"/>
      <c r="ONK83" s="1"/>
      <c r="ONL83" s="1"/>
      <c r="ONM83" s="1"/>
      <c r="ONN83" s="1"/>
      <c r="ONO83" s="1"/>
      <c r="ONP83" s="1"/>
      <c r="ONQ83" s="1"/>
      <c r="ONR83" s="1"/>
      <c r="ONS83" s="1"/>
      <c r="ONT83" s="1"/>
      <c r="ONU83" s="1"/>
      <c r="ONV83" s="1"/>
      <c r="ONW83" s="1"/>
      <c r="ONX83" s="1"/>
      <c r="ONY83" s="1"/>
      <c r="ONZ83" s="1"/>
      <c r="OOA83" s="1"/>
      <c r="OOB83" s="1"/>
      <c r="OOC83" s="1"/>
      <c r="OOD83" s="1"/>
      <c r="OOE83" s="1"/>
      <c r="OOF83" s="1"/>
      <c r="OOG83" s="1"/>
      <c r="OOH83" s="1"/>
      <c r="OOI83" s="1"/>
      <c r="OOJ83" s="1"/>
      <c r="OOK83" s="1"/>
      <c r="OOL83" s="1"/>
      <c r="OOM83" s="1"/>
      <c r="OON83" s="1"/>
      <c r="OOO83" s="1"/>
      <c r="OOP83" s="1"/>
      <c r="OOQ83" s="1"/>
      <c r="OOR83" s="1"/>
      <c r="OOS83" s="1"/>
      <c r="OOT83" s="1"/>
      <c r="OOU83" s="1"/>
      <c r="OOV83" s="1"/>
      <c r="OOW83" s="1"/>
      <c r="OOX83" s="1"/>
      <c r="OOY83" s="1"/>
      <c r="OOZ83" s="1"/>
      <c r="OPA83" s="1"/>
      <c r="OPB83" s="1"/>
      <c r="OPC83" s="1"/>
      <c r="OPD83" s="1"/>
      <c r="OPE83" s="1"/>
      <c r="OPF83" s="1"/>
      <c r="OPG83" s="1"/>
      <c r="OPH83" s="1"/>
      <c r="OPI83" s="1"/>
      <c r="OPJ83" s="1"/>
      <c r="OPK83" s="1"/>
      <c r="OPL83" s="1"/>
      <c r="OPM83" s="1"/>
      <c r="OPN83" s="1"/>
      <c r="OPO83" s="1"/>
      <c r="OPP83" s="1"/>
      <c r="OPQ83" s="1"/>
      <c r="OPR83" s="1"/>
      <c r="OPS83" s="1"/>
      <c r="OPT83" s="1"/>
      <c r="OPU83" s="1"/>
      <c r="OPV83" s="1"/>
      <c r="OPW83" s="1"/>
      <c r="OPX83" s="1"/>
      <c r="OPY83" s="1"/>
      <c r="OPZ83" s="1"/>
      <c r="OQA83" s="1"/>
      <c r="OQB83" s="1"/>
      <c r="OQC83" s="1"/>
      <c r="OQD83" s="1"/>
      <c r="OQE83" s="1"/>
      <c r="OQF83" s="1"/>
      <c r="OQG83" s="1"/>
      <c r="OQH83" s="1"/>
      <c r="OQI83" s="1"/>
      <c r="OQJ83" s="1"/>
      <c r="OQK83" s="1"/>
      <c r="OQL83" s="1"/>
      <c r="OQM83" s="1"/>
      <c r="OQN83" s="1"/>
      <c r="OQO83" s="1"/>
      <c r="OQP83" s="1"/>
      <c r="OQQ83" s="1"/>
      <c r="OQR83" s="1"/>
      <c r="OQS83" s="1"/>
      <c r="OQT83" s="1"/>
      <c r="OQU83" s="1"/>
      <c r="OQV83" s="1"/>
      <c r="OQW83" s="1"/>
      <c r="OQX83" s="1"/>
      <c r="OQY83" s="1"/>
      <c r="OQZ83" s="1"/>
      <c r="ORA83" s="1"/>
      <c r="ORB83" s="1"/>
      <c r="ORC83" s="1"/>
      <c r="ORD83" s="1"/>
      <c r="ORE83" s="1"/>
      <c r="ORF83" s="1"/>
      <c r="ORG83" s="1"/>
      <c r="ORH83" s="1"/>
      <c r="ORI83" s="1"/>
      <c r="ORJ83" s="1"/>
      <c r="ORK83" s="1"/>
      <c r="ORL83" s="1"/>
      <c r="ORM83" s="1"/>
      <c r="ORN83" s="1"/>
      <c r="ORO83" s="1"/>
      <c r="ORP83" s="1"/>
      <c r="ORQ83" s="1"/>
      <c r="ORR83" s="1"/>
      <c r="ORS83" s="1"/>
      <c r="ORT83" s="1"/>
      <c r="ORU83" s="1"/>
      <c r="ORV83" s="1"/>
      <c r="ORW83" s="1"/>
      <c r="ORX83" s="1"/>
      <c r="ORY83" s="1"/>
      <c r="ORZ83" s="1"/>
      <c r="OSA83" s="1"/>
      <c r="OSB83" s="1"/>
      <c r="OSC83" s="1"/>
      <c r="OSD83" s="1"/>
      <c r="OSE83" s="1"/>
      <c r="OSF83" s="1"/>
      <c r="OSG83" s="1"/>
      <c r="OSH83" s="1"/>
      <c r="OSI83" s="1"/>
      <c r="OSJ83" s="1"/>
      <c r="OSK83" s="1"/>
      <c r="OSL83" s="1"/>
      <c r="OSM83" s="1"/>
      <c r="OSN83" s="1"/>
      <c r="OSO83" s="1"/>
      <c r="OSP83" s="1"/>
      <c r="OSQ83" s="1"/>
      <c r="OSR83" s="1"/>
      <c r="OSS83" s="1"/>
      <c r="OST83" s="1"/>
      <c r="OSU83" s="1"/>
      <c r="OSV83" s="1"/>
      <c r="OSW83" s="1"/>
      <c r="OSX83" s="1"/>
      <c r="OSY83" s="1"/>
      <c r="OSZ83" s="1"/>
      <c r="OTA83" s="1"/>
      <c r="OTB83" s="1"/>
      <c r="OTC83" s="1"/>
      <c r="OTD83" s="1"/>
      <c r="OTE83" s="1"/>
      <c r="OTF83" s="1"/>
      <c r="OTG83" s="1"/>
      <c r="OTH83" s="1"/>
      <c r="OTI83" s="1"/>
      <c r="OTJ83" s="1"/>
      <c r="OTK83" s="1"/>
      <c r="OTL83" s="1"/>
      <c r="OTM83" s="1"/>
      <c r="OTN83" s="1"/>
      <c r="OTO83" s="1"/>
      <c r="OTP83" s="1"/>
      <c r="OTQ83" s="1"/>
      <c r="OTR83" s="1"/>
      <c r="OTS83" s="1"/>
      <c r="OTT83" s="1"/>
      <c r="OTU83" s="1"/>
      <c r="OTV83" s="1"/>
      <c r="OTW83" s="1"/>
      <c r="OTX83" s="1"/>
      <c r="OTY83" s="1"/>
      <c r="OTZ83" s="1"/>
      <c r="OUA83" s="1"/>
      <c r="OUB83" s="1"/>
      <c r="OUC83" s="1"/>
      <c r="OUD83" s="1"/>
      <c r="OUE83" s="1"/>
      <c r="OUF83" s="1"/>
      <c r="OUG83" s="1"/>
      <c r="OUH83" s="1"/>
      <c r="OUI83" s="1"/>
      <c r="OUJ83" s="1"/>
      <c r="OUK83" s="1"/>
      <c r="OUL83" s="1"/>
      <c r="OUM83" s="1"/>
      <c r="OUN83" s="1"/>
      <c r="OUO83" s="1"/>
      <c r="OUP83" s="1"/>
      <c r="OUQ83" s="1"/>
      <c r="OUR83" s="1"/>
      <c r="OUS83" s="1"/>
      <c r="OUT83" s="1"/>
      <c r="OUU83" s="1"/>
      <c r="OUV83" s="1"/>
      <c r="OUW83" s="1"/>
      <c r="OUX83" s="1"/>
      <c r="OUY83" s="1"/>
      <c r="OUZ83" s="1"/>
      <c r="OVA83" s="1"/>
      <c r="OVB83" s="1"/>
      <c r="OVC83" s="1"/>
      <c r="OVD83" s="1"/>
      <c r="OVE83" s="1"/>
      <c r="OVF83" s="1"/>
      <c r="OVG83" s="1"/>
      <c r="OVH83" s="1"/>
      <c r="OVI83" s="1"/>
      <c r="OVJ83" s="1"/>
      <c r="OVK83" s="1"/>
      <c r="OVL83" s="1"/>
      <c r="OVM83" s="1"/>
      <c r="OVN83" s="1"/>
      <c r="OVO83" s="1"/>
      <c r="OVP83" s="1"/>
      <c r="OVQ83" s="1"/>
      <c r="OVR83" s="1"/>
      <c r="OVS83" s="1"/>
      <c r="OVT83" s="1"/>
      <c r="OVU83" s="1"/>
      <c r="OVV83" s="1"/>
      <c r="OVW83" s="1"/>
      <c r="OVX83" s="1"/>
      <c r="OVY83" s="1"/>
      <c r="OVZ83" s="1"/>
      <c r="OWA83" s="1"/>
      <c r="OWB83" s="1"/>
      <c r="OWC83" s="1"/>
      <c r="OWD83" s="1"/>
      <c r="OWE83" s="1"/>
      <c r="OWF83" s="1"/>
      <c r="OWG83" s="1"/>
      <c r="OWH83" s="1"/>
      <c r="OWI83" s="1"/>
      <c r="OWJ83" s="1"/>
      <c r="OWK83" s="1"/>
      <c r="OWL83" s="1"/>
      <c r="OWM83" s="1"/>
      <c r="OWN83" s="1"/>
      <c r="OWO83" s="1"/>
      <c r="OWP83" s="1"/>
      <c r="OWQ83" s="1"/>
      <c r="OWR83" s="1"/>
      <c r="OWS83" s="1"/>
      <c r="OWT83" s="1"/>
      <c r="OWU83" s="1"/>
      <c r="OWV83" s="1"/>
      <c r="OWW83" s="1"/>
      <c r="OWX83" s="1"/>
      <c r="OWY83" s="1"/>
      <c r="OWZ83" s="1"/>
      <c r="OXA83" s="1"/>
      <c r="OXB83" s="1"/>
      <c r="OXC83" s="1"/>
      <c r="OXD83" s="1"/>
      <c r="OXE83" s="1"/>
      <c r="OXF83" s="1"/>
      <c r="OXG83" s="1"/>
      <c r="OXH83" s="1"/>
      <c r="OXI83" s="1"/>
      <c r="OXJ83" s="1"/>
      <c r="OXK83" s="1"/>
      <c r="OXL83" s="1"/>
      <c r="OXM83" s="1"/>
      <c r="OXN83" s="1"/>
      <c r="OXO83" s="1"/>
      <c r="OXP83" s="1"/>
      <c r="OXQ83" s="1"/>
      <c r="OXR83" s="1"/>
      <c r="OXS83" s="1"/>
      <c r="OXT83" s="1"/>
      <c r="OXU83" s="1"/>
      <c r="OXV83" s="1"/>
      <c r="OXW83" s="1"/>
      <c r="OXX83" s="1"/>
      <c r="OXY83" s="1"/>
      <c r="OXZ83" s="1"/>
      <c r="OYA83" s="1"/>
      <c r="OYB83" s="1"/>
      <c r="OYC83" s="1"/>
      <c r="OYD83" s="1"/>
      <c r="OYE83" s="1"/>
      <c r="OYF83" s="1"/>
      <c r="OYG83" s="1"/>
      <c r="OYH83" s="1"/>
      <c r="OYI83" s="1"/>
      <c r="OYJ83" s="1"/>
      <c r="OYK83" s="1"/>
      <c r="OYL83" s="1"/>
      <c r="OYM83" s="1"/>
      <c r="OYN83" s="1"/>
      <c r="OYO83" s="1"/>
      <c r="OYP83" s="1"/>
      <c r="OYQ83" s="1"/>
      <c r="OYR83" s="1"/>
      <c r="OYS83" s="1"/>
      <c r="OYT83" s="1"/>
      <c r="OYU83" s="1"/>
      <c r="OYV83" s="1"/>
      <c r="OYW83" s="1"/>
      <c r="OYX83" s="1"/>
      <c r="OYY83" s="1"/>
      <c r="OYZ83" s="1"/>
      <c r="OZA83" s="1"/>
      <c r="OZB83" s="1"/>
      <c r="OZC83" s="1"/>
      <c r="OZD83" s="1"/>
      <c r="OZE83" s="1"/>
      <c r="OZF83" s="1"/>
      <c r="OZG83" s="1"/>
      <c r="OZH83" s="1"/>
      <c r="OZI83" s="1"/>
      <c r="OZJ83" s="1"/>
      <c r="OZK83" s="1"/>
      <c r="OZL83" s="1"/>
      <c r="OZM83" s="1"/>
      <c r="OZN83" s="1"/>
      <c r="OZO83" s="1"/>
      <c r="OZP83" s="1"/>
      <c r="OZQ83" s="1"/>
      <c r="OZR83" s="1"/>
      <c r="OZS83" s="1"/>
      <c r="OZT83" s="1"/>
      <c r="OZU83" s="1"/>
      <c r="OZV83" s="1"/>
      <c r="OZW83" s="1"/>
      <c r="OZX83" s="1"/>
      <c r="OZY83" s="1"/>
      <c r="OZZ83" s="1"/>
      <c r="PAA83" s="1"/>
      <c r="PAB83" s="1"/>
      <c r="PAC83" s="1"/>
      <c r="PAD83" s="1"/>
      <c r="PAE83" s="1"/>
      <c r="PAF83" s="1"/>
      <c r="PAG83" s="1"/>
      <c r="PAH83" s="1"/>
      <c r="PAI83" s="1"/>
      <c r="PAJ83" s="1"/>
      <c r="PAK83" s="1"/>
      <c r="PAL83" s="1"/>
      <c r="PAM83" s="1"/>
      <c r="PAN83" s="1"/>
      <c r="PAO83" s="1"/>
      <c r="PAP83" s="1"/>
      <c r="PAQ83" s="1"/>
      <c r="PAR83" s="1"/>
      <c r="PAS83" s="1"/>
      <c r="PAT83" s="1"/>
      <c r="PAU83" s="1"/>
      <c r="PAV83" s="1"/>
      <c r="PAW83" s="1"/>
      <c r="PAX83" s="1"/>
      <c r="PAY83" s="1"/>
      <c r="PAZ83" s="1"/>
      <c r="PBA83" s="1"/>
      <c r="PBB83" s="1"/>
      <c r="PBC83" s="1"/>
      <c r="PBD83" s="1"/>
      <c r="PBE83" s="1"/>
      <c r="PBF83" s="1"/>
      <c r="PBG83" s="1"/>
      <c r="PBH83" s="1"/>
      <c r="PBI83" s="1"/>
      <c r="PBJ83" s="1"/>
      <c r="PBK83" s="1"/>
      <c r="PBL83" s="1"/>
      <c r="PBM83" s="1"/>
      <c r="PBN83" s="1"/>
      <c r="PBO83" s="1"/>
      <c r="PBP83" s="1"/>
      <c r="PBQ83" s="1"/>
      <c r="PBR83" s="1"/>
      <c r="PBS83" s="1"/>
      <c r="PBT83" s="1"/>
      <c r="PBU83" s="1"/>
      <c r="PBV83" s="1"/>
      <c r="PBW83" s="1"/>
      <c r="PBX83" s="1"/>
      <c r="PBY83" s="1"/>
      <c r="PBZ83" s="1"/>
      <c r="PCA83" s="1"/>
      <c r="PCB83" s="1"/>
      <c r="PCC83" s="1"/>
      <c r="PCD83" s="1"/>
      <c r="PCE83" s="1"/>
      <c r="PCF83" s="1"/>
      <c r="PCG83" s="1"/>
      <c r="PCH83" s="1"/>
      <c r="PCI83" s="1"/>
      <c r="PCJ83" s="1"/>
      <c r="PCK83" s="1"/>
      <c r="PCL83" s="1"/>
      <c r="PCM83" s="1"/>
      <c r="PCN83" s="1"/>
      <c r="PCO83" s="1"/>
      <c r="PCP83" s="1"/>
      <c r="PCQ83" s="1"/>
      <c r="PCR83" s="1"/>
      <c r="PCS83" s="1"/>
      <c r="PCT83" s="1"/>
      <c r="PCU83" s="1"/>
      <c r="PCV83" s="1"/>
      <c r="PCW83" s="1"/>
      <c r="PCX83" s="1"/>
      <c r="PCY83" s="1"/>
      <c r="PCZ83" s="1"/>
      <c r="PDA83" s="1"/>
      <c r="PDB83" s="1"/>
      <c r="PDC83" s="1"/>
      <c r="PDD83" s="1"/>
      <c r="PDE83" s="1"/>
      <c r="PDF83" s="1"/>
      <c r="PDG83" s="1"/>
      <c r="PDH83" s="1"/>
      <c r="PDI83" s="1"/>
      <c r="PDJ83" s="1"/>
      <c r="PDK83" s="1"/>
      <c r="PDL83" s="1"/>
      <c r="PDM83" s="1"/>
      <c r="PDN83" s="1"/>
      <c r="PDO83" s="1"/>
      <c r="PDP83" s="1"/>
      <c r="PDQ83" s="1"/>
      <c r="PDR83" s="1"/>
      <c r="PDS83" s="1"/>
      <c r="PDT83" s="1"/>
      <c r="PDU83" s="1"/>
      <c r="PDV83" s="1"/>
      <c r="PDW83" s="1"/>
      <c r="PDX83" s="1"/>
      <c r="PDY83" s="1"/>
      <c r="PDZ83" s="1"/>
      <c r="PEA83" s="1"/>
      <c r="PEB83" s="1"/>
      <c r="PEC83" s="1"/>
      <c r="PED83" s="1"/>
      <c r="PEE83" s="1"/>
      <c r="PEF83" s="1"/>
      <c r="PEG83" s="1"/>
      <c r="PEH83" s="1"/>
      <c r="PEI83" s="1"/>
      <c r="PEJ83" s="1"/>
      <c r="PEK83" s="1"/>
      <c r="PEL83" s="1"/>
      <c r="PEM83" s="1"/>
      <c r="PEN83" s="1"/>
      <c r="PEO83" s="1"/>
      <c r="PEP83" s="1"/>
      <c r="PEQ83" s="1"/>
      <c r="PER83" s="1"/>
      <c r="PES83" s="1"/>
      <c r="PET83" s="1"/>
      <c r="PEU83" s="1"/>
      <c r="PEV83" s="1"/>
      <c r="PEW83" s="1"/>
      <c r="PEX83" s="1"/>
      <c r="PEY83" s="1"/>
      <c r="PEZ83" s="1"/>
      <c r="PFA83" s="1"/>
      <c r="PFB83" s="1"/>
      <c r="PFC83" s="1"/>
      <c r="PFD83" s="1"/>
      <c r="PFE83" s="1"/>
      <c r="PFF83" s="1"/>
      <c r="PFG83" s="1"/>
      <c r="PFH83" s="1"/>
      <c r="PFI83" s="1"/>
      <c r="PFJ83" s="1"/>
      <c r="PFK83" s="1"/>
      <c r="PFL83" s="1"/>
      <c r="PFM83" s="1"/>
      <c r="PFN83" s="1"/>
      <c r="PFO83" s="1"/>
      <c r="PFP83" s="1"/>
      <c r="PFQ83" s="1"/>
      <c r="PFR83" s="1"/>
      <c r="PFS83" s="1"/>
      <c r="PFT83" s="1"/>
      <c r="PFU83" s="1"/>
      <c r="PFV83" s="1"/>
      <c r="PFW83" s="1"/>
      <c r="PFX83" s="1"/>
      <c r="PFY83" s="1"/>
      <c r="PFZ83" s="1"/>
      <c r="PGA83" s="1"/>
      <c r="PGB83" s="1"/>
      <c r="PGC83" s="1"/>
      <c r="PGD83" s="1"/>
      <c r="PGE83" s="1"/>
      <c r="PGF83" s="1"/>
      <c r="PGG83" s="1"/>
      <c r="PGH83" s="1"/>
      <c r="PGI83" s="1"/>
      <c r="PGJ83" s="1"/>
      <c r="PGK83" s="1"/>
      <c r="PGL83" s="1"/>
      <c r="PGM83" s="1"/>
      <c r="PGN83" s="1"/>
      <c r="PGO83" s="1"/>
      <c r="PGP83" s="1"/>
      <c r="PGQ83" s="1"/>
      <c r="PGR83" s="1"/>
      <c r="PGS83" s="1"/>
      <c r="PGT83" s="1"/>
      <c r="PGU83" s="1"/>
      <c r="PGV83" s="1"/>
      <c r="PGW83" s="1"/>
      <c r="PGX83" s="1"/>
      <c r="PGY83" s="1"/>
      <c r="PGZ83" s="1"/>
      <c r="PHA83" s="1"/>
      <c r="PHB83" s="1"/>
      <c r="PHC83" s="1"/>
      <c r="PHD83" s="1"/>
      <c r="PHE83" s="1"/>
      <c r="PHF83" s="1"/>
      <c r="PHG83" s="1"/>
      <c r="PHH83" s="1"/>
      <c r="PHI83" s="1"/>
      <c r="PHJ83" s="1"/>
      <c r="PHK83" s="1"/>
      <c r="PHL83" s="1"/>
      <c r="PHM83" s="1"/>
      <c r="PHN83" s="1"/>
      <c r="PHO83" s="1"/>
      <c r="PHP83" s="1"/>
      <c r="PHQ83" s="1"/>
      <c r="PHR83" s="1"/>
      <c r="PHS83" s="1"/>
      <c r="PHT83" s="1"/>
      <c r="PHU83" s="1"/>
      <c r="PHV83" s="1"/>
      <c r="PHW83" s="1"/>
      <c r="PHX83" s="1"/>
      <c r="PHY83" s="1"/>
      <c r="PHZ83" s="1"/>
      <c r="PIA83" s="1"/>
      <c r="PIB83" s="1"/>
      <c r="PIC83" s="1"/>
      <c r="PID83" s="1"/>
      <c r="PIE83" s="1"/>
      <c r="PIF83" s="1"/>
      <c r="PIG83" s="1"/>
      <c r="PIH83" s="1"/>
      <c r="PII83" s="1"/>
      <c r="PIJ83" s="1"/>
      <c r="PIK83" s="1"/>
      <c r="PIL83" s="1"/>
      <c r="PIM83" s="1"/>
      <c r="PIN83" s="1"/>
      <c r="PIO83" s="1"/>
      <c r="PIP83" s="1"/>
      <c r="PIQ83" s="1"/>
      <c r="PIR83" s="1"/>
      <c r="PIS83" s="1"/>
      <c r="PIT83" s="1"/>
      <c r="PIU83" s="1"/>
      <c r="PIV83" s="1"/>
      <c r="PIW83" s="1"/>
      <c r="PIX83" s="1"/>
      <c r="PIY83" s="1"/>
      <c r="PIZ83" s="1"/>
      <c r="PJA83" s="1"/>
      <c r="PJB83" s="1"/>
      <c r="PJC83" s="1"/>
      <c r="PJD83" s="1"/>
      <c r="PJE83" s="1"/>
      <c r="PJF83" s="1"/>
      <c r="PJG83" s="1"/>
      <c r="PJH83" s="1"/>
      <c r="PJI83" s="1"/>
      <c r="PJJ83" s="1"/>
      <c r="PJK83" s="1"/>
      <c r="PJL83" s="1"/>
      <c r="PJM83" s="1"/>
      <c r="PJN83" s="1"/>
      <c r="PJO83" s="1"/>
      <c r="PJP83" s="1"/>
      <c r="PJQ83" s="1"/>
      <c r="PJR83" s="1"/>
      <c r="PJS83" s="1"/>
      <c r="PJT83" s="1"/>
      <c r="PJU83" s="1"/>
      <c r="PJV83" s="1"/>
      <c r="PJW83" s="1"/>
      <c r="PJX83" s="1"/>
      <c r="PJY83" s="1"/>
      <c r="PJZ83" s="1"/>
      <c r="PKA83" s="1"/>
      <c r="PKB83" s="1"/>
      <c r="PKC83" s="1"/>
      <c r="PKD83" s="1"/>
      <c r="PKE83" s="1"/>
      <c r="PKF83" s="1"/>
      <c r="PKG83" s="1"/>
      <c r="PKH83" s="1"/>
      <c r="PKI83" s="1"/>
      <c r="PKJ83" s="1"/>
      <c r="PKK83" s="1"/>
      <c r="PKL83" s="1"/>
      <c r="PKM83" s="1"/>
      <c r="PKN83" s="1"/>
      <c r="PKO83" s="1"/>
      <c r="PKP83" s="1"/>
      <c r="PKQ83" s="1"/>
      <c r="PKR83" s="1"/>
      <c r="PKS83" s="1"/>
      <c r="PKT83" s="1"/>
      <c r="PKU83" s="1"/>
      <c r="PKV83" s="1"/>
      <c r="PKW83" s="1"/>
      <c r="PKX83" s="1"/>
      <c r="PKY83" s="1"/>
      <c r="PKZ83" s="1"/>
      <c r="PLA83" s="1"/>
      <c r="PLB83" s="1"/>
      <c r="PLC83" s="1"/>
      <c r="PLD83" s="1"/>
      <c r="PLE83" s="1"/>
      <c r="PLF83" s="1"/>
      <c r="PLG83" s="1"/>
      <c r="PLH83" s="1"/>
      <c r="PLI83" s="1"/>
      <c r="PLJ83" s="1"/>
      <c r="PLK83" s="1"/>
      <c r="PLL83" s="1"/>
      <c r="PLM83" s="1"/>
      <c r="PLN83" s="1"/>
      <c r="PLO83" s="1"/>
      <c r="PLP83" s="1"/>
      <c r="PLQ83" s="1"/>
      <c r="PLR83" s="1"/>
      <c r="PLS83" s="1"/>
      <c r="PLT83" s="1"/>
      <c r="PLU83" s="1"/>
      <c r="PLV83" s="1"/>
      <c r="PLW83" s="1"/>
      <c r="PLX83" s="1"/>
      <c r="PLY83" s="1"/>
      <c r="PLZ83" s="1"/>
      <c r="PMA83" s="1"/>
      <c r="PMB83" s="1"/>
      <c r="PMC83" s="1"/>
      <c r="PMD83" s="1"/>
      <c r="PME83" s="1"/>
      <c r="PMF83" s="1"/>
      <c r="PMG83" s="1"/>
      <c r="PMH83" s="1"/>
      <c r="PMI83" s="1"/>
      <c r="PMJ83" s="1"/>
      <c r="PMK83" s="1"/>
      <c r="PML83" s="1"/>
      <c r="PMM83" s="1"/>
      <c r="PMN83" s="1"/>
      <c r="PMO83" s="1"/>
      <c r="PMP83" s="1"/>
      <c r="PMQ83" s="1"/>
      <c r="PMR83" s="1"/>
      <c r="PMS83" s="1"/>
      <c r="PMT83" s="1"/>
      <c r="PMU83" s="1"/>
      <c r="PMV83" s="1"/>
      <c r="PMW83" s="1"/>
      <c r="PMX83" s="1"/>
      <c r="PMY83" s="1"/>
      <c r="PMZ83" s="1"/>
      <c r="PNA83" s="1"/>
      <c r="PNB83" s="1"/>
      <c r="PNC83" s="1"/>
      <c r="PND83" s="1"/>
      <c r="PNE83" s="1"/>
      <c r="PNF83" s="1"/>
      <c r="PNG83" s="1"/>
      <c r="PNH83" s="1"/>
      <c r="PNI83" s="1"/>
      <c r="PNJ83" s="1"/>
      <c r="PNK83" s="1"/>
      <c r="PNL83" s="1"/>
      <c r="PNM83" s="1"/>
      <c r="PNN83" s="1"/>
      <c r="PNO83" s="1"/>
      <c r="PNP83" s="1"/>
      <c r="PNQ83" s="1"/>
      <c r="PNR83" s="1"/>
      <c r="PNS83" s="1"/>
      <c r="PNT83" s="1"/>
      <c r="PNU83" s="1"/>
      <c r="PNV83" s="1"/>
      <c r="PNW83" s="1"/>
      <c r="PNX83" s="1"/>
      <c r="PNY83" s="1"/>
      <c r="PNZ83" s="1"/>
      <c r="POA83" s="1"/>
      <c r="POB83" s="1"/>
      <c r="POC83" s="1"/>
      <c r="POD83" s="1"/>
      <c r="POE83" s="1"/>
      <c r="POF83" s="1"/>
      <c r="POG83" s="1"/>
      <c r="POH83" s="1"/>
      <c r="POI83" s="1"/>
      <c r="POJ83" s="1"/>
      <c r="POK83" s="1"/>
      <c r="POL83" s="1"/>
      <c r="POM83" s="1"/>
      <c r="PON83" s="1"/>
      <c r="POO83" s="1"/>
      <c r="POP83" s="1"/>
      <c r="POQ83" s="1"/>
      <c r="POR83" s="1"/>
      <c r="POS83" s="1"/>
      <c r="POT83" s="1"/>
      <c r="POU83" s="1"/>
      <c r="POV83" s="1"/>
      <c r="POW83" s="1"/>
      <c r="POX83" s="1"/>
      <c r="POY83" s="1"/>
      <c r="POZ83" s="1"/>
      <c r="PPA83" s="1"/>
      <c r="PPB83" s="1"/>
      <c r="PPC83" s="1"/>
      <c r="PPD83" s="1"/>
      <c r="PPE83" s="1"/>
      <c r="PPF83" s="1"/>
      <c r="PPG83" s="1"/>
      <c r="PPH83" s="1"/>
      <c r="PPI83" s="1"/>
      <c r="PPJ83" s="1"/>
      <c r="PPK83" s="1"/>
      <c r="PPL83" s="1"/>
      <c r="PPM83" s="1"/>
      <c r="PPN83" s="1"/>
      <c r="PPO83" s="1"/>
      <c r="PPP83" s="1"/>
      <c r="PPQ83" s="1"/>
      <c r="PPR83" s="1"/>
      <c r="PPS83" s="1"/>
      <c r="PPT83" s="1"/>
      <c r="PPU83" s="1"/>
      <c r="PPV83" s="1"/>
      <c r="PPW83" s="1"/>
      <c r="PPX83" s="1"/>
      <c r="PPY83" s="1"/>
      <c r="PPZ83" s="1"/>
      <c r="PQA83" s="1"/>
      <c r="PQB83" s="1"/>
      <c r="PQC83" s="1"/>
      <c r="PQD83" s="1"/>
      <c r="PQE83" s="1"/>
      <c r="PQF83" s="1"/>
      <c r="PQG83" s="1"/>
      <c r="PQH83" s="1"/>
      <c r="PQI83" s="1"/>
      <c r="PQJ83" s="1"/>
      <c r="PQK83" s="1"/>
      <c r="PQL83" s="1"/>
      <c r="PQM83" s="1"/>
      <c r="PQN83" s="1"/>
      <c r="PQO83" s="1"/>
      <c r="PQP83" s="1"/>
      <c r="PQQ83" s="1"/>
      <c r="PQR83" s="1"/>
      <c r="PQS83" s="1"/>
      <c r="PQT83" s="1"/>
      <c r="PQU83" s="1"/>
      <c r="PQV83" s="1"/>
      <c r="PQW83" s="1"/>
      <c r="PQX83" s="1"/>
      <c r="PQY83" s="1"/>
      <c r="PQZ83" s="1"/>
      <c r="PRA83" s="1"/>
      <c r="PRB83" s="1"/>
      <c r="PRC83" s="1"/>
      <c r="PRD83" s="1"/>
      <c r="PRE83" s="1"/>
      <c r="PRF83" s="1"/>
      <c r="PRG83" s="1"/>
      <c r="PRH83" s="1"/>
      <c r="PRI83" s="1"/>
      <c r="PRJ83" s="1"/>
      <c r="PRK83" s="1"/>
      <c r="PRL83" s="1"/>
      <c r="PRM83" s="1"/>
      <c r="PRN83" s="1"/>
      <c r="PRO83" s="1"/>
      <c r="PRP83" s="1"/>
      <c r="PRQ83" s="1"/>
      <c r="PRR83" s="1"/>
      <c r="PRS83" s="1"/>
      <c r="PRT83" s="1"/>
      <c r="PRU83" s="1"/>
      <c r="PRV83" s="1"/>
      <c r="PRW83" s="1"/>
      <c r="PRX83" s="1"/>
      <c r="PRY83" s="1"/>
      <c r="PRZ83" s="1"/>
      <c r="PSA83" s="1"/>
      <c r="PSB83" s="1"/>
      <c r="PSC83" s="1"/>
      <c r="PSD83" s="1"/>
      <c r="PSE83" s="1"/>
      <c r="PSF83" s="1"/>
      <c r="PSG83" s="1"/>
      <c r="PSH83" s="1"/>
      <c r="PSI83" s="1"/>
      <c r="PSJ83" s="1"/>
      <c r="PSK83" s="1"/>
      <c r="PSL83" s="1"/>
      <c r="PSM83" s="1"/>
      <c r="PSN83" s="1"/>
      <c r="PSO83" s="1"/>
      <c r="PSP83" s="1"/>
      <c r="PSQ83" s="1"/>
      <c r="PSR83" s="1"/>
      <c r="PSS83" s="1"/>
      <c r="PST83" s="1"/>
      <c r="PSU83" s="1"/>
      <c r="PSV83" s="1"/>
      <c r="PSW83" s="1"/>
      <c r="PSX83" s="1"/>
      <c r="PSY83" s="1"/>
      <c r="PSZ83" s="1"/>
      <c r="PTA83" s="1"/>
      <c r="PTB83" s="1"/>
      <c r="PTC83" s="1"/>
      <c r="PTD83" s="1"/>
      <c r="PTE83" s="1"/>
      <c r="PTF83" s="1"/>
      <c r="PTG83" s="1"/>
      <c r="PTH83" s="1"/>
      <c r="PTI83" s="1"/>
      <c r="PTJ83" s="1"/>
      <c r="PTK83" s="1"/>
      <c r="PTL83" s="1"/>
      <c r="PTM83" s="1"/>
      <c r="PTN83" s="1"/>
      <c r="PTO83" s="1"/>
      <c r="PTP83" s="1"/>
      <c r="PTQ83" s="1"/>
      <c r="PTR83" s="1"/>
      <c r="PTS83" s="1"/>
      <c r="PTT83" s="1"/>
      <c r="PTU83" s="1"/>
      <c r="PTV83" s="1"/>
      <c r="PTW83" s="1"/>
      <c r="PTX83" s="1"/>
      <c r="PTY83" s="1"/>
      <c r="PTZ83" s="1"/>
      <c r="PUA83" s="1"/>
      <c r="PUB83" s="1"/>
      <c r="PUC83" s="1"/>
      <c r="PUD83" s="1"/>
      <c r="PUE83" s="1"/>
      <c r="PUF83" s="1"/>
      <c r="PUG83" s="1"/>
      <c r="PUH83" s="1"/>
      <c r="PUI83" s="1"/>
      <c r="PUJ83" s="1"/>
      <c r="PUK83" s="1"/>
      <c r="PUL83" s="1"/>
      <c r="PUM83" s="1"/>
      <c r="PUN83" s="1"/>
      <c r="PUO83" s="1"/>
      <c r="PUP83" s="1"/>
      <c r="PUQ83" s="1"/>
      <c r="PUR83" s="1"/>
      <c r="PUS83" s="1"/>
      <c r="PUT83" s="1"/>
      <c r="PUU83" s="1"/>
      <c r="PUV83" s="1"/>
      <c r="PUW83" s="1"/>
      <c r="PUX83" s="1"/>
      <c r="PUY83" s="1"/>
      <c r="PUZ83" s="1"/>
      <c r="PVA83" s="1"/>
      <c r="PVB83" s="1"/>
      <c r="PVC83" s="1"/>
      <c r="PVD83" s="1"/>
      <c r="PVE83" s="1"/>
      <c r="PVF83" s="1"/>
      <c r="PVG83" s="1"/>
      <c r="PVH83" s="1"/>
      <c r="PVI83" s="1"/>
      <c r="PVJ83" s="1"/>
      <c r="PVK83" s="1"/>
      <c r="PVL83" s="1"/>
      <c r="PVM83" s="1"/>
      <c r="PVN83" s="1"/>
      <c r="PVO83" s="1"/>
      <c r="PVP83" s="1"/>
      <c r="PVQ83" s="1"/>
      <c r="PVR83" s="1"/>
      <c r="PVS83" s="1"/>
      <c r="PVT83" s="1"/>
      <c r="PVU83" s="1"/>
      <c r="PVV83" s="1"/>
      <c r="PVW83" s="1"/>
      <c r="PVX83" s="1"/>
      <c r="PVY83" s="1"/>
      <c r="PVZ83" s="1"/>
      <c r="PWA83" s="1"/>
      <c r="PWB83" s="1"/>
      <c r="PWC83" s="1"/>
      <c r="PWD83" s="1"/>
      <c r="PWE83" s="1"/>
      <c r="PWF83" s="1"/>
      <c r="PWG83" s="1"/>
      <c r="PWH83" s="1"/>
      <c r="PWI83" s="1"/>
      <c r="PWJ83" s="1"/>
      <c r="PWK83" s="1"/>
      <c r="PWL83" s="1"/>
      <c r="PWM83" s="1"/>
      <c r="PWN83" s="1"/>
      <c r="PWO83" s="1"/>
      <c r="PWP83" s="1"/>
      <c r="PWQ83" s="1"/>
      <c r="PWR83" s="1"/>
      <c r="PWS83" s="1"/>
      <c r="PWT83" s="1"/>
      <c r="PWU83" s="1"/>
      <c r="PWV83" s="1"/>
      <c r="PWW83" s="1"/>
      <c r="PWX83" s="1"/>
      <c r="PWY83" s="1"/>
      <c r="PWZ83" s="1"/>
      <c r="PXA83" s="1"/>
      <c r="PXB83" s="1"/>
      <c r="PXC83" s="1"/>
      <c r="PXD83" s="1"/>
      <c r="PXE83" s="1"/>
      <c r="PXF83" s="1"/>
      <c r="PXG83" s="1"/>
      <c r="PXH83" s="1"/>
      <c r="PXI83" s="1"/>
      <c r="PXJ83" s="1"/>
      <c r="PXK83" s="1"/>
      <c r="PXL83" s="1"/>
      <c r="PXM83" s="1"/>
      <c r="PXN83" s="1"/>
      <c r="PXO83" s="1"/>
      <c r="PXP83" s="1"/>
      <c r="PXQ83" s="1"/>
      <c r="PXR83" s="1"/>
      <c r="PXS83" s="1"/>
      <c r="PXT83" s="1"/>
      <c r="PXU83" s="1"/>
      <c r="PXV83" s="1"/>
      <c r="PXW83" s="1"/>
      <c r="PXX83" s="1"/>
      <c r="PXY83" s="1"/>
      <c r="PXZ83" s="1"/>
      <c r="PYA83" s="1"/>
      <c r="PYB83" s="1"/>
      <c r="PYC83" s="1"/>
      <c r="PYD83" s="1"/>
      <c r="PYE83" s="1"/>
      <c r="PYF83" s="1"/>
      <c r="PYG83" s="1"/>
      <c r="PYH83" s="1"/>
      <c r="PYI83" s="1"/>
      <c r="PYJ83" s="1"/>
      <c r="PYK83" s="1"/>
      <c r="PYL83" s="1"/>
      <c r="PYM83" s="1"/>
      <c r="PYN83" s="1"/>
      <c r="PYO83" s="1"/>
      <c r="PYP83" s="1"/>
      <c r="PYQ83" s="1"/>
      <c r="PYR83" s="1"/>
      <c r="PYS83" s="1"/>
      <c r="PYT83" s="1"/>
      <c r="PYU83" s="1"/>
      <c r="PYV83" s="1"/>
      <c r="PYW83" s="1"/>
      <c r="PYX83" s="1"/>
      <c r="PYY83" s="1"/>
      <c r="PYZ83" s="1"/>
      <c r="PZA83" s="1"/>
      <c r="PZB83" s="1"/>
      <c r="PZC83" s="1"/>
      <c r="PZD83" s="1"/>
      <c r="PZE83" s="1"/>
      <c r="PZF83" s="1"/>
      <c r="PZG83" s="1"/>
      <c r="PZH83" s="1"/>
      <c r="PZI83" s="1"/>
      <c r="PZJ83" s="1"/>
      <c r="PZK83" s="1"/>
      <c r="PZL83" s="1"/>
      <c r="PZM83" s="1"/>
      <c r="PZN83" s="1"/>
      <c r="PZO83" s="1"/>
      <c r="PZP83" s="1"/>
      <c r="PZQ83" s="1"/>
      <c r="PZR83" s="1"/>
      <c r="PZS83" s="1"/>
      <c r="PZT83" s="1"/>
      <c r="PZU83" s="1"/>
      <c r="PZV83" s="1"/>
      <c r="PZW83" s="1"/>
      <c r="PZX83" s="1"/>
      <c r="PZY83" s="1"/>
      <c r="PZZ83" s="1"/>
      <c r="QAA83" s="1"/>
      <c r="QAB83" s="1"/>
      <c r="QAC83" s="1"/>
      <c r="QAD83" s="1"/>
      <c r="QAE83" s="1"/>
      <c r="QAF83" s="1"/>
      <c r="QAG83" s="1"/>
      <c r="QAH83" s="1"/>
      <c r="QAI83" s="1"/>
      <c r="QAJ83" s="1"/>
      <c r="QAK83" s="1"/>
      <c r="QAL83" s="1"/>
      <c r="QAM83" s="1"/>
      <c r="QAN83" s="1"/>
      <c r="QAO83" s="1"/>
      <c r="QAP83" s="1"/>
      <c r="QAQ83" s="1"/>
      <c r="QAR83" s="1"/>
      <c r="QAS83" s="1"/>
      <c r="QAT83" s="1"/>
      <c r="QAU83" s="1"/>
      <c r="QAV83" s="1"/>
      <c r="QAW83" s="1"/>
      <c r="QAX83" s="1"/>
      <c r="QAY83" s="1"/>
      <c r="QAZ83" s="1"/>
      <c r="QBA83" s="1"/>
      <c r="QBB83" s="1"/>
      <c r="QBC83" s="1"/>
      <c r="QBD83" s="1"/>
      <c r="QBE83" s="1"/>
      <c r="QBF83" s="1"/>
      <c r="QBG83" s="1"/>
      <c r="QBH83" s="1"/>
      <c r="QBI83" s="1"/>
      <c r="QBJ83" s="1"/>
      <c r="QBK83" s="1"/>
      <c r="QBL83" s="1"/>
      <c r="QBM83" s="1"/>
      <c r="QBN83" s="1"/>
      <c r="QBO83" s="1"/>
      <c r="QBP83" s="1"/>
      <c r="QBQ83" s="1"/>
      <c r="QBR83" s="1"/>
      <c r="QBS83" s="1"/>
      <c r="QBT83" s="1"/>
      <c r="QBU83" s="1"/>
      <c r="QBV83" s="1"/>
      <c r="QBW83" s="1"/>
      <c r="QBX83" s="1"/>
      <c r="QBY83" s="1"/>
      <c r="QBZ83" s="1"/>
      <c r="QCA83" s="1"/>
      <c r="QCB83" s="1"/>
      <c r="QCC83" s="1"/>
      <c r="QCD83" s="1"/>
      <c r="QCE83" s="1"/>
      <c r="QCF83" s="1"/>
      <c r="QCG83" s="1"/>
      <c r="QCH83" s="1"/>
      <c r="QCI83" s="1"/>
      <c r="QCJ83" s="1"/>
      <c r="QCK83" s="1"/>
      <c r="QCL83" s="1"/>
      <c r="QCM83" s="1"/>
      <c r="QCN83" s="1"/>
      <c r="QCO83" s="1"/>
      <c r="QCP83" s="1"/>
      <c r="QCQ83" s="1"/>
      <c r="QCR83" s="1"/>
      <c r="QCS83" s="1"/>
      <c r="QCT83" s="1"/>
      <c r="QCU83" s="1"/>
      <c r="QCV83" s="1"/>
      <c r="QCW83" s="1"/>
      <c r="QCX83" s="1"/>
      <c r="QCY83" s="1"/>
      <c r="QCZ83" s="1"/>
      <c r="QDA83" s="1"/>
      <c r="QDB83" s="1"/>
      <c r="QDC83" s="1"/>
      <c r="QDD83" s="1"/>
      <c r="QDE83" s="1"/>
      <c r="QDF83" s="1"/>
      <c r="QDG83" s="1"/>
      <c r="QDH83" s="1"/>
      <c r="QDI83" s="1"/>
      <c r="QDJ83" s="1"/>
      <c r="QDK83" s="1"/>
      <c r="QDL83" s="1"/>
      <c r="QDM83" s="1"/>
      <c r="QDN83" s="1"/>
      <c r="QDO83" s="1"/>
      <c r="QDP83" s="1"/>
      <c r="QDQ83" s="1"/>
      <c r="QDR83" s="1"/>
      <c r="QDS83" s="1"/>
      <c r="QDT83" s="1"/>
      <c r="QDU83" s="1"/>
      <c r="QDV83" s="1"/>
      <c r="QDW83" s="1"/>
      <c r="QDX83" s="1"/>
      <c r="QDY83" s="1"/>
      <c r="QDZ83" s="1"/>
      <c r="QEA83" s="1"/>
      <c r="QEB83" s="1"/>
      <c r="QEC83" s="1"/>
      <c r="QED83" s="1"/>
      <c r="QEE83" s="1"/>
      <c r="QEF83" s="1"/>
      <c r="QEG83" s="1"/>
      <c r="QEH83" s="1"/>
      <c r="QEI83" s="1"/>
      <c r="QEJ83" s="1"/>
      <c r="QEK83" s="1"/>
      <c r="QEL83" s="1"/>
      <c r="QEM83" s="1"/>
      <c r="QEN83" s="1"/>
      <c r="QEO83" s="1"/>
      <c r="QEP83" s="1"/>
      <c r="QEQ83" s="1"/>
      <c r="QER83" s="1"/>
      <c r="QES83" s="1"/>
      <c r="QET83" s="1"/>
      <c r="QEU83" s="1"/>
      <c r="QEV83" s="1"/>
      <c r="QEW83" s="1"/>
      <c r="QEX83" s="1"/>
      <c r="QEY83" s="1"/>
      <c r="QEZ83" s="1"/>
      <c r="QFA83" s="1"/>
      <c r="QFB83" s="1"/>
      <c r="QFC83" s="1"/>
      <c r="QFD83" s="1"/>
      <c r="QFE83" s="1"/>
      <c r="QFF83" s="1"/>
      <c r="QFG83" s="1"/>
      <c r="QFH83" s="1"/>
      <c r="QFI83" s="1"/>
      <c r="QFJ83" s="1"/>
      <c r="QFK83" s="1"/>
      <c r="QFL83" s="1"/>
      <c r="QFM83" s="1"/>
      <c r="QFN83" s="1"/>
      <c r="QFO83" s="1"/>
      <c r="QFP83" s="1"/>
      <c r="QFQ83" s="1"/>
      <c r="QFR83" s="1"/>
      <c r="QFS83" s="1"/>
      <c r="QFT83" s="1"/>
      <c r="QFU83" s="1"/>
      <c r="QFV83" s="1"/>
      <c r="QFW83" s="1"/>
      <c r="QFX83" s="1"/>
      <c r="QFY83" s="1"/>
      <c r="QFZ83" s="1"/>
      <c r="QGA83" s="1"/>
      <c r="QGB83" s="1"/>
      <c r="QGC83" s="1"/>
      <c r="QGD83" s="1"/>
      <c r="QGE83" s="1"/>
      <c r="QGF83" s="1"/>
      <c r="QGG83" s="1"/>
      <c r="QGH83" s="1"/>
      <c r="QGI83" s="1"/>
      <c r="QGJ83" s="1"/>
      <c r="QGK83" s="1"/>
      <c r="QGL83" s="1"/>
      <c r="QGM83" s="1"/>
      <c r="QGN83" s="1"/>
      <c r="QGO83" s="1"/>
      <c r="QGP83" s="1"/>
      <c r="QGQ83" s="1"/>
      <c r="QGR83" s="1"/>
      <c r="QGS83" s="1"/>
      <c r="QGT83" s="1"/>
      <c r="QGU83" s="1"/>
      <c r="QGV83" s="1"/>
      <c r="QGW83" s="1"/>
      <c r="QGX83" s="1"/>
      <c r="QGY83" s="1"/>
      <c r="QGZ83" s="1"/>
      <c r="QHA83" s="1"/>
      <c r="QHB83" s="1"/>
      <c r="QHC83" s="1"/>
      <c r="QHD83" s="1"/>
      <c r="QHE83" s="1"/>
      <c r="QHF83" s="1"/>
      <c r="QHG83" s="1"/>
      <c r="QHH83" s="1"/>
      <c r="QHI83" s="1"/>
      <c r="QHJ83" s="1"/>
      <c r="QHK83" s="1"/>
      <c r="QHL83" s="1"/>
      <c r="QHM83" s="1"/>
      <c r="QHN83" s="1"/>
      <c r="QHO83" s="1"/>
      <c r="QHP83" s="1"/>
      <c r="QHQ83" s="1"/>
      <c r="QHR83" s="1"/>
      <c r="QHS83" s="1"/>
      <c r="QHT83" s="1"/>
      <c r="QHU83" s="1"/>
      <c r="QHV83" s="1"/>
      <c r="QHW83" s="1"/>
      <c r="QHX83" s="1"/>
      <c r="QHY83" s="1"/>
      <c r="QHZ83" s="1"/>
      <c r="QIA83" s="1"/>
      <c r="QIB83" s="1"/>
      <c r="QIC83" s="1"/>
      <c r="QID83" s="1"/>
      <c r="QIE83" s="1"/>
      <c r="QIF83" s="1"/>
      <c r="QIG83" s="1"/>
      <c r="QIH83" s="1"/>
      <c r="QII83" s="1"/>
      <c r="QIJ83" s="1"/>
      <c r="QIK83" s="1"/>
      <c r="QIL83" s="1"/>
      <c r="QIM83" s="1"/>
      <c r="QIN83" s="1"/>
      <c r="QIO83" s="1"/>
      <c r="QIP83" s="1"/>
      <c r="QIQ83" s="1"/>
      <c r="QIR83" s="1"/>
      <c r="QIS83" s="1"/>
      <c r="QIT83" s="1"/>
      <c r="QIU83" s="1"/>
      <c r="QIV83" s="1"/>
      <c r="QIW83" s="1"/>
      <c r="QIX83" s="1"/>
      <c r="QIY83" s="1"/>
      <c r="QIZ83" s="1"/>
      <c r="QJA83" s="1"/>
      <c r="QJB83" s="1"/>
      <c r="QJC83" s="1"/>
      <c r="QJD83" s="1"/>
      <c r="QJE83" s="1"/>
      <c r="QJF83" s="1"/>
      <c r="QJG83" s="1"/>
      <c r="QJH83" s="1"/>
      <c r="QJI83" s="1"/>
      <c r="QJJ83" s="1"/>
      <c r="QJK83" s="1"/>
      <c r="QJL83" s="1"/>
      <c r="QJM83" s="1"/>
      <c r="QJN83" s="1"/>
      <c r="QJO83" s="1"/>
      <c r="QJP83" s="1"/>
      <c r="QJQ83" s="1"/>
      <c r="QJR83" s="1"/>
      <c r="QJS83" s="1"/>
      <c r="QJT83" s="1"/>
      <c r="QJU83" s="1"/>
      <c r="QJV83" s="1"/>
      <c r="QJW83" s="1"/>
      <c r="QJX83" s="1"/>
      <c r="QJY83" s="1"/>
      <c r="QJZ83" s="1"/>
      <c r="QKA83" s="1"/>
      <c r="QKB83" s="1"/>
      <c r="QKC83" s="1"/>
      <c r="QKD83" s="1"/>
      <c r="QKE83" s="1"/>
      <c r="QKF83" s="1"/>
      <c r="QKG83" s="1"/>
      <c r="QKH83" s="1"/>
      <c r="QKI83" s="1"/>
      <c r="QKJ83" s="1"/>
      <c r="QKK83" s="1"/>
      <c r="QKL83" s="1"/>
      <c r="QKM83" s="1"/>
      <c r="QKN83" s="1"/>
      <c r="QKO83" s="1"/>
      <c r="QKP83" s="1"/>
      <c r="QKQ83" s="1"/>
      <c r="QKR83" s="1"/>
      <c r="QKS83" s="1"/>
      <c r="QKT83" s="1"/>
      <c r="QKU83" s="1"/>
      <c r="QKV83" s="1"/>
      <c r="QKW83" s="1"/>
      <c r="QKX83" s="1"/>
      <c r="QKY83" s="1"/>
      <c r="QKZ83" s="1"/>
      <c r="QLA83" s="1"/>
      <c r="QLB83" s="1"/>
      <c r="QLC83" s="1"/>
      <c r="QLD83" s="1"/>
      <c r="QLE83" s="1"/>
      <c r="QLF83" s="1"/>
      <c r="QLG83" s="1"/>
      <c r="QLH83" s="1"/>
      <c r="QLI83" s="1"/>
      <c r="QLJ83" s="1"/>
      <c r="QLK83" s="1"/>
      <c r="QLL83" s="1"/>
      <c r="QLM83" s="1"/>
      <c r="QLN83" s="1"/>
      <c r="QLO83" s="1"/>
      <c r="QLP83" s="1"/>
      <c r="QLQ83" s="1"/>
      <c r="QLR83" s="1"/>
      <c r="QLS83" s="1"/>
      <c r="QLT83" s="1"/>
      <c r="QLU83" s="1"/>
      <c r="QLV83" s="1"/>
      <c r="QLW83" s="1"/>
      <c r="QLX83" s="1"/>
      <c r="QLY83" s="1"/>
      <c r="QLZ83" s="1"/>
      <c r="QMA83" s="1"/>
      <c r="QMB83" s="1"/>
      <c r="QMC83" s="1"/>
      <c r="QMD83" s="1"/>
      <c r="QME83" s="1"/>
      <c r="QMF83" s="1"/>
      <c r="QMG83" s="1"/>
      <c r="QMH83" s="1"/>
      <c r="QMI83" s="1"/>
      <c r="QMJ83" s="1"/>
      <c r="QMK83" s="1"/>
      <c r="QML83" s="1"/>
      <c r="QMM83" s="1"/>
      <c r="QMN83" s="1"/>
      <c r="QMO83" s="1"/>
      <c r="QMP83" s="1"/>
      <c r="QMQ83" s="1"/>
      <c r="QMR83" s="1"/>
      <c r="QMS83" s="1"/>
      <c r="QMT83" s="1"/>
      <c r="QMU83" s="1"/>
      <c r="QMV83" s="1"/>
      <c r="QMW83" s="1"/>
      <c r="QMX83" s="1"/>
      <c r="QMY83" s="1"/>
      <c r="QMZ83" s="1"/>
      <c r="QNA83" s="1"/>
      <c r="QNB83" s="1"/>
      <c r="QNC83" s="1"/>
      <c r="QND83" s="1"/>
      <c r="QNE83" s="1"/>
      <c r="QNF83" s="1"/>
      <c r="QNG83" s="1"/>
      <c r="QNH83" s="1"/>
      <c r="QNI83" s="1"/>
      <c r="QNJ83" s="1"/>
      <c r="QNK83" s="1"/>
      <c r="QNL83" s="1"/>
      <c r="QNM83" s="1"/>
      <c r="QNN83" s="1"/>
      <c r="QNO83" s="1"/>
      <c r="QNP83" s="1"/>
      <c r="QNQ83" s="1"/>
      <c r="QNR83" s="1"/>
      <c r="QNS83" s="1"/>
      <c r="QNT83" s="1"/>
      <c r="QNU83" s="1"/>
      <c r="QNV83" s="1"/>
      <c r="QNW83" s="1"/>
      <c r="QNX83" s="1"/>
      <c r="QNY83" s="1"/>
      <c r="QNZ83" s="1"/>
      <c r="QOA83" s="1"/>
      <c r="QOB83" s="1"/>
      <c r="QOC83" s="1"/>
      <c r="QOD83" s="1"/>
      <c r="QOE83" s="1"/>
      <c r="QOF83" s="1"/>
      <c r="QOG83" s="1"/>
      <c r="QOH83" s="1"/>
      <c r="QOI83" s="1"/>
      <c r="QOJ83" s="1"/>
      <c r="QOK83" s="1"/>
      <c r="QOL83" s="1"/>
      <c r="QOM83" s="1"/>
      <c r="QON83" s="1"/>
      <c r="QOO83" s="1"/>
      <c r="QOP83" s="1"/>
      <c r="QOQ83" s="1"/>
      <c r="QOR83" s="1"/>
      <c r="QOS83" s="1"/>
      <c r="QOT83" s="1"/>
      <c r="QOU83" s="1"/>
      <c r="QOV83" s="1"/>
      <c r="QOW83" s="1"/>
      <c r="QOX83" s="1"/>
      <c r="QOY83" s="1"/>
      <c r="QOZ83" s="1"/>
      <c r="QPA83" s="1"/>
      <c r="QPB83" s="1"/>
      <c r="QPC83" s="1"/>
      <c r="QPD83" s="1"/>
      <c r="QPE83" s="1"/>
      <c r="QPF83" s="1"/>
      <c r="QPG83" s="1"/>
      <c r="QPH83" s="1"/>
      <c r="QPI83" s="1"/>
      <c r="QPJ83" s="1"/>
      <c r="QPK83" s="1"/>
      <c r="QPL83" s="1"/>
      <c r="QPM83" s="1"/>
      <c r="QPN83" s="1"/>
      <c r="QPO83" s="1"/>
      <c r="QPP83" s="1"/>
      <c r="QPQ83" s="1"/>
      <c r="QPR83" s="1"/>
      <c r="QPS83" s="1"/>
      <c r="QPT83" s="1"/>
      <c r="QPU83" s="1"/>
      <c r="QPV83" s="1"/>
      <c r="QPW83" s="1"/>
      <c r="QPX83" s="1"/>
      <c r="QPY83" s="1"/>
      <c r="QPZ83" s="1"/>
      <c r="QQA83" s="1"/>
      <c r="QQB83" s="1"/>
      <c r="QQC83" s="1"/>
      <c r="QQD83" s="1"/>
      <c r="QQE83" s="1"/>
      <c r="QQF83" s="1"/>
      <c r="QQG83" s="1"/>
      <c r="QQH83" s="1"/>
      <c r="QQI83" s="1"/>
      <c r="QQJ83" s="1"/>
      <c r="QQK83" s="1"/>
      <c r="QQL83" s="1"/>
      <c r="QQM83" s="1"/>
      <c r="QQN83" s="1"/>
      <c r="QQO83" s="1"/>
      <c r="QQP83" s="1"/>
      <c r="QQQ83" s="1"/>
      <c r="QQR83" s="1"/>
      <c r="QQS83" s="1"/>
      <c r="QQT83" s="1"/>
      <c r="QQU83" s="1"/>
      <c r="QQV83" s="1"/>
      <c r="QQW83" s="1"/>
      <c r="QQX83" s="1"/>
      <c r="QQY83" s="1"/>
      <c r="QQZ83" s="1"/>
      <c r="QRA83" s="1"/>
      <c r="QRB83" s="1"/>
      <c r="QRC83" s="1"/>
      <c r="QRD83" s="1"/>
      <c r="QRE83" s="1"/>
      <c r="QRF83" s="1"/>
      <c r="QRG83" s="1"/>
      <c r="QRH83" s="1"/>
      <c r="QRI83" s="1"/>
      <c r="QRJ83" s="1"/>
      <c r="QRK83" s="1"/>
      <c r="QRL83" s="1"/>
      <c r="QRM83" s="1"/>
      <c r="QRN83" s="1"/>
      <c r="QRO83" s="1"/>
      <c r="QRP83" s="1"/>
      <c r="QRQ83" s="1"/>
      <c r="QRR83" s="1"/>
      <c r="QRS83" s="1"/>
      <c r="QRT83" s="1"/>
      <c r="QRU83" s="1"/>
      <c r="QRV83" s="1"/>
      <c r="QRW83" s="1"/>
      <c r="QRX83" s="1"/>
      <c r="QRY83" s="1"/>
      <c r="QRZ83" s="1"/>
      <c r="QSA83" s="1"/>
      <c r="QSB83" s="1"/>
      <c r="QSC83" s="1"/>
      <c r="QSD83" s="1"/>
      <c r="QSE83" s="1"/>
      <c r="QSF83" s="1"/>
      <c r="QSG83" s="1"/>
      <c r="QSH83" s="1"/>
      <c r="QSI83" s="1"/>
      <c r="QSJ83" s="1"/>
      <c r="QSK83" s="1"/>
      <c r="QSL83" s="1"/>
      <c r="QSM83" s="1"/>
      <c r="QSN83" s="1"/>
      <c r="QSO83" s="1"/>
      <c r="QSP83" s="1"/>
      <c r="QSQ83" s="1"/>
      <c r="QSR83" s="1"/>
      <c r="QSS83" s="1"/>
      <c r="QST83" s="1"/>
      <c r="QSU83" s="1"/>
      <c r="QSV83" s="1"/>
      <c r="QSW83" s="1"/>
      <c r="QSX83" s="1"/>
      <c r="QSY83" s="1"/>
      <c r="QSZ83" s="1"/>
      <c r="QTA83" s="1"/>
      <c r="QTB83" s="1"/>
      <c r="QTC83" s="1"/>
      <c r="QTD83" s="1"/>
      <c r="QTE83" s="1"/>
      <c r="QTF83" s="1"/>
      <c r="QTG83" s="1"/>
      <c r="QTH83" s="1"/>
      <c r="QTI83" s="1"/>
      <c r="QTJ83" s="1"/>
      <c r="QTK83" s="1"/>
      <c r="QTL83" s="1"/>
      <c r="QTM83" s="1"/>
      <c r="QTN83" s="1"/>
      <c r="QTO83" s="1"/>
      <c r="QTP83" s="1"/>
      <c r="QTQ83" s="1"/>
      <c r="QTR83" s="1"/>
      <c r="QTS83" s="1"/>
      <c r="QTT83" s="1"/>
      <c r="QTU83" s="1"/>
      <c r="QTV83" s="1"/>
      <c r="QTW83" s="1"/>
      <c r="QTX83" s="1"/>
      <c r="QTY83" s="1"/>
      <c r="QTZ83" s="1"/>
      <c r="QUA83" s="1"/>
      <c r="QUB83" s="1"/>
      <c r="QUC83" s="1"/>
      <c r="QUD83" s="1"/>
      <c r="QUE83" s="1"/>
      <c r="QUF83" s="1"/>
      <c r="QUG83" s="1"/>
      <c r="QUH83" s="1"/>
      <c r="QUI83" s="1"/>
      <c r="QUJ83" s="1"/>
      <c r="QUK83" s="1"/>
      <c r="QUL83" s="1"/>
      <c r="QUM83" s="1"/>
      <c r="QUN83" s="1"/>
      <c r="QUO83" s="1"/>
      <c r="QUP83" s="1"/>
      <c r="QUQ83" s="1"/>
      <c r="QUR83" s="1"/>
      <c r="QUS83" s="1"/>
      <c r="QUT83" s="1"/>
      <c r="QUU83" s="1"/>
      <c r="QUV83" s="1"/>
      <c r="QUW83" s="1"/>
      <c r="QUX83" s="1"/>
      <c r="QUY83" s="1"/>
      <c r="QUZ83" s="1"/>
      <c r="QVA83" s="1"/>
      <c r="QVB83" s="1"/>
      <c r="QVC83" s="1"/>
      <c r="QVD83" s="1"/>
      <c r="QVE83" s="1"/>
      <c r="QVF83" s="1"/>
      <c r="QVG83" s="1"/>
      <c r="QVH83" s="1"/>
      <c r="QVI83" s="1"/>
      <c r="QVJ83" s="1"/>
      <c r="QVK83" s="1"/>
      <c r="QVL83" s="1"/>
      <c r="QVM83" s="1"/>
      <c r="QVN83" s="1"/>
      <c r="QVO83" s="1"/>
      <c r="QVP83" s="1"/>
      <c r="QVQ83" s="1"/>
      <c r="QVR83" s="1"/>
      <c r="QVS83" s="1"/>
      <c r="QVT83" s="1"/>
      <c r="QVU83" s="1"/>
      <c r="QVV83" s="1"/>
      <c r="QVW83" s="1"/>
      <c r="QVX83" s="1"/>
      <c r="QVY83" s="1"/>
      <c r="QVZ83" s="1"/>
      <c r="QWA83" s="1"/>
      <c r="QWB83" s="1"/>
      <c r="QWC83" s="1"/>
      <c r="QWD83" s="1"/>
      <c r="QWE83" s="1"/>
      <c r="QWF83" s="1"/>
      <c r="QWG83" s="1"/>
      <c r="QWH83" s="1"/>
      <c r="QWI83" s="1"/>
      <c r="QWJ83" s="1"/>
      <c r="QWK83" s="1"/>
      <c r="QWL83" s="1"/>
      <c r="QWM83" s="1"/>
      <c r="QWN83" s="1"/>
      <c r="QWO83" s="1"/>
      <c r="QWP83" s="1"/>
      <c r="QWQ83" s="1"/>
      <c r="QWR83" s="1"/>
      <c r="QWS83" s="1"/>
      <c r="QWT83" s="1"/>
      <c r="QWU83" s="1"/>
      <c r="QWV83" s="1"/>
      <c r="QWW83" s="1"/>
      <c r="QWX83" s="1"/>
      <c r="QWY83" s="1"/>
      <c r="QWZ83" s="1"/>
      <c r="QXA83" s="1"/>
      <c r="QXB83" s="1"/>
      <c r="QXC83" s="1"/>
      <c r="QXD83" s="1"/>
      <c r="QXE83" s="1"/>
      <c r="QXF83" s="1"/>
      <c r="QXG83" s="1"/>
      <c r="QXH83" s="1"/>
      <c r="QXI83" s="1"/>
      <c r="QXJ83" s="1"/>
      <c r="QXK83" s="1"/>
      <c r="QXL83" s="1"/>
      <c r="QXM83" s="1"/>
      <c r="QXN83" s="1"/>
      <c r="QXO83" s="1"/>
      <c r="QXP83" s="1"/>
      <c r="QXQ83" s="1"/>
      <c r="QXR83" s="1"/>
      <c r="QXS83" s="1"/>
      <c r="QXT83" s="1"/>
      <c r="QXU83" s="1"/>
      <c r="QXV83" s="1"/>
      <c r="QXW83" s="1"/>
      <c r="QXX83" s="1"/>
      <c r="QXY83" s="1"/>
      <c r="QXZ83" s="1"/>
      <c r="QYA83" s="1"/>
      <c r="QYB83" s="1"/>
      <c r="QYC83" s="1"/>
      <c r="QYD83" s="1"/>
      <c r="QYE83" s="1"/>
      <c r="QYF83" s="1"/>
      <c r="QYG83" s="1"/>
      <c r="QYH83" s="1"/>
      <c r="QYI83" s="1"/>
      <c r="QYJ83" s="1"/>
      <c r="QYK83" s="1"/>
      <c r="QYL83" s="1"/>
      <c r="QYM83" s="1"/>
      <c r="QYN83" s="1"/>
      <c r="QYO83" s="1"/>
      <c r="QYP83" s="1"/>
      <c r="QYQ83" s="1"/>
      <c r="QYR83" s="1"/>
      <c r="QYS83" s="1"/>
      <c r="QYT83" s="1"/>
      <c r="QYU83" s="1"/>
      <c r="QYV83" s="1"/>
      <c r="QYW83" s="1"/>
      <c r="QYX83" s="1"/>
      <c r="QYY83" s="1"/>
      <c r="QYZ83" s="1"/>
      <c r="QZA83" s="1"/>
      <c r="QZB83" s="1"/>
      <c r="QZC83" s="1"/>
      <c r="QZD83" s="1"/>
      <c r="QZE83" s="1"/>
      <c r="QZF83" s="1"/>
      <c r="QZG83" s="1"/>
      <c r="QZH83" s="1"/>
      <c r="QZI83" s="1"/>
      <c r="QZJ83" s="1"/>
      <c r="QZK83" s="1"/>
      <c r="QZL83" s="1"/>
      <c r="QZM83" s="1"/>
      <c r="QZN83" s="1"/>
      <c r="QZO83" s="1"/>
      <c r="QZP83" s="1"/>
      <c r="QZQ83" s="1"/>
      <c r="QZR83" s="1"/>
      <c r="QZS83" s="1"/>
      <c r="QZT83" s="1"/>
      <c r="QZU83" s="1"/>
      <c r="QZV83" s="1"/>
      <c r="QZW83" s="1"/>
      <c r="QZX83" s="1"/>
      <c r="QZY83" s="1"/>
      <c r="QZZ83" s="1"/>
      <c r="RAA83" s="1"/>
      <c r="RAB83" s="1"/>
      <c r="RAC83" s="1"/>
      <c r="RAD83" s="1"/>
      <c r="RAE83" s="1"/>
      <c r="RAF83" s="1"/>
      <c r="RAG83" s="1"/>
      <c r="RAH83" s="1"/>
      <c r="RAI83" s="1"/>
      <c r="RAJ83" s="1"/>
      <c r="RAK83" s="1"/>
      <c r="RAL83" s="1"/>
      <c r="RAM83" s="1"/>
      <c r="RAN83" s="1"/>
      <c r="RAO83" s="1"/>
      <c r="RAP83" s="1"/>
      <c r="RAQ83" s="1"/>
      <c r="RAR83" s="1"/>
      <c r="RAS83" s="1"/>
      <c r="RAT83" s="1"/>
      <c r="RAU83" s="1"/>
      <c r="RAV83" s="1"/>
      <c r="RAW83" s="1"/>
      <c r="RAX83" s="1"/>
      <c r="RAY83" s="1"/>
      <c r="RAZ83" s="1"/>
      <c r="RBA83" s="1"/>
      <c r="RBB83" s="1"/>
      <c r="RBC83" s="1"/>
      <c r="RBD83" s="1"/>
      <c r="RBE83" s="1"/>
      <c r="RBF83" s="1"/>
      <c r="RBG83" s="1"/>
      <c r="RBH83" s="1"/>
      <c r="RBI83" s="1"/>
      <c r="RBJ83" s="1"/>
      <c r="RBK83" s="1"/>
      <c r="RBL83" s="1"/>
      <c r="RBM83" s="1"/>
      <c r="RBN83" s="1"/>
      <c r="RBO83" s="1"/>
      <c r="RBP83" s="1"/>
      <c r="RBQ83" s="1"/>
      <c r="RBR83" s="1"/>
      <c r="RBS83" s="1"/>
      <c r="RBT83" s="1"/>
      <c r="RBU83" s="1"/>
      <c r="RBV83" s="1"/>
      <c r="RBW83" s="1"/>
      <c r="RBX83" s="1"/>
      <c r="RBY83" s="1"/>
      <c r="RBZ83" s="1"/>
      <c r="RCA83" s="1"/>
      <c r="RCB83" s="1"/>
      <c r="RCC83" s="1"/>
      <c r="RCD83" s="1"/>
      <c r="RCE83" s="1"/>
      <c r="RCF83" s="1"/>
      <c r="RCG83" s="1"/>
      <c r="RCH83" s="1"/>
      <c r="RCI83" s="1"/>
      <c r="RCJ83" s="1"/>
      <c r="RCK83" s="1"/>
      <c r="RCL83" s="1"/>
      <c r="RCM83" s="1"/>
      <c r="RCN83" s="1"/>
      <c r="RCO83" s="1"/>
      <c r="RCP83" s="1"/>
      <c r="RCQ83" s="1"/>
      <c r="RCR83" s="1"/>
      <c r="RCS83" s="1"/>
      <c r="RCT83" s="1"/>
      <c r="RCU83" s="1"/>
      <c r="RCV83" s="1"/>
      <c r="RCW83" s="1"/>
      <c r="RCX83" s="1"/>
      <c r="RCY83" s="1"/>
      <c r="RCZ83" s="1"/>
      <c r="RDA83" s="1"/>
      <c r="RDB83" s="1"/>
      <c r="RDC83" s="1"/>
      <c r="RDD83" s="1"/>
      <c r="RDE83" s="1"/>
      <c r="RDF83" s="1"/>
      <c r="RDG83" s="1"/>
      <c r="RDH83" s="1"/>
      <c r="RDI83" s="1"/>
      <c r="RDJ83" s="1"/>
      <c r="RDK83" s="1"/>
      <c r="RDL83" s="1"/>
      <c r="RDM83" s="1"/>
      <c r="RDN83" s="1"/>
      <c r="RDO83" s="1"/>
      <c r="RDP83" s="1"/>
      <c r="RDQ83" s="1"/>
      <c r="RDR83" s="1"/>
      <c r="RDS83" s="1"/>
      <c r="RDT83" s="1"/>
      <c r="RDU83" s="1"/>
      <c r="RDV83" s="1"/>
      <c r="RDW83" s="1"/>
      <c r="RDX83" s="1"/>
      <c r="RDY83" s="1"/>
      <c r="RDZ83" s="1"/>
      <c r="REA83" s="1"/>
      <c r="REB83" s="1"/>
      <c r="REC83" s="1"/>
      <c r="RED83" s="1"/>
      <c r="REE83" s="1"/>
      <c r="REF83" s="1"/>
      <c r="REG83" s="1"/>
      <c r="REH83" s="1"/>
      <c r="REI83" s="1"/>
      <c r="REJ83" s="1"/>
      <c r="REK83" s="1"/>
      <c r="REL83" s="1"/>
      <c r="REM83" s="1"/>
      <c r="REN83" s="1"/>
      <c r="REO83" s="1"/>
      <c r="REP83" s="1"/>
      <c r="REQ83" s="1"/>
      <c r="RER83" s="1"/>
      <c r="RES83" s="1"/>
      <c r="RET83" s="1"/>
      <c r="REU83" s="1"/>
      <c r="REV83" s="1"/>
      <c r="REW83" s="1"/>
      <c r="REX83" s="1"/>
      <c r="REY83" s="1"/>
      <c r="REZ83" s="1"/>
      <c r="RFA83" s="1"/>
      <c r="RFB83" s="1"/>
      <c r="RFC83" s="1"/>
      <c r="RFD83" s="1"/>
      <c r="RFE83" s="1"/>
      <c r="RFF83" s="1"/>
      <c r="RFG83" s="1"/>
      <c r="RFH83" s="1"/>
      <c r="RFI83" s="1"/>
      <c r="RFJ83" s="1"/>
      <c r="RFK83" s="1"/>
      <c r="RFL83" s="1"/>
      <c r="RFM83" s="1"/>
      <c r="RFN83" s="1"/>
      <c r="RFO83" s="1"/>
      <c r="RFP83" s="1"/>
      <c r="RFQ83" s="1"/>
      <c r="RFR83" s="1"/>
      <c r="RFS83" s="1"/>
      <c r="RFT83" s="1"/>
      <c r="RFU83" s="1"/>
      <c r="RFV83" s="1"/>
      <c r="RFW83" s="1"/>
      <c r="RFX83" s="1"/>
      <c r="RFY83" s="1"/>
      <c r="RFZ83" s="1"/>
      <c r="RGA83" s="1"/>
      <c r="RGB83" s="1"/>
      <c r="RGC83" s="1"/>
      <c r="RGD83" s="1"/>
      <c r="RGE83" s="1"/>
      <c r="RGF83" s="1"/>
      <c r="RGG83" s="1"/>
      <c r="RGH83" s="1"/>
      <c r="RGI83" s="1"/>
      <c r="RGJ83" s="1"/>
      <c r="RGK83" s="1"/>
      <c r="RGL83" s="1"/>
      <c r="RGM83" s="1"/>
      <c r="RGN83" s="1"/>
      <c r="RGO83" s="1"/>
      <c r="RGP83" s="1"/>
      <c r="RGQ83" s="1"/>
      <c r="RGR83" s="1"/>
      <c r="RGS83" s="1"/>
      <c r="RGT83" s="1"/>
      <c r="RGU83" s="1"/>
      <c r="RGV83" s="1"/>
      <c r="RGW83" s="1"/>
      <c r="RGX83" s="1"/>
      <c r="RGY83" s="1"/>
      <c r="RGZ83" s="1"/>
      <c r="RHA83" s="1"/>
      <c r="RHB83" s="1"/>
      <c r="RHC83" s="1"/>
      <c r="RHD83" s="1"/>
      <c r="RHE83" s="1"/>
      <c r="RHF83" s="1"/>
      <c r="RHG83" s="1"/>
      <c r="RHH83" s="1"/>
      <c r="RHI83" s="1"/>
      <c r="RHJ83" s="1"/>
      <c r="RHK83" s="1"/>
      <c r="RHL83" s="1"/>
      <c r="RHM83" s="1"/>
      <c r="RHN83" s="1"/>
      <c r="RHO83" s="1"/>
      <c r="RHP83" s="1"/>
      <c r="RHQ83" s="1"/>
      <c r="RHR83" s="1"/>
      <c r="RHS83" s="1"/>
      <c r="RHT83" s="1"/>
      <c r="RHU83" s="1"/>
      <c r="RHV83" s="1"/>
      <c r="RHW83" s="1"/>
      <c r="RHX83" s="1"/>
      <c r="RHY83" s="1"/>
      <c r="RHZ83" s="1"/>
      <c r="RIA83" s="1"/>
      <c r="RIB83" s="1"/>
      <c r="RIC83" s="1"/>
      <c r="RID83" s="1"/>
      <c r="RIE83" s="1"/>
      <c r="RIF83" s="1"/>
      <c r="RIG83" s="1"/>
      <c r="RIH83" s="1"/>
      <c r="RII83" s="1"/>
      <c r="RIJ83" s="1"/>
      <c r="RIK83" s="1"/>
      <c r="RIL83" s="1"/>
      <c r="RIM83" s="1"/>
      <c r="RIN83" s="1"/>
      <c r="RIO83" s="1"/>
      <c r="RIP83" s="1"/>
      <c r="RIQ83" s="1"/>
      <c r="RIR83" s="1"/>
      <c r="RIS83" s="1"/>
      <c r="RIT83" s="1"/>
      <c r="RIU83" s="1"/>
      <c r="RIV83" s="1"/>
      <c r="RIW83" s="1"/>
      <c r="RIX83" s="1"/>
      <c r="RIY83" s="1"/>
      <c r="RIZ83" s="1"/>
      <c r="RJA83" s="1"/>
      <c r="RJB83" s="1"/>
      <c r="RJC83" s="1"/>
      <c r="RJD83" s="1"/>
      <c r="RJE83" s="1"/>
      <c r="RJF83" s="1"/>
      <c r="RJG83" s="1"/>
      <c r="RJH83" s="1"/>
      <c r="RJI83" s="1"/>
      <c r="RJJ83" s="1"/>
      <c r="RJK83" s="1"/>
      <c r="RJL83" s="1"/>
      <c r="RJM83" s="1"/>
      <c r="RJN83" s="1"/>
      <c r="RJO83" s="1"/>
      <c r="RJP83" s="1"/>
      <c r="RJQ83" s="1"/>
      <c r="RJR83" s="1"/>
      <c r="RJS83" s="1"/>
      <c r="RJT83" s="1"/>
      <c r="RJU83" s="1"/>
      <c r="RJV83" s="1"/>
      <c r="RJW83" s="1"/>
      <c r="RJX83" s="1"/>
      <c r="RJY83" s="1"/>
      <c r="RJZ83" s="1"/>
      <c r="RKA83" s="1"/>
      <c r="RKB83" s="1"/>
      <c r="RKC83" s="1"/>
      <c r="RKD83" s="1"/>
      <c r="RKE83" s="1"/>
      <c r="RKF83" s="1"/>
      <c r="RKG83" s="1"/>
      <c r="RKH83" s="1"/>
      <c r="RKI83" s="1"/>
      <c r="RKJ83" s="1"/>
      <c r="RKK83" s="1"/>
      <c r="RKL83" s="1"/>
      <c r="RKM83" s="1"/>
      <c r="RKN83" s="1"/>
      <c r="RKO83" s="1"/>
      <c r="RKP83" s="1"/>
      <c r="RKQ83" s="1"/>
      <c r="RKR83" s="1"/>
      <c r="RKS83" s="1"/>
      <c r="RKT83" s="1"/>
      <c r="RKU83" s="1"/>
      <c r="RKV83" s="1"/>
      <c r="RKW83" s="1"/>
      <c r="RKX83" s="1"/>
      <c r="RKY83" s="1"/>
      <c r="RKZ83" s="1"/>
      <c r="RLA83" s="1"/>
      <c r="RLB83" s="1"/>
      <c r="RLC83" s="1"/>
      <c r="RLD83" s="1"/>
      <c r="RLE83" s="1"/>
      <c r="RLF83" s="1"/>
      <c r="RLG83" s="1"/>
      <c r="RLH83" s="1"/>
      <c r="RLI83" s="1"/>
      <c r="RLJ83" s="1"/>
      <c r="RLK83" s="1"/>
      <c r="RLL83" s="1"/>
      <c r="RLM83" s="1"/>
      <c r="RLN83" s="1"/>
      <c r="RLO83" s="1"/>
      <c r="RLP83" s="1"/>
      <c r="RLQ83" s="1"/>
      <c r="RLR83" s="1"/>
      <c r="RLS83" s="1"/>
      <c r="RLT83" s="1"/>
      <c r="RLU83" s="1"/>
      <c r="RLV83" s="1"/>
      <c r="RLW83" s="1"/>
      <c r="RLX83" s="1"/>
      <c r="RLY83" s="1"/>
      <c r="RLZ83" s="1"/>
      <c r="RMA83" s="1"/>
      <c r="RMB83" s="1"/>
      <c r="RMC83" s="1"/>
      <c r="RMD83" s="1"/>
      <c r="RME83" s="1"/>
      <c r="RMF83" s="1"/>
      <c r="RMG83" s="1"/>
      <c r="RMH83" s="1"/>
      <c r="RMI83" s="1"/>
      <c r="RMJ83" s="1"/>
      <c r="RMK83" s="1"/>
      <c r="RML83" s="1"/>
      <c r="RMM83" s="1"/>
      <c r="RMN83" s="1"/>
      <c r="RMO83" s="1"/>
      <c r="RMP83" s="1"/>
      <c r="RMQ83" s="1"/>
      <c r="RMR83" s="1"/>
      <c r="RMS83" s="1"/>
      <c r="RMT83" s="1"/>
      <c r="RMU83" s="1"/>
      <c r="RMV83" s="1"/>
      <c r="RMW83" s="1"/>
      <c r="RMX83" s="1"/>
      <c r="RMY83" s="1"/>
      <c r="RMZ83" s="1"/>
      <c r="RNA83" s="1"/>
      <c r="RNB83" s="1"/>
      <c r="RNC83" s="1"/>
      <c r="RND83" s="1"/>
      <c r="RNE83" s="1"/>
      <c r="RNF83" s="1"/>
      <c r="RNG83" s="1"/>
      <c r="RNH83" s="1"/>
      <c r="RNI83" s="1"/>
      <c r="RNJ83" s="1"/>
      <c r="RNK83" s="1"/>
      <c r="RNL83" s="1"/>
      <c r="RNM83" s="1"/>
      <c r="RNN83" s="1"/>
      <c r="RNO83" s="1"/>
      <c r="RNP83" s="1"/>
      <c r="RNQ83" s="1"/>
      <c r="RNR83" s="1"/>
      <c r="RNS83" s="1"/>
      <c r="RNT83" s="1"/>
      <c r="RNU83" s="1"/>
      <c r="RNV83" s="1"/>
      <c r="RNW83" s="1"/>
      <c r="RNX83" s="1"/>
      <c r="RNY83" s="1"/>
      <c r="RNZ83" s="1"/>
      <c r="ROA83" s="1"/>
      <c r="ROB83" s="1"/>
      <c r="ROC83" s="1"/>
      <c r="ROD83" s="1"/>
      <c r="ROE83" s="1"/>
      <c r="ROF83" s="1"/>
      <c r="ROG83" s="1"/>
      <c r="ROH83" s="1"/>
      <c r="ROI83" s="1"/>
      <c r="ROJ83" s="1"/>
      <c r="ROK83" s="1"/>
      <c r="ROL83" s="1"/>
      <c r="ROM83" s="1"/>
      <c r="RON83" s="1"/>
      <c r="ROO83" s="1"/>
      <c r="ROP83" s="1"/>
      <c r="ROQ83" s="1"/>
      <c r="ROR83" s="1"/>
      <c r="ROS83" s="1"/>
      <c r="ROT83" s="1"/>
      <c r="ROU83" s="1"/>
      <c r="ROV83" s="1"/>
      <c r="ROW83" s="1"/>
      <c r="ROX83" s="1"/>
      <c r="ROY83" s="1"/>
      <c r="ROZ83" s="1"/>
      <c r="RPA83" s="1"/>
      <c r="RPB83" s="1"/>
      <c r="RPC83" s="1"/>
      <c r="RPD83" s="1"/>
      <c r="RPE83" s="1"/>
      <c r="RPF83" s="1"/>
      <c r="RPG83" s="1"/>
      <c r="RPH83" s="1"/>
      <c r="RPI83" s="1"/>
      <c r="RPJ83" s="1"/>
      <c r="RPK83" s="1"/>
      <c r="RPL83" s="1"/>
      <c r="RPM83" s="1"/>
      <c r="RPN83" s="1"/>
      <c r="RPO83" s="1"/>
      <c r="RPP83" s="1"/>
      <c r="RPQ83" s="1"/>
      <c r="RPR83" s="1"/>
      <c r="RPS83" s="1"/>
      <c r="RPT83" s="1"/>
      <c r="RPU83" s="1"/>
      <c r="RPV83" s="1"/>
      <c r="RPW83" s="1"/>
      <c r="RPX83" s="1"/>
      <c r="RPY83" s="1"/>
      <c r="RPZ83" s="1"/>
      <c r="RQA83" s="1"/>
      <c r="RQB83" s="1"/>
      <c r="RQC83" s="1"/>
      <c r="RQD83" s="1"/>
      <c r="RQE83" s="1"/>
      <c r="RQF83" s="1"/>
      <c r="RQG83" s="1"/>
      <c r="RQH83" s="1"/>
      <c r="RQI83" s="1"/>
      <c r="RQJ83" s="1"/>
      <c r="RQK83" s="1"/>
      <c r="RQL83" s="1"/>
      <c r="RQM83" s="1"/>
      <c r="RQN83" s="1"/>
      <c r="RQO83" s="1"/>
      <c r="RQP83" s="1"/>
      <c r="RQQ83" s="1"/>
      <c r="RQR83" s="1"/>
      <c r="RQS83" s="1"/>
      <c r="RQT83" s="1"/>
      <c r="RQU83" s="1"/>
      <c r="RQV83" s="1"/>
      <c r="RQW83" s="1"/>
      <c r="RQX83" s="1"/>
      <c r="RQY83" s="1"/>
      <c r="RQZ83" s="1"/>
      <c r="RRA83" s="1"/>
      <c r="RRB83" s="1"/>
      <c r="RRC83" s="1"/>
      <c r="RRD83" s="1"/>
      <c r="RRE83" s="1"/>
      <c r="RRF83" s="1"/>
      <c r="RRG83" s="1"/>
      <c r="RRH83" s="1"/>
      <c r="RRI83" s="1"/>
      <c r="RRJ83" s="1"/>
      <c r="RRK83" s="1"/>
      <c r="RRL83" s="1"/>
      <c r="RRM83" s="1"/>
      <c r="RRN83" s="1"/>
      <c r="RRO83" s="1"/>
      <c r="RRP83" s="1"/>
      <c r="RRQ83" s="1"/>
      <c r="RRR83" s="1"/>
      <c r="RRS83" s="1"/>
      <c r="RRT83" s="1"/>
      <c r="RRU83" s="1"/>
      <c r="RRV83" s="1"/>
      <c r="RRW83" s="1"/>
      <c r="RRX83" s="1"/>
      <c r="RRY83" s="1"/>
      <c r="RRZ83" s="1"/>
      <c r="RSA83" s="1"/>
      <c r="RSB83" s="1"/>
      <c r="RSC83" s="1"/>
      <c r="RSD83" s="1"/>
      <c r="RSE83" s="1"/>
      <c r="RSF83" s="1"/>
      <c r="RSG83" s="1"/>
      <c r="RSH83" s="1"/>
      <c r="RSI83" s="1"/>
      <c r="RSJ83" s="1"/>
      <c r="RSK83" s="1"/>
      <c r="RSL83" s="1"/>
      <c r="RSM83" s="1"/>
      <c r="RSN83" s="1"/>
      <c r="RSO83" s="1"/>
      <c r="RSP83" s="1"/>
      <c r="RSQ83" s="1"/>
      <c r="RSR83" s="1"/>
      <c r="RSS83" s="1"/>
      <c r="RST83" s="1"/>
      <c r="RSU83" s="1"/>
      <c r="RSV83" s="1"/>
      <c r="RSW83" s="1"/>
      <c r="RSX83" s="1"/>
      <c r="RSY83" s="1"/>
      <c r="RSZ83" s="1"/>
      <c r="RTA83" s="1"/>
      <c r="RTB83" s="1"/>
      <c r="RTC83" s="1"/>
      <c r="RTD83" s="1"/>
      <c r="RTE83" s="1"/>
      <c r="RTF83" s="1"/>
      <c r="RTG83" s="1"/>
      <c r="RTH83" s="1"/>
      <c r="RTI83" s="1"/>
      <c r="RTJ83" s="1"/>
      <c r="RTK83" s="1"/>
      <c r="RTL83" s="1"/>
      <c r="RTM83" s="1"/>
      <c r="RTN83" s="1"/>
      <c r="RTO83" s="1"/>
      <c r="RTP83" s="1"/>
      <c r="RTQ83" s="1"/>
      <c r="RTR83" s="1"/>
      <c r="RTS83" s="1"/>
      <c r="RTT83" s="1"/>
      <c r="RTU83" s="1"/>
      <c r="RTV83" s="1"/>
      <c r="RTW83" s="1"/>
      <c r="RTX83" s="1"/>
      <c r="RTY83" s="1"/>
      <c r="RTZ83" s="1"/>
      <c r="RUA83" s="1"/>
      <c r="RUB83" s="1"/>
      <c r="RUC83" s="1"/>
      <c r="RUD83" s="1"/>
      <c r="RUE83" s="1"/>
      <c r="RUF83" s="1"/>
      <c r="RUG83" s="1"/>
      <c r="RUH83" s="1"/>
      <c r="RUI83" s="1"/>
      <c r="RUJ83" s="1"/>
      <c r="RUK83" s="1"/>
      <c r="RUL83" s="1"/>
      <c r="RUM83" s="1"/>
      <c r="RUN83" s="1"/>
      <c r="RUO83" s="1"/>
      <c r="RUP83" s="1"/>
      <c r="RUQ83" s="1"/>
      <c r="RUR83" s="1"/>
      <c r="RUS83" s="1"/>
      <c r="RUT83" s="1"/>
      <c r="RUU83" s="1"/>
      <c r="RUV83" s="1"/>
      <c r="RUW83" s="1"/>
      <c r="RUX83" s="1"/>
      <c r="RUY83" s="1"/>
      <c r="RUZ83" s="1"/>
      <c r="RVA83" s="1"/>
      <c r="RVB83" s="1"/>
      <c r="RVC83" s="1"/>
      <c r="RVD83" s="1"/>
      <c r="RVE83" s="1"/>
      <c r="RVF83" s="1"/>
      <c r="RVG83" s="1"/>
      <c r="RVH83" s="1"/>
      <c r="RVI83" s="1"/>
      <c r="RVJ83" s="1"/>
      <c r="RVK83" s="1"/>
      <c r="RVL83" s="1"/>
      <c r="RVM83" s="1"/>
      <c r="RVN83" s="1"/>
      <c r="RVO83" s="1"/>
      <c r="RVP83" s="1"/>
      <c r="RVQ83" s="1"/>
      <c r="RVR83" s="1"/>
      <c r="RVS83" s="1"/>
      <c r="RVT83" s="1"/>
      <c r="RVU83" s="1"/>
      <c r="RVV83" s="1"/>
      <c r="RVW83" s="1"/>
      <c r="RVX83" s="1"/>
      <c r="RVY83" s="1"/>
      <c r="RVZ83" s="1"/>
      <c r="RWA83" s="1"/>
      <c r="RWB83" s="1"/>
      <c r="RWC83" s="1"/>
      <c r="RWD83" s="1"/>
      <c r="RWE83" s="1"/>
      <c r="RWF83" s="1"/>
      <c r="RWG83" s="1"/>
      <c r="RWH83" s="1"/>
      <c r="RWI83" s="1"/>
      <c r="RWJ83" s="1"/>
      <c r="RWK83" s="1"/>
      <c r="RWL83" s="1"/>
      <c r="RWM83" s="1"/>
      <c r="RWN83" s="1"/>
      <c r="RWO83" s="1"/>
      <c r="RWP83" s="1"/>
      <c r="RWQ83" s="1"/>
      <c r="RWR83" s="1"/>
      <c r="RWS83" s="1"/>
      <c r="RWT83" s="1"/>
      <c r="RWU83" s="1"/>
      <c r="RWV83" s="1"/>
      <c r="RWW83" s="1"/>
      <c r="RWX83" s="1"/>
      <c r="RWY83" s="1"/>
      <c r="RWZ83" s="1"/>
      <c r="RXA83" s="1"/>
      <c r="RXB83" s="1"/>
      <c r="RXC83" s="1"/>
      <c r="RXD83" s="1"/>
      <c r="RXE83" s="1"/>
      <c r="RXF83" s="1"/>
      <c r="RXG83" s="1"/>
      <c r="RXH83" s="1"/>
      <c r="RXI83" s="1"/>
      <c r="RXJ83" s="1"/>
      <c r="RXK83" s="1"/>
      <c r="RXL83" s="1"/>
      <c r="RXM83" s="1"/>
      <c r="RXN83" s="1"/>
      <c r="RXO83" s="1"/>
      <c r="RXP83" s="1"/>
      <c r="RXQ83" s="1"/>
      <c r="RXR83" s="1"/>
      <c r="RXS83" s="1"/>
      <c r="RXT83" s="1"/>
      <c r="RXU83" s="1"/>
      <c r="RXV83" s="1"/>
      <c r="RXW83" s="1"/>
      <c r="RXX83" s="1"/>
      <c r="RXY83" s="1"/>
      <c r="RXZ83" s="1"/>
      <c r="RYA83" s="1"/>
      <c r="RYB83" s="1"/>
      <c r="RYC83" s="1"/>
      <c r="RYD83" s="1"/>
      <c r="RYE83" s="1"/>
      <c r="RYF83" s="1"/>
      <c r="RYG83" s="1"/>
      <c r="RYH83" s="1"/>
      <c r="RYI83" s="1"/>
      <c r="RYJ83" s="1"/>
      <c r="RYK83" s="1"/>
      <c r="RYL83" s="1"/>
      <c r="RYM83" s="1"/>
      <c r="RYN83" s="1"/>
      <c r="RYO83" s="1"/>
      <c r="RYP83" s="1"/>
      <c r="RYQ83" s="1"/>
      <c r="RYR83" s="1"/>
      <c r="RYS83" s="1"/>
      <c r="RYT83" s="1"/>
      <c r="RYU83" s="1"/>
      <c r="RYV83" s="1"/>
      <c r="RYW83" s="1"/>
      <c r="RYX83" s="1"/>
      <c r="RYY83" s="1"/>
      <c r="RYZ83" s="1"/>
      <c r="RZA83" s="1"/>
      <c r="RZB83" s="1"/>
      <c r="RZC83" s="1"/>
      <c r="RZD83" s="1"/>
      <c r="RZE83" s="1"/>
      <c r="RZF83" s="1"/>
      <c r="RZG83" s="1"/>
      <c r="RZH83" s="1"/>
      <c r="RZI83" s="1"/>
      <c r="RZJ83" s="1"/>
      <c r="RZK83" s="1"/>
      <c r="RZL83" s="1"/>
      <c r="RZM83" s="1"/>
      <c r="RZN83" s="1"/>
      <c r="RZO83" s="1"/>
      <c r="RZP83" s="1"/>
      <c r="RZQ83" s="1"/>
      <c r="RZR83" s="1"/>
      <c r="RZS83" s="1"/>
      <c r="RZT83" s="1"/>
      <c r="RZU83" s="1"/>
      <c r="RZV83" s="1"/>
      <c r="RZW83" s="1"/>
      <c r="RZX83" s="1"/>
      <c r="RZY83" s="1"/>
      <c r="RZZ83" s="1"/>
      <c r="SAA83" s="1"/>
      <c r="SAB83" s="1"/>
      <c r="SAC83" s="1"/>
      <c r="SAD83" s="1"/>
      <c r="SAE83" s="1"/>
      <c r="SAF83" s="1"/>
      <c r="SAG83" s="1"/>
      <c r="SAH83" s="1"/>
      <c r="SAI83" s="1"/>
      <c r="SAJ83" s="1"/>
      <c r="SAK83" s="1"/>
      <c r="SAL83" s="1"/>
      <c r="SAM83" s="1"/>
      <c r="SAN83" s="1"/>
      <c r="SAO83" s="1"/>
      <c r="SAP83" s="1"/>
      <c r="SAQ83" s="1"/>
      <c r="SAR83" s="1"/>
      <c r="SAS83" s="1"/>
      <c r="SAT83" s="1"/>
      <c r="SAU83" s="1"/>
      <c r="SAV83" s="1"/>
      <c r="SAW83" s="1"/>
      <c r="SAX83" s="1"/>
      <c r="SAY83" s="1"/>
      <c r="SAZ83" s="1"/>
      <c r="SBA83" s="1"/>
      <c r="SBB83" s="1"/>
      <c r="SBC83" s="1"/>
      <c r="SBD83" s="1"/>
      <c r="SBE83" s="1"/>
      <c r="SBF83" s="1"/>
      <c r="SBG83" s="1"/>
      <c r="SBH83" s="1"/>
      <c r="SBI83" s="1"/>
      <c r="SBJ83" s="1"/>
      <c r="SBK83" s="1"/>
      <c r="SBL83" s="1"/>
      <c r="SBM83" s="1"/>
      <c r="SBN83" s="1"/>
      <c r="SBO83" s="1"/>
      <c r="SBP83" s="1"/>
      <c r="SBQ83" s="1"/>
      <c r="SBR83" s="1"/>
      <c r="SBS83" s="1"/>
      <c r="SBT83" s="1"/>
      <c r="SBU83" s="1"/>
      <c r="SBV83" s="1"/>
      <c r="SBW83" s="1"/>
      <c r="SBX83" s="1"/>
      <c r="SBY83" s="1"/>
      <c r="SBZ83" s="1"/>
      <c r="SCA83" s="1"/>
      <c r="SCB83" s="1"/>
      <c r="SCC83" s="1"/>
      <c r="SCD83" s="1"/>
      <c r="SCE83" s="1"/>
      <c r="SCF83" s="1"/>
      <c r="SCG83" s="1"/>
      <c r="SCH83" s="1"/>
      <c r="SCI83" s="1"/>
      <c r="SCJ83" s="1"/>
      <c r="SCK83" s="1"/>
      <c r="SCL83" s="1"/>
      <c r="SCM83" s="1"/>
      <c r="SCN83" s="1"/>
      <c r="SCO83" s="1"/>
      <c r="SCP83" s="1"/>
      <c r="SCQ83" s="1"/>
      <c r="SCR83" s="1"/>
      <c r="SCS83" s="1"/>
      <c r="SCT83" s="1"/>
      <c r="SCU83" s="1"/>
      <c r="SCV83" s="1"/>
      <c r="SCW83" s="1"/>
      <c r="SCX83" s="1"/>
      <c r="SCY83" s="1"/>
      <c r="SCZ83" s="1"/>
      <c r="SDA83" s="1"/>
      <c r="SDB83" s="1"/>
      <c r="SDC83" s="1"/>
      <c r="SDD83" s="1"/>
      <c r="SDE83" s="1"/>
      <c r="SDF83" s="1"/>
      <c r="SDG83" s="1"/>
      <c r="SDH83" s="1"/>
      <c r="SDI83" s="1"/>
      <c r="SDJ83" s="1"/>
      <c r="SDK83" s="1"/>
      <c r="SDL83" s="1"/>
      <c r="SDM83" s="1"/>
      <c r="SDN83" s="1"/>
      <c r="SDO83" s="1"/>
      <c r="SDP83" s="1"/>
      <c r="SDQ83" s="1"/>
      <c r="SDR83" s="1"/>
      <c r="SDS83" s="1"/>
      <c r="SDT83" s="1"/>
      <c r="SDU83" s="1"/>
      <c r="SDV83" s="1"/>
      <c r="SDW83" s="1"/>
      <c r="SDX83" s="1"/>
      <c r="SDY83" s="1"/>
      <c r="SDZ83" s="1"/>
      <c r="SEA83" s="1"/>
      <c r="SEB83" s="1"/>
      <c r="SEC83" s="1"/>
      <c r="SED83" s="1"/>
      <c r="SEE83" s="1"/>
      <c r="SEF83" s="1"/>
      <c r="SEG83" s="1"/>
      <c r="SEH83" s="1"/>
      <c r="SEI83" s="1"/>
      <c r="SEJ83" s="1"/>
      <c r="SEK83" s="1"/>
      <c r="SEL83" s="1"/>
      <c r="SEM83" s="1"/>
      <c r="SEN83" s="1"/>
      <c r="SEO83" s="1"/>
      <c r="SEP83" s="1"/>
      <c r="SEQ83" s="1"/>
      <c r="SER83" s="1"/>
      <c r="SES83" s="1"/>
      <c r="SET83" s="1"/>
      <c r="SEU83" s="1"/>
      <c r="SEV83" s="1"/>
      <c r="SEW83" s="1"/>
      <c r="SEX83" s="1"/>
      <c r="SEY83" s="1"/>
      <c r="SEZ83" s="1"/>
      <c r="SFA83" s="1"/>
      <c r="SFB83" s="1"/>
      <c r="SFC83" s="1"/>
      <c r="SFD83" s="1"/>
      <c r="SFE83" s="1"/>
      <c r="SFF83" s="1"/>
      <c r="SFG83" s="1"/>
      <c r="SFH83" s="1"/>
      <c r="SFI83" s="1"/>
      <c r="SFJ83" s="1"/>
      <c r="SFK83" s="1"/>
      <c r="SFL83" s="1"/>
      <c r="SFM83" s="1"/>
      <c r="SFN83" s="1"/>
      <c r="SFO83" s="1"/>
      <c r="SFP83" s="1"/>
      <c r="SFQ83" s="1"/>
      <c r="SFR83" s="1"/>
      <c r="SFS83" s="1"/>
      <c r="SFT83" s="1"/>
      <c r="SFU83" s="1"/>
      <c r="SFV83" s="1"/>
      <c r="SFW83" s="1"/>
      <c r="SFX83" s="1"/>
      <c r="SFY83" s="1"/>
      <c r="SFZ83" s="1"/>
      <c r="SGA83" s="1"/>
      <c r="SGB83" s="1"/>
      <c r="SGC83" s="1"/>
      <c r="SGD83" s="1"/>
      <c r="SGE83" s="1"/>
      <c r="SGF83" s="1"/>
      <c r="SGG83" s="1"/>
      <c r="SGH83" s="1"/>
      <c r="SGI83" s="1"/>
      <c r="SGJ83" s="1"/>
      <c r="SGK83" s="1"/>
      <c r="SGL83" s="1"/>
      <c r="SGM83" s="1"/>
      <c r="SGN83" s="1"/>
      <c r="SGO83" s="1"/>
      <c r="SGP83" s="1"/>
      <c r="SGQ83" s="1"/>
      <c r="SGR83" s="1"/>
      <c r="SGS83" s="1"/>
      <c r="SGT83" s="1"/>
      <c r="SGU83" s="1"/>
      <c r="SGV83" s="1"/>
      <c r="SGW83" s="1"/>
      <c r="SGX83" s="1"/>
      <c r="SGY83" s="1"/>
      <c r="SGZ83" s="1"/>
      <c r="SHA83" s="1"/>
      <c r="SHB83" s="1"/>
      <c r="SHC83" s="1"/>
      <c r="SHD83" s="1"/>
      <c r="SHE83" s="1"/>
      <c r="SHF83" s="1"/>
      <c r="SHG83" s="1"/>
      <c r="SHH83" s="1"/>
      <c r="SHI83" s="1"/>
      <c r="SHJ83" s="1"/>
      <c r="SHK83" s="1"/>
      <c r="SHL83" s="1"/>
      <c r="SHM83" s="1"/>
      <c r="SHN83" s="1"/>
      <c r="SHO83" s="1"/>
      <c r="SHP83" s="1"/>
      <c r="SHQ83" s="1"/>
      <c r="SHR83" s="1"/>
      <c r="SHS83" s="1"/>
      <c r="SHT83" s="1"/>
      <c r="SHU83" s="1"/>
      <c r="SHV83" s="1"/>
      <c r="SHW83" s="1"/>
      <c r="SHX83" s="1"/>
      <c r="SHY83" s="1"/>
      <c r="SHZ83" s="1"/>
      <c r="SIA83" s="1"/>
      <c r="SIB83" s="1"/>
      <c r="SIC83" s="1"/>
      <c r="SID83" s="1"/>
      <c r="SIE83" s="1"/>
      <c r="SIF83" s="1"/>
      <c r="SIG83" s="1"/>
      <c r="SIH83" s="1"/>
      <c r="SII83" s="1"/>
      <c r="SIJ83" s="1"/>
      <c r="SIK83" s="1"/>
      <c r="SIL83" s="1"/>
      <c r="SIM83" s="1"/>
      <c r="SIN83" s="1"/>
      <c r="SIO83" s="1"/>
      <c r="SIP83" s="1"/>
      <c r="SIQ83" s="1"/>
      <c r="SIR83" s="1"/>
      <c r="SIS83" s="1"/>
      <c r="SIT83" s="1"/>
      <c r="SIU83" s="1"/>
      <c r="SIV83" s="1"/>
      <c r="SIW83" s="1"/>
      <c r="SIX83" s="1"/>
      <c r="SIY83" s="1"/>
      <c r="SIZ83" s="1"/>
      <c r="SJA83" s="1"/>
      <c r="SJB83" s="1"/>
      <c r="SJC83" s="1"/>
      <c r="SJD83" s="1"/>
      <c r="SJE83" s="1"/>
      <c r="SJF83" s="1"/>
      <c r="SJG83" s="1"/>
      <c r="SJH83" s="1"/>
      <c r="SJI83" s="1"/>
      <c r="SJJ83" s="1"/>
      <c r="SJK83" s="1"/>
      <c r="SJL83" s="1"/>
      <c r="SJM83" s="1"/>
      <c r="SJN83" s="1"/>
      <c r="SJO83" s="1"/>
      <c r="SJP83" s="1"/>
      <c r="SJQ83" s="1"/>
      <c r="SJR83" s="1"/>
      <c r="SJS83" s="1"/>
      <c r="SJT83" s="1"/>
      <c r="SJU83" s="1"/>
      <c r="SJV83" s="1"/>
      <c r="SJW83" s="1"/>
      <c r="SJX83" s="1"/>
      <c r="SJY83" s="1"/>
      <c r="SJZ83" s="1"/>
      <c r="SKA83" s="1"/>
      <c r="SKB83" s="1"/>
      <c r="SKC83" s="1"/>
      <c r="SKD83" s="1"/>
      <c r="SKE83" s="1"/>
      <c r="SKF83" s="1"/>
      <c r="SKG83" s="1"/>
      <c r="SKH83" s="1"/>
      <c r="SKI83" s="1"/>
      <c r="SKJ83" s="1"/>
      <c r="SKK83" s="1"/>
      <c r="SKL83" s="1"/>
      <c r="SKM83" s="1"/>
      <c r="SKN83" s="1"/>
      <c r="SKO83" s="1"/>
      <c r="SKP83" s="1"/>
      <c r="SKQ83" s="1"/>
      <c r="SKR83" s="1"/>
      <c r="SKS83" s="1"/>
      <c r="SKT83" s="1"/>
      <c r="SKU83" s="1"/>
      <c r="SKV83" s="1"/>
      <c r="SKW83" s="1"/>
      <c r="SKX83" s="1"/>
      <c r="SKY83" s="1"/>
      <c r="SKZ83" s="1"/>
      <c r="SLA83" s="1"/>
      <c r="SLB83" s="1"/>
      <c r="SLC83" s="1"/>
      <c r="SLD83" s="1"/>
      <c r="SLE83" s="1"/>
      <c r="SLF83" s="1"/>
      <c r="SLG83" s="1"/>
      <c r="SLH83" s="1"/>
      <c r="SLI83" s="1"/>
      <c r="SLJ83" s="1"/>
      <c r="SLK83" s="1"/>
      <c r="SLL83" s="1"/>
      <c r="SLM83" s="1"/>
      <c r="SLN83" s="1"/>
      <c r="SLO83" s="1"/>
      <c r="SLP83" s="1"/>
      <c r="SLQ83" s="1"/>
      <c r="SLR83" s="1"/>
      <c r="SLS83" s="1"/>
      <c r="SLT83" s="1"/>
      <c r="SLU83" s="1"/>
      <c r="SLV83" s="1"/>
      <c r="SLW83" s="1"/>
      <c r="SLX83" s="1"/>
      <c r="SLY83" s="1"/>
      <c r="SLZ83" s="1"/>
      <c r="SMA83" s="1"/>
      <c r="SMB83" s="1"/>
      <c r="SMC83" s="1"/>
      <c r="SMD83" s="1"/>
      <c r="SME83" s="1"/>
      <c r="SMF83" s="1"/>
      <c r="SMG83" s="1"/>
      <c r="SMH83" s="1"/>
      <c r="SMI83" s="1"/>
      <c r="SMJ83" s="1"/>
      <c r="SMK83" s="1"/>
      <c r="SML83" s="1"/>
      <c r="SMM83" s="1"/>
      <c r="SMN83" s="1"/>
      <c r="SMO83" s="1"/>
      <c r="SMP83" s="1"/>
      <c r="SMQ83" s="1"/>
      <c r="SMR83" s="1"/>
      <c r="SMS83" s="1"/>
      <c r="SMT83" s="1"/>
      <c r="SMU83" s="1"/>
      <c r="SMV83" s="1"/>
      <c r="SMW83" s="1"/>
      <c r="SMX83" s="1"/>
      <c r="SMY83" s="1"/>
      <c r="SMZ83" s="1"/>
      <c r="SNA83" s="1"/>
      <c r="SNB83" s="1"/>
      <c r="SNC83" s="1"/>
      <c r="SND83" s="1"/>
      <c r="SNE83" s="1"/>
      <c r="SNF83" s="1"/>
      <c r="SNG83" s="1"/>
      <c r="SNH83" s="1"/>
      <c r="SNI83" s="1"/>
      <c r="SNJ83" s="1"/>
      <c r="SNK83" s="1"/>
      <c r="SNL83" s="1"/>
      <c r="SNM83" s="1"/>
      <c r="SNN83" s="1"/>
      <c r="SNO83" s="1"/>
      <c r="SNP83" s="1"/>
      <c r="SNQ83" s="1"/>
      <c r="SNR83" s="1"/>
      <c r="SNS83" s="1"/>
      <c r="SNT83" s="1"/>
      <c r="SNU83" s="1"/>
      <c r="SNV83" s="1"/>
      <c r="SNW83" s="1"/>
      <c r="SNX83" s="1"/>
      <c r="SNY83" s="1"/>
      <c r="SNZ83" s="1"/>
      <c r="SOA83" s="1"/>
      <c r="SOB83" s="1"/>
      <c r="SOC83" s="1"/>
      <c r="SOD83" s="1"/>
      <c r="SOE83" s="1"/>
      <c r="SOF83" s="1"/>
      <c r="SOG83" s="1"/>
      <c r="SOH83" s="1"/>
      <c r="SOI83" s="1"/>
      <c r="SOJ83" s="1"/>
      <c r="SOK83" s="1"/>
      <c r="SOL83" s="1"/>
      <c r="SOM83" s="1"/>
      <c r="SON83" s="1"/>
      <c r="SOO83" s="1"/>
      <c r="SOP83" s="1"/>
      <c r="SOQ83" s="1"/>
      <c r="SOR83" s="1"/>
      <c r="SOS83" s="1"/>
      <c r="SOT83" s="1"/>
      <c r="SOU83" s="1"/>
      <c r="SOV83" s="1"/>
      <c r="SOW83" s="1"/>
      <c r="SOX83" s="1"/>
      <c r="SOY83" s="1"/>
      <c r="SOZ83" s="1"/>
      <c r="SPA83" s="1"/>
      <c r="SPB83" s="1"/>
      <c r="SPC83" s="1"/>
      <c r="SPD83" s="1"/>
      <c r="SPE83" s="1"/>
      <c r="SPF83" s="1"/>
      <c r="SPG83" s="1"/>
      <c r="SPH83" s="1"/>
      <c r="SPI83" s="1"/>
      <c r="SPJ83" s="1"/>
      <c r="SPK83" s="1"/>
      <c r="SPL83" s="1"/>
      <c r="SPM83" s="1"/>
      <c r="SPN83" s="1"/>
      <c r="SPO83" s="1"/>
      <c r="SPP83" s="1"/>
      <c r="SPQ83" s="1"/>
      <c r="SPR83" s="1"/>
      <c r="SPS83" s="1"/>
      <c r="SPT83" s="1"/>
      <c r="SPU83" s="1"/>
      <c r="SPV83" s="1"/>
      <c r="SPW83" s="1"/>
      <c r="SPX83" s="1"/>
      <c r="SPY83" s="1"/>
      <c r="SPZ83" s="1"/>
      <c r="SQA83" s="1"/>
      <c r="SQB83" s="1"/>
      <c r="SQC83" s="1"/>
      <c r="SQD83" s="1"/>
      <c r="SQE83" s="1"/>
      <c r="SQF83" s="1"/>
      <c r="SQG83" s="1"/>
      <c r="SQH83" s="1"/>
      <c r="SQI83" s="1"/>
      <c r="SQJ83" s="1"/>
      <c r="SQK83" s="1"/>
      <c r="SQL83" s="1"/>
      <c r="SQM83" s="1"/>
      <c r="SQN83" s="1"/>
      <c r="SQO83" s="1"/>
      <c r="SQP83" s="1"/>
      <c r="SQQ83" s="1"/>
      <c r="SQR83" s="1"/>
      <c r="SQS83" s="1"/>
      <c r="SQT83" s="1"/>
      <c r="SQU83" s="1"/>
      <c r="SQV83" s="1"/>
      <c r="SQW83" s="1"/>
      <c r="SQX83" s="1"/>
      <c r="SQY83" s="1"/>
      <c r="SQZ83" s="1"/>
      <c r="SRA83" s="1"/>
      <c r="SRB83" s="1"/>
      <c r="SRC83" s="1"/>
      <c r="SRD83" s="1"/>
      <c r="SRE83" s="1"/>
      <c r="SRF83" s="1"/>
      <c r="SRG83" s="1"/>
      <c r="SRH83" s="1"/>
      <c r="SRI83" s="1"/>
      <c r="SRJ83" s="1"/>
      <c r="SRK83" s="1"/>
      <c r="SRL83" s="1"/>
      <c r="SRM83" s="1"/>
      <c r="SRN83" s="1"/>
      <c r="SRO83" s="1"/>
      <c r="SRP83" s="1"/>
      <c r="SRQ83" s="1"/>
      <c r="SRR83" s="1"/>
      <c r="SRS83" s="1"/>
      <c r="SRT83" s="1"/>
      <c r="SRU83" s="1"/>
      <c r="SRV83" s="1"/>
      <c r="SRW83" s="1"/>
      <c r="SRX83" s="1"/>
      <c r="SRY83" s="1"/>
      <c r="SRZ83" s="1"/>
      <c r="SSA83" s="1"/>
      <c r="SSB83" s="1"/>
      <c r="SSC83" s="1"/>
      <c r="SSD83" s="1"/>
      <c r="SSE83" s="1"/>
      <c r="SSF83" s="1"/>
      <c r="SSG83" s="1"/>
      <c r="SSH83" s="1"/>
      <c r="SSI83" s="1"/>
      <c r="SSJ83" s="1"/>
      <c r="SSK83" s="1"/>
      <c r="SSL83" s="1"/>
      <c r="SSM83" s="1"/>
      <c r="SSN83" s="1"/>
      <c r="SSO83" s="1"/>
      <c r="SSP83" s="1"/>
      <c r="SSQ83" s="1"/>
      <c r="SSR83" s="1"/>
      <c r="SSS83" s="1"/>
      <c r="SST83" s="1"/>
      <c r="SSU83" s="1"/>
      <c r="SSV83" s="1"/>
      <c r="SSW83" s="1"/>
      <c r="SSX83" s="1"/>
      <c r="SSY83" s="1"/>
      <c r="SSZ83" s="1"/>
      <c r="STA83" s="1"/>
      <c r="STB83" s="1"/>
      <c r="STC83" s="1"/>
      <c r="STD83" s="1"/>
      <c r="STE83" s="1"/>
      <c r="STF83" s="1"/>
      <c r="STG83" s="1"/>
      <c r="STH83" s="1"/>
      <c r="STI83" s="1"/>
      <c r="STJ83" s="1"/>
      <c r="STK83" s="1"/>
      <c r="STL83" s="1"/>
      <c r="STM83" s="1"/>
      <c r="STN83" s="1"/>
      <c r="STO83" s="1"/>
      <c r="STP83" s="1"/>
      <c r="STQ83" s="1"/>
      <c r="STR83" s="1"/>
      <c r="STS83" s="1"/>
      <c r="STT83" s="1"/>
      <c r="STU83" s="1"/>
      <c r="STV83" s="1"/>
      <c r="STW83" s="1"/>
      <c r="STX83" s="1"/>
      <c r="STY83" s="1"/>
      <c r="STZ83" s="1"/>
      <c r="SUA83" s="1"/>
      <c r="SUB83" s="1"/>
      <c r="SUC83" s="1"/>
      <c r="SUD83" s="1"/>
      <c r="SUE83" s="1"/>
      <c r="SUF83" s="1"/>
      <c r="SUG83" s="1"/>
      <c r="SUH83" s="1"/>
      <c r="SUI83" s="1"/>
      <c r="SUJ83" s="1"/>
      <c r="SUK83" s="1"/>
      <c r="SUL83" s="1"/>
      <c r="SUM83" s="1"/>
      <c r="SUN83" s="1"/>
      <c r="SUO83" s="1"/>
      <c r="SUP83" s="1"/>
      <c r="SUQ83" s="1"/>
      <c r="SUR83" s="1"/>
      <c r="SUS83" s="1"/>
      <c r="SUT83" s="1"/>
      <c r="SUU83" s="1"/>
      <c r="SUV83" s="1"/>
      <c r="SUW83" s="1"/>
      <c r="SUX83" s="1"/>
      <c r="SUY83" s="1"/>
      <c r="SUZ83" s="1"/>
      <c r="SVA83" s="1"/>
      <c r="SVB83" s="1"/>
      <c r="SVC83" s="1"/>
      <c r="SVD83" s="1"/>
      <c r="SVE83" s="1"/>
      <c r="SVF83" s="1"/>
      <c r="SVG83" s="1"/>
      <c r="SVH83" s="1"/>
      <c r="SVI83" s="1"/>
      <c r="SVJ83" s="1"/>
      <c r="SVK83" s="1"/>
      <c r="SVL83" s="1"/>
      <c r="SVM83" s="1"/>
      <c r="SVN83" s="1"/>
      <c r="SVO83" s="1"/>
      <c r="SVP83" s="1"/>
      <c r="SVQ83" s="1"/>
      <c r="SVR83" s="1"/>
      <c r="SVS83" s="1"/>
      <c r="SVT83" s="1"/>
      <c r="SVU83" s="1"/>
      <c r="SVV83" s="1"/>
      <c r="SVW83" s="1"/>
      <c r="SVX83" s="1"/>
      <c r="SVY83" s="1"/>
      <c r="SVZ83" s="1"/>
      <c r="SWA83" s="1"/>
      <c r="SWB83" s="1"/>
      <c r="SWC83" s="1"/>
      <c r="SWD83" s="1"/>
      <c r="SWE83" s="1"/>
      <c r="SWF83" s="1"/>
      <c r="SWG83" s="1"/>
      <c r="SWH83" s="1"/>
      <c r="SWI83" s="1"/>
      <c r="SWJ83" s="1"/>
      <c r="SWK83" s="1"/>
      <c r="SWL83" s="1"/>
      <c r="SWM83" s="1"/>
      <c r="SWN83" s="1"/>
      <c r="SWO83" s="1"/>
      <c r="SWP83" s="1"/>
      <c r="SWQ83" s="1"/>
      <c r="SWR83" s="1"/>
      <c r="SWS83" s="1"/>
      <c r="SWT83" s="1"/>
      <c r="SWU83" s="1"/>
      <c r="SWV83" s="1"/>
      <c r="SWW83" s="1"/>
      <c r="SWX83" s="1"/>
      <c r="SWY83" s="1"/>
      <c r="SWZ83" s="1"/>
      <c r="SXA83" s="1"/>
      <c r="SXB83" s="1"/>
      <c r="SXC83" s="1"/>
      <c r="SXD83" s="1"/>
      <c r="SXE83" s="1"/>
      <c r="SXF83" s="1"/>
      <c r="SXG83" s="1"/>
      <c r="SXH83" s="1"/>
      <c r="SXI83" s="1"/>
      <c r="SXJ83" s="1"/>
      <c r="SXK83" s="1"/>
      <c r="SXL83" s="1"/>
      <c r="SXM83" s="1"/>
      <c r="SXN83" s="1"/>
      <c r="SXO83" s="1"/>
      <c r="SXP83" s="1"/>
      <c r="SXQ83" s="1"/>
      <c r="SXR83" s="1"/>
      <c r="SXS83" s="1"/>
      <c r="SXT83" s="1"/>
      <c r="SXU83" s="1"/>
      <c r="SXV83" s="1"/>
      <c r="SXW83" s="1"/>
      <c r="SXX83" s="1"/>
      <c r="SXY83" s="1"/>
      <c r="SXZ83" s="1"/>
      <c r="SYA83" s="1"/>
      <c r="SYB83" s="1"/>
      <c r="SYC83" s="1"/>
      <c r="SYD83" s="1"/>
      <c r="SYE83" s="1"/>
      <c r="SYF83" s="1"/>
      <c r="SYG83" s="1"/>
      <c r="SYH83" s="1"/>
      <c r="SYI83" s="1"/>
      <c r="SYJ83" s="1"/>
      <c r="SYK83" s="1"/>
      <c r="SYL83" s="1"/>
      <c r="SYM83" s="1"/>
      <c r="SYN83" s="1"/>
      <c r="SYO83" s="1"/>
      <c r="SYP83" s="1"/>
      <c r="SYQ83" s="1"/>
      <c r="SYR83" s="1"/>
      <c r="SYS83" s="1"/>
      <c r="SYT83" s="1"/>
      <c r="SYU83" s="1"/>
      <c r="SYV83" s="1"/>
      <c r="SYW83" s="1"/>
      <c r="SYX83" s="1"/>
      <c r="SYY83" s="1"/>
      <c r="SYZ83" s="1"/>
      <c r="SZA83" s="1"/>
      <c r="SZB83" s="1"/>
      <c r="SZC83" s="1"/>
      <c r="SZD83" s="1"/>
      <c r="SZE83" s="1"/>
      <c r="SZF83" s="1"/>
      <c r="SZG83" s="1"/>
      <c r="SZH83" s="1"/>
      <c r="SZI83" s="1"/>
      <c r="SZJ83" s="1"/>
      <c r="SZK83" s="1"/>
      <c r="SZL83" s="1"/>
      <c r="SZM83" s="1"/>
      <c r="SZN83" s="1"/>
      <c r="SZO83" s="1"/>
      <c r="SZP83" s="1"/>
      <c r="SZQ83" s="1"/>
      <c r="SZR83" s="1"/>
      <c r="SZS83" s="1"/>
      <c r="SZT83" s="1"/>
      <c r="SZU83" s="1"/>
      <c r="SZV83" s="1"/>
      <c r="SZW83" s="1"/>
      <c r="SZX83" s="1"/>
      <c r="SZY83" s="1"/>
      <c r="SZZ83" s="1"/>
      <c r="TAA83" s="1"/>
      <c r="TAB83" s="1"/>
      <c r="TAC83" s="1"/>
      <c r="TAD83" s="1"/>
      <c r="TAE83" s="1"/>
      <c r="TAF83" s="1"/>
      <c r="TAG83" s="1"/>
      <c r="TAH83" s="1"/>
      <c r="TAI83" s="1"/>
      <c r="TAJ83" s="1"/>
      <c r="TAK83" s="1"/>
      <c r="TAL83" s="1"/>
      <c r="TAM83" s="1"/>
      <c r="TAN83" s="1"/>
      <c r="TAO83" s="1"/>
      <c r="TAP83" s="1"/>
      <c r="TAQ83" s="1"/>
      <c r="TAR83" s="1"/>
      <c r="TAS83" s="1"/>
      <c r="TAT83" s="1"/>
      <c r="TAU83" s="1"/>
      <c r="TAV83" s="1"/>
      <c r="TAW83" s="1"/>
      <c r="TAX83" s="1"/>
      <c r="TAY83" s="1"/>
      <c r="TAZ83" s="1"/>
      <c r="TBA83" s="1"/>
      <c r="TBB83" s="1"/>
      <c r="TBC83" s="1"/>
      <c r="TBD83" s="1"/>
      <c r="TBE83" s="1"/>
      <c r="TBF83" s="1"/>
      <c r="TBG83" s="1"/>
      <c r="TBH83" s="1"/>
      <c r="TBI83" s="1"/>
      <c r="TBJ83" s="1"/>
      <c r="TBK83" s="1"/>
      <c r="TBL83" s="1"/>
      <c r="TBM83" s="1"/>
      <c r="TBN83" s="1"/>
      <c r="TBO83" s="1"/>
      <c r="TBP83" s="1"/>
      <c r="TBQ83" s="1"/>
      <c r="TBR83" s="1"/>
      <c r="TBS83" s="1"/>
      <c r="TBT83" s="1"/>
      <c r="TBU83" s="1"/>
      <c r="TBV83" s="1"/>
      <c r="TBW83" s="1"/>
      <c r="TBX83" s="1"/>
      <c r="TBY83" s="1"/>
      <c r="TBZ83" s="1"/>
      <c r="TCA83" s="1"/>
      <c r="TCB83" s="1"/>
      <c r="TCC83" s="1"/>
      <c r="TCD83" s="1"/>
      <c r="TCE83" s="1"/>
      <c r="TCF83" s="1"/>
      <c r="TCG83" s="1"/>
      <c r="TCH83" s="1"/>
      <c r="TCI83" s="1"/>
      <c r="TCJ83" s="1"/>
      <c r="TCK83" s="1"/>
      <c r="TCL83" s="1"/>
      <c r="TCM83" s="1"/>
      <c r="TCN83" s="1"/>
      <c r="TCO83" s="1"/>
      <c r="TCP83" s="1"/>
      <c r="TCQ83" s="1"/>
      <c r="TCR83" s="1"/>
      <c r="TCS83" s="1"/>
      <c r="TCT83" s="1"/>
      <c r="TCU83" s="1"/>
      <c r="TCV83" s="1"/>
      <c r="TCW83" s="1"/>
      <c r="TCX83" s="1"/>
      <c r="TCY83" s="1"/>
      <c r="TCZ83" s="1"/>
      <c r="TDA83" s="1"/>
      <c r="TDB83" s="1"/>
      <c r="TDC83" s="1"/>
      <c r="TDD83" s="1"/>
      <c r="TDE83" s="1"/>
      <c r="TDF83" s="1"/>
      <c r="TDG83" s="1"/>
      <c r="TDH83" s="1"/>
      <c r="TDI83" s="1"/>
      <c r="TDJ83" s="1"/>
      <c r="TDK83" s="1"/>
      <c r="TDL83" s="1"/>
      <c r="TDM83" s="1"/>
      <c r="TDN83" s="1"/>
      <c r="TDO83" s="1"/>
      <c r="TDP83" s="1"/>
      <c r="TDQ83" s="1"/>
      <c r="TDR83" s="1"/>
      <c r="TDS83" s="1"/>
      <c r="TDT83" s="1"/>
      <c r="TDU83" s="1"/>
      <c r="TDV83" s="1"/>
      <c r="TDW83" s="1"/>
      <c r="TDX83" s="1"/>
      <c r="TDY83" s="1"/>
      <c r="TDZ83" s="1"/>
      <c r="TEA83" s="1"/>
      <c r="TEB83" s="1"/>
      <c r="TEC83" s="1"/>
      <c r="TED83" s="1"/>
      <c r="TEE83" s="1"/>
      <c r="TEF83" s="1"/>
      <c r="TEG83" s="1"/>
      <c r="TEH83" s="1"/>
      <c r="TEI83" s="1"/>
      <c r="TEJ83" s="1"/>
      <c r="TEK83" s="1"/>
      <c r="TEL83" s="1"/>
      <c r="TEM83" s="1"/>
      <c r="TEN83" s="1"/>
      <c r="TEO83" s="1"/>
      <c r="TEP83" s="1"/>
      <c r="TEQ83" s="1"/>
      <c r="TER83" s="1"/>
      <c r="TES83" s="1"/>
      <c r="TET83" s="1"/>
      <c r="TEU83" s="1"/>
      <c r="TEV83" s="1"/>
      <c r="TEW83" s="1"/>
      <c r="TEX83" s="1"/>
      <c r="TEY83" s="1"/>
      <c r="TEZ83" s="1"/>
      <c r="TFA83" s="1"/>
      <c r="TFB83" s="1"/>
      <c r="TFC83" s="1"/>
      <c r="TFD83" s="1"/>
      <c r="TFE83" s="1"/>
      <c r="TFF83" s="1"/>
      <c r="TFG83" s="1"/>
      <c r="TFH83" s="1"/>
      <c r="TFI83" s="1"/>
      <c r="TFJ83" s="1"/>
      <c r="TFK83" s="1"/>
      <c r="TFL83" s="1"/>
      <c r="TFM83" s="1"/>
      <c r="TFN83" s="1"/>
      <c r="TFO83" s="1"/>
      <c r="TFP83" s="1"/>
      <c r="TFQ83" s="1"/>
      <c r="TFR83" s="1"/>
      <c r="TFS83" s="1"/>
      <c r="TFT83" s="1"/>
      <c r="TFU83" s="1"/>
      <c r="TFV83" s="1"/>
      <c r="TFW83" s="1"/>
      <c r="TFX83" s="1"/>
      <c r="TFY83" s="1"/>
      <c r="TFZ83" s="1"/>
      <c r="TGA83" s="1"/>
      <c r="TGB83" s="1"/>
      <c r="TGC83" s="1"/>
      <c r="TGD83" s="1"/>
      <c r="TGE83" s="1"/>
      <c r="TGF83" s="1"/>
      <c r="TGG83" s="1"/>
      <c r="TGH83" s="1"/>
      <c r="TGI83" s="1"/>
      <c r="TGJ83" s="1"/>
      <c r="TGK83" s="1"/>
      <c r="TGL83" s="1"/>
      <c r="TGM83" s="1"/>
      <c r="TGN83" s="1"/>
      <c r="TGO83" s="1"/>
      <c r="TGP83" s="1"/>
      <c r="TGQ83" s="1"/>
      <c r="TGR83" s="1"/>
      <c r="TGS83" s="1"/>
      <c r="TGT83" s="1"/>
      <c r="TGU83" s="1"/>
      <c r="TGV83" s="1"/>
      <c r="TGW83" s="1"/>
      <c r="TGX83" s="1"/>
      <c r="TGY83" s="1"/>
      <c r="TGZ83" s="1"/>
      <c r="THA83" s="1"/>
      <c r="THB83" s="1"/>
      <c r="THC83" s="1"/>
      <c r="THD83" s="1"/>
      <c r="THE83" s="1"/>
      <c r="THF83" s="1"/>
      <c r="THG83" s="1"/>
      <c r="THH83" s="1"/>
      <c r="THI83" s="1"/>
      <c r="THJ83" s="1"/>
      <c r="THK83" s="1"/>
      <c r="THL83" s="1"/>
      <c r="THM83" s="1"/>
      <c r="THN83" s="1"/>
      <c r="THO83" s="1"/>
      <c r="THP83" s="1"/>
      <c r="THQ83" s="1"/>
      <c r="THR83" s="1"/>
      <c r="THS83" s="1"/>
      <c r="THT83" s="1"/>
      <c r="THU83" s="1"/>
      <c r="THV83" s="1"/>
      <c r="THW83" s="1"/>
      <c r="THX83" s="1"/>
      <c r="THY83" s="1"/>
      <c r="THZ83" s="1"/>
      <c r="TIA83" s="1"/>
      <c r="TIB83" s="1"/>
      <c r="TIC83" s="1"/>
      <c r="TID83" s="1"/>
      <c r="TIE83" s="1"/>
      <c r="TIF83" s="1"/>
      <c r="TIG83" s="1"/>
      <c r="TIH83" s="1"/>
      <c r="TII83" s="1"/>
      <c r="TIJ83" s="1"/>
      <c r="TIK83" s="1"/>
      <c r="TIL83" s="1"/>
      <c r="TIM83" s="1"/>
      <c r="TIN83" s="1"/>
      <c r="TIO83" s="1"/>
      <c r="TIP83" s="1"/>
      <c r="TIQ83" s="1"/>
      <c r="TIR83" s="1"/>
      <c r="TIS83" s="1"/>
      <c r="TIT83" s="1"/>
      <c r="TIU83" s="1"/>
      <c r="TIV83" s="1"/>
      <c r="TIW83" s="1"/>
      <c r="TIX83" s="1"/>
      <c r="TIY83" s="1"/>
      <c r="TIZ83" s="1"/>
      <c r="TJA83" s="1"/>
      <c r="TJB83" s="1"/>
      <c r="TJC83" s="1"/>
      <c r="TJD83" s="1"/>
      <c r="TJE83" s="1"/>
      <c r="TJF83" s="1"/>
      <c r="TJG83" s="1"/>
      <c r="TJH83" s="1"/>
      <c r="TJI83" s="1"/>
      <c r="TJJ83" s="1"/>
      <c r="TJK83" s="1"/>
      <c r="TJL83" s="1"/>
      <c r="TJM83" s="1"/>
      <c r="TJN83" s="1"/>
      <c r="TJO83" s="1"/>
      <c r="TJP83" s="1"/>
      <c r="TJQ83" s="1"/>
      <c r="TJR83" s="1"/>
      <c r="TJS83" s="1"/>
      <c r="TJT83" s="1"/>
      <c r="TJU83" s="1"/>
      <c r="TJV83" s="1"/>
      <c r="TJW83" s="1"/>
      <c r="TJX83" s="1"/>
      <c r="TJY83" s="1"/>
      <c r="TJZ83" s="1"/>
      <c r="TKA83" s="1"/>
      <c r="TKB83" s="1"/>
      <c r="TKC83" s="1"/>
      <c r="TKD83" s="1"/>
      <c r="TKE83" s="1"/>
      <c r="TKF83" s="1"/>
      <c r="TKG83" s="1"/>
      <c r="TKH83" s="1"/>
      <c r="TKI83" s="1"/>
      <c r="TKJ83" s="1"/>
      <c r="TKK83" s="1"/>
      <c r="TKL83" s="1"/>
      <c r="TKM83" s="1"/>
      <c r="TKN83" s="1"/>
      <c r="TKO83" s="1"/>
      <c r="TKP83" s="1"/>
      <c r="TKQ83" s="1"/>
      <c r="TKR83" s="1"/>
      <c r="TKS83" s="1"/>
      <c r="TKT83" s="1"/>
      <c r="TKU83" s="1"/>
      <c r="TKV83" s="1"/>
      <c r="TKW83" s="1"/>
      <c r="TKX83" s="1"/>
      <c r="TKY83" s="1"/>
      <c r="TKZ83" s="1"/>
      <c r="TLA83" s="1"/>
      <c r="TLB83" s="1"/>
      <c r="TLC83" s="1"/>
      <c r="TLD83" s="1"/>
      <c r="TLE83" s="1"/>
      <c r="TLF83" s="1"/>
      <c r="TLG83" s="1"/>
      <c r="TLH83" s="1"/>
      <c r="TLI83" s="1"/>
      <c r="TLJ83" s="1"/>
      <c r="TLK83" s="1"/>
      <c r="TLL83" s="1"/>
      <c r="TLM83" s="1"/>
      <c r="TLN83" s="1"/>
      <c r="TLO83" s="1"/>
      <c r="TLP83" s="1"/>
      <c r="TLQ83" s="1"/>
      <c r="TLR83" s="1"/>
      <c r="TLS83" s="1"/>
      <c r="TLT83" s="1"/>
      <c r="TLU83" s="1"/>
      <c r="TLV83" s="1"/>
      <c r="TLW83" s="1"/>
      <c r="TLX83" s="1"/>
      <c r="TLY83" s="1"/>
      <c r="TLZ83" s="1"/>
      <c r="TMA83" s="1"/>
      <c r="TMB83" s="1"/>
      <c r="TMC83" s="1"/>
      <c r="TMD83" s="1"/>
      <c r="TME83" s="1"/>
      <c r="TMF83" s="1"/>
      <c r="TMG83" s="1"/>
      <c r="TMH83" s="1"/>
      <c r="TMI83" s="1"/>
      <c r="TMJ83" s="1"/>
      <c r="TMK83" s="1"/>
      <c r="TML83" s="1"/>
      <c r="TMM83" s="1"/>
      <c r="TMN83" s="1"/>
      <c r="TMO83" s="1"/>
      <c r="TMP83" s="1"/>
      <c r="TMQ83" s="1"/>
      <c r="TMR83" s="1"/>
      <c r="TMS83" s="1"/>
      <c r="TMT83" s="1"/>
      <c r="TMU83" s="1"/>
      <c r="TMV83" s="1"/>
      <c r="TMW83" s="1"/>
      <c r="TMX83" s="1"/>
      <c r="TMY83" s="1"/>
      <c r="TMZ83" s="1"/>
      <c r="TNA83" s="1"/>
      <c r="TNB83" s="1"/>
      <c r="TNC83" s="1"/>
      <c r="TND83" s="1"/>
      <c r="TNE83" s="1"/>
      <c r="TNF83" s="1"/>
      <c r="TNG83" s="1"/>
      <c r="TNH83" s="1"/>
      <c r="TNI83" s="1"/>
      <c r="TNJ83" s="1"/>
      <c r="TNK83" s="1"/>
      <c r="TNL83" s="1"/>
      <c r="TNM83" s="1"/>
      <c r="TNN83" s="1"/>
      <c r="TNO83" s="1"/>
      <c r="TNP83" s="1"/>
      <c r="TNQ83" s="1"/>
      <c r="TNR83" s="1"/>
      <c r="TNS83" s="1"/>
      <c r="TNT83" s="1"/>
      <c r="TNU83" s="1"/>
      <c r="TNV83" s="1"/>
      <c r="TNW83" s="1"/>
      <c r="TNX83" s="1"/>
      <c r="TNY83" s="1"/>
      <c r="TNZ83" s="1"/>
      <c r="TOA83" s="1"/>
      <c r="TOB83" s="1"/>
      <c r="TOC83" s="1"/>
      <c r="TOD83" s="1"/>
      <c r="TOE83" s="1"/>
      <c r="TOF83" s="1"/>
      <c r="TOG83" s="1"/>
      <c r="TOH83" s="1"/>
      <c r="TOI83" s="1"/>
      <c r="TOJ83" s="1"/>
      <c r="TOK83" s="1"/>
      <c r="TOL83" s="1"/>
      <c r="TOM83" s="1"/>
      <c r="TON83" s="1"/>
      <c r="TOO83" s="1"/>
      <c r="TOP83" s="1"/>
      <c r="TOQ83" s="1"/>
      <c r="TOR83" s="1"/>
      <c r="TOS83" s="1"/>
      <c r="TOT83" s="1"/>
      <c r="TOU83" s="1"/>
      <c r="TOV83" s="1"/>
      <c r="TOW83" s="1"/>
      <c r="TOX83" s="1"/>
      <c r="TOY83" s="1"/>
      <c r="TOZ83" s="1"/>
      <c r="TPA83" s="1"/>
      <c r="TPB83" s="1"/>
      <c r="TPC83" s="1"/>
      <c r="TPD83" s="1"/>
      <c r="TPE83" s="1"/>
      <c r="TPF83" s="1"/>
      <c r="TPG83" s="1"/>
      <c r="TPH83" s="1"/>
      <c r="TPI83" s="1"/>
      <c r="TPJ83" s="1"/>
      <c r="TPK83" s="1"/>
      <c r="TPL83" s="1"/>
      <c r="TPM83" s="1"/>
      <c r="TPN83" s="1"/>
      <c r="TPO83" s="1"/>
      <c r="TPP83" s="1"/>
      <c r="TPQ83" s="1"/>
      <c r="TPR83" s="1"/>
      <c r="TPS83" s="1"/>
      <c r="TPT83" s="1"/>
      <c r="TPU83" s="1"/>
      <c r="TPV83" s="1"/>
      <c r="TPW83" s="1"/>
      <c r="TPX83" s="1"/>
      <c r="TPY83" s="1"/>
      <c r="TPZ83" s="1"/>
      <c r="TQA83" s="1"/>
      <c r="TQB83" s="1"/>
      <c r="TQC83" s="1"/>
      <c r="TQD83" s="1"/>
      <c r="TQE83" s="1"/>
      <c r="TQF83" s="1"/>
      <c r="TQG83" s="1"/>
      <c r="TQH83" s="1"/>
      <c r="TQI83" s="1"/>
      <c r="TQJ83" s="1"/>
      <c r="TQK83" s="1"/>
      <c r="TQL83" s="1"/>
      <c r="TQM83" s="1"/>
      <c r="TQN83" s="1"/>
      <c r="TQO83" s="1"/>
      <c r="TQP83" s="1"/>
      <c r="TQQ83" s="1"/>
      <c r="TQR83" s="1"/>
      <c r="TQS83" s="1"/>
      <c r="TQT83" s="1"/>
      <c r="TQU83" s="1"/>
      <c r="TQV83" s="1"/>
      <c r="TQW83" s="1"/>
      <c r="TQX83" s="1"/>
      <c r="TQY83" s="1"/>
      <c r="TQZ83" s="1"/>
      <c r="TRA83" s="1"/>
      <c r="TRB83" s="1"/>
      <c r="TRC83" s="1"/>
      <c r="TRD83" s="1"/>
      <c r="TRE83" s="1"/>
      <c r="TRF83" s="1"/>
      <c r="TRG83" s="1"/>
      <c r="TRH83" s="1"/>
      <c r="TRI83" s="1"/>
      <c r="TRJ83" s="1"/>
      <c r="TRK83" s="1"/>
      <c r="TRL83" s="1"/>
      <c r="TRM83" s="1"/>
      <c r="TRN83" s="1"/>
      <c r="TRO83" s="1"/>
      <c r="TRP83" s="1"/>
      <c r="TRQ83" s="1"/>
      <c r="TRR83" s="1"/>
      <c r="TRS83" s="1"/>
      <c r="TRT83" s="1"/>
      <c r="TRU83" s="1"/>
      <c r="TRV83" s="1"/>
      <c r="TRW83" s="1"/>
      <c r="TRX83" s="1"/>
      <c r="TRY83" s="1"/>
      <c r="TRZ83" s="1"/>
      <c r="TSA83" s="1"/>
      <c r="TSB83" s="1"/>
      <c r="TSC83" s="1"/>
      <c r="TSD83" s="1"/>
      <c r="TSE83" s="1"/>
      <c r="TSF83" s="1"/>
      <c r="TSG83" s="1"/>
      <c r="TSH83" s="1"/>
      <c r="TSI83" s="1"/>
      <c r="TSJ83" s="1"/>
      <c r="TSK83" s="1"/>
      <c r="TSL83" s="1"/>
      <c r="TSM83" s="1"/>
      <c r="TSN83" s="1"/>
      <c r="TSO83" s="1"/>
      <c r="TSP83" s="1"/>
      <c r="TSQ83" s="1"/>
      <c r="TSR83" s="1"/>
      <c r="TSS83" s="1"/>
      <c r="TST83" s="1"/>
      <c r="TSU83" s="1"/>
      <c r="TSV83" s="1"/>
      <c r="TSW83" s="1"/>
      <c r="TSX83" s="1"/>
      <c r="TSY83" s="1"/>
      <c r="TSZ83" s="1"/>
      <c r="TTA83" s="1"/>
      <c r="TTB83" s="1"/>
      <c r="TTC83" s="1"/>
      <c r="TTD83" s="1"/>
      <c r="TTE83" s="1"/>
      <c r="TTF83" s="1"/>
      <c r="TTG83" s="1"/>
      <c r="TTH83" s="1"/>
      <c r="TTI83" s="1"/>
      <c r="TTJ83" s="1"/>
      <c r="TTK83" s="1"/>
      <c r="TTL83" s="1"/>
      <c r="TTM83" s="1"/>
      <c r="TTN83" s="1"/>
      <c r="TTO83" s="1"/>
      <c r="TTP83" s="1"/>
      <c r="TTQ83" s="1"/>
      <c r="TTR83" s="1"/>
      <c r="TTS83" s="1"/>
      <c r="TTT83" s="1"/>
      <c r="TTU83" s="1"/>
      <c r="TTV83" s="1"/>
      <c r="TTW83" s="1"/>
      <c r="TTX83" s="1"/>
      <c r="TTY83" s="1"/>
      <c r="TTZ83" s="1"/>
      <c r="TUA83" s="1"/>
      <c r="TUB83" s="1"/>
      <c r="TUC83" s="1"/>
      <c r="TUD83" s="1"/>
      <c r="TUE83" s="1"/>
      <c r="TUF83" s="1"/>
      <c r="TUG83" s="1"/>
      <c r="TUH83" s="1"/>
      <c r="TUI83" s="1"/>
      <c r="TUJ83" s="1"/>
      <c r="TUK83" s="1"/>
      <c r="TUL83" s="1"/>
      <c r="TUM83" s="1"/>
      <c r="TUN83" s="1"/>
      <c r="TUO83" s="1"/>
      <c r="TUP83" s="1"/>
      <c r="TUQ83" s="1"/>
      <c r="TUR83" s="1"/>
      <c r="TUS83" s="1"/>
      <c r="TUT83" s="1"/>
      <c r="TUU83" s="1"/>
      <c r="TUV83" s="1"/>
      <c r="TUW83" s="1"/>
      <c r="TUX83" s="1"/>
      <c r="TUY83" s="1"/>
      <c r="TUZ83" s="1"/>
      <c r="TVA83" s="1"/>
      <c r="TVB83" s="1"/>
      <c r="TVC83" s="1"/>
      <c r="TVD83" s="1"/>
      <c r="TVE83" s="1"/>
      <c r="TVF83" s="1"/>
      <c r="TVG83" s="1"/>
      <c r="TVH83" s="1"/>
      <c r="TVI83" s="1"/>
      <c r="TVJ83" s="1"/>
      <c r="TVK83" s="1"/>
      <c r="TVL83" s="1"/>
      <c r="TVM83" s="1"/>
      <c r="TVN83" s="1"/>
      <c r="TVO83" s="1"/>
      <c r="TVP83" s="1"/>
      <c r="TVQ83" s="1"/>
      <c r="TVR83" s="1"/>
      <c r="TVS83" s="1"/>
      <c r="TVT83" s="1"/>
      <c r="TVU83" s="1"/>
      <c r="TVV83" s="1"/>
      <c r="TVW83" s="1"/>
      <c r="TVX83" s="1"/>
      <c r="TVY83" s="1"/>
      <c r="TVZ83" s="1"/>
      <c r="TWA83" s="1"/>
      <c r="TWB83" s="1"/>
      <c r="TWC83" s="1"/>
      <c r="TWD83" s="1"/>
      <c r="TWE83" s="1"/>
      <c r="TWF83" s="1"/>
      <c r="TWG83" s="1"/>
      <c r="TWH83" s="1"/>
      <c r="TWI83" s="1"/>
      <c r="TWJ83" s="1"/>
      <c r="TWK83" s="1"/>
      <c r="TWL83" s="1"/>
      <c r="TWM83" s="1"/>
      <c r="TWN83" s="1"/>
      <c r="TWO83" s="1"/>
      <c r="TWP83" s="1"/>
      <c r="TWQ83" s="1"/>
      <c r="TWR83" s="1"/>
      <c r="TWS83" s="1"/>
      <c r="TWT83" s="1"/>
      <c r="TWU83" s="1"/>
      <c r="TWV83" s="1"/>
      <c r="TWW83" s="1"/>
      <c r="TWX83" s="1"/>
      <c r="TWY83" s="1"/>
      <c r="TWZ83" s="1"/>
      <c r="TXA83" s="1"/>
      <c r="TXB83" s="1"/>
      <c r="TXC83" s="1"/>
      <c r="TXD83" s="1"/>
      <c r="TXE83" s="1"/>
      <c r="TXF83" s="1"/>
      <c r="TXG83" s="1"/>
      <c r="TXH83" s="1"/>
      <c r="TXI83" s="1"/>
      <c r="TXJ83" s="1"/>
      <c r="TXK83" s="1"/>
      <c r="TXL83" s="1"/>
      <c r="TXM83" s="1"/>
      <c r="TXN83" s="1"/>
      <c r="TXO83" s="1"/>
      <c r="TXP83" s="1"/>
      <c r="TXQ83" s="1"/>
      <c r="TXR83" s="1"/>
      <c r="TXS83" s="1"/>
      <c r="TXT83" s="1"/>
      <c r="TXU83" s="1"/>
      <c r="TXV83" s="1"/>
      <c r="TXW83" s="1"/>
      <c r="TXX83" s="1"/>
      <c r="TXY83" s="1"/>
      <c r="TXZ83" s="1"/>
      <c r="TYA83" s="1"/>
      <c r="TYB83" s="1"/>
      <c r="TYC83" s="1"/>
      <c r="TYD83" s="1"/>
      <c r="TYE83" s="1"/>
      <c r="TYF83" s="1"/>
      <c r="TYG83" s="1"/>
      <c r="TYH83" s="1"/>
      <c r="TYI83" s="1"/>
      <c r="TYJ83" s="1"/>
      <c r="TYK83" s="1"/>
      <c r="TYL83" s="1"/>
      <c r="TYM83" s="1"/>
      <c r="TYN83" s="1"/>
      <c r="TYO83" s="1"/>
      <c r="TYP83" s="1"/>
      <c r="TYQ83" s="1"/>
      <c r="TYR83" s="1"/>
      <c r="TYS83" s="1"/>
      <c r="TYT83" s="1"/>
      <c r="TYU83" s="1"/>
      <c r="TYV83" s="1"/>
      <c r="TYW83" s="1"/>
      <c r="TYX83" s="1"/>
      <c r="TYY83" s="1"/>
      <c r="TYZ83" s="1"/>
      <c r="TZA83" s="1"/>
      <c r="TZB83" s="1"/>
      <c r="TZC83" s="1"/>
      <c r="TZD83" s="1"/>
      <c r="TZE83" s="1"/>
      <c r="TZF83" s="1"/>
      <c r="TZG83" s="1"/>
      <c r="TZH83" s="1"/>
      <c r="TZI83" s="1"/>
      <c r="TZJ83" s="1"/>
      <c r="TZK83" s="1"/>
      <c r="TZL83" s="1"/>
      <c r="TZM83" s="1"/>
      <c r="TZN83" s="1"/>
      <c r="TZO83" s="1"/>
      <c r="TZP83" s="1"/>
      <c r="TZQ83" s="1"/>
      <c r="TZR83" s="1"/>
      <c r="TZS83" s="1"/>
      <c r="TZT83" s="1"/>
      <c r="TZU83" s="1"/>
      <c r="TZV83" s="1"/>
      <c r="TZW83" s="1"/>
      <c r="TZX83" s="1"/>
      <c r="TZY83" s="1"/>
      <c r="TZZ83" s="1"/>
      <c r="UAA83" s="1"/>
      <c r="UAB83" s="1"/>
      <c r="UAC83" s="1"/>
      <c r="UAD83" s="1"/>
      <c r="UAE83" s="1"/>
      <c r="UAF83" s="1"/>
      <c r="UAG83" s="1"/>
      <c r="UAH83" s="1"/>
      <c r="UAI83" s="1"/>
      <c r="UAJ83" s="1"/>
      <c r="UAK83" s="1"/>
      <c r="UAL83" s="1"/>
      <c r="UAM83" s="1"/>
      <c r="UAN83" s="1"/>
      <c r="UAO83" s="1"/>
      <c r="UAP83" s="1"/>
      <c r="UAQ83" s="1"/>
      <c r="UAR83" s="1"/>
      <c r="UAS83" s="1"/>
      <c r="UAT83" s="1"/>
      <c r="UAU83" s="1"/>
      <c r="UAV83" s="1"/>
      <c r="UAW83" s="1"/>
      <c r="UAX83" s="1"/>
      <c r="UAY83" s="1"/>
      <c r="UAZ83" s="1"/>
      <c r="UBA83" s="1"/>
      <c r="UBB83" s="1"/>
      <c r="UBC83" s="1"/>
      <c r="UBD83" s="1"/>
      <c r="UBE83" s="1"/>
      <c r="UBF83" s="1"/>
      <c r="UBG83" s="1"/>
      <c r="UBH83" s="1"/>
      <c r="UBI83" s="1"/>
      <c r="UBJ83" s="1"/>
      <c r="UBK83" s="1"/>
      <c r="UBL83" s="1"/>
      <c r="UBM83" s="1"/>
      <c r="UBN83" s="1"/>
      <c r="UBO83" s="1"/>
      <c r="UBP83" s="1"/>
      <c r="UBQ83" s="1"/>
      <c r="UBR83" s="1"/>
      <c r="UBS83" s="1"/>
      <c r="UBT83" s="1"/>
      <c r="UBU83" s="1"/>
      <c r="UBV83" s="1"/>
      <c r="UBW83" s="1"/>
      <c r="UBX83" s="1"/>
      <c r="UBY83" s="1"/>
      <c r="UBZ83" s="1"/>
      <c r="UCA83" s="1"/>
      <c r="UCB83" s="1"/>
      <c r="UCC83" s="1"/>
      <c r="UCD83" s="1"/>
      <c r="UCE83" s="1"/>
      <c r="UCF83" s="1"/>
      <c r="UCG83" s="1"/>
      <c r="UCH83" s="1"/>
      <c r="UCI83" s="1"/>
      <c r="UCJ83" s="1"/>
      <c r="UCK83" s="1"/>
      <c r="UCL83" s="1"/>
      <c r="UCM83" s="1"/>
      <c r="UCN83" s="1"/>
      <c r="UCO83" s="1"/>
      <c r="UCP83" s="1"/>
      <c r="UCQ83" s="1"/>
      <c r="UCR83" s="1"/>
      <c r="UCS83" s="1"/>
      <c r="UCT83" s="1"/>
      <c r="UCU83" s="1"/>
      <c r="UCV83" s="1"/>
      <c r="UCW83" s="1"/>
      <c r="UCX83" s="1"/>
      <c r="UCY83" s="1"/>
      <c r="UCZ83" s="1"/>
      <c r="UDA83" s="1"/>
      <c r="UDB83" s="1"/>
      <c r="UDC83" s="1"/>
      <c r="UDD83" s="1"/>
      <c r="UDE83" s="1"/>
      <c r="UDF83" s="1"/>
      <c r="UDG83" s="1"/>
      <c r="UDH83" s="1"/>
      <c r="UDI83" s="1"/>
      <c r="UDJ83" s="1"/>
      <c r="UDK83" s="1"/>
      <c r="UDL83" s="1"/>
      <c r="UDM83" s="1"/>
      <c r="UDN83" s="1"/>
      <c r="UDO83" s="1"/>
      <c r="UDP83" s="1"/>
      <c r="UDQ83" s="1"/>
      <c r="UDR83" s="1"/>
      <c r="UDS83" s="1"/>
      <c r="UDT83" s="1"/>
      <c r="UDU83" s="1"/>
      <c r="UDV83" s="1"/>
      <c r="UDW83" s="1"/>
      <c r="UDX83" s="1"/>
      <c r="UDY83" s="1"/>
      <c r="UDZ83" s="1"/>
      <c r="UEA83" s="1"/>
      <c r="UEB83" s="1"/>
      <c r="UEC83" s="1"/>
      <c r="UED83" s="1"/>
      <c r="UEE83" s="1"/>
      <c r="UEF83" s="1"/>
      <c r="UEG83" s="1"/>
      <c r="UEH83" s="1"/>
      <c r="UEI83" s="1"/>
      <c r="UEJ83" s="1"/>
      <c r="UEK83" s="1"/>
      <c r="UEL83" s="1"/>
      <c r="UEM83" s="1"/>
      <c r="UEN83" s="1"/>
      <c r="UEO83" s="1"/>
      <c r="UEP83" s="1"/>
      <c r="UEQ83" s="1"/>
      <c r="UER83" s="1"/>
      <c r="UES83" s="1"/>
      <c r="UET83" s="1"/>
      <c r="UEU83" s="1"/>
      <c r="UEV83" s="1"/>
      <c r="UEW83" s="1"/>
      <c r="UEX83" s="1"/>
      <c r="UEY83" s="1"/>
      <c r="UEZ83" s="1"/>
      <c r="UFA83" s="1"/>
      <c r="UFB83" s="1"/>
      <c r="UFC83" s="1"/>
      <c r="UFD83" s="1"/>
      <c r="UFE83" s="1"/>
      <c r="UFF83" s="1"/>
      <c r="UFG83" s="1"/>
      <c r="UFH83" s="1"/>
      <c r="UFI83" s="1"/>
      <c r="UFJ83" s="1"/>
      <c r="UFK83" s="1"/>
      <c r="UFL83" s="1"/>
      <c r="UFM83" s="1"/>
      <c r="UFN83" s="1"/>
      <c r="UFO83" s="1"/>
      <c r="UFP83" s="1"/>
      <c r="UFQ83" s="1"/>
      <c r="UFR83" s="1"/>
      <c r="UFS83" s="1"/>
      <c r="UFT83" s="1"/>
      <c r="UFU83" s="1"/>
      <c r="UFV83" s="1"/>
      <c r="UFW83" s="1"/>
      <c r="UFX83" s="1"/>
      <c r="UFY83" s="1"/>
      <c r="UFZ83" s="1"/>
      <c r="UGA83" s="1"/>
      <c r="UGB83" s="1"/>
      <c r="UGC83" s="1"/>
      <c r="UGD83" s="1"/>
      <c r="UGE83" s="1"/>
      <c r="UGF83" s="1"/>
      <c r="UGG83" s="1"/>
      <c r="UGH83" s="1"/>
      <c r="UGI83" s="1"/>
      <c r="UGJ83" s="1"/>
      <c r="UGK83" s="1"/>
      <c r="UGL83" s="1"/>
      <c r="UGM83" s="1"/>
      <c r="UGN83" s="1"/>
      <c r="UGO83" s="1"/>
      <c r="UGP83" s="1"/>
      <c r="UGQ83" s="1"/>
      <c r="UGR83" s="1"/>
      <c r="UGS83" s="1"/>
      <c r="UGT83" s="1"/>
      <c r="UGU83" s="1"/>
      <c r="UGV83" s="1"/>
      <c r="UGW83" s="1"/>
      <c r="UGX83" s="1"/>
      <c r="UGY83" s="1"/>
      <c r="UGZ83" s="1"/>
      <c r="UHA83" s="1"/>
      <c r="UHB83" s="1"/>
      <c r="UHC83" s="1"/>
      <c r="UHD83" s="1"/>
      <c r="UHE83" s="1"/>
      <c r="UHF83" s="1"/>
      <c r="UHG83" s="1"/>
      <c r="UHH83" s="1"/>
      <c r="UHI83" s="1"/>
      <c r="UHJ83" s="1"/>
      <c r="UHK83" s="1"/>
      <c r="UHL83" s="1"/>
      <c r="UHM83" s="1"/>
      <c r="UHN83" s="1"/>
      <c r="UHO83" s="1"/>
      <c r="UHP83" s="1"/>
      <c r="UHQ83" s="1"/>
      <c r="UHR83" s="1"/>
      <c r="UHS83" s="1"/>
      <c r="UHT83" s="1"/>
      <c r="UHU83" s="1"/>
      <c r="UHV83" s="1"/>
      <c r="UHW83" s="1"/>
      <c r="UHX83" s="1"/>
      <c r="UHY83" s="1"/>
      <c r="UHZ83" s="1"/>
      <c r="UIA83" s="1"/>
      <c r="UIB83" s="1"/>
      <c r="UIC83" s="1"/>
      <c r="UID83" s="1"/>
      <c r="UIE83" s="1"/>
      <c r="UIF83" s="1"/>
      <c r="UIG83" s="1"/>
      <c r="UIH83" s="1"/>
      <c r="UII83" s="1"/>
      <c r="UIJ83" s="1"/>
      <c r="UIK83" s="1"/>
      <c r="UIL83" s="1"/>
      <c r="UIM83" s="1"/>
      <c r="UIN83" s="1"/>
      <c r="UIO83" s="1"/>
      <c r="UIP83" s="1"/>
      <c r="UIQ83" s="1"/>
      <c r="UIR83" s="1"/>
      <c r="UIS83" s="1"/>
      <c r="UIT83" s="1"/>
      <c r="UIU83" s="1"/>
      <c r="UIV83" s="1"/>
      <c r="UIW83" s="1"/>
      <c r="UIX83" s="1"/>
      <c r="UIY83" s="1"/>
      <c r="UIZ83" s="1"/>
      <c r="UJA83" s="1"/>
      <c r="UJB83" s="1"/>
      <c r="UJC83" s="1"/>
      <c r="UJD83" s="1"/>
      <c r="UJE83" s="1"/>
      <c r="UJF83" s="1"/>
      <c r="UJG83" s="1"/>
      <c r="UJH83" s="1"/>
      <c r="UJI83" s="1"/>
      <c r="UJJ83" s="1"/>
      <c r="UJK83" s="1"/>
      <c r="UJL83" s="1"/>
      <c r="UJM83" s="1"/>
      <c r="UJN83" s="1"/>
      <c r="UJO83" s="1"/>
      <c r="UJP83" s="1"/>
      <c r="UJQ83" s="1"/>
      <c r="UJR83" s="1"/>
      <c r="UJS83" s="1"/>
      <c r="UJT83" s="1"/>
      <c r="UJU83" s="1"/>
      <c r="UJV83" s="1"/>
      <c r="UJW83" s="1"/>
      <c r="UJX83" s="1"/>
      <c r="UJY83" s="1"/>
      <c r="UJZ83" s="1"/>
      <c r="UKA83" s="1"/>
      <c r="UKB83" s="1"/>
      <c r="UKC83" s="1"/>
      <c r="UKD83" s="1"/>
      <c r="UKE83" s="1"/>
      <c r="UKF83" s="1"/>
      <c r="UKG83" s="1"/>
      <c r="UKH83" s="1"/>
      <c r="UKI83" s="1"/>
      <c r="UKJ83" s="1"/>
      <c r="UKK83" s="1"/>
      <c r="UKL83" s="1"/>
      <c r="UKM83" s="1"/>
      <c r="UKN83" s="1"/>
      <c r="UKO83" s="1"/>
      <c r="UKP83" s="1"/>
      <c r="UKQ83" s="1"/>
      <c r="UKR83" s="1"/>
      <c r="UKS83" s="1"/>
      <c r="UKT83" s="1"/>
      <c r="UKU83" s="1"/>
      <c r="UKV83" s="1"/>
      <c r="UKW83" s="1"/>
      <c r="UKX83" s="1"/>
      <c r="UKY83" s="1"/>
      <c r="UKZ83" s="1"/>
      <c r="ULA83" s="1"/>
      <c r="ULB83" s="1"/>
      <c r="ULC83" s="1"/>
      <c r="ULD83" s="1"/>
      <c r="ULE83" s="1"/>
      <c r="ULF83" s="1"/>
      <c r="ULG83" s="1"/>
      <c r="ULH83" s="1"/>
      <c r="ULI83" s="1"/>
      <c r="ULJ83" s="1"/>
      <c r="ULK83" s="1"/>
      <c r="ULL83" s="1"/>
      <c r="ULM83" s="1"/>
      <c r="ULN83" s="1"/>
      <c r="ULO83" s="1"/>
      <c r="ULP83" s="1"/>
      <c r="ULQ83" s="1"/>
      <c r="ULR83" s="1"/>
      <c r="ULS83" s="1"/>
      <c r="ULT83" s="1"/>
      <c r="ULU83" s="1"/>
      <c r="ULV83" s="1"/>
      <c r="ULW83" s="1"/>
      <c r="ULX83" s="1"/>
      <c r="ULY83" s="1"/>
      <c r="ULZ83" s="1"/>
      <c r="UMA83" s="1"/>
      <c r="UMB83" s="1"/>
      <c r="UMC83" s="1"/>
      <c r="UMD83" s="1"/>
      <c r="UME83" s="1"/>
      <c r="UMF83" s="1"/>
      <c r="UMG83" s="1"/>
      <c r="UMH83" s="1"/>
      <c r="UMI83" s="1"/>
      <c r="UMJ83" s="1"/>
      <c r="UMK83" s="1"/>
      <c r="UML83" s="1"/>
      <c r="UMM83" s="1"/>
      <c r="UMN83" s="1"/>
      <c r="UMO83" s="1"/>
      <c r="UMP83" s="1"/>
      <c r="UMQ83" s="1"/>
      <c r="UMR83" s="1"/>
      <c r="UMS83" s="1"/>
      <c r="UMT83" s="1"/>
      <c r="UMU83" s="1"/>
      <c r="UMV83" s="1"/>
      <c r="UMW83" s="1"/>
      <c r="UMX83" s="1"/>
      <c r="UMY83" s="1"/>
      <c r="UMZ83" s="1"/>
      <c r="UNA83" s="1"/>
      <c r="UNB83" s="1"/>
      <c r="UNC83" s="1"/>
      <c r="UND83" s="1"/>
      <c r="UNE83" s="1"/>
      <c r="UNF83" s="1"/>
      <c r="UNG83" s="1"/>
      <c r="UNH83" s="1"/>
      <c r="UNI83" s="1"/>
      <c r="UNJ83" s="1"/>
      <c r="UNK83" s="1"/>
      <c r="UNL83" s="1"/>
      <c r="UNM83" s="1"/>
      <c r="UNN83" s="1"/>
      <c r="UNO83" s="1"/>
      <c r="UNP83" s="1"/>
      <c r="UNQ83" s="1"/>
      <c r="UNR83" s="1"/>
      <c r="UNS83" s="1"/>
      <c r="UNT83" s="1"/>
      <c r="UNU83" s="1"/>
      <c r="UNV83" s="1"/>
      <c r="UNW83" s="1"/>
      <c r="UNX83" s="1"/>
      <c r="UNY83" s="1"/>
      <c r="UNZ83" s="1"/>
      <c r="UOA83" s="1"/>
      <c r="UOB83" s="1"/>
      <c r="UOC83" s="1"/>
      <c r="UOD83" s="1"/>
      <c r="UOE83" s="1"/>
      <c r="UOF83" s="1"/>
      <c r="UOG83" s="1"/>
      <c r="UOH83" s="1"/>
      <c r="UOI83" s="1"/>
      <c r="UOJ83" s="1"/>
      <c r="UOK83" s="1"/>
      <c r="UOL83" s="1"/>
      <c r="UOM83" s="1"/>
      <c r="UON83" s="1"/>
      <c r="UOO83" s="1"/>
      <c r="UOP83" s="1"/>
      <c r="UOQ83" s="1"/>
      <c r="UOR83" s="1"/>
      <c r="UOS83" s="1"/>
      <c r="UOT83" s="1"/>
      <c r="UOU83" s="1"/>
      <c r="UOV83" s="1"/>
      <c r="UOW83" s="1"/>
      <c r="UOX83" s="1"/>
      <c r="UOY83" s="1"/>
      <c r="UOZ83" s="1"/>
      <c r="UPA83" s="1"/>
      <c r="UPB83" s="1"/>
      <c r="UPC83" s="1"/>
      <c r="UPD83" s="1"/>
      <c r="UPE83" s="1"/>
      <c r="UPF83" s="1"/>
      <c r="UPG83" s="1"/>
      <c r="UPH83" s="1"/>
      <c r="UPI83" s="1"/>
      <c r="UPJ83" s="1"/>
      <c r="UPK83" s="1"/>
      <c r="UPL83" s="1"/>
      <c r="UPM83" s="1"/>
      <c r="UPN83" s="1"/>
      <c r="UPO83" s="1"/>
      <c r="UPP83" s="1"/>
      <c r="UPQ83" s="1"/>
      <c r="UPR83" s="1"/>
      <c r="UPS83" s="1"/>
      <c r="UPT83" s="1"/>
      <c r="UPU83" s="1"/>
      <c r="UPV83" s="1"/>
      <c r="UPW83" s="1"/>
      <c r="UPX83" s="1"/>
      <c r="UPY83" s="1"/>
      <c r="UPZ83" s="1"/>
      <c r="UQA83" s="1"/>
      <c r="UQB83" s="1"/>
      <c r="UQC83" s="1"/>
      <c r="UQD83" s="1"/>
      <c r="UQE83" s="1"/>
      <c r="UQF83" s="1"/>
      <c r="UQG83" s="1"/>
      <c r="UQH83" s="1"/>
      <c r="UQI83" s="1"/>
      <c r="UQJ83" s="1"/>
      <c r="UQK83" s="1"/>
      <c r="UQL83" s="1"/>
      <c r="UQM83" s="1"/>
      <c r="UQN83" s="1"/>
      <c r="UQO83" s="1"/>
      <c r="UQP83" s="1"/>
      <c r="UQQ83" s="1"/>
      <c r="UQR83" s="1"/>
      <c r="UQS83" s="1"/>
      <c r="UQT83" s="1"/>
      <c r="UQU83" s="1"/>
      <c r="UQV83" s="1"/>
      <c r="UQW83" s="1"/>
      <c r="UQX83" s="1"/>
      <c r="UQY83" s="1"/>
      <c r="UQZ83" s="1"/>
      <c r="URA83" s="1"/>
      <c r="URB83" s="1"/>
      <c r="URC83" s="1"/>
      <c r="URD83" s="1"/>
      <c r="URE83" s="1"/>
      <c r="URF83" s="1"/>
      <c r="URG83" s="1"/>
      <c r="URH83" s="1"/>
      <c r="URI83" s="1"/>
      <c r="URJ83" s="1"/>
      <c r="URK83" s="1"/>
      <c r="URL83" s="1"/>
      <c r="URM83" s="1"/>
      <c r="URN83" s="1"/>
      <c r="URO83" s="1"/>
      <c r="URP83" s="1"/>
      <c r="URQ83" s="1"/>
      <c r="URR83" s="1"/>
      <c r="URS83" s="1"/>
      <c r="URT83" s="1"/>
      <c r="URU83" s="1"/>
      <c r="URV83" s="1"/>
      <c r="URW83" s="1"/>
      <c r="URX83" s="1"/>
      <c r="URY83" s="1"/>
      <c r="URZ83" s="1"/>
      <c r="USA83" s="1"/>
      <c r="USB83" s="1"/>
      <c r="USC83" s="1"/>
      <c r="USD83" s="1"/>
      <c r="USE83" s="1"/>
      <c r="USF83" s="1"/>
      <c r="USG83" s="1"/>
      <c r="USH83" s="1"/>
      <c r="USI83" s="1"/>
      <c r="USJ83" s="1"/>
      <c r="USK83" s="1"/>
      <c r="USL83" s="1"/>
      <c r="USM83" s="1"/>
      <c r="USN83" s="1"/>
      <c r="USO83" s="1"/>
      <c r="USP83" s="1"/>
      <c r="USQ83" s="1"/>
      <c r="USR83" s="1"/>
      <c r="USS83" s="1"/>
      <c r="UST83" s="1"/>
      <c r="USU83" s="1"/>
      <c r="USV83" s="1"/>
      <c r="USW83" s="1"/>
      <c r="USX83" s="1"/>
      <c r="USY83" s="1"/>
      <c r="USZ83" s="1"/>
      <c r="UTA83" s="1"/>
      <c r="UTB83" s="1"/>
      <c r="UTC83" s="1"/>
      <c r="UTD83" s="1"/>
      <c r="UTE83" s="1"/>
      <c r="UTF83" s="1"/>
      <c r="UTG83" s="1"/>
      <c r="UTH83" s="1"/>
      <c r="UTI83" s="1"/>
      <c r="UTJ83" s="1"/>
      <c r="UTK83" s="1"/>
      <c r="UTL83" s="1"/>
      <c r="UTM83" s="1"/>
      <c r="UTN83" s="1"/>
      <c r="UTO83" s="1"/>
      <c r="UTP83" s="1"/>
      <c r="UTQ83" s="1"/>
      <c r="UTR83" s="1"/>
      <c r="UTS83" s="1"/>
      <c r="UTT83" s="1"/>
      <c r="UTU83" s="1"/>
      <c r="UTV83" s="1"/>
      <c r="UTW83" s="1"/>
      <c r="UTX83" s="1"/>
      <c r="UTY83" s="1"/>
      <c r="UTZ83" s="1"/>
      <c r="UUA83" s="1"/>
      <c r="UUB83" s="1"/>
      <c r="UUC83" s="1"/>
      <c r="UUD83" s="1"/>
      <c r="UUE83" s="1"/>
      <c r="UUF83" s="1"/>
      <c r="UUG83" s="1"/>
      <c r="UUH83" s="1"/>
      <c r="UUI83" s="1"/>
      <c r="UUJ83" s="1"/>
      <c r="UUK83" s="1"/>
      <c r="UUL83" s="1"/>
      <c r="UUM83" s="1"/>
      <c r="UUN83" s="1"/>
      <c r="UUO83" s="1"/>
      <c r="UUP83" s="1"/>
      <c r="UUQ83" s="1"/>
      <c r="UUR83" s="1"/>
      <c r="UUS83" s="1"/>
      <c r="UUT83" s="1"/>
      <c r="UUU83" s="1"/>
      <c r="UUV83" s="1"/>
      <c r="UUW83" s="1"/>
      <c r="UUX83" s="1"/>
      <c r="UUY83" s="1"/>
      <c r="UUZ83" s="1"/>
      <c r="UVA83" s="1"/>
      <c r="UVB83" s="1"/>
      <c r="UVC83" s="1"/>
      <c r="UVD83" s="1"/>
      <c r="UVE83" s="1"/>
      <c r="UVF83" s="1"/>
      <c r="UVG83" s="1"/>
      <c r="UVH83" s="1"/>
      <c r="UVI83" s="1"/>
      <c r="UVJ83" s="1"/>
      <c r="UVK83" s="1"/>
      <c r="UVL83" s="1"/>
      <c r="UVM83" s="1"/>
      <c r="UVN83" s="1"/>
      <c r="UVO83" s="1"/>
      <c r="UVP83" s="1"/>
      <c r="UVQ83" s="1"/>
      <c r="UVR83" s="1"/>
      <c r="UVS83" s="1"/>
      <c r="UVT83" s="1"/>
      <c r="UVU83" s="1"/>
      <c r="UVV83" s="1"/>
      <c r="UVW83" s="1"/>
      <c r="UVX83" s="1"/>
      <c r="UVY83" s="1"/>
      <c r="UVZ83" s="1"/>
      <c r="UWA83" s="1"/>
      <c r="UWB83" s="1"/>
      <c r="UWC83" s="1"/>
      <c r="UWD83" s="1"/>
      <c r="UWE83" s="1"/>
      <c r="UWF83" s="1"/>
      <c r="UWG83" s="1"/>
      <c r="UWH83" s="1"/>
      <c r="UWI83" s="1"/>
      <c r="UWJ83" s="1"/>
      <c r="UWK83" s="1"/>
      <c r="UWL83" s="1"/>
      <c r="UWM83" s="1"/>
      <c r="UWN83" s="1"/>
      <c r="UWO83" s="1"/>
      <c r="UWP83" s="1"/>
      <c r="UWQ83" s="1"/>
      <c r="UWR83" s="1"/>
      <c r="UWS83" s="1"/>
      <c r="UWT83" s="1"/>
      <c r="UWU83" s="1"/>
      <c r="UWV83" s="1"/>
      <c r="UWW83" s="1"/>
      <c r="UWX83" s="1"/>
      <c r="UWY83" s="1"/>
      <c r="UWZ83" s="1"/>
      <c r="UXA83" s="1"/>
      <c r="UXB83" s="1"/>
      <c r="UXC83" s="1"/>
      <c r="UXD83" s="1"/>
      <c r="UXE83" s="1"/>
      <c r="UXF83" s="1"/>
      <c r="UXG83" s="1"/>
      <c r="UXH83" s="1"/>
      <c r="UXI83" s="1"/>
      <c r="UXJ83" s="1"/>
      <c r="UXK83" s="1"/>
      <c r="UXL83" s="1"/>
      <c r="UXM83" s="1"/>
      <c r="UXN83" s="1"/>
      <c r="UXO83" s="1"/>
      <c r="UXP83" s="1"/>
      <c r="UXQ83" s="1"/>
      <c r="UXR83" s="1"/>
      <c r="UXS83" s="1"/>
      <c r="UXT83" s="1"/>
      <c r="UXU83" s="1"/>
      <c r="UXV83" s="1"/>
      <c r="UXW83" s="1"/>
      <c r="UXX83" s="1"/>
      <c r="UXY83" s="1"/>
      <c r="UXZ83" s="1"/>
      <c r="UYA83" s="1"/>
      <c r="UYB83" s="1"/>
      <c r="UYC83" s="1"/>
      <c r="UYD83" s="1"/>
      <c r="UYE83" s="1"/>
      <c r="UYF83" s="1"/>
      <c r="UYG83" s="1"/>
      <c r="UYH83" s="1"/>
      <c r="UYI83" s="1"/>
      <c r="UYJ83" s="1"/>
      <c r="UYK83" s="1"/>
      <c r="UYL83" s="1"/>
      <c r="UYM83" s="1"/>
      <c r="UYN83" s="1"/>
      <c r="UYO83" s="1"/>
      <c r="UYP83" s="1"/>
      <c r="UYQ83" s="1"/>
      <c r="UYR83" s="1"/>
      <c r="UYS83" s="1"/>
      <c r="UYT83" s="1"/>
      <c r="UYU83" s="1"/>
      <c r="UYV83" s="1"/>
      <c r="UYW83" s="1"/>
      <c r="UYX83" s="1"/>
      <c r="UYY83" s="1"/>
      <c r="UYZ83" s="1"/>
      <c r="UZA83" s="1"/>
      <c r="UZB83" s="1"/>
      <c r="UZC83" s="1"/>
      <c r="UZD83" s="1"/>
      <c r="UZE83" s="1"/>
      <c r="UZF83" s="1"/>
      <c r="UZG83" s="1"/>
      <c r="UZH83" s="1"/>
      <c r="UZI83" s="1"/>
      <c r="UZJ83" s="1"/>
      <c r="UZK83" s="1"/>
      <c r="UZL83" s="1"/>
      <c r="UZM83" s="1"/>
      <c r="UZN83" s="1"/>
      <c r="UZO83" s="1"/>
      <c r="UZP83" s="1"/>
      <c r="UZQ83" s="1"/>
      <c r="UZR83" s="1"/>
      <c r="UZS83" s="1"/>
      <c r="UZT83" s="1"/>
      <c r="UZU83" s="1"/>
      <c r="UZV83" s="1"/>
      <c r="UZW83" s="1"/>
      <c r="UZX83" s="1"/>
      <c r="UZY83" s="1"/>
      <c r="UZZ83" s="1"/>
      <c r="VAA83" s="1"/>
      <c r="VAB83" s="1"/>
      <c r="VAC83" s="1"/>
      <c r="VAD83" s="1"/>
      <c r="VAE83" s="1"/>
      <c r="VAF83" s="1"/>
      <c r="VAG83" s="1"/>
      <c r="VAH83" s="1"/>
      <c r="VAI83" s="1"/>
      <c r="VAJ83" s="1"/>
      <c r="VAK83" s="1"/>
      <c r="VAL83" s="1"/>
      <c r="VAM83" s="1"/>
      <c r="VAN83" s="1"/>
      <c r="VAO83" s="1"/>
      <c r="VAP83" s="1"/>
      <c r="VAQ83" s="1"/>
      <c r="VAR83" s="1"/>
      <c r="VAS83" s="1"/>
      <c r="VAT83" s="1"/>
      <c r="VAU83" s="1"/>
      <c r="VAV83" s="1"/>
      <c r="VAW83" s="1"/>
      <c r="VAX83" s="1"/>
      <c r="VAY83" s="1"/>
      <c r="VAZ83" s="1"/>
      <c r="VBA83" s="1"/>
      <c r="VBB83" s="1"/>
      <c r="VBC83" s="1"/>
      <c r="VBD83" s="1"/>
      <c r="VBE83" s="1"/>
      <c r="VBF83" s="1"/>
      <c r="VBG83" s="1"/>
      <c r="VBH83" s="1"/>
      <c r="VBI83" s="1"/>
      <c r="VBJ83" s="1"/>
      <c r="VBK83" s="1"/>
      <c r="VBL83" s="1"/>
      <c r="VBM83" s="1"/>
      <c r="VBN83" s="1"/>
      <c r="VBO83" s="1"/>
      <c r="VBP83" s="1"/>
      <c r="VBQ83" s="1"/>
      <c r="VBR83" s="1"/>
      <c r="VBS83" s="1"/>
      <c r="VBT83" s="1"/>
      <c r="VBU83" s="1"/>
      <c r="VBV83" s="1"/>
      <c r="VBW83" s="1"/>
      <c r="VBX83" s="1"/>
      <c r="VBY83" s="1"/>
      <c r="VBZ83" s="1"/>
      <c r="VCA83" s="1"/>
      <c r="VCB83" s="1"/>
      <c r="VCC83" s="1"/>
      <c r="VCD83" s="1"/>
      <c r="VCE83" s="1"/>
      <c r="VCF83" s="1"/>
      <c r="VCG83" s="1"/>
      <c r="VCH83" s="1"/>
      <c r="VCI83" s="1"/>
      <c r="VCJ83" s="1"/>
      <c r="VCK83" s="1"/>
      <c r="VCL83" s="1"/>
      <c r="VCM83" s="1"/>
      <c r="VCN83" s="1"/>
      <c r="VCO83" s="1"/>
      <c r="VCP83" s="1"/>
      <c r="VCQ83" s="1"/>
      <c r="VCR83" s="1"/>
      <c r="VCS83" s="1"/>
      <c r="VCT83" s="1"/>
      <c r="VCU83" s="1"/>
      <c r="VCV83" s="1"/>
      <c r="VCW83" s="1"/>
      <c r="VCX83" s="1"/>
      <c r="VCY83" s="1"/>
      <c r="VCZ83" s="1"/>
      <c r="VDA83" s="1"/>
      <c r="VDB83" s="1"/>
      <c r="VDC83" s="1"/>
      <c r="VDD83" s="1"/>
      <c r="VDE83" s="1"/>
      <c r="VDF83" s="1"/>
      <c r="VDG83" s="1"/>
      <c r="VDH83" s="1"/>
      <c r="VDI83" s="1"/>
      <c r="VDJ83" s="1"/>
      <c r="VDK83" s="1"/>
      <c r="VDL83" s="1"/>
      <c r="VDM83" s="1"/>
      <c r="VDN83" s="1"/>
      <c r="VDO83" s="1"/>
      <c r="VDP83" s="1"/>
      <c r="VDQ83" s="1"/>
      <c r="VDR83" s="1"/>
      <c r="VDS83" s="1"/>
      <c r="VDT83" s="1"/>
      <c r="VDU83" s="1"/>
      <c r="VDV83" s="1"/>
      <c r="VDW83" s="1"/>
      <c r="VDX83" s="1"/>
      <c r="VDY83" s="1"/>
      <c r="VDZ83" s="1"/>
      <c r="VEA83" s="1"/>
      <c r="VEB83" s="1"/>
      <c r="VEC83" s="1"/>
      <c r="VED83" s="1"/>
      <c r="VEE83" s="1"/>
      <c r="VEF83" s="1"/>
      <c r="VEG83" s="1"/>
      <c r="VEH83" s="1"/>
      <c r="VEI83" s="1"/>
      <c r="VEJ83" s="1"/>
      <c r="VEK83" s="1"/>
      <c r="VEL83" s="1"/>
      <c r="VEM83" s="1"/>
      <c r="VEN83" s="1"/>
      <c r="VEO83" s="1"/>
      <c r="VEP83" s="1"/>
      <c r="VEQ83" s="1"/>
      <c r="VER83" s="1"/>
      <c r="VES83" s="1"/>
      <c r="VET83" s="1"/>
      <c r="VEU83" s="1"/>
      <c r="VEV83" s="1"/>
      <c r="VEW83" s="1"/>
      <c r="VEX83" s="1"/>
      <c r="VEY83" s="1"/>
      <c r="VEZ83" s="1"/>
      <c r="VFA83" s="1"/>
      <c r="VFB83" s="1"/>
      <c r="VFC83" s="1"/>
      <c r="VFD83" s="1"/>
      <c r="VFE83" s="1"/>
      <c r="VFF83" s="1"/>
      <c r="VFG83" s="1"/>
      <c r="VFH83" s="1"/>
      <c r="VFI83" s="1"/>
      <c r="VFJ83" s="1"/>
      <c r="VFK83" s="1"/>
      <c r="VFL83" s="1"/>
      <c r="VFM83" s="1"/>
      <c r="VFN83" s="1"/>
      <c r="VFO83" s="1"/>
      <c r="VFP83" s="1"/>
      <c r="VFQ83" s="1"/>
      <c r="VFR83" s="1"/>
      <c r="VFS83" s="1"/>
      <c r="VFT83" s="1"/>
      <c r="VFU83" s="1"/>
      <c r="VFV83" s="1"/>
      <c r="VFW83" s="1"/>
      <c r="VFX83" s="1"/>
      <c r="VFY83" s="1"/>
      <c r="VFZ83" s="1"/>
      <c r="VGA83" s="1"/>
      <c r="VGB83" s="1"/>
      <c r="VGC83" s="1"/>
      <c r="VGD83" s="1"/>
      <c r="VGE83" s="1"/>
      <c r="VGF83" s="1"/>
      <c r="VGG83" s="1"/>
      <c r="VGH83" s="1"/>
      <c r="VGI83" s="1"/>
      <c r="VGJ83" s="1"/>
      <c r="VGK83" s="1"/>
      <c r="VGL83" s="1"/>
      <c r="VGM83" s="1"/>
      <c r="VGN83" s="1"/>
      <c r="VGO83" s="1"/>
      <c r="VGP83" s="1"/>
      <c r="VGQ83" s="1"/>
      <c r="VGR83" s="1"/>
      <c r="VGS83" s="1"/>
      <c r="VGT83" s="1"/>
      <c r="VGU83" s="1"/>
      <c r="VGV83" s="1"/>
      <c r="VGW83" s="1"/>
      <c r="VGX83" s="1"/>
      <c r="VGY83" s="1"/>
      <c r="VGZ83" s="1"/>
      <c r="VHA83" s="1"/>
      <c r="VHB83" s="1"/>
      <c r="VHC83" s="1"/>
      <c r="VHD83" s="1"/>
      <c r="VHE83" s="1"/>
      <c r="VHF83" s="1"/>
      <c r="VHG83" s="1"/>
      <c r="VHH83" s="1"/>
      <c r="VHI83" s="1"/>
      <c r="VHJ83" s="1"/>
      <c r="VHK83" s="1"/>
      <c r="VHL83" s="1"/>
      <c r="VHM83" s="1"/>
      <c r="VHN83" s="1"/>
      <c r="VHO83" s="1"/>
      <c r="VHP83" s="1"/>
      <c r="VHQ83" s="1"/>
      <c r="VHR83" s="1"/>
      <c r="VHS83" s="1"/>
      <c r="VHT83" s="1"/>
      <c r="VHU83" s="1"/>
      <c r="VHV83" s="1"/>
      <c r="VHW83" s="1"/>
      <c r="VHX83" s="1"/>
      <c r="VHY83" s="1"/>
      <c r="VHZ83" s="1"/>
      <c r="VIA83" s="1"/>
      <c r="VIB83" s="1"/>
      <c r="VIC83" s="1"/>
      <c r="VID83" s="1"/>
      <c r="VIE83" s="1"/>
      <c r="VIF83" s="1"/>
      <c r="VIG83" s="1"/>
      <c r="VIH83" s="1"/>
      <c r="VII83" s="1"/>
      <c r="VIJ83" s="1"/>
      <c r="VIK83" s="1"/>
      <c r="VIL83" s="1"/>
      <c r="VIM83" s="1"/>
      <c r="VIN83" s="1"/>
      <c r="VIO83" s="1"/>
      <c r="VIP83" s="1"/>
      <c r="VIQ83" s="1"/>
      <c r="VIR83" s="1"/>
      <c r="VIS83" s="1"/>
      <c r="VIT83" s="1"/>
      <c r="VIU83" s="1"/>
      <c r="VIV83" s="1"/>
      <c r="VIW83" s="1"/>
      <c r="VIX83" s="1"/>
      <c r="VIY83" s="1"/>
      <c r="VIZ83" s="1"/>
      <c r="VJA83" s="1"/>
      <c r="VJB83" s="1"/>
      <c r="VJC83" s="1"/>
      <c r="VJD83" s="1"/>
      <c r="VJE83" s="1"/>
      <c r="VJF83" s="1"/>
      <c r="VJG83" s="1"/>
      <c r="VJH83" s="1"/>
      <c r="VJI83" s="1"/>
      <c r="VJJ83" s="1"/>
      <c r="VJK83" s="1"/>
      <c r="VJL83" s="1"/>
      <c r="VJM83" s="1"/>
      <c r="VJN83" s="1"/>
      <c r="VJO83" s="1"/>
      <c r="VJP83" s="1"/>
      <c r="VJQ83" s="1"/>
      <c r="VJR83" s="1"/>
      <c r="VJS83" s="1"/>
      <c r="VJT83" s="1"/>
      <c r="VJU83" s="1"/>
      <c r="VJV83" s="1"/>
      <c r="VJW83" s="1"/>
      <c r="VJX83" s="1"/>
      <c r="VJY83" s="1"/>
      <c r="VJZ83" s="1"/>
      <c r="VKA83" s="1"/>
      <c r="VKB83" s="1"/>
      <c r="VKC83" s="1"/>
      <c r="VKD83" s="1"/>
      <c r="VKE83" s="1"/>
      <c r="VKF83" s="1"/>
      <c r="VKG83" s="1"/>
      <c r="VKH83" s="1"/>
      <c r="VKI83" s="1"/>
      <c r="VKJ83" s="1"/>
      <c r="VKK83" s="1"/>
      <c r="VKL83" s="1"/>
      <c r="VKM83" s="1"/>
      <c r="VKN83" s="1"/>
      <c r="VKO83" s="1"/>
      <c r="VKP83" s="1"/>
      <c r="VKQ83" s="1"/>
      <c r="VKR83" s="1"/>
      <c r="VKS83" s="1"/>
      <c r="VKT83" s="1"/>
      <c r="VKU83" s="1"/>
      <c r="VKV83" s="1"/>
      <c r="VKW83" s="1"/>
      <c r="VKX83" s="1"/>
      <c r="VKY83" s="1"/>
      <c r="VKZ83" s="1"/>
      <c r="VLA83" s="1"/>
      <c r="VLB83" s="1"/>
      <c r="VLC83" s="1"/>
      <c r="VLD83" s="1"/>
      <c r="VLE83" s="1"/>
      <c r="VLF83" s="1"/>
      <c r="VLG83" s="1"/>
      <c r="VLH83" s="1"/>
      <c r="VLI83" s="1"/>
      <c r="VLJ83" s="1"/>
      <c r="VLK83" s="1"/>
      <c r="VLL83" s="1"/>
      <c r="VLM83" s="1"/>
      <c r="VLN83" s="1"/>
      <c r="VLO83" s="1"/>
      <c r="VLP83" s="1"/>
      <c r="VLQ83" s="1"/>
      <c r="VLR83" s="1"/>
      <c r="VLS83" s="1"/>
      <c r="VLT83" s="1"/>
      <c r="VLU83" s="1"/>
      <c r="VLV83" s="1"/>
      <c r="VLW83" s="1"/>
      <c r="VLX83" s="1"/>
      <c r="VLY83" s="1"/>
      <c r="VLZ83" s="1"/>
      <c r="VMA83" s="1"/>
      <c r="VMB83" s="1"/>
      <c r="VMC83" s="1"/>
      <c r="VMD83" s="1"/>
      <c r="VME83" s="1"/>
      <c r="VMF83" s="1"/>
      <c r="VMG83" s="1"/>
      <c r="VMH83" s="1"/>
      <c r="VMI83" s="1"/>
      <c r="VMJ83" s="1"/>
      <c r="VMK83" s="1"/>
      <c r="VML83" s="1"/>
      <c r="VMM83" s="1"/>
      <c r="VMN83" s="1"/>
      <c r="VMO83" s="1"/>
      <c r="VMP83" s="1"/>
      <c r="VMQ83" s="1"/>
      <c r="VMR83" s="1"/>
      <c r="VMS83" s="1"/>
      <c r="VMT83" s="1"/>
      <c r="VMU83" s="1"/>
      <c r="VMV83" s="1"/>
      <c r="VMW83" s="1"/>
      <c r="VMX83" s="1"/>
      <c r="VMY83" s="1"/>
      <c r="VMZ83" s="1"/>
      <c r="VNA83" s="1"/>
      <c r="VNB83" s="1"/>
      <c r="VNC83" s="1"/>
      <c r="VND83" s="1"/>
      <c r="VNE83" s="1"/>
      <c r="VNF83" s="1"/>
      <c r="VNG83" s="1"/>
      <c r="VNH83" s="1"/>
      <c r="VNI83" s="1"/>
      <c r="VNJ83" s="1"/>
      <c r="VNK83" s="1"/>
      <c r="VNL83" s="1"/>
      <c r="VNM83" s="1"/>
      <c r="VNN83" s="1"/>
      <c r="VNO83" s="1"/>
      <c r="VNP83" s="1"/>
      <c r="VNQ83" s="1"/>
      <c r="VNR83" s="1"/>
      <c r="VNS83" s="1"/>
      <c r="VNT83" s="1"/>
      <c r="VNU83" s="1"/>
      <c r="VNV83" s="1"/>
      <c r="VNW83" s="1"/>
      <c r="VNX83" s="1"/>
      <c r="VNY83" s="1"/>
      <c r="VNZ83" s="1"/>
      <c r="VOA83" s="1"/>
      <c r="VOB83" s="1"/>
      <c r="VOC83" s="1"/>
      <c r="VOD83" s="1"/>
      <c r="VOE83" s="1"/>
      <c r="VOF83" s="1"/>
      <c r="VOG83" s="1"/>
      <c r="VOH83" s="1"/>
      <c r="VOI83" s="1"/>
      <c r="VOJ83" s="1"/>
      <c r="VOK83" s="1"/>
      <c r="VOL83" s="1"/>
      <c r="VOM83" s="1"/>
      <c r="VON83" s="1"/>
      <c r="VOO83" s="1"/>
      <c r="VOP83" s="1"/>
      <c r="VOQ83" s="1"/>
      <c r="VOR83" s="1"/>
      <c r="VOS83" s="1"/>
      <c r="VOT83" s="1"/>
      <c r="VOU83" s="1"/>
      <c r="VOV83" s="1"/>
      <c r="VOW83" s="1"/>
      <c r="VOX83" s="1"/>
      <c r="VOY83" s="1"/>
      <c r="VOZ83" s="1"/>
      <c r="VPA83" s="1"/>
      <c r="VPB83" s="1"/>
      <c r="VPC83" s="1"/>
      <c r="VPD83" s="1"/>
      <c r="VPE83" s="1"/>
      <c r="VPF83" s="1"/>
      <c r="VPG83" s="1"/>
      <c r="VPH83" s="1"/>
      <c r="VPI83" s="1"/>
      <c r="VPJ83" s="1"/>
      <c r="VPK83" s="1"/>
      <c r="VPL83" s="1"/>
      <c r="VPM83" s="1"/>
      <c r="VPN83" s="1"/>
      <c r="VPO83" s="1"/>
      <c r="VPP83" s="1"/>
      <c r="VPQ83" s="1"/>
      <c r="VPR83" s="1"/>
      <c r="VPS83" s="1"/>
      <c r="VPT83" s="1"/>
      <c r="VPU83" s="1"/>
      <c r="VPV83" s="1"/>
      <c r="VPW83" s="1"/>
      <c r="VPX83" s="1"/>
      <c r="VPY83" s="1"/>
      <c r="VPZ83" s="1"/>
      <c r="VQA83" s="1"/>
      <c r="VQB83" s="1"/>
      <c r="VQC83" s="1"/>
      <c r="VQD83" s="1"/>
      <c r="VQE83" s="1"/>
      <c r="VQF83" s="1"/>
      <c r="VQG83" s="1"/>
      <c r="VQH83" s="1"/>
      <c r="VQI83" s="1"/>
      <c r="VQJ83" s="1"/>
      <c r="VQK83" s="1"/>
      <c r="VQL83" s="1"/>
      <c r="VQM83" s="1"/>
      <c r="VQN83" s="1"/>
      <c r="VQO83" s="1"/>
      <c r="VQP83" s="1"/>
      <c r="VQQ83" s="1"/>
      <c r="VQR83" s="1"/>
      <c r="VQS83" s="1"/>
      <c r="VQT83" s="1"/>
      <c r="VQU83" s="1"/>
      <c r="VQV83" s="1"/>
      <c r="VQW83" s="1"/>
      <c r="VQX83" s="1"/>
      <c r="VQY83" s="1"/>
      <c r="VQZ83" s="1"/>
      <c r="VRA83" s="1"/>
      <c r="VRB83" s="1"/>
      <c r="VRC83" s="1"/>
      <c r="VRD83" s="1"/>
      <c r="VRE83" s="1"/>
      <c r="VRF83" s="1"/>
      <c r="VRG83" s="1"/>
      <c r="VRH83" s="1"/>
      <c r="VRI83" s="1"/>
      <c r="VRJ83" s="1"/>
      <c r="VRK83" s="1"/>
      <c r="VRL83" s="1"/>
      <c r="VRM83" s="1"/>
      <c r="VRN83" s="1"/>
      <c r="VRO83" s="1"/>
      <c r="VRP83" s="1"/>
      <c r="VRQ83" s="1"/>
      <c r="VRR83" s="1"/>
      <c r="VRS83" s="1"/>
      <c r="VRT83" s="1"/>
      <c r="VRU83" s="1"/>
      <c r="VRV83" s="1"/>
      <c r="VRW83" s="1"/>
      <c r="VRX83" s="1"/>
      <c r="VRY83" s="1"/>
      <c r="VRZ83" s="1"/>
      <c r="VSA83" s="1"/>
      <c r="VSB83" s="1"/>
      <c r="VSC83" s="1"/>
      <c r="VSD83" s="1"/>
      <c r="VSE83" s="1"/>
      <c r="VSF83" s="1"/>
      <c r="VSG83" s="1"/>
      <c r="VSH83" s="1"/>
      <c r="VSI83" s="1"/>
      <c r="VSJ83" s="1"/>
      <c r="VSK83" s="1"/>
      <c r="VSL83" s="1"/>
      <c r="VSM83" s="1"/>
      <c r="VSN83" s="1"/>
      <c r="VSO83" s="1"/>
      <c r="VSP83" s="1"/>
      <c r="VSQ83" s="1"/>
      <c r="VSR83" s="1"/>
      <c r="VSS83" s="1"/>
      <c r="VST83" s="1"/>
      <c r="VSU83" s="1"/>
      <c r="VSV83" s="1"/>
      <c r="VSW83" s="1"/>
      <c r="VSX83" s="1"/>
      <c r="VSY83" s="1"/>
      <c r="VSZ83" s="1"/>
      <c r="VTA83" s="1"/>
      <c r="VTB83" s="1"/>
      <c r="VTC83" s="1"/>
      <c r="VTD83" s="1"/>
      <c r="VTE83" s="1"/>
      <c r="VTF83" s="1"/>
      <c r="VTG83" s="1"/>
      <c r="VTH83" s="1"/>
      <c r="VTI83" s="1"/>
      <c r="VTJ83" s="1"/>
      <c r="VTK83" s="1"/>
      <c r="VTL83" s="1"/>
      <c r="VTM83" s="1"/>
      <c r="VTN83" s="1"/>
      <c r="VTO83" s="1"/>
      <c r="VTP83" s="1"/>
      <c r="VTQ83" s="1"/>
      <c r="VTR83" s="1"/>
      <c r="VTS83" s="1"/>
      <c r="VTT83" s="1"/>
      <c r="VTU83" s="1"/>
      <c r="VTV83" s="1"/>
      <c r="VTW83" s="1"/>
      <c r="VTX83" s="1"/>
      <c r="VTY83" s="1"/>
      <c r="VTZ83" s="1"/>
      <c r="VUA83" s="1"/>
      <c r="VUB83" s="1"/>
      <c r="VUC83" s="1"/>
      <c r="VUD83" s="1"/>
      <c r="VUE83" s="1"/>
      <c r="VUF83" s="1"/>
      <c r="VUG83" s="1"/>
      <c r="VUH83" s="1"/>
      <c r="VUI83" s="1"/>
      <c r="VUJ83" s="1"/>
      <c r="VUK83" s="1"/>
      <c r="VUL83" s="1"/>
      <c r="VUM83" s="1"/>
      <c r="VUN83" s="1"/>
      <c r="VUO83" s="1"/>
      <c r="VUP83" s="1"/>
      <c r="VUQ83" s="1"/>
      <c r="VUR83" s="1"/>
      <c r="VUS83" s="1"/>
      <c r="VUT83" s="1"/>
      <c r="VUU83" s="1"/>
      <c r="VUV83" s="1"/>
      <c r="VUW83" s="1"/>
      <c r="VUX83" s="1"/>
      <c r="VUY83" s="1"/>
      <c r="VUZ83" s="1"/>
      <c r="VVA83" s="1"/>
      <c r="VVB83" s="1"/>
      <c r="VVC83" s="1"/>
      <c r="VVD83" s="1"/>
      <c r="VVE83" s="1"/>
      <c r="VVF83" s="1"/>
      <c r="VVG83" s="1"/>
      <c r="VVH83" s="1"/>
      <c r="VVI83" s="1"/>
      <c r="VVJ83" s="1"/>
      <c r="VVK83" s="1"/>
      <c r="VVL83" s="1"/>
      <c r="VVM83" s="1"/>
      <c r="VVN83" s="1"/>
      <c r="VVO83" s="1"/>
      <c r="VVP83" s="1"/>
      <c r="VVQ83" s="1"/>
      <c r="VVR83" s="1"/>
      <c r="VVS83" s="1"/>
      <c r="VVT83" s="1"/>
      <c r="VVU83" s="1"/>
      <c r="VVV83" s="1"/>
      <c r="VVW83" s="1"/>
      <c r="VVX83" s="1"/>
      <c r="VVY83" s="1"/>
      <c r="VVZ83" s="1"/>
      <c r="VWA83" s="1"/>
      <c r="VWB83" s="1"/>
      <c r="VWC83" s="1"/>
      <c r="VWD83" s="1"/>
      <c r="VWE83" s="1"/>
      <c r="VWF83" s="1"/>
      <c r="VWG83" s="1"/>
      <c r="VWH83" s="1"/>
      <c r="VWI83" s="1"/>
      <c r="VWJ83" s="1"/>
      <c r="VWK83" s="1"/>
      <c r="VWL83" s="1"/>
      <c r="VWM83" s="1"/>
      <c r="VWN83" s="1"/>
      <c r="VWO83" s="1"/>
      <c r="VWP83" s="1"/>
      <c r="VWQ83" s="1"/>
      <c r="VWR83" s="1"/>
      <c r="VWS83" s="1"/>
      <c r="VWT83" s="1"/>
      <c r="VWU83" s="1"/>
      <c r="VWV83" s="1"/>
      <c r="VWW83" s="1"/>
      <c r="VWX83" s="1"/>
      <c r="VWY83" s="1"/>
      <c r="VWZ83" s="1"/>
      <c r="VXA83" s="1"/>
      <c r="VXB83" s="1"/>
      <c r="VXC83" s="1"/>
      <c r="VXD83" s="1"/>
      <c r="VXE83" s="1"/>
      <c r="VXF83" s="1"/>
      <c r="VXG83" s="1"/>
      <c r="VXH83" s="1"/>
      <c r="VXI83" s="1"/>
      <c r="VXJ83" s="1"/>
      <c r="VXK83" s="1"/>
      <c r="VXL83" s="1"/>
      <c r="VXM83" s="1"/>
      <c r="VXN83" s="1"/>
      <c r="VXO83" s="1"/>
      <c r="VXP83" s="1"/>
      <c r="VXQ83" s="1"/>
      <c r="VXR83" s="1"/>
      <c r="VXS83" s="1"/>
      <c r="VXT83" s="1"/>
      <c r="VXU83" s="1"/>
      <c r="VXV83" s="1"/>
      <c r="VXW83" s="1"/>
      <c r="VXX83" s="1"/>
      <c r="VXY83" s="1"/>
      <c r="VXZ83" s="1"/>
      <c r="VYA83" s="1"/>
      <c r="VYB83" s="1"/>
      <c r="VYC83" s="1"/>
      <c r="VYD83" s="1"/>
      <c r="VYE83" s="1"/>
      <c r="VYF83" s="1"/>
      <c r="VYG83" s="1"/>
      <c r="VYH83" s="1"/>
      <c r="VYI83" s="1"/>
      <c r="VYJ83" s="1"/>
      <c r="VYK83" s="1"/>
      <c r="VYL83" s="1"/>
      <c r="VYM83" s="1"/>
      <c r="VYN83" s="1"/>
      <c r="VYO83" s="1"/>
      <c r="VYP83" s="1"/>
      <c r="VYQ83" s="1"/>
      <c r="VYR83" s="1"/>
      <c r="VYS83" s="1"/>
      <c r="VYT83" s="1"/>
      <c r="VYU83" s="1"/>
      <c r="VYV83" s="1"/>
      <c r="VYW83" s="1"/>
      <c r="VYX83" s="1"/>
      <c r="VYY83" s="1"/>
      <c r="VYZ83" s="1"/>
      <c r="VZA83" s="1"/>
      <c r="VZB83" s="1"/>
      <c r="VZC83" s="1"/>
      <c r="VZD83" s="1"/>
      <c r="VZE83" s="1"/>
      <c r="VZF83" s="1"/>
      <c r="VZG83" s="1"/>
      <c r="VZH83" s="1"/>
      <c r="VZI83" s="1"/>
      <c r="VZJ83" s="1"/>
      <c r="VZK83" s="1"/>
      <c r="VZL83" s="1"/>
      <c r="VZM83" s="1"/>
      <c r="VZN83" s="1"/>
      <c r="VZO83" s="1"/>
      <c r="VZP83" s="1"/>
      <c r="VZQ83" s="1"/>
      <c r="VZR83" s="1"/>
      <c r="VZS83" s="1"/>
      <c r="VZT83" s="1"/>
      <c r="VZU83" s="1"/>
      <c r="VZV83" s="1"/>
      <c r="VZW83" s="1"/>
      <c r="VZX83" s="1"/>
      <c r="VZY83" s="1"/>
      <c r="VZZ83" s="1"/>
      <c r="WAA83" s="1"/>
      <c r="WAB83" s="1"/>
      <c r="WAC83" s="1"/>
      <c r="WAD83" s="1"/>
      <c r="WAE83" s="1"/>
      <c r="WAF83" s="1"/>
      <c r="WAG83" s="1"/>
      <c r="WAH83" s="1"/>
      <c r="WAI83" s="1"/>
      <c r="WAJ83" s="1"/>
      <c r="WAK83" s="1"/>
      <c r="WAL83" s="1"/>
      <c r="WAM83" s="1"/>
      <c r="WAN83" s="1"/>
      <c r="WAO83" s="1"/>
      <c r="WAP83" s="1"/>
      <c r="WAQ83" s="1"/>
      <c r="WAR83" s="1"/>
      <c r="WAS83" s="1"/>
      <c r="WAT83" s="1"/>
      <c r="WAU83" s="1"/>
      <c r="WAV83" s="1"/>
      <c r="WAW83" s="1"/>
      <c r="WAX83" s="1"/>
      <c r="WAY83" s="1"/>
      <c r="WAZ83" s="1"/>
      <c r="WBA83" s="1"/>
      <c r="WBB83" s="1"/>
      <c r="WBC83" s="1"/>
      <c r="WBD83" s="1"/>
      <c r="WBE83" s="1"/>
      <c r="WBF83" s="1"/>
      <c r="WBG83" s="1"/>
      <c r="WBH83" s="1"/>
      <c r="WBI83" s="1"/>
      <c r="WBJ83" s="1"/>
      <c r="WBK83" s="1"/>
      <c r="WBL83" s="1"/>
      <c r="WBM83" s="1"/>
      <c r="WBN83" s="1"/>
      <c r="WBO83" s="1"/>
      <c r="WBP83" s="1"/>
      <c r="WBQ83" s="1"/>
      <c r="WBR83" s="1"/>
      <c r="WBS83" s="1"/>
      <c r="WBT83" s="1"/>
      <c r="WBU83" s="1"/>
      <c r="WBV83" s="1"/>
      <c r="WBW83" s="1"/>
      <c r="WBX83" s="1"/>
      <c r="WBY83" s="1"/>
      <c r="WBZ83" s="1"/>
      <c r="WCA83" s="1"/>
      <c r="WCB83" s="1"/>
      <c r="WCC83" s="1"/>
      <c r="WCD83" s="1"/>
      <c r="WCE83" s="1"/>
      <c r="WCF83" s="1"/>
      <c r="WCG83" s="1"/>
      <c r="WCH83" s="1"/>
      <c r="WCI83" s="1"/>
      <c r="WCJ83" s="1"/>
      <c r="WCK83" s="1"/>
      <c r="WCL83" s="1"/>
      <c r="WCM83" s="1"/>
      <c r="WCN83" s="1"/>
      <c r="WCO83" s="1"/>
      <c r="WCP83" s="1"/>
      <c r="WCQ83" s="1"/>
      <c r="WCR83" s="1"/>
      <c r="WCS83" s="1"/>
      <c r="WCT83" s="1"/>
      <c r="WCU83" s="1"/>
      <c r="WCV83" s="1"/>
      <c r="WCW83" s="1"/>
      <c r="WCX83" s="1"/>
      <c r="WCY83" s="1"/>
      <c r="WCZ83" s="1"/>
      <c r="WDA83" s="1"/>
      <c r="WDB83" s="1"/>
      <c r="WDC83" s="1"/>
      <c r="WDD83" s="1"/>
      <c r="WDE83" s="1"/>
      <c r="WDF83" s="1"/>
      <c r="WDG83" s="1"/>
      <c r="WDH83" s="1"/>
      <c r="WDI83" s="1"/>
      <c r="WDJ83" s="1"/>
      <c r="WDK83" s="1"/>
      <c r="WDL83" s="1"/>
      <c r="WDM83" s="1"/>
      <c r="WDN83" s="1"/>
      <c r="WDO83" s="1"/>
      <c r="WDP83" s="1"/>
      <c r="WDQ83" s="1"/>
      <c r="WDR83" s="1"/>
      <c r="WDS83" s="1"/>
      <c r="WDT83" s="1"/>
      <c r="WDU83" s="1"/>
      <c r="WDV83" s="1"/>
      <c r="WDW83" s="1"/>
      <c r="WDX83" s="1"/>
      <c r="WDY83" s="1"/>
      <c r="WDZ83" s="1"/>
      <c r="WEA83" s="1"/>
      <c r="WEB83" s="1"/>
      <c r="WEC83" s="1"/>
      <c r="WED83" s="1"/>
      <c r="WEE83" s="1"/>
      <c r="WEF83" s="1"/>
      <c r="WEG83" s="1"/>
      <c r="WEH83" s="1"/>
      <c r="WEI83" s="1"/>
      <c r="WEJ83" s="1"/>
      <c r="WEK83" s="1"/>
      <c r="WEL83" s="1"/>
      <c r="WEM83" s="1"/>
      <c r="WEN83" s="1"/>
      <c r="WEO83" s="1"/>
      <c r="WEP83" s="1"/>
      <c r="WEQ83" s="1"/>
      <c r="WER83" s="1"/>
      <c r="WES83" s="1"/>
      <c r="WET83" s="1"/>
      <c r="WEU83" s="1"/>
      <c r="WEV83" s="1"/>
      <c r="WEW83" s="1"/>
      <c r="WEX83" s="1"/>
      <c r="WEY83" s="1"/>
      <c r="WEZ83" s="1"/>
      <c r="WFA83" s="1"/>
      <c r="WFB83" s="1"/>
      <c r="WFC83" s="1"/>
      <c r="WFD83" s="1"/>
      <c r="WFE83" s="1"/>
      <c r="WFF83" s="1"/>
      <c r="WFG83" s="1"/>
      <c r="WFH83" s="1"/>
      <c r="WFI83" s="1"/>
      <c r="WFJ83" s="1"/>
      <c r="WFK83" s="1"/>
      <c r="WFL83" s="1"/>
      <c r="WFM83" s="1"/>
      <c r="WFN83" s="1"/>
      <c r="WFO83" s="1"/>
      <c r="WFP83" s="1"/>
      <c r="WFQ83" s="1"/>
      <c r="WFR83" s="1"/>
      <c r="WFS83" s="1"/>
      <c r="WFT83" s="1"/>
      <c r="WFU83" s="1"/>
      <c r="WFV83" s="1"/>
      <c r="WFW83" s="1"/>
      <c r="WFX83" s="1"/>
      <c r="WFY83" s="1"/>
      <c r="WFZ83" s="1"/>
      <c r="WGA83" s="1"/>
      <c r="WGB83" s="1"/>
      <c r="WGC83" s="1"/>
      <c r="WGD83" s="1"/>
      <c r="WGE83" s="1"/>
      <c r="WGF83" s="1"/>
      <c r="WGG83" s="1"/>
      <c r="WGH83" s="1"/>
      <c r="WGI83" s="1"/>
      <c r="WGJ83" s="1"/>
      <c r="WGK83" s="1"/>
      <c r="WGL83" s="1"/>
      <c r="WGM83" s="1"/>
      <c r="WGN83" s="1"/>
      <c r="WGO83" s="1"/>
      <c r="WGP83" s="1"/>
      <c r="WGQ83" s="1"/>
      <c r="WGR83" s="1"/>
      <c r="WGS83" s="1"/>
      <c r="WGT83" s="1"/>
      <c r="WGU83" s="1"/>
      <c r="WGV83" s="1"/>
      <c r="WGW83" s="1"/>
      <c r="WGX83" s="1"/>
      <c r="WGY83" s="1"/>
      <c r="WGZ83" s="1"/>
      <c r="WHA83" s="1"/>
      <c r="WHB83" s="1"/>
      <c r="WHC83" s="1"/>
      <c r="WHD83" s="1"/>
      <c r="WHE83" s="1"/>
      <c r="WHF83" s="1"/>
      <c r="WHG83" s="1"/>
      <c r="WHH83" s="1"/>
      <c r="WHI83" s="1"/>
      <c r="WHJ83" s="1"/>
      <c r="WHK83" s="1"/>
      <c r="WHL83" s="1"/>
      <c r="WHM83" s="1"/>
      <c r="WHN83" s="1"/>
      <c r="WHO83" s="1"/>
      <c r="WHP83" s="1"/>
      <c r="WHQ83" s="1"/>
      <c r="WHR83" s="1"/>
      <c r="WHS83" s="1"/>
      <c r="WHT83" s="1"/>
      <c r="WHU83" s="1"/>
      <c r="WHV83" s="1"/>
      <c r="WHW83" s="1"/>
      <c r="WHX83" s="1"/>
      <c r="WHY83" s="1"/>
      <c r="WHZ83" s="1"/>
      <c r="WIA83" s="1"/>
      <c r="WIB83" s="1"/>
      <c r="WIC83" s="1"/>
      <c r="WID83" s="1"/>
      <c r="WIE83" s="1"/>
      <c r="WIF83" s="1"/>
      <c r="WIG83" s="1"/>
      <c r="WIH83" s="1"/>
      <c r="WII83" s="1"/>
      <c r="WIJ83" s="1"/>
      <c r="WIK83" s="1"/>
      <c r="WIL83" s="1"/>
      <c r="WIM83" s="1"/>
      <c r="WIN83" s="1"/>
      <c r="WIO83" s="1"/>
      <c r="WIP83" s="1"/>
      <c r="WIQ83" s="1"/>
      <c r="WIR83" s="1"/>
      <c r="WIS83" s="1"/>
      <c r="WIT83" s="1"/>
      <c r="WIU83" s="1"/>
      <c r="WIV83" s="1"/>
      <c r="WIW83" s="1"/>
      <c r="WIX83" s="1"/>
      <c r="WIY83" s="1"/>
      <c r="WIZ83" s="1"/>
      <c r="WJA83" s="1"/>
      <c r="WJB83" s="1"/>
      <c r="WJC83" s="1"/>
      <c r="WJD83" s="1"/>
      <c r="WJE83" s="1"/>
      <c r="WJF83" s="1"/>
      <c r="WJG83" s="1"/>
      <c r="WJH83" s="1"/>
      <c r="WJI83" s="1"/>
      <c r="WJJ83" s="1"/>
      <c r="WJK83" s="1"/>
      <c r="WJL83" s="1"/>
      <c r="WJM83" s="1"/>
      <c r="WJN83" s="1"/>
      <c r="WJO83" s="1"/>
      <c r="WJP83" s="1"/>
      <c r="WJQ83" s="1"/>
      <c r="WJR83" s="1"/>
      <c r="WJS83" s="1"/>
      <c r="WJT83" s="1"/>
      <c r="WJU83" s="1"/>
      <c r="WJV83" s="1"/>
      <c r="WJW83" s="1"/>
      <c r="WJX83" s="1"/>
      <c r="WJY83" s="1"/>
      <c r="WJZ83" s="1"/>
      <c r="WKA83" s="1"/>
      <c r="WKB83" s="1"/>
      <c r="WKC83" s="1"/>
      <c r="WKD83" s="1"/>
      <c r="WKE83" s="1"/>
      <c r="WKF83" s="1"/>
      <c r="WKG83" s="1"/>
      <c r="WKH83" s="1"/>
      <c r="WKI83" s="1"/>
      <c r="WKJ83" s="1"/>
      <c r="WKK83" s="1"/>
      <c r="WKL83" s="1"/>
      <c r="WKM83" s="1"/>
      <c r="WKN83" s="1"/>
      <c r="WKO83" s="1"/>
      <c r="WKP83" s="1"/>
      <c r="WKQ83" s="1"/>
      <c r="WKR83" s="1"/>
      <c r="WKS83" s="1"/>
      <c r="WKT83" s="1"/>
      <c r="WKU83" s="1"/>
      <c r="WKV83" s="1"/>
      <c r="WKW83" s="1"/>
      <c r="WKX83" s="1"/>
      <c r="WKY83" s="1"/>
      <c r="WKZ83" s="1"/>
      <c r="WLA83" s="1"/>
      <c r="WLB83" s="1"/>
      <c r="WLC83" s="1"/>
      <c r="WLD83" s="1"/>
      <c r="WLE83" s="1"/>
      <c r="WLF83" s="1"/>
      <c r="WLG83" s="1"/>
      <c r="WLH83" s="1"/>
      <c r="WLI83" s="1"/>
      <c r="WLJ83" s="1"/>
      <c r="WLK83" s="1"/>
      <c r="WLL83" s="1"/>
      <c r="WLM83" s="1"/>
      <c r="WLN83" s="1"/>
      <c r="WLO83" s="1"/>
      <c r="WLP83" s="1"/>
      <c r="WLQ83" s="1"/>
      <c r="WLR83" s="1"/>
      <c r="WLS83" s="1"/>
      <c r="WLT83" s="1"/>
      <c r="WLU83" s="1"/>
      <c r="WLV83" s="1"/>
      <c r="WLW83" s="1"/>
      <c r="WLX83" s="1"/>
      <c r="WLY83" s="1"/>
      <c r="WLZ83" s="1"/>
      <c r="WMA83" s="1"/>
      <c r="WMB83" s="1"/>
      <c r="WMC83" s="1"/>
      <c r="WMD83" s="1"/>
      <c r="WME83" s="1"/>
      <c r="WMF83" s="1"/>
      <c r="WMG83" s="1"/>
      <c r="WMH83" s="1"/>
      <c r="WMI83" s="1"/>
      <c r="WMJ83" s="1"/>
      <c r="WMK83" s="1"/>
      <c r="WML83" s="1"/>
      <c r="WMM83" s="1"/>
      <c r="WMN83" s="1"/>
      <c r="WMO83" s="1"/>
      <c r="WMP83" s="1"/>
      <c r="WMQ83" s="1"/>
      <c r="WMR83" s="1"/>
      <c r="WMS83" s="1"/>
      <c r="WMT83" s="1"/>
      <c r="WMU83" s="1"/>
      <c r="WMV83" s="1"/>
      <c r="WMW83" s="1"/>
      <c r="WMX83" s="1"/>
      <c r="WMY83" s="1"/>
      <c r="WMZ83" s="1"/>
      <c r="WNA83" s="1"/>
      <c r="WNB83" s="1"/>
      <c r="WNC83" s="1"/>
      <c r="WND83" s="1"/>
      <c r="WNE83" s="1"/>
      <c r="WNF83" s="1"/>
      <c r="WNG83" s="1"/>
      <c r="WNH83" s="1"/>
      <c r="WNI83" s="1"/>
      <c r="WNJ83" s="1"/>
      <c r="WNK83" s="1"/>
      <c r="WNL83" s="1"/>
      <c r="WNM83" s="1"/>
      <c r="WNN83" s="1"/>
      <c r="WNO83" s="1"/>
      <c r="WNP83" s="1"/>
      <c r="WNQ83" s="1"/>
      <c r="WNR83" s="1"/>
      <c r="WNS83" s="1"/>
      <c r="WNT83" s="1"/>
      <c r="WNU83" s="1"/>
      <c r="WNV83" s="1"/>
      <c r="WNW83" s="1"/>
      <c r="WNX83" s="1"/>
      <c r="WNY83" s="1"/>
      <c r="WNZ83" s="1"/>
      <c r="WOA83" s="1"/>
      <c r="WOB83" s="1"/>
      <c r="WOC83" s="1"/>
      <c r="WOD83" s="1"/>
      <c r="WOE83" s="1"/>
      <c r="WOF83" s="1"/>
      <c r="WOG83" s="1"/>
      <c r="WOH83" s="1"/>
      <c r="WOI83" s="1"/>
      <c r="WOJ83" s="1"/>
      <c r="WOK83" s="1"/>
      <c r="WOL83" s="1"/>
      <c r="WOM83" s="1"/>
      <c r="WON83" s="1"/>
      <c r="WOO83" s="1"/>
      <c r="WOP83" s="1"/>
      <c r="WOQ83" s="1"/>
      <c r="WOR83" s="1"/>
      <c r="WOS83" s="1"/>
      <c r="WOT83" s="1"/>
      <c r="WOU83" s="1"/>
      <c r="WOV83" s="1"/>
      <c r="WOW83" s="1"/>
      <c r="WOX83" s="1"/>
      <c r="WOY83" s="1"/>
      <c r="WOZ83" s="1"/>
      <c r="WPA83" s="1"/>
      <c r="WPB83" s="1"/>
      <c r="WPC83" s="1"/>
      <c r="WPD83" s="1"/>
      <c r="WPE83" s="1"/>
      <c r="WPF83" s="1"/>
      <c r="WPG83" s="1"/>
      <c r="WPH83" s="1"/>
      <c r="WPI83" s="1"/>
      <c r="WPJ83" s="1"/>
      <c r="WPK83" s="1"/>
      <c r="WPL83" s="1"/>
      <c r="WPM83" s="1"/>
      <c r="WPN83" s="1"/>
      <c r="WPO83" s="1"/>
      <c r="WPP83" s="1"/>
      <c r="WPQ83" s="1"/>
      <c r="WPR83" s="1"/>
      <c r="WPS83" s="1"/>
      <c r="WPT83" s="1"/>
      <c r="WPU83" s="1"/>
      <c r="WPV83" s="1"/>
      <c r="WPW83" s="1"/>
      <c r="WPX83" s="1"/>
      <c r="WPY83" s="1"/>
      <c r="WPZ83" s="1"/>
      <c r="WQA83" s="1"/>
      <c r="WQB83" s="1"/>
      <c r="WQC83" s="1"/>
      <c r="WQD83" s="1"/>
      <c r="WQE83" s="1"/>
      <c r="WQF83" s="1"/>
      <c r="WQG83" s="1"/>
      <c r="WQH83" s="1"/>
      <c r="WQI83" s="1"/>
      <c r="WQJ83" s="1"/>
      <c r="WQK83" s="1"/>
      <c r="WQL83" s="1"/>
      <c r="WQM83" s="1"/>
      <c r="WQN83" s="1"/>
      <c r="WQO83" s="1"/>
      <c r="WQP83" s="1"/>
      <c r="WQQ83" s="1"/>
      <c r="WQR83" s="1"/>
      <c r="WQS83" s="1"/>
      <c r="WQT83" s="1"/>
      <c r="WQU83" s="1"/>
      <c r="WQV83" s="1"/>
      <c r="WQW83" s="1"/>
      <c r="WQX83" s="1"/>
      <c r="WQY83" s="1"/>
      <c r="WQZ83" s="1"/>
      <c r="WRA83" s="1"/>
      <c r="WRB83" s="1"/>
      <c r="WRC83" s="1"/>
      <c r="WRD83" s="1"/>
      <c r="WRE83" s="1"/>
      <c r="WRF83" s="1"/>
      <c r="WRG83" s="1"/>
      <c r="WRH83" s="1"/>
      <c r="WRI83" s="1"/>
      <c r="WRJ83" s="1"/>
      <c r="WRK83" s="1"/>
      <c r="WRL83" s="1"/>
      <c r="WRM83" s="1"/>
      <c r="WRN83" s="1"/>
      <c r="WRO83" s="1"/>
      <c r="WRP83" s="1"/>
      <c r="WRQ83" s="1"/>
      <c r="WRR83" s="1"/>
      <c r="WRS83" s="1"/>
      <c r="WRT83" s="1"/>
      <c r="WRU83" s="1"/>
      <c r="WRV83" s="1"/>
      <c r="WRW83" s="1"/>
      <c r="WRX83" s="1"/>
      <c r="WRY83" s="1"/>
      <c r="WRZ83" s="1"/>
      <c r="WSA83" s="1"/>
      <c r="WSB83" s="1"/>
      <c r="WSC83" s="1"/>
      <c r="WSD83" s="1"/>
      <c r="WSE83" s="1"/>
      <c r="WSF83" s="1"/>
      <c r="WSG83" s="1"/>
      <c r="WSH83" s="1"/>
      <c r="WSI83" s="1"/>
      <c r="WSJ83" s="1"/>
      <c r="WSK83" s="1"/>
      <c r="WSL83" s="1"/>
      <c r="WSM83" s="1"/>
      <c r="WSN83" s="1"/>
      <c r="WSO83" s="1"/>
      <c r="WSP83" s="1"/>
      <c r="WSQ83" s="1"/>
      <c r="WSR83" s="1"/>
      <c r="WSS83" s="1"/>
      <c r="WST83" s="1"/>
      <c r="WSU83" s="1"/>
      <c r="WSV83" s="1"/>
      <c r="WSW83" s="1"/>
      <c r="WSX83" s="1"/>
      <c r="WSY83" s="1"/>
      <c r="WSZ83" s="1"/>
      <c r="WTA83" s="1"/>
      <c r="WTB83" s="1"/>
      <c r="WTC83" s="1"/>
      <c r="WTD83" s="1"/>
      <c r="WTE83" s="1"/>
      <c r="WTF83" s="1"/>
      <c r="WTG83" s="1"/>
      <c r="WTH83" s="1"/>
      <c r="WTI83" s="1"/>
      <c r="WTJ83" s="1"/>
      <c r="WTK83" s="1"/>
      <c r="WTL83" s="1"/>
      <c r="WTM83" s="1"/>
      <c r="WTN83" s="1"/>
      <c r="WTO83" s="1"/>
      <c r="WTP83" s="1"/>
      <c r="WTQ83" s="1"/>
      <c r="WTR83" s="1"/>
      <c r="WTS83" s="1"/>
      <c r="WTT83" s="1"/>
      <c r="WTU83" s="1"/>
      <c r="WTV83" s="1"/>
      <c r="WTW83" s="1"/>
      <c r="WTX83" s="1"/>
      <c r="WTY83" s="1"/>
      <c r="WTZ83" s="1"/>
      <c r="WUA83" s="1"/>
      <c r="WUB83" s="1"/>
      <c r="WUC83" s="1"/>
      <c r="WUD83" s="1"/>
      <c r="WUE83" s="1"/>
      <c r="WUF83" s="1"/>
      <c r="WUG83" s="1"/>
      <c r="WUH83" s="1"/>
      <c r="WUI83" s="1"/>
      <c r="WUJ83" s="1"/>
      <c r="WUK83" s="1"/>
      <c r="WUL83" s="1"/>
      <c r="WUM83" s="1"/>
      <c r="WUN83" s="1"/>
      <c r="WUO83" s="1"/>
      <c r="WUP83" s="1"/>
      <c r="WUQ83" s="1"/>
      <c r="WUR83" s="1"/>
      <c r="WUS83" s="1"/>
      <c r="WUT83" s="1"/>
      <c r="WUU83" s="1"/>
      <c r="WUV83" s="1"/>
      <c r="WUW83" s="1"/>
      <c r="WUX83" s="1"/>
      <c r="WUY83" s="1"/>
      <c r="WUZ83" s="1"/>
      <c r="WVA83" s="1"/>
      <c r="WVB83" s="1"/>
      <c r="WVC83" s="1"/>
      <c r="WVD83" s="1"/>
      <c r="WVE83" s="1"/>
      <c r="WVF83" s="1"/>
      <c r="WVG83" s="1"/>
      <c r="WVH83" s="1"/>
      <c r="WVI83" s="1"/>
      <c r="WVJ83" s="1"/>
      <c r="WVK83" s="1"/>
      <c r="WVL83" s="1"/>
      <c r="WVM83" s="1"/>
      <c r="WVN83" s="1"/>
      <c r="WVO83" s="1"/>
      <c r="WVP83" s="1"/>
      <c r="WVQ83" s="1"/>
      <c r="WVR83" s="1"/>
      <c r="WVS83" s="1"/>
      <c r="WVT83" s="1"/>
      <c r="WVU83" s="1"/>
      <c r="WVV83" s="1"/>
      <c r="WVW83" s="1"/>
      <c r="WVX83" s="1"/>
      <c r="WVY83" s="1"/>
      <c r="WVZ83" s="1"/>
      <c r="WWA83" s="1"/>
      <c r="WWB83" s="1"/>
      <c r="WWC83" s="1"/>
      <c r="WWD83" s="1"/>
      <c r="WWE83" s="1"/>
      <c r="WWF83" s="1"/>
      <c r="WWG83" s="1"/>
      <c r="WWH83" s="1"/>
      <c r="WWI83" s="1"/>
      <c r="WWJ83" s="1"/>
      <c r="WWK83" s="1"/>
      <c r="WWL83" s="1"/>
      <c r="WWM83" s="1"/>
      <c r="WWN83" s="1"/>
      <c r="WWO83" s="1"/>
      <c r="WWP83" s="1"/>
      <c r="WWQ83" s="1"/>
      <c r="WWR83" s="1"/>
      <c r="WWS83" s="1"/>
      <c r="WWT83" s="1"/>
      <c r="WWU83" s="1"/>
      <c r="WWV83" s="1"/>
      <c r="WWW83" s="1"/>
      <c r="WWX83" s="1"/>
      <c r="WWY83" s="1"/>
      <c r="WWZ83" s="1"/>
      <c r="WXA83" s="1"/>
      <c r="WXB83" s="1"/>
      <c r="WXC83" s="1"/>
      <c r="WXD83" s="1"/>
      <c r="WXE83" s="1"/>
      <c r="WXF83" s="1"/>
      <c r="WXG83" s="1"/>
      <c r="WXH83" s="1"/>
      <c r="WXI83" s="1"/>
      <c r="WXJ83" s="1"/>
      <c r="WXK83" s="1"/>
      <c r="WXL83" s="1"/>
      <c r="WXM83" s="1"/>
      <c r="WXN83" s="1"/>
      <c r="WXO83" s="1"/>
      <c r="WXP83" s="1"/>
      <c r="WXQ83" s="1"/>
      <c r="WXR83" s="1"/>
      <c r="WXS83" s="1"/>
      <c r="WXT83" s="1"/>
      <c r="WXU83" s="1"/>
      <c r="WXV83" s="1"/>
      <c r="WXW83" s="1"/>
      <c r="WXX83" s="1"/>
      <c r="WXY83" s="1"/>
      <c r="WXZ83" s="1"/>
      <c r="WYA83" s="1"/>
      <c r="WYB83" s="1"/>
      <c r="WYC83" s="1"/>
      <c r="WYD83" s="1"/>
      <c r="WYE83" s="1"/>
      <c r="WYF83" s="1"/>
      <c r="WYG83" s="1"/>
      <c r="WYH83" s="1"/>
      <c r="WYI83" s="1"/>
      <c r="WYJ83" s="1"/>
      <c r="WYK83" s="1"/>
      <c r="WYL83" s="1"/>
      <c r="WYM83" s="1"/>
      <c r="WYN83" s="1"/>
      <c r="WYO83" s="1"/>
      <c r="WYP83" s="1"/>
      <c r="WYQ83" s="1"/>
      <c r="WYR83" s="1"/>
      <c r="WYS83" s="1"/>
      <c r="WYT83" s="1"/>
      <c r="WYU83" s="1"/>
      <c r="WYV83" s="1"/>
      <c r="WYW83" s="1"/>
      <c r="WYX83" s="1"/>
      <c r="WYY83" s="1"/>
      <c r="WYZ83" s="1"/>
      <c r="WZA83" s="1"/>
      <c r="WZB83" s="1"/>
      <c r="WZC83" s="1"/>
      <c r="WZD83" s="1"/>
      <c r="WZE83" s="1"/>
      <c r="WZF83" s="1"/>
      <c r="WZG83" s="1"/>
      <c r="WZH83" s="1"/>
      <c r="WZI83" s="1"/>
      <c r="WZJ83" s="1"/>
      <c r="WZK83" s="1"/>
      <c r="WZL83" s="1"/>
      <c r="WZM83" s="1"/>
      <c r="WZN83" s="1"/>
      <c r="WZO83" s="1"/>
      <c r="WZP83" s="1"/>
      <c r="WZQ83" s="1"/>
      <c r="WZR83" s="1"/>
      <c r="WZS83" s="1"/>
      <c r="WZT83" s="1"/>
      <c r="WZU83" s="1"/>
      <c r="WZV83" s="1"/>
      <c r="WZW83" s="1"/>
      <c r="WZX83" s="1"/>
      <c r="WZY83" s="1"/>
      <c r="WZZ83" s="1"/>
      <c r="XAA83" s="1"/>
      <c r="XAB83" s="1"/>
      <c r="XAC83" s="1"/>
      <c r="XAD83" s="1"/>
      <c r="XAE83" s="1"/>
      <c r="XAF83" s="1"/>
      <c r="XAG83" s="1"/>
      <c r="XAH83" s="1"/>
      <c r="XAI83" s="1"/>
      <c r="XAJ83" s="1"/>
      <c r="XAK83" s="1"/>
      <c r="XAL83" s="1"/>
      <c r="XAM83" s="1"/>
      <c r="XAN83" s="1"/>
      <c r="XAO83" s="1"/>
      <c r="XAP83" s="1"/>
      <c r="XAQ83" s="1"/>
      <c r="XAR83" s="1"/>
      <c r="XAS83" s="1"/>
      <c r="XAT83" s="1"/>
      <c r="XAU83" s="1"/>
      <c r="XAV83" s="1"/>
      <c r="XAW83" s="1"/>
      <c r="XAX83" s="1"/>
      <c r="XAY83" s="1"/>
      <c r="XAZ83" s="1"/>
      <c r="XBA83" s="1"/>
      <c r="XBB83" s="1"/>
      <c r="XBC83" s="1"/>
      <c r="XBD83" s="1"/>
      <c r="XBE83" s="1"/>
      <c r="XBF83" s="1"/>
      <c r="XBG83" s="1"/>
      <c r="XBH83" s="1"/>
      <c r="XBI83" s="1"/>
      <c r="XBJ83" s="1"/>
      <c r="XBK83" s="1"/>
      <c r="XBL83" s="1"/>
      <c r="XBM83" s="1"/>
      <c r="XBN83" s="1"/>
      <c r="XBO83" s="1"/>
      <c r="XBP83" s="1"/>
      <c r="XBQ83" s="1"/>
      <c r="XBR83" s="1"/>
      <c r="XBS83" s="1"/>
      <c r="XBT83" s="1"/>
      <c r="XBU83" s="1"/>
      <c r="XBV83" s="1"/>
      <c r="XBW83" s="1"/>
      <c r="XBX83" s="1"/>
      <c r="XBY83" s="1"/>
      <c r="XBZ83" s="1"/>
      <c r="XCA83" s="1"/>
      <c r="XCB83" s="1"/>
      <c r="XCC83" s="1"/>
      <c r="XCD83" s="1"/>
      <c r="XCE83" s="1"/>
      <c r="XCF83" s="1"/>
      <c r="XCG83" s="1"/>
      <c r="XCH83" s="1"/>
      <c r="XCI83" s="1"/>
      <c r="XCJ83" s="1"/>
      <c r="XCK83" s="1"/>
      <c r="XCL83" s="1"/>
      <c r="XCM83" s="1"/>
      <c r="XCN83" s="1"/>
      <c r="XCO83" s="1"/>
      <c r="XCP83" s="1"/>
      <c r="XCQ83" s="1"/>
      <c r="XCR83" s="1"/>
      <c r="XCS83" s="1"/>
      <c r="XCT83" s="1"/>
      <c r="XCU83" s="1"/>
      <c r="XCV83" s="1"/>
      <c r="XCW83" s="1"/>
      <c r="XCX83" s="1"/>
      <c r="XCY83" s="1"/>
      <c r="XCZ83" s="1"/>
      <c r="XDA83" s="1"/>
      <c r="XDB83" s="1"/>
      <c r="XDC83" s="1"/>
      <c r="XDD83" s="1"/>
      <c r="XDE83" s="1"/>
      <c r="XDF83" s="1"/>
      <c r="XDG83" s="1"/>
      <c r="XDH83" s="1"/>
      <c r="XDI83" s="1"/>
      <c r="XDJ83" s="1"/>
      <c r="XDK83" s="1"/>
      <c r="XDL83" s="1"/>
      <c r="XDM83" s="1"/>
      <c r="XDN83" s="1"/>
      <c r="XDO83" s="1"/>
      <c r="XDP83" s="1"/>
      <c r="XDQ83" s="1"/>
      <c r="XDR83" s="1"/>
      <c r="XDS83" s="1"/>
      <c r="XDT83" s="1"/>
      <c r="XDU83" s="1"/>
      <c r="XDV83" s="1"/>
      <c r="XDW83" s="1"/>
      <c r="XDX83" s="1"/>
      <c r="XDY83" s="1"/>
      <c r="XDZ83" s="1"/>
      <c r="XEA83" s="1"/>
      <c r="XEB83" s="1"/>
      <c r="XEC83" s="1"/>
      <c r="XED83" s="1"/>
      <c r="XEE83" s="1"/>
      <c r="XEF83" s="1"/>
      <c r="XEG83" s="1"/>
      <c r="XEH83" s="1"/>
      <c r="XEI83" s="1"/>
      <c r="XEJ83" s="1"/>
      <c r="XEK83" s="1"/>
      <c r="XEL83" s="1"/>
      <c r="XEM83" s="1"/>
      <c r="XEN83" s="1"/>
      <c r="XEO83" s="1"/>
      <c r="XEP83" s="1"/>
      <c r="XEQ83" s="1"/>
      <c r="XER83" s="1"/>
      <c r="XES83" s="1"/>
      <c r="XET83" s="1"/>
      <c r="XEU83" s="1"/>
      <c r="XEV83" s="1"/>
      <c r="XEW83" s="1"/>
      <c r="XEX83" s="1"/>
      <c r="XEY83" s="1"/>
      <c r="XEZ83" s="1"/>
      <c r="XFA83" s="1"/>
      <c r="XFB83" s="1"/>
    </row>
    <row r="84" spans="1:16382" ht="3.75" hidden="1" customHeight="1">
      <c r="A84" s="74"/>
      <c r="B84" s="2"/>
      <c r="C84" s="2"/>
      <c r="D84" s="2"/>
      <c r="E84" s="2"/>
      <c r="F84" s="2"/>
      <c r="G84" s="2"/>
      <c r="H84" s="2"/>
      <c r="J84" s="23"/>
      <c r="K84" s="320"/>
      <c r="L84" s="305"/>
      <c r="M84" s="305"/>
      <c r="N84" s="305"/>
      <c r="O84" s="122"/>
      <c r="P84" s="122"/>
      <c r="Q84" s="122"/>
      <c r="R84" s="122"/>
      <c r="S84" s="2"/>
      <c r="T84" s="2"/>
      <c r="U84" s="2"/>
      <c r="V84" s="2"/>
      <c r="W84" s="2"/>
      <c r="X84" s="2"/>
      <c r="Y84" s="2"/>
      <c r="Z84" s="2"/>
      <c r="AA84" s="2"/>
      <c r="AB84" s="2"/>
      <c r="AC84" s="2"/>
      <c r="AD84" s="2"/>
      <c r="AE84" s="2"/>
      <c r="AF84" s="2"/>
      <c r="AG84" s="2"/>
      <c r="AH84" s="2"/>
      <c r="AI84" s="2"/>
      <c r="AJ84" s="2"/>
      <c r="AK84" s="2"/>
      <c r="AL84" s="2"/>
      <c r="AM84" s="2"/>
      <c r="AN84" s="2"/>
      <c r="AO84" s="2"/>
      <c r="AP84" s="2"/>
      <c r="AQ84" s="2"/>
      <c r="AR84" s="2"/>
      <c r="AS84" s="2"/>
      <c r="AT84" s="2"/>
      <c r="AU84" s="2"/>
      <c r="AV84" s="2"/>
      <c r="AW84" s="2"/>
      <c r="AX84" s="2"/>
      <c r="AY84" s="2"/>
      <c r="AZ84" s="2"/>
      <c r="BA84" s="2"/>
      <c r="BB84" s="2"/>
      <c r="BC84" s="2"/>
      <c r="BD84" s="2"/>
      <c r="BE84" s="2"/>
      <c r="BF84" s="2"/>
      <c r="BG84" s="2"/>
      <c r="BH84" s="2"/>
      <c r="BI84" s="2"/>
      <c r="BJ84" s="2"/>
      <c r="BK84" s="2"/>
      <c r="BL84" s="2"/>
      <c r="BM84" s="2"/>
      <c r="BN84" s="2"/>
      <c r="BO84" s="2"/>
      <c r="BP84" s="2"/>
      <c r="BQ84" s="2"/>
      <c r="BR84" s="2"/>
      <c r="BS84" s="2"/>
      <c r="BT84" s="2"/>
      <c r="BU84" s="2"/>
      <c r="BV84" s="2"/>
      <c r="BW84" s="2"/>
      <c r="BX84" s="2"/>
      <c r="BY84" s="2"/>
      <c r="BZ84" s="2"/>
      <c r="CA84" s="2"/>
      <c r="CB84" s="2"/>
      <c r="CC84" s="2"/>
      <c r="CD84" s="2"/>
      <c r="CE84" s="2"/>
      <c r="CF84" s="2"/>
      <c r="CG84" s="2"/>
      <c r="CH84" s="2"/>
      <c r="CI84" s="2"/>
      <c r="CJ84" s="2"/>
      <c r="CK84" s="2"/>
      <c r="CL84" s="2"/>
      <c r="CM84" s="2"/>
      <c r="CN84" s="2"/>
      <c r="CO84" s="2"/>
      <c r="CP84" s="2"/>
      <c r="CQ84" s="2"/>
      <c r="CR84" s="2"/>
      <c r="CS84" s="2"/>
      <c r="CT84" s="2"/>
      <c r="CU84" s="2"/>
      <c r="CV84" s="2"/>
      <c r="CW84" s="2"/>
      <c r="CX84" s="2"/>
      <c r="CY84" s="2"/>
      <c r="CZ84" s="2"/>
      <c r="DA84" s="2"/>
      <c r="DB84" s="2"/>
      <c r="DC84" s="2"/>
      <c r="DD84" s="2"/>
      <c r="DE84" s="2"/>
      <c r="DF84" s="2"/>
      <c r="DG84" s="2"/>
      <c r="DH84" s="2"/>
      <c r="DI84" s="2"/>
      <c r="DJ84" s="2"/>
      <c r="DK84" s="2"/>
      <c r="DL84" s="2"/>
      <c r="DM84" s="2"/>
      <c r="DN84" s="2"/>
      <c r="DO84" s="2"/>
      <c r="DP84" s="2"/>
      <c r="DQ84" s="2"/>
      <c r="DR84" s="2"/>
      <c r="DS84" s="2"/>
      <c r="DT84" s="2"/>
      <c r="DU84" s="2"/>
      <c r="DV84" s="2"/>
      <c r="DW84" s="2"/>
      <c r="DX84" s="2"/>
      <c r="DY84" s="2"/>
      <c r="DZ84" s="2"/>
      <c r="EA84" s="2"/>
      <c r="EB84" s="2"/>
      <c r="EC84" s="2"/>
      <c r="ED84" s="2"/>
      <c r="EE84" s="2"/>
      <c r="EF84" s="2"/>
      <c r="EG84" s="2"/>
      <c r="EH84" s="2"/>
      <c r="EI84" s="2"/>
      <c r="EJ84" s="2"/>
      <c r="EK84" s="2"/>
      <c r="EL84" s="2"/>
      <c r="EM84" s="2"/>
      <c r="EN84" s="2"/>
      <c r="EO84" s="2"/>
      <c r="EP84" s="2"/>
      <c r="EQ84" s="2"/>
      <c r="ER84" s="2"/>
      <c r="ES84" s="2"/>
      <c r="ET84" s="2"/>
      <c r="EU84" s="2"/>
      <c r="EV84" s="2"/>
      <c r="EW84" s="2"/>
      <c r="EX84" s="2"/>
      <c r="EY84" s="2"/>
      <c r="EZ84" s="2"/>
      <c r="FA84" s="2"/>
      <c r="FB84" s="2"/>
      <c r="FC84" s="2"/>
      <c r="FD84" s="2"/>
      <c r="FE84" s="2"/>
      <c r="FF84" s="2"/>
      <c r="FG84" s="2"/>
      <c r="FH84" s="2"/>
      <c r="FI84" s="2"/>
      <c r="FJ84" s="2"/>
      <c r="FK84" s="2"/>
      <c r="FL84" s="2"/>
      <c r="FM84" s="2"/>
      <c r="FN84" s="2"/>
      <c r="FO84" s="2"/>
      <c r="FP84" s="2"/>
      <c r="FQ84" s="2"/>
      <c r="FR84" s="2"/>
      <c r="FS84" s="2"/>
      <c r="FT84" s="2"/>
      <c r="FU84" s="2"/>
      <c r="FV84" s="2"/>
      <c r="FW84" s="2"/>
      <c r="FX84" s="2"/>
      <c r="FY84" s="2"/>
      <c r="FZ84" s="2"/>
      <c r="GA84" s="2"/>
      <c r="GB84" s="2"/>
      <c r="GC84" s="2"/>
      <c r="GD84" s="2"/>
      <c r="GE84" s="2"/>
      <c r="GF84" s="2"/>
      <c r="GG84" s="2"/>
      <c r="GH84" s="2"/>
      <c r="GI84" s="2"/>
      <c r="GJ84" s="2"/>
      <c r="GK84" s="2"/>
      <c r="GL84" s="2"/>
      <c r="GM84" s="2"/>
      <c r="GN84" s="2"/>
      <c r="GO84" s="2"/>
      <c r="GP84" s="2"/>
      <c r="GQ84" s="2"/>
      <c r="GR84" s="2"/>
      <c r="GS84" s="2"/>
      <c r="GT84" s="2"/>
      <c r="GU84" s="2"/>
      <c r="GV84" s="2"/>
      <c r="GW84" s="2"/>
      <c r="GX84" s="2"/>
      <c r="GY84" s="2"/>
      <c r="GZ84" s="2"/>
      <c r="HA84" s="2"/>
      <c r="HB84" s="2"/>
      <c r="HC84" s="2"/>
      <c r="HD84" s="2"/>
      <c r="HE84" s="2"/>
      <c r="HF84" s="2"/>
      <c r="HG84" s="2"/>
      <c r="HH84" s="2"/>
      <c r="HI84" s="2"/>
      <c r="HJ84" s="2"/>
      <c r="HK84" s="2"/>
      <c r="HL84" s="2"/>
      <c r="HM84" s="2"/>
      <c r="HN84" s="2"/>
      <c r="HO84" s="2"/>
      <c r="HP84" s="2"/>
      <c r="HQ84" s="2"/>
      <c r="HR84" s="2"/>
      <c r="HS84" s="2"/>
      <c r="HT84" s="2"/>
      <c r="HU84" s="2"/>
      <c r="HV84" s="2"/>
      <c r="HW84" s="2"/>
      <c r="HX84" s="2"/>
      <c r="HY84" s="2"/>
      <c r="HZ84" s="2"/>
      <c r="IA84" s="2"/>
      <c r="IB84" s="2"/>
      <c r="IC84" s="2"/>
      <c r="ID84" s="2"/>
      <c r="IE84" s="2"/>
      <c r="IF84" s="2"/>
      <c r="IG84" s="2"/>
      <c r="IH84" s="2"/>
      <c r="II84" s="2"/>
      <c r="IJ84" s="2"/>
      <c r="IK84" s="2"/>
      <c r="IL84" s="2"/>
      <c r="IM84" s="2"/>
      <c r="IN84" s="2"/>
      <c r="IO84" s="2"/>
      <c r="IP84" s="2"/>
      <c r="IQ84" s="2"/>
      <c r="IR84" s="2"/>
      <c r="IS84" s="2"/>
      <c r="IT84" s="2"/>
      <c r="IU84" s="2"/>
      <c r="IV84" s="2"/>
      <c r="IW84" s="2"/>
      <c r="IX84" s="2"/>
      <c r="IY84" s="2"/>
      <c r="IZ84" s="2"/>
      <c r="JA84" s="2"/>
      <c r="JB84" s="2"/>
      <c r="JC84" s="2"/>
      <c r="JD84" s="2"/>
      <c r="JE84" s="2"/>
      <c r="JF84" s="2"/>
      <c r="JG84" s="2"/>
      <c r="JH84" s="2"/>
      <c r="JI84" s="2"/>
      <c r="JJ84" s="2"/>
      <c r="JK84" s="2"/>
      <c r="JL84" s="2"/>
      <c r="JM84" s="2"/>
      <c r="JN84" s="2"/>
      <c r="JO84" s="2"/>
      <c r="JP84" s="2"/>
      <c r="JQ84" s="2"/>
      <c r="JR84" s="2"/>
      <c r="JS84" s="2"/>
      <c r="JT84" s="2"/>
      <c r="JU84" s="2"/>
      <c r="JV84" s="2"/>
      <c r="JW84" s="2"/>
      <c r="JX84" s="2"/>
      <c r="JY84" s="2"/>
      <c r="JZ84" s="2"/>
      <c r="KA84" s="2"/>
      <c r="KB84" s="2"/>
      <c r="KC84" s="2"/>
      <c r="KD84" s="2"/>
      <c r="KE84" s="2"/>
      <c r="KF84" s="2"/>
      <c r="KG84" s="2"/>
      <c r="KH84" s="2"/>
      <c r="KI84" s="2"/>
      <c r="KJ84" s="2"/>
      <c r="KK84" s="2"/>
      <c r="KL84" s="2"/>
      <c r="KM84" s="2"/>
      <c r="KN84" s="2"/>
      <c r="KO84" s="2"/>
      <c r="KP84" s="2"/>
      <c r="KQ84" s="2"/>
      <c r="KR84" s="2"/>
      <c r="KS84" s="2"/>
      <c r="KT84" s="2"/>
      <c r="KU84" s="2"/>
      <c r="KV84" s="2"/>
      <c r="KW84" s="2"/>
      <c r="KX84" s="2"/>
      <c r="KY84" s="2"/>
      <c r="KZ84" s="2"/>
      <c r="LA84" s="2"/>
      <c r="LB84" s="2"/>
      <c r="LC84" s="2"/>
      <c r="LD84" s="2"/>
      <c r="LE84" s="2"/>
      <c r="LF84" s="2"/>
      <c r="LG84" s="2"/>
      <c r="LH84" s="2"/>
      <c r="LI84" s="2"/>
      <c r="LJ84" s="2"/>
      <c r="LK84" s="2"/>
      <c r="LL84" s="2"/>
      <c r="LM84" s="2"/>
      <c r="LN84" s="2"/>
      <c r="LO84" s="2"/>
      <c r="LP84" s="2"/>
      <c r="LQ84" s="2"/>
      <c r="LR84" s="2"/>
      <c r="LS84" s="2"/>
      <c r="LT84" s="2"/>
      <c r="LU84" s="2"/>
      <c r="LV84" s="2"/>
      <c r="LW84" s="2"/>
      <c r="LX84" s="2"/>
      <c r="LY84" s="2"/>
      <c r="LZ84" s="2"/>
      <c r="MA84" s="2"/>
      <c r="MB84" s="2"/>
      <c r="MC84" s="2"/>
      <c r="MD84" s="2"/>
      <c r="ME84" s="2"/>
      <c r="MF84" s="2"/>
      <c r="MG84" s="2"/>
      <c r="MH84" s="2"/>
      <c r="MI84" s="2"/>
      <c r="MJ84" s="2"/>
      <c r="MK84" s="2"/>
      <c r="ML84" s="2"/>
      <c r="MM84" s="2"/>
      <c r="MN84" s="2"/>
      <c r="MO84" s="2"/>
      <c r="MP84" s="2"/>
      <c r="MQ84" s="2"/>
      <c r="MR84" s="2"/>
      <c r="MS84" s="2"/>
      <c r="MT84" s="2"/>
      <c r="MU84" s="2"/>
      <c r="MV84" s="2"/>
      <c r="MW84" s="2"/>
      <c r="MX84" s="2"/>
      <c r="MY84" s="2"/>
      <c r="MZ84" s="2"/>
      <c r="NA84" s="2"/>
      <c r="NB84" s="2"/>
      <c r="NC84" s="2"/>
      <c r="ND84" s="2"/>
      <c r="NE84" s="2"/>
      <c r="NF84" s="2"/>
      <c r="NG84" s="2"/>
      <c r="NH84" s="2"/>
      <c r="NI84" s="2"/>
      <c r="NJ84" s="2"/>
      <c r="NK84" s="2"/>
      <c r="NL84" s="2"/>
      <c r="NM84" s="2"/>
      <c r="NN84" s="2"/>
      <c r="NO84" s="2"/>
      <c r="NP84" s="2"/>
      <c r="NQ84" s="2"/>
      <c r="NR84" s="2"/>
      <c r="NS84" s="2"/>
      <c r="NT84" s="2"/>
      <c r="NU84" s="2"/>
      <c r="NV84" s="2"/>
      <c r="NW84" s="2"/>
      <c r="NX84" s="2"/>
      <c r="NY84" s="2"/>
      <c r="NZ84" s="2"/>
      <c r="OA84" s="2"/>
      <c r="OB84" s="2"/>
      <c r="OC84" s="2"/>
      <c r="OD84" s="2"/>
      <c r="OE84" s="2"/>
      <c r="OF84" s="2"/>
      <c r="OG84" s="2"/>
      <c r="OH84" s="2"/>
      <c r="OI84" s="2"/>
      <c r="OJ84" s="2"/>
      <c r="OK84" s="2"/>
      <c r="OL84" s="2"/>
      <c r="OM84" s="2"/>
      <c r="ON84" s="2"/>
      <c r="OO84" s="2"/>
      <c r="OP84" s="2"/>
      <c r="OQ84" s="2"/>
      <c r="OR84" s="2"/>
      <c r="OS84" s="2"/>
      <c r="OT84" s="2"/>
      <c r="OU84" s="2"/>
      <c r="OV84" s="2"/>
      <c r="OW84" s="2"/>
      <c r="OX84" s="2"/>
      <c r="OY84" s="2"/>
      <c r="OZ84" s="2"/>
      <c r="PA84" s="2"/>
      <c r="PB84" s="2"/>
      <c r="PC84" s="2"/>
      <c r="PD84" s="2"/>
      <c r="PE84" s="2"/>
      <c r="PF84" s="2"/>
      <c r="PG84" s="2"/>
      <c r="PH84" s="2"/>
      <c r="PI84" s="2"/>
      <c r="PJ84" s="2"/>
      <c r="PK84" s="2"/>
      <c r="PL84" s="2"/>
      <c r="PM84" s="2"/>
      <c r="PN84" s="2"/>
      <c r="PO84" s="2"/>
      <c r="PP84" s="2"/>
      <c r="PQ84" s="2"/>
      <c r="PR84" s="2"/>
      <c r="PS84" s="2"/>
      <c r="PT84" s="2"/>
      <c r="PU84" s="2"/>
      <c r="PV84" s="2"/>
      <c r="PW84" s="2"/>
      <c r="PX84" s="2"/>
      <c r="PY84" s="2"/>
      <c r="PZ84" s="2"/>
      <c r="QA84" s="2"/>
      <c r="QB84" s="2"/>
      <c r="QC84" s="2"/>
      <c r="QD84" s="2"/>
      <c r="QE84" s="2"/>
      <c r="QF84" s="2"/>
      <c r="QG84" s="2"/>
      <c r="QH84" s="2"/>
      <c r="QI84" s="2"/>
      <c r="QJ84" s="2"/>
      <c r="QK84" s="2"/>
      <c r="QL84" s="2"/>
      <c r="QM84" s="2"/>
      <c r="QN84" s="2"/>
      <c r="QO84" s="2"/>
      <c r="QP84" s="2"/>
      <c r="QQ84" s="2"/>
      <c r="QR84" s="2"/>
      <c r="QS84" s="2"/>
      <c r="QT84" s="2"/>
      <c r="QU84" s="2"/>
      <c r="QV84" s="2"/>
      <c r="QW84" s="2"/>
      <c r="QX84" s="2"/>
      <c r="QY84" s="2"/>
      <c r="QZ84" s="2"/>
      <c r="RA84" s="2"/>
      <c r="RB84" s="2"/>
      <c r="RC84" s="2"/>
      <c r="RD84" s="2"/>
      <c r="RE84" s="2"/>
      <c r="RF84" s="2"/>
      <c r="RG84" s="2"/>
      <c r="RH84" s="2"/>
      <c r="RI84" s="2"/>
      <c r="RJ84" s="2"/>
      <c r="RK84" s="2"/>
      <c r="RL84" s="2"/>
      <c r="RM84" s="2"/>
      <c r="RN84" s="2"/>
      <c r="RO84" s="2"/>
      <c r="RP84" s="2"/>
      <c r="RQ84" s="2"/>
      <c r="RR84" s="2"/>
      <c r="RS84" s="2"/>
      <c r="RT84" s="2"/>
      <c r="RU84" s="2"/>
      <c r="RV84" s="2"/>
      <c r="RW84" s="2"/>
      <c r="RX84" s="2"/>
      <c r="RY84" s="2"/>
      <c r="RZ84" s="2"/>
      <c r="SA84" s="2"/>
      <c r="SB84" s="2"/>
      <c r="SC84" s="2"/>
      <c r="SD84" s="2"/>
      <c r="SE84" s="2"/>
      <c r="SF84" s="2"/>
      <c r="SG84" s="2"/>
      <c r="SH84" s="2"/>
      <c r="SI84" s="2"/>
      <c r="SJ84" s="2"/>
      <c r="SK84" s="2"/>
      <c r="SL84" s="2"/>
      <c r="SM84" s="2"/>
      <c r="SN84" s="2"/>
      <c r="SO84" s="2"/>
      <c r="SP84" s="2"/>
      <c r="SQ84" s="2"/>
      <c r="SR84" s="2"/>
      <c r="SS84" s="2"/>
      <c r="ST84" s="2"/>
      <c r="SU84" s="2"/>
      <c r="SV84" s="2"/>
      <c r="SW84" s="2"/>
      <c r="SX84" s="2"/>
      <c r="SY84" s="2"/>
      <c r="SZ84" s="2"/>
      <c r="TA84" s="2"/>
      <c r="TB84" s="2"/>
      <c r="TC84" s="2"/>
      <c r="TD84" s="2"/>
      <c r="TE84" s="2"/>
      <c r="TF84" s="2"/>
      <c r="TG84" s="2"/>
      <c r="TH84" s="2"/>
      <c r="TI84" s="2"/>
      <c r="TJ84" s="2"/>
      <c r="TK84" s="2"/>
      <c r="TL84" s="2"/>
      <c r="TM84" s="2"/>
      <c r="TN84" s="2"/>
      <c r="TO84" s="2"/>
      <c r="TP84" s="2"/>
      <c r="TQ84" s="2"/>
      <c r="TR84" s="2"/>
      <c r="TS84" s="2"/>
      <c r="TT84" s="2"/>
      <c r="TU84" s="2"/>
      <c r="TV84" s="2"/>
      <c r="TW84" s="2"/>
      <c r="TX84" s="2"/>
      <c r="TY84" s="2"/>
      <c r="TZ84" s="2"/>
      <c r="UA84" s="2"/>
      <c r="UB84" s="2"/>
      <c r="UC84" s="2"/>
      <c r="UD84" s="2"/>
      <c r="UE84" s="2"/>
      <c r="UF84" s="2"/>
      <c r="UG84" s="2"/>
      <c r="UH84" s="2"/>
      <c r="UI84" s="2"/>
      <c r="UJ84" s="2"/>
      <c r="UK84" s="2"/>
      <c r="UL84" s="2"/>
      <c r="UM84" s="2"/>
      <c r="UN84" s="2"/>
      <c r="UO84" s="2"/>
      <c r="UP84" s="2"/>
      <c r="UQ84" s="2"/>
      <c r="UR84" s="2"/>
      <c r="US84" s="2"/>
      <c r="UT84" s="2"/>
      <c r="UU84" s="2"/>
      <c r="UV84" s="2"/>
      <c r="UW84" s="2"/>
      <c r="UX84" s="2"/>
      <c r="UY84" s="2"/>
      <c r="UZ84" s="2"/>
      <c r="VA84" s="2"/>
      <c r="VB84" s="2"/>
      <c r="VC84" s="2"/>
      <c r="VD84" s="2"/>
      <c r="VE84" s="2"/>
      <c r="VF84" s="2"/>
      <c r="VG84" s="2"/>
      <c r="VH84" s="2"/>
      <c r="VI84" s="2"/>
      <c r="VJ84" s="2"/>
      <c r="VK84" s="2"/>
      <c r="VL84" s="2"/>
      <c r="VM84" s="2"/>
      <c r="VN84" s="2"/>
      <c r="VO84" s="2"/>
      <c r="VP84" s="2"/>
      <c r="VQ84" s="2"/>
      <c r="VR84" s="2"/>
      <c r="VS84" s="2"/>
      <c r="VT84" s="2"/>
      <c r="VU84" s="2"/>
      <c r="VV84" s="2"/>
      <c r="VW84" s="2"/>
      <c r="VX84" s="2"/>
      <c r="VY84" s="2"/>
      <c r="VZ84" s="2"/>
      <c r="WA84" s="2"/>
      <c r="WB84" s="2"/>
      <c r="WC84" s="2"/>
      <c r="WD84" s="2"/>
      <c r="WE84" s="2"/>
      <c r="WF84" s="2"/>
      <c r="WG84" s="2"/>
      <c r="WH84" s="2"/>
      <c r="WI84" s="2"/>
      <c r="WJ84" s="2"/>
      <c r="WK84" s="2"/>
      <c r="WL84" s="2"/>
      <c r="WM84" s="2"/>
      <c r="WN84" s="2"/>
      <c r="WO84" s="2"/>
      <c r="WP84" s="2"/>
      <c r="WQ84" s="2"/>
      <c r="WR84" s="2"/>
      <c r="WS84" s="2"/>
      <c r="WT84" s="2"/>
      <c r="WU84" s="2"/>
      <c r="WV84" s="2"/>
      <c r="WW84" s="2"/>
      <c r="WX84" s="2"/>
      <c r="WY84" s="2"/>
      <c r="WZ84" s="2"/>
      <c r="XA84" s="2"/>
      <c r="XB84" s="2"/>
      <c r="XC84" s="2"/>
      <c r="XD84" s="2"/>
      <c r="XE84" s="2"/>
      <c r="XF84" s="2"/>
      <c r="XG84" s="2"/>
      <c r="XH84" s="2"/>
      <c r="XI84" s="2"/>
      <c r="XJ84" s="2"/>
      <c r="XK84" s="2"/>
      <c r="XL84" s="2"/>
      <c r="XM84" s="2"/>
      <c r="XN84" s="2"/>
      <c r="XO84" s="2"/>
      <c r="XP84" s="2"/>
      <c r="XQ84" s="2"/>
      <c r="XR84" s="2"/>
      <c r="XS84" s="2"/>
      <c r="XT84" s="2"/>
      <c r="XU84" s="2"/>
      <c r="XV84" s="2"/>
      <c r="XW84" s="2"/>
      <c r="XX84" s="2"/>
      <c r="XY84" s="2"/>
      <c r="XZ84" s="2"/>
      <c r="YA84" s="2"/>
      <c r="YB84" s="2"/>
      <c r="YC84" s="2"/>
      <c r="YD84" s="2"/>
      <c r="YE84" s="2"/>
      <c r="YF84" s="2"/>
      <c r="YG84" s="2"/>
      <c r="YH84" s="2"/>
      <c r="YI84" s="2"/>
      <c r="YJ84" s="2"/>
      <c r="YK84" s="2"/>
      <c r="YL84" s="2"/>
      <c r="YM84" s="2"/>
      <c r="YN84" s="2"/>
      <c r="YO84" s="2"/>
      <c r="YP84" s="2"/>
      <c r="YQ84" s="2"/>
      <c r="YR84" s="2"/>
      <c r="YS84" s="2"/>
      <c r="YT84" s="2"/>
      <c r="YU84" s="2"/>
      <c r="YV84" s="2"/>
      <c r="YW84" s="2"/>
      <c r="YX84" s="2"/>
      <c r="YY84" s="2"/>
      <c r="YZ84" s="2"/>
      <c r="ZA84" s="2"/>
      <c r="ZB84" s="2"/>
      <c r="ZC84" s="2"/>
      <c r="ZD84" s="2"/>
      <c r="ZE84" s="2"/>
      <c r="ZF84" s="2"/>
      <c r="ZG84" s="2"/>
      <c r="ZH84" s="2"/>
      <c r="ZI84" s="2"/>
      <c r="ZJ84" s="2"/>
      <c r="ZK84" s="2"/>
      <c r="ZL84" s="2"/>
      <c r="ZM84" s="2"/>
      <c r="ZN84" s="2"/>
      <c r="ZO84" s="2"/>
      <c r="ZP84" s="2"/>
      <c r="ZQ84" s="2"/>
      <c r="ZR84" s="2"/>
      <c r="ZS84" s="2"/>
      <c r="ZT84" s="2"/>
      <c r="ZU84" s="2"/>
      <c r="ZV84" s="2"/>
      <c r="ZW84" s="2"/>
      <c r="ZX84" s="2"/>
      <c r="ZY84" s="2"/>
      <c r="ZZ84" s="2"/>
      <c r="AAA84" s="2"/>
      <c r="AAB84" s="2"/>
      <c r="AAC84" s="2"/>
      <c r="AAD84" s="2"/>
      <c r="AAE84" s="2"/>
      <c r="AAF84" s="2"/>
      <c r="AAG84" s="2"/>
      <c r="AAH84" s="2"/>
      <c r="AAI84" s="2"/>
      <c r="AAJ84" s="2"/>
      <c r="AAK84" s="2"/>
      <c r="AAL84" s="2"/>
      <c r="AAM84" s="2"/>
      <c r="AAN84" s="2"/>
      <c r="AAO84" s="2"/>
      <c r="AAP84" s="2"/>
      <c r="AAQ84" s="2"/>
      <c r="AAR84" s="2"/>
      <c r="AAS84" s="2"/>
      <c r="AAT84" s="2"/>
      <c r="AAU84" s="2"/>
      <c r="AAV84" s="2"/>
      <c r="AAW84" s="2"/>
      <c r="AAX84" s="2"/>
      <c r="AAY84" s="2"/>
      <c r="AAZ84" s="2"/>
      <c r="ABA84" s="2"/>
      <c r="ABB84" s="2"/>
      <c r="ABC84" s="2"/>
      <c r="ABD84" s="2"/>
      <c r="ABE84" s="2"/>
      <c r="ABF84" s="2"/>
      <c r="ABG84" s="2"/>
      <c r="ABH84" s="2"/>
      <c r="ABI84" s="2"/>
      <c r="ABJ84" s="2"/>
      <c r="ABK84" s="2"/>
      <c r="ABL84" s="2"/>
      <c r="ABM84" s="2"/>
      <c r="ABN84" s="2"/>
      <c r="ABO84" s="2"/>
      <c r="ABP84" s="2"/>
      <c r="ABQ84" s="2"/>
      <c r="ABR84" s="2"/>
      <c r="ABS84" s="2"/>
      <c r="ABT84" s="2"/>
      <c r="ABU84" s="2"/>
      <c r="ABV84" s="2"/>
      <c r="ABW84" s="2"/>
      <c r="ABX84" s="2"/>
      <c r="ABY84" s="2"/>
      <c r="ABZ84" s="2"/>
      <c r="ACA84" s="2"/>
      <c r="ACB84" s="2"/>
      <c r="ACC84" s="2"/>
      <c r="ACD84" s="2"/>
      <c r="ACE84" s="2"/>
      <c r="ACF84" s="2"/>
      <c r="ACG84" s="2"/>
      <c r="ACH84" s="2"/>
      <c r="ACI84" s="2"/>
      <c r="ACJ84" s="2"/>
      <c r="ACK84" s="2"/>
      <c r="ACL84" s="2"/>
      <c r="ACM84" s="2"/>
      <c r="ACN84" s="2"/>
      <c r="ACO84" s="2"/>
      <c r="ACP84" s="2"/>
      <c r="ACQ84" s="2"/>
      <c r="ACR84" s="2"/>
      <c r="ACS84" s="2"/>
      <c r="ACT84" s="2"/>
      <c r="ACU84" s="2"/>
      <c r="ACV84" s="2"/>
      <c r="ACW84" s="2"/>
      <c r="ACX84" s="2"/>
      <c r="ACY84" s="2"/>
      <c r="ACZ84" s="2"/>
      <c r="ADA84" s="2"/>
      <c r="ADB84" s="2"/>
      <c r="ADC84" s="2"/>
      <c r="ADD84" s="2"/>
      <c r="ADE84" s="2"/>
      <c r="ADF84" s="2"/>
      <c r="ADG84" s="2"/>
      <c r="ADH84" s="2"/>
      <c r="ADI84" s="2"/>
      <c r="ADJ84" s="2"/>
      <c r="ADK84" s="2"/>
      <c r="ADL84" s="2"/>
      <c r="ADM84" s="2"/>
      <c r="ADN84" s="2"/>
      <c r="ADO84" s="2"/>
      <c r="ADP84" s="2"/>
      <c r="ADQ84" s="2"/>
      <c r="ADR84" s="2"/>
      <c r="ADS84" s="2"/>
      <c r="ADT84" s="2"/>
      <c r="ADU84" s="2"/>
      <c r="ADV84" s="2"/>
      <c r="ADW84" s="2"/>
      <c r="ADX84" s="2"/>
      <c r="ADY84" s="2"/>
      <c r="ADZ84" s="2"/>
      <c r="AEA84" s="2"/>
      <c r="AEB84" s="2"/>
      <c r="AEC84" s="2"/>
      <c r="AED84" s="2"/>
      <c r="AEE84" s="2"/>
      <c r="AEF84" s="2"/>
      <c r="AEG84" s="2"/>
      <c r="AEH84" s="2"/>
      <c r="AEI84" s="2"/>
      <c r="AEJ84" s="2"/>
      <c r="AEK84" s="2"/>
      <c r="AEL84" s="2"/>
      <c r="AEM84" s="2"/>
      <c r="AEN84" s="2"/>
      <c r="AEO84" s="2"/>
      <c r="AEP84" s="2"/>
      <c r="AEQ84" s="2"/>
      <c r="AER84" s="2"/>
      <c r="AES84" s="2"/>
      <c r="AET84" s="2"/>
      <c r="AEU84" s="2"/>
      <c r="AEV84" s="2"/>
      <c r="AEW84" s="2"/>
      <c r="AEX84" s="2"/>
      <c r="AEY84" s="2"/>
      <c r="AEZ84" s="2"/>
      <c r="AFA84" s="2"/>
      <c r="AFB84" s="2"/>
      <c r="AFC84" s="2"/>
      <c r="AFD84" s="2"/>
      <c r="AFE84" s="2"/>
      <c r="AFF84" s="2"/>
      <c r="AFG84" s="2"/>
      <c r="AFH84" s="2"/>
      <c r="AFI84" s="2"/>
      <c r="AFJ84" s="2"/>
      <c r="AFK84" s="2"/>
      <c r="AFL84" s="2"/>
      <c r="AFM84" s="2"/>
      <c r="AFN84" s="2"/>
      <c r="AFO84" s="2"/>
      <c r="AFP84" s="2"/>
      <c r="AFQ84" s="2"/>
      <c r="AFR84" s="2"/>
      <c r="AFS84" s="2"/>
      <c r="AFT84" s="2"/>
      <c r="AFU84" s="2"/>
      <c r="AFV84" s="2"/>
      <c r="AFW84" s="2"/>
      <c r="AFX84" s="2"/>
      <c r="AFY84" s="2"/>
      <c r="AFZ84" s="2"/>
      <c r="AGA84" s="2"/>
      <c r="AGB84" s="2"/>
      <c r="AGC84" s="2"/>
      <c r="AGD84" s="2"/>
      <c r="AGE84" s="2"/>
      <c r="AGF84" s="2"/>
      <c r="AGG84" s="2"/>
      <c r="AGH84" s="2"/>
      <c r="AGI84" s="2"/>
      <c r="AGJ84" s="2"/>
      <c r="AGK84" s="2"/>
      <c r="AGL84" s="2"/>
      <c r="AGM84" s="2"/>
      <c r="AGN84" s="2"/>
      <c r="AGO84" s="2"/>
      <c r="AGP84" s="2"/>
      <c r="AGQ84" s="2"/>
      <c r="AGR84" s="2"/>
      <c r="AGS84" s="2"/>
      <c r="AGT84" s="2"/>
      <c r="AGU84" s="2"/>
      <c r="AGV84" s="2"/>
      <c r="AGW84" s="2"/>
      <c r="AGX84" s="2"/>
      <c r="AGY84" s="2"/>
      <c r="AGZ84" s="2"/>
      <c r="AHA84" s="2"/>
      <c r="AHB84" s="2"/>
      <c r="AHC84" s="2"/>
      <c r="AHD84" s="2"/>
      <c r="AHE84" s="2"/>
      <c r="AHF84" s="2"/>
      <c r="AHG84" s="2"/>
      <c r="AHH84" s="2"/>
      <c r="AHI84" s="2"/>
      <c r="AHJ84" s="2"/>
      <c r="AHK84" s="2"/>
      <c r="AHL84" s="2"/>
      <c r="AHM84" s="2"/>
      <c r="AHN84" s="2"/>
      <c r="AHO84" s="2"/>
      <c r="AHP84" s="2"/>
      <c r="AHQ84" s="2"/>
      <c r="AHR84" s="2"/>
      <c r="AHS84" s="2"/>
      <c r="AHT84" s="2"/>
      <c r="AHU84" s="2"/>
      <c r="AHV84" s="2"/>
      <c r="AHW84" s="2"/>
      <c r="AHX84" s="2"/>
      <c r="AHY84" s="2"/>
      <c r="AHZ84" s="2"/>
      <c r="AIA84" s="2"/>
      <c r="AIB84" s="2"/>
      <c r="AIC84" s="2"/>
      <c r="AID84" s="2"/>
      <c r="AIE84" s="2"/>
      <c r="AIF84" s="2"/>
      <c r="AIG84" s="2"/>
      <c r="AIH84" s="2"/>
      <c r="AII84" s="2"/>
      <c r="AIJ84" s="2"/>
      <c r="AIK84" s="2"/>
      <c r="AIL84" s="2"/>
      <c r="AIM84" s="2"/>
      <c r="AIN84" s="2"/>
      <c r="AIO84" s="2"/>
      <c r="AIP84" s="2"/>
      <c r="AIQ84" s="2"/>
      <c r="AIR84" s="2"/>
      <c r="AIS84" s="2"/>
      <c r="AIT84" s="2"/>
      <c r="AIU84" s="2"/>
      <c r="AIV84" s="2"/>
      <c r="AIW84" s="2"/>
      <c r="AIX84" s="2"/>
      <c r="AIY84" s="2"/>
      <c r="AIZ84" s="2"/>
      <c r="AJA84" s="2"/>
      <c r="AJB84" s="2"/>
      <c r="AJC84" s="2"/>
      <c r="AJD84" s="2"/>
      <c r="AJE84" s="2"/>
      <c r="AJF84" s="2"/>
      <c r="AJG84" s="2"/>
      <c r="AJH84" s="2"/>
      <c r="AJI84" s="2"/>
      <c r="AJJ84" s="2"/>
      <c r="AJK84" s="2"/>
      <c r="AJL84" s="2"/>
      <c r="AJM84" s="2"/>
      <c r="AJN84" s="2"/>
      <c r="AJO84" s="2"/>
      <c r="AJP84" s="2"/>
      <c r="AJQ84" s="2"/>
      <c r="AJR84" s="2"/>
      <c r="AJS84" s="2"/>
      <c r="AJT84" s="2"/>
      <c r="AJU84" s="2"/>
      <c r="AJV84" s="2"/>
      <c r="AJW84" s="2"/>
      <c r="AJX84" s="2"/>
      <c r="AJY84" s="2"/>
      <c r="AJZ84" s="2"/>
      <c r="AKA84" s="2"/>
      <c r="AKB84" s="2"/>
      <c r="AKC84" s="2"/>
      <c r="AKD84" s="2"/>
      <c r="AKE84" s="2"/>
      <c r="AKF84" s="2"/>
      <c r="AKG84" s="2"/>
      <c r="AKH84" s="2"/>
      <c r="AKI84" s="2"/>
      <c r="AKJ84" s="2"/>
      <c r="AKK84" s="2"/>
      <c r="AKL84" s="2"/>
      <c r="AKM84" s="2"/>
      <c r="AKN84" s="2"/>
      <c r="AKO84" s="2"/>
      <c r="AKP84" s="2"/>
      <c r="AKQ84" s="2"/>
      <c r="AKR84" s="2"/>
      <c r="AKS84" s="2"/>
      <c r="AKT84" s="2"/>
      <c r="AKU84" s="2"/>
      <c r="AKV84" s="2"/>
      <c r="AKW84" s="2"/>
      <c r="AKX84" s="2"/>
      <c r="AKY84" s="2"/>
      <c r="AKZ84" s="2"/>
      <c r="ALA84" s="2"/>
      <c r="ALB84" s="2"/>
      <c r="ALC84" s="2"/>
      <c r="ALD84" s="2"/>
      <c r="ALE84" s="2"/>
      <c r="ALF84" s="2"/>
      <c r="ALG84" s="2"/>
      <c r="ALH84" s="2"/>
      <c r="ALI84" s="2"/>
      <c r="ALJ84" s="2"/>
      <c r="ALK84" s="2"/>
      <c r="ALL84" s="2"/>
      <c r="ALM84" s="2"/>
      <c r="ALN84" s="2"/>
      <c r="ALO84" s="2"/>
      <c r="ALP84" s="2"/>
      <c r="ALQ84" s="2"/>
      <c r="ALR84" s="2"/>
      <c r="ALS84" s="2"/>
      <c r="ALT84" s="2"/>
      <c r="ALU84" s="2"/>
      <c r="ALV84" s="2"/>
      <c r="ALW84" s="2"/>
      <c r="ALX84" s="2"/>
      <c r="ALY84" s="2"/>
      <c r="ALZ84" s="2"/>
      <c r="AMA84" s="2"/>
      <c r="AMB84" s="2"/>
      <c r="AMC84" s="2"/>
      <c r="AMD84" s="2"/>
      <c r="AME84" s="2"/>
      <c r="AMF84" s="2"/>
      <c r="AMG84" s="2"/>
      <c r="AMH84" s="2"/>
      <c r="AMI84" s="2"/>
      <c r="AMJ84" s="2"/>
      <c r="AMK84" s="2"/>
      <c r="AML84" s="2"/>
      <c r="AMM84" s="2"/>
      <c r="AMN84" s="2"/>
      <c r="AMO84" s="2"/>
      <c r="AMP84" s="2"/>
      <c r="AMQ84" s="2"/>
      <c r="AMR84" s="2"/>
      <c r="AMS84" s="2"/>
      <c r="AMT84" s="2"/>
      <c r="AMU84" s="2"/>
      <c r="AMV84" s="2"/>
      <c r="AMW84" s="2"/>
      <c r="AMX84" s="2"/>
      <c r="AMY84" s="2"/>
      <c r="AMZ84" s="2"/>
      <c r="ANA84" s="2"/>
      <c r="ANB84" s="2"/>
      <c r="ANC84" s="2"/>
      <c r="AND84" s="2"/>
      <c r="ANE84" s="2"/>
      <c r="ANF84" s="2"/>
      <c r="ANG84" s="2"/>
      <c r="ANH84" s="2"/>
      <c r="ANI84" s="2"/>
      <c r="ANJ84" s="2"/>
      <c r="ANK84" s="2"/>
      <c r="ANL84" s="2"/>
      <c r="ANM84" s="2"/>
      <c r="ANN84" s="2"/>
      <c r="ANO84" s="2"/>
      <c r="ANP84" s="2"/>
      <c r="ANQ84" s="2"/>
      <c r="ANR84" s="2"/>
      <c r="ANS84" s="2"/>
      <c r="ANT84" s="2"/>
      <c r="ANU84" s="2"/>
      <c r="ANV84" s="2"/>
      <c r="ANW84" s="2"/>
      <c r="ANX84" s="2"/>
      <c r="ANY84" s="2"/>
      <c r="ANZ84" s="2"/>
      <c r="AOA84" s="2"/>
      <c r="AOB84" s="2"/>
      <c r="AOC84" s="2"/>
      <c r="AOD84" s="2"/>
      <c r="AOE84" s="2"/>
      <c r="AOF84" s="2"/>
      <c r="AOG84" s="2"/>
      <c r="AOH84" s="2"/>
      <c r="AOI84" s="2"/>
      <c r="AOJ84" s="2"/>
      <c r="AOK84" s="2"/>
      <c r="AOL84" s="2"/>
      <c r="AOM84" s="2"/>
      <c r="AON84" s="2"/>
      <c r="AOO84" s="2"/>
      <c r="AOP84" s="2"/>
      <c r="AOQ84" s="2"/>
      <c r="AOR84" s="2"/>
      <c r="AOS84" s="2"/>
      <c r="AOT84" s="2"/>
      <c r="AOU84" s="2"/>
      <c r="AOV84" s="2"/>
      <c r="AOW84" s="2"/>
      <c r="AOX84" s="2"/>
      <c r="AOY84" s="2"/>
      <c r="AOZ84" s="2"/>
      <c r="APA84" s="2"/>
      <c r="APB84" s="2"/>
      <c r="APC84" s="2"/>
      <c r="APD84" s="2"/>
      <c r="APE84" s="2"/>
      <c r="APF84" s="2"/>
      <c r="APG84" s="2"/>
      <c r="APH84" s="2"/>
      <c r="API84" s="2"/>
      <c r="APJ84" s="2"/>
      <c r="APK84" s="2"/>
      <c r="APL84" s="2"/>
      <c r="APM84" s="2"/>
      <c r="APN84" s="2"/>
      <c r="APO84" s="2"/>
      <c r="APP84" s="2"/>
      <c r="APQ84" s="2"/>
      <c r="APR84" s="2"/>
      <c r="APS84" s="2"/>
      <c r="APT84" s="2"/>
      <c r="APU84" s="2"/>
      <c r="APV84" s="2"/>
      <c r="APW84" s="2"/>
      <c r="APX84" s="2"/>
      <c r="APY84" s="2"/>
      <c r="APZ84" s="2"/>
      <c r="AQA84" s="2"/>
      <c r="AQB84" s="2"/>
      <c r="AQC84" s="2"/>
      <c r="AQD84" s="2"/>
      <c r="AQE84" s="2"/>
      <c r="AQF84" s="2"/>
      <c r="AQG84" s="2"/>
      <c r="AQH84" s="2"/>
      <c r="AQI84" s="2"/>
      <c r="AQJ84" s="2"/>
      <c r="AQK84" s="2"/>
      <c r="AQL84" s="2"/>
      <c r="AQM84" s="2"/>
      <c r="AQN84" s="2"/>
      <c r="AQO84" s="2"/>
      <c r="AQP84" s="2"/>
      <c r="AQQ84" s="2"/>
      <c r="AQR84" s="2"/>
      <c r="AQS84" s="2"/>
      <c r="AQT84" s="2"/>
      <c r="AQU84" s="2"/>
      <c r="AQV84" s="2"/>
      <c r="AQW84" s="2"/>
      <c r="AQX84" s="2"/>
      <c r="AQY84" s="2"/>
      <c r="AQZ84" s="2"/>
      <c r="ARA84" s="2"/>
      <c r="ARB84" s="2"/>
      <c r="ARC84" s="2"/>
      <c r="ARD84" s="2"/>
      <c r="ARE84" s="2"/>
      <c r="ARF84" s="2"/>
      <c r="ARG84" s="2"/>
      <c r="ARH84" s="2"/>
      <c r="ARI84" s="2"/>
      <c r="ARJ84" s="2"/>
      <c r="ARK84" s="2"/>
      <c r="ARL84" s="2"/>
      <c r="ARM84" s="2"/>
      <c r="ARN84" s="2"/>
      <c r="ARO84" s="2"/>
      <c r="ARP84" s="2"/>
      <c r="ARQ84" s="2"/>
      <c r="ARR84" s="2"/>
      <c r="ARS84" s="2"/>
      <c r="ART84" s="2"/>
      <c r="ARU84" s="2"/>
      <c r="ARV84" s="2"/>
      <c r="ARW84" s="2"/>
      <c r="ARX84" s="2"/>
      <c r="ARY84" s="2"/>
      <c r="ARZ84" s="2"/>
      <c r="ASA84" s="2"/>
      <c r="ASB84" s="2"/>
      <c r="ASC84" s="2"/>
      <c r="ASD84" s="2"/>
      <c r="ASE84" s="2"/>
      <c r="ASF84" s="2"/>
      <c r="ASG84" s="2"/>
      <c r="ASH84" s="2"/>
      <c r="ASI84" s="2"/>
      <c r="ASJ84" s="2"/>
      <c r="ASK84" s="2"/>
      <c r="ASL84" s="2"/>
      <c r="ASM84" s="2"/>
      <c r="ASN84" s="2"/>
      <c r="ASO84" s="2"/>
      <c r="ASP84" s="2"/>
      <c r="ASQ84" s="2"/>
      <c r="ASR84" s="2"/>
      <c r="ASS84" s="2"/>
      <c r="AST84" s="2"/>
      <c r="ASU84" s="2"/>
      <c r="ASV84" s="2"/>
      <c r="ASW84" s="2"/>
      <c r="ASX84" s="2"/>
      <c r="ASY84" s="2"/>
      <c r="ASZ84" s="2"/>
      <c r="ATA84" s="2"/>
      <c r="ATB84" s="2"/>
      <c r="ATC84" s="2"/>
      <c r="ATD84" s="2"/>
      <c r="ATE84" s="2"/>
      <c r="ATF84" s="2"/>
      <c r="ATG84" s="2"/>
      <c r="ATH84" s="2"/>
      <c r="ATI84" s="2"/>
      <c r="ATJ84" s="2"/>
      <c r="ATK84" s="2"/>
      <c r="ATL84" s="2"/>
      <c r="ATM84" s="2"/>
      <c r="ATN84" s="2"/>
      <c r="ATO84" s="2"/>
      <c r="ATP84" s="2"/>
      <c r="ATQ84" s="2"/>
      <c r="ATR84" s="2"/>
      <c r="ATS84" s="2"/>
      <c r="ATT84" s="2"/>
      <c r="ATU84" s="2"/>
      <c r="ATV84" s="2"/>
      <c r="ATW84" s="2"/>
      <c r="ATX84" s="2"/>
      <c r="ATY84" s="2"/>
      <c r="ATZ84" s="2"/>
      <c r="AUA84" s="2"/>
      <c r="AUB84" s="2"/>
      <c r="AUC84" s="2"/>
      <c r="AUD84" s="2"/>
      <c r="AUE84" s="2"/>
      <c r="AUF84" s="2"/>
      <c r="AUG84" s="2"/>
      <c r="AUH84" s="2"/>
      <c r="AUI84" s="2"/>
      <c r="AUJ84" s="2"/>
      <c r="AUK84" s="2"/>
      <c r="AUL84" s="2"/>
      <c r="AUM84" s="2"/>
      <c r="AUN84" s="2"/>
      <c r="AUO84" s="2"/>
      <c r="AUP84" s="2"/>
      <c r="AUQ84" s="2"/>
      <c r="AUR84" s="2"/>
      <c r="AUS84" s="2"/>
      <c r="AUT84" s="2"/>
      <c r="AUU84" s="2"/>
      <c r="AUV84" s="2"/>
      <c r="AUW84" s="2"/>
      <c r="AUX84" s="2"/>
      <c r="AUY84" s="2"/>
      <c r="AUZ84" s="2"/>
      <c r="AVA84" s="2"/>
      <c r="AVB84" s="2"/>
      <c r="AVC84" s="2"/>
      <c r="AVD84" s="2"/>
      <c r="AVE84" s="2"/>
      <c r="AVF84" s="2"/>
      <c r="AVG84" s="2"/>
      <c r="AVH84" s="2"/>
      <c r="AVI84" s="2"/>
      <c r="AVJ84" s="2"/>
      <c r="AVK84" s="2"/>
      <c r="AVL84" s="2"/>
      <c r="AVM84" s="2"/>
      <c r="AVN84" s="2"/>
      <c r="AVO84" s="2"/>
      <c r="AVP84" s="2"/>
      <c r="AVQ84" s="2"/>
      <c r="AVR84" s="2"/>
      <c r="AVS84" s="2"/>
      <c r="AVT84" s="2"/>
      <c r="AVU84" s="2"/>
      <c r="AVV84" s="2"/>
      <c r="AVW84" s="2"/>
      <c r="AVX84" s="2"/>
      <c r="AVY84" s="2"/>
      <c r="AVZ84" s="2"/>
      <c r="AWA84" s="2"/>
      <c r="AWB84" s="2"/>
      <c r="AWC84" s="2"/>
      <c r="AWD84" s="2"/>
      <c r="AWE84" s="2"/>
      <c r="AWF84" s="2"/>
      <c r="AWG84" s="2"/>
      <c r="AWH84" s="2"/>
      <c r="AWI84" s="2"/>
      <c r="AWJ84" s="2"/>
      <c r="AWK84" s="2"/>
      <c r="AWL84" s="2"/>
      <c r="AWM84" s="2"/>
      <c r="AWN84" s="2"/>
      <c r="AWO84" s="2"/>
      <c r="AWP84" s="2"/>
      <c r="AWQ84" s="2"/>
      <c r="AWR84" s="2"/>
      <c r="AWS84" s="2"/>
      <c r="AWT84" s="2"/>
      <c r="AWU84" s="2"/>
      <c r="AWV84" s="2"/>
      <c r="AWW84" s="2"/>
      <c r="AWX84" s="2"/>
      <c r="AWY84" s="2"/>
      <c r="AWZ84" s="2"/>
      <c r="AXA84" s="2"/>
      <c r="AXB84" s="2"/>
      <c r="AXC84" s="2"/>
      <c r="AXD84" s="2"/>
      <c r="AXE84" s="2"/>
      <c r="AXF84" s="2"/>
      <c r="AXG84" s="2"/>
      <c r="AXH84" s="2"/>
      <c r="AXI84" s="2"/>
      <c r="AXJ84" s="2"/>
      <c r="AXK84" s="2"/>
      <c r="AXL84" s="2"/>
      <c r="AXM84" s="2"/>
      <c r="AXN84" s="2"/>
      <c r="AXO84" s="2"/>
      <c r="AXP84" s="2"/>
      <c r="AXQ84" s="2"/>
      <c r="AXR84" s="2"/>
      <c r="AXS84" s="2"/>
      <c r="AXT84" s="2"/>
      <c r="AXU84" s="2"/>
      <c r="AXV84" s="2"/>
      <c r="AXW84" s="2"/>
      <c r="AXX84" s="2"/>
      <c r="AXY84" s="2"/>
      <c r="AXZ84" s="2"/>
      <c r="AYA84" s="2"/>
      <c r="AYB84" s="2"/>
      <c r="AYC84" s="2"/>
      <c r="AYD84" s="2"/>
      <c r="AYE84" s="2"/>
      <c r="AYF84" s="2"/>
      <c r="AYG84" s="2"/>
      <c r="AYH84" s="2"/>
      <c r="AYI84" s="2"/>
      <c r="AYJ84" s="2"/>
      <c r="AYK84" s="2"/>
      <c r="AYL84" s="2"/>
      <c r="AYM84" s="2"/>
      <c r="AYN84" s="2"/>
      <c r="AYO84" s="2"/>
      <c r="AYP84" s="2"/>
      <c r="AYQ84" s="2"/>
      <c r="AYR84" s="2"/>
      <c r="AYS84" s="2"/>
      <c r="AYT84" s="2"/>
      <c r="AYU84" s="2"/>
      <c r="AYV84" s="2"/>
      <c r="AYW84" s="2"/>
      <c r="AYX84" s="2"/>
      <c r="AYY84" s="2"/>
      <c r="AYZ84" s="2"/>
      <c r="AZA84" s="2"/>
      <c r="AZB84" s="2"/>
      <c r="AZC84" s="2"/>
      <c r="AZD84" s="2"/>
      <c r="AZE84" s="2"/>
      <c r="AZF84" s="2"/>
      <c r="AZG84" s="2"/>
      <c r="AZH84" s="2"/>
      <c r="AZI84" s="2"/>
      <c r="AZJ84" s="2"/>
      <c r="AZK84" s="2"/>
      <c r="AZL84" s="2"/>
      <c r="AZM84" s="2"/>
      <c r="AZN84" s="2"/>
      <c r="AZO84" s="2"/>
      <c r="AZP84" s="2"/>
      <c r="AZQ84" s="2"/>
      <c r="AZR84" s="2"/>
      <c r="AZS84" s="2"/>
      <c r="AZT84" s="2"/>
      <c r="AZU84" s="2"/>
      <c r="AZV84" s="2"/>
      <c r="AZW84" s="2"/>
      <c r="AZX84" s="2"/>
      <c r="AZY84" s="2"/>
      <c r="AZZ84" s="2"/>
      <c r="BAA84" s="2"/>
      <c r="BAB84" s="2"/>
      <c r="BAC84" s="2"/>
      <c r="BAD84" s="2"/>
      <c r="BAE84" s="2"/>
      <c r="BAF84" s="2"/>
      <c r="BAG84" s="2"/>
      <c r="BAH84" s="2"/>
      <c r="BAI84" s="2"/>
      <c r="BAJ84" s="2"/>
      <c r="BAK84" s="2"/>
      <c r="BAL84" s="2"/>
      <c r="BAM84" s="2"/>
      <c r="BAN84" s="2"/>
      <c r="BAO84" s="2"/>
      <c r="BAP84" s="2"/>
      <c r="BAQ84" s="2"/>
      <c r="BAR84" s="2"/>
      <c r="BAS84" s="2"/>
      <c r="BAT84" s="2"/>
      <c r="BAU84" s="2"/>
      <c r="BAV84" s="2"/>
      <c r="BAW84" s="2"/>
      <c r="BAX84" s="2"/>
      <c r="BAY84" s="2"/>
      <c r="BAZ84" s="2"/>
      <c r="BBA84" s="2"/>
      <c r="BBB84" s="2"/>
      <c r="BBC84" s="2"/>
      <c r="BBD84" s="2"/>
      <c r="BBE84" s="2"/>
      <c r="BBF84" s="2"/>
      <c r="BBG84" s="2"/>
      <c r="BBH84" s="2"/>
      <c r="BBI84" s="2"/>
      <c r="BBJ84" s="2"/>
      <c r="BBK84" s="2"/>
      <c r="BBL84" s="2"/>
      <c r="BBM84" s="2"/>
      <c r="BBN84" s="2"/>
      <c r="BBO84" s="2"/>
      <c r="BBP84" s="2"/>
      <c r="BBQ84" s="2"/>
      <c r="BBR84" s="2"/>
      <c r="BBS84" s="2"/>
      <c r="BBT84" s="2"/>
      <c r="BBU84" s="2"/>
      <c r="BBV84" s="2"/>
      <c r="BBW84" s="2"/>
      <c r="BBX84" s="2"/>
      <c r="BBY84" s="2"/>
      <c r="BBZ84" s="2"/>
      <c r="BCA84" s="2"/>
      <c r="BCB84" s="2"/>
      <c r="BCC84" s="2"/>
      <c r="BCD84" s="2"/>
      <c r="BCE84" s="2"/>
      <c r="BCF84" s="2"/>
      <c r="BCG84" s="2"/>
      <c r="BCH84" s="2"/>
      <c r="BCI84" s="2"/>
      <c r="BCJ84" s="2"/>
      <c r="BCK84" s="2"/>
      <c r="BCL84" s="2"/>
      <c r="BCM84" s="2"/>
      <c r="BCN84" s="2"/>
      <c r="BCO84" s="2"/>
      <c r="BCP84" s="2"/>
      <c r="BCQ84" s="2"/>
      <c r="BCR84" s="2"/>
      <c r="BCS84" s="2"/>
      <c r="BCT84" s="2"/>
      <c r="BCU84" s="2"/>
      <c r="BCV84" s="2"/>
      <c r="BCW84" s="2"/>
      <c r="BCX84" s="2"/>
      <c r="BCY84" s="2"/>
      <c r="BCZ84" s="2"/>
      <c r="BDA84" s="2"/>
      <c r="BDB84" s="2"/>
      <c r="BDC84" s="2"/>
      <c r="BDD84" s="2"/>
      <c r="BDE84" s="2"/>
      <c r="BDF84" s="2"/>
      <c r="BDG84" s="2"/>
      <c r="BDH84" s="2"/>
      <c r="BDI84" s="2"/>
      <c r="BDJ84" s="2"/>
      <c r="BDK84" s="2"/>
      <c r="BDL84" s="2"/>
      <c r="BDM84" s="2"/>
      <c r="BDN84" s="2"/>
      <c r="BDO84" s="2"/>
      <c r="BDP84" s="2"/>
      <c r="BDQ84" s="2"/>
      <c r="BDR84" s="2"/>
      <c r="BDS84" s="2"/>
      <c r="BDT84" s="2"/>
      <c r="BDU84" s="2"/>
      <c r="BDV84" s="2"/>
      <c r="BDW84" s="2"/>
      <c r="BDX84" s="2"/>
      <c r="BDY84" s="2"/>
      <c r="BDZ84" s="2"/>
      <c r="BEA84" s="2"/>
      <c r="BEB84" s="2"/>
      <c r="BEC84" s="2"/>
      <c r="BED84" s="2"/>
      <c r="BEE84" s="2"/>
      <c r="BEF84" s="2"/>
      <c r="BEG84" s="2"/>
      <c r="BEH84" s="2"/>
      <c r="BEI84" s="2"/>
      <c r="BEJ84" s="2"/>
      <c r="BEK84" s="2"/>
      <c r="BEL84" s="2"/>
      <c r="BEM84" s="2"/>
      <c r="BEN84" s="2"/>
      <c r="BEO84" s="2"/>
      <c r="BEP84" s="2"/>
      <c r="BEQ84" s="2"/>
      <c r="BER84" s="2"/>
      <c r="BES84" s="2"/>
      <c r="BET84" s="2"/>
      <c r="BEU84" s="2"/>
      <c r="BEV84" s="2"/>
      <c r="BEW84" s="2"/>
      <c r="BEX84" s="2"/>
      <c r="BEY84" s="2"/>
      <c r="BEZ84" s="2"/>
      <c r="BFA84" s="2"/>
      <c r="BFB84" s="2"/>
      <c r="BFC84" s="2"/>
      <c r="BFD84" s="2"/>
      <c r="BFE84" s="2"/>
      <c r="BFF84" s="2"/>
      <c r="BFG84" s="2"/>
      <c r="BFH84" s="2"/>
      <c r="BFI84" s="2"/>
      <c r="BFJ84" s="2"/>
      <c r="BFK84" s="2"/>
      <c r="BFL84" s="2"/>
      <c r="BFM84" s="2"/>
      <c r="BFN84" s="2"/>
      <c r="BFO84" s="2"/>
      <c r="BFP84" s="2"/>
      <c r="BFQ84" s="2"/>
      <c r="BFR84" s="2"/>
      <c r="BFS84" s="2"/>
      <c r="BFT84" s="2"/>
      <c r="BFU84" s="2"/>
      <c r="BFV84" s="2"/>
      <c r="BFW84" s="2"/>
      <c r="BFX84" s="2"/>
      <c r="BFY84" s="2"/>
      <c r="BFZ84" s="2"/>
      <c r="BGA84" s="2"/>
      <c r="BGB84" s="2"/>
      <c r="BGC84" s="2"/>
      <c r="BGD84" s="2"/>
      <c r="BGE84" s="2"/>
      <c r="BGF84" s="2"/>
      <c r="BGG84" s="2"/>
      <c r="BGH84" s="2"/>
      <c r="BGI84" s="2"/>
      <c r="BGJ84" s="2"/>
      <c r="BGK84" s="2"/>
      <c r="BGL84" s="2"/>
      <c r="BGM84" s="2"/>
      <c r="BGN84" s="2"/>
      <c r="BGO84" s="2"/>
      <c r="BGP84" s="2"/>
      <c r="BGQ84" s="2"/>
      <c r="BGR84" s="2"/>
      <c r="BGS84" s="2"/>
      <c r="BGT84" s="2"/>
      <c r="BGU84" s="2"/>
      <c r="BGV84" s="2"/>
      <c r="BGW84" s="2"/>
      <c r="BGX84" s="2"/>
      <c r="BGY84" s="2"/>
      <c r="BGZ84" s="2"/>
      <c r="BHA84" s="2"/>
      <c r="BHB84" s="2"/>
      <c r="BHC84" s="2"/>
      <c r="BHD84" s="2"/>
      <c r="BHE84" s="2"/>
      <c r="BHF84" s="2"/>
      <c r="BHG84" s="2"/>
      <c r="BHH84" s="2"/>
      <c r="BHI84" s="2"/>
      <c r="BHJ84" s="2"/>
      <c r="BHK84" s="2"/>
      <c r="BHL84" s="2"/>
      <c r="BHM84" s="2"/>
      <c r="BHN84" s="2"/>
      <c r="BHO84" s="2"/>
      <c r="BHP84" s="2"/>
      <c r="BHQ84" s="2"/>
      <c r="BHR84" s="2"/>
      <c r="BHS84" s="2"/>
      <c r="BHT84" s="2"/>
      <c r="BHU84" s="2"/>
      <c r="BHV84" s="2"/>
      <c r="BHW84" s="2"/>
      <c r="BHX84" s="2"/>
      <c r="BHY84" s="2"/>
      <c r="BHZ84" s="2"/>
      <c r="BIA84" s="2"/>
      <c r="BIB84" s="2"/>
      <c r="BIC84" s="2"/>
      <c r="BID84" s="2"/>
      <c r="BIE84" s="2"/>
      <c r="BIF84" s="2"/>
      <c r="BIG84" s="2"/>
      <c r="BIH84" s="2"/>
      <c r="BII84" s="2"/>
      <c r="BIJ84" s="2"/>
      <c r="BIK84" s="2"/>
      <c r="BIL84" s="2"/>
      <c r="BIM84" s="2"/>
      <c r="BIN84" s="2"/>
      <c r="BIO84" s="2"/>
      <c r="BIP84" s="2"/>
      <c r="BIQ84" s="2"/>
      <c r="BIR84" s="2"/>
      <c r="BIS84" s="2"/>
      <c r="BIT84" s="2"/>
      <c r="BIU84" s="2"/>
      <c r="BIV84" s="2"/>
      <c r="BIW84" s="2"/>
      <c r="BIX84" s="2"/>
      <c r="BIY84" s="2"/>
      <c r="BIZ84" s="2"/>
      <c r="BJA84" s="2"/>
      <c r="BJB84" s="2"/>
      <c r="BJC84" s="2"/>
      <c r="BJD84" s="2"/>
      <c r="BJE84" s="2"/>
      <c r="BJF84" s="2"/>
      <c r="BJG84" s="2"/>
      <c r="BJH84" s="2"/>
      <c r="BJI84" s="2"/>
      <c r="BJJ84" s="2"/>
      <c r="BJK84" s="2"/>
      <c r="BJL84" s="2"/>
      <c r="BJM84" s="2"/>
      <c r="BJN84" s="2"/>
      <c r="BJO84" s="2"/>
      <c r="BJP84" s="2"/>
      <c r="BJQ84" s="2"/>
      <c r="BJR84" s="2"/>
      <c r="BJS84" s="2"/>
      <c r="BJT84" s="2"/>
      <c r="BJU84" s="2"/>
      <c r="BJV84" s="2"/>
      <c r="BJW84" s="2"/>
      <c r="BJX84" s="2"/>
      <c r="BJY84" s="2"/>
      <c r="BJZ84" s="2"/>
      <c r="BKA84" s="2"/>
      <c r="BKB84" s="2"/>
      <c r="BKC84" s="2"/>
      <c r="BKD84" s="2"/>
      <c r="BKE84" s="2"/>
      <c r="BKF84" s="2"/>
      <c r="BKG84" s="2"/>
      <c r="BKH84" s="2"/>
      <c r="BKI84" s="2"/>
      <c r="BKJ84" s="2"/>
      <c r="BKK84" s="2"/>
      <c r="BKL84" s="2"/>
      <c r="BKM84" s="2"/>
      <c r="BKN84" s="2"/>
      <c r="BKO84" s="2"/>
      <c r="BKP84" s="2"/>
      <c r="BKQ84" s="2"/>
      <c r="BKR84" s="2"/>
      <c r="BKS84" s="2"/>
      <c r="BKT84" s="2"/>
      <c r="BKU84" s="2"/>
      <c r="BKV84" s="2"/>
      <c r="BKW84" s="2"/>
      <c r="BKX84" s="2"/>
      <c r="BKY84" s="2"/>
      <c r="BKZ84" s="2"/>
      <c r="BLA84" s="2"/>
      <c r="BLB84" s="2"/>
      <c r="BLC84" s="2"/>
      <c r="BLD84" s="2"/>
      <c r="BLE84" s="2"/>
      <c r="BLF84" s="2"/>
      <c r="BLG84" s="2"/>
      <c r="BLH84" s="2"/>
      <c r="BLI84" s="2"/>
      <c r="BLJ84" s="2"/>
      <c r="BLK84" s="2"/>
      <c r="BLL84" s="2"/>
      <c r="BLM84" s="2"/>
      <c r="BLN84" s="2"/>
      <c r="BLO84" s="2"/>
      <c r="BLP84" s="2"/>
      <c r="BLQ84" s="2"/>
      <c r="BLR84" s="2"/>
      <c r="BLS84" s="2"/>
      <c r="BLT84" s="2"/>
      <c r="BLU84" s="2"/>
      <c r="BLV84" s="2"/>
      <c r="BLW84" s="2"/>
      <c r="BLX84" s="2"/>
      <c r="BLY84" s="2"/>
      <c r="BLZ84" s="2"/>
      <c r="BMA84" s="2"/>
      <c r="BMB84" s="2"/>
      <c r="BMC84" s="2"/>
      <c r="BMD84" s="2"/>
      <c r="BME84" s="2"/>
      <c r="BMF84" s="2"/>
      <c r="BMG84" s="2"/>
      <c r="BMH84" s="2"/>
      <c r="BMI84" s="2"/>
      <c r="BMJ84" s="2"/>
      <c r="BMK84" s="2"/>
      <c r="BML84" s="2"/>
      <c r="BMM84" s="2"/>
      <c r="BMN84" s="2"/>
      <c r="BMO84" s="2"/>
      <c r="BMP84" s="2"/>
      <c r="BMQ84" s="2"/>
      <c r="BMR84" s="2"/>
      <c r="BMS84" s="2"/>
      <c r="BMT84" s="2"/>
      <c r="BMU84" s="2"/>
      <c r="BMV84" s="2"/>
      <c r="BMW84" s="2"/>
      <c r="BMX84" s="2"/>
      <c r="BMY84" s="2"/>
      <c r="BMZ84" s="2"/>
      <c r="BNA84" s="2"/>
      <c r="BNB84" s="2"/>
      <c r="BNC84" s="2"/>
      <c r="BND84" s="2"/>
      <c r="BNE84" s="2"/>
      <c r="BNF84" s="2"/>
      <c r="BNG84" s="2"/>
      <c r="BNH84" s="2"/>
      <c r="BNI84" s="2"/>
      <c r="BNJ84" s="2"/>
      <c r="BNK84" s="2"/>
      <c r="BNL84" s="2"/>
      <c r="BNM84" s="2"/>
      <c r="BNN84" s="2"/>
      <c r="BNO84" s="2"/>
      <c r="BNP84" s="2"/>
      <c r="BNQ84" s="2"/>
      <c r="BNR84" s="2"/>
      <c r="BNS84" s="2"/>
      <c r="BNT84" s="2"/>
      <c r="BNU84" s="2"/>
      <c r="BNV84" s="2"/>
      <c r="BNW84" s="2"/>
      <c r="BNX84" s="2"/>
      <c r="BNY84" s="2"/>
      <c r="BNZ84" s="2"/>
      <c r="BOA84" s="2"/>
      <c r="BOB84" s="2"/>
      <c r="BOC84" s="2"/>
      <c r="BOD84" s="2"/>
      <c r="BOE84" s="2"/>
      <c r="BOF84" s="2"/>
      <c r="BOG84" s="2"/>
      <c r="BOH84" s="2"/>
      <c r="BOI84" s="2"/>
      <c r="BOJ84" s="2"/>
      <c r="BOK84" s="2"/>
      <c r="BOL84" s="2"/>
      <c r="BOM84" s="2"/>
      <c r="BON84" s="2"/>
      <c r="BOO84" s="2"/>
      <c r="BOP84" s="2"/>
      <c r="BOQ84" s="2"/>
      <c r="BOR84" s="2"/>
      <c r="BOS84" s="2"/>
      <c r="BOT84" s="2"/>
      <c r="BOU84" s="2"/>
      <c r="BOV84" s="2"/>
      <c r="BOW84" s="2"/>
      <c r="BOX84" s="2"/>
      <c r="BOY84" s="2"/>
      <c r="BOZ84" s="2"/>
      <c r="BPA84" s="2"/>
      <c r="BPB84" s="2"/>
      <c r="BPC84" s="2"/>
      <c r="BPD84" s="2"/>
      <c r="BPE84" s="2"/>
      <c r="BPF84" s="2"/>
      <c r="BPG84" s="2"/>
      <c r="BPH84" s="2"/>
      <c r="BPI84" s="2"/>
      <c r="BPJ84" s="2"/>
      <c r="BPK84" s="2"/>
      <c r="BPL84" s="2"/>
      <c r="BPM84" s="2"/>
      <c r="BPN84" s="2"/>
      <c r="BPO84" s="2"/>
      <c r="BPP84" s="2"/>
      <c r="BPQ84" s="2"/>
      <c r="BPR84" s="2"/>
      <c r="BPS84" s="2"/>
      <c r="BPT84" s="2"/>
      <c r="BPU84" s="2"/>
      <c r="BPV84" s="2"/>
      <c r="BPW84" s="2"/>
      <c r="BPX84" s="2"/>
      <c r="BPY84" s="2"/>
      <c r="BPZ84" s="2"/>
      <c r="BQA84" s="2"/>
      <c r="BQB84" s="2"/>
      <c r="BQC84" s="2"/>
      <c r="BQD84" s="2"/>
      <c r="BQE84" s="2"/>
      <c r="BQF84" s="2"/>
      <c r="BQG84" s="2"/>
      <c r="BQH84" s="2"/>
      <c r="BQI84" s="2"/>
      <c r="BQJ84" s="2"/>
      <c r="BQK84" s="2"/>
      <c r="BQL84" s="2"/>
      <c r="BQM84" s="2"/>
      <c r="BQN84" s="2"/>
      <c r="BQO84" s="2"/>
      <c r="BQP84" s="2"/>
      <c r="BQQ84" s="2"/>
      <c r="BQR84" s="2"/>
      <c r="BQS84" s="2"/>
      <c r="BQT84" s="2"/>
      <c r="BQU84" s="2"/>
      <c r="BQV84" s="2"/>
      <c r="BQW84" s="2"/>
      <c r="BQX84" s="2"/>
      <c r="BQY84" s="2"/>
      <c r="BQZ84" s="2"/>
      <c r="BRA84" s="2"/>
      <c r="BRB84" s="2"/>
      <c r="BRC84" s="2"/>
      <c r="BRD84" s="2"/>
      <c r="BRE84" s="2"/>
      <c r="BRF84" s="2"/>
      <c r="BRG84" s="2"/>
      <c r="BRH84" s="2"/>
      <c r="BRI84" s="2"/>
      <c r="BRJ84" s="2"/>
      <c r="BRK84" s="2"/>
      <c r="BRL84" s="2"/>
      <c r="BRM84" s="2"/>
      <c r="BRN84" s="2"/>
      <c r="BRO84" s="2"/>
      <c r="BRP84" s="2"/>
      <c r="BRQ84" s="2"/>
      <c r="BRR84" s="2"/>
      <c r="BRS84" s="2"/>
      <c r="BRT84" s="2"/>
      <c r="BRU84" s="2"/>
      <c r="BRV84" s="2"/>
      <c r="BRW84" s="2"/>
      <c r="BRX84" s="2"/>
      <c r="BRY84" s="2"/>
      <c r="BRZ84" s="2"/>
      <c r="BSA84" s="2"/>
      <c r="BSB84" s="2"/>
      <c r="BSC84" s="2"/>
      <c r="BSD84" s="2"/>
      <c r="BSE84" s="2"/>
      <c r="BSF84" s="2"/>
      <c r="BSG84" s="2"/>
      <c r="BSH84" s="2"/>
      <c r="BSI84" s="2"/>
      <c r="BSJ84" s="2"/>
      <c r="BSK84" s="2"/>
      <c r="BSL84" s="2"/>
      <c r="BSM84" s="2"/>
      <c r="BSN84" s="2"/>
      <c r="BSO84" s="2"/>
      <c r="BSP84" s="2"/>
      <c r="BSQ84" s="2"/>
      <c r="BSR84" s="2"/>
      <c r="BSS84" s="2"/>
      <c r="BST84" s="2"/>
      <c r="BSU84" s="2"/>
      <c r="BSV84" s="2"/>
      <c r="BSW84" s="2"/>
      <c r="BSX84" s="2"/>
      <c r="BSY84" s="2"/>
      <c r="BSZ84" s="2"/>
      <c r="BTA84" s="2"/>
      <c r="BTB84" s="2"/>
      <c r="BTC84" s="2"/>
      <c r="BTD84" s="2"/>
      <c r="BTE84" s="2"/>
      <c r="BTF84" s="2"/>
      <c r="BTG84" s="2"/>
      <c r="BTH84" s="2"/>
      <c r="BTI84" s="2"/>
      <c r="BTJ84" s="2"/>
      <c r="BTK84" s="2"/>
      <c r="BTL84" s="2"/>
      <c r="BTM84" s="2"/>
      <c r="BTN84" s="2"/>
      <c r="BTO84" s="2"/>
      <c r="BTP84" s="2"/>
      <c r="BTQ84" s="2"/>
      <c r="BTR84" s="2"/>
      <c r="BTS84" s="2"/>
      <c r="BTT84" s="2"/>
      <c r="BTU84" s="2"/>
      <c r="BTV84" s="2"/>
      <c r="BTW84" s="2"/>
      <c r="BTX84" s="2"/>
      <c r="BTY84" s="2"/>
      <c r="BTZ84" s="2"/>
      <c r="BUA84" s="2"/>
      <c r="BUB84" s="2"/>
      <c r="BUC84" s="2"/>
      <c r="BUD84" s="2"/>
      <c r="BUE84" s="2"/>
      <c r="BUF84" s="2"/>
      <c r="BUG84" s="2"/>
      <c r="BUH84" s="2"/>
      <c r="BUI84" s="2"/>
      <c r="BUJ84" s="2"/>
      <c r="BUK84" s="2"/>
      <c r="BUL84" s="2"/>
      <c r="BUM84" s="2"/>
      <c r="BUN84" s="2"/>
      <c r="BUO84" s="2"/>
      <c r="BUP84" s="2"/>
      <c r="BUQ84" s="2"/>
      <c r="BUR84" s="2"/>
      <c r="BUS84" s="2"/>
      <c r="BUT84" s="2"/>
      <c r="BUU84" s="2"/>
      <c r="BUV84" s="2"/>
      <c r="BUW84" s="2"/>
      <c r="BUX84" s="2"/>
      <c r="BUY84" s="2"/>
      <c r="BUZ84" s="2"/>
      <c r="BVA84" s="2"/>
      <c r="BVB84" s="2"/>
      <c r="BVC84" s="2"/>
      <c r="BVD84" s="2"/>
      <c r="BVE84" s="2"/>
      <c r="BVF84" s="2"/>
      <c r="BVG84" s="2"/>
      <c r="BVH84" s="2"/>
      <c r="BVI84" s="2"/>
      <c r="BVJ84" s="2"/>
      <c r="BVK84" s="2"/>
      <c r="BVL84" s="2"/>
      <c r="BVM84" s="2"/>
      <c r="BVN84" s="2"/>
      <c r="BVO84" s="2"/>
      <c r="BVP84" s="2"/>
      <c r="BVQ84" s="2"/>
      <c r="BVR84" s="2"/>
      <c r="BVS84" s="2"/>
      <c r="BVT84" s="2"/>
      <c r="BVU84" s="2"/>
      <c r="BVV84" s="2"/>
      <c r="BVW84" s="2"/>
      <c r="BVX84" s="2"/>
      <c r="BVY84" s="2"/>
      <c r="BVZ84" s="2"/>
      <c r="BWA84" s="2"/>
      <c r="BWB84" s="2"/>
      <c r="BWC84" s="2"/>
      <c r="BWD84" s="2"/>
      <c r="BWE84" s="2"/>
      <c r="BWF84" s="2"/>
      <c r="BWG84" s="2"/>
      <c r="BWH84" s="2"/>
      <c r="BWI84" s="2"/>
      <c r="BWJ84" s="2"/>
      <c r="BWK84" s="2"/>
      <c r="BWL84" s="2"/>
      <c r="BWM84" s="2"/>
      <c r="BWN84" s="2"/>
      <c r="BWO84" s="2"/>
      <c r="BWP84" s="2"/>
      <c r="BWQ84" s="2"/>
      <c r="BWR84" s="2"/>
      <c r="BWS84" s="2"/>
      <c r="BWT84" s="2"/>
      <c r="BWU84" s="2"/>
      <c r="BWV84" s="2"/>
      <c r="BWW84" s="2"/>
      <c r="BWX84" s="2"/>
      <c r="BWY84" s="2"/>
      <c r="BWZ84" s="2"/>
      <c r="BXA84" s="2"/>
      <c r="BXB84" s="2"/>
      <c r="BXC84" s="2"/>
      <c r="BXD84" s="2"/>
      <c r="BXE84" s="2"/>
      <c r="BXF84" s="2"/>
      <c r="BXG84" s="2"/>
      <c r="BXH84" s="2"/>
      <c r="BXI84" s="2"/>
      <c r="BXJ84" s="2"/>
      <c r="BXK84" s="2"/>
      <c r="BXL84" s="2"/>
      <c r="BXM84" s="2"/>
      <c r="BXN84" s="2"/>
      <c r="BXO84" s="2"/>
      <c r="BXP84" s="2"/>
      <c r="BXQ84" s="2"/>
      <c r="BXR84" s="2"/>
      <c r="BXS84" s="2"/>
      <c r="BXT84" s="2"/>
      <c r="BXU84" s="2"/>
      <c r="BXV84" s="2"/>
      <c r="BXW84" s="2"/>
      <c r="BXX84" s="2"/>
      <c r="BXY84" s="2"/>
      <c r="BXZ84" s="2"/>
      <c r="BYA84" s="2"/>
      <c r="BYB84" s="2"/>
      <c r="BYC84" s="2"/>
      <c r="BYD84" s="2"/>
      <c r="BYE84" s="2"/>
      <c r="BYF84" s="2"/>
      <c r="BYG84" s="2"/>
      <c r="BYH84" s="2"/>
      <c r="BYI84" s="2"/>
      <c r="BYJ84" s="2"/>
      <c r="BYK84" s="2"/>
      <c r="BYL84" s="2"/>
      <c r="BYM84" s="2"/>
      <c r="BYN84" s="2"/>
      <c r="BYO84" s="2"/>
      <c r="BYP84" s="2"/>
      <c r="BYQ84" s="2"/>
      <c r="BYR84" s="2"/>
      <c r="BYS84" s="2"/>
      <c r="BYT84" s="2"/>
      <c r="BYU84" s="2"/>
      <c r="BYV84" s="2"/>
      <c r="BYW84" s="2"/>
      <c r="BYX84" s="2"/>
      <c r="BYY84" s="2"/>
      <c r="BYZ84" s="2"/>
      <c r="BZA84" s="2"/>
      <c r="BZB84" s="2"/>
      <c r="BZC84" s="2"/>
      <c r="BZD84" s="2"/>
      <c r="BZE84" s="2"/>
      <c r="BZF84" s="2"/>
      <c r="BZG84" s="2"/>
      <c r="BZH84" s="2"/>
      <c r="BZI84" s="2"/>
      <c r="BZJ84" s="2"/>
      <c r="BZK84" s="2"/>
      <c r="BZL84" s="2"/>
      <c r="BZM84" s="2"/>
      <c r="BZN84" s="2"/>
      <c r="BZO84" s="2"/>
      <c r="BZP84" s="2"/>
      <c r="BZQ84" s="2"/>
      <c r="BZR84" s="2"/>
      <c r="BZS84" s="2"/>
      <c r="BZT84" s="2"/>
      <c r="BZU84" s="2"/>
      <c r="BZV84" s="2"/>
      <c r="BZW84" s="2"/>
      <c r="BZX84" s="2"/>
      <c r="BZY84" s="2"/>
      <c r="BZZ84" s="2"/>
      <c r="CAA84" s="2"/>
      <c r="CAB84" s="2"/>
      <c r="CAC84" s="2"/>
      <c r="CAD84" s="2"/>
      <c r="CAE84" s="2"/>
      <c r="CAF84" s="2"/>
      <c r="CAG84" s="2"/>
      <c r="CAH84" s="2"/>
      <c r="CAI84" s="2"/>
      <c r="CAJ84" s="2"/>
      <c r="CAK84" s="2"/>
      <c r="CAL84" s="2"/>
      <c r="CAM84" s="2"/>
      <c r="CAN84" s="2"/>
      <c r="CAO84" s="2"/>
      <c r="CAP84" s="2"/>
      <c r="CAQ84" s="2"/>
      <c r="CAR84" s="2"/>
      <c r="CAS84" s="2"/>
      <c r="CAT84" s="2"/>
      <c r="CAU84" s="2"/>
      <c r="CAV84" s="2"/>
      <c r="CAW84" s="2"/>
      <c r="CAX84" s="2"/>
      <c r="CAY84" s="2"/>
      <c r="CAZ84" s="2"/>
      <c r="CBA84" s="2"/>
      <c r="CBB84" s="2"/>
      <c r="CBC84" s="2"/>
      <c r="CBD84" s="2"/>
      <c r="CBE84" s="2"/>
      <c r="CBF84" s="2"/>
      <c r="CBG84" s="2"/>
      <c r="CBH84" s="2"/>
      <c r="CBI84" s="2"/>
      <c r="CBJ84" s="2"/>
      <c r="CBK84" s="2"/>
      <c r="CBL84" s="2"/>
      <c r="CBM84" s="2"/>
      <c r="CBN84" s="2"/>
      <c r="CBO84" s="2"/>
      <c r="CBP84" s="2"/>
      <c r="CBQ84" s="2"/>
      <c r="CBR84" s="2"/>
      <c r="CBS84" s="2"/>
      <c r="CBT84" s="2"/>
      <c r="CBU84" s="2"/>
      <c r="CBV84" s="2"/>
      <c r="CBW84" s="2"/>
      <c r="CBX84" s="2"/>
      <c r="CBY84" s="2"/>
      <c r="CBZ84" s="2"/>
      <c r="CCA84" s="2"/>
      <c r="CCB84" s="2"/>
      <c r="CCC84" s="2"/>
      <c r="CCD84" s="2"/>
      <c r="CCE84" s="2"/>
      <c r="CCF84" s="2"/>
      <c r="CCG84" s="2"/>
      <c r="CCH84" s="2"/>
      <c r="CCI84" s="2"/>
      <c r="CCJ84" s="2"/>
      <c r="CCK84" s="2"/>
      <c r="CCL84" s="2"/>
      <c r="CCM84" s="2"/>
      <c r="CCN84" s="2"/>
      <c r="CCO84" s="2"/>
      <c r="CCP84" s="2"/>
      <c r="CCQ84" s="2"/>
      <c r="CCR84" s="2"/>
      <c r="CCS84" s="2"/>
      <c r="CCT84" s="2"/>
      <c r="CCU84" s="2"/>
      <c r="CCV84" s="2"/>
      <c r="CCW84" s="2"/>
      <c r="CCX84" s="2"/>
      <c r="CCY84" s="2"/>
      <c r="CCZ84" s="2"/>
      <c r="CDA84" s="2"/>
      <c r="CDB84" s="2"/>
      <c r="CDC84" s="2"/>
      <c r="CDD84" s="2"/>
      <c r="CDE84" s="2"/>
      <c r="CDF84" s="2"/>
      <c r="CDG84" s="2"/>
      <c r="CDH84" s="2"/>
      <c r="CDI84" s="2"/>
      <c r="CDJ84" s="2"/>
      <c r="CDK84" s="2"/>
      <c r="CDL84" s="2"/>
      <c r="CDM84" s="2"/>
      <c r="CDN84" s="2"/>
      <c r="CDO84" s="2"/>
      <c r="CDP84" s="2"/>
      <c r="CDQ84" s="2"/>
      <c r="CDR84" s="2"/>
      <c r="CDS84" s="2"/>
      <c r="CDT84" s="2"/>
      <c r="CDU84" s="2"/>
      <c r="CDV84" s="2"/>
      <c r="CDW84" s="2"/>
      <c r="CDX84" s="2"/>
      <c r="CDY84" s="2"/>
      <c r="CDZ84" s="2"/>
      <c r="CEA84" s="2"/>
      <c r="CEB84" s="2"/>
      <c r="CEC84" s="2"/>
      <c r="CED84" s="2"/>
      <c r="CEE84" s="2"/>
      <c r="CEF84" s="2"/>
      <c r="CEG84" s="2"/>
      <c r="CEH84" s="2"/>
      <c r="CEI84" s="2"/>
      <c r="CEJ84" s="2"/>
      <c r="CEK84" s="2"/>
      <c r="CEL84" s="2"/>
      <c r="CEM84" s="2"/>
      <c r="CEN84" s="2"/>
      <c r="CEO84" s="2"/>
      <c r="CEP84" s="2"/>
      <c r="CEQ84" s="2"/>
      <c r="CER84" s="2"/>
      <c r="CES84" s="2"/>
      <c r="CET84" s="2"/>
      <c r="CEU84" s="2"/>
      <c r="CEV84" s="2"/>
      <c r="CEW84" s="2"/>
      <c r="CEX84" s="2"/>
      <c r="CEY84" s="2"/>
      <c r="CEZ84" s="2"/>
      <c r="CFA84" s="2"/>
      <c r="CFB84" s="2"/>
      <c r="CFC84" s="2"/>
      <c r="CFD84" s="2"/>
      <c r="CFE84" s="2"/>
      <c r="CFF84" s="2"/>
      <c r="CFG84" s="2"/>
      <c r="CFH84" s="2"/>
      <c r="CFI84" s="2"/>
      <c r="CFJ84" s="2"/>
      <c r="CFK84" s="2"/>
      <c r="CFL84" s="2"/>
      <c r="CFM84" s="2"/>
      <c r="CFN84" s="2"/>
      <c r="CFO84" s="2"/>
      <c r="CFP84" s="2"/>
      <c r="CFQ84" s="2"/>
      <c r="CFR84" s="2"/>
      <c r="CFS84" s="2"/>
      <c r="CFT84" s="2"/>
      <c r="CFU84" s="2"/>
      <c r="CFV84" s="2"/>
      <c r="CFW84" s="2"/>
      <c r="CFX84" s="2"/>
      <c r="CFY84" s="2"/>
      <c r="CFZ84" s="2"/>
      <c r="CGA84" s="2"/>
      <c r="CGB84" s="2"/>
      <c r="CGC84" s="2"/>
      <c r="CGD84" s="2"/>
      <c r="CGE84" s="2"/>
      <c r="CGF84" s="2"/>
      <c r="CGG84" s="2"/>
      <c r="CGH84" s="2"/>
      <c r="CGI84" s="2"/>
      <c r="CGJ84" s="2"/>
      <c r="CGK84" s="2"/>
      <c r="CGL84" s="2"/>
      <c r="CGM84" s="2"/>
      <c r="CGN84" s="2"/>
      <c r="CGO84" s="2"/>
      <c r="CGP84" s="2"/>
      <c r="CGQ84" s="2"/>
      <c r="CGR84" s="2"/>
      <c r="CGS84" s="2"/>
      <c r="CGT84" s="2"/>
      <c r="CGU84" s="2"/>
      <c r="CGV84" s="2"/>
      <c r="CGW84" s="2"/>
      <c r="CGX84" s="2"/>
      <c r="CGY84" s="2"/>
      <c r="CGZ84" s="2"/>
      <c r="CHA84" s="2"/>
      <c r="CHB84" s="2"/>
      <c r="CHC84" s="2"/>
      <c r="CHD84" s="2"/>
      <c r="CHE84" s="2"/>
      <c r="CHF84" s="2"/>
      <c r="CHG84" s="2"/>
      <c r="CHH84" s="2"/>
      <c r="CHI84" s="2"/>
      <c r="CHJ84" s="2"/>
      <c r="CHK84" s="2"/>
      <c r="CHL84" s="2"/>
      <c r="CHM84" s="2"/>
      <c r="CHN84" s="2"/>
      <c r="CHO84" s="2"/>
      <c r="CHP84" s="2"/>
      <c r="CHQ84" s="2"/>
      <c r="CHR84" s="2"/>
      <c r="CHS84" s="2"/>
      <c r="CHT84" s="2"/>
      <c r="CHU84" s="2"/>
      <c r="CHV84" s="2"/>
      <c r="CHW84" s="2"/>
      <c r="CHX84" s="2"/>
      <c r="CHY84" s="2"/>
      <c r="CHZ84" s="2"/>
      <c r="CIA84" s="2"/>
      <c r="CIB84" s="2"/>
      <c r="CIC84" s="2"/>
      <c r="CID84" s="2"/>
      <c r="CIE84" s="2"/>
      <c r="CIF84" s="2"/>
      <c r="CIG84" s="2"/>
      <c r="CIH84" s="2"/>
      <c r="CII84" s="2"/>
      <c r="CIJ84" s="2"/>
      <c r="CIK84" s="2"/>
      <c r="CIL84" s="2"/>
      <c r="CIM84" s="2"/>
      <c r="CIN84" s="2"/>
      <c r="CIO84" s="2"/>
      <c r="CIP84" s="2"/>
      <c r="CIQ84" s="2"/>
      <c r="CIR84" s="2"/>
      <c r="CIS84" s="2"/>
      <c r="CIT84" s="2"/>
      <c r="CIU84" s="2"/>
      <c r="CIV84" s="2"/>
      <c r="CIW84" s="2"/>
      <c r="CIX84" s="2"/>
      <c r="CIY84" s="2"/>
      <c r="CIZ84" s="2"/>
      <c r="CJA84" s="2"/>
      <c r="CJB84" s="2"/>
      <c r="CJC84" s="2"/>
      <c r="CJD84" s="2"/>
      <c r="CJE84" s="2"/>
      <c r="CJF84" s="2"/>
      <c r="CJG84" s="2"/>
      <c r="CJH84" s="2"/>
      <c r="CJI84" s="2"/>
      <c r="CJJ84" s="2"/>
      <c r="CJK84" s="2"/>
      <c r="CJL84" s="2"/>
      <c r="CJM84" s="2"/>
      <c r="CJN84" s="2"/>
      <c r="CJO84" s="2"/>
      <c r="CJP84" s="2"/>
      <c r="CJQ84" s="2"/>
      <c r="CJR84" s="2"/>
      <c r="CJS84" s="2"/>
      <c r="CJT84" s="2"/>
      <c r="CJU84" s="2"/>
      <c r="CJV84" s="2"/>
      <c r="CJW84" s="2"/>
      <c r="CJX84" s="2"/>
      <c r="CJY84" s="2"/>
      <c r="CJZ84" s="2"/>
      <c r="CKA84" s="2"/>
      <c r="CKB84" s="2"/>
      <c r="CKC84" s="2"/>
      <c r="CKD84" s="2"/>
      <c r="CKE84" s="2"/>
      <c r="CKF84" s="2"/>
      <c r="CKG84" s="2"/>
      <c r="CKH84" s="2"/>
      <c r="CKI84" s="2"/>
      <c r="CKJ84" s="2"/>
      <c r="CKK84" s="2"/>
      <c r="CKL84" s="2"/>
      <c r="CKM84" s="2"/>
      <c r="CKN84" s="2"/>
      <c r="CKO84" s="2"/>
      <c r="CKP84" s="2"/>
      <c r="CKQ84" s="2"/>
      <c r="CKR84" s="2"/>
      <c r="CKS84" s="2"/>
      <c r="CKT84" s="2"/>
      <c r="CKU84" s="2"/>
      <c r="CKV84" s="2"/>
      <c r="CKW84" s="2"/>
      <c r="CKX84" s="2"/>
      <c r="CKY84" s="2"/>
      <c r="CKZ84" s="2"/>
      <c r="CLA84" s="2"/>
      <c r="CLB84" s="2"/>
      <c r="CLC84" s="2"/>
      <c r="CLD84" s="2"/>
      <c r="CLE84" s="2"/>
      <c r="CLF84" s="2"/>
      <c r="CLG84" s="2"/>
      <c r="CLH84" s="2"/>
      <c r="CLI84" s="2"/>
      <c r="CLJ84" s="2"/>
      <c r="CLK84" s="2"/>
      <c r="CLL84" s="2"/>
      <c r="CLM84" s="2"/>
      <c r="CLN84" s="2"/>
      <c r="CLO84" s="2"/>
      <c r="CLP84" s="2"/>
      <c r="CLQ84" s="2"/>
      <c r="CLR84" s="2"/>
      <c r="CLS84" s="2"/>
      <c r="CLT84" s="2"/>
      <c r="CLU84" s="2"/>
      <c r="CLV84" s="2"/>
      <c r="CLW84" s="2"/>
      <c r="CLX84" s="2"/>
      <c r="CLY84" s="2"/>
      <c r="CLZ84" s="2"/>
      <c r="CMA84" s="2"/>
      <c r="CMB84" s="2"/>
      <c r="CMC84" s="2"/>
      <c r="CMD84" s="2"/>
      <c r="CME84" s="2"/>
      <c r="CMF84" s="2"/>
      <c r="CMG84" s="2"/>
      <c r="CMH84" s="2"/>
      <c r="CMI84" s="2"/>
      <c r="CMJ84" s="2"/>
      <c r="CMK84" s="2"/>
      <c r="CML84" s="2"/>
      <c r="CMM84" s="2"/>
      <c r="CMN84" s="2"/>
      <c r="CMO84" s="2"/>
      <c r="CMP84" s="2"/>
      <c r="CMQ84" s="2"/>
      <c r="CMR84" s="2"/>
      <c r="CMS84" s="2"/>
      <c r="CMT84" s="2"/>
      <c r="CMU84" s="2"/>
      <c r="CMV84" s="2"/>
      <c r="CMW84" s="2"/>
      <c r="CMX84" s="2"/>
      <c r="CMY84" s="2"/>
      <c r="CMZ84" s="2"/>
      <c r="CNA84" s="2"/>
      <c r="CNB84" s="2"/>
      <c r="CNC84" s="2"/>
      <c r="CND84" s="2"/>
      <c r="CNE84" s="2"/>
      <c r="CNF84" s="2"/>
      <c r="CNG84" s="2"/>
      <c r="CNH84" s="2"/>
      <c r="CNI84" s="2"/>
      <c r="CNJ84" s="2"/>
      <c r="CNK84" s="2"/>
      <c r="CNL84" s="2"/>
      <c r="CNM84" s="2"/>
      <c r="CNN84" s="2"/>
      <c r="CNO84" s="2"/>
      <c r="CNP84" s="2"/>
      <c r="CNQ84" s="2"/>
      <c r="CNR84" s="2"/>
      <c r="CNS84" s="2"/>
      <c r="CNT84" s="2"/>
      <c r="CNU84" s="2"/>
      <c r="CNV84" s="2"/>
      <c r="CNW84" s="2"/>
      <c r="CNX84" s="2"/>
      <c r="CNY84" s="2"/>
      <c r="CNZ84" s="2"/>
      <c r="COA84" s="2"/>
      <c r="COB84" s="2"/>
      <c r="COC84" s="2"/>
      <c r="COD84" s="2"/>
      <c r="COE84" s="2"/>
      <c r="COF84" s="2"/>
      <c r="COG84" s="2"/>
      <c r="COH84" s="2"/>
      <c r="COI84" s="2"/>
      <c r="COJ84" s="2"/>
      <c r="COK84" s="2"/>
      <c r="COL84" s="2"/>
      <c r="COM84" s="2"/>
      <c r="CON84" s="2"/>
      <c r="COO84" s="2"/>
      <c r="COP84" s="2"/>
      <c r="COQ84" s="2"/>
      <c r="COR84" s="2"/>
      <c r="COS84" s="2"/>
      <c r="COT84" s="2"/>
      <c r="COU84" s="2"/>
      <c r="COV84" s="2"/>
      <c r="COW84" s="2"/>
      <c r="COX84" s="2"/>
      <c r="COY84" s="2"/>
      <c r="COZ84" s="2"/>
      <c r="CPA84" s="2"/>
      <c r="CPB84" s="2"/>
      <c r="CPC84" s="2"/>
      <c r="CPD84" s="2"/>
      <c r="CPE84" s="2"/>
      <c r="CPF84" s="2"/>
      <c r="CPG84" s="2"/>
      <c r="CPH84" s="2"/>
      <c r="CPI84" s="2"/>
      <c r="CPJ84" s="2"/>
      <c r="CPK84" s="2"/>
      <c r="CPL84" s="2"/>
      <c r="CPM84" s="2"/>
      <c r="CPN84" s="2"/>
      <c r="CPO84" s="2"/>
      <c r="CPP84" s="2"/>
      <c r="CPQ84" s="2"/>
      <c r="CPR84" s="2"/>
      <c r="CPS84" s="2"/>
      <c r="CPT84" s="2"/>
      <c r="CPU84" s="2"/>
      <c r="CPV84" s="2"/>
      <c r="CPW84" s="2"/>
      <c r="CPX84" s="2"/>
      <c r="CPY84" s="2"/>
      <c r="CPZ84" s="2"/>
      <c r="CQA84" s="2"/>
      <c r="CQB84" s="2"/>
      <c r="CQC84" s="2"/>
      <c r="CQD84" s="2"/>
      <c r="CQE84" s="2"/>
      <c r="CQF84" s="2"/>
      <c r="CQG84" s="2"/>
      <c r="CQH84" s="2"/>
      <c r="CQI84" s="2"/>
      <c r="CQJ84" s="2"/>
      <c r="CQK84" s="2"/>
      <c r="CQL84" s="2"/>
      <c r="CQM84" s="2"/>
      <c r="CQN84" s="2"/>
      <c r="CQO84" s="2"/>
      <c r="CQP84" s="2"/>
      <c r="CQQ84" s="2"/>
      <c r="CQR84" s="2"/>
      <c r="CQS84" s="2"/>
      <c r="CQT84" s="2"/>
      <c r="CQU84" s="2"/>
      <c r="CQV84" s="2"/>
      <c r="CQW84" s="2"/>
      <c r="CQX84" s="2"/>
      <c r="CQY84" s="2"/>
      <c r="CQZ84" s="2"/>
      <c r="CRA84" s="2"/>
      <c r="CRB84" s="2"/>
      <c r="CRC84" s="2"/>
      <c r="CRD84" s="2"/>
      <c r="CRE84" s="2"/>
      <c r="CRF84" s="2"/>
      <c r="CRG84" s="2"/>
      <c r="CRH84" s="2"/>
      <c r="CRI84" s="2"/>
      <c r="CRJ84" s="2"/>
      <c r="CRK84" s="2"/>
      <c r="CRL84" s="2"/>
      <c r="CRM84" s="2"/>
      <c r="CRN84" s="2"/>
      <c r="CRO84" s="2"/>
      <c r="CRP84" s="2"/>
      <c r="CRQ84" s="2"/>
      <c r="CRR84" s="2"/>
      <c r="CRS84" s="2"/>
      <c r="CRT84" s="2"/>
      <c r="CRU84" s="2"/>
      <c r="CRV84" s="2"/>
      <c r="CRW84" s="2"/>
      <c r="CRX84" s="2"/>
      <c r="CRY84" s="2"/>
      <c r="CRZ84" s="2"/>
      <c r="CSA84" s="2"/>
      <c r="CSB84" s="2"/>
      <c r="CSC84" s="2"/>
      <c r="CSD84" s="2"/>
      <c r="CSE84" s="2"/>
      <c r="CSF84" s="2"/>
      <c r="CSG84" s="2"/>
      <c r="CSH84" s="2"/>
      <c r="CSI84" s="2"/>
      <c r="CSJ84" s="2"/>
      <c r="CSK84" s="2"/>
      <c r="CSL84" s="2"/>
      <c r="CSM84" s="2"/>
      <c r="CSN84" s="2"/>
      <c r="CSO84" s="2"/>
      <c r="CSP84" s="2"/>
      <c r="CSQ84" s="2"/>
      <c r="CSR84" s="2"/>
      <c r="CSS84" s="2"/>
      <c r="CST84" s="2"/>
      <c r="CSU84" s="2"/>
      <c r="CSV84" s="2"/>
      <c r="CSW84" s="2"/>
      <c r="CSX84" s="2"/>
      <c r="CSY84" s="2"/>
      <c r="CSZ84" s="2"/>
      <c r="CTA84" s="2"/>
      <c r="CTB84" s="2"/>
      <c r="CTC84" s="2"/>
      <c r="CTD84" s="2"/>
      <c r="CTE84" s="2"/>
      <c r="CTF84" s="2"/>
      <c r="CTG84" s="2"/>
      <c r="CTH84" s="2"/>
      <c r="CTI84" s="2"/>
      <c r="CTJ84" s="2"/>
      <c r="CTK84" s="2"/>
      <c r="CTL84" s="2"/>
      <c r="CTM84" s="2"/>
      <c r="CTN84" s="2"/>
      <c r="CTO84" s="2"/>
      <c r="CTP84" s="2"/>
      <c r="CTQ84" s="2"/>
      <c r="CTR84" s="2"/>
      <c r="CTS84" s="2"/>
      <c r="CTT84" s="2"/>
      <c r="CTU84" s="2"/>
      <c r="CTV84" s="2"/>
      <c r="CTW84" s="2"/>
      <c r="CTX84" s="2"/>
      <c r="CTY84" s="2"/>
      <c r="CTZ84" s="2"/>
      <c r="CUA84" s="2"/>
      <c r="CUB84" s="2"/>
      <c r="CUC84" s="2"/>
      <c r="CUD84" s="2"/>
      <c r="CUE84" s="2"/>
      <c r="CUF84" s="2"/>
      <c r="CUG84" s="2"/>
      <c r="CUH84" s="2"/>
      <c r="CUI84" s="2"/>
      <c r="CUJ84" s="2"/>
      <c r="CUK84" s="2"/>
      <c r="CUL84" s="2"/>
      <c r="CUM84" s="2"/>
      <c r="CUN84" s="2"/>
      <c r="CUO84" s="2"/>
      <c r="CUP84" s="2"/>
      <c r="CUQ84" s="2"/>
      <c r="CUR84" s="2"/>
      <c r="CUS84" s="2"/>
      <c r="CUT84" s="2"/>
      <c r="CUU84" s="2"/>
      <c r="CUV84" s="2"/>
      <c r="CUW84" s="2"/>
      <c r="CUX84" s="2"/>
      <c r="CUY84" s="2"/>
      <c r="CUZ84" s="2"/>
      <c r="CVA84" s="2"/>
      <c r="CVB84" s="2"/>
      <c r="CVC84" s="2"/>
      <c r="CVD84" s="2"/>
      <c r="CVE84" s="2"/>
      <c r="CVF84" s="2"/>
      <c r="CVG84" s="2"/>
      <c r="CVH84" s="2"/>
      <c r="CVI84" s="2"/>
      <c r="CVJ84" s="2"/>
      <c r="CVK84" s="2"/>
      <c r="CVL84" s="2"/>
      <c r="CVM84" s="2"/>
      <c r="CVN84" s="2"/>
      <c r="CVO84" s="2"/>
      <c r="CVP84" s="2"/>
      <c r="CVQ84" s="2"/>
      <c r="CVR84" s="2"/>
      <c r="CVS84" s="2"/>
      <c r="CVT84" s="2"/>
      <c r="CVU84" s="2"/>
      <c r="CVV84" s="2"/>
      <c r="CVW84" s="2"/>
      <c r="CVX84" s="2"/>
      <c r="CVY84" s="2"/>
      <c r="CVZ84" s="2"/>
      <c r="CWA84" s="2"/>
      <c r="CWB84" s="2"/>
      <c r="CWC84" s="2"/>
      <c r="CWD84" s="2"/>
      <c r="CWE84" s="2"/>
      <c r="CWF84" s="2"/>
      <c r="CWG84" s="2"/>
      <c r="CWH84" s="2"/>
      <c r="CWI84" s="2"/>
      <c r="CWJ84" s="2"/>
      <c r="CWK84" s="2"/>
      <c r="CWL84" s="2"/>
      <c r="CWM84" s="2"/>
      <c r="CWN84" s="2"/>
      <c r="CWO84" s="2"/>
      <c r="CWP84" s="2"/>
      <c r="CWQ84" s="2"/>
      <c r="CWR84" s="2"/>
      <c r="CWS84" s="2"/>
      <c r="CWT84" s="2"/>
      <c r="CWU84" s="2"/>
      <c r="CWV84" s="2"/>
      <c r="CWW84" s="2"/>
      <c r="CWX84" s="2"/>
      <c r="CWY84" s="2"/>
      <c r="CWZ84" s="2"/>
      <c r="CXA84" s="2"/>
      <c r="CXB84" s="2"/>
      <c r="CXC84" s="2"/>
      <c r="CXD84" s="2"/>
      <c r="CXE84" s="2"/>
      <c r="CXF84" s="2"/>
      <c r="CXG84" s="2"/>
      <c r="CXH84" s="2"/>
      <c r="CXI84" s="2"/>
      <c r="CXJ84" s="2"/>
      <c r="CXK84" s="2"/>
      <c r="CXL84" s="2"/>
      <c r="CXM84" s="2"/>
      <c r="CXN84" s="2"/>
      <c r="CXO84" s="2"/>
      <c r="CXP84" s="2"/>
      <c r="CXQ84" s="2"/>
      <c r="CXR84" s="2"/>
      <c r="CXS84" s="2"/>
      <c r="CXT84" s="2"/>
      <c r="CXU84" s="2"/>
      <c r="CXV84" s="2"/>
      <c r="CXW84" s="2"/>
      <c r="CXX84" s="2"/>
      <c r="CXY84" s="2"/>
      <c r="CXZ84" s="2"/>
      <c r="CYA84" s="2"/>
      <c r="CYB84" s="2"/>
      <c r="CYC84" s="2"/>
      <c r="CYD84" s="2"/>
      <c r="CYE84" s="2"/>
      <c r="CYF84" s="2"/>
      <c r="CYG84" s="2"/>
      <c r="CYH84" s="2"/>
      <c r="CYI84" s="2"/>
      <c r="CYJ84" s="2"/>
      <c r="CYK84" s="2"/>
      <c r="CYL84" s="2"/>
      <c r="CYM84" s="2"/>
      <c r="CYN84" s="2"/>
      <c r="CYO84" s="2"/>
      <c r="CYP84" s="2"/>
      <c r="CYQ84" s="2"/>
      <c r="CYR84" s="2"/>
      <c r="CYS84" s="2"/>
      <c r="CYT84" s="2"/>
      <c r="CYU84" s="2"/>
      <c r="CYV84" s="2"/>
      <c r="CYW84" s="2"/>
      <c r="CYX84" s="2"/>
      <c r="CYY84" s="2"/>
      <c r="CYZ84" s="2"/>
      <c r="CZA84" s="2"/>
      <c r="CZB84" s="2"/>
      <c r="CZC84" s="2"/>
      <c r="CZD84" s="2"/>
      <c r="CZE84" s="2"/>
      <c r="CZF84" s="2"/>
      <c r="CZG84" s="2"/>
      <c r="CZH84" s="2"/>
      <c r="CZI84" s="2"/>
      <c r="CZJ84" s="2"/>
      <c r="CZK84" s="2"/>
      <c r="CZL84" s="2"/>
      <c r="CZM84" s="2"/>
      <c r="CZN84" s="2"/>
      <c r="CZO84" s="2"/>
      <c r="CZP84" s="2"/>
      <c r="CZQ84" s="2"/>
      <c r="CZR84" s="2"/>
      <c r="CZS84" s="2"/>
      <c r="CZT84" s="2"/>
      <c r="CZU84" s="2"/>
      <c r="CZV84" s="2"/>
      <c r="CZW84" s="2"/>
      <c r="CZX84" s="2"/>
      <c r="CZY84" s="2"/>
      <c r="CZZ84" s="2"/>
      <c r="DAA84" s="2"/>
      <c r="DAB84" s="2"/>
      <c r="DAC84" s="2"/>
      <c r="DAD84" s="2"/>
      <c r="DAE84" s="2"/>
      <c r="DAF84" s="2"/>
      <c r="DAG84" s="2"/>
      <c r="DAH84" s="2"/>
      <c r="DAI84" s="2"/>
      <c r="DAJ84" s="2"/>
      <c r="DAK84" s="2"/>
      <c r="DAL84" s="2"/>
      <c r="DAM84" s="2"/>
      <c r="DAN84" s="2"/>
      <c r="DAO84" s="2"/>
      <c r="DAP84" s="2"/>
      <c r="DAQ84" s="2"/>
      <c r="DAR84" s="2"/>
      <c r="DAS84" s="2"/>
      <c r="DAT84" s="2"/>
      <c r="DAU84" s="2"/>
      <c r="DAV84" s="2"/>
      <c r="DAW84" s="2"/>
      <c r="DAX84" s="2"/>
      <c r="DAY84" s="2"/>
      <c r="DAZ84" s="2"/>
      <c r="DBA84" s="2"/>
      <c r="DBB84" s="2"/>
      <c r="DBC84" s="2"/>
      <c r="DBD84" s="2"/>
      <c r="DBE84" s="2"/>
      <c r="DBF84" s="2"/>
      <c r="DBG84" s="2"/>
      <c r="DBH84" s="2"/>
      <c r="DBI84" s="2"/>
      <c r="DBJ84" s="2"/>
      <c r="DBK84" s="2"/>
      <c r="DBL84" s="2"/>
      <c r="DBM84" s="2"/>
      <c r="DBN84" s="2"/>
      <c r="DBO84" s="2"/>
      <c r="DBP84" s="2"/>
      <c r="DBQ84" s="2"/>
      <c r="DBR84" s="2"/>
      <c r="DBS84" s="2"/>
      <c r="DBT84" s="2"/>
      <c r="DBU84" s="2"/>
      <c r="DBV84" s="2"/>
      <c r="DBW84" s="2"/>
      <c r="DBX84" s="2"/>
      <c r="DBY84" s="2"/>
      <c r="DBZ84" s="2"/>
      <c r="DCA84" s="2"/>
      <c r="DCB84" s="2"/>
      <c r="DCC84" s="2"/>
      <c r="DCD84" s="2"/>
      <c r="DCE84" s="2"/>
      <c r="DCF84" s="2"/>
      <c r="DCG84" s="2"/>
      <c r="DCH84" s="2"/>
      <c r="DCI84" s="2"/>
      <c r="DCJ84" s="2"/>
      <c r="DCK84" s="2"/>
      <c r="DCL84" s="2"/>
      <c r="DCM84" s="2"/>
      <c r="DCN84" s="2"/>
      <c r="DCO84" s="2"/>
      <c r="DCP84" s="2"/>
      <c r="DCQ84" s="2"/>
      <c r="DCR84" s="2"/>
      <c r="DCS84" s="2"/>
      <c r="DCT84" s="2"/>
      <c r="DCU84" s="2"/>
      <c r="DCV84" s="2"/>
      <c r="DCW84" s="2"/>
      <c r="DCX84" s="2"/>
      <c r="DCY84" s="2"/>
      <c r="DCZ84" s="2"/>
      <c r="DDA84" s="2"/>
      <c r="DDB84" s="2"/>
      <c r="DDC84" s="2"/>
      <c r="DDD84" s="2"/>
      <c r="DDE84" s="2"/>
      <c r="DDF84" s="2"/>
      <c r="DDG84" s="2"/>
      <c r="DDH84" s="2"/>
      <c r="DDI84" s="2"/>
      <c r="DDJ84" s="2"/>
      <c r="DDK84" s="2"/>
      <c r="DDL84" s="2"/>
      <c r="DDM84" s="2"/>
      <c r="DDN84" s="2"/>
      <c r="DDO84" s="2"/>
      <c r="DDP84" s="2"/>
      <c r="DDQ84" s="2"/>
      <c r="DDR84" s="2"/>
      <c r="DDS84" s="2"/>
      <c r="DDT84" s="2"/>
      <c r="DDU84" s="2"/>
      <c r="DDV84" s="2"/>
      <c r="DDW84" s="2"/>
      <c r="DDX84" s="2"/>
      <c r="DDY84" s="2"/>
      <c r="DDZ84" s="2"/>
      <c r="DEA84" s="2"/>
      <c r="DEB84" s="2"/>
      <c r="DEC84" s="2"/>
      <c r="DED84" s="2"/>
      <c r="DEE84" s="2"/>
      <c r="DEF84" s="2"/>
      <c r="DEG84" s="2"/>
      <c r="DEH84" s="2"/>
      <c r="DEI84" s="2"/>
      <c r="DEJ84" s="2"/>
      <c r="DEK84" s="2"/>
      <c r="DEL84" s="2"/>
      <c r="DEM84" s="2"/>
      <c r="DEN84" s="2"/>
      <c r="DEO84" s="2"/>
      <c r="DEP84" s="2"/>
      <c r="DEQ84" s="2"/>
      <c r="DER84" s="2"/>
      <c r="DES84" s="2"/>
      <c r="DET84" s="2"/>
      <c r="DEU84" s="2"/>
      <c r="DEV84" s="2"/>
      <c r="DEW84" s="2"/>
      <c r="DEX84" s="2"/>
      <c r="DEY84" s="2"/>
      <c r="DEZ84" s="2"/>
      <c r="DFA84" s="2"/>
      <c r="DFB84" s="2"/>
      <c r="DFC84" s="2"/>
      <c r="DFD84" s="2"/>
      <c r="DFE84" s="2"/>
      <c r="DFF84" s="2"/>
      <c r="DFG84" s="2"/>
      <c r="DFH84" s="2"/>
      <c r="DFI84" s="2"/>
      <c r="DFJ84" s="2"/>
      <c r="DFK84" s="2"/>
      <c r="DFL84" s="2"/>
      <c r="DFM84" s="2"/>
      <c r="DFN84" s="2"/>
      <c r="DFO84" s="2"/>
      <c r="DFP84" s="2"/>
      <c r="DFQ84" s="2"/>
      <c r="DFR84" s="2"/>
      <c r="DFS84" s="2"/>
      <c r="DFT84" s="2"/>
      <c r="DFU84" s="2"/>
      <c r="DFV84" s="2"/>
      <c r="DFW84" s="2"/>
      <c r="DFX84" s="2"/>
      <c r="DFY84" s="2"/>
      <c r="DFZ84" s="2"/>
      <c r="DGA84" s="2"/>
      <c r="DGB84" s="2"/>
      <c r="DGC84" s="2"/>
      <c r="DGD84" s="2"/>
      <c r="DGE84" s="2"/>
      <c r="DGF84" s="2"/>
      <c r="DGG84" s="2"/>
      <c r="DGH84" s="2"/>
      <c r="DGI84" s="2"/>
      <c r="DGJ84" s="2"/>
      <c r="DGK84" s="2"/>
      <c r="DGL84" s="2"/>
      <c r="DGM84" s="2"/>
      <c r="DGN84" s="2"/>
      <c r="DGO84" s="2"/>
      <c r="DGP84" s="2"/>
      <c r="DGQ84" s="2"/>
      <c r="DGR84" s="2"/>
      <c r="DGS84" s="2"/>
      <c r="DGT84" s="2"/>
      <c r="DGU84" s="2"/>
      <c r="DGV84" s="2"/>
      <c r="DGW84" s="2"/>
      <c r="DGX84" s="2"/>
      <c r="DGY84" s="2"/>
      <c r="DGZ84" s="2"/>
      <c r="DHA84" s="2"/>
      <c r="DHB84" s="2"/>
      <c r="DHC84" s="2"/>
      <c r="DHD84" s="2"/>
      <c r="DHE84" s="2"/>
      <c r="DHF84" s="2"/>
      <c r="DHG84" s="2"/>
      <c r="DHH84" s="2"/>
      <c r="DHI84" s="2"/>
      <c r="DHJ84" s="2"/>
      <c r="DHK84" s="2"/>
      <c r="DHL84" s="2"/>
      <c r="DHM84" s="2"/>
      <c r="DHN84" s="2"/>
      <c r="DHO84" s="2"/>
      <c r="DHP84" s="2"/>
      <c r="DHQ84" s="2"/>
      <c r="DHR84" s="2"/>
      <c r="DHS84" s="2"/>
      <c r="DHT84" s="2"/>
      <c r="DHU84" s="2"/>
      <c r="DHV84" s="2"/>
      <c r="DHW84" s="2"/>
      <c r="DHX84" s="2"/>
      <c r="DHY84" s="2"/>
      <c r="DHZ84" s="2"/>
      <c r="DIA84" s="2"/>
      <c r="DIB84" s="2"/>
      <c r="DIC84" s="2"/>
      <c r="DID84" s="2"/>
      <c r="DIE84" s="2"/>
      <c r="DIF84" s="2"/>
      <c r="DIG84" s="2"/>
      <c r="DIH84" s="2"/>
      <c r="DII84" s="2"/>
      <c r="DIJ84" s="2"/>
      <c r="DIK84" s="2"/>
      <c r="DIL84" s="2"/>
      <c r="DIM84" s="2"/>
      <c r="DIN84" s="2"/>
      <c r="DIO84" s="2"/>
      <c r="DIP84" s="2"/>
      <c r="DIQ84" s="2"/>
      <c r="DIR84" s="2"/>
      <c r="DIS84" s="2"/>
      <c r="DIT84" s="2"/>
      <c r="DIU84" s="2"/>
      <c r="DIV84" s="2"/>
      <c r="DIW84" s="2"/>
      <c r="DIX84" s="2"/>
      <c r="DIY84" s="2"/>
      <c r="DIZ84" s="2"/>
      <c r="DJA84" s="2"/>
      <c r="DJB84" s="2"/>
      <c r="DJC84" s="2"/>
      <c r="DJD84" s="2"/>
      <c r="DJE84" s="2"/>
      <c r="DJF84" s="2"/>
      <c r="DJG84" s="2"/>
      <c r="DJH84" s="2"/>
      <c r="DJI84" s="2"/>
      <c r="DJJ84" s="2"/>
      <c r="DJK84" s="2"/>
      <c r="DJL84" s="2"/>
      <c r="DJM84" s="2"/>
      <c r="DJN84" s="2"/>
      <c r="DJO84" s="2"/>
      <c r="DJP84" s="2"/>
      <c r="DJQ84" s="2"/>
      <c r="DJR84" s="2"/>
      <c r="DJS84" s="2"/>
      <c r="DJT84" s="2"/>
      <c r="DJU84" s="2"/>
      <c r="DJV84" s="2"/>
      <c r="DJW84" s="2"/>
      <c r="DJX84" s="2"/>
      <c r="DJY84" s="2"/>
      <c r="DJZ84" s="2"/>
      <c r="DKA84" s="2"/>
      <c r="DKB84" s="2"/>
      <c r="DKC84" s="2"/>
      <c r="DKD84" s="2"/>
      <c r="DKE84" s="2"/>
      <c r="DKF84" s="2"/>
      <c r="DKG84" s="2"/>
      <c r="DKH84" s="2"/>
      <c r="DKI84" s="2"/>
      <c r="DKJ84" s="2"/>
      <c r="DKK84" s="2"/>
      <c r="DKL84" s="2"/>
      <c r="DKM84" s="2"/>
      <c r="DKN84" s="2"/>
      <c r="DKO84" s="2"/>
      <c r="DKP84" s="2"/>
      <c r="DKQ84" s="2"/>
      <c r="DKR84" s="2"/>
      <c r="DKS84" s="2"/>
      <c r="DKT84" s="2"/>
      <c r="DKU84" s="2"/>
      <c r="DKV84" s="2"/>
      <c r="DKW84" s="2"/>
      <c r="DKX84" s="2"/>
      <c r="DKY84" s="2"/>
      <c r="DKZ84" s="2"/>
      <c r="DLA84" s="2"/>
      <c r="DLB84" s="2"/>
      <c r="DLC84" s="2"/>
      <c r="DLD84" s="2"/>
      <c r="DLE84" s="2"/>
      <c r="DLF84" s="2"/>
      <c r="DLG84" s="2"/>
      <c r="DLH84" s="2"/>
      <c r="DLI84" s="2"/>
      <c r="DLJ84" s="2"/>
      <c r="DLK84" s="2"/>
      <c r="DLL84" s="2"/>
      <c r="DLM84" s="2"/>
      <c r="DLN84" s="2"/>
      <c r="DLO84" s="2"/>
      <c r="DLP84" s="2"/>
      <c r="DLQ84" s="2"/>
      <c r="DLR84" s="2"/>
      <c r="DLS84" s="2"/>
      <c r="DLT84" s="2"/>
      <c r="DLU84" s="2"/>
      <c r="DLV84" s="2"/>
      <c r="DLW84" s="2"/>
      <c r="DLX84" s="2"/>
      <c r="DLY84" s="2"/>
      <c r="DLZ84" s="2"/>
      <c r="DMA84" s="2"/>
      <c r="DMB84" s="2"/>
      <c r="DMC84" s="2"/>
      <c r="DMD84" s="2"/>
      <c r="DME84" s="2"/>
      <c r="DMF84" s="2"/>
      <c r="DMG84" s="2"/>
      <c r="DMH84" s="2"/>
      <c r="DMI84" s="2"/>
      <c r="DMJ84" s="2"/>
      <c r="DMK84" s="2"/>
      <c r="DML84" s="2"/>
      <c r="DMM84" s="2"/>
      <c r="DMN84" s="2"/>
      <c r="DMO84" s="2"/>
      <c r="DMP84" s="2"/>
      <c r="DMQ84" s="2"/>
      <c r="DMR84" s="2"/>
      <c r="DMS84" s="2"/>
      <c r="DMT84" s="2"/>
      <c r="DMU84" s="2"/>
      <c r="DMV84" s="2"/>
      <c r="DMW84" s="2"/>
      <c r="DMX84" s="2"/>
      <c r="DMY84" s="2"/>
      <c r="DMZ84" s="2"/>
      <c r="DNA84" s="2"/>
      <c r="DNB84" s="2"/>
      <c r="DNC84" s="2"/>
      <c r="DND84" s="2"/>
      <c r="DNE84" s="2"/>
      <c r="DNF84" s="2"/>
      <c r="DNG84" s="2"/>
      <c r="DNH84" s="2"/>
      <c r="DNI84" s="2"/>
      <c r="DNJ84" s="2"/>
      <c r="DNK84" s="2"/>
      <c r="DNL84" s="2"/>
      <c r="DNM84" s="2"/>
      <c r="DNN84" s="2"/>
      <c r="DNO84" s="2"/>
      <c r="DNP84" s="2"/>
      <c r="DNQ84" s="2"/>
      <c r="DNR84" s="2"/>
      <c r="DNS84" s="2"/>
      <c r="DNT84" s="2"/>
      <c r="DNU84" s="2"/>
      <c r="DNV84" s="2"/>
      <c r="DNW84" s="2"/>
      <c r="DNX84" s="2"/>
      <c r="DNY84" s="2"/>
      <c r="DNZ84" s="2"/>
      <c r="DOA84" s="2"/>
      <c r="DOB84" s="2"/>
      <c r="DOC84" s="2"/>
      <c r="DOD84" s="2"/>
      <c r="DOE84" s="2"/>
      <c r="DOF84" s="2"/>
      <c r="DOG84" s="2"/>
      <c r="DOH84" s="2"/>
      <c r="DOI84" s="2"/>
      <c r="DOJ84" s="2"/>
      <c r="DOK84" s="2"/>
      <c r="DOL84" s="2"/>
      <c r="DOM84" s="2"/>
      <c r="DON84" s="2"/>
      <c r="DOO84" s="2"/>
      <c r="DOP84" s="2"/>
      <c r="DOQ84" s="2"/>
      <c r="DOR84" s="2"/>
      <c r="DOS84" s="2"/>
      <c r="DOT84" s="2"/>
      <c r="DOU84" s="2"/>
      <c r="DOV84" s="2"/>
      <c r="DOW84" s="2"/>
      <c r="DOX84" s="2"/>
      <c r="DOY84" s="2"/>
      <c r="DOZ84" s="2"/>
      <c r="DPA84" s="2"/>
      <c r="DPB84" s="2"/>
      <c r="DPC84" s="2"/>
      <c r="DPD84" s="2"/>
      <c r="DPE84" s="2"/>
      <c r="DPF84" s="2"/>
      <c r="DPG84" s="2"/>
      <c r="DPH84" s="2"/>
      <c r="DPI84" s="2"/>
      <c r="DPJ84" s="2"/>
      <c r="DPK84" s="2"/>
      <c r="DPL84" s="2"/>
      <c r="DPM84" s="2"/>
      <c r="DPN84" s="2"/>
      <c r="DPO84" s="2"/>
      <c r="DPP84" s="2"/>
      <c r="DPQ84" s="2"/>
      <c r="DPR84" s="2"/>
      <c r="DPS84" s="2"/>
      <c r="DPT84" s="2"/>
      <c r="DPU84" s="2"/>
      <c r="DPV84" s="2"/>
      <c r="DPW84" s="2"/>
      <c r="DPX84" s="2"/>
      <c r="DPY84" s="2"/>
      <c r="DPZ84" s="2"/>
      <c r="DQA84" s="2"/>
      <c r="DQB84" s="2"/>
      <c r="DQC84" s="2"/>
      <c r="DQD84" s="2"/>
      <c r="DQE84" s="2"/>
      <c r="DQF84" s="2"/>
      <c r="DQG84" s="2"/>
      <c r="DQH84" s="2"/>
      <c r="DQI84" s="2"/>
      <c r="DQJ84" s="2"/>
      <c r="DQK84" s="2"/>
      <c r="DQL84" s="2"/>
      <c r="DQM84" s="2"/>
      <c r="DQN84" s="2"/>
      <c r="DQO84" s="2"/>
      <c r="DQP84" s="2"/>
      <c r="DQQ84" s="2"/>
      <c r="DQR84" s="2"/>
      <c r="DQS84" s="2"/>
      <c r="DQT84" s="2"/>
      <c r="DQU84" s="2"/>
      <c r="DQV84" s="2"/>
      <c r="DQW84" s="2"/>
      <c r="DQX84" s="2"/>
      <c r="DQY84" s="2"/>
      <c r="DQZ84" s="2"/>
      <c r="DRA84" s="2"/>
      <c r="DRB84" s="2"/>
      <c r="DRC84" s="2"/>
      <c r="DRD84" s="2"/>
      <c r="DRE84" s="2"/>
      <c r="DRF84" s="2"/>
      <c r="DRG84" s="2"/>
      <c r="DRH84" s="2"/>
      <c r="DRI84" s="2"/>
      <c r="DRJ84" s="2"/>
      <c r="DRK84" s="2"/>
      <c r="DRL84" s="2"/>
      <c r="DRM84" s="2"/>
      <c r="DRN84" s="2"/>
      <c r="DRO84" s="2"/>
      <c r="DRP84" s="2"/>
      <c r="DRQ84" s="2"/>
      <c r="DRR84" s="2"/>
      <c r="DRS84" s="2"/>
      <c r="DRT84" s="2"/>
      <c r="DRU84" s="2"/>
      <c r="DRV84" s="2"/>
      <c r="DRW84" s="2"/>
      <c r="DRX84" s="2"/>
      <c r="DRY84" s="2"/>
      <c r="DRZ84" s="2"/>
      <c r="DSA84" s="2"/>
      <c r="DSB84" s="2"/>
      <c r="DSC84" s="2"/>
      <c r="DSD84" s="2"/>
      <c r="DSE84" s="2"/>
      <c r="DSF84" s="2"/>
      <c r="DSG84" s="2"/>
      <c r="DSH84" s="2"/>
      <c r="DSI84" s="2"/>
      <c r="DSJ84" s="2"/>
      <c r="DSK84" s="2"/>
      <c r="DSL84" s="2"/>
      <c r="DSM84" s="2"/>
      <c r="DSN84" s="2"/>
      <c r="DSO84" s="2"/>
      <c r="DSP84" s="2"/>
      <c r="DSQ84" s="2"/>
      <c r="DSR84" s="2"/>
      <c r="DSS84" s="2"/>
      <c r="DST84" s="2"/>
      <c r="DSU84" s="2"/>
      <c r="DSV84" s="2"/>
      <c r="DSW84" s="2"/>
      <c r="DSX84" s="2"/>
      <c r="DSY84" s="2"/>
      <c r="DSZ84" s="2"/>
      <c r="DTA84" s="2"/>
      <c r="DTB84" s="2"/>
      <c r="DTC84" s="2"/>
      <c r="DTD84" s="2"/>
      <c r="DTE84" s="2"/>
      <c r="DTF84" s="2"/>
      <c r="DTG84" s="2"/>
      <c r="DTH84" s="2"/>
      <c r="DTI84" s="2"/>
      <c r="DTJ84" s="2"/>
      <c r="DTK84" s="2"/>
      <c r="DTL84" s="2"/>
      <c r="DTM84" s="2"/>
      <c r="DTN84" s="2"/>
      <c r="DTO84" s="2"/>
      <c r="DTP84" s="2"/>
      <c r="DTQ84" s="2"/>
      <c r="DTR84" s="2"/>
      <c r="DTS84" s="2"/>
      <c r="DTT84" s="2"/>
      <c r="DTU84" s="2"/>
      <c r="DTV84" s="2"/>
      <c r="DTW84" s="2"/>
      <c r="DTX84" s="2"/>
      <c r="DTY84" s="2"/>
      <c r="DTZ84" s="2"/>
      <c r="DUA84" s="2"/>
      <c r="DUB84" s="2"/>
      <c r="DUC84" s="2"/>
      <c r="DUD84" s="2"/>
      <c r="DUE84" s="2"/>
      <c r="DUF84" s="2"/>
      <c r="DUG84" s="2"/>
      <c r="DUH84" s="2"/>
      <c r="DUI84" s="2"/>
      <c r="DUJ84" s="2"/>
      <c r="DUK84" s="2"/>
      <c r="DUL84" s="2"/>
      <c r="DUM84" s="2"/>
      <c r="DUN84" s="2"/>
      <c r="DUO84" s="2"/>
      <c r="DUP84" s="2"/>
      <c r="DUQ84" s="2"/>
      <c r="DUR84" s="2"/>
      <c r="DUS84" s="2"/>
      <c r="DUT84" s="2"/>
      <c r="DUU84" s="2"/>
      <c r="DUV84" s="2"/>
      <c r="DUW84" s="2"/>
      <c r="DUX84" s="2"/>
      <c r="DUY84" s="2"/>
      <c r="DUZ84" s="2"/>
      <c r="DVA84" s="2"/>
      <c r="DVB84" s="2"/>
      <c r="DVC84" s="2"/>
      <c r="DVD84" s="2"/>
      <c r="DVE84" s="2"/>
      <c r="DVF84" s="2"/>
      <c r="DVG84" s="2"/>
      <c r="DVH84" s="2"/>
      <c r="DVI84" s="2"/>
      <c r="DVJ84" s="2"/>
      <c r="DVK84" s="2"/>
      <c r="DVL84" s="2"/>
      <c r="DVM84" s="2"/>
      <c r="DVN84" s="2"/>
      <c r="DVO84" s="2"/>
      <c r="DVP84" s="2"/>
      <c r="DVQ84" s="2"/>
      <c r="DVR84" s="2"/>
      <c r="DVS84" s="2"/>
      <c r="DVT84" s="2"/>
      <c r="DVU84" s="2"/>
      <c r="DVV84" s="2"/>
      <c r="DVW84" s="2"/>
      <c r="DVX84" s="2"/>
      <c r="DVY84" s="2"/>
      <c r="DVZ84" s="2"/>
      <c r="DWA84" s="2"/>
      <c r="DWB84" s="2"/>
      <c r="DWC84" s="2"/>
      <c r="DWD84" s="2"/>
      <c r="DWE84" s="2"/>
      <c r="DWF84" s="2"/>
      <c r="DWG84" s="2"/>
      <c r="DWH84" s="2"/>
      <c r="DWI84" s="2"/>
      <c r="DWJ84" s="2"/>
      <c r="DWK84" s="2"/>
      <c r="DWL84" s="2"/>
      <c r="DWM84" s="2"/>
      <c r="DWN84" s="2"/>
      <c r="DWO84" s="2"/>
      <c r="DWP84" s="2"/>
      <c r="DWQ84" s="2"/>
      <c r="DWR84" s="2"/>
      <c r="DWS84" s="2"/>
      <c r="DWT84" s="2"/>
      <c r="DWU84" s="2"/>
      <c r="DWV84" s="2"/>
      <c r="DWW84" s="2"/>
      <c r="DWX84" s="2"/>
      <c r="DWY84" s="2"/>
      <c r="DWZ84" s="2"/>
      <c r="DXA84" s="2"/>
      <c r="DXB84" s="2"/>
      <c r="DXC84" s="2"/>
      <c r="DXD84" s="2"/>
      <c r="DXE84" s="2"/>
      <c r="DXF84" s="2"/>
      <c r="DXG84" s="2"/>
      <c r="DXH84" s="2"/>
      <c r="DXI84" s="2"/>
      <c r="DXJ84" s="2"/>
      <c r="DXK84" s="2"/>
      <c r="DXL84" s="2"/>
      <c r="DXM84" s="2"/>
      <c r="DXN84" s="2"/>
      <c r="DXO84" s="2"/>
      <c r="DXP84" s="2"/>
      <c r="DXQ84" s="2"/>
      <c r="DXR84" s="2"/>
      <c r="DXS84" s="2"/>
      <c r="DXT84" s="2"/>
      <c r="DXU84" s="2"/>
      <c r="DXV84" s="2"/>
      <c r="DXW84" s="2"/>
      <c r="DXX84" s="2"/>
      <c r="DXY84" s="2"/>
      <c r="DXZ84" s="2"/>
      <c r="DYA84" s="2"/>
      <c r="DYB84" s="2"/>
      <c r="DYC84" s="2"/>
      <c r="DYD84" s="2"/>
      <c r="DYE84" s="2"/>
      <c r="DYF84" s="2"/>
      <c r="DYG84" s="2"/>
      <c r="DYH84" s="2"/>
      <c r="DYI84" s="2"/>
      <c r="DYJ84" s="2"/>
      <c r="DYK84" s="2"/>
      <c r="DYL84" s="2"/>
      <c r="DYM84" s="2"/>
      <c r="DYN84" s="2"/>
      <c r="DYO84" s="2"/>
      <c r="DYP84" s="2"/>
      <c r="DYQ84" s="2"/>
      <c r="DYR84" s="2"/>
      <c r="DYS84" s="2"/>
      <c r="DYT84" s="2"/>
      <c r="DYU84" s="2"/>
      <c r="DYV84" s="2"/>
      <c r="DYW84" s="2"/>
      <c r="DYX84" s="2"/>
      <c r="DYY84" s="2"/>
      <c r="DYZ84" s="2"/>
      <c r="DZA84" s="2"/>
      <c r="DZB84" s="2"/>
      <c r="DZC84" s="2"/>
      <c r="DZD84" s="2"/>
      <c r="DZE84" s="2"/>
      <c r="DZF84" s="2"/>
      <c r="DZG84" s="2"/>
      <c r="DZH84" s="2"/>
      <c r="DZI84" s="2"/>
      <c r="DZJ84" s="2"/>
      <c r="DZK84" s="2"/>
      <c r="DZL84" s="2"/>
      <c r="DZM84" s="2"/>
      <c r="DZN84" s="2"/>
      <c r="DZO84" s="2"/>
      <c r="DZP84" s="2"/>
      <c r="DZQ84" s="2"/>
      <c r="DZR84" s="2"/>
      <c r="DZS84" s="2"/>
      <c r="DZT84" s="2"/>
      <c r="DZU84" s="2"/>
      <c r="DZV84" s="2"/>
      <c r="DZW84" s="2"/>
      <c r="DZX84" s="2"/>
      <c r="DZY84" s="2"/>
      <c r="DZZ84" s="2"/>
      <c r="EAA84" s="2"/>
      <c r="EAB84" s="2"/>
      <c r="EAC84" s="2"/>
      <c r="EAD84" s="2"/>
      <c r="EAE84" s="2"/>
      <c r="EAF84" s="2"/>
      <c r="EAG84" s="2"/>
      <c r="EAH84" s="2"/>
      <c r="EAI84" s="2"/>
      <c r="EAJ84" s="2"/>
      <c r="EAK84" s="2"/>
      <c r="EAL84" s="2"/>
      <c r="EAM84" s="2"/>
      <c r="EAN84" s="2"/>
      <c r="EAO84" s="2"/>
      <c r="EAP84" s="2"/>
      <c r="EAQ84" s="2"/>
      <c r="EAR84" s="2"/>
      <c r="EAS84" s="2"/>
      <c r="EAT84" s="2"/>
      <c r="EAU84" s="2"/>
      <c r="EAV84" s="2"/>
      <c r="EAW84" s="2"/>
      <c r="EAX84" s="2"/>
      <c r="EAY84" s="2"/>
      <c r="EAZ84" s="2"/>
      <c r="EBA84" s="2"/>
      <c r="EBB84" s="2"/>
      <c r="EBC84" s="2"/>
      <c r="EBD84" s="2"/>
      <c r="EBE84" s="2"/>
      <c r="EBF84" s="2"/>
      <c r="EBG84" s="2"/>
      <c r="EBH84" s="2"/>
      <c r="EBI84" s="2"/>
      <c r="EBJ84" s="2"/>
      <c r="EBK84" s="2"/>
      <c r="EBL84" s="2"/>
      <c r="EBM84" s="2"/>
      <c r="EBN84" s="2"/>
      <c r="EBO84" s="2"/>
      <c r="EBP84" s="2"/>
      <c r="EBQ84" s="2"/>
      <c r="EBR84" s="2"/>
      <c r="EBS84" s="2"/>
      <c r="EBT84" s="2"/>
      <c r="EBU84" s="2"/>
      <c r="EBV84" s="2"/>
      <c r="EBW84" s="2"/>
      <c r="EBX84" s="2"/>
      <c r="EBY84" s="2"/>
      <c r="EBZ84" s="2"/>
      <c r="ECA84" s="2"/>
      <c r="ECB84" s="2"/>
      <c r="ECC84" s="2"/>
      <c r="ECD84" s="2"/>
      <c r="ECE84" s="2"/>
      <c r="ECF84" s="2"/>
      <c r="ECG84" s="2"/>
      <c r="ECH84" s="2"/>
      <c r="ECI84" s="2"/>
      <c r="ECJ84" s="2"/>
      <c r="ECK84" s="2"/>
      <c r="ECL84" s="2"/>
      <c r="ECM84" s="2"/>
      <c r="ECN84" s="2"/>
      <c r="ECO84" s="2"/>
      <c r="ECP84" s="2"/>
      <c r="ECQ84" s="2"/>
      <c r="ECR84" s="2"/>
      <c r="ECS84" s="2"/>
      <c r="ECT84" s="2"/>
      <c r="ECU84" s="2"/>
      <c r="ECV84" s="2"/>
      <c r="ECW84" s="2"/>
      <c r="ECX84" s="2"/>
      <c r="ECY84" s="2"/>
      <c r="ECZ84" s="2"/>
      <c r="EDA84" s="2"/>
      <c r="EDB84" s="2"/>
      <c r="EDC84" s="2"/>
      <c r="EDD84" s="2"/>
      <c r="EDE84" s="2"/>
      <c r="EDF84" s="2"/>
      <c r="EDG84" s="2"/>
      <c r="EDH84" s="2"/>
      <c r="EDI84" s="2"/>
      <c r="EDJ84" s="2"/>
      <c r="EDK84" s="2"/>
      <c r="EDL84" s="2"/>
      <c r="EDM84" s="2"/>
      <c r="EDN84" s="2"/>
      <c r="EDO84" s="2"/>
      <c r="EDP84" s="2"/>
      <c r="EDQ84" s="2"/>
      <c r="EDR84" s="2"/>
      <c r="EDS84" s="2"/>
      <c r="EDT84" s="2"/>
      <c r="EDU84" s="2"/>
      <c r="EDV84" s="2"/>
      <c r="EDW84" s="2"/>
      <c r="EDX84" s="2"/>
      <c r="EDY84" s="2"/>
      <c r="EDZ84" s="2"/>
      <c r="EEA84" s="2"/>
      <c r="EEB84" s="2"/>
      <c r="EEC84" s="2"/>
      <c r="EED84" s="2"/>
      <c r="EEE84" s="2"/>
      <c r="EEF84" s="2"/>
      <c r="EEG84" s="2"/>
      <c r="EEH84" s="2"/>
      <c r="EEI84" s="2"/>
      <c r="EEJ84" s="2"/>
      <c r="EEK84" s="2"/>
      <c r="EEL84" s="2"/>
      <c r="EEM84" s="2"/>
      <c r="EEN84" s="2"/>
      <c r="EEO84" s="2"/>
      <c r="EEP84" s="2"/>
      <c r="EEQ84" s="2"/>
      <c r="EER84" s="2"/>
      <c r="EES84" s="2"/>
      <c r="EET84" s="2"/>
      <c r="EEU84" s="2"/>
      <c r="EEV84" s="2"/>
      <c r="EEW84" s="2"/>
      <c r="EEX84" s="2"/>
      <c r="EEY84" s="2"/>
      <c r="EEZ84" s="2"/>
      <c r="EFA84" s="2"/>
      <c r="EFB84" s="2"/>
      <c r="EFC84" s="2"/>
      <c r="EFD84" s="2"/>
      <c r="EFE84" s="2"/>
      <c r="EFF84" s="2"/>
      <c r="EFG84" s="2"/>
      <c r="EFH84" s="2"/>
      <c r="EFI84" s="2"/>
      <c r="EFJ84" s="2"/>
      <c r="EFK84" s="2"/>
      <c r="EFL84" s="2"/>
      <c r="EFM84" s="2"/>
      <c r="EFN84" s="2"/>
      <c r="EFO84" s="2"/>
      <c r="EFP84" s="2"/>
      <c r="EFQ84" s="2"/>
      <c r="EFR84" s="2"/>
      <c r="EFS84" s="2"/>
      <c r="EFT84" s="2"/>
      <c r="EFU84" s="2"/>
      <c r="EFV84" s="2"/>
      <c r="EFW84" s="2"/>
      <c r="EFX84" s="2"/>
      <c r="EFY84" s="2"/>
      <c r="EFZ84" s="2"/>
      <c r="EGA84" s="2"/>
      <c r="EGB84" s="2"/>
      <c r="EGC84" s="2"/>
      <c r="EGD84" s="2"/>
      <c r="EGE84" s="2"/>
      <c r="EGF84" s="2"/>
      <c r="EGG84" s="2"/>
      <c r="EGH84" s="2"/>
      <c r="EGI84" s="2"/>
      <c r="EGJ84" s="2"/>
      <c r="EGK84" s="2"/>
      <c r="EGL84" s="2"/>
      <c r="EGM84" s="2"/>
      <c r="EGN84" s="2"/>
      <c r="EGO84" s="2"/>
      <c r="EGP84" s="2"/>
      <c r="EGQ84" s="2"/>
      <c r="EGR84" s="2"/>
      <c r="EGS84" s="2"/>
      <c r="EGT84" s="2"/>
      <c r="EGU84" s="2"/>
      <c r="EGV84" s="2"/>
      <c r="EGW84" s="2"/>
      <c r="EGX84" s="2"/>
      <c r="EGY84" s="2"/>
      <c r="EGZ84" s="2"/>
      <c r="EHA84" s="2"/>
      <c r="EHB84" s="2"/>
      <c r="EHC84" s="2"/>
      <c r="EHD84" s="2"/>
      <c r="EHE84" s="2"/>
      <c r="EHF84" s="2"/>
      <c r="EHG84" s="2"/>
      <c r="EHH84" s="2"/>
      <c r="EHI84" s="2"/>
      <c r="EHJ84" s="2"/>
      <c r="EHK84" s="2"/>
      <c r="EHL84" s="2"/>
      <c r="EHM84" s="2"/>
      <c r="EHN84" s="2"/>
      <c r="EHO84" s="2"/>
      <c r="EHP84" s="2"/>
      <c r="EHQ84" s="2"/>
      <c r="EHR84" s="2"/>
      <c r="EHS84" s="2"/>
      <c r="EHT84" s="2"/>
      <c r="EHU84" s="2"/>
      <c r="EHV84" s="2"/>
      <c r="EHW84" s="2"/>
      <c r="EHX84" s="2"/>
      <c r="EHY84" s="2"/>
      <c r="EHZ84" s="2"/>
      <c r="EIA84" s="2"/>
      <c r="EIB84" s="2"/>
      <c r="EIC84" s="2"/>
      <c r="EID84" s="2"/>
      <c r="EIE84" s="2"/>
      <c r="EIF84" s="2"/>
      <c r="EIG84" s="2"/>
      <c r="EIH84" s="2"/>
      <c r="EII84" s="2"/>
      <c r="EIJ84" s="2"/>
      <c r="EIK84" s="2"/>
      <c r="EIL84" s="2"/>
      <c r="EIM84" s="2"/>
      <c r="EIN84" s="2"/>
      <c r="EIO84" s="2"/>
      <c r="EIP84" s="2"/>
      <c r="EIQ84" s="2"/>
      <c r="EIR84" s="2"/>
      <c r="EIS84" s="2"/>
      <c r="EIT84" s="2"/>
      <c r="EIU84" s="2"/>
      <c r="EIV84" s="2"/>
      <c r="EIW84" s="2"/>
      <c r="EIX84" s="2"/>
      <c r="EIY84" s="2"/>
      <c r="EIZ84" s="2"/>
      <c r="EJA84" s="2"/>
      <c r="EJB84" s="2"/>
      <c r="EJC84" s="2"/>
      <c r="EJD84" s="2"/>
      <c r="EJE84" s="2"/>
      <c r="EJF84" s="2"/>
      <c r="EJG84" s="2"/>
      <c r="EJH84" s="2"/>
      <c r="EJI84" s="2"/>
      <c r="EJJ84" s="2"/>
      <c r="EJK84" s="2"/>
      <c r="EJL84" s="2"/>
      <c r="EJM84" s="2"/>
      <c r="EJN84" s="2"/>
      <c r="EJO84" s="2"/>
      <c r="EJP84" s="2"/>
      <c r="EJQ84" s="2"/>
      <c r="EJR84" s="2"/>
      <c r="EJS84" s="2"/>
      <c r="EJT84" s="2"/>
      <c r="EJU84" s="2"/>
      <c r="EJV84" s="2"/>
      <c r="EJW84" s="2"/>
      <c r="EJX84" s="2"/>
      <c r="EJY84" s="2"/>
      <c r="EJZ84" s="2"/>
      <c r="EKA84" s="2"/>
      <c r="EKB84" s="2"/>
      <c r="EKC84" s="2"/>
      <c r="EKD84" s="2"/>
      <c r="EKE84" s="2"/>
      <c r="EKF84" s="2"/>
      <c r="EKG84" s="2"/>
      <c r="EKH84" s="2"/>
      <c r="EKI84" s="2"/>
      <c r="EKJ84" s="2"/>
      <c r="EKK84" s="2"/>
      <c r="EKL84" s="2"/>
      <c r="EKM84" s="2"/>
      <c r="EKN84" s="2"/>
      <c r="EKO84" s="2"/>
      <c r="EKP84" s="2"/>
      <c r="EKQ84" s="2"/>
      <c r="EKR84" s="2"/>
      <c r="EKS84" s="2"/>
      <c r="EKT84" s="2"/>
      <c r="EKU84" s="2"/>
      <c r="EKV84" s="2"/>
      <c r="EKW84" s="2"/>
      <c r="EKX84" s="2"/>
      <c r="EKY84" s="2"/>
      <c r="EKZ84" s="2"/>
      <c r="ELA84" s="2"/>
      <c r="ELB84" s="2"/>
      <c r="ELC84" s="2"/>
      <c r="ELD84" s="2"/>
      <c r="ELE84" s="2"/>
      <c r="ELF84" s="2"/>
      <c r="ELG84" s="2"/>
      <c r="ELH84" s="2"/>
      <c r="ELI84" s="2"/>
      <c r="ELJ84" s="2"/>
      <c r="ELK84" s="2"/>
      <c r="ELL84" s="2"/>
      <c r="ELM84" s="2"/>
      <c r="ELN84" s="2"/>
      <c r="ELO84" s="2"/>
      <c r="ELP84" s="2"/>
      <c r="ELQ84" s="2"/>
      <c r="ELR84" s="2"/>
      <c r="ELS84" s="2"/>
      <c r="ELT84" s="2"/>
      <c r="ELU84" s="2"/>
      <c r="ELV84" s="2"/>
      <c r="ELW84" s="2"/>
      <c r="ELX84" s="2"/>
      <c r="ELY84" s="2"/>
      <c r="ELZ84" s="2"/>
      <c r="EMA84" s="2"/>
      <c r="EMB84" s="2"/>
      <c r="EMC84" s="2"/>
      <c r="EMD84" s="2"/>
      <c r="EME84" s="2"/>
      <c r="EMF84" s="2"/>
      <c r="EMG84" s="2"/>
      <c r="EMH84" s="2"/>
      <c r="EMI84" s="2"/>
      <c r="EMJ84" s="2"/>
      <c r="EMK84" s="2"/>
      <c r="EML84" s="2"/>
      <c r="EMM84" s="2"/>
      <c r="EMN84" s="2"/>
      <c r="EMO84" s="2"/>
      <c r="EMP84" s="2"/>
      <c r="EMQ84" s="2"/>
      <c r="EMR84" s="2"/>
      <c r="EMS84" s="2"/>
      <c r="EMT84" s="2"/>
      <c r="EMU84" s="2"/>
      <c r="EMV84" s="2"/>
      <c r="EMW84" s="2"/>
      <c r="EMX84" s="2"/>
      <c r="EMY84" s="2"/>
      <c r="EMZ84" s="2"/>
      <c r="ENA84" s="2"/>
      <c r="ENB84" s="2"/>
      <c r="ENC84" s="2"/>
      <c r="END84" s="2"/>
      <c r="ENE84" s="2"/>
      <c r="ENF84" s="2"/>
      <c r="ENG84" s="2"/>
      <c r="ENH84" s="2"/>
      <c r="ENI84" s="2"/>
      <c r="ENJ84" s="2"/>
      <c r="ENK84" s="2"/>
      <c r="ENL84" s="2"/>
      <c r="ENM84" s="2"/>
      <c r="ENN84" s="2"/>
      <c r="ENO84" s="2"/>
      <c r="ENP84" s="2"/>
      <c r="ENQ84" s="2"/>
      <c r="ENR84" s="2"/>
      <c r="ENS84" s="2"/>
      <c r="ENT84" s="2"/>
      <c r="ENU84" s="2"/>
      <c r="ENV84" s="2"/>
      <c r="ENW84" s="2"/>
      <c r="ENX84" s="2"/>
      <c r="ENY84" s="2"/>
      <c r="ENZ84" s="2"/>
      <c r="EOA84" s="2"/>
      <c r="EOB84" s="2"/>
      <c r="EOC84" s="2"/>
      <c r="EOD84" s="2"/>
      <c r="EOE84" s="2"/>
      <c r="EOF84" s="2"/>
      <c r="EOG84" s="2"/>
      <c r="EOH84" s="2"/>
      <c r="EOI84" s="2"/>
      <c r="EOJ84" s="2"/>
      <c r="EOK84" s="2"/>
      <c r="EOL84" s="2"/>
      <c r="EOM84" s="2"/>
      <c r="EON84" s="2"/>
      <c r="EOO84" s="2"/>
      <c r="EOP84" s="2"/>
      <c r="EOQ84" s="2"/>
      <c r="EOR84" s="2"/>
      <c r="EOS84" s="2"/>
      <c r="EOT84" s="2"/>
      <c r="EOU84" s="2"/>
      <c r="EOV84" s="2"/>
      <c r="EOW84" s="2"/>
      <c r="EOX84" s="2"/>
      <c r="EOY84" s="2"/>
      <c r="EOZ84" s="2"/>
      <c r="EPA84" s="2"/>
      <c r="EPB84" s="2"/>
      <c r="EPC84" s="2"/>
      <c r="EPD84" s="2"/>
      <c r="EPE84" s="2"/>
      <c r="EPF84" s="2"/>
      <c r="EPG84" s="2"/>
      <c r="EPH84" s="2"/>
      <c r="EPI84" s="2"/>
      <c r="EPJ84" s="2"/>
      <c r="EPK84" s="2"/>
      <c r="EPL84" s="2"/>
      <c r="EPM84" s="2"/>
      <c r="EPN84" s="2"/>
      <c r="EPO84" s="2"/>
      <c r="EPP84" s="2"/>
      <c r="EPQ84" s="2"/>
      <c r="EPR84" s="2"/>
      <c r="EPS84" s="2"/>
      <c r="EPT84" s="2"/>
      <c r="EPU84" s="2"/>
      <c r="EPV84" s="2"/>
      <c r="EPW84" s="2"/>
      <c r="EPX84" s="2"/>
      <c r="EPY84" s="2"/>
      <c r="EPZ84" s="2"/>
      <c r="EQA84" s="2"/>
      <c r="EQB84" s="2"/>
      <c r="EQC84" s="2"/>
      <c r="EQD84" s="2"/>
      <c r="EQE84" s="2"/>
      <c r="EQF84" s="2"/>
      <c r="EQG84" s="2"/>
      <c r="EQH84" s="2"/>
      <c r="EQI84" s="2"/>
      <c r="EQJ84" s="2"/>
      <c r="EQK84" s="2"/>
      <c r="EQL84" s="2"/>
      <c r="EQM84" s="2"/>
      <c r="EQN84" s="2"/>
      <c r="EQO84" s="2"/>
      <c r="EQP84" s="2"/>
      <c r="EQQ84" s="2"/>
      <c r="EQR84" s="2"/>
      <c r="EQS84" s="2"/>
      <c r="EQT84" s="2"/>
      <c r="EQU84" s="2"/>
      <c r="EQV84" s="2"/>
      <c r="EQW84" s="2"/>
      <c r="EQX84" s="2"/>
      <c r="EQY84" s="2"/>
      <c r="EQZ84" s="2"/>
      <c r="ERA84" s="2"/>
      <c r="ERB84" s="2"/>
      <c r="ERC84" s="2"/>
      <c r="ERD84" s="2"/>
      <c r="ERE84" s="2"/>
      <c r="ERF84" s="2"/>
      <c r="ERG84" s="2"/>
      <c r="ERH84" s="2"/>
      <c r="ERI84" s="2"/>
      <c r="ERJ84" s="2"/>
      <c r="ERK84" s="2"/>
      <c r="ERL84" s="2"/>
      <c r="ERM84" s="2"/>
      <c r="ERN84" s="2"/>
      <c r="ERO84" s="2"/>
      <c r="ERP84" s="2"/>
      <c r="ERQ84" s="2"/>
      <c r="ERR84" s="2"/>
      <c r="ERS84" s="2"/>
      <c r="ERT84" s="2"/>
      <c r="ERU84" s="2"/>
      <c r="ERV84" s="2"/>
      <c r="ERW84" s="2"/>
      <c r="ERX84" s="2"/>
      <c r="ERY84" s="2"/>
      <c r="ERZ84" s="2"/>
      <c r="ESA84" s="2"/>
      <c r="ESB84" s="2"/>
      <c r="ESC84" s="2"/>
      <c r="ESD84" s="2"/>
      <c r="ESE84" s="2"/>
      <c r="ESF84" s="2"/>
      <c r="ESG84" s="2"/>
      <c r="ESH84" s="2"/>
      <c r="ESI84" s="2"/>
      <c r="ESJ84" s="2"/>
      <c r="ESK84" s="2"/>
      <c r="ESL84" s="2"/>
      <c r="ESM84" s="2"/>
      <c r="ESN84" s="2"/>
      <c r="ESO84" s="2"/>
      <c r="ESP84" s="2"/>
      <c r="ESQ84" s="2"/>
      <c r="ESR84" s="2"/>
      <c r="ESS84" s="2"/>
      <c r="EST84" s="2"/>
      <c r="ESU84" s="2"/>
      <c r="ESV84" s="2"/>
      <c r="ESW84" s="2"/>
      <c r="ESX84" s="2"/>
      <c r="ESY84" s="2"/>
      <c r="ESZ84" s="2"/>
      <c r="ETA84" s="2"/>
      <c r="ETB84" s="2"/>
      <c r="ETC84" s="2"/>
      <c r="ETD84" s="2"/>
      <c r="ETE84" s="2"/>
      <c r="ETF84" s="2"/>
      <c r="ETG84" s="2"/>
      <c r="ETH84" s="2"/>
      <c r="ETI84" s="2"/>
      <c r="ETJ84" s="2"/>
      <c r="ETK84" s="2"/>
      <c r="ETL84" s="2"/>
      <c r="ETM84" s="2"/>
      <c r="ETN84" s="2"/>
      <c r="ETO84" s="2"/>
      <c r="ETP84" s="2"/>
      <c r="ETQ84" s="2"/>
      <c r="ETR84" s="2"/>
      <c r="ETS84" s="2"/>
      <c r="ETT84" s="2"/>
      <c r="ETU84" s="2"/>
      <c r="ETV84" s="2"/>
      <c r="ETW84" s="2"/>
      <c r="ETX84" s="2"/>
      <c r="ETY84" s="2"/>
      <c r="ETZ84" s="2"/>
      <c r="EUA84" s="2"/>
      <c r="EUB84" s="2"/>
      <c r="EUC84" s="2"/>
      <c r="EUD84" s="2"/>
      <c r="EUE84" s="2"/>
      <c r="EUF84" s="2"/>
      <c r="EUG84" s="2"/>
      <c r="EUH84" s="2"/>
      <c r="EUI84" s="2"/>
      <c r="EUJ84" s="2"/>
      <c r="EUK84" s="2"/>
      <c r="EUL84" s="2"/>
      <c r="EUM84" s="2"/>
      <c r="EUN84" s="2"/>
      <c r="EUO84" s="2"/>
      <c r="EUP84" s="2"/>
      <c r="EUQ84" s="2"/>
      <c r="EUR84" s="2"/>
      <c r="EUS84" s="2"/>
      <c r="EUT84" s="2"/>
      <c r="EUU84" s="2"/>
      <c r="EUV84" s="2"/>
      <c r="EUW84" s="2"/>
      <c r="EUX84" s="2"/>
      <c r="EUY84" s="2"/>
      <c r="EUZ84" s="2"/>
      <c r="EVA84" s="2"/>
      <c r="EVB84" s="2"/>
      <c r="EVC84" s="2"/>
      <c r="EVD84" s="2"/>
      <c r="EVE84" s="2"/>
      <c r="EVF84" s="2"/>
      <c r="EVG84" s="2"/>
      <c r="EVH84" s="2"/>
      <c r="EVI84" s="2"/>
      <c r="EVJ84" s="2"/>
      <c r="EVK84" s="2"/>
      <c r="EVL84" s="2"/>
      <c r="EVM84" s="2"/>
      <c r="EVN84" s="2"/>
      <c r="EVO84" s="2"/>
      <c r="EVP84" s="2"/>
      <c r="EVQ84" s="2"/>
      <c r="EVR84" s="2"/>
      <c r="EVS84" s="2"/>
      <c r="EVT84" s="2"/>
      <c r="EVU84" s="2"/>
      <c r="EVV84" s="2"/>
      <c r="EVW84" s="2"/>
      <c r="EVX84" s="2"/>
      <c r="EVY84" s="2"/>
      <c r="EVZ84" s="2"/>
      <c r="EWA84" s="2"/>
      <c r="EWB84" s="2"/>
      <c r="EWC84" s="2"/>
      <c r="EWD84" s="2"/>
      <c r="EWE84" s="2"/>
      <c r="EWF84" s="2"/>
      <c r="EWG84" s="2"/>
      <c r="EWH84" s="2"/>
      <c r="EWI84" s="2"/>
      <c r="EWJ84" s="2"/>
      <c r="EWK84" s="2"/>
      <c r="EWL84" s="2"/>
      <c r="EWM84" s="2"/>
      <c r="EWN84" s="2"/>
      <c r="EWO84" s="2"/>
      <c r="EWP84" s="2"/>
      <c r="EWQ84" s="2"/>
      <c r="EWR84" s="2"/>
      <c r="EWS84" s="2"/>
      <c r="EWT84" s="2"/>
      <c r="EWU84" s="2"/>
      <c r="EWV84" s="2"/>
      <c r="EWW84" s="2"/>
      <c r="EWX84" s="2"/>
      <c r="EWY84" s="2"/>
      <c r="EWZ84" s="2"/>
      <c r="EXA84" s="2"/>
      <c r="EXB84" s="2"/>
      <c r="EXC84" s="2"/>
      <c r="EXD84" s="2"/>
      <c r="EXE84" s="2"/>
      <c r="EXF84" s="2"/>
      <c r="EXG84" s="2"/>
      <c r="EXH84" s="2"/>
      <c r="EXI84" s="2"/>
      <c r="EXJ84" s="2"/>
      <c r="EXK84" s="2"/>
      <c r="EXL84" s="2"/>
      <c r="EXM84" s="2"/>
      <c r="EXN84" s="2"/>
      <c r="EXO84" s="2"/>
      <c r="EXP84" s="2"/>
      <c r="EXQ84" s="2"/>
      <c r="EXR84" s="2"/>
      <c r="EXS84" s="2"/>
      <c r="EXT84" s="2"/>
      <c r="EXU84" s="2"/>
      <c r="EXV84" s="2"/>
      <c r="EXW84" s="2"/>
      <c r="EXX84" s="2"/>
      <c r="EXY84" s="2"/>
      <c r="EXZ84" s="2"/>
      <c r="EYA84" s="2"/>
      <c r="EYB84" s="2"/>
      <c r="EYC84" s="2"/>
      <c r="EYD84" s="2"/>
      <c r="EYE84" s="2"/>
      <c r="EYF84" s="2"/>
      <c r="EYG84" s="2"/>
      <c r="EYH84" s="2"/>
      <c r="EYI84" s="2"/>
      <c r="EYJ84" s="2"/>
      <c r="EYK84" s="2"/>
      <c r="EYL84" s="2"/>
      <c r="EYM84" s="2"/>
      <c r="EYN84" s="2"/>
      <c r="EYO84" s="2"/>
      <c r="EYP84" s="2"/>
      <c r="EYQ84" s="2"/>
      <c r="EYR84" s="2"/>
      <c r="EYS84" s="2"/>
      <c r="EYT84" s="2"/>
      <c r="EYU84" s="2"/>
      <c r="EYV84" s="2"/>
      <c r="EYW84" s="2"/>
      <c r="EYX84" s="2"/>
      <c r="EYY84" s="2"/>
      <c r="EYZ84" s="2"/>
      <c r="EZA84" s="2"/>
      <c r="EZB84" s="2"/>
      <c r="EZC84" s="2"/>
      <c r="EZD84" s="2"/>
      <c r="EZE84" s="2"/>
      <c r="EZF84" s="2"/>
      <c r="EZG84" s="2"/>
      <c r="EZH84" s="2"/>
      <c r="EZI84" s="2"/>
      <c r="EZJ84" s="2"/>
      <c r="EZK84" s="2"/>
      <c r="EZL84" s="2"/>
      <c r="EZM84" s="2"/>
      <c r="EZN84" s="2"/>
      <c r="EZO84" s="2"/>
      <c r="EZP84" s="2"/>
      <c r="EZQ84" s="2"/>
      <c r="EZR84" s="2"/>
      <c r="EZS84" s="2"/>
      <c r="EZT84" s="2"/>
      <c r="EZU84" s="2"/>
      <c r="EZV84" s="2"/>
      <c r="EZW84" s="2"/>
      <c r="EZX84" s="2"/>
      <c r="EZY84" s="2"/>
      <c r="EZZ84" s="2"/>
      <c r="FAA84" s="2"/>
      <c r="FAB84" s="2"/>
      <c r="FAC84" s="2"/>
      <c r="FAD84" s="2"/>
      <c r="FAE84" s="2"/>
      <c r="FAF84" s="2"/>
      <c r="FAG84" s="2"/>
      <c r="FAH84" s="2"/>
      <c r="FAI84" s="2"/>
      <c r="FAJ84" s="2"/>
      <c r="FAK84" s="2"/>
      <c r="FAL84" s="2"/>
      <c r="FAM84" s="2"/>
      <c r="FAN84" s="2"/>
      <c r="FAO84" s="2"/>
      <c r="FAP84" s="2"/>
      <c r="FAQ84" s="2"/>
      <c r="FAR84" s="2"/>
      <c r="FAS84" s="2"/>
      <c r="FAT84" s="2"/>
      <c r="FAU84" s="2"/>
      <c r="FAV84" s="2"/>
      <c r="FAW84" s="2"/>
      <c r="FAX84" s="2"/>
      <c r="FAY84" s="2"/>
      <c r="FAZ84" s="2"/>
      <c r="FBA84" s="2"/>
      <c r="FBB84" s="2"/>
      <c r="FBC84" s="2"/>
      <c r="FBD84" s="2"/>
      <c r="FBE84" s="2"/>
      <c r="FBF84" s="2"/>
      <c r="FBG84" s="2"/>
      <c r="FBH84" s="2"/>
      <c r="FBI84" s="2"/>
      <c r="FBJ84" s="2"/>
      <c r="FBK84" s="2"/>
      <c r="FBL84" s="2"/>
      <c r="FBM84" s="2"/>
      <c r="FBN84" s="2"/>
      <c r="FBO84" s="2"/>
      <c r="FBP84" s="2"/>
      <c r="FBQ84" s="2"/>
      <c r="FBR84" s="2"/>
      <c r="FBS84" s="2"/>
      <c r="FBT84" s="2"/>
      <c r="FBU84" s="2"/>
      <c r="FBV84" s="2"/>
      <c r="FBW84" s="2"/>
      <c r="FBX84" s="2"/>
      <c r="FBY84" s="2"/>
      <c r="FBZ84" s="2"/>
      <c r="FCA84" s="2"/>
      <c r="FCB84" s="2"/>
      <c r="FCC84" s="2"/>
      <c r="FCD84" s="2"/>
      <c r="FCE84" s="2"/>
      <c r="FCF84" s="2"/>
      <c r="FCG84" s="2"/>
      <c r="FCH84" s="2"/>
      <c r="FCI84" s="2"/>
      <c r="FCJ84" s="2"/>
      <c r="FCK84" s="2"/>
      <c r="FCL84" s="2"/>
      <c r="FCM84" s="2"/>
      <c r="FCN84" s="2"/>
      <c r="FCO84" s="2"/>
      <c r="FCP84" s="2"/>
      <c r="FCQ84" s="2"/>
      <c r="FCR84" s="2"/>
      <c r="FCS84" s="2"/>
      <c r="FCT84" s="2"/>
      <c r="FCU84" s="2"/>
      <c r="FCV84" s="2"/>
      <c r="FCW84" s="2"/>
      <c r="FCX84" s="2"/>
      <c r="FCY84" s="2"/>
      <c r="FCZ84" s="2"/>
      <c r="FDA84" s="2"/>
      <c r="FDB84" s="2"/>
      <c r="FDC84" s="2"/>
      <c r="FDD84" s="2"/>
      <c r="FDE84" s="2"/>
      <c r="FDF84" s="2"/>
      <c r="FDG84" s="2"/>
      <c r="FDH84" s="2"/>
      <c r="FDI84" s="2"/>
      <c r="FDJ84" s="2"/>
      <c r="FDK84" s="2"/>
      <c r="FDL84" s="2"/>
      <c r="FDM84" s="2"/>
      <c r="FDN84" s="2"/>
      <c r="FDO84" s="2"/>
      <c r="FDP84" s="2"/>
      <c r="FDQ84" s="2"/>
      <c r="FDR84" s="2"/>
      <c r="FDS84" s="2"/>
      <c r="FDT84" s="2"/>
      <c r="FDU84" s="2"/>
      <c r="FDV84" s="2"/>
      <c r="FDW84" s="2"/>
      <c r="FDX84" s="2"/>
      <c r="FDY84" s="2"/>
      <c r="FDZ84" s="2"/>
      <c r="FEA84" s="2"/>
      <c r="FEB84" s="2"/>
      <c r="FEC84" s="2"/>
      <c r="FED84" s="2"/>
      <c r="FEE84" s="2"/>
      <c r="FEF84" s="2"/>
      <c r="FEG84" s="2"/>
      <c r="FEH84" s="2"/>
      <c r="FEI84" s="2"/>
      <c r="FEJ84" s="2"/>
      <c r="FEK84" s="2"/>
      <c r="FEL84" s="2"/>
      <c r="FEM84" s="2"/>
      <c r="FEN84" s="2"/>
      <c r="FEO84" s="2"/>
      <c r="FEP84" s="2"/>
      <c r="FEQ84" s="2"/>
      <c r="FER84" s="2"/>
      <c r="FES84" s="2"/>
      <c r="FET84" s="2"/>
      <c r="FEU84" s="2"/>
      <c r="FEV84" s="2"/>
      <c r="FEW84" s="2"/>
      <c r="FEX84" s="2"/>
      <c r="FEY84" s="2"/>
      <c r="FEZ84" s="2"/>
      <c r="FFA84" s="2"/>
      <c r="FFB84" s="2"/>
      <c r="FFC84" s="2"/>
      <c r="FFD84" s="2"/>
      <c r="FFE84" s="2"/>
      <c r="FFF84" s="2"/>
      <c r="FFG84" s="2"/>
      <c r="FFH84" s="2"/>
      <c r="FFI84" s="2"/>
      <c r="FFJ84" s="2"/>
      <c r="FFK84" s="2"/>
      <c r="FFL84" s="2"/>
      <c r="FFM84" s="2"/>
      <c r="FFN84" s="2"/>
      <c r="FFO84" s="2"/>
      <c r="FFP84" s="2"/>
      <c r="FFQ84" s="2"/>
      <c r="FFR84" s="2"/>
      <c r="FFS84" s="2"/>
      <c r="FFT84" s="2"/>
      <c r="FFU84" s="2"/>
      <c r="FFV84" s="2"/>
      <c r="FFW84" s="2"/>
      <c r="FFX84" s="2"/>
      <c r="FFY84" s="2"/>
      <c r="FFZ84" s="2"/>
      <c r="FGA84" s="2"/>
      <c r="FGB84" s="2"/>
      <c r="FGC84" s="2"/>
      <c r="FGD84" s="2"/>
      <c r="FGE84" s="2"/>
      <c r="FGF84" s="2"/>
      <c r="FGG84" s="2"/>
      <c r="FGH84" s="2"/>
      <c r="FGI84" s="2"/>
      <c r="FGJ84" s="2"/>
      <c r="FGK84" s="2"/>
      <c r="FGL84" s="2"/>
      <c r="FGM84" s="2"/>
      <c r="FGN84" s="2"/>
      <c r="FGO84" s="2"/>
      <c r="FGP84" s="2"/>
      <c r="FGQ84" s="2"/>
      <c r="FGR84" s="2"/>
      <c r="FGS84" s="2"/>
      <c r="FGT84" s="2"/>
      <c r="FGU84" s="2"/>
      <c r="FGV84" s="2"/>
      <c r="FGW84" s="2"/>
      <c r="FGX84" s="2"/>
      <c r="FGY84" s="2"/>
      <c r="FGZ84" s="2"/>
      <c r="FHA84" s="2"/>
      <c r="FHB84" s="2"/>
      <c r="FHC84" s="2"/>
      <c r="FHD84" s="2"/>
      <c r="FHE84" s="2"/>
      <c r="FHF84" s="2"/>
      <c r="FHG84" s="2"/>
      <c r="FHH84" s="2"/>
      <c r="FHI84" s="2"/>
      <c r="FHJ84" s="2"/>
      <c r="FHK84" s="2"/>
      <c r="FHL84" s="2"/>
      <c r="FHM84" s="2"/>
      <c r="FHN84" s="2"/>
      <c r="FHO84" s="2"/>
      <c r="FHP84" s="2"/>
      <c r="FHQ84" s="2"/>
      <c r="FHR84" s="2"/>
      <c r="FHS84" s="2"/>
      <c r="FHT84" s="2"/>
      <c r="FHU84" s="2"/>
      <c r="FHV84" s="2"/>
      <c r="FHW84" s="2"/>
      <c r="FHX84" s="2"/>
      <c r="FHY84" s="2"/>
      <c r="FHZ84" s="2"/>
      <c r="FIA84" s="2"/>
      <c r="FIB84" s="2"/>
      <c r="FIC84" s="2"/>
      <c r="FID84" s="2"/>
      <c r="FIE84" s="2"/>
      <c r="FIF84" s="2"/>
      <c r="FIG84" s="2"/>
      <c r="FIH84" s="2"/>
      <c r="FII84" s="2"/>
      <c r="FIJ84" s="2"/>
      <c r="FIK84" s="2"/>
      <c r="FIL84" s="2"/>
      <c r="FIM84" s="2"/>
      <c r="FIN84" s="2"/>
      <c r="FIO84" s="2"/>
      <c r="FIP84" s="2"/>
      <c r="FIQ84" s="2"/>
      <c r="FIR84" s="2"/>
      <c r="FIS84" s="2"/>
      <c r="FIT84" s="2"/>
      <c r="FIU84" s="2"/>
      <c r="FIV84" s="2"/>
      <c r="FIW84" s="2"/>
      <c r="FIX84" s="2"/>
      <c r="FIY84" s="2"/>
      <c r="FIZ84" s="2"/>
      <c r="FJA84" s="2"/>
      <c r="FJB84" s="2"/>
      <c r="FJC84" s="2"/>
      <c r="FJD84" s="2"/>
      <c r="FJE84" s="2"/>
      <c r="FJF84" s="2"/>
      <c r="FJG84" s="2"/>
      <c r="FJH84" s="2"/>
      <c r="FJI84" s="2"/>
      <c r="FJJ84" s="2"/>
      <c r="FJK84" s="2"/>
      <c r="FJL84" s="2"/>
      <c r="FJM84" s="2"/>
      <c r="FJN84" s="2"/>
      <c r="FJO84" s="2"/>
      <c r="FJP84" s="2"/>
      <c r="FJQ84" s="2"/>
      <c r="FJR84" s="2"/>
      <c r="FJS84" s="2"/>
      <c r="FJT84" s="2"/>
      <c r="FJU84" s="2"/>
      <c r="FJV84" s="2"/>
      <c r="FJW84" s="2"/>
      <c r="FJX84" s="2"/>
      <c r="FJY84" s="2"/>
      <c r="FJZ84" s="2"/>
      <c r="FKA84" s="2"/>
      <c r="FKB84" s="2"/>
      <c r="FKC84" s="2"/>
      <c r="FKD84" s="2"/>
      <c r="FKE84" s="2"/>
      <c r="FKF84" s="2"/>
      <c r="FKG84" s="2"/>
      <c r="FKH84" s="2"/>
      <c r="FKI84" s="2"/>
      <c r="FKJ84" s="2"/>
      <c r="FKK84" s="2"/>
      <c r="FKL84" s="2"/>
      <c r="FKM84" s="2"/>
      <c r="FKN84" s="2"/>
      <c r="FKO84" s="2"/>
      <c r="FKP84" s="2"/>
      <c r="FKQ84" s="2"/>
      <c r="FKR84" s="2"/>
      <c r="FKS84" s="2"/>
      <c r="FKT84" s="2"/>
      <c r="FKU84" s="2"/>
      <c r="FKV84" s="2"/>
      <c r="FKW84" s="2"/>
      <c r="FKX84" s="2"/>
      <c r="FKY84" s="2"/>
      <c r="FKZ84" s="2"/>
      <c r="FLA84" s="2"/>
      <c r="FLB84" s="2"/>
      <c r="FLC84" s="2"/>
      <c r="FLD84" s="2"/>
      <c r="FLE84" s="2"/>
      <c r="FLF84" s="2"/>
      <c r="FLG84" s="2"/>
      <c r="FLH84" s="2"/>
      <c r="FLI84" s="2"/>
      <c r="FLJ84" s="2"/>
      <c r="FLK84" s="2"/>
      <c r="FLL84" s="2"/>
      <c r="FLM84" s="2"/>
      <c r="FLN84" s="2"/>
      <c r="FLO84" s="2"/>
      <c r="FLP84" s="2"/>
      <c r="FLQ84" s="2"/>
      <c r="FLR84" s="2"/>
      <c r="FLS84" s="2"/>
      <c r="FLT84" s="2"/>
      <c r="FLU84" s="2"/>
      <c r="FLV84" s="2"/>
      <c r="FLW84" s="2"/>
      <c r="FLX84" s="2"/>
      <c r="FLY84" s="2"/>
      <c r="FLZ84" s="2"/>
      <c r="FMA84" s="2"/>
      <c r="FMB84" s="2"/>
      <c r="FMC84" s="2"/>
      <c r="FMD84" s="2"/>
      <c r="FME84" s="2"/>
      <c r="FMF84" s="2"/>
      <c r="FMG84" s="2"/>
      <c r="FMH84" s="2"/>
      <c r="FMI84" s="2"/>
      <c r="FMJ84" s="2"/>
      <c r="FMK84" s="2"/>
      <c r="FML84" s="2"/>
      <c r="FMM84" s="2"/>
      <c r="FMN84" s="2"/>
      <c r="FMO84" s="2"/>
      <c r="FMP84" s="2"/>
      <c r="FMQ84" s="2"/>
      <c r="FMR84" s="2"/>
      <c r="FMS84" s="2"/>
      <c r="FMT84" s="2"/>
      <c r="FMU84" s="2"/>
      <c r="FMV84" s="2"/>
      <c r="FMW84" s="2"/>
      <c r="FMX84" s="2"/>
      <c r="FMY84" s="2"/>
      <c r="FMZ84" s="2"/>
      <c r="FNA84" s="2"/>
      <c r="FNB84" s="2"/>
      <c r="FNC84" s="2"/>
      <c r="FND84" s="2"/>
      <c r="FNE84" s="2"/>
      <c r="FNF84" s="2"/>
      <c r="FNG84" s="2"/>
      <c r="FNH84" s="2"/>
      <c r="FNI84" s="2"/>
      <c r="FNJ84" s="2"/>
      <c r="FNK84" s="2"/>
      <c r="FNL84" s="2"/>
      <c r="FNM84" s="2"/>
      <c r="FNN84" s="2"/>
      <c r="FNO84" s="2"/>
      <c r="FNP84" s="2"/>
      <c r="FNQ84" s="2"/>
      <c r="FNR84" s="2"/>
      <c r="FNS84" s="2"/>
      <c r="FNT84" s="2"/>
      <c r="FNU84" s="2"/>
      <c r="FNV84" s="2"/>
      <c r="FNW84" s="2"/>
      <c r="FNX84" s="2"/>
      <c r="FNY84" s="2"/>
      <c r="FNZ84" s="2"/>
      <c r="FOA84" s="2"/>
      <c r="FOB84" s="2"/>
      <c r="FOC84" s="2"/>
      <c r="FOD84" s="2"/>
      <c r="FOE84" s="2"/>
      <c r="FOF84" s="2"/>
      <c r="FOG84" s="2"/>
      <c r="FOH84" s="2"/>
      <c r="FOI84" s="2"/>
      <c r="FOJ84" s="2"/>
      <c r="FOK84" s="2"/>
      <c r="FOL84" s="2"/>
      <c r="FOM84" s="2"/>
      <c r="FON84" s="2"/>
      <c r="FOO84" s="2"/>
      <c r="FOP84" s="2"/>
      <c r="FOQ84" s="2"/>
      <c r="FOR84" s="2"/>
      <c r="FOS84" s="2"/>
      <c r="FOT84" s="2"/>
      <c r="FOU84" s="2"/>
      <c r="FOV84" s="2"/>
      <c r="FOW84" s="2"/>
      <c r="FOX84" s="2"/>
      <c r="FOY84" s="2"/>
      <c r="FOZ84" s="2"/>
      <c r="FPA84" s="2"/>
      <c r="FPB84" s="2"/>
      <c r="FPC84" s="2"/>
      <c r="FPD84" s="2"/>
      <c r="FPE84" s="2"/>
      <c r="FPF84" s="2"/>
      <c r="FPG84" s="2"/>
      <c r="FPH84" s="2"/>
      <c r="FPI84" s="2"/>
      <c r="FPJ84" s="2"/>
      <c r="FPK84" s="2"/>
      <c r="FPL84" s="2"/>
      <c r="FPM84" s="2"/>
      <c r="FPN84" s="2"/>
      <c r="FPO84" s="2"/>
      <c r="FPP84" s="2"/>
      <c r="FPQ84" s="2"/>
      <c r="FPR84" s="2"/>
      <c r="FPS84" s="2"/>
      <c r="FPT84" s="2"/>
      <c r="FPU84" s="2"/>
      <c r="FPV84" s="2"/>
      <c r="FPW84" s="2"/>
      <c r="FPX84" s="2"/>
      <c r="FPY84" s="2"/>
      <c r="FPZ84" s="2"/>
      <c r="FQA84" s="2"/>
      <c r="FQB84" s="2"/>
      <c r="FQC84" s="2"/>
      <c r="FQD84" s="2"/>
      <c r="FQE84" s="2"/>
      <c r="FQF84" s="2"/>
      <c r="FQG84" s="2"/>
      <c r="FQH84" s="2"/>
      <c r="FQI84" s="2"/>
      <c r="FQJ84" s="2"/>
      <c r="FQK84" s="2"/>
      <c r="FQL84" s="2"/>
      <c r="FQM84" s="2"/>
      <c r="FQN84" s="2"/>
      <c r="FQO84" s="2"/>
      <c r="FQP84" s="2"/>
      <c r="FQQ84" s="2"/>
      <c r="FQR84" s="2"/>
      <c r="FQS84" s="2"/>
      <c r="FQT84" s="2"/>
      <c r="FQU84" s="2"/>
      <c r="FQV84" s="2"/>
      <c r="FQW84" s="2"/>
      <c r="FQX84" s="2"/>
      <c r="FQY84" s="2"/>
      <c r="FQZ84" s="2"/>
      <c r="FRA84" s="2"/>
      <c r="FRB84" s="2"/>
      <c r="FRC84" s="2"/>
      <c r="FRD84" s="2"/>
      <c r="FRE84" s="2"/>
      <c r="FRF84" s="2"/>
      <c r="FRG84" s="2"/>
      <c r="FRH84" s="2"/>
      <c r="FRI84" s="2"/>
      <c r="FRJ84" s="2"/>
      <c r="FRK84" s="2"/>
      <c r="FRL84" s="2"/>
      <c r="FRM84" s="2"/>
      <c r="FRN84" s="2"/>
      <c r="FRO84" s="2"/>
      <c r="FRP84" s="2"/>
      <c r="FRQ84" s="2"/>
      <c r="FRR84" s="2"/>
      <c r="FRS84" s="2"/>
      <c r="FRT84" s="2"/>
      <c r="FRU84" s="2"/>
      <c r="FRV84" s="2"/>
      <c r="FRW84" s="2"/>
      <c r="FRX84" s="2"/>
      <c r="FRY84" s="2"/>
      <c r="FRZ84" s="2"/>
      <c r="FSA84" s="2"/>
      <c r="FSB84" s="2"/>
      <c r="FSC84" s="2"/>
      <c r="FSD84" s="2"/>
      <c r="FSE84" s="2"/>
      <c r="FSF84" s="2"/>
      <c r="FSG84" s="2"/>
      <c r="FSH84" s="2"/>
      <c r="FSI84" s="2"/>
      <c r="FSJ84" s="2"/>
      <c r="FSK84" s="2"/>
      <c r="FSL84" s="2"/>
      <c r="FSM84" s="2"/>
      <c r="FSN84" s="2"/>
      <c r="FSO84" s="2"/>
      <c r="FSP84" s="2"/>
      <c r="FSQ84" s="2"/>
      <c r="FSR84" s="2"/>
      <c r="FSS84" s="2"/>
      <c r="FST84" s="2"/>
      <c r="FSU84" s="2"/>
      <c r="FSV84" s="2"/>
      <c r="FSW84" s="2"/>
      <c r="FSX84" s="2"/>
      <c r="FSY84" s="2"/>
      <c r="FSZ84" s="2"/>
      <c r="FTA84" s="2"/>
      <c r="FTB84" s="2"/>
      <c r="FTC84" s="2"/>
      <c r="FTD84" s="2"/>
      <c r="FTE84" s="2"/>
      <c r="FTF84" s="2"/>
      <c r="FTG84" s="2"/>
      <c r="FTH84" s="2"/>
      <c r="FTI84" s="2"/>
      <c r="FTJ84" s="2"/>
      <c r="FTK84" s="2"/>
      <c r="FTL84" s="2"/>
      <c r="FTM84" s="2"/>
      <c r="FTN84" s="2"/>
      <c r="FTO84" s="2"/>
      <c r="FTP84" s="2"/>
      <c r="FTQ84" s="2"/>
      <c r="FTR84" s="2"/>
      <c r="FTS84" s="2"/>
      <c r="FTT84" s="2"/>
      <c r="FTU84" s="2"/>
      <c r="FTV84" s="2"/>
      <c r="FTW84" s="2"/>
      <c r="FTX84" s="2"/>
      <c r="FTY84" s="2"/>
      <c r="FTZ84" s="2"/>
      <c r="FUA84" s="2"/>
      <c r="FUB84" s="2"/>
      <c r="FUC84" s="2"/>
      <c r="FUD84" s="2"/>
      <c r="FUE84" s="2"/>
      <c r="FUF84" s="2"/>
      <c r="FUG84" s="2"/>
      <c r="FUH84" s="2"/>
      <c r="FUI84" s="2"/>
      <c r="FUJ84" s="2"/>
      <c r="FUK84" s="2"/>
      <c r="FUL84" s="2"/>
      <c r="FUM84" s="2"/>
      <c r="FUN84" s="2"/>
      <c r="FUO84" s="2"/>
      <c r="FUP84" s="2"/>
      <c r="FUQ84" s="2"/>
      <c r="FUR84" s="2"/>
      <c r="FUS84" s="2"/>
      <c r="FUT84" s="2"/>
      <c r="FUU84" s="2"/>
      <c r="FUV84" s="2"/>
      <c r="FUW84" s="2"/>
      <c r="FUX84" s="2"/>
      <c r="FUY84" s="2"/>
      <c r="FUZ84" s="2"/>
      <c r="FVA84" s="2"/>
      <c r="FVB84" s="2"/>
      <c r="FVC84" s="2"/>
      <c r="FVD84" s="2"/>
      <c r="FVE84" s="2"/>
      <c r="FVF84" s="2"/>
      <c r="FVG84" s="2"/>
      <c r="FVH84" s="2"/>
      <c r="FVI84" s="2"/>
      <c r="FVJ84" s="2"/>
      <c r="FVK84" s="2"/>
      <c r="FVL84" s="2"/>
      <c r="FVM84" s="2"/>
      <c r="FVN84" s="2"/>
      <c r="FVO84" s="2"/>
      <c r="FVP84" s="2"/>
      <c r="FVQ84" s="2"/>
      <c r="FVR84" s="2"/>
      <c r="FVS84" s="2"/>
      <c r="FVT84" s="2"/>
      <c r="FVU84" s="2"/>
      <c r="FVV84" s="2"/>
      <c r="FVW84" s="2"/>
      <c r="FVX84" s="2"/>
      <c r="FVY84" s="2"/>
      <c r="FVZ84" s="2"/>
      <c r="FWA84" s="2"/>
      <c r="FWB84" s="2"/>
      <c r="FWC84" s="2"/>
      <c r="FWD84" s="2"/>
      <c r="FWE84" s="2"/>
      <c r="FWF84" s="2"/>
      <c r="FWG84" s="2"/>
      <c r="FWH84" s="2"/>
      <c r="FWI84" s="2"/>
      <c r="FWJ84" s="2"/>
      <c r="FWK84" s="2"/>
      <c r="FWL84" s="2"/>
      <c r="FWM84" s="2"/>
      <c r="FWN84" s="2"/>
      <c r="FWO84" s="2"/>
      <c r="FWP84" s="2"/>
      <c r="FWQ84" s="2"/>
      <c r="FWR84" s="2"/>
      <c r="FWS84" s="2"/>
      <c r="FWT84" s="2"/>
      <c r="FWU84" s="2"/>
      <c r="FWV84" s="2"/>
      <c r="FWW84" s="2"/>
      <c r="FWX84" s="2"/>
      <c r="FWY84" s="2"/>
      <c r="FWZ84" s="2"/>
      <c r="FXA84" s="2"/>
      <c r="FXB84" s="2"/>
      <c r="FXC84" s="2"/>
      <c r="FXD84" s="2"/>
      <c r="FXE84" s="2"/>
      <c r="FXF84" s="2"/>
      <c r="FXG84" s="2"/>
      <c r="FXH84" s="2"/>
      <c r="FXI84" s="2"/>
      <c r="FXJ84" s="2"/>
      <c r="FXK84" s="2"/>
      <c r="FXL84" s="2"/>
      <c r="FXM84" s="2"/>
      <c r="FXN84" s="2"/>
      <c r="FXO84" s="2"/>
      <c r="FXP84" s="2"/>
      <c r="FXQ84" s="2"/>
      <c r="FXR84" s="2"/>
      <c r="FXS84" s="2"/>
      <c r="FXT84" s="2"/>
      <c r="FXU84" s="2"/>
      <c r="FXV84" s="2"/>
      <c r="FXW84" s="2"/>
      <c r="FXX84" s="2"/>
      <c r="FXY84" s="2"/>
      <c r="FXZ84" s="2"/>
      <c r="FYA84" s="2"/>
      <c r="FYB84" s="2"/>
      <c r="FYC84" s="2"/>
      <c r="FYD84" s="2"/>
      <c r="FYE84" s="2"/>
      <c r="FYF84" s="2"/>
      <c r="FYG84" s="2"/>
      <c r="FYH84" s="2"/>
      <c r="FYI84" s="2"/>
      <c r="FYJ84" s="2"/>
      <c r="FYK84" s="2"/>
      <c r="FYL84" s="2"/>
      <c r="FYM84" s="2"/>
      <c r="FYN84" s="2"/>
      <c r="FYO84" s="2"/>
      <c r="FYP84" s="2"/>
      <c r="FYQ84" s="2"/>
      <c r="FYR84" s="2"/>
      <c r="FYS84" s="2"/>
      <c r="FYT84" s="2"/>
      <c r="FYU84" s="2"/>
      <c r="FYV84" s="2"/>
      <c r="FYW84" s="2"/>
      <c r="FYX84" s="2"/>
      <c r="FYY84" s="2"/>
      <c r="FYZ84" s="2"/>
      <c r="FZA84" s="2"/>
      <c r="FZB84" s="2"/>
      <c r="FZC84" s="2"/>
      <c r="FZD84" s="2"/>
      <c r="FZE84" s="2"/>
      <c r="FZF84" s="2"/>
      <c r="FZG84" s="2"/>
      <c r="FZH84" s="2"/>
      <c r="FZI84" s="2"/>
      <c r="FZJ84" s="2"/>
      <c r="FZK84" s="2"/>
      <c r="FZL84" s="2"/>
      <c r="FZM84" s="2"/>
      <c r="FZN84" s="2"/>
      <c r="FZO84" s="2"/>
      <c r="FZP84" s="2"/>
      <c r="FZQ84" s="2"/>
      <c r="FZR84" s="2"/>
      <c r="FZS84" s="2"/>
      <c r="FZT84" s="2"/>
      <c r="FZU84" s="2"/>
      <c r="FZV84" s="2"/>
      <c r="FZW84" s="2"/>
      <c r="FZX84" s="2"/>
      <c r="FZY84" s="2"/>
      <c r="FZZ84" s="2"/>
      <c r="GAA84" s="2"/>
      <c r="GAB84" s="2"/>
      <c r="GAC84" s="2"/>
      <c r="GAD84" s="2"/>
      <c r="GAE84" s="2"/>
      <c r="GAF84" s="2"/>
      <c r="GAG84" s="2"/>
      <c r="GAH84" s="2"/>
      <c r="GAI84" s="2"/>
      <c r="GAJ84" s="2"/>
      <c r="GAK84" s="2"/>
      <c r="GAL84" s="2"/>
      <c r="GAM84" s="2"/>
      <c r="GAN84" s="2"/>
      <c r="GAO84" s="2"/>
      <c r="GAP84" s="2"/>
      <c r="GAQ84" s="2"/>
      <c r="GAR84" s="2"/>
      <c r="GAS84" s="2"/>
      <c r="GAT84" s="2"/>
      <c r="GAU84" s="2"/>
      <c r="GAV84" s="2"/>
      <c r="GAW84" s="2"/>
      <c r="GAX84" s="2"/>
      <c r="GAY84" s="2"/>
      <c r="GAZ84" s="2"/>
      <c r="GBA84" s="2"/>
      <c r="GBB84" s="2"/>
      <c r="GBC84" s="2"/>
      <c r="GBD84" s="2"/>
      <c r="GBE84" s="2"/>
      <c r="GBF84" s="2"/>
      <c r="GBG84" s="2"/>
      <c r="GBH84" s="2"/>
      <c r="GBI84" s="2"/>
      <c r="GBJ84" s="2"/>
      <c r="GBK84" s="2"/>
      <c r="GBL84" s="2"/>
      <c r="GBM84" s="2"/>
      <c r="GBN84" s="2"/>
      <c r="GBO84" s="2"/>
      <c r="GBP84" s="2"/>
      <c r="GBQ84" s="2"/>
      <c r="GBR84" s="2"/>
      <c r="GBS84" s="2"/>
      <c r="GBT84" s="2"/>
      <c r="GBU84" s="2"/>
      <c r="GBV84" s="2"/>
      <c r="GBW84" s="2"/>
      <c r="GBX84" s="2"/>
      <c r="GBY84" s="2"/>
      <c r="GBZ84" s="2"/>
      <c r="GCA84" s="2"/>
      <c r="GCB84" s="2"/>
      <c r="GCC84" s="2"/>
      <c r="GCD84" s="2"/>
      <c r="GCE84" s="2"/>
      <c r="GCF84" s="2"/>
      <c r="GCG84" s="2"/>
      <c r="GCH84" s="2"/>
      <c r="GCI84" s="2"/>
      <c r="GCJ84" s="2"/>
      <c r="GCK84" s="2"/>
      <c r="GCL84" s="2"/>
      <c r="GCM84" s="2"/>
      <c r="GCN84" s="2"/>
      <c r="GCO84" s="2"/>
      <c r="GCP84" s="2"/>
      <c r="GCQ84" s="2"/>
      <c r="GCR84" s="2"/>
      <c r="GCS84" s="2"/>
      <c r="GCT84" s="2"/>
      <c r="GCU84" s="2"/>
      <c r="GCV84" s="2"/>
      <c r="GCW84" s="2"/>
      <c r="GCX84" s="2"/>
      <c r="GCY84" s="2"/>
      <c r="GCZ84" s="2"/>
      <c r="GDA84" s="2"/>
      <c r="GDB84" s="2"/>
      <c r="GDC84" s="2"/>
      <c r="GDD84" s="2"/>
      <c r="GDE84" s="2"/>
      <c r="GDF84" s="2"/>
      <c r="GDG84" s="2"/>
      <c r="GDH84" s="2"/>
      <c r="GDI84" s="2"/>
      <c r="GDJ84" s="2"/>
      <c r="GDK84" s="2"/>
      <c r="GDL84" s="2"/>
      <c r="GDM84" s="2"/>
      <c r="GDN84" s="2"/>
      <c r="GDO84" s="2"/>
      <c r="GDP84" s="2"/>
      <c r="GDQ84" s="2"/>
      <c r="GDR84" s="2"/>
      <c r="GDS84" s="2"/>
      <c r="GDT84" s="2"/>
      <c r="GDU84" s="2"/>
      <c r="GDV84" s="2"/>
      <c r="GDW84" s="2"/>
      <c r="GDX84" s="2"/>
      <c r="GDY84" s="2"/>
      <c r="GDZ84" s="2"/>
      <c r="GEA84" s="2"/>
      <c r="GEB84" s="2"/>
      <c r="GEC84" s="2"/>
      <c r="GED84" s="2"/>
      <c r="GEE84" s="2"/>
      <c r="GEF84" s="2"/>
      <c r="GEG84" s="2"/>
      <c r="GEH84" s="2"/>
      <c r="GEI84" s="2"/>
      <c r="GEJ84" s="2"/>
      <c r="GEK84" s="2"/>
      <c r="GEL84" s="2"/>
      <c r="GEM84" s="2"/>
      <c r="GEN84" s="2"/>
      <c r="GEO84" s="2"/>
      <c r="GEP84" s="2"/>
      <c r="GEQ84" s="2"/>
      <c r="GER84" s="2"/>
      <c r="GES84" s="2"/>
      <c r="GET84" s="2"/>
      <c r="GEU84" s="2"/>
      <c r="GEV84" s="2"/>
      <c r="GEW84" s="2"/>
      <c r="GEX84" s="2"/>
      <c r="GEY84" s="2"/>
      <c r="GEZ84" s="2"/>
      <c r="GFA84" s="2"/>
      <c r="GFB84" s="2"/>
      <c r="GFC84" s="2"/>
      <c r="GFD84" s="2"/>
      <c r="GFE84" s="2"/>
      <c r="GFF84" s="2"/>
      <c r="GFG84" s="2"/>
      <c r="GFH84" s="2"/>
      <c r="GFI84" s="2"/>
      <c r="GFJ84" s="2"/>
      <c r="GFK84" s="2"/>
      <c r="GFL84" s="2"/>
      <c r="GFM84" s="2"/>
      <c r="GFN84" s="2"/>
      <c r="GFO84" s="2"/>
      <c r="GFP84" s="2"/>
      <c r="GFQ84" s="2"/>
      <c r="GFR84" s="2"/>
      <c r="GFS84" s="2"/>
      <c r="GFT84" s="2"/>
      <c r="GFU84" s="2"/>
      <c r="GFV84" s="2"/>
      <c r="GFW84" s="2"/>
      <c r="GFX84" s="2"/>
      <c r="GFY84" s="2"/>
      <c r="GFZ84" s="2"/>
      <c r="GGA84" s="2"/>
      <c r="GGB84" s="2"/>
      <c r="GGC84" s="2"/>
      <c r="GGD84" s="2"/>
      <c r="GGE84" s="2"/>
      <c r="GGF84" s="2"/>
      <c r="GGG84" s="2"/>
      <c r="GGH84" s="2"/>
      <c r="GGI84" s="2"/>
      <c r="GGJ84" s="2"/>
      <c r="GGK84" s="2"/>
      <c r="GGL84" s="2"/>
      <c r="GGM84" s="2"/>
      <c r="GGN84" s="2"/>
      <c r="GGO84" s="2"/>
      <c r="GGP84" s="2"/>
      <c r="GGQ84" s="2"/>
      <c r="GGR84" s="2"/>
      <c r="GGS84" s="2"/>
      <c r="GGT84" s="2"/>
      <c r="GGU84" s="2"/>
      <c r="GGV84" s="2"/>
      <c r="GGW84" s="2"/>
      <c r="GGX84" s="2"/>
      <c r="GGY84" s="2"/>
      <c r="GGZ84" s="2"/>
      <c r="GHA84" s="2"/>
      <c r="GHB84" s="2"/>
      <c r="GHC84" s="2"/>
      <c r="GHD84" s="2"/>
      <c r="GHE84" s="2"/>
      <c r="GHF84" s="2"/>
      <c r="GHG84" s="2"/>
      <c r="GHH84" s="2"/>
      <c r="GHI84" s="2"/>
      <c r="GHJ84" s="2"/>
      <c r="GHK84" s="2"/>
      <c r="GHL84" s="2"/>
      <c r="GHM84" s="2"/>
      <c r="GHN84" s="2"/>
      <c r="GHO84" s="2"/>
      <c r="GHP84" s="2"/>
      <c r="GHQ84" s="2"/>
      <c r="GHR84" s="2"/>
      <c r="GHS84" s="2"/>
      <c r="GHT84" s="2"/>
      <c r="GHU84" s="2"/>
      <c r="GHV84" s="2"/>
      <c r="GHW84" s="2"/>
      <c r="GHX84" s="2"/>
      <c r="GHY84" s="2"/>
      <c r="GHZ84" s="2"/>
      <c r="GIA84" s="2"/>
      <c r="GIB84" s="2"/>
      <c r="GIC84" s="2"/>
      <c r="GID84" s="2"/>
      <c r="GIE84" s="2"/>
      <c r="GIF84" s="2"/>
      <c r="GIG84" s="2"/>
      <c r="GIH84" s="2"/>
      <c r="GII84" s="2"/>
      <c r="GIJ84" s="2"/>
      <c r="GIK84" s="2"/>
      <c r="GIL84" s="2"/>
      <c r="GIM84" s="2"/>
      <c r="GIN84" s="2"/>
      <c r="GIO84" s="2"/>
      <c r="GIP84" s="2"/>
      <c r="GIQ84" s="2"/>
      <c r="GIR84" s="2"/>
      <c r="GIS84" s="2"/>
      <c r="GIT84" s="2"/>
      <c r="GIU84" s="2"/>
      <c r="GIV84" s="2"/>
      <c r="GIW84" s="2"/>
      <c r="GIX84" s="2"/>
      <c r="GIY84" s="2"/>
      <c r="GIZ84" s="2"/>
      <c r="GJA84" s="2"/>
      <c r="GJB84" s="2"/>
      <c r="GJC84" s="2"/>
      <c r="GJD84" s="2"/>
      <c r="GJE84" s="2"/>
      <c r="GJF84" s="2"/>
      <c r="GJG84" s="2"/>
      <c r="GJH84" s="2"/>
      <c r="GJI84" s="2"/>
      <c r="GJJ84" s="2"/>
      <c r="GJK84" s="2"/>
      <c r="GJL84" s="2"/>
      <c r="GJM84" s="2"/>
      <c r="GJN84" s="2"/>
      <c r="GJO84" s="2"/>
      <c r="GJP84" s="2"/>
      <c r="GJQ84" s="2"/>
      <c r="GJR84" s="2"/>
      <c r="GJS84" s="2"/>
      <c r="GJT84" s="2"/>
      <c r="GJU84" s="2"/>
      <c r="GJV84" s="2"/>
      <c r="GJW84" s="2"/>
      <c r="GJX84" s="2"/>
      <c r="GJY84" s="2"/>
      <c r="GJZ84" s="2"/>
      <c r="GKA84" s="2"/>
      <c r="GKB84" s="2"/>
      <c r="GKC84" s="2"/>
      <c r="GKD84" s="2"/>
      <c r="GKE84" s="2"/>
      <c r="GKF84" s="2"/>
      <c r="GKG84" s="2"/>
      <c r="GKH84" s="2"/>
      <c r="GKI84" s="2"/>
      <c r="GKJ84" s="2"/>
      <c r="GKK84" s="2"/>
      <c r="GKL84" s="2"/>
      <c r="GKM84" s="2"/>
      <c r="GKN84" s="2"/>
      <c r="GKO84" s="2"/>
      <c r="GKP84" s="2"/>
      <c r="GKQ84" s="2"/>
      <c r="GKR84" s="2"/>
      <c r="GKS84" s="2"/>
      <c r="GKT84" s="2"/>
      <c r="GKU84" s="2"/>
      <c r="GKV84" s="2"/>
      <c r="GKW84" s="2"/>
      <c r="GKX84" s="2"/>
      <c r="GKY84" s="2"/>
      <c r="GKZ84" s="2"/>
      <c r="GLA84" s="2"/>
      <c r="GLB84" s="2"/>
      <c r="GLC84" s="2"/>
      <c r="GLD84" s="2"/>
      <c r="GLE84" s="2"/>
      <c r="GLF84" s="2"/>
      <c r="GLG84" s="2"/>
      <c r="GLH84" s="2"/>
      <c r="GLI84" s="2"/>
      <c r="GLJ84" s="2"/>
      <c r="GLK84" s="2"/>
      <c r="GLL84" s="2"/>
      <c r="GLM84" s="2"/>
      <c r="GLN84" s="2"/>
      <c r="GLO84" s="2"/>
      <c r="GLP84" s="2"/>
      <c r="GLQ84" s="2"/>
      <c r="GLR84" s="2"/>
      <c r="GLS84" s="2"/>
      <c r="GLT84" s="2"/>
      <c r="GLU84" s="2"/>
      <c r="GLV84" s="2"/>
      <c r="GLW84" s="2"/>
      <c r="GLX84" s="2"/>
      <c r="GLY84" s="2"/>
      <c r="GLZ84" s="2"/>
      <c r="GMA84" s="2"/>
      <c r="GMB84" s="2"/>
      <c r="GMC84" s="2"/>
      <c r="GMD84" s="2"/>
      <c r="GME84" s="2"/>
      <c r="GMF84" s="2"/>
      <c r="GMG84" s="2"/>
      <c r="GMH84" s="2"/>
      <c r="GMI84" s="2"/>
      <c r="GMJ84" s="2"/>
      <c r="GMK84" s="2"/>
      <c r="GML84" s="2"/>
      <c r="GMM84" s="2"/>
      <c r="GMN84" s="2"/>
      <c r="GMO84" s="2"/>
      <c r="GMP84" s="2"/>
      <c r="GMQ84" s="2"/>
      <c r="GMR84" s="2"/>
      <c r="GMS84" s="2"/>
      <c r="GMT84" s="2"/>
      <c r="GMU84" s="2"/>
      <c r="GMV84" s="2"/>
      <c r="GMW84" s="2"/>
      <c r="GMX84" s="2"/>
      <c r="GMY84" s="2"/>
      <c r="GMZ84" s="2"/>
      <c r="GNA84" s="2"/>
      <c r="GNB84" s="2"/>
      <c r="GNC84" s="2"/>
      <c r="GND84" s="2"/>
      <c r="GNE84" s="2"/>
      <c r="GNF84" s="2"/>
      <c r="GNG84" s="2"/>
      <c r="GNH84" s="2"/>
      <c r="GNI84" s="2"/>
      <c r="GNJ84" s="2"/>
      <c r="GNK84" s="2"/>
      <c r="GNL84" s="2"/>
      <c r="GNM84" s="2"/>
      <c r="GNN84" s="2"/>
      <c r="GNO84" s="2"/>
      <c r="GNP84" s="2"/>
      <c r="GNQ84" s="2"/>
      <c r="GNR84" s="2"/>
      <c r="GNS84" s="2"/>
      <c r="GNT84" s="2"/>
      <c r="GNU84" s="2"/>
      <c r="GNV84" s="2"/>
      <c r="GNW84" s="2"/>
      <c r="GNX84" s="2"/>
      <c r="GNY84" s="2"/>
      <c r="GNZ84" s="2"/>
      <c r="GOA84" s="2"/>
      <c r="GOB84" s="2"/>
      <c r="GOC84" s="2"/>
      <c r="GOD84" s="2"/>
      <c r="GOE84" s="2"/>
      <c r="GOF84" s="2"/>
      <c r="GOG84" s="2"/>
      <c r="GOH84" s="2"/>
      <c r="GOI84" s="2"/>
      <c r="GOJ84" s="2"/>
      <c r="GOK84" s="2"/>
      <c r="GOL84" s="2"/>
      <c r="GOM84" s="2"/>
      <c r="GON84" s="2"/>
      <c r="GOO84" s="2"/>
      <c r="GOP84" s="2"/>
      <c r="GOQ84" s="2"/>
      <c r="GOR84" s="2"/>
      <c r="GOS84" s="2"/>
      <c r="GOT84" s="2"/>
      <c r="GOU84" s="2"/>
      <c r="GOV84" s="2"/>
      <c r="GOW84" s="2"/>
      <c r="GOX84" s="2"/>
      <c r="GOY84" s="2"/>
      <c r="GOZ84" s="2"/>
      <c r="GPA84" s="2"/>
      <c r="GPB84" s="2"/>
      <c r="GPC84" s="2"/>
      <c r="GPD84" s="2"/>
      <c r="GPE84" s="2"/>
      <c r="GPF84" s="2"/>
      <c r="GPG84" s="2"/>
      <c r="GPH84" s="2"/>
      <c r="GPI84" s="2"/>
      <c r="GPJ84" s="2"/>
      <c r="GPK84" s="2"/>
      <c r="GPL84" s="2"/>
      <c r="GPM84" s="2"/>
      <c r="GPN84" s="2"/>
      <c r="GPO84" s="2"/>
      <c r="GPP84" s="2"/>
      <c r="GPQ84" s="2"/>
      <c r="GPR84" s="2"/>
      <c r="GPS84" s="2"/>
      <c r="GPT84" s="2"/>
      <c r="GPU84" s="2"/>
      <c r="GPV84" s="2"/>
      <c r="GPW84" s="2"/>
      <c r="GPX84" s="2"/>
      <c r="GPY84" s="2"/>
      <c r="GPZ84" s="2"/>
      <c r="GQA84" s="2"/>
      <c r="GQB84" s="2"/>
      <c r="GQC84" s="2"/>
      <c r="GQD84" s="2"/>
      <c r="GQE84" s="2"/>
      <c r="GQF84" s="2"/>
      <c r="GQG84" s="2"/>
      <c r="GQH84" s="2"/>
      <c r="GQI84" s="2"/>
      <c r="GQJ84" s="2"/>
      <c r="GQK84" s="2"/>
      <c r="GQL84" s="2"/>
      <c r="GQM84" s="2"/>
      <c r="GQN84" s="2"/>
      <c r="GQO84" s="2"/>
      <c r="GQP84" s="2"/>
      <c r="GQQ84" s="2"/>
      <c r="GQR84" s="2"/>
      <c r="GQS84" s="2"/>
      <c r="GQT84" s="2"/>
      <c r="GQU84" s="2"/>
      <c r="GQV84" s="2"/>
      <c r="GQW84" s="2"/>
      <c r="GQX84" s="2"/>
      <c r="GQY84" s="2"/>
      <c r="GQZ84" s="2"/>
      <c r="GRA84" s="2"/>
      <c r="GRB84" s="2"/>
      <c r="GRC84" s="2"/>
      <c r="GRD84" s="2"/>
      <c r="GRE84" s="2"/>
      <c r="GRF84" s="2"/>
      <c r="GRG84" s="2"/>
      <c r="GRH84" s="2"/>
      <c r="GRI84" s="2"/>
      <c r="GRJ84" s="2"/>
      <c r="GRK84" s="2"/>
      <c r="GRL84" s="2"/>
      <c r="GRM84" s="2"/>
      <c r="GRN84" s="2"/>
      <c r="GRO84" s="2"/>
      <c r="GRP84" s="2"/>
      <c r="GRQ84" s="2"/>
      <c r="GRR84" s="2"/>
      <c r="GRS84" s="2"/>
      <c r="GRT84" s="2"/>
      <c r="GRU84" s="2"/>
      <c r="GRV84" s="2"/>
      <c r="GRW84" s="2"/>
      <c r="GRX84" s="2"/>
      <c r="GRY84" s="2"/>
      <c r="GRZ84" s="2"/>
      <c r="GSA84" s="2"/>
      <c r="GSB84" s="2"/>
      <c r="GSC84" s="2"/>
      <c r="GSD84" s="2"/>
      <c r="GSE84" s="2"/>
      <c r="GSF84" s="2"/>
      <c r="GSG84" s="2"/>
      <c r="GSH84" s="2"/>
      <c r="GSI84" s="2"/>
      <c r="GSJ84" s="2"/>
      <c r="GSK84" s="2"/>
      <c r="GSL84" s="2"/>
      <c r="GSM84" s="2"/>
      <c r="GSN84" s="2"/>
      <c r="GSO84" s="2"/>
      <c r="GSP84" s="2"/>
      <c r="GSQ84" s="2"/>
      <c r="GSR84" s="2"/>
      <c r="GSS84" s="2"/>
      <c r="GST84" s="2"/>
      <c r="GSU84" s="2"/>
      <c r="GSV84" s="2"/>
      <c r="GSW84" s="2"/>
      <c r="GSX84" s="2"/>
      <c r="GSY84" s="2"/>
      <c r="GSZ84" s="2"/>
      <c r="GTA84" s="2"/>
      <c r="GTB84" s="2"/>
      <c r="GTC84" s="2"/>
      <c r="GTD84" s="2"/>
      <c r="GTE84" s="2"/>
      <c r="GTF84" s="2"/>
      <c r="GTG84" s="2"/>
      <c r="GTH84" s="2"/>
      <c r="GTI84" s="2"/>
      <c r="GTJ84" s="2"/>
      <c r="GTK84" s="2"/>
      <c r="GTL84" s="2"/>
      <c r="GTM84" s="2"/>
      <c r="GTN84" s="2"/>
      <c r="GTO84" s="2"/>
      <c r="GTP84" s="2"/>
      <c r="GTQ84" s="2"/>
      <c r="GTR84" s="2"/>
      <c r="GTS84" s="2"/>
      <c r="GTT84" s="2"/>
      <c r="GTU84" s="2"/>
      <c r="GTV84" s="2"/>
      <c r="GTW84" s="2"/>
      <c r="GTX84" s="2"/>
      <c r="GTY84" s="2"/>
      <c r="GTZ84" s="2"/>
      <c r="GUA84" s="2"/>
      <c r="GUB84" s="2"/>
      <c r="GUC84" s="2"/>
      <c r="GUD84" s="2"/>
      <c r="GUE84" s="2"/>
      <c r="GUF84" s="2"/>
      <c r="GUG84" s="2"/>
      <c r="GUH84" s="2"/>
      <c r="GUI84" s="2"/>
      <c r="GUJ84" s="2"/>
      <c r="GUK84" s="2"/>
      <c r="GUL84" s="2"/>
      <c r="GUM84" s="2"/>
      <c r="GUN84" s="2"/>
      <c r="GUO84" s="2"/>
      <c r="GUP84" s="2"/>
      <c r="GUQ84" s="2"/>
      <c r="GUR84" s="2"/>
      <c r="GUS84" s="2"/>
      <c r="GUT84" s="2"/>
      <c r="GUU84" s="2"/>
      <c r="GUV84" s="2"/>
      <c r="GUW84" s="2"/>
      <c r="GUX84" s="2"/>
      <c r="GUY84" s="2"/>
      <c r="GUZ84" s="2"/>
      <c r="GVA84" s="2"/>
      <c r="GVB84" s="2"/>
      <c r="GVC84" s="2"/>
      <c r="GVD84" s="2"/>
      <c r="GVE84" s="2"/>
      <c r="GVF84" s="2"/>
      <c r="GVG84" s="2"/>
      <c r="GVH84" s="2"/>
      <c r="GVI84" s="2"/>
      <c r="GVJ84" s="2"/>
      <c r="GVK84" s="2"/>
      <c r="GVL84" s="2"/>
      <c r="GVM84" s="2"/>
      <c r="GVN84" s="2"/>
      <c r="GVO84" s="2"/>
      <c r="GVP84" s="2"/>
      <c r="GVQ84" s="2"/>
      <c r="GVR84" s="2"/>
      <c r="GVS84" s="2"/>
      <c r="GVT84" s="2"/>
      <c r="GVU84" s="2"/>
      <c r="GVV84" s="2"/>
      <c r="GVW84" s="2"/>
      <c r="GVX84" s="2"/>
      <c r="GVY84" s="2"/>
      <c r="GVZ84" s="2"/>
      <c r="GWA84" s="2"/>
      <c r="GWB84" s="2"/>
      <c r="GWC84" s="2"/>
      <c r="GWD84" s="2"/>
      <c r="GWE84" s="2"/>
      <c r="GWF84" s="2"/>
      <c r="GWG84" s="2"/>
      <c r="GWH84" s="2"/>
      <c r="GWI84" s="2"/>
      <c r="GWJ84" s="2"/>
      <c r="GWK84" s="2"/>
      <c r="GWL84" s="2"/>
      <c r="GWM84" s="2"/>
      <c r="GWN84" s="2"/>
      <c r="GWO84" s="2"/>
      <c r="GWP84" s="2"/>
      <c r="GWQ84" s="2"/>
      <c r="GWR84" s="2"/>
      <c r="GWS84" s="2"/>
      <c r="GWT84" s="2"/>
      <c r="GWU84" s="2"/>
      <c r="GWV84" s="2"/>
      <c r="GWW84" s="2"/>
      <c r="GWX84" s="2"/>
      <c r="GWY84" s="2"/>
      <c r="GWZ84" s="2"/>
      <c r="GXA84" s="2"/>
      <c r="GXB84" s="2"/>
      <c r="GXC84" s="2"/>
      <c r="GXD84" s="2"/>
      <c r="GXE84" s="2"/>
      <c r="GXF84" s="2"/>
      <c r="GXG84" s="2"/>
      <c r="GXH84" s="2"/>
      <c r="GXI84" s="2"/>
      <c r="GXJ84" s="2"/>
      <c r="GXK84" s="2"/>
      <c r="GXL84" s="2"/>
      <c r="GXM84" s="2"/>
      <c r="GXN84" s="2"/>
      <c r="GXO84" s="2"/>
      <c r="GXP84" s="2"/>
      <c r="GXQ84" s="2"/>
      <c r="GXR84" s="2"/>
      <c r="GXS84" s="2"/>
      <c r="GXT84" s="2"/>
      <c r="GXU84" s="2"/>
      <c r="GXV84" s="2"/>
      <c r="GXW84" s="2"/>
      <c r="GXX84" s="2"/>
      <c r="GXY84" s="2"/>
      <c r="GXZ84" s="2"/>
      <c r="GYA84" s="2"/>
      <c r="GYB84" s="2"/>
      <c r="GYC84" s="2"/>
      <c r="GYD84" s="2"/>
      <c r="GYE84" s="2"/>
      <c r="GYF84" s="2"/>
      <c r="GYG84" s="2"/>
      <c r="GYH84" s="2"/>
      <c r="GYI84" s="2"/>
      <c r="GYJ84" s="2"/>
      <c r="GYK84" s="2"/>
      <c r="GYL84" s="2"/>
      <c r="GYM84" s="2"/>
      <c r="GYN84" s="2"/>
      <c r="GYO84" s="2"/>
      <c r="GYP84" s="2"/>
      <c r="GYQ84" s="2"/>
      <c r="GYR84" s="2"/>
      <c r="GYS84" s="2"/>
      <c r="GYT84" s="2"/>
      <c r="GYU84" s="2"/>
      <c r="GYV84" s="2"/>
      <c r="GYW84" s="2"/>
      <c r="GYX84" s="2"/>
      <c r="GYY84" s="2"/>
      <c r="GYZ84" s="2"/>
      <c r="GZA84" s="2"/>
      <c r="GZB84" s="2"/>
      <c r="GZC84" s="2"/>
      <c r="GZD84" s="2"/>
      <c r="GZE84" s="2"/>
      <c r="GZF84" s="2"/>
      <c r="GZG84" s="2"/>
      <c r="GZH84" s="2"/>
      <c r="GZI84" s="2"/>
      <c r="GZJ84" s="2"/>
      <c r="GZK84" s="2"/>
      <c r="GZL84" s="2"/>
      <c r="GZM84" s="2"/>
      <c r="GZN84" s="2"/>
      <c r="GZO84" s="2"/>
      <c r="GZP84" s="2"/>
      <c r="GZQ84" s="2"/>
      <c r="GZR84" s="2"/>
      <c r="GZS84" s="2"/>
      <c r="GZT84" s="2"/>
      <c r="GZU84" s="2"/>
      <c r="GZV84" s="2"/>
      <c r="GZW84" s="2"/>
      <c r="GZX84" s="2"/>
      <c r="GZY84" s="2"/>
      <c r="GZZ84" s="2"/>
      <c r="HAA84" s="2"/>
      <c r="HAB84" s="2"/>
      <c r="HAC84" s="2"/>
      <c r="HAD84" s="2"/>
      <c r="HAE84" s="2"/>
      <c r="HAF84" s="2"/>
      <c r="HAG84" s="2"/>
      <c r="HAH84" s="2"/>
      <c r="HAI84" s="2"/>
      <c r="HAJ84" s="2"/>
      <c r="HAK84" s="2"/>
      <c r="HAL84" s="2"/>
      <c r="HAM84" s="2"/>
      <c r="HAN84" s="2"/>
      <c r="HAO84" s="2"/>
      <c r="HAP84" s="2"/>
      <c r="HAQ84" s="2"/>
      <c r="HAR84" s="2"/>
      <c r="HAS84" s="2"/>
      <c r="HAT84" s="2"/>
      <c r="HAU84" s="2"/>
      <c r="HAV84" s="2"/>
      <c r="HAW84" s="2"/>
      <c r="HAX84" s="2"/>
      <c r="HAY84" s="2"/>
      <c r="HAZ84" s="2"/>
      <c r="HBA84" s="2"/>
      <c r="HBB84" s="2"/>
      <c r="HBC84" s="2"/>
      <c r="HBD84" s="2"/>
      <c r="HBE84" s="2"/>
      <c r="HBF84" s="2"/>
      <c r="HBG84" s="2"/>
      <c r="HBH84" s="2"/>
      <c r="HBI84" s="2"/>
      <c r="HBJ84" s="2"/>
      <c r="HBK84" s="2"/>
      <c r="HBL84" s="2"/>
      <c r="HBM84" s="2"/>
      <c r="HBN84" s="2"/>
      <c r="HBO84" s="2"/>
      <c r="HBP84" s="2"/>
      <c r="HBQ84" s="2"/>
      <c r="HBR84" s="2"/>
      <c r="HBS84" s="2"/>
      <c r="HBT84" s="2"/>
      <c r="HBU84" s="2"/>
      <c r="HBV84" s="2"/>
      <c r="HBW84" s="2"/>
      <c r="HBX84" s="2"/>
      <c r="HBY84" s="2"/>
      <c r="HBZ84" s="2"/>
      <c r="HCA84" s="2"/>
      <c r="HCB84" s="2"/>
      <c r="HCC84" s="2"/>
      <c r="HCD84" s="2"/>
      <c r="HCE84" s="2"/>
      <c r="HCF84" s="2"/>
      <c r="HCG84" s="2"/>
      <c r="HCH84" s="2"/>
      <c r="HCI84" s="2"/>
      <c r="HCJ84" s="2"/>
      <c r="HCK84" s="2"/>
      <c r="HCL84" s="2"/>
      <c r="HCM84" s="2"/>
      <c r="HCN84" s="2"/>
      <c r="HCO84" s="2"/>
      <c r="HCP84" s="2"/>
      <c r="HCQ84" s="2"/>
      <c r="HCR84" s="2"/>
      <c r="HCS84" s="2"/>
      <c r="HCT84" s="2"/>
      <c r="HCU84" s="2"/>
      <c r="HCV84" s="2"/>
      <c r="HCW84" s="2"/>
      <c r="HCX84" s="2"/>
      <c r="HCY84" s="2"/>
      <c r="HCZ84" s="2"/>
      <c r="HDA84" s="2"/>
      <c r="HDB84" s="2"/>
      <c r="HDC84" s="2"/>
      <c r="HDD84" s="2"/>
      <c r="HDE84" s="2"/>
      <c r="HDF84" s="2"/>
      <c r="HDG84" s="2"/>
      <c r="HDH84" s="2"/>
      <c r="HDI84" s="2"/>
      <c r="HDJ84" s="2"/>
      <c r="HDK84" s="2"/>
      <c r="HDL84" s="2"/>
      <c r="HDM84" s="2"/>
      <c r="HDN84" s="2"/>
      <c r="HDO84" s="2"/>
      <c r="HDP84" s="2"/>
      <c r="HDQ84" s="2"/>
      <c r="HDR84" s="2"/>
      <c r="HDS84" s="2"/>
      <c r="HDT84" s="2"/>
      <c r="HDU84" s="2"/>
      <c r="HDV84" s="2"/>
      <c r="HDW84" s="2"/>
      <c r="HDX84" s="2"/>
      <c r="HDY84" s="2"/>
      <c r="HDZ84" s="2"/>
      <c r="HEA84" s="2"/>
      <c r="HEB84" s="2"/>
      <c r="HEC84" s="2"/>
      <c r="HED84" s="2"/>
      <c r="HEE84" s="2"/>
      <c r="HEF84" s="2"/>
      <c r="HEG84" s="2"/>
      <c r="HEH84" s="2"/>
      <c r="HEI84" s="2"/>
      <c r="HEJ84" s="2"/>
      <c r="HEK84" s="2"/>
      <c r="HEL84" s="2"/>
      <c r="HEM84" s="2"/>
      <c r="HEN84" s="2"/>
      <c r="HEO84" s="2"/>
      <c r="HEP84" s="2"/>
      <c r="HEQ84" s="2"/>
      <c r="HER84" s="2"/>
      <c r="HES84" s="2"/>
      <c r="HET84" s="2"/>
      <c r="HEU84" s="2"/>
      <c r="HEV84" s="2"/>
      <c r="HEW84" s="2"/>
      <c r="HEX84" s="2"/>
      <c r="HEY84" s="2"/>
      <c r="HEZ84" s="2"/>
      <c r="HFA84" s="2"/>
      <c r="HFB84" s="2"/>
      <c r="HFC84" s="2"/>
      <c r="HFD84" s="2"/>
      <c r="HFE84" s="2"/>
      <c r="HFF84" s="2"/>
      <c r="HFG84" s="2"/>
      <c r="HFH84" s="2"/>
      <c r="HFI84" s="2"/>
      <c r="HFJ84" s="2"/>
      <c r="HFK84" s="2"/>
      <c r="HFL84" s="2"/>
      <c r="HFM84" s="2"/>
      <c r="HFN84" s="2"/>
      <c r="HFO84" s="2"/>
      <c r="HFP84" s="2"/>
      <c r="HFQ84" s="2"/>
      <c r="HFR84" s="2"/>
      <c r="HFS84" s="2"/>
      <c r="HFT84" s="2"/>
      <c r="HFU84" s="2"/>
      <c r="HFV84" s="2"/>
      <c r="HFW84" s="2"/>
      <c r="HFX84" s="2"/>
      <c r="HFY84" s="2"/>
      <c r="HFZ84" s="2"/>
      <c r="HGA84" s="2"/>
      <c r="HGB84" s="2"/>
      <c r="HGC84" s="2"/>
      <c r="HGD84" s="2"/>
      <c r="HGE84" s="2"/>
      <c r="HGF84" s="2"/>
      <c r="HGG84" s="2"/>
      <c r="HGH84" s="2"/>
      <c r="HGI84" s="2"/>
      <c r="HGJ84" s="2"/>
      <c r="HGK84" s="2"/>
      <c r="HGL84" s="2"/>
      <c r="HGM84" s="2"/>
      <c r="HGN84" s="2"/>
      <c r="HGO84" s="2"/>
      <c r="HGP84" s="2"/>
      <c r="HGQ84" s="2"/>
      <c r="HGR84" s="2"/>
      <c r="HGS84" s="2"/>
      <c r="HGT84" s="2"/>
      <c r="HGU84" s="2"/>
      <c r="HGV84" s="2"/>
      <c r="HGW84" s="2"/>
      <c r="HGX84" s="2"/>
      <c r="HGY84" s="2"/>
      <c r="HGZ84" s="2"/>
      <c r="HHA84" s="2"/>
      <c r="HHB84" s="2"/>
      <c r="HHC84" s="2"/>
      <c r="HHD84" s="2"/>
      <c r="HHE84" s="2"/>
      <c r="HHF84" s="2"/>
      <c r="HHG84" s="2"/>
      <c r="HHH84" s="2"/>
      <c r="HHI84" s="2"/>
      <c r="HHJ84" s="2"/>
      <c r="HHK84" s="2"/>
      <c r="HHL84" s="2"/>
      <c r="HHM84" s="2"/>
      <c r="HHN84" s="2"/>
      <c r="HHO84" s="2"/>
      <c r="HHP84" s="2"/>
      <c r="HHQ84" s="2"/>
      <c r="HHR84" s="2"/>
      <c r="HHS84" s="2"/>
      <c r="HHT84" s="2"/>
      <c r="HHU84" s="2"/>
      <c r="HHV84" s="2"/>
      <c r="HHW84" s="2"/>
      <c r="HHX84" s="2"/>
      <c r="HHY84" s="2"/>
      <c r="HHZ84" s="2"/>
      <c r="HIA84" s="2"/>
      <c r="HIB84" s="2"/>
      <c r="HIC84" s="2"/>
      <c r="HID84" s="2"/>
      <c r="HIE84" s="2"/>
      <c r="HIF84" s="2"/>
      <c r="HIG84" s="2"/>
      <c r="HIH84" s="2"/>
      <c r="HII84" s="2"/>
      <c r="HIJ84" s="2"/>
      <c r="HIK84" s="2"/>
      <c r="HIL84" s="2"/>
      <c r="HIM84" s="2"/>
      <c r="HIN84" s="2"/>
      <c r="HIO84" s="2"/>
      <c r="HIP84" s="2"/>
      <c r="HIQ84" s="2"/>
      <c r="HIR84" s="2"/>
      <c r="HIS84" s="2"/>
      <c r="HIT84" s="2"/>
      <c r="HIU84" s="2"/>
      <c r="HIV84" s="2"/>
      <c r="HIW84" s="2"/>
      <c r="HIX84" s="2"/>
      <c r="HIY84" s="2"/>
      <c r="HIZ84" s="2"/>
      <c r="HJA84" s="2"/>
      <c r="HJB84" s="2"/>
      <c r="HJC84" s="2"/>
      <c r="HJD84" s="2"/>
      <c r="HJE84" s="2"/>
      <c r="HJF84" s="2"/>
      <c r="HJG84" s="2"/>
      <c r="HJH84" s="2"/>
      <c r="HJI84" s="2"/>
      <c r="HJJ84" s="2"/>
      <c r="HJK84" s="2"/>
      <c r="HJL84" s="2"/>
      <c r="HJM84" s="2"/>
      <c r="HJN84" s="2"/>
      <c r="HJO84" s="2"/>
      <c r="HJP84" s="2"/>
      <c r="HJQ84" s="2"/>
      <c r="HJR84" s="2"/>
      <c r="HJS84" s="2"/>
      <c r="HJT84" s="2"/>
      <c r="HJU84" s="2"/>
      <c r="HJV84" s="2"/>
      <c r="HJW84" s="2"/>
      <c r="HJX84" s="2"/>
      <c r="HJY84" s="2"/>
      <c r="HJZ84" s="2"/>
      <c r="HKA84" s="2"/>
      <c r="HKB84" s="2"/>
      <c r="HKC84" s="2"/>
      <c r="HKD84" s="2"/>
      <c r="HKE84" s="2"/>
      <c r="HKF84" s="2"/>
      <c r="HKG84" s="2"/>
      <c r="HKH84" s="2"/>
      <c r="HKI84" s="2"/>
      <c r="HKJ84" s="2"/>
      <c r="HKK84" s="2"/>
      <c r="HKL84" s="2"/>
      <c r="HKM84" s="2"/>
      <c r="HKN84" s="2"/>
      <c r="HKO84" s="2"/>
      <c r="HKP84" s="2"/>
      <c r="HKQ84" s="2"/>
      <c r="HKR84" s="2"/>
      <c r="HKS84" s="2"/>
      <c r="HKT84" s="2"/>
      <c r="HKU84" s="2"/>
      <c r="HKV84" s="2"/>
      <c r="HKW84" s="2"/>
      <c r="HKX84" s="2"/>
      <c r="HKY84" s="2"/>
      <c r="HKZ84" s="2"/>
      <c r="HLA84" s="2"/>
      <c r="HLB84" s="2"/>
      <c r="HLC84" s="2"/>
      <c r="HLD84" s="2"/>
      <c r="HLE84" s="2"/>
      <c r="HLF84" s="2"/>
      <c r="HLG84" s="2"/>
      <c r="HLH84" s="2"/>
      <c r="HLI84" s="2"/>
      <c r="HLJ84" s="2"/>
      <c r="HLK84" s="2"/>
      <c r="HLL84" s="2"/>
      <c r="HLM84" s="2"/>
      <c r="HLN84" s="2"/>
      <c r="HLO84" s="2"/>
      <c r="HLP84" s="2"/>
      <c r="HLQ84" s="2"/>
      <c r="HLR84" s="2"/>
      <c r="HLS84" s="2"/>
      <c r="HLT84" s="2"/>
      <c r="HLU84" s="2"/>
      <c r="HLV84" s="2"/>
      <c r="HLW84" s="2"/>
      <c r="HLX84" s="2"/>
      <c r="HLY84" s="2"/>
      <c r="HLZ84" s="2"/>
      <c r="HMA84" s="2"/>
      <c r="HMB84" s="2"/>
      <c r="HMC84" s="2"/>
      <c r="HMD84" s="2"/>
      <c r="HME84" s="2"/>
      <c r="HMF84" s="2"/>
      <c r="HMG84" s="2"/>
      <c r="HMH84" s="2"/>
      <c r="HMI84" s="2"/>
      <c r="HMJ84" s="2"/>
      <c r="HMK84" s="2"/>
      <c r="HML84" s="2"/>
      <c r="HMM84" s="2"/>
      <c r="HMN84" s="2"/>
      <c r="HMO84" s="2"/>
      <c r="HMP84" s="2"/>
      <c r="HMQ84" s="2"/>
      <c r="HMR84" s="2"/>
      <c r="HMS84" s="2"/>
      <c r="HMT84" s="2"/>
      <c r="HMU84" s="2"/>
      <c r="HMV84" s="2"/>
      <c r="HMW84" s="2"/>
      <c r="HMX84" s="2"/>
      <c r="HMY84" s="2"/>
      <c r="HMZ84" s="2"/>
      <c r="HNA84" s="2"/>
      <c r="HNB84" s="2"/>
      <c r="HNC84" s="2"/>
      <c r="HND84" s="2"/>
      <c r="HNE84" s="2"/>
      <c r="HNF84" s="2"/>
      <c r="HNG84" s="2"/>
      <c r="HNH84" s="2"/>
      <c r="HNI84" s="2"/>
      <c r="HNJ84" s="2"/>
      <c r="HNK84" s="2"/>
      <c r="HNL84" s="2"/>
      <c r="HNM84" s="2"/>
      <c r="HNN84" s="2"/>
      <c r="HNO84" s="2"/>
      <c r="HNP84" s="2"/>
      <c r="HNQ84" s="2"/>
      <c r="HNR84" s="2"/>
      <c r="HNS84" s="2"/>
      <c r="HNT84" s="2"/>
      <c r="HNU84" s="2"/>
      <c r="HNV84" s="2"/>
      <c r="HNW84" s="2"/>
      <c r="HNX84" s="2"/>
      <c r="HNY84" s="2"/>
      <c r="HNZ84" s="2"/>
      <c r="HOA84" s="2"/>
      <c r="HOB84" s="2"/>
      <c r="HOC84" s="2"/>
      <c r="HOD84" s="2"/>
      <c r="HOE84" s="2"/>
      <c r="HOF84" s="2"/>
      <c r="HOG84" s="2"/>
      <c r="HOH84" s="2"/>
      <c r="HOI84" s="2"/>
      <c r="HOJ84" s="2"/>
      <c r="HOK84" s="2"/>
      <c r="HOL84" s="2"/>
      <c r="HOM84" s="2"/>
      <c r="HON84" s="2"/>
      <c r="HOO84" s="2"/>
      <c r="HOP84" s="2"/>
      <c r="HOQ84" s="2"/>
      <c r="HOR84" s="2"/>
      <c r="HOS84" s="2"/>
      <c r="HOT84" s="2"/>
      <c r="HOU84" s="2"/>
      <c r="HOV84" s="2"/>
      <c r="HOW84" s="2"/>
      <c r="HOX84" s="2"/>
      <c r="HOY84" s="2"/>
      <c r="HOZ84" s="2"/>
      <c r="HPA84" s="2"/>
      <c r="HPB84" s="2"/>
      <c r="HPC84" s="2"/>
      <c r="HPD84" s="2"/>
      <c r="HPE84" s="2"/>
      <c r="HPF84" s="2"/>
      <c r="HPG84" s="2"/>
      <c r="HPH84" s="2"/>
      <c r="HPI84" s="2"/>
      <c r="HPJ84" s="2"/>
      <c r="HPK84" s="2"/>
      <c r="HPL84" s="2"/>
      <c r="HPM84" s="2"/>
      <c r="HPN84" s="2"/>
      <c r="HPO84" s="2"/>
      <c r="HPP84" s="2"/>
      <c r="HPQ84" s="2"/>
      <c r="HPR84" s="2"/>
      <c r="HPS84" s="2"/>
      <c r="HPT84" s="2"/>
      <c r="HPU84" s="2"/>
      <c r="HPV84" s="2"/>
      <c r="HPW84" s="2"/>
      <c r="HPX84" s="2"/>
      <c r="HPY84" s="2"/>
      <c r="HPZ84" s="2"/>
      <c r="HQA84" s="2"/>
      <c r="HQB84" s="2"/>
      <c r="HQC84" s="2"/>
      <c r="HQD84" s="2"/>
      <c r="HQE84" s="2"/>
      <c r="HQF84" s="2"/>
      <c r="HQG84" s="2"/>
      <c r="HQH84" s="2"/>
      <c r="HQI84" s="2"/>
      <c r="HQJ84" s="2"/>
      <c r="HQK84" s="2"/>
      <c r="HQL84" s="2"/>
      <c r="HQM84" s="2"/>
      <c r="HQN84" s="2"/>
      <c r="HQO84" s="2"/>
      <c r="HQP84" s="2"/>
      <c r="HQQ84" s="2"/>
      <c r="HQR84" s="2"/>
      <c r="HQS84" s="2"/>
      <c r="HQT84" s="2"/>
      <c r="HQU84" s="2"/>
      <c r="HQV84" s="2"/>
      <c r="HQW84" s="2"/>
      <c r="HQX84" s="2"/>
      <c r="HQY84" s="2"/>
      <c r="HQZ84" s="2"/>
      <c r="HRA84" s="2"/>
      <c r="HRB84" s="2"/>
      <c r="HRC84" s="2"/>
      <c r="HRD84" s="2"/>
      <c r="HRE84" s="2"/>
      <c r="HRF84" s="2"/>
      <c r="HRG84" s="2"/>
      <c r="HRH84" s="2"/>
      <c r="HRI84" s="2"/>
      <c r="HRJ84" s="2"/>
      <c r="HRK84" s="2"/>
      <c r="HRL84" s="2"/>
      <c r="HRM84" s="2"/>
      <c r="HRN84" s="2"/>
      <c r="HRO84" s="2"/>
      <c r="HRP84" s="2"/>
      <c r="HRQ84" s="2"/>
      <c r="HRR84" s="2"/>
      <c r="HRS84" s="2"/>
      <c r="HRT84" s="2"/>
      <c r="HRU84" s="2"/>
      <c r="HRV84" s="2"/>
      <c r="HRW84" s="2"/>
      <c r="HRX84" s="2"/>
      <c r="HRY84" s="2"/>
      <c r="HRZ84" s="2"/>
      <c r="HSA84" s="2"/>
      <c r="HSB84" s="2"/>
      <c r="HSC84" s="2"/>
      <c r="HSD84" s="2"/>
      <c r="HSE84" s="2"/>
      <c r="HSF84" s="2"/>
      <c r="HSG84" s="2"/>
      <c r="HSH84" s="2"/>
      <c r="HSI84" s="2"/>
      <c r="HSJ84" s="2"/>
      <c r="HSK84" s="2"/>
      <c r="HSL84" s="2"/>
      <c r="HSM84" s="2"/>
      <c r="HSN84" s="2"/>
      <c r="HSO84" s="2"/>
      <c r="HSP84" s="2"/>
      <c r="HSQ84" s="2"/>
      <c r="HSR84" s="2"/>
      <c r="HSS84" s="2"/>
      <c r="HST84" s="2"/>
      <c r="HSU84" s="2"/>
      <c r="HSV84" s="2"/>
      <c r="HSW84" s="2"/>
      <c r="HSX84" s="2"/>
      <c r="HSY84" s="2"/>
      <c r="HSZ84" s="2"/>
      <c r="HTA84" s="2"/>
      <c r="HTB84" s="2"/>
      <c r="HTC84" s="2"/>
      <c r="HTD84" s="2"/>
      <c r="HTE84" s="2"/>
      <c r="HTF84" s="2"/>
      <c r="HTG84" s="2"/>
      <c r="HTH84" s="2"/>
      <c r="HTI84" s="2"/>
      <c r="HTJ84" s="2"/>
      <c r="HTK84" s="2"/>
      <c r="HTL84" s="2"/>
      <c r="HTM84" s="2"/>
      <c r="HTN84" s="2"/>
      <c r="HTO84" s="2"/>
      <c r="HTP84" s="2"/>
      <c r="HTQ84" s="2"/>
      <c r="HTR84" s="2"/>
      <c r="HTS84" s="2"/>
      <c r="HTT84" s="2"/>
      <c r="HTU84" s="2"/>
      <c r="HTV84" s="2"/>
      <c r="HTW84" s="2"/>
      <c r="HTX84" s="2"/>
      <c r="HTY84" s="2"/>
      <c r="HTZ84" s="2"/>
      <c r="HUA84" s="2"/>
      <c r="HUB84" s="2"/>
      <c r="HUC84" s="2"/>
      <c r="HUD84" s="2"/>
      <c r="HUE84" s="2"/>
      <c r="HUF84" s="2"/>
      <c r="HUG84" s="2"/>
      <c r="HUH84" s="2"/>
      <c r="HUI84" s="2"/>
      <c r="HUJ84" s="2"/>
      <c r="HUK84" s="2"/>
      <c r="HUL84" s="2"/>
      <c r="HUM84" s="2"/>
      <c r="HUN84" s="2"/>
      <c r="HUO84" s="2"/>
      <c r="HUP84" s="2"/>
      <c r="HUQ84" s="2"/>
      <c r="HUR84" s="2"/>
      <c r="HUS84" s="2"/>
      <c r="HUT84" s="2"/>
      <c r="HUU84" s="2"/>
      <c r="HUV84" s="2"/>
      <c r="HUW84" s="2"/>
      <c r="HUX84" s="2"/>
      <c r="HUY84" s="2"/>
      <c r="HUZ84" s="2"/>
      <c r="HVA84" s="2"/>
      <c r="HVB84" s="2"/>
      <c r="HVC84" s="2"/>
      <c r="HVD84" s="2"/>
      <c r="HVE84" s="2"/>
      <c r="HVF84" s="2"/>
      <c r="HVG84" s="2"/>
      <c r="HVH84" s="2"/>
      <c r="HVI84" s="2"/>
      <c r="HVJ84" s="2"/>
      <c r="HVK84" s="2"/>
      <c r="HVL84" s="2"/>
      <c r="HVM84" s="2"/>
      <c r="HVN84" s="2"/>
      <c r="HVO84" s="2"/>
      <c r="HVP84" s="2"/>
      <c r="HVQ84" s="2"/>
      <c r="HVR84" s="2"/>
      <c r="HVS84" s="2"/>
      <c r="HVT84" s="2"/>
      <c r="HVU84" s="2"/>
      <c r="HVV84" s="2"/>
      <c r="HVW84" s="2"/>
      <c r="HVX84" s="2"/>
      <c r="HVY84" s="2"/>
      <c r="HVZ84" s="2"/>
      <c r="HWA84" s="2"/>
      <c r="HWB84" s="2"/>
      <c r="HWC84" s="2"/>
      <c r="HWD84" s="2"/>
      <c r="HWE84" s="2"/>
      <c r="HWF84" s="2"/>
      <c r="HWG84" s="2"/>
      <c r="HWH84" s="2"/>
      <c r="HWI84" s="2"/>
      <c r="HWJ84" s="2"/>
      <c r="HWK84" s="2"/>
      <c r="HWL84" s="2"/>
      <c r="HWM84" s="2"/>
      <c r="HWN84" s="2"/>
      <c r="HWO84" s="2"/>
      <c r="HWP84" s="2"/>
      <c r="HWQ84" s="2"/>
      <c r="HWR84" s="2"/>
      <c r="HWS84" s="2"/>
      <c r="HWT84" s="2"/>
      <c r="HWU84" s="2"/>
      <c r="HWV84" s="2"/>
      <c r="HWW84" s="2"/>
      <c r="HWX84" s="2"/>
      <c r="HWY84" s="2"/>
      <c r="HWZ84" s="2"/>
      <c r="HXA84" s="2"/>
      <c r="HXB84" s="2"/>
      <c r="HXC84" s="2"/>
      <c r="HXD84" s="2"/>
      <c r="HXE84" s="2"/>
      <c r="HXF84" s="2"/>
      <c r="HXG84" s="2"/>
      <c r="HXH84" s="2"/>
      <c r="HXI84" s="2"/>
      <c r="HXJ84" s="2"/>
      <c r="HXK84" s="2"/>
      <c r="HXL84" s="2"/>
      <c r="HXM84" s="2"/>
      <c r="HXN84" s="2"/>
      <c r="HXO84" s="2"/>
      <c r="HXP84" s="2"/>
      <c r="HXQ84" s="2"/>
      <c r="HXR84" s="2"/>
      <c r="HXS84" s="2"/>
      <c r="HXT84" s="2"/>
      <c r="HXU84" s="2"/>
      <c r="HXV84" s="2"/>
      <c r="HXW84" s="2"/>
      <c r="HXX84" s="2"/>
      <c r="HXY84" s="2"/>
      <c r="HXZ84" s="2"/>
      <c r="HYA84" s="2"/>
      <c r="HYB84" s="2"/>
      <c r="HYC84" s="2"/>
      <c r="HYD84" s="2"/>
      <c r="HYE84" s="2"/>
      <c r="HYF84" s="2"/>
      <c r="HYG84" s="2"/>
      <c r="HYH84" s="2"/>
      <c r="HYI84" s="2"/>
      <c r="HYJ84" s="2"/>
      <c r="HYK84" s="2"/>
      <c r="HYL84" s="2"/>
      <c r="HYM84" s="2"/>
      <c r="HYN84" s="2"/>
      <c r="HYO84" s="2"/>
      <c r="HYP84" s="2"/>
      <c r="HYQ84" s="2"/>
      <c r="HYR84" s="2"/>
      <c r="HYS84" s="2"/>
      <c r="HYT84" s="2"/>
      <c r="HYU84" s="2"/>
      <c r="HYV84" s="2"/>
      <c r="HYW84" s="2"/>
      <c r="HYX84" s="2"/>
      <c r="HYY84" s="2"/>
      <c r="HYZ84" s="2"/>
      <c r="HZA84" s="2"/>
      <c r="HZB84" s="2"/>
      <c r="HZC84" s="2"/>
      <c r="HZD84" s="2"/>
      <c r="HZE84" s="2"/>
      <c r="HZF84" s="2"/>
      <c r="HZG84" s="2"/>
      <c r="HZH84" s="2"/>
      <c r="HZI84" s="2"/>
      <c r="HZJ84" s="2"/>
      <c r="HZK84" s="2"/>
      <c r="HZL84" s="2"/>
      <c r="HZM84" s="2"/>
      <c r="HZN84" s="2"/>
      <c r="HZO84" s="2"/>
      <c r="HZP84" s="2"/>
      <c r="HZQ84" s="2"/>
      <c r="HZR84" s="2"/>
      <c r="HZS84" s="2"/>
      <c r="HZT84" s="2"/>
      <c r="HZU84" s="2"/>
      <c r="HZV84" s="2"/>
      <c r="HZW84" s="2"/>
      <c r="HZX84" s="2"/>
      <c r="HZY84" s="2"/>
      <c r="HZZ84" s="2"/>
      <c r="IAA84" s="2"/>
      <c r="IAB84" s="2"/>
      <c r="IAC84" s="2"/>
      <c r="IAD84" s="2"/>
      <c r="IAE84" s="2"/>
      <c r="IAF84" s="2"/>
      <c r="IAG84" s="2"/>
      <c r="IAH84" s="2"/>
      <c r="IAI84" s="2"/>
      <c r="IAJ84" s="2"/>
      <c r="IAK84" s="2"/>
      <c r="IAL84" s="2"/>
      <c r="IAM84" s="2"/>
      <c r="IAN84" s="2"/>
      <c r="IAO84" s="2"/>
      <c r="IAP84" s="2"/>
      <c r="IAQ84" s="2"/>
      <c r="IAR84" s="2"/>
      <c r="IAS84" s="2"/>
      <c r="IAT84" s="2"/>
      <c r="IAU84" s="2"/>
      <c r="IAV84" s="2"/>
      <c r="IAW84" s="2"/>
      <c r="IAX84" s="2"/>
      <c r="IAY84" s="2"/>
      <c r="IAZ84" s="2"/>
      <c r="IBA84" s="2"/>
      <c r="IBB84" s="2"/>
      <c r="IBC84" s="2"/>
      <c r="IBD84" s="2"/>
      <c r="IBE84" s="2"/>
      <c r="IBF84" s="2"/>
      <c r="IBG84" s="2"/>
      <c r="IBH84" s="2"/>
      <c r="IBI84" s="2"/>
      <c r="IBJ84" s="2"/>
      <c r="IBK84" s="2"/>
      <c r="IBL84" s="2"/>
      <c r="IBM84" s="2"/>
      <c r="IBN84" s="2"/>
      <c r="IBO84" s="2"/>
      <c r="IBP84" s="2"/>
      <c r="IBQ84" s="2"/>
      <c r="IBR84" s="2"/>
      <c r="IBS84" s="2"/>
      <c r="IBT84" s="2"/>
      <c r="IBU84" s="2"/>
      <c r="IBV84" s="2"/>
      <c r="IBW84" s="2"/>
      <c r="IBX84" s="2"/>
      <c r="IBY84" s="2"/>
      <c r="IBZ84" s="2"/>
      <c r="ICA84" s="2"/>
      <c r="ICB84" s="2"/>
      <c r="ICC84" s="2"/>
      <c r="ICD84" s="2"/>
      <c r="ICE84" s="2"/>
      <c r="ICF84" s="2"/>
      <c r="ICG84" s="2"/>
      <c r="ICH84" s="2"/>
      <c r="ICI84" s="2"/>
      <c r="ICJ84" s="2"/>
      <c r="ICK84" s="2"/>
      <c r="ICL84" s="2"/>
      <c r="ICM84" s="2"/>
      <c r="ICN84" s="2"/>
      <c r="ICO84" s="2"/>
      <c r="ICP84" s="2"/>
      <c r="ICQ84" s="2"/>
      <c r="ICR84" s="2"/>
      <c r="ICS84" s="2"/>
      <c r="ICT84" s="2"/>
      <c r="ICU84" s="2"/>
      <c r="ICV84" s="2"/>
      <c r="ICW84" s="2"/>
      <c r="ICX84" s="2"/>
      <c r="ICY84" s="2"/>
      <c r="ICZ84" s="2"/>
      <c r="IDA84" s="2"/>
      <c r="IDB84" s="2"/>
      <c r="IDC84" s="2"/>
      <c r="IDD84" s="2"/>
      <c r="IDE84" s="2"/>
      <c r="IDF84" s="2"/>
      <c r="IDG84" s="2"/>
      <c r="IDH84" s="2"/>
      <c r="IDI84" s="2"/>
      <c r="IDJ84" s="2"/>
      <c r="IDK84" s="2"/>
      <c r="IDL84" s="2"/>
      <c r="IDM84" s="2"/>
      <c r="IDN84" s="2"/>
      <c r="IDO84" s="2"/>
      <c r="IDP84" s="2"/>
      <c r="IDQ84" s="2"/>
      <c r="IDR84" s="2"/>
      <c r="IDS84" s="2"/>
      <c r="IDT84" s="2"/>
      <c r="IDU84" s="2"/>
      <c r="IDV84" s="2"/>
      <c r="IDW84" s="2"/>
      <c r="IDX84" s="2"/>
      <c r="IDY84" s="2"/>
      <c r="IDZ84" s="2"/>
      <c r="IEA84" s="2"/>
      <c r="IEB84" s="2"/>
      <c r="IEC84" s="2"/>
      <c r="IED84" s="2"/>
      <c r="IEE84" s="2"/>
      <c r="IEF84" s="2"/>
      <c r="IEG84" s="2"/>
      <c r="IEH84" s="2"/>
      <c r="IEI84" s="2"/>
      <c r="IEJ84" s="2"/>
      <c r="IEK84" s="2"/>
      <c r="IEL84" s="2"/>
      <c r="IEM84" s="2"/>
      <c r="IEN84" s="2"/>
      <c r="IEO84" s="2"/>
      <c r="IEP84" s="2"/>
      <c r="IEQ84" s="2"/>
      <c r="IER84" s="2"/>
      <c r="IES84" s="2"/>
      <c r="IET84" s="2"/>
      <c r="IEU84" s="2"/>
      <c r="IEV84" s="2"/>
      <c r="IEW84" s="2"/>
      <c r="IEX84" s="2"/>
      <c r="IEY84" s="2"/>
      <c r="IEZ84" s="2"/>
      <c r="IFA84" s="2"/>
      <c r="IFB84" s="2"/>
      <c r="IFC84" s="2"/>
      <c r="IFD84" s="2"/>
      <c r="IFE84" s="2"/>
      <c r="IFF84" s="2"/>
      <c r="IFG84" s="2"/>
      <c r="IFH84" s="2"/>
      <c r="IFI84" s="2"/>
      <c r="IFJ84" s="2"/>
      <c r="IFK84" s="2"/>
      <c r="IFL84" s="2"/>
      <c r="IFM84" s="2"/>
      <c r="IFN84" s="2"/>
      <c r="IFO84" s="2"/>
      <c r="IFP84" s="2"/>
      <c r="IFQ84" s="2"/>
      <c r="IFR84" s="2"/>
      <c r="IFS84" s="2"/>
      <c r="IFT84" s="2"/>
      <c r="IFU84" s="2"/>
      <c r="IFV84" s="2"/>
      <c r="IFW84" s="2"/>
      <c r="IFX84" s="2"/>
      <c r="IFY84" s="2"/>
      <c r="IFZ84" s="2"/>
      <c r="IGA84" s="2"/>
      <c r="IGB84" s="2"/>
      <c r="IGC84" s="2"/>
      <c r="IGD84" s="2"/>
      <c r="IGE84" s="2"/>
      <c r="IGF84" s="2"/>
      <c r="IGG84" s="2"/>
      <c r="IGH84" s="2"/>
      <c r="IGI84" s="2"/>
      <c r="IGJ84" s="2"/>
      <c r="IGK84" s="2"/>
      <c r="IGL84" s="2"/>
      <c r="IGM84" s="2"/>
      <c r="IGN84" s="2"/>
      <c r="IGO84" s="2"/>
      <c r="IGP84" s="2"/>
      <c r="IGQ84" s="2"/>
      <c r="IGR84" s="2"/>
      <c r="IGS84" s="2"/>
      <c r="IGT84" s="2"/>
      <c r="IGU84" s="2"/>
      <c r="IGV84" s="2"/>
      <c r="IGW84" s="2"/>
      <c r="IGX84" s="2"/>
      <c r="IGY84" s="2"/>
      <c r="IGZ84" s="2"/>
      <c r="IHA84" s="2"/>
      <c r="IHB84" s="2"/>
      <c r="IHC84" s="2"/>
      <c r="IHD84" s="2"/>
      <c r="IHE84" s="2"/>
      <c r="IHF84" s="2"/>
      <c r="IHG84" s="2"/>
      <c r="IHH84" s="2"/>
      <c r="IHI84" s="2"/>
      <c r="IHJ84" s="2"/>
      <c r="IHK84" s="2"/>
      <c r="IHL84" s="2"/>
      <c r="IHM84" s="2"/>
      <c r="IHN84" s="2"/>
      <c r="IHO84" s="2"/>
      <c r="IHP84" s="2"/>
      <c r="IHQ84" s="2"/>
      <c r="IHR84" s="2"/>
      <c r="IHS84" s="2"/>
      <c r="IHT84" s="2"/>
      <c r="IHU84" s="2"/>
      <c r="IHV84" s="2"/>
      <c r="IHW84" s="2"/>
      <c r="IHX84" s="2"/>
      <c r="IHY84" s="2"/>
      <c r="IHZ84" s="2"/>
      <c r="IIA84" s="2"/>
      <c r="IIB84" s="2"/>
      <c r="IIC84" s="2"/>
      <c r="IID84" s="2"/>
      <c r="IIE84" s="2"/>
      <c r="IIF84" s="2"/>
      <c r="IIG84" s="2"/>
      <c r="IIH84" s="2"/>
      <c r="III84" s="2"/>
      <c r="IIJ84" s="2"/>
      <c r="IIK84" s="2"/>
      <c r="IIL84" s="2"/>
      <c r="IIM84" s="2"/>
      <c r="IIN84" s="2"/>
      <c r="IIO84" s="2"/>
      <c r="IIP84" s="2"/>
      <c r="IIQ84" s="2"/>
      <c r="IIR84" s="2"/>
      <c r="IIS84" s="2"/>
      <c r="IIT84" s="2"/>
      <c r="IIU84" s="2"/>
      <c r="IIV84" s="2"/>
      <c r="IIW84" s="2"/>
      <c r="IIX84" s="2"/>
      <c r="IIY84" s="2"/>
      <c r="IIZ84" s="2"/>
      <c r="IJA84" s="2"/>
      <c r="IJB84" s="2"/>
      <c r="IJC84" s="2"/>
      <c r="IJD84" s="2"/>
      <c r="IJE84" s="2"/>
      <c r="IJF84" s="2"/>
      <c r="IJG84" s="2"/>
      <c r="IJH84" s="2"/>
      <c r="IJI84" s="2"/>
      <c r="IJJ84" s="2"/>
      <c r="IJK84" s="2"/>
      <c r="IJL84" s="2"/>
      <c r="IJM84" s="2"/>
      <c r="IJN84" s="2"/>
      <c r="IJO84" s="2"/>
      <c r="IJP84" s="2"/>
      <c r="IJQ84" s="2"/>
      <c r="IJR84" s="2"/>
      <c r="IJS84" s="2"/>
      <c r="IJT84" s="2"/>
      <c r="IJU84" s="2"/>
      <c r="IJV84" s="2"/>
      <c r="IJW84" s="2"/>
      <c r="IJX84" s="2"/>
      <c r="IJY84" s="2"/>
      <c r="IJZ84" s="2"/>
      <c r="IKA84" s="2"/>
      <c r="IKB84" s="2"/>
      <c r="IKC84" s="2"/>
      <c r="IKD84" s="2"/>
      <c r="IKE84" s="2"/>
      <c r="IKF84" s="2"/>
      <c r="IKG84" s="2"/>
      <c r="IKH84" s="2"/>
      <c r="IKI84" s="2"/>
      <c r="IKJ84" s="2"/>
      <c r="IKK84" s="2"/>
      <c r="IKL84" s="2"/>
      <c r="IKM84" s="2"/>
      <c r="IKN84" s="2"/>
      <c r="IKO84" s="2"/>
      <c r="IKP84" s="2"/>
      <c r="IKQ84" s="2"/>
      <c r="IKR84" s="2"/>
      <c r="IKS84" s="2"/>
      <c r="IKT84" s="2"/>
      <c r="IKU84" s="2"/>
      <c r="IKV84" s="2"/>
      <c r="IKW84" s="2"/>
      <c r="IKX84" s="2"/>
      <c r="IKY84" s="2"/>
      <c r="IKZ84" s="2"/>
      <c r="ILA84" s="2"/>
      <c r="ILB84" s="2"/>
      <c r="ILC84" s="2"/>
      <c r="ILD84" s="2"/>
      <c r="ILE84" s="2"/>
      <c r="ILF84" s="2"/>
      <c r="ILG84" s="2"/>
      <c r="ILH84" s="2"/>
      <c r="ILI84" s="2"/>
      <c r="ILJ84" s="2"/>
      <c r="ILK84" s="2"/>
      <c r="ILL84" s="2"/>
      <c r="ILM84" s="2"/>
      <c r="ILN84" s="2"/>
      <c r="ILO84" s="2"/>
      <c r="ILP84" s="2"/>
      <c r="ILQ84" s="2"/>
      <c r="ILR84" s="2"/>
      <c r="ILS84" s="2"/>
      <c r="ILT84" s="2"/>
      <c r="ILU84" s="2"/>
      <c r="ILV84" s="2"/>
      <c r="ILW84" s="2"/>
      <c r="ILX84" s="2"/>
      <c r="ILY84" s="2"/>
      <c r="ILZ84" s="2"/>
      <c r="IMA84" s="2"/>
      <c r="IMB84" s="2"/>
      <c r="IMC84" s="2"/>
      <c r="IMD84" s="2"/>
      <c r="IME84" s="2"/>
      <c r="IMF84" s="2"/>
      <c r="IMG84" s="2"/>
      <c r="IMH84" s="2"/>
      <c r="IMI84" s="2"/>
      <c r="IMJ84" s="2"/>
      <c r="IMK84" s="2"/>
      <c r="IML84" s="2"/>
      <c r="IMM84" s="2"/>
      <c r="IMN84" s="2"/>
      <c r="IMO84" s="2"/>
      <c r="IMP84" s="2"/>
      <c r="IMQ84" s="2"/>
      <c r="IMR84" s="2"/>
      <c r="IMS84" s="2"/>
      <c r="IMT84" s="2"/>
      <c r="IMU84" s="2"/>
      <c r="IMV84" s="2"/>
      <c r="IMW84" s="2"/>
      <c r="IMX84" s="2"/>
      <c r="IMY84" s="2"/>
      <c r="IMZ84" s="2"/>
      <c r="INA84" s="2"/>
      <c r="INB84" s="2"/>
      <c r="INC84" s="2"/>
      <c r="IND84" s="2"/>
      <c r="INE84" s="2"/>
      <c r="INF84" s="2"/>
      <c r="ING84" s="2"/>
      <c r="INH84" s="2"/>
      <c r="INI84" s="2"/>
      <c r="INJ84" s="2"/>
      <c r="INK84" s="2"/>
      <c r="INL84" s="2"/>
      <c r="INM84" s="2"/>
      <c r="INN84" s="2"/>
      <c r="INO84" s="2"/>
      <c r="INP84" s="2"/>
      <c r="INQ84" s="2"/>
      <c r="INR84" s="2"/>
      <c r="INS84" s="2"/>
      <c r="INT84" s="2"/>
      <c r="INU84" s="2"/>
      <c r="INV84" s="2"/>
      <c r="INW84" s="2"/>
      <c r="INX84" s="2"/>
      <c r="INY84" s="2"/>
      <c r="INZ84" s="2"/>
      <c r="IOA84" s="2"/>
      <c r="IOB84" s="2"/>
      <c r="IOC84" s="2"/>
      <c r="IOD84" s="2"/>
      <c r="IOE84" s="2"/>
      <c r="IOF84" s="2"/>
      <c r="IOG84" s="2"/>
      <c r="IOH84" s="2"/>
      <c r="IOI84" s="2"/>
      <c r="IOJ84" s="2"/>
      <c r="IOK84" s="2"/>
      <c r="IOL84" s="2"/>
      <c r="IOM84" s="2"/>
      <c r="ION84" s="2"/>
      <c r="IOO84" s="2"/>
      <c r="IOP84" s="2"/>
      <c r="IOQ84" s="2"/>
      <c r="IOR84" s="2"/>
      <c r="IOS84" s="2"/>
      <c r="IOT84" s="2"/>
      <c r="IOU84" s="2"/>
      <c r="IOV84" s="2"/>
      <c r="IOW84" s="2"/>
      <c r="IOX84" s="2"/>
      <c r="IOY84" s="2"/>
      <c r="IOZ84" s="2"/>
      <c r="IPA84" s="2"/>
      <c r="IPB84" s="2"/>
      <c r="IPC84" s="2"/>
      <c r="IPD84" s="2"/>
      <c r="IPE84" s="2"/>
      <c r="IPF84" s="2"/>
      <c r="IPG84" s="2"/>
      <c r="IPH84" s="2"/>
      <c r="IPI84" s="2"/>
      <c r="IPJ84" s="2"/>
      <c r="IPK84" s="2"/>
      <c r="IPL84" s="2"/>
      <c r="IPM84" s="2"/>
      <c r="IPN84" s="2"/>
      <c r="IPO84" s="2"/>
      <c r="IPP84" s="2"/>
      <c r="IPQ84" s="2"/>
      <c r="IPR84" s="2"/>
      <c r="IPS84" s="2"/>
      <c r="IPT84" s="2"/>
      <c r="IPU84" s="2"/>
      <c r="IPV84" s="2"/>
      <c r="IPW84" s="2"/>
      <c r="IPX84" s="2"/>
      <c r="IPY84" s="2"/>
      <c r="IPZ84" s="2"/>
      <c r="IQA84" s="2"/>
      <c r="IQB84" s="2"/>
      <c r="IQC84" s="2"/>
      <c r="IQD84" s="2"/>
      <c r="IQE84" s="2"/>
      <c r="IQF84" s="2"/>
      <c r="IQG84" s="2"/>
      <c r="IQH84" s="2"/>
      <c r="IQI84" s="2"/>
      <c r="IQJ84" s="2"/>
      <c r="IQK84" s="2"/>
      <c r="IQL84" s="2"/>
      <c r="IQM84" s="2"/>
      <c r="IQN84" s="2"/>
      <c r="IQO84" s="2"/>
      <c r="IQP84" s="2"/>
      <c r="IQQ84" s="2"/>
      <c r="IQR84" s="2"/>
      <c r="IQS84" s="2"/>
      <c r="IQT84" s="2"/>
      <c r="IQU84" s="2"/>
      <c r="IQV84" s="2"/>
      <c r="IQW84" s="2"/>
      <c r="IQX84" s="2"/>
      <c r="IQY84" s="2"/>
      <c r="IQZ84" s="2"/>
      <c r="IRA84" s="2"/>
      <c r="IRB84" s="2"/>
      <c r="IRC84" s="2"/>
      <c r="IRD84" s="2"/>
      <c r="IRE84" s="2"/>
      <c r="IRF84" s="2"/>
      <c r="IRG84" s="2"/>
      <c r="IRH84" s="2"/>
      <c r="IRI84" s="2"/>
      <c r="IRJ84" s="2"/>
      <c r="IRK84" s="2"/>
      <c r="IRL84" s="2"/>
      <c r="IRM84" s="2"/>
      <c r="IRN84" s="2"/>
      <c r="IRO84" s="2"/>
      <c r="IRP84" s="2"/>
      <c r="IRQ84" s="2"/>
      <c r="IRR84" s="2"/>
      <c r="IRS84" s="2"/>
      <c r="IRT84" s="2"/>
      <c r="IRU84" s="2"/>
      <c r="IRV84" s="2"/>
      <c r="IRW84" s="2"/>
      <c r="IRX84" s="2"/>
      <c r="IRY84" s="2"/>
      <c r="IRZ84" s="2"/>
      <c r="ISA84" s="2"/>
      <c r="ISB84" s="2"/>
      <c r="ISC84" s="2"/>
      <c r="ISD84" s="2"/>
      <c r="ISE84" s="2"/>
      <c r="ISF84" s="2"/>
      <c r="ISG84" s="2"/>
      <c r="ISH84" s="2"/>
      <c r="ISI84" s="2"/>
      <c r="ISJ84" s="2"/>
      <c r="ISK84" s="2"/>
      <c r="ISL84" s="2"/>
      <c r="ISM84" s="2"/>
      <c r="ISN84" s="2"/>
      <c r="ISO84" s="2"/>
      <c r="ISP84" s="2"/>
      <c r="ISQ84" s="2"/>
      <c r="ISR84" s="2"/>
      <c r="ISS84" s="2"/>
      <c r="IST84" s="2"/>
      <c r="ISU84" s="2"/>
      <c r="ISV84" s="2"/>
      <c r="ISW84" s="2"/>
      <c r="ISX84" s="2"/>
      <c r="ISY84" s="2"/>
      <c r="ISZ84" s="2"/>
      <c r="ITA84" s="2"/>
      <c r="ITB84" s="2"/>
      <c r="ITC84" s="2"/>
      <c r="ITD84" s="2"/>
      <c r="ITE84" s="2"/>
      <c r="ITF84" s="2"/>
      <c r="ITG84" s="2"/>
      <c r="ITH84" s="2"/>
      <c r="ITI84" s="2"/>
      <c r="ITJ84" s="2"/>
      <c r="ITK84" s="2"/>
      <c r="ITL84" s="2"/>
      <c r="ITM84" s="2"/>
      <c r="ITN84" s="2"/>
      <c r="ITO84" s="2"/>
      <c r="ITP84" s="2"/>
      <c r="ITQ84" s="2"/>
      <c r="ITR84" s="2"/>
      <c r="ITS84" s="2"/>
      <c r="ITT84" s="2"/>
      <c r="ITU84" s="2"/>
      <c r="ITV84" s="2"/>
      <c r="ITW84" s="2"/>
      <c r="ITX84" s="2"/>
      <c r="ITY84" s="2"/>
      <c r="ITZ84" s="2"/>
      <c r="IUA84" s="2"/>
      <c r="IUB84" s="2"/>
      <c r="IUC84" s="2"/>
      <c r="IUD84" s="2"/>
      <c r="IUE84" s="2"/>
      <c r="IUF84" s="2"/>
      <c r="IUG84" s="2"/>
      <c r="IUH84" s="2"/>
      <c r="IUI84" s="2"/>
      <c r="IUJ84" s="2"/>
      <c r="IUK84" s="2"/>
      <c r="IUL84" s="2"/>
      <c r="IUM84" s="2"/>
      <c r="IUN84" s="2"/>
      <c r="IUO84" s="2"/>
      <c r="IUP84" s="2"/>
      <c r="IUQ84" s="2"/>
      <c r="IUR84" s="2"/>
      <c r="IUS84" s="2"/>
      <c r="IUT84" s="2"/>
      <c r="IUU84" s="2"/>
      <c r="IUV84" s="2"/>
      <c r="IUW84" s="2"/>
      <c r="IUX84" s="2"/>
      <c r="IUY84" s="2"/>
      <c r="IUZ84" s="2"/>
      <c r="IVA84" s="2"/>
      <c r="IVB84" s="2"/>
      <c r="IVC84" s="2"/>
      <c r="IVD84" s="2"/>
      <c r="IVE84" s="2"/>
      <c r="IVF84" s="2"/>
      <c r="IVG84" s="2"/>
      <c r="IVH84" s="2"/>
      <c r="IVI84" s="2"/>
      <c r="IVJ84" s="2"/>
      <c r="IVK84" s="2"/>
      <c r="IVL84" s="2"/>
      <c r="IVM84" s="2"/>
      <c r="IVN84" s="2"/>
      <c r="IVO84" s="2"/>
      <c r="IVP84" s="2"/>
      <c r="IVQ84" s="2"/>
      <c r="IVR84" s="2"/>
      <c r="IVS84" s="2"/>
      <c r="IVT84" s="2"/>
      <c r="IVU84" s="2"/>
      <c r="IVV84" s="2"/>
      <c r="IVW84" s="2"/>
      <c r="IVX84" s="2"/>
      <c r="IVY84" s="2"/>
      <c r="IVZ84" s="2"/>
      <c r="IWA84" s="2"/>
      <c r="IWB84" s="2"/>
      <c r="IWC84" s="2"/>
      <c r="IWD84" s="2"/>
      <c r="IWE84" s="2"/>
      <c r="IWF84" s="2"/>
      <c r="IWG84" s="2"/>
      <c r="IWH84" s="2"/>
      <c r="IWI84" s="2"/>
      <c r="IWJ84" s="2"/>
      <c r="IWK84" s="2"/>
      <c r="IWL84" s="2"/>
      <c r="IWM84" s="2"/>
      <c r="IWN84" s="2"/>
      <c r="IWO84" s="2"/>
      <c r="IWP84" s="2"/>
      <c r="IWQ84" s="2"/>
      <c r="IWR84" s="2"/>
      <c r="IWS84" s="2"/>
      <c r="IWT84" s="2"/>
      <c r="IWU84" s="2"/>
      <c r="IWV84" s="2"/>
      <c r="IWW84" s="2"/>
      <c r="IWX84" s="2"/>
      <c r="IWY84" s="2"/>
      <c r="IWZ84" s="2"/>
      <c r="IXA84" s="2"/>
      <c r="IXB84" s="2"/>
      <c r="IXC84" s="2"/>
      <c r="IXD84" s="2"/>
      <c r="IXE84" s="2"/>
      <c r="IXF84" s="2"/>
      <c r="IXG84" s="2"/>
      <c r="IXH84" s="2"/>
      <c r="IXI84" s="2"/>
      <c r="IXJ84" s="2"/>
      <c r="IXK84" s="2"/>
      <c r="IXL84" s="2"/>
      <c r="IXM84" s="2"/>
      <c r="IXN84" s="2"/>
      <c r="IXO84" s="2"/>
      <c r="IXP84" s="2"/>
      <c r="IXQ84" s="2"/>
      <c r="IXR84" s="2"/>
      <c r="IXS84" s="2"/>
      <c r="IXT84" s="2"/>
      <c r="IXU84" s="2"/>
      <c r="IXV84" s="2"/>
      <c r="IXW84" s="2"/>
      <c r="IXX84" s="2"/>
      <c r="IXY84" s="2"/>
      <c r="IXZ84" s="2"/>
      <c r="IYA84" s="2"/>
      <c r="IYB84" s="2"/>
      <c r="IYC84" s="2"/>
      <c r="IYD84" s="2"/>
      <c r="IYE84" s="2"/>
      <c r="IYF84" s="2"/>
      <c r="IYG84" s="2"/>
      <c r="IYH84" s="2"/>
      <c r="IYI84" s="2"/>
      <c r="IYJ84" s="2"/>
      <c r="IYK84" s="2"/>
      <c r="IYL84" s="2"/>
      <c r="IYM84" s="2"/>
      <c r="IYN84" s="2"/>
      <c r="IYO84" s="2"/>
      <c r="IYP84" s="2"/>
      <c r="IYQ84" s="2"/>
      <c r="IYR84" s="2"/>
      <c r="IYS84" s="2"/>
      <c r="IYT84" s="2"/>
      <c r="IYU84" s="2"/>
      <c r="IYV84" s="2"/>
      <c r="IYW84" s="2"/>
      <c r="IYX84" s="2"/>
      <c r="IYY84" s="2"/>
      <c r="IYZ84" s="2"/>
      <c r="IZA84" s="2"/>
      <c r="IZB84" s="2"/>
      <c r="IZC84" s="2"/>
      <c r="IZD84" s="2"/>
      <c r="IZE84" s="2"/>
      <c r="IZF84" s="2"/>
      <c r="IZG84" s="2"/>
      <c r="IZH84" s="2"/>
      <c r="IZI84" s="2"/>
      <c r="IZJ84" s="2"/>
      <c r="IZK84" s="2"/>
      <c r="IZL84" s="2"/>
      <c r="IZM84" s="2"/>
      <c r="IZN84" s="2"/>
      <c r="IZO84" s="2"/>
      <c r="IZP84" s="2"/>
      <c r="IZQ84" s="2"/>
      <c r="IZR84" s="2"/>
      <c r="IZS84" s="2"/>
      <c r="IZT84" s="2"/>
      <c r="IZU84" s="2"/>
      <c r="IZV84" s="2"/>
      <c r="IZW84" s="2"/>
      <c r="IZX84" s="2"/>
      <c r="IZY84" s="2"/>
      <c r="IZZ84" s="2"/>
      <c r="JAA84" s="2"/>
      <c r="JAB84" s="2"/>
      <c r="JAC84" s="2"/>
      <c r="JAD84" s="2"/>
      <c r="JAE84" s="2"/>
      <c r="JAF84" s="2"/>
      <c r="JAG84" s="2"/>
      <c r="JAH84" s="2"/>
      <c r="JAI84" s="2"/>
      <c r="JAJ84" s="2"/>
      <c r="JAK84" s="2"/>
      <c r="JAL84" s="2"/>
      <c r="JAM84" s="2"/>
      <c r="JAN84" s="2"/>
      <c r="JAO84" s="2"/>
      <c r="JAP84" s="2"/>
      <c r="JAQ84" s="2"/>
      <c r="JAR84" s="2"/>
      <c r="JAS84" s="2"/>
      <c r="JAT84" s="2"/>
      <c r="JAU84" s="2"/>
      <c r="JAV84" s="2"/>
      <c r="JAW84" s="2"/>
      <c r="JAX84" s="2"/>
      <c r="JAY84" s="2"/>
      <c r="JAZ84" s="2"/>
      <c r="JBA84" s="2"/>
      <c r="JBB84" s="2"/>
      <c r="JBC84" s="2"/>
      <c r="JBD84" s="2"/>
      <c r="JBE84" s="2"/>
      <c r="JBF84" s="2"/>
      <c r="JBG84" s="2"/>
      <c r="JBH84" s="2"/>
      <c r="JBI84" s="2"/>
      <c r="JBJ84" s="2"/>
      <c r="JBK84" s="2"/>
      <c r="JBL84" s="2"/>
      <c r="JBM84" s="2"/>
      <c r="JBN84" s="2"/>
      <c r="JBO84" s="2"/>
      <c r="JBP84" s="2"/>
      <c r="JBQ84" s="2"/>
      <c r="JBR84" s="2"/>
      <c r="JBS84" s="2"/>
      <c r="JBT84" s="2"/>
      <c r="JBU84" s="2"/>
      <c r="JBV84" s="2"/>
      <c r="JBW84" s="2"/>
      <c r="JBX84" s="2"/>
      <c r="JBY84" s="2"/>
      <c r="JBZ84" s="2"/>
      <c r="JCA84" s="2"/>
      <c r="JCB84" s="2"/>
      <c r="JCC84" s="2"/>
      <c r="JCD84" s="2"/>
      <c r="JCE84" s="2"/>
      <c r="JCF84" s="2"/>
      <c r="JCG84" s="2"/>
      <c r="JCH84" s="2"/>
      <c r="JCI84" s="2"/>
      <c r="JCJ84" s="2"/>
      <c r="JCK84" s="2"/>
      <c r="JCL84" s="2"/>
      <c r="JCM84" s="2"/>
      <c r="JCN84" s="2"/>
      <c r="JCO84" s="2"/>
      <c r="JCP84" s="2"/>
      <c r="JCQ84" s="2"/>
      <c r="JCR84" s="2"/>
      <c r="JCS84" s="2"/>
      <c r="JCT84" s="2"/>
      <c r="JCU84" s="2"/>
      <c r="JCV84" s="2"/>
      <c r="JCW84" s="2"/>
      <c r="JCX84" s="2"/>
      <c r="JCY84" s="2"/>
      <c r="JCZ84" s="2"/>
      <c r="JDA84" s="2"/>
      <c r="JDB84" s="2"/>
      <c r="JDC84" s="2"/>
      <c r="JDD84" s="2"/>
      <c r="JDE84" s="2"/>
      <c r="JDF84" s="2"/>
      <c r="JDG84" s="2"/>
      <c r="JDH84" s="2"/>
      <c r="JDI84" s="2"/>
      <c r="JDJ84" s="2"/>
      <c r="JDK84" s="2"/>
      <c r="JDL84" s="2"/>
      <c r="JDM84" s="2"/>
      <c r="JDN84" s="2"/>
      <c r="JDO84" s="2"/>
      <c r="JDP84" s="2"/>
      <c r="JDQ84" s="2"/>
      <c r="JDR84" s="2"/>
      <c r="JDS84" s="2"/>
      <c r="JDT84" s="2"/>
      <c r="JDU84" s="2"/>
      <c r="JDV84" s="2"/>
      <c r="JDW84" s="2"/>
      <c r="JDX84" s="2"/>
      <c r="JDY84" s="2"/>
      <c r="JDZ84" s="2"/>
      <c r="JEA84" s="2"/>
      <c r="JEB84" s="2"/>
      <c r="JEC84" s="2"/>
      <c r="JED84" s="2"/>
      <c r="JEE84" s="2"/>
      <c r="JEF84" s="2"/>
      <c r="JEG84" s="2"/>
      <c r="JEH84" s="2"/>
      <c r="JEI84" s="2"/>
      <c r="JEJ84" s="2"/>
      <c r="JEK84" s="2"/>
      <c r="JEL84" s="2"/>
      <c r="JEM84" s="2"/>
      <c r="JEN84" s="2"/>
      <c r="JEO84" s="2"/>
      <c r="JEP84" s="2"/>
      <c r="JEQ84" s="2"/>
      <c r="JER84" s="2"/>
      <c r="JES84" s="2"/>
      <c r="JET84" s="2"/>
      <c r="JEU84" s="2"/>
      <c r="JEV84" s="2"/>
      <c r="JEW84" s="2"/>
      <c r="JEX84" s="2"/>
      <c r="JEY84" s="2"/>
      <c r="JEZ84" s="2"/>
      <c r="JFA84" s="2"/>
      <c r="JFB84" s="2"/>
      <c r="JFC84" s="2"/>
      <c r="JFD84" s="2"/>
      <c r="JFE84" s="2"/>
      <c r="JFF84" s="2"/>
      <c r="JFG84" s="2"/>
      <c r="JFH84" s="2"/>
      <c r="JFI84" s="2"/>
      <c r="JFJ84" s="2"/>
      <c r="JFK84" s="2"/>
      <c r="JFL84" s="2"/>
      <c r="JFM84" s="2"/>
      <c r="JFN84" s="2"/>
      <c r="JFO84" s="2"/>
      <c r="JFP84" s="2"/>
      <c r="JFQ84" s="2"/>
      <c r="JFR84" s="2"/>
      <c r="JFS84" s="2"/>
      <c r="JFT84" s="2"/>
      <c r="JFU84" s="2"/>
      <c r="JFV84" s="2"/>
      <c r="JFW84" s="2"/>
      <c r="JFX84" s="2"/>
      <c r="JFY84" s="2"/>
      <c r="JFZ84" s="2"/>
      <c r="JGA84" s="2"/>
      <c r="JGB84" s="2"/>
      <c r="JGC84" s="2"/>
      <c r="JGD84" s="2"/>
      <c r="JGE84" s="2"/>
      <c r="JGF84" s="2"/>
      <c r="JGG84" s="2"/>
      <c r="JGH84" s="2"/>
      <c r="JGI84" s="2"/>
      <c r="JGJ84" s="2"/>
      <c r="JGK84" s="2"/>
      <c r="JGL84" s="2"/>
      <c r="JGM84" s="2"/>
      <c r="JGN84" s="2"/>
      <c r="JGO84" s="2"/>
      <c r="JGP84" s="2"/>
      <c r="JGQ84" s="2"/>
      <c r="JGR84" s="2"/>
      <c r="JGS84" s="2"/>
      <c r="JGT84" s="2"/>
      <c r="JGU84" s="2"/>
      <c r="JGV84" s="2"/>
      <c r="JGW84" s="2"/>
      <c r="JGX84" s="2"/>
      <c r="JGY84" s="2"/>
      <c r="JGZ84" s="2"/>
      <c r="JHA84" s="2"/>
      <c r="JHB84" s="2"/>
      <c r="JHC84" s="2"/>
      <c r="JHD84" s="2"/>
      <c r="JHE84" s="2"/>
      <c r="JHF84" s="2"/>
      <c r="JHG84" s="2"/>
      <c r="JHH84" s="2"/>
      <c r="JHI84" s="2"/>
      <c r="JHJ84" s="2"/>
      <c r="JHK84" s="2"/>
      <c r="JHL84" s="2"/>
      <c r="JHM84" s="2"/>
      <c r="JHN84" s="2"/>
      <c r="JHO84" s="2"/>
      <c r="JHP84" s="2"/>
      <c r="JHQ84" s="2"/>
      <c r="JHR84" s="2"/>
      <c r="JHS84" s="2"/>
      <c r="JHT84" s="2"/>
      <c r="JHU84" s="2"/>
      <c r="JHV84" s="2"/>
      <c r="JHW84" s="2"/>
      <c r="JHX84" s="2"/>
      <c r="JHY84" s="2"/>
      <c r="JHZ84" s="2"/>
      <c r="JIA84" s="2"/>
      <c r="JIB84" s="2"/>
      <c r="JIC84" s="2"/>
      <c r="JID84" s="2"/>
      <c r="JIE84" s="2"/>
      <c r="JIF84" s="2"/>
      <c r="JIG84" s="2"/>
      <c r="JIH84" s="2"/>
      <c r="JII84" s="2"/>
      <c r="JIJ84" s="2"/>
      <c r="JIK84" s="2"/>
      <c r="JIL84" s="2"/>
      <c r="JIM84" s="2"/>
      <c r="JIN84" s="2"/>
      <c r="JIO84" s="2"/>
      <c r="JIP84" s="2"/>
      <c r="JIQ84" s="2"/>
      <c r="JIR84" s="2"/>
      <c r="JIS84" s="2"/>
      <c r="JIT84" s="2"/>
      <c r="JIU84" s="2"/>
      <c r="JIV84" s="2"/>
      <c r="JIW84" s="2"/>
      <c r="JIX84" s="2"/>
      <c r="JIY84" s="2"/>
      <c r="JIZ84" s="2"/>
      <c r="JJA84" s="2"/>
      <c r="JJB84" s="2"/>
      <c r="JJC84" s="2"/>
      <c r="JJD84" s="2"/>
      <c r="JJE84" s="2"/>
      <c r="JJF84" s="2"/>
      <c r="JJG84" s="2"/>
      <c r="JJH84" s="2"/>
      <c r="JJI84" s="2"/>
      <c r="JJJ84" s="2"/>
      <c r="JJK84" s="2"/>
      <c r="JJL84" s="2"/>
      <c r="JJM84" s="2"/>
      <c r="JJN84" s="2"/>
      <c r="JJO84" s="2"/>
      <c r="JJP84" s="2"/>
      <c r="JJQ84" s="2"/>
      <c r="JJR84" s="2"/>
      <c r="JJS84" s="2"/>
      <c r="JJT84" s="2"/>
      <c r="JJU84" s="2"/>
      <c r="JJV84" s="2"/>
      <c r="JJW84" s="2"/>
      <c r="JJX84" s="2"/>
      <c r="JJY84" s="2"/>
      <c r="JJZ84" s="2"/>
      <c r="JKA84" s="2"/>
      <c r="JKB84" s="2"/>
      <c r="JKC84" s="2"/>
      <c r="JKD84" s="2"/>
      <c r="JKE84" s="2"/>
      <c r="JKF84" s="2"/>
      <c r="JKG84" s="2"/>
      <c r="JKH84" s="2"/>
      <c r="JKI84" s="2"/>
      <c r="JKJ84" s="2"/>
      <c r="JKK84" s="2"/>
      <c r="JKL84" s="2"/>
      <c r="JKM84" s="2"/>
      <c r="JKN84" s="2"/>
      <c r="JKO84" s="2"/>
      <c r="JKP84" s="2"/>
      <c r="JKQ84" s="2"/>
      <c r="JKR84" s="2"/>
      <c r="JKS84" s="2"/>
      <c r="JKT84" s="2"/>
      <c r="JKU84" s="2"/>
      <c r="JKV84" s="2"/>
      <c r="JKW84" s="2"/>
      <c r="JKX84" s="2"/>
      <c r="JKY84" s="2"/>
      <c r="JKZ84" s="2"/>
      <c r="JLA84" s="2"/>
      <c r="JLB84" s="2"/>
      <c r="JLC84" s="2"/>
      <c r="JLD84" s="2"/>
      <c r="JLE84" s="2"/>
      <c r="JLF84" s="2"/>
      <c r="JLG84" s="2"/>
      <c r="JLH84" s="2"/>
      <c r="JLI84" s="2"/>
      <c r="JLJ84" s="2"/>
      <c r="JLK84" s="2"/>
      <c r="JLL84" s="2"/>
      <c r="JLM84" s="2"/>
      <c r="JLN84" s="2"/>
      <c r="JLO84" s="2"/>
      <c r="JLP84" s="2"/>
      <c r="JLQ84" s="2"/>
      <c r="JLR84" s="2"/>
      <c r="JLS84" s="2"/>
      <c r="JLT84" s="2"/>
      <c r="JLU84" s="2"/>
      <c r="JLV84" s="2"/>
      <c r="JLW84" s="2"/>
      <c r="JLX84" s="2"/>
      <c r="JLY84" s="2"/>
      <c r="JLZ84" s="2"/>
      <c r="JMA84" s="2"/>
      <c r="JMB84" s="2"/>
      <c r="JMC84" s="2"/>
      <c r="JMD84" s="2"/>
      <c r="JME84" s="2"/>
      <c r="JMF84" s="2"/>
      <c r="JMG84" s="2"/>
      <c r="JMH84" s="2"/>
      <c r="JMI84" s="2"/>
      <c r="JMJ84" s="2"/>
      <c r="JMK84" s="2"/>
      <c r="JML84" s="2"/>
      <c r="JMM84" s="2"/>
      <c r="JMN84" s="2"/>
      <c r="JMO84" s="2"/>
      <c r="JMP84" s="2"/>
      <c r="JMQ84" s="2"/>
      <c r="JMR84" s="2"/>
      <c r="JMS84" s="2"/>
      <c r="JMT84" s="2"/>
      <c r="JMU84" s="2"/>
      <c r="JMV84" s="2"/>
      <c r="JMW84" s="2"/>
      <c r="JMX84" s="2"/>
      <c r="JMY84" s="2"/>
      <c r="JMZ84" s="2"/>
      <c r="JNA84" s="2"/>
      <c r="JNB84" s="2"/>
      <c r="JNC84" s="2"/>
      <c r="JND84" s="2"/>
      <c r="JNE84" s="2"/>
      <c r="JNF84" s="2"/>
      <c r="JNG84" s="2"/>
      <c r="JNH84" s="2"/>
      <c r="JNI84" s="2"/>
      <c r="JNJ84" s="2"/>
      <c r="JNK84" s="2"/>
      <c r="JNL84" s="2"/>
      <c r="JNM84" s="2"/>
      <c r="JNN84" s="2"/>
      <c r="JNO84" s="2"/>
      <c r="JNP84" s="2"/>
      <c r="JNQ84" s="2"/>
      <c r="JNR84" s="2"/>
      <c r="JNS84" s="2"/>
      <c r="JNT84" s="2"/>
      <c r="JNU84" s="2"/>
      <c r="JNV84" s="2"/>
      <c r="JNW84" s="2"/>
      <c r="JNX84" s="2"/>
      <c r="JNY84" s="2"/>
      <c r="JNZ84" s="2"/>
      <c r="JOA84" s="2"/>
      <c r="JOB84" s="2"/>
      <c r="JOC84" s="2"/>
      <c r="JOD84" s="2"/>
      <c r="JOE84" s="2"/>
      <c r="JOF84" s="2"/>
      <c r="JOG84" s="2"/>
      <c r="JOH84" s="2"/>
      <c r="JOI84" s="2"/>
      <c r="JOJ84" s="2"/>
      <c r="JOK84" s="2"/>
      <c r="JOL84" s="2"/>
      <c r="JOM84" s="2"/>
      <c r="JON84" s="2"/>
      <c r="JOO84" s="2"/>
      <c r="JOP84" s="2"/>
      <c r="JOQ84" s="2"/>
      <c r="JOR84" s="2"/>
      <c r="JOS84" s="2"/>
      <c r="JOT84" s="2"/>
      <c r="JOU84" s="2"/>
      <c r="JOV84" s="2"/>
      <c r="JOW84" s="2"/>
      <c r="JOX84" s="2"/>
      <c r="JOY84" s="2"/>
      <c r="JOZ84" s="2"/>
      <c r="JPA84" s="2"/>
      <c r="JPB84" s="2"/>
      <c r="JPC84" s="2"/>
      <c r="JPD84" s="2"/>
      <c r="JPE84" s="2"/>
      <c r="JPF84" s="2"/>
      <c r="JPG84" s="2"/>
      <c r="JPH84" s="2"/>
      <c r="JPI84" s="2"/>
      <c r="JPJ84" s="2"/>
      <c r="JPK84" s="2"/>
      <c r="JPL84" s="2"/>
      <c r="JPM84" s="2"/>
      <c r="JPN84" s="2"/>
      <c r="JPO84" s="2"/>
      <c r="JPP84" s="2"/>
      <c r="JPQ84" s="2"/>
      <c r="JPR84" s="2"/>
      <c r="JPS84" s="2"/>
      <c r="JPT84" s="2"/>
      <c r="JPU84" s="2"/>
      <c r="JPV84" s="2"/>
      <c r="JPW84" s="2"/>
      <c r="JPX84" s="2"/>
      <c r="JPY84" s="2"/>
      <c r="JPZ84" s="2"/>
      <c r="JQA84" s="2"/>
      <c r="JQB84" s="2"/>
      <c r="JQC84" s="2"/>
      <c r="JQD84" s="2"/>
      <c r="JQE84" s="2"/>
      <c r="JQF84" s="2"/>
      <c r="JQG84" s="2"/>
      <c r="JQH84" s="2"/>
      <c r="JQI84" s="2"/>
      <c r="JQJ84" s="2"/>
      <c r="JQK84" s="2"/>
      <c r="JQL84" s="2"/>
      <c r="JQM84" s="2"/>
      <c r="JQN84" s="2"/>
      <c r="JQO84" s="2"/>
      <c r="JQP84" s="2"/>
      <c r="JQQ84" s="2"/>
      <c r="JQR84" s="2"/>
      <c r="JQS84" s="2"/>
      <c r="JQT84" s="2"/>
      <c r="JQU84" s="2"/>
      <c r="JQV84" s="2"/>
      <c r="JQW84" s="2"/>
      <c r="JQX84" s="2"/>
      <c r="JQY84" s="2"/>
      <c r="JQZ84" s="2"/>
      <c r="JRA84" s="2"/>
      <c r="JRB84" s="2"/>
      <c r="JRC84" s="2"/>
      <c r="JRD84" s="2"/>
      <c r="JRE84" s="2"/>
      <c r="JRF84" s="2"/>
      <c r="JRG84" s="2"/>
      <c r="JRH84" s="2"/>
      <c r="JRI84" s="2"/>
      <c r="JRJ84" s="2"/>
      <c r="JRK84" s="2"/>
      <c r="JRL84" s="2"/>
      <c r="JRM84" s="2"/>
      <c r="JRN84" s="2"/>
      <c r="JRO84" s="2"/>
      <c r="JRP84" s="2"/>
      <c r="JRQ84" s="2"/>
      <c r="JRR84" s="2"/>
      <c r="JRS84" s="2"/>
      <c r="JRT84" s="2"/>
      <c r="JRU84" s="2"/>
      <c r="JRV84" s="2"/>
      <c r="JRW84" s="2"/>
      <c r="JRX84" s="2"/>
      <c r="JRY84" s="2"/>
      <c r="JRZ84" s="2"/>
      <c r="JSA84" s="2"/>
      <c r="JSB84" s="2"/>
      <c r="JSC84" s="2"/>
      <c r="JSD84" s="2"/>
      <c r="JSE84" s="2"/>
      <c r="JSF84" s="2"/>
      <c r="JSG84" s="2"/>
      <c r="JSH84" s="2"/>
      <c r="JSI84" s="2"/>
      <c r="JSJ84" s="2"/>
      <c r="JSK84" s="2"/>
      <c r="JSL84" s="2"/>
      <c r="JSM84" s="2"/>
      <c r="JSN84" s="2"/>
      <c r="JSO84" s="2"/>
      <c r="JSP84" s="2"/>
      <c r="JSQ84" s="2"/>
      <c r="JSR84" s="2"/>
      <c r="JSS84" s="2"/>
      <c r="JST84" s="2"/>
      <c r="JSU84" s="2"/>
      <c r="JSV84" s="2"/>
      <c r="JSW84" s="2"/>
      <c r="JSX84" s="2"/>
      <c r="JSY84" s="2"/>
      <c r="JSZ84" s="2"/>
      <c r="JTA84" s="2"/>
      <c r="JTB84" s="2"/>
      <c r="JTC84" s="2"/>
      <c r="JTD84" s="2"/>
      <c r="JTE84" s="2"/>
      <c r="JTF84" s="2"/>
      <c r="JTG84" s="2"/>
      <c r="JTH84" s="2"/>
      <c r="JTI84" s="2"/>
      <c r="JTJ84" s="2"/>
      <c r="JTK84" s="2"/>
      <c r="JTL84" s="2"/>
      <c r="JTM84" s="2"/>
      <c r="JTN84" s="2"/>
      <c r="JTO84" s="2"/>
      <c r="JTP84" s="2"/>
      <c r="JTQ84" s="2"/>
      <c r="JTR84" s="2"/>
      <c r="JTS84" s="2"/>
      <c r="JTT84" s="2"/>
      <c r="JTU84" s="2"/>
      <c r="JTV84" s="2"/>
      <c r="JTW84" s="2"/>
      <c r="JTX84" s="2"/>
      <c r="JTY84" s="2"/>
      <c r="JTZ84" s="2"/>
      <c r="JUA84" s="2"/>
      <c r="JUB84" s="2"/>
      <c r="JUC84" s="2"/>
      <c r="JUD84" s="2"/>
      <c r="JUE84" s="2"/>
      <c r="JUF84" s="2"/>
      <c r="JUG84" s="2"/>
      <c r="JUH84" s="2"/>
      <c r="JUI84" s="2"/>
      <c r="JUJ84" s="2"/>
      <c r="JUK84" s="2"/>
      <c r="JUL84" s="2"/>
      <c r="JUM84" s="2"/>
      <c r="JUN84" s="2"/>
      <c r="JUO84" s="2"/>
      <c r="JUP84" s="2"/>
      <c r="JUQ84" s="2"/>
      <c r="JUR84" s="2"/>
      <c r="JUS84" s="2"/>
      <c r="JUT84" s="2"/>
      <c r="JUU84" s="2"/>
      <c r="JUV84" s="2"/>
      <c r="JUW84" s="2"/>
      <c r="JUX84" s="2"/>
      <c r="JUY84" s="2"/>
      <c r="JUZ84" s="2"/>
      <c r="JVA84" s="2"/>
      <c r="JVB84" s="2"/>
      <c r="JVC84" s="2"/>
      <c r="JVD84" s="2"/>
      <c r="JVE84" s="2"/>
      <c r="JVF84" s="2"/>
      <c r="JVG84" s="2"/>
      <c r="JVH84" s="2"/>
      <c r="JVI84" s="2"/>
      <c r="JVJ84" s="2"/>
      <c r="JVK84" s="2"/>
      <c r="JVL84" s="2"/>
      <c r="JVM84" s="2"/>
      <c r="JVN84" s="2"/>
      <c r="JVO84" s="2"/>
      <c r="JVP84" s="2"/>
      <c r="JVQ84" s="2"/>
      <c r="JVR84" s="2"/>
      <c r="JVS84" s="2"/>
      <c r="JVT84" s="2"/>
      <c r="JVU84" s="2"/>
      <c r="JVV84" s="2"/>
      <c r="JVW84" s="2"/>
      <c r="JVX84" s="2"/>
      <c r="JVY84" s="2"/>
      <c r="JVZ84" s="2"/>
      <c r="JWA84" s="2"/>
      <c r="JWB84" s="2"/>
      <c r="JWC84" s="2"/>
      <c r="JWD84" s="2"/>
      <c r="JWE84" s="2"/>
      <c r="JWF84" s="2"/>
      <c r="JWG84" s="2"/>
      <c r="JWH84" s="2"/>
      <c r="JWI84" s="2"/>
      <c r="JWJ84" s="2"/>
      <c r="JWK84" s="2"/>
      <c r="JWL84" s="2"/>
      <c r="JWM84" s="2"/>
      <c r="JWN84" s="2"/>
      <c r="JWO84" s="2"/>
      <c r="JWP84" s="2"/>
      <c r="JWQ84" s="2"/>
      <c r="JWR84" s="2"/>
      <c r="JWS84" s="2"/>
      <c r="JWT84" s="2"/>
      <c r="JWU84" s="2"/>
      <c r="JWV84" s="2"/>
      <c r="JWW84" s="2"/>
      <c r="JWX84" s="2"/>
      <c r="JWY84" s="2"/>
      <c r="JWZ84" s="2"/>
      <c r="JXA84" s="2"/>
      <c r="JXB84" s="2"/>
      <c r="JXC84" s="2"/>
      <c r="JXD84" s="2"/>
      <c r="JXE84" s="2"/>
      <c r="JXF84" s="2"/>
      <c r="JXG84" s="2"/>
      <c r="JXH84" s="2"/>
      <c r="JXI84" s="2"/>
      <c r="JXJ84" s="2"/>
      <c r="JXK84" s="2"/>
      <c r="JXL84" s="2"/>
      <c r="JXM84" s="2"/>
      <c r="JXN84" s="2"/>
      <c r="JXO84" s="2"/>
      <c r="JXP84" s="2"/>
      <c r="JXQ84" s="2"/>
      <c r="JXR84" s="2"/>
      <c r="JXS84" s="2"/>
      <c r="JXT84" s="2"/>
      <c r="JXU84" s="2"/>
      <c r="JXV84" s="2"/>
      <c r="JXW84" s="2"/>
      <c r="JXX84" s="2"/>
      <c r="JXY84" s="2"/>
      <c r="JXZ84" s="2"/>
      <c r="JYA84" s="2"/>
      <c r="JYB84" s="2"/>
      <c r="JYC84" s="2"/>
      <c r="JYD84" s="2"/>
      <c r="JYE84" s="2"/>
      <c r="JYF84" s="2"/>
      <c r="JYG84" s="2"/>
      <c r="JYH84" s="2"/>
      <c r="JYI84" s="2"/>
      <c r="JYJ84" s="2"/>
      <c r="JYK84" s="2"/>
      <c r="JYL84" s="2"/>
      <c r="JYM84" s="2"/>
      <c r="JYN84" s="2"/>
      <c r="JYO84" s="2"/>
      <c r="JYP84" s="2"/>
      <c r="JYQ84" s="2"/>
      <c r="JYR84" s="2"/>
      <c r="JYS84" s="2"/>
      <c r="JYT84" s="2"/>
      <c r="JYU84" s="2"/>
      <c r="JYV84" s="2"/>
      <c r="JYW84" s="2"/>
      <c r="JYX84" s="2"/>
      <c r="JYY84" s="2"/>
      <c r="JYZ84" s="2"/>
      <c r="JZA84" s="2"/>
      <c r="JZB84" s="2"/>
      <c r="JZC84" s="2"/>
      <c r="JZD84" s="2"/>
      <c r="JZE84" s="2"/>
      <c r="JZF84" s="2"/>
      <c r="JZG84" s="2"/>
      <c r="JZH84" s="2"/>
      <c r="JZI84" s="2"/>
      <c r="JZJ84" s="2"/>
      <c r="JZK84" s="2"/>
      <c r="JZL84" s="2"/>
      <c r="JZM84" s="2"/>
      <c r="JZN84" s="2"/>
      <c r="JZO84" s="2"/>
      <c r="JZP84" s="2"/>
      <c r="JZQ84" s="2"/>
      <c r="JZR84" s="2"/>
      <c r="JZS84" s="2"/>
      <c r="JZT84" s="2"/>
      <c r="JZU84" s="2"/>
      <c r="JZV84" s="2"/>
      <c r="JZW84" s="2"/>
      <c r="JZX84" s="2"/>
      <c r="JZY84" s="2"/>
      <c r="JZZ84" s="2"/>
      <c r="KAA84" s="2"/>
      <c r="KAB84" s="2"/>
      <c r="KAC84" s="2"/>
      <c r="KAD84" s="2"/>
      <c r="KAE84" s="2"/>
      <c r="KAF84" s="2"/>
      <c r="KAG84" s="2"/>
      <c r="KAH84" s="2"/>
      <c r="KAI84" s="2"/>
      <c r="KAJ84" s="2"/>
      <c r="KAK84" s="2"/>
      <c r="KAL84" s="2"/>
      <c r="KAM84" s="2"/>
      <c r="KAN84" s="2"/>
      <c r="KAO84" s="2"/>
      <c r="KAP84" s="2"/>
      <c r="KAQ84" s="2"/>
      <c r="KAR84" s="2"/>
      <c r="KAS84" s="2"/>
      <c r="KAT84" s="2"/>
      <c r="KAU84" s="2"/>
      <c r="KAV84" s="2"/>
      <c r="KAW84" s="2"/>
      <c r="KAX84" s="2"/>
      <c r="KAY84" s="2"/>
      <c r="KAZ84" s="2"/>
      <c r="KBA84" s="2"/>
      <c r="KBB84" s="2"/>
      <c r="KBC84" s="2"/>
      <c r="KBD84" s="2"/>
      <c r="KBE84" s="2"/>
      <c r="KBF84" s="2"/>
      <c r="KBG84" s="2"/>
      <c r="KBH84" s="2"/>
      <c r="KBI84" s="2"/>
      <c r="KBJ84" s="2"/>
      <c r="KBK84" s="2"/>
      <c r="KBL84" s="2"/>
      <c r="KBM84" s="2"/>
      <c r="KBN84" s="2"/>
      <c r="KBO84" s="2"/>
      <c r="KBP84" s="2"/>
      <c r="KBQ84" s="2"/>
      <c r="KBR84" s="2"/>
      <c r="KBS84" s="2"/>
      <c r="KBT84" s="2"/>
      <c r="KBU84" s="2"/>
      <c r="KBV84" s="2"/>
      <c r="KBW84" s="2"/>
      <c r="KBX84" s="2"/>
      <c r="KBY84" s="2"/>
      <c r="KBZ84" s="2"/>
      <c r="KCA84" s="2"/>
      <c r="KCB84" s="2"/>
      <c r="KCC84" s="2"/>
      <c r="KCD84" s="2"/>
      <c r="KCE84" s="2"/>
      <c r="KCF84" s="2"/>
      <c r="KCG84" s="2"/>
      <c r="KCH84" s="2"/>
      <c r="KCI84" s="2"/>
      <c r="KCJ84" s="2"/>
      <c r="KCK84" s="2"/>
      <c r="KCL84" s="2"/>
      <c r="KCM84" s="2"/>
      <c r="KCN84" s="2"/>
      <c r="KCO84" s="2"/>
      <c r="KCP84" s="2"/>
      <c r="KCQ84" s="2"/>
      <c r="KCR84" s="2"/>
      <c r="KCS84" s="2"/>
      <c r="KCT84" s="2"/>
      <c r="KCU84" s="2"/>
      <c r="KCV84" s="2"/>
      <c r="KCW84" s="2"/>
      <c r="KCX84" s="2"/>
      <c r="KCY84" s="2"/>
      <c r="KCZ84" s="2"/>
      <c r="KDA84" s="2"/>
      <c r="KDB84" s="2"/>
      <c r="KDC84" s="2"/>
      <c r="KDD84" s="2"/>
      <c r="KDE84" s="2"/>
      <c r="KDF84" s="2"/>
      <c r="KDG84" s="2"/>
      <c r="KDH84" s="2"/>
      <c r="KDI84" s="2"/>
      <c r="KDJ84" s="2"/>
      <c r="KDK84" s="2"/>
      <c r="KDL84" s="2"/>
      <c r="KDM84" s="2"/>
      <c r="KDN84" s="2"/>
      <c r="KDO84" s="2"/>
      <c r="KDP84" s="2"/>
      <c r="KDQ84" s="2"/>
      <c r="KDR84" s="2"/>
      <c r="KDS84" s="2"/>
      <c r="KDT84" s="2"/>
      <c r="KDU84" s="2"/>
      <c r="KDV84" s="2"/>
      <c r="KDW84" s="2"/>
      <c r="KDX84" s="2"/>
      <c r="KDY84" s="2"/>
      <c r="KDZ84" s="2"/>
      <c r="KEA84" s="2"/>
      <c r="KEB84" s="2"/>
      <c r="KEC84" s="2"/>
      <c r="KED84" s="2"/>
      <c r="KEE84" s="2"/>
      <c r="KEF84" s="2"/>
      <c r="KEG84" s="2"/>
      <c r="KEH84" s="2"/>
      <c r="KEI84" s="2"/>
      <c r="KEJ84" s="2"/>
      <c r="KEK84" s="2"/>
      <c r="KEL84" s="2"/>
      <c r="KEM84" s="2"/>
      <c r="KEN84" s="2"/>
      <c r="KEO84" s="2"/>
      <c r="KEP84" s="2"/>
      <c r="KEQ84" s="2"/>
      <c r="KER84" s="2"/>
      <c r="KES84" s="2"/>
      <c r="KET84" s="2"/>
      <c r="KEU84" s="2"/>
      <c r="KEV84" s="2"/>
      <c r="KEW84" s="2"/>
      <c r="KEX84" s="2"/>
      <c r="KEY84" s="2"/>
      <c r="KEZ84" s="2"/>
      <c r="KFA84" s="2"/>
      <c r="KFB84" s="2"/>
      <c r="KFC84" s="2"/>
      <c r="KFD84" s="2"/>
      <c r="KFE84" s="2"/>
      <c r="KFF84" s="2"/>
      <c r="KFG84" s="2"/>
      <c r="KFH84" s="2"/>
      <c r="KFI84" s="2"/>
      <c r="KFJ84" s="2"/>
      <c r="KFK84" s="2"/>
      <c r="KFL84" s="2"/>
      <c r="KFM84" s="2"/>
      <c r="KFN84" s="2"/>
      <c r="KFO84" s="2"/>
      <c r="KFP84" s="2"/>
      <c r="KFQ84" s="2"/>
      <c r="KFR84" s="2"/>
      <c r="KFS84" s="2"/>
      <c r="KFT84" s="2"/>
      <c r="KFU84" s="2"/>
      <c r="KFV84" s="2"/>
      <c r="KFW84" s="2"/>
      <c r="KFX84" s="2"/>
      <c r="KFY84" s="2"/>
      <c r="KFZ84" s="2"/>
      <c r="KGA84" s="2"/>
      <c r="KGB84" s="2"/>
      <c r="KGC84" s="2"/>
      <c r="KGD84" s="2"/>
      <c r="KGE84" s="2"/>
      <c r="KGF84" s="2"/>
      <c r="KGG84" s="2"/>
      <c r="KGH84" s="2"/>
      <c r="KGI84" s="2"/>
      <c r="KGJ84" s="2"/>
      <c r="KGK84" s="2"/>
      <c r="KGL84" s="2"/>
      <c r="KGM84" s="2"/>
      <c r="KGN84" s="2"/>
      <c r="KGO84" s="2"/>
      <c r="KGP84" s="2"/>
      <c r="KGQ84" s="2"/>
      <c r="KGR84" s="2"/>
      <c r="KGS84" s="2"/>
      <c r="KGT84" s="2"/>
      <c r="KGU84" s="2"/>
      <c r="KGV84" s="2"/>
      <c r="KGW84" s="2"/>
      <c r="KGX84" s="2"/>
      <c r="KGY84" s="2"/>
      <c r="KGZ84" s="2"/>
      <c r="KHA84" s="2"/>
      <c r="KHB84" s="2"/>
      <c r="KHC84" s="2"/>
      <c r="KHD84" s="2"/>
      <c r="KHE84" s="2"/>
      <c r="KHF84" s="2"/>
      <c r="KHG84" s="2"/>
      <c r="KHH84" s="2"/>
      <c r="KHI84" s="2"/>
      <c r="KHJ84" s="2"/>
      <c r="KHK84" s="2"/>
      <c r="KHL84" s="2"/>
      <c r="KHM84" s="2"/>
      <c r="KHN84" s="2"/>
      <c r="KHO84" s="2"/>
      <c r="KHP84" s="2"/>
      <c r="KHQ84" s="2"/>
      <c r="KHR84" s="2"/>
      <c r="KHS84" s="2"/>
      <c r="KHT84" s="2"/>
      <c r="KHU84" s="2"/>
      <c r="KHV84" s="2"/>
      <c r="KHW84" s="2"/>
      <c r="KHX84" s="2"/>
      <c r="KHY84" s="2"/>
      <c r="KHZ84" s="2"/>
      <c r="KIA84" s="2"/>
      <c r="KIB84" s="2"/>
      <c r="KIC84" s="2"/>
      <c r="KID84" s="2"/>
      <c r="KIE84" s="2"/>
      <c r="KIF84" s="2"/>
      <c r="KIG84" s="2"/>
      <c r="KIH84" s="2"/>
      <c r="KII84" s="2"/>
      <c r="KIJ84" s="2"/>
      <c r="KIK84" s="2"/>
      <c r="KIL84" s="2"/>
      <c r="KIM84" s="2"/>
      <c r="KIN84" s="2"/>
      <c r="KIO84" s="2"/>
      <c r="KIP84" s="2"/>
      <c r="KIQ84" s="2"/>
      <c r="KIR84" s="2"/>
      <c r="KIS84" s="2"/>
      <c r="KIT84" s="2"/>
      <c r="KIU84" s="2"/>
      <c r="KIV84" s="2"/>
      <c r="KIW84" s="2"/>
      <c r="KIX84" s="2"/>
      <c r="KIY84" s="2"/>
      <c r="KIZ84" s="2"/>
      <c r="KJA84" s="2"/>
      <c r="KJB84" s="2"/>
      <c r="KJC84" s="2"/>
      <c r="KJD84" s="2"/>
      <c r="KJE84" s="2"/>
      <c r="KJF84" s="2"/>
      <c r="KJG84" s="2"/>
      <c r="KJH84" s="2"/>
      <c r="KJI84" s="2"/>
      <c r="KJJ84" s="2"/>
      <c r="KJK84" s="2"/>
      <c r="KJL84" s="2"/>
      <c r="KJM84" s="2"/>
      <c r="KJN84" s="2"/>
      <c r="KJO84" s="2"/>
      <c r="KJP84" s="2"/>
      <c r="KJQ84" s="2"/>
      <c r="KJR84" s="2"/>
      <c r="KJS84" s="2"/>
      <c r="KJT84" s="2"/>
      <c r="KJU84" s="2"/>
      <c r="KJV84" s="2"/>
      <c r="KJW84" s="2"/>
      <c r="KJX84" s="2"/>
      <c r="KJY84" s="2"/>
      <c r="KJZ84" s="2"/>
      <c r="KKA84" s="2"/>
      <c r="KKB84" s="2"/>
      <c r="KKC84" s="2"/>
      <c r="KKD84" s="2"/>
      <c r="KKE84" s="2"/>
      <c r="KKF84" s="2"/>
      <c r="KKG84" s="2"/>
      <c r="KKH84" s="2"/>
      <c r="KKI84" s="2"/>
      <c r="KKJ84" s="2"/>
      <c r="KKK84" s="2"/>
      <c r="KKL84" s="2"/>
      <c r="KKM84" s="2"/>
      <c r="KKN84" s="2"/>
      <c r="KKO84" s="2"/>
      <c r="KKP84" s="2"/>
      <c r="KKQ84" s="2"/>
      <c r="KKR84" s="2"/>
      <c r="KKS84" s="2"/>
      <c r="KKT84" s="2"/>
      <c r="KKU84" s="2"/>
      <c r="KKV84" s="2"/>
      <c r="KKW84" s="2"/>
      <c r="KKX84" s="2"/>
      <c r="KKY84" s="2"/>
      <c r="KKZ84" s="2"/>
      <c r="KLA84" s="2"/>
      <c r="KLB84" s="2"/>
      <c r="KLC84" s="2"/>
      <c r="KLD84" s="2"/>
      <c r="KLE84" s="2"/>
      <c r="KLF84" s="2"/>
      <c r="KLG84" s="2"/>
      <c r="KLH84" s="2"/>
      <c r="KLI84" s="2"/>
      <c r="KLJ84" s="2"/>
      <c r="KLK84" s="2"/>
      <c r="KLL84" s="2"/>
      <c r="KLM84" s="2"/>
      <c r="KLN84" s="2"/>
      <c r="KLO84" s="2"/>
      <c r="KLP84" s="2"/>
      <c r="KLQ84" s="2"/>
      <c r="KLR84" s="2"/>
      <c r="KLS84" s="2"/>
      <c r="KLT84" s="2"/>
      <c r="KLU84" s="2"/>
      <c r="KLV84" s="2"/>
      <c r="KLW84" s="2"/>
      <c r="KLX84" s="2"/>
      <c r="KLY84" s="2"/>
      <c r="KLZ84" s="2"/>
      <c r="KMA84" s="2"/>
      <c r="KMB84" s="2"/>
      <c r="KMC84" s="2"/>
      <c r="KMD84" s="2"/>
      <c r="KME84" s="2"/>
      <c r="KMF84" s="2"/>
      <c r="KMG84" s="2"/>
      <c r="KMH84" s="2"/>
      <c r="KMI84" s="2"/>
      <c r="KMJ84" s="2"/>
      <c r="KMK84" s="2"/>
      <c r="KML84" s="2"/>
      <c r="KMM84" s="2"/>
      <c r="KMN84" s="2"/>
      <c r="KMO84" s="2"/>
      <c r="KMP84" s="2"/>
      <c r="KMQ84" s="2"/>
      <c r="KMR84" s="2"/>
      <c r="KMS84" s="2"/>
      <c r="KMT84" s="2"/>
      <c r="KMU84" s="2"/>
      <c r="KMV84" s="2"/>
      <c r="KMW84" s="2"/>
      <c r="KMX84" s="2"/>
      <c r="KMY84" s="2"/>
      <c r="KMZ84" s="2"/>
      <c r="KNA84" s="2"/>
      <c r="KNB84" s="2"/>
      <c r="KNC84" s="2"/>
      <c r="KND84" s="2"/>
      <c r="KNE84" s="2"/>
      <c r="KNF84" s="2"/>
      <c r="KNG84" s="2"/>
      <c r="KNH84" s="2"/>
      <c r="KNI84" s="2"/>
      <c r="KNJ84" s="2"/>
      <c r="KNK84" s="2"/>
      <c r="KNL84" s="2"/>
      <c r="KNM84" s="2"/>
      <c r="KNN84" s="2"/>
      <c r="KNO84" s="2"/>
      <c r="KNP84" s="2"/>
      <c r="KNQ84" s="2"/>
      <c r="KNR84" s="2"/>
      <c r="KNS84" s="2"/>
      <c r="KNT84" s="2"/>
      <c r="KNU84" s="2"/>
      <c r="KNV84" s="2"/>
      <c r="KNW84" s="2"/>
      <c r="KNX84" s="2"/>
      <c r="KNY84" s="2"/>
      <c r="KNZ84" s="2"/>
      <c r="KOA84" s="2"/>
      <c r="KOB84" s="2"/>
      <c r="KOC84" s="2"/>
      <c r="KOD84" s="2"/>
      <c r="KOE84" s="2"/>
      <c r="KOF84" s="2"/>
      <c r="KOG84" s="2"/>
      <c r="KOH84" s="2"/>
      <c r="KOI84" s="2"/>
      <c r="KOJ84" s="2"/>
      <c r="KOK84" s="2"/>
      <c r="KOL84" s="2"/>
      <c r="KOM84" s="2"/>
      <c r="KON84" s="2"/>
      <c r="KOO84" s="2"/>
      <c r="KOP84" s="2"/>
      <c r="KOQ84" s="2"/>
      <c r="KOR84" s="2"/>
      <c r="KOS84" s="2"/>
      <c r="KOT84" s="2"/>
      <c r="KOU84" s="2"/>
      <c r="KOV84" s="2"/>
      <c r="KOW84" s="2"/>
      <c r="KOX84" s="2"/>
      <c r="KOY84" s="2"/>
      <c r="KOZ84" s="2"/>
      <c r="KPA84" s="2"/>
      <c r="KPB84" s="2"/>
      <c r="KPC84" s="2"/>
      <c r="KPD84" s="2"/>
      <c r="KPE84" s="2"/>
      <c r="KPF84" s="2"/>
      <c r="KPG84" s="2"/>
      <c r="KPH84" s="2"/>
      <c r="KPI84" s="2"/>
      <c r="KPJ84" s="2"/>
      <c r="KPK84" s="2"/>
      <c r="KPL84" s="2"/>
      <c r="KPM84" s="2"/>
      <c r="KPN84" s="2"/>
      <c r="KPO84" s="2"/>
      <c r="KPP84" s="2"/>
      <c r="KPQ84" s="2"/>
      <c r="KPR84" s="2"/>
      <c r="KPS84" s="2"/>
      <c r="KPT84" s="2"/>
      <c r="KPU84" s="2"/>
      <c r="KPV84" s="2"/>
      <c r="KPW84" s="2"/>
      <c r="KPX84" s="2"/>
      <c r="KPY84" s="2"/>
      <c r="KPZ84" s="2"/>
      <c r="KQA84" s="2"/>
      <c r="KQB84" s="2"/>
      <c r="KQC84" s="2"/>
      <c r="KQD84" s="2"/>
      <c r="KQE84" s="2"/>
      <c r="KQF84" s="2"/>
      <c r="KQG84" s="2"/>
      <c r="KQH84" s="2"/>
      <c r="KQI84" s="2"/>
      <c r="KQJ84" s="2"/>
      <c r="KQK84" s="2"/>
      <c r="KQL84" s="2"/>
      <c r="KQM84" s="2"/>
      <c r="KQN84" s="2"/>
      <c r="KQO84" s="2"/>
      <c r="KQP84" s="2"/>
      <c r="KQQ84" s="2"/>
      <c r="KQR84" s="2"/>
      <c r="KQS84" s="2"/>
      <c r="KQT84" s="2"/>
      <c r="KQU84" s="2"/>
      <c r="KQV84" s="2"/>
      <c r="KQW84" s="2"/>
      <c r="KQX84" s="2"/>
      <c r="KQY84" s="2"/>
      <c r="KQZ84" s="2"/>
      <c r="KRA84" s="2"/>
      <c r="KRB84" s="2"/>
      <c r="KRC84" s="2"/>
      <c r="KRD84" s="2"/>
      <c r="KRE84" s="2"/>
      <c r="KRF84" s="2"/>
      <c r="KRG84" s="2"/>
      <c r="KRH84" s="2"/>
      <c r="KRI84" s="2"/>
      <c r="KRJ84" s="2"/>
      <c r="KRK84" s="2"/>
      <c r="KRL84" s="2"/>
      <c r="KRM84" s="2"/>
      <c r="KRN84" s="2"/>
      <c r="KRO84" s="2"/>
      <c r="KRP84" s="2"/>
      <c r="KRQ84" s="2"/>
      <c r="KRR84" s="2"/>
      <c r="KRS84" s="2"/>
      <c r="KRT84" s="2"/>
      <c r="KRU84" s="2"/>
      <c r="KRV84" s="2"/>
      <c r="KRW84" s="2"/>
      <c r="KRX84" s="2"/>
      <c r="KRY84" s="2"/>
      <c r="KRZ84" s="2"/>
      <c r="KSA84" s="2"/>
      <c r="KSB84" s="2"/>
      <c r="KSC84" s="2"/>
      <c r="KSD84" s="2"/>
      <c r="KSE84" s="2"/>
      <c r="KSF84" s="2"/>
      <c r="KSG84" s="2"/>
      <c r="KSH84" s="2"/>
      <c r="KSI84" s="2"/>
      <c r="KSJ84" s="2"/>
      <c r="KSK84" s="2"/>
      <c r="KSL84" s="2"/>
      <c r="KSM84" s="2"/>
      <c r="KSN84" s="2"/>
      <c r="KSO84" s="2"/>
      <c r="KSP84" s="2"/>
      <c r="KSQ84" s="2"/>
      <c r="KSR84" s="2"/>
      <c r="KSS84" s="2"/>
      <c r="KST84" s="2"/>
      <c r="KSU84" s="2"/>
      <c r="KSV84" s="2"/>
      <c r="KSW84" s="2"/>
      <c r="KSX84" s="2"/>
      <c r="KSY84" s="2"/>
      <c r="KSZ84" s="2"/>
      <c r="KTA84" s="2"/>
      <c r="KTB84" s="2"/>
      <c r="KTC84" s="2"/>
      <c r="KTD84" s="2"/>
      <c r="KTE84" s="2"/>
      <c r="KTF84" s="2"/>
      <c r="KTG84" s="2"/>
      <c r="KTH84" s="2"/>
      <c r="KTI84" s="2"/>
      <c r="KTJ84" s="2"/>
      <c r="KTK84" s="2"/>
      <c r="KTL84" s="2"/>
      <c r="KTM84" s="2"/>
      <c r="KTN84" s="2"/>
      <c r="KTO84" s="2"/>
      <c r="KTP84" s="2"/>
      <c r="KTQ84" s="2"/>
      <c r="KTR84" s="2"/>
      <c r="KTS84" s="2"/>
      <c r="KTT84" s="2"/>
      <c r="KTU84" s="2"/>
      <c r="KTV84" s="2"/>
      <c r="KTW84" s="2"/>
      <c r="KTX84" s="2"/>
      <c r="KTY84" s="2"/>
      <c r="KTZ84" s="2"/>
      <c r="KUA84" s="2"/>
      <c r="KUB84" s="2"/>
      <c r="KUC84" s="2"/>
      <c r="KUD84" s="2"/>
      <c r="KUE84" s="2"/>
      <c r="KUF84" s="2"/>
      <c r="KUG84" s="2"/>
      <c r="KUH84" s="2"/>
      <c r="KUI84" s="2"/>
      <c r="KUJ84" s="2"/>
      <c r="KUK84" s="2"/>
      <c r="KUL84" s="2"/>
      <c r="KUM84" s="2"/>
      <c r="KUN84" s="2"/>
      <c r="KUO84" s="2"/>
      <c r="KUP84" s="2"/>
      <c r="KUQ84" s="2"/>
      <c r="KUR84" s="2"/>
      <c r="KUS84" s="2"/>
      <c r="KUT84" s="2"/>
      <c r="KUU84" s="2"/>
      <c r="KUV84" s="2"/>
      <c r="KUW84" s="2"/>
      <c r="KUX84" s="2"/>
      <c r="KUY84" s="2"/>
      <c r="KUZ84" s="2"/>
      <c r="KVA84" s="2"/>
      <c r="KVB84" s="2"/>
      <c r="KVC84" s="2"/>
      <c r="KVD84" s="2"/>
      <c r="KVE84" s="2"/>
      <c r="KVF84" s="2"/>
      <c r="KVG84" s="2"/>
      <c r="KVH84" s="2"/>
      <c r="KVI84" s="2"/>
      <c r="KVJ84" s="2"/>
      <c r="KVK84" s="2"/>
      <c r="KVL84" s="2"/>
      <c r="KVM84" s="2"/>
      <c r="KVN84" s="2"/>
      <c r="KVO84" s="2"/>
      <c r="KVP84" s="2"/>
      <c r="KVQ84" s="2"/>
      <c r="KVR84" s="2"/>
      <c r="KVS84" s="2"/>
      <c r="KVT84" s="2"/>
      <c r="KVU84" s="2"/>
      <c r="KVV84" s="2"/>
      <c r="KVW84" s="2"/>
      <c r="KVX84" s="2"/>
      <c r="KVY84" s="2"/>
      <c r="KVZ84" s="2"/>
      <c r="KWA84" s="2"/>
      <c r="KWB84" s="2"/>
      <c r="KWC84" s="2"/>
      <c r="KWD84" s="2"/>
      <c r="KWE84" s="2"/>
      <c r="KWF84" s="2"/>
      <c r="KWG84" s="2"/>
      <c r="KWH84" s="2"/>
      <c r="KWI84" s="2"/>
      <c r="KWJ84" s="2"/>
      <c r="KWK84" s="2"/>
      <c r="KWL84" s="2"/>
      <c r="KWM84" s="2"/>
      <c r="KWN84" s="2"/>
      <c r="KWO84" s="2"/>
      <c r="KWP84" s="2"/>
      <c r="KWQ84" s="2"/>
      <c r="KWR84" s="2"/>
      <c r="KWS84" s="2"/>
      <c r="KWT84" s="2"/>
      <c r="KWU84" s="2"/>
      <c r="KWV84" s="2"/>
      <c r="KWW84" s="2"/>
      <c r="KWX84" s="2"/>
      <c r="KWY84" s="2"/>
      <c r="KWZ84" s="2"/>
      <c r="KXA84" s="2"/>
      <c r="KXB84" s="2"/>
      <c r="KXC84" s="2"/>
      <c r="KXD84" s="2"/>
      <c r="KXE84" s="2"/>
      <c r="KXF84" s="2"/>
      <c r="KXG84" s="2"/>
      <c r="KXH84" s="2"/>
      <c r="KXI84" s="2"/>
      <c r="KXJ84" s="2"/>
      <c r="KXK84" s="2"/>
      <c r="KXL84" s="2"/>
      <c r="KXM84" s="2"/>
      <c r="KXN84" s="2"/>
      <c r="KXO84" s="2"/>
      <c r="KXP84" s="2"/>
      <c r="KXQ84" s="2"/>
      <c r="KXR84" s="2"/>
      <c r="KXS84" s="2"/>
      <c r="KXT84" s="2"/>
      <c r="KXU84" s="2"/>
      <c r="KXV84" s="2"/>
      <c r="KXW84" s="2"/>
      <c r="KXX84" s="2"/>
      <c r="KXY84" s="2"/>
      <c r="KXZ84" s="2"/>
      <c r="KYA84" s="2"/>
      <c r="KYB84" s="2"/>
      <c r="KYC84" s="2"/>
      <c r="KYD84" s="2"/>
      <c r="KYE84" s="2"/>
      <c r="KYF84" s="2"/>
      <c r="KYG84" s="2"/>
      <c r="KYH84" s="2"/>
      <c r="KYI84" s="2"/>
      <c r="KYJ84" s="2"/>
      <c r="KYK84" s="2"/>
      <c r="KYL84" s="2"/>
      <c r="KYM84" s="2"/>
      <c r="KYN84" s="2"/>
      <c r="KYO84" s="2"/>
      <c r="KYP84" s="2"/>
      <c r="KYQ84" s="2"/>
      <c r="KYR84" s="2"/>
      <c r="KYS84" s="2"/>
      <c r="KYT84" s="2"/>
      <c r="KYU84" s="2"/>
      <c r="KYV84" s="2"/>
      <c r="KYW84" s="2"/>
      <c r="KYX84" s="2"/>
      <c r="KYY84" s="2"/>
      <c r="KYZ84" s="2"/>
      <c r="KZA84" s="2"/>
      <c r="KZB84" s="2"/>
      <c r="KZC84" s="2"/>
      <c r="KZD84" s="2"/>
      <c r="KZE84" s="2"/>
      <c r="KZF84" s="2"/>
      <c r="KZG84" s="2"/>
      <c r="KZH84" s="2"/>
      <c r="KZI84" s="2"/>
      <c r="KZJ84" s="2"/>
      <c r="KZK84" s="2"/>
      <c r="KZL84" s="2"/>
      <c r="KZM84" s="2"/>
      <c r="KZN84" s="2"/>
      <c r="KZO84" s="2"/>
      <c r="KZP84" s="2"/>
      <c r="KZQ84" s="2"/>
      <c r="KZR84" s="2"/>
      <c r="KZS84" s="2"/>
      <c r="KZT84" s="2"/>
      <c r="KZU84" s="2"/>
      <c r="KZV84" s="2"/>
      <c r="KZW84" s="2"/>
      <c r="KZX84" s="2"/>
      <c r="KZY84" s="2"/>
      <c r="KZZ84" s="2"/>
      <c r="LAA84" s="2"/>
      <c r="LAB84" s="2"/>
      <c r="LAC84" s="2"/>
      <c r="LAD84" s="2"/>
      <c r="LAE84" s="2"/>
      <c r="LAF84" s="2"/>
      <c r="LAG84" s="2"/>
      <c r="LAH84" s="2"/>
      <c r="LAI84" s="2"/>
      <c r="LAJ84" s="2"/>
      <c r="LAK84" s="2"/>
      <c r="LAL84" s="2"/>
      <c r="LAM84" s="2"/>
      <c r="LAN84" s="2"/>
      <c r="LAO84" s="2"/>
      <c r="LAP84" s="2"/>
      <c r="LAQ84" s="2"/>
      <c r="LAR84" s="2"/>
      <c r="LAS84" s="2"/>
      <c r="LAT84" s="2"/>
      <c r="LAU84" s="2"/>
      <c r="LAV84" s="2"/>
      <c r="LAW84" s="2"/>
      <c r="LAX84" s="2"/>
      <c r="LAY84" s="2"/>
      <c r="LAZ84" s="2"/>
      <c r="LBA84" s="2"/>
      <c r="LBB84" s="2"/>
      <c r="LBC84" s="2"/>
      <c r="LBD84" s="2"/>
      <c r="LBE84" s="2"/>
      <c r="LBF84" s="2"/>
      <c r="LBG84" s="2"/>
      <c r="LBH84" s="2"/>
      <c r="LBI84" s="2"/>
      <c r="LBJ84" s="2"/>
      <c r="LBK84" s="2"/>
      <c r="LBL84" s="2"/>
      <c r="LBM84" s="2"/>
      <c r="LBN84" s="2"/>
      <c r="LBO84" s="2"/>
      <c r="LBP84" s="2"/>
      <c r="LBQ84" s="2"/>
      <c r="LBR84" s="2"/>
      <c r="LBS84" s="2"/>
      <c r="LBT84" s="2"/>
      <c r="LBU84" s="2"/>
      <c r="LBV84" s="2"/>
      <c r="LBW84" s="2"/>
      <c r="LBX84" s="2"/>
      <c r="LBY84" s="2"/>
      <c r="LBZ84" s="2"/>
      <c r="LCA84" s="2"/>
      <c r="LCB84" s="2"/>
      <c r="LCC84" s="2"/>
      <c r="LCD84" s="2"/>
      <c r="LCE84" s="2"/>
      <c r="LCF84" s="2"/>
      <c r="LCG84" s="2"/>
      <c r="LCH84" s="2"/>
      <c r="LCI84" s="2"/>
      <c r="LCJ84" s="2"/>
      <c r="LCK84" s="2"/>
      <c r="LCL84" s="2"/>
      <c r="LCM84" s="2"/>
      <c r="LCN84" s="2"/>
      <c r="LCO84" s="2"/>
      <c r="LCP84" s="2"/>
      <c r="LCQ84" s="2"/>
      <c r="LCR84" s="2"/>
      <c r="LCS84" s="2"/>
      <c r="LCT84" s="2"/>
      <c r="LCU84" s="2"/>
      <c r="LCV84" s="2"/>
      <c r="LCW84" s="2"/>
      <c r="LCX84" s="2"/>
      <c r="LCY84" s="2"/>
      <c r="LCZ84" s="2"/>
      <c r="LDA84" s="2"/>
      <c r="LDB84" s="2"/>
      <c r="LDC84" s="2"/>
      <c r="LDD84" s="2"/>
      <c r="LDE84" s="2"/>
      <c r="LDF84" s="2"/>
      <c r="LDG84" s="2"/>
      <c r="LDH84" s="2"/>
      <c r="LDI84" s="2"/>
      <c r="LDJ84" s="2"/>
      <c r="LDK84" s="2"/>
      <c r="LDL84" s="2"/>
      <c r="LDM84" s="2"/>
      <c r="LDN84" s="2"/>
      <c r="LDO84" s="2"/>
      <c r="LDP84" s="2"/>
      <c r="LDQ84" s="2"/>
      <c r="LDR84" s="2"/>
      <c r="LDS84" s="2"/>
      <c r="LDT84" s="2"/>
      <c r="LDU84" s="2"/>
      <c r="LDV84" s="2"/>
      <c r="LDW84" s="2"/>
      <c r="LDX84" s="2"/>
      <c r="LDY84" s="2"/>
      <c r="LDZ84" s="2"/>
      <c r="LEA84" s="2"/>
      <c r="LEB84" s="2"/>
      <c r="LEC84" s="2"/>
      <c r="LED84" s="2"/>
      <c r="LEE84" s="2"/>
      <c r="LEF84" s="2"/>
      <c r="LEG84" s="2"/>
      <c r="LEH84" s="2"/>
      <c r="LEI84" s="2"/>
      <c r="LEJ84" s="2"/>
      <c r="LEK84" s="2"/>
      <c r="LEL84" s="2"/>
      <c r="LEM84" s="2"/>
      <c r="LEN84" s="2"/>
      <c r="LEO84" s="2"/>
      <c r="LEP84" s="2"/>
      <c r="LEQ84" s="2"/>
      <c r="LER84" s="2"/>
      <c r="LES84" s="2"/>
      <c r="LET84" s="2"/>
      <c r="LEU84" s="2"/>
      <c r="LEV84" s="2"/>
      <c r="LEW84" s="2"/>
      <c r="LEX84" s="2"/>
      <c r="LEY84" s="2"/>
      <c r="LEZ84" s="2"/>
      <c r="LFA84" s="2"/>
      <c r="LFB84" s="2"/>
      <c r="LFC84" s="2"/>
      <c r="LFD84" s="2"/>
      <c r="LFE84" s="2"/>
      <c r="LFF84" s="2"/>
      <c r="LFG84" s="2"/>
      <c r="LFH84" s="2"/>
      <c r="LFI84" s="2"/>
      <c r="LFJ84" s="2"/>
      <c r="LFK84" s="2"/>
      <c r="LFL84" s="2"/>
      <c r="LFM84" s="2"/>
      <c r="LFN84" s="2"/>
      <c r="LFO84" s="2"/>
      <c r="LFP84" s="2"/>
      <c r="LFQ84" s="2"/>
      <c r="LFR84" s="2"/>
      <c r="LFS84" s="2"/>
      <c r="LFT84" s="2"/>
      <c r="LFU84" s="2"/>
      <c r="LFV84" s="2"/>
      <c r="LFW84" s="2"/>
      <c r="LFX84" s="2"/>
      <c r="LFY84" s="2"/>
      <c r="LFZ84" s="2"/>
      <c r="LGA84" s="2"/>
      <c r="LGB84" s="2"/>
      <c r="LGC84" s="2"/>
      <c r="LGD84" s="2"/>
      <c r="LGE84" s="2"/>
      <c r="LGF84" s="2"/>
      <c r="LGG84" s="2"/>
      <c r="LGH84" s="2"/>
      <c r="LGI84" s="2"/>
      <c r="LGJ84" s="2"/>
      <c r="LGK84" s="2"/>
      <c r="LGL84" s="2"/>
      <c r="LGM84" s="2"/>
      <c r="LGN84" s="2"/>
      <c r="LGO84" s="2"/>
      <c r="LGP84" s="2"/>
      <c r="LGQ84" s="2"/>
      <c r="LGR84" s="2"/>
      <c r="LGS84" s="2"/>
      <c r="LGT84" s="2"/>
      <c r="LGU84" s="2"/>
      <c r="LGV84" s="2"/>
      <c r="LGW84" s="2"/>
      <c r="LGX84" s="2"/>
      <c r="LGY84" s="2"/>
      <c r="LGZ84" s="2"/>
      <c r="LHA84" s="2"/>
      <c r="LHB84" s="2"/>
      <c r="LHC84" s="2"/>
      <c r="LHD84" s="2"/>
      <c r="LHE84" s="2"/>
      <c r="LHF84" s="2"/>
      <c r="LHG84" s="2"/>
      <c r="LHH84" s="2"/>
      <c r="LHI84" s="2"/>
      <c r="LHJ84" s="2"/>
      <c r="LHK84" s="2"/>
      <c r="LHL84" s="2"/>
      <c r="LHM84" s="2"/>
      <c r="LHN84" s="2"/>
      <c r="LHO84" s="2"/>
      <c r="LHP84" s="2"/>
      <c r="LHQ84" s="2"/>
      <c r="LHR84" s="2"/>
      <c r="LHS84" s="2"/>
      <c r="LHT84" s="2"/>
      <c r="LHU84" s="2"/>
      <c r="LHV84" s="2"/>
      <c r="LHW84" s="2"/>
      <c r="LHX84" s="2"/>
      <c r="LHY84" s="2"/>
      <c r="LHZ84" s="2"/>
      <c r="LIA84" s="2"/>
      <c r="LIB84" s="2"/>
      <c r="LIC84" s="2"/>
      <c r="LID84" s="2"/>
      <c r="LIE84" s="2"/>
      <c r="LIF84" s="2"/>
      <c r="LIG84" s="2"/>
      <c r="LIH84" s="2"/>
      <c r="LII84" s="2"/>
      <c r="LIJ84" s="2"/>
      <c r="LIK84" s="2"/>
      <c r="LIL84" s="2"/>
      <c r="LIM84" s="2"/>
      <c r="LIN84" s="2"/>
      <c r="LIO84" s="2"/>
      <c r="LIP84" s="2"/>
      <c r="LIQ84" s="2"/>
      <c r="LIR84" s="2"/>
      <c r="LIS84" s="2"/>
      <c r="LIT84" s="2"/>
      <c r="LIU84" s="2"/>
      <c r="LIV84" s="2"/>
      <c r="LIW84" s="2"/>
      <c r="LIX84" s="2"/>
      <c r="LIY84" s="2"/>
      <c r="LIZ84" s="2"/>
      <c r="LJA84" s="2"/>
      <c r="LJB84" s="2"/>
      <c r="LJC84" s="2"/>
      <c r="LJD84" s="2"/>
      <c r="LJE84" s="2"/>
      <c r="LJF84" s="2"/>
      <c r="LJG84" s="2"/>
      <c r="LJH84" s="2"/>
      <c r="LJI84" s="2"/>
      <c r="LJJ84" s="2"/>
      <c r="LJK84" s="2"/>
      <c r="LJL84" s="2"/>
      <c r="LJM84" s="2"/>
      <c r="LJN84" s="2"/>
      <c r="LJO84" s="2"/>
      <c r="LJP84" s="2"/>
      <c r="LJQ84" s="2"/>
      <c r="LJR84" s="2"/>
      <c r="LJS84" s="2"/>
      <c r="LJT84" s="2"/>
      <c r="LJU84" s="2"/>
      <c r="LJV84" s="2"/>
      <c r="LJW84" s="2"/>
      <c r="LJX84" s="2"/>
      <c r="LJY84" s="2"/>
      <c r="LJZ84" s="2"/>
      <c r="LKA84" s="2"/>
      <c r="LKB84" s="2"/>
      <c r="LKC84" s="2"/>
      <c r="LKD84" s="2"/>
      <c r="LKE84" s="2"/>
      <c r="LKF84" s="2"/>
      <c r="LKG84" s="2"/>
      <c r="LKH84" s="2"/>
      <c r="LKI84" s="2"/>
      <c r="LKJ84" s="2"/>
      <c r="LKK84" s="2"/>
      <c r="LKL84" s="2"/>
      <c r="LKM84" s="2"/>
      <c r="LKN84" s="2"/>
      <c r="LKO84" s="2"/>
      <c r="LKP84" s="2"/>
      <c r="LKQ84" s="2"/>
      <c r="LKR84" s="2"/>
      <c r="LKS84" s="2"/>
      <c r="LKT84" s="2"/>
      <c r="LKU84" s="2"/>
      <c r="LKV84" s="2"/>
      <c r="LKW84" s="2"/>
      <c r="LKX84" s="2"/>
      <c r="LKY84" s="2"/>
      <c r="LKZ84" s="2"/>
      <c r="LLA84" s="2"/>
      <c r="LLB84" s="2"/>
      <c r="LLC84" s="2"/>
      <c r="LLD84" s="2"/>
      <c r="LLE84" s="2"/>
      <c r="LLF84" s="2"/>
      <c r="LLG84" s="2"/>
      <c r="LLH84" s="2"/>
      <c r="LLI84" s="2"/>
      <c r="LLJ84" s="2"/>
      <c r="LLK84" s="2"/>
      <c r="LLL84" s="2"/>
      <c r="LLM84" s="2"/>
      <c r="LLN84" s="2"/>
      <c r="LLO84" s="2"/>
      <c r="LLP84" s="2"/>
      <c r="LLQ84" s="2"/>
      <c r="LLR84" s="2"/>
      <c r="LLS84" s="2"/>
      <c r="LLT84" s="2"/>
      <c r="LLU84" s="2"/>
      <c r="LLV84" s="2"/>
      <c r="LLW84" s="2"/>
      <c r="LLX84" s="2"/>
      <c r="LLY84" s="2"/>
      <c r="LLZ84" s="2"/>
      <c r="LMA84" s="2"/>
      <c r="LMB84" s="2"/>
      <c r="LMC84" s="2"/>
      <c r="LMD84" s="2"/>
      <c r="LME84" s="2"/>
      <c r="LMF84" s="2"/>
      <c r="LMG84" s="2"/>
      <c r="LMH84" s="2"/>
      <c r="LMI84" s="2"/>
      <c r="LMJ84" s="2"/>
      <c r="LMK84" s="2"/>
      <c r="LML84" s="2"/>
      <c r="LMM84" s="2"/>
      <c r="LMN84" s="2"/>
      <c r="LMO84" s="2"/>
      <c r="LMP84" s="2"/>
      <c r="LMQ84" s="2"/>
      <c r="LMR84" s="2"/>
      <c r="LMS84" s="2"/>
      <c r="LMT84" s="2"/>
      <c r="LMU84" s="2"/>
      <c r="LMV84" s="2"/>
      <c r="LMW84" s="2"/>
      <c r="LMX84" s="2"/>
      <c r="LMY84" s="2"/>
      <c r="LMZ84" s="2"/>
      <c r="LNA84" s="2"/>
      <c r="LNB84" s="2"/>
      <c r="LNC84" s="2"/>
      <c r="LND84" s="2"/>
      <c r="LNE84" s="2"/>
      <c r="LNF84" s="2"/>
      <c r="LNG84" s="2"/>
      <c r="LNH84" s="2"/>
      <c r="LNI84" s="2"/>
      <c r="LNJ84" s="2"/>
      <c r="LNK84" s="2"/>
      <c r="LNL84" s="2"/>
      <c r="LNM84" s="2"/>
      <c r="LNN84" s="2"/>
      <c r="LNO84" s="2"/>
      <c r="LNP84" s="2"/>
      <c r="LNQ84" s="2"/>
      <c r="LNR84" s="2"/>
      <c r="LNS84" s="2"/>
      <c r="LNT84" s="2"/>
      <c r="LNU84" s="2"/>
      <c r="LNV84" s="2"/>
      <c r="LNW84" s="2"/>
      <c r="LNX84" s="2"/>
      <c r="LNY84" s="2"/>
      <c r="LNZ84" s="2"/>
      <c r="LOA84" s="2"/>
      <c r="LOB84" s="2"/>
      <c r="LOC84" s="2"/>
      <c r="LOD84" s="2"/>
      <c r="LOE84" s="2"/>
      <c r="LOF84" s="2"/>
      <c r="LOG84" s="2"/>
      <c r="LOH84" s="2"/>
      <c r="LOI84" s="2"/>
      <c r="LOJ84" s="2"/>
      <c r="LOK84" s="2"/>
      <c r="LOL84" s="2"/>
      <c r="LOM84" s="2"/>
      <c r="LON84" s="2"/>
      <c r="LOO84" s="2"/>
      <c r="LOP84" s="2"/>
      <c r="LOQ84" s="2"/>
      <c r="LOR84" s="2"/>
      <c r="LOS84" s="2"/>
      <c r="LOT84" s="2"/>
      <c r="LOU84" s="2"/>
      <c r="LOV84" s="2"/>
      <c r="LOW84" s="2"/>
      <c r="LOX84" s="2"/>
      <c r="LOY84" s="2"/>
      <c r="LOZ84" s="2"/>
      <c r="LPA84" s="2"/>
      <c r="LPB84" s="2"/>
      <c r="LPC84" s="2"/>
      <c r="LPD84" s="2"/>
      <c r="LPE84" s="2"/>
      <c r="LPF84" s="2"/>
      <c r="LPG84" s="2"/>
      <c r="LPH84" s="2"/>
      <c r="LPI84" s="2"/>
      <c r="LPJ84" s="2"/>
      <c r="LPK84" s="2"/>
      <c r="LPL84" s="2"/>
      <c r="LPM84" s="2"/>
      <c r="LPN84" s="2"/>
      <c r="LPO84" s="2"/>
      <c r="LPP84" s="2"/>
      <c r="LPQ84" s="2"/>
      <c r="LPR84" s="2"/>
      <c r="LPS84" s="2"/>
      <c r="LPT84" s="2"/>
      <c r="LPU84" s="2"/>
      <c r="LPV84" s="2"/>
      <c r="LPW84" s="2"/>
      <c r="LPX84" s="2"/>
      <c r="LPY84" s="2"/>
      <c r="LPZ84" s="2"/>
      <c r="LQA84" s="2"/>
      <c r="LQB84" s="2"/>
      <c r="LQC84" s="2"/>
      <c r="LQD84" s="2"/>
      <c r="LQE84" s="2"/>
      <c r="LQF84" s="2"/>
      <c r="LQG84" s="2"/>
      <c r="LQH84" s="2"/>
      <c r="LQI84" s="2"/>
      <c r="LQJ84" s="2"/>
      <c r="LQK84" s="2"/>
      <c r="LQL84" s="2"/>
      <c r="LQM84" s="2"/>
      <c r="LQN84" s="2"/>
      <c r="LQO84" s="2"/>
      <c r="LQP84" s="2"/>
      <c r="LQQ84" s="2"/>
      <c r="LQR84" s="2"/>
      <c r="LQS84" s="2"/>
      <c r="LQT84" s="2"/>
      <c r="LQU84" s="2"/>
      <c r="LQV84" s="2"/>
      <c r="LQW84" s="2"/>
      <c r="LQX84" s="2"/>
      <c r="LQY84" s="2"/>
      <c r="LQZ84" s="2"/>
      <c r="LRA84" s="2"/>
      <c r="LRB84" s="2"/>
      <c r="LRC84" s="2"/>
      <c r="LRD84" s="2"/>
      <c r="LRE84" s="2"/>
      <c r="LRF84" s="2"/>
      <c r="LRG84" s="2"/>
      <c r="LRH84" s="2"/>
      <c r="LRI84" s="2"/>
      <c r="LRJ84" s="2"/>
      <c r="LRK84" s="2"/>
      <c r="LRL84" s="2"/>
      <c r="LRM84" s="2"/>
      <c r="LRN84" s="2"/>
      <c r="LRO84" s="2"/>
      <c r="LRP84" s="2"/>
      <c r="LRQ84" s="2"/>
      <c r="LRR84" s="2"/>
      <c r="LRS84" s="2"/>
      <c r="LRT84" s="2"/>
      <c r="LRU84" s="2"/>
      <c r="LRV84" s="2"/>
      <c r="LRW84" s="2"/>
      <c r="LRX84" s="2"/>
      <c r="LRY84" s="2"/>
      <c r="LRZ84" s="2"/>
      <c r="LSA84" s="2"/>
      <c r="LSB84" s="2"/>
      <c r="LSC84" s="2"/>
      <c r="LSD84" s="2"/>
      <c r="LSE84" s="2"/>
      <c r="LSF84" s="2"/>
      <c r="LSG84" s="2"/>
      <c r="LSH84" s="2"/>
      <c r="LSI84" s="2"/>
      <c r="LSJ84" s="2"/>
      <c r="LSK84" s="2"/>
      <c r="LSL84" s="2"/>
      <c r="LSM84" s="2"/>
      <c r="LSN84" s="2"/>
      <c r="LSO84" s="2"/>
      <c r="LSP84" s="2"/>
      <c r="LSQ84" s="2"/>
      <c r="LSR84" s="2"/>
      <c r="LSS84" s="2"/>
      <c r="LST84" s="2"/>
      <c r="LSU84" s="2"/>
      <c r="LSV84" s="2"/>
      <c r="LSW84" s="2"/>
      <c r="LSX84" s="2"/>
      <c r="LSY84" s="2"/>
      <c r="LSZ84" s="2"/>
      <c r="LTA84" s="2"/>
      <c r="LTB84" s="2"/>
      <c r="LTC84" s="2"/>
      <c r="LTD84" s="2"/>
      <c r="LTE84" s="2"/>
      <c r="LTF84" s="2"/>
      <c r="LTG84" s="2"/>
      <c r="LTH84" s="2"/>
      <c r="LTI84" s="2"/>
      <c r="LTJ84" s="2"/>
      <c r="LTK84" s="2"/>
      <c r="LTL84" s="2"/>
      <c r="LTM84" s="2"/>
      <c r="LTN84" s="2"/>
      <c r="LTO84" s="2"/>
      <c r="LTP84" s="2"/>
      <c r="LTQ84" s="2"/>
      <c r="LTR84" s="2"/>
      <c r="LTS84" s="2"/>
      <c r="LTT84" s="2"/>
      <c r="LTU84" s="2"/>
      <c r="LTV84" s="2"/>
      <c r="LTW84" s="2"/>
      <c r="LTX84" s="2"/>
      <c r="LTY84" s="2"/>
      <c r="LTZ84" s="2"/>
      <c r="LUA84" s="2"/>
      <c r="LUB84" s="2"/>
      <c r="LUC84" s="2"/>
      <c r="LUD84" s="2"/>
      <c r="LUE84" s="2"/>
      <c r="LUF84" s="2"/>
      <c r="LUG84" s="2"/>
      <c r="LUH84" s="2"/>
      <c r="LUI84" s="2"/>
      <c r="LUJ84" s="2"/>
      <c r="LUK84" s="2"/>
      <c r="LUL84" s="2"/>
      <c r="LUM84" s="2"/>
      <c r="LUN84" s="2"/>
      <c r="LUO84" s="2"/>
      <c r="LUP84" s="2"/>
      <c r="LUQ84" s="2"/>
      <c r="LUR84" s="2"/>
      <c r="LUS84" s="2"/>
      <c r="LUT84" s="2"/>
      <c r="LUU84" s="2"/>
      <c r="LUV84" s="2"/>
      <c r="LUW84" s="2"/>
      <c r="LUX84" s="2"/>
      <c r="LUY84" s="2"/>
      <c r="LUZ84" s="2"/>
      <c r="LVA84" s="2"/>
      <c r="LVB84" s="2"/>
      <c r="LVC84" s="2"/>
      <c r="LVD84" s="2"/>
      <c r="LVE84" s="2"/>
      <c r="LVF84" s="2"/>
      <c r="LVG84" s="2"/>
      <c r="LVH84" s="2"/>
      <c r="LVI84" s="2"/>
      <c r="LVJ84" s="2"/>
      <c r="LVK84" s="2"/>
      <c r="LVL84" s="2"/>
      <c r="LVM84" s="2"/>
      <c r="LVN84" s="2"/>
      <c r="LVO84" s="2"/>
      <c r="LVP84" s="2"/>
      <c r="LVQ84" s="2"/>
      <c r="LVR84" s="2"/>
      <c r="LVS84" s="2"/>
      <c r="LVT84" s="2"/>
      <c r="LVU84" s="2"/>
      <c r="LVV84" s="2"/>
      <c r="LVW84" s="2"/>
      <c r="LVX84" s="2"/>
      <c r="LVY84" s="2"/>
      <c r="LVZ84" s="2"/>
      <c r="LWA84" s="2"/>
      <c r="LWB84" s="2"/>
      <c r="LWC84" s="2"/>
      <c r="LWD84" s="2"/>
      <c r="LWE84" s="2"/>
      <c r="LWF84" s="2"/>
      <c r="LWG84" s="2"/>
      <c r="LWH84" s="2"/>
      <c r="LWI84" s="2"/>
      <c r="LWJ84" s="2"/>
      <c r="LWK84" s="2"/>
      <c r="LWL84" s="2"/>
      <c r="LWM84" s="2"/>
      <c r="LWN84" s="2"/>
      <c r="LWO84" s="2"/>
      <c r="LWP84" s="2"/>
      <c r="LWQ84" s="2"/>
      <c r="LWR84" s="2"/>
      <c r="LWS84" s="2"/>
      <c r="LWT84" s="2"/>
      <c r="LWU84" s="2"/>
      <c r="LWV84" s="2"/>
      <c r="LWW84" s="2"/>
      <c r="LWX84" s="2"/>
      <c r="LWY84" s="2"/>
      <c r="LWZ84" s="2"/>
      <c r="LXA84" s="2"/>
      <c r="LXB84" s="2"/>
      <c r="LXC84" s="2"/>
      <c r="LXD84" s="2"/>
      <c r="LXE84" s="2"/>
      <c r="LXF84" s="2"/>
      <c r="LXG84" s="2"/>
      <c r="LXH84" s="2"/>
      <c r="LXI84" s="2"/>
      <c r="LXJ84" s="2"/>
      <c r="LXK84" s="2"/>
      <c r="LXL84" s="2"/>
      <c r="LXM84" s="2"/>
      <c r="LXN84" s="2"/>
      <c r="LXO84" s="2"/>
      <c r="LXP84" s="2"/>
      <c r="LXQ84" s="2"/>
      <c r="LXR84" s="2"/>
      <c r="LXS84" s="2"/>
      <c r="LXT84" s="2"/>
      <c r="LXU84" s="2"/>
      <c r="LXV84" s="2"/>
      <c r="LXW84" s="2"/>
      <c r="LXX84" s="2"/>
      <c r="LXY84" s="2"/>
      <c r="LXZ84" s="2"/>
      <c r="LYA84" s="2"/>
      <c r="LYB84" s="2"/>
      <c r="LYC84" s="2"/>
      <c r="LYD84" s="2"/>
      <c r="LYE84" s="2"/>
      <c r="LYF84" s="2"/>
      <c r="LYG84" s="2"/>
      <c r="LYH84" s="2"/>
      <c r="LYI84" s="2"/>
      <c r="LYJ84" s="2"/>
      <c r="LYK84" s="2"/>
      <c r="LYL84" s="2"/>
      <c r="LYM84" s="2"/>
      <c r="LYN84" s="2"/>
      <c r="LYO84" s="2"/>
      <c r="LYP84" s="2"/>
      <c r="LYQ84" s="2"/>
      <c r="LYR84" s="2"/>
      <c r="LYS84" s="2"/>
      <c r="LYT84" s="2"/>
      <c r="LYU84" s="2"/>
      <c r="LYV84" s="2"/>
      <c r="LYW84" s="2"/>
      <c r="LYX84" s="2"/>
      <c r="LYY84" s="2"/>
      <c r="LYZ84" s="2"/>
      <c r="LZA84" s="2"/>
      <c r="LZB84" s="2"/>
      <c r="LZC84" s="2"/>
      <c r="LZD84" s="2"/>
      <c r="LZE84" s="2"/>
      <c r="LZF84" s="2"/>
      <c r="LZG84" s="2"/>
      <c r="LZH84" s="2"/>
      <c r="LZI84" s="2"/>
      <c r="LZJ84" s="2"/>
      <c r="LZK84" s="2"/>
      <c r="LZL84" s="2"/>
      <c r="LZM84" s="2"/>
      <c r="LZN84" s="2"/>
      <c r="LZO84" s="2"/>
      <c r="LZP84" s="2"/>
      <c r="LZQ84" s="2"/>
      <c r="LZR84" s="2"/>
      <c r="LZS84" s="2"/>
      <c r="LZT84" s="2"/>
      <c r="LZU84" s="2"/>
      <c r="LZV84" s="2"/>
      <c r="LZW84" s="2"/>
      <c r="LZX84" s="2"/>
      <c r="LZY84" s="2"/>
      <c r="LZZ84" s="2"/>
      <c r="MAA84" s="2"/>
      <c r="MAB84" s="2"/>
      <c r="MAC84" s="2"/>
      <c r="MAD84" s="2"/>
      <c r="MAE84" s="2"/>
      <c r="MAF84" s="2"/>
      <c r="MAG84" s="2"/>
      <c r="MAH84" s="2"/>
      <c r="MAI84" s="2"/>
      <c r="MAJ84" s="2"/>
      <c r="MAK84" s="2"/>
      <c r="MAL84" s="2"/>
      <c r="MAM84" s="2"/>
      <c r="MAN84" s="2"/>
      <c r="MAO84" s="2"/>
      <c r="MAP84" s="2"/>
      <c r="MAQ84" s="2"/>
      <c r="MAR84" s="2"/>
      <c r="MAS84" s="2"/>
      <c r="MAT84" s="2"/>
      <c r="MAU84" s="2"/>
      <c r="MAV84" s="2"/>
      <c r="MAW84" s="2"/>
      <c r="MAX84" s="2"/>
      <c r="MAY84" s="2"/>
      <c r="MAZ84" s="2"/>
      <c r="MBA84" s="2"/>
      <c r="MBB84" s="2"/>
      <c r="MBC84" s="2"/>
      <c r="MBD84" s="2"/>
      <c r="MBE84" s="2"/>
      <c r="MBF84" s="2"/>
      <c r="MBG84" s="2"/>
      <c r="MBH84" s="2"/>
      <c r="MBI84" s="2"/>
      <c r="MBJ84" s="2"/>
      <c r="MBK84" s="2"/>
      <c r="MBL84" s="2"/>
      <c r="MBM84" s="2"/>
      <c r="MBN84" s="2"/>
      <c r="MBO84" s="2"/>
      <c r="MBP84" s="2"/>
      <c r="MBQ84" s="2"/>
      <c r="MBR84" s="2"/>
      <c r="MBS84" s="2"/>
      <c r="MBT84" s="2"/>
      <c r="MBU84" s="2"/>
      <c r="MBV84" s="2"/>
      <c r="MBW84" s="2"/>
      <c r="MBX84" s="2"/>
      <c r="MBY84" s="2"/>
      <c r="MBZ84" s="2"/>
      <c r="MCA84" s="2"/>
      <c r="MCB84" s="2"/>
      <c r="MCC84" s="2"/>
      <c r="MCD84" s="2"/>
      <c r="MCE84" s="2"/>
      <c r="MCF84" s="2"/>
      <c r="MCG84" s="2"/>
      <c r="MCH84" s="2"/>
      <c r="MCI84" s="2"/>
      <c r="MCJ84" s="2"/>
      <c r="MCK84" s="2"/>
      <c r="MCL84" s="2"/>
      <c r="MCM84" s="2"/>
      <c r="MCN84" s="2"/>
      <c r="MCO84" s="2"/>
      <c r="MCP84" s="2"/>
      <c r="MCQ84" s="2"/>
      <c r="MCR84" s="2"/>
      <c r="MCS84" s="2"/>
      <c r="MCT84" s="2"/>
      <c r="MCU84" s="2"/>
      <c r="MCV84" s="2"/>
      <c r="MCW84" s="2"/>
      <c r="MCX84" s="2"/>
      <c r="MCY84" s="2"/>
      <c r="MCZ84" s="2"/>
      <c r="MDA84" s="2"/>
      <c r="MDB84" s="2"/>
      <c r="MDC84" s="2"/>
      <c r="MDD84" s="2"/>
      <c r="MDE84" s="2"/>
      <c r="MDF84" s="2"/>
      <c r="MDG84" s="2"/>
      <c r="MDH84" s="2"/>
      <c r="MDI84" s="2"/>
      <c r="MDJ84" s="2"/>
      <c r="MDK84" s="2"/>
      <c r="MDL84" s="2"/>
      <c r="MDM84" s="2"/>
      <c r="MDN84" s="2"/>
      <c r="MDO84" s="2"/>
      <c r="MDP84" s="2"/>
      <c r="MDQ84" s="2"/>
      <c r="MDR84" s="2"/>
      <c r="MDS84" s="2"/>
      <c r="MDT84" s="2"/>
      <c r="MDU84" s="2"/>
      <c r="MDV84" s="2"/>
      <c r="MDW84" s="2"/>
      <c r="MDX84" s="2"/>
      <c r="MDY84" s="2"/>
      <c r="MDZ84" s="2"/>
      <c r="MEA84" s="2"/>
      <c r="MEB84" s="2"/>
      <c r="MEC84" s="2"/>
      <c r="MED84" s="2"/>
      <c r="MEE84" s="2"/>
      <c r="MEF84" s="2"/>
      <c r="MEG84" s="2"/>
      <c r="MEH84" s="2"/>
      <c r="MEI84" s="2"/>
      <c r="MEJ84" s="2"/>
      <c r="MEK84" s="2"/>
      <c r="MEL84" s="2"/>
      <c r="MEM84" s="2"/>
      <c r="MEN84" s="2"/>
      <c r="MEO84" s="2"/>
      <c r="MEP84" s="2"/>
      <c r="MEQ84" s="2"/>
      <c r="MER84" s="2"/>
      <c r="MES84" s="2"/>
      <c r="MET84" s="2"/>
      <c r="MEU84" s="2"/>
      <c r="MEV84" s="2"/>
      <c r="MEW84" s="2"/>
      <c r="MEX84" s="2"/>
      <c r="MEY84" s="2"/>
      <c r="MEZ84" s="2"/>
      <c r="MFA84" s="2"/>
      <c r="MFB84" s="2"/>
      <c r="MFC84" s="2"/>
      <c r="MFD84" s="2"/>
      <c r="MFE84" s="2"/>
      <c r="MFF84" s="2"/>
      <c r="MFG84" s="2"/>
      <c r="MFH84" s="2"/>
      <c r="MFI84" s="2"/>
      <c r="MFJ84" s="2"/>
      <c r="MFK84" s="2"/>
      <c r="MFL84" s="2"/>
      <c r="MFM84" s="2"/>
      <c r="MFN84" s="2"/>
      <c r="MFO84" s="2"/>
      <c r="MFP84" s="2"/>
      <c r="MFQ84" s="2"/>
      <c r="MFR84" s="2"/>
      <c r="MFS84" s="2"/>
      <c r="MFT84" s="2"/>
      <c r="MFU84" s="2"/>
      <c r="MFV84" s="2"/>
      <c r="MFW84" s="2"/>
      <c r="MFX84" s="2"/>
      <c r="MFY84" s="2"/>
      <c r="MFZ84" s="2"/>
      <c r="MGA84" s="2"/>
      <c r="MGB84" s="2"/>
      <c r="MGC84" s="2"/>
      <c r="MGD84" s="2"/>
      <c r="MGE84" s="2"/>
      <c r="MGF84" s="2"/>
      <c r="MGG84" s="2"/>
      <c r="MGH84" s="2"/>
      <c r="MGI84" s="2"/>
      <c r="MGJ84" s="2"/>
      <c r="MGK84" s="2"/>
      <c r="MGL84" s="2"/>
      <c r="MGM84" s="2"/>
      <c r="MGN84" s="2"/>
      <c r="MGO84" s="2"/>
      <c r="MGP84" s="2"/>
      <c r="MGQ84" s="2"/>
      <c r="MGR84" s="2"/>
      <c r="MGS84" s="2"/>
      <c r="MGT84" s="2"/>
      <c r="MGU84" s="2"/>
      <c r="MGV84" s="2"/>
      <c r="MGW84" s="2"/>
      <c r="MGX84" s="2"/>
      <c r="MGY84" s="2"/>
      <c r="MGZ84" s="2"/>
      <c r="MHA84" s="2"/>
      <c r="MHB84" s="2"/>
      <c r="MHC84" s="2"/>
      <c r="MHD84" s="2"/>
      <c r="MHE84" s="2"/>
      <c r="MHF84" s="2"/>
      <c r="MHG84" s="2"/>
      <c r="MHH84" s="2"/>
      <c r="MHI84" s="2"/>
      <c r="MHJ84" s="2"/>
      <c r="MHK84" s="2"/>
      <c r="MHL84" s="2"/>
      <c r="MHM84" s="2"/>
      <c r="MHN84" s="2"/>
      <c r="MHO84" s="2"/>
      <c r="MHP84" s="2"/>
      <c r="MHQ84" s="2"/>
      <c r="MHR84" s="2"/>
      <c r="MHS84" s="2"/>
      <c r="MHT84" s="2"/>
      <c r="MHU84" s="2"/>
      <c r="MHV84" s="2"/>
      <c r="MHW84" s="2"/>
      <c r="MHX84" s="2"/>
      <c r="MHY84" s="2"/>
      <c r="MHZ84" s="2"/>
      <c r="MIA84" s="2"/>
      <c r="MIB84" s="2"/>
      <c r="MIC84" s="2"/>
      <c r="MID84" s="2"/>
      <c r="MIE84" s="2"/>
      <c r="MIF84" s="2"/>
      <c r="MIG84" s="2"/>
      <c r="MIH84" s="2"/>
      <c r="MII84" s="2"/>
      <c r="MIJ84" s="2"/>
      <c r="MIK84" s="2"/>
      <c r="MIL84" s="2"/>
      <c r="MIM84" s="2"/>
      <c r="MIN84" s="2"/>
      <c r="MIO84" s="2"/>
      <c r="MIP84" s="2"/>
      <c r="MIQ84" s="2"/>
      <c r="MIR84" s="2"/>
      <c r="MIS84" s="2"/>
      <c r="MIT84" s="2"/>
      <c r="MIU84" s="2"/>
      <c r="MIV84" s="2"/>
      <c r="MIW84" s="2"/>
      <c r="MIX84" s="2"/>
      <c r="MIY84" s="2"/>
      <c r="MIZ84" s="2"/>
      <c r="MJA84" s="2"/>
      <c r="MJB84" s="2"/>
      <c r="MJC84" s="2"/>
      <c r="MJD84" s="2"/>
      <c r="MJE84" s="2"/>
      <c r="MJF84" s="2"/>
      <c r="MJG84" s="2"/>
      <c r="MJH84" s="2"/>
      <c r="MJI84" s="2"/>
      <c r="MJJ84" s="2"/>
      <c r="MJK84" s="2"/>
      <c r="MJL84" s="2"/>
      <c r="MJM84" s="2"/>
      <c r="MJN84" s="2"/>
      <c r="MJO84" s="2"/>
      <c r="MJP84" s="2"/>
      <c r="MJQ84" s="2"/>
      <c r="MJR84" s="2"/>
      <c r="MJS84" s="2"/>
      <c r="MJT84" s="2"/>
      <c r="MJU84" s="2"/>
      <c r="MJV84" s="2"/>
      <c r="MJW84" s="2"/>
      <c r="MJX84" s="2"/>
      <c r="MJY84" s="2"/>
      <c r="MJZ84" s="2"/>
      <c r="MKA84" s="2"/>
      <c r="MKB84" s="2"/>
      <c r="MKC84" s="2"/>
      <c r="MKD84" s="2"/>
      <c r="MKE84" s="2"/>
      <c r="MKF84" s="2"/>
      <c r="MKG84" s="2"/>
      <c r="MKH84" s="2"/>
      <c r="MKI84" s="2"/>
      <c r="MKJ84" s="2"/>
      <c r="MKK84" s="2"/>
      <c r="MKL84" s="2"/>
      <c r="MKM84" s="2"/>
      <c r="MKN84" s="2"/>
      <c r="MKO84" s="2"/>
      <c r="MKP84" s="2"/>
      <c r="MKQ84" s="2"/>
      <c r="MKR84" s="2"/>
      <c r="MKS84" s="2"/>
      <c r="MKT84" s="2"/>
      <c r="MKU84" s="2"/>
      <c r="MKV84" s="2"/>
      <c r="MKW84" s="2"/>
      <c r="MKX84" s="2"/>
      <c r="MKY84" s="2"/>
      <c r="MKZ84" s="2"/>
      <c r="MLA84" s="2"/>
      <c r="MLB84" s="2"/>
      <c r="MLC84" s="2"/>
      <c r="MLD84" s="2"/>
      <c r="MLE84" s="2"/>
      <c r="MLF84" s="2"/>
      <c r="MLG84" s="2"/>
      <c r="MLH84" s="2"/>
      <c r="MLI84" s="2"/>
      <c r="MLJ84" s="2"/>
      <c r="MLK84" s="2"/>
      <c r="MLL84" s="2"/>
      <c r="MLM84" s="2"/>
      <c r="MLN84" s="2"/>
      <c r="MLO84" s="2"/>
      <c r="MLP84" s="2"/>
      <c r="MLQ84" s="2"/>
      <c r="MLR84" s="2"/>
      <c r="MLS84" s="2"/>
      <c r="MLT84" s="2"/>
      <c r="MLU84" s="2"/>
      <c r="MLV84" s="2"/>
      <c r="MLW84" s="2"/>
      <c r="MLX84" s="2"/>
      <c r="MLY84" s="2"/>
      <c r="MLZ84" s="2"/>
      <c r="MMA84" s="2"/>
      <c r="MMB84" s="2"/>
      <c r="MMC84" s="2"/>
      <c r="MMD84" s="2"/>
      <c r="MME84" s="2"/>
      <c r="MMF84" s="2"/>
      <c r="MMG84" s="2"/>
      <c r="MMH84" s="2"/>
      <c r="MMI84" s="2"/>
      <c r="MMJ84" s="2"/>
      <c r="MMK84" s="2"/>
      <c r="MML84" s="2"/>
      <c r="MMM84" s="2"/>
      <c r="MMN84" s="2"/>
      <c r="MMO84" s="2"/>
      <c r="MMP84" s="2"/>
      <c r="MMQ84" s="2"/>
      <c r="MMR84" s="2"/>
      <c r="MMS84" s="2"/>
      <c r="MMT84" s="2"/>
      <c r="MMU84" s="2"/>
      <c r="MMV84" s="2"/>
      <c r="MMW84" s="2"/>
      <c r="MMX84" s="2"/>
      <c r="MMY84" s="2"/>
      <c r="MMZ84" s="2"/>
      <c r="MNA84" s="2"/>
      <c r="MNB84" s="2"/>
      <c r="MNC84" s="2"/>
      <c r="MND84" s="2"/>
      <c r="MNE84" s="2"/>
      <c r="MNF84" s="2"/>
      <c r="MNG84" s="2"/>
      <c r="MNH84" s="2"/>
      <c r="MNI84" s="2"/>
      <c r="MNJ84" s="2"/>
      <c r="MNK84" s="2"/>
      <c r="MNL84" s="2"/>
      <c r="MNM84" s="2"/>
      <c r="MNN84" s="2"/>
      <c r="MNO84" s="2"/>
      <c r="MNP84" s="2"/>
      <c r="MNQ84" s="2"/>
      <c r="MNR84" s="2"/>
      <c r="MNS84" s="2"/>
      <c r="MNT84" s="2"/>
      <c r="MNU84" s="2"/>
      <c r="MNV84" s="2"/>
      <c r="MNW84" s="2"/>
      <c r="MNX84" s="2"/>
      <c r="MNY84" s="2"/>
      <c r="MNZ84" s="2"/>
      <c r="MOA84" s="2"/>
      <c r="MOB84" s="2"/>
      <c r="MOC84" s="2"/>
      <c r="MOD84" s="2"/>
      <c r="MOE84" s="2"/>
      <c r="MOF84" s="2"/>
      <c r="MOG84" s="2"/>
      <c r="MOH84" s="2"/>
      <c r="MOI84" s="2"/>
      <c r="MOJ84" s="2"/>
      <c r="MOK84" s="2"/>
      <c r="MOL84" s="2"/>
      <c r="MOM84" s="2"/>
      <c r="MON84" s="2"/>
      <c r="MOO84" s="2"/>
      <c r="MOP84" s="2"/>
      <c r="MOQ84" s="2"/>
      <c r="MOR84" s="2"/>
      <c r="MOS84" s="2"/>
      <c r="MOT84" s="2"/>
      <c r="MOU84" s="2"/>
      <c r="MOV84" s="2"/>
      <c r="MOW84" s="2"/>
      <c r="MOX84" s="2"/>
      <c r="MOY84" s="2"/>
      <c r="MOZ84" s="2"/>
      <c r="MPA84" s="2"/>
      <c r="MPB84" s="2"/>
      <c r="MPC84" s="2"/>
      <c r="MPD84" s="2"/>
      <c r="MPE84" s="2"/>
      <c r="MPF84" s="2"/>
      <c r="MPG84" s="2"/>
      <c r="MPH84" s="2"/>
      <c r="MPI84" s="2"/>
      <c r="MPJ84" s="2"/>
      <c r="MPK84" s="2"/>
      <c r="MPL84" s="2"/>
      <c r="MPM84" s="2"/>
      <c r="MPN84" s="2"/>
      <c r="MPO84" s="2"/>
      <c r="MPP84" s="2"/>
      <c r="MPQ84" s="2"/>
      <c r="MPR84" s="2"/>
      <c r="MPS84" s="2"/>
      <c r="MPT84" s="2"/>
      <c r="MPU84" s="2"/>
      <c r="MPV84" s="2"/>
      <c r="MPW84" s="2"/>
      <c r="MPX84" s="2"/>
      <c r="MPY84" s="2"/>
      <c r="MPZ84" s="2"/>
      <c r="MQA84" s="2"/>
      <c r="MQB84" s="2"/>
      <c r="MQC84" s="2"/>
      <c r="MQD84" s="2"/>
      <c r="MQE84" s="2"/>
      <c r="MQF84" s="2"/>
      <c r="MQG84" s="2"/>
      <c r="MQH84" s="2"/>
      <c r="MQI84" s="2"/>
      <c r="MQJ84" s="2"/>
      <c r="MQK84" s="2"/>
      <c r="MQL84" s="2"/>
      <c r="MQM84" s="2"/>
      <c r="MQN84" s="2"/>
      <c r="MQO84" s="2"/>
      <c r="MQP84" s="2"/>
      <c r="MQQ84" s="2"/>
      <c r="MQR84" s="2"/>
      <c r="MQS84" s="2"/>
      <c r="MQT84" s="2"/>
      <c r="MQU84" s="2"/>
      <c r="MQV84" s="2"/>
      <c r="MQW84" s="2"/>
      <c r="MQX84" s="2"/>
      <c r="MQY84" s="2"/>
      <c r="MQZ84" s="2"/>
      <c r="MRA84" s="2"/>
      <c r="MRB84" s="2"/>
      <c r="MRC84" s="2"/>
      <c r="MRD84" s="2"/>
      <c r="MRE84" s="2"/>
      <c r="MRF84" s="2"/>
      <c r="MRG84" s="2"/>
      <c r="MRH84" s="2"/>
      <c r="MRI84" s="2"/>
      <c r="MRJ84" s="2"/>
      <c r="MRK84" s="2"/>
      <c r="MRL84" s="2"/>
      <c r="MRM84" s="2"/>
      <c r="MRN84" s="2"/>
      <c r="MRO84" s="2"/>
      <c r="MRP84" s="2"/>
      <c r="MRQ84" s="2"/>
      <c r="MRR84" s="2"/>
      <c r="MRS84" s="2"/>
      <c r="MRT84" s="2"/>
      <c r="MRU84" s="2"/>
      <c r="MRV84" s="2"/>
      <c r="MRW84" s="2"/>
      <c r="MRX84" s="2"/>
      <c r="MRY84" s="2"/>
      <c r="MRZ84" s="2"/>
      <c r="MSA84" s="2"/>
      <c r="MSB84" s="2"/>
      <c r="MSC84" s="2"/>
      <c r="MSD84" s="2"/>
      <c r="MSE84" s="2"/>
      <c r="MSF84" s="2"/>
      <c r="MSG84" s="2"/>
      <c r="MSH84" s="2"/>
      <c r="MSI84" s="2"/>
      <c r="MSJ84" s="2"/>
      <c r="MSK84" s="2"/>
      <c r="MSL84" s="2"/>
      <c r="MSM84" s="2"/>
      <c r="MSN84" s="2"/>
      <c r="MSO84" s="2"/>
      <c r="MSP84" s="2"/>
      <c r="MSQ84" s="2"/>
      <c r="MSR84" s="2"/>
      <c r="MSS84" s="2"/>
      <c r="MST84" s="2"/>
      <c r="MSU84" s="2"/>
      <c r="MSV84" s="2"/>
      <c r="MSW84" s="2"/>
      <c r="MSX84" s="2"/>
      <c r="MSY84" s="2"/>
      <c r="MSZ84" s="2"/>
      <c r="MTA84" s="2"/>
      <c r="MTB84" s="2"/>
      <c r="MTC84" s="2"/>
      <c r="MTD84" s="2"/>
      <c r="MTE84" s="2"/>
      <c r="MTF84" s="2"/>
      <c r="MTG84" s="2"/>
      <c r="MTH84" s="2"/>
      <c r="MTI84" s="2"/>
      <c r="MTJ84" s="2"/>
      <c r="MTK84" s="2"/>
      <c r="MTL84" s="2"/>
      <c r="MTM84" s="2"/>
      <c r="MTN84" s="2"/>
      <c r="MTO84" s="2"/>
      <c r="MTP84" s="2"/>
      <c r="MTQ84" s="2"/>
      <c r="MTR84" s="2"/>
      <c r="MTS84" s="2"/>
      <c r="MTT84" s="2"/>
      <c r="MTU84" s="2"/>
      <c r="MTV84" s="2"/>
      <c r="MTW84" s="2"/>
      <c r="MTX84" s="2"/>
      <c r="MTY84" s="2"/>
      <c r="MTZ84" s="2"/>
      <c r="MUA84" s="2"/>
      <c r="MUB84" s="2"/>
      <c r="MUC84" s="2"/>
      <c r="MUD84" s="2"/>
      <c r="MUE84" s="2"/>
      <c r="MUF84" s="2"/>
      <c r="MUG84" s="2"/>
      <c r="MUH84" s="2"/>
      <c r="MUI84" s="2"/>
      <c r="MUJ84" s="2"/>
      <c r="MUK84" s="2"/>
      <c r="MUL84" s="2"/>
      <c r="MUM84" s="2"/>
      <c r="MUN84" s="2"/>
      <c r="MUO84" s="2"/>
      <c r="MUP84" s="2"/>
      <c r="MUQ84" s="2"/>
      <c r="MUR84" s="2"/>
      <c r="MUS84" s="2"/>
      <c r="MUT84" s="2"/>
      <c r="MUU84" s="2"/>
      <c r="MUV84" s="2"/>
      <c r="MUW84" s="2"/>
      <c r="MUX84" s="2"/>
      <c r="MUY84" s="2"/>
      <c r="MUZ84" s="2"/>
      <c r="MVA84" s="2"/>
      <c r="MVB84" s="2"/>
      <c r="MVC84" s="2"/>
      <c r="MVD84" s="2"/>
      <c r="MVE84" s="2"/>
      <c r="MVF84" s="2"/>
      <c r="MVG84" s="2"/>
      <c r="MVH84" s="2"/>
      <c r="MVI84" s="2"/>
      <c r="MVJ84" s="2"/>
      <c r="MVK84" s="2"/>
      <c r="MVL84" s="2"/>
      <c r="MVM84" s="2"/>
      <c r="MVN84" s="2"/>
      <c r="MVO84" s="2"/>
      <c r="MVP84" s="2"/>
      <c r="MVQ84" s="2"/>
      <c r="MVR84" s="2"/>
      <c r="MVS84" s="2"/>
      <c r="MVT84" s="2"/>
      <c r="MVU84" s="2"/>
      <c r="MVV84" s="2"/>
      <c r="MVW84" s="2"/>
      <c r="MVX84" s="2"/>
      <c r="MVY84" s="2"/>
      <c r="MVZ84" s="2"/>
      <c r="MWA84" s="2"/>
      <c r="MWB84" s="2"/>
      <c r="MWC84" s="2"/>
      <c r="MWD84" s="2"/>
      <c r="MWE84" s="2"/>
      <c r="MWF84" s="2"/>
      <c r="MWG84" s="2"/>
      <c r="MWH84" s="2"/>
      <c r="MWI84" s="2"/>
      <c r="MWJ84" s="2"/>
      <c r="MWK84" s="2"/>
      <c r="MWL84" s="2"/>
      <c r="MWM84" s="2"/>
      <c r="MWN84" s="2"/>
      <c r="MWO84" s="2"/>
      <c r="MWP84" s="2"/>
      <c r="MWQ84" s="2"/>
      <c r="MWR84" s="2"/>
      <c r="MWS84" s="2"/>
      <c r="MWT84" s="2"/>
      <c r="MWU84" s="2"/>
      <c r="MWV84" s="2"/>
      <c r="MWW84" s="2"/>
      <c r="MWX84" s="2"/>
      <c r="MWY84" s="2"/>
      <c r="MWZ84" s="2"/>
      <c r="MXA84" s="2"/>
      <c r="MXB84" s="2"/>
      <c r="MXC84" s="2"/>
      <c r="MXD84" s="2"/>
      <c r="MXE84" s="2"/>
      <c r="MXF84" s="2"/>
      <c r="MXG84" s="2"/>
      <c r="MXH84" s="2"/>
      <c r="MXI84" s="2"/>
      <c r="MXJ84" s="2"/>
      <c r="MXK84" s="2"/>
      <c r="MXL84" s="2"/>
      <c r="MXM84" s="2"/>
      <c r="MXN84" s="2"/>
      <c r="MXO84" s="2"/>
      <c r="MXP84" s="2"/>
      <c r="MXQ84" s="2"/>
      <c r="MXR84" s="2"/>
      <c r="MXS84" s="2"/>
      <c r="MXT84" s="2"/>
      <c r="MXU84" s="2"/>
      <c r="MXV84" s="2"/>
      <c r="MXW84" s="2"/>
      <c r="MXX84" s="2"/>
      <c r="MXY84" s="2"/>
      <c r="MXZ84" s="2"/>
      <c r="MYA84" s="2"/>
      <c r="MYB84" s="2"/>
      <c r="MYC84" s="2"/>
      <c r="MYD84" s="2"/>
      <c r="MYE84" s="2"/>
      <c r="MYF84" s="2"/>
      <c r="MYG84" s="2"/>
      <c r="MYH84" s="2"/>
      <c r="MYI84" s="2"/>
      <c r="MYJ84" s="2"/>
      <c r="MYK84" s="2"/>
      <c r="MYL84" s="2"/>
      <c r="MYM84" s="2"/>
      <c r="MYN84" s="2"/>
      <c r="MYO84" s="2"/>
      <c r="MYP84" s="2"/>
      <c r="MYQ84" s="2"/>
      <c r="MYR84" s="2"/>
      <c r="MYS84" s="2"/>
      <c r="MYT84" s="2"/>
      <c r="MYU84" s="2"/>
      <c r="MYV84" s="2"/>
      <c r="MYW84" s="2"/>
      <c r="MYX84" s="2"/>
      <c r="MYY84" s="2"/>
      <c r="MYZ84" s="2"/>
      <c r="MZA84" s="2"/>
      <c r="MZB84" s="2"/>
      <c r="MZC84" s="2"/>
      <c r="MZD84" s="2"/>
      <c r="MZE84" s="2"/>
      <c r="MZF84" s="2"/>
      <c r="MZG84" s="2"/>
      <c r="MZH84" s="2"/>
      <c r="MZI84" s="2"/>
      <c r="MZJ84" s="2"/>
      <c r="MZK84" s="2"/>
      <c r="MZL84" s="2"/>
      <c r="MZM84" s="2"/>
      <c r="MZN84" s="2"/>
      <c r="MZO84" s="2"/>
      <c r="MZP84" s="2"/>
      <c r="MZQ84" s="2"/>
      <c r="MZR84" s="2"/>
      <c r="MZS84" s="2"/>
      <c r="MZT84" s="2"/>
      <c r="MZU84" s="2"/>
      <c r="MZV84" s="2"/>
      <c r="MZW84" s="2"/>
      <c r="MZX84" s="2"/>
      <c r="MZY84" s="2"/>
      <c r="MZZ84" s="2"/>
      <c r="NAA84" s="2"/>
      <c r="NAB84" s="2"/>
      <c r="NAC84" s="2"/>
      <c r="NAD84" s="2"/>
      <c r="NAE84" s="2"/>
      <c r="NAF84" s="2"/>
      <c r="NAG84" s="2"/>
      <c r="NAH84" s="2"/>
      <c r="NAI84" s="2"/>
      <c r="NAJ84" s="2"/>
      <c r="NAK84" s="2"/>
      <c r="NAL84" s="2"/>
      <c r="NAM84" s="2"/>
      <c r="NAN84" s="2"/>
      <c r="NAO84" s="2"/>
      <c r="NAP84" s="2"/>
      <c r="NAQ84" s="2"/>
      <c r="NAR84" s="2"/>
      <c r="NAS84" s="2"/>
      <c r="NAT84" s="2"/>
      <c r="NAU84" s="2"/>
      <c r="NAV84" s="2"/>
      <c r="NAW84" s="2"/>
      <c r="NAX84" s="2"/>
      <c r="NAY84" s="2"/>
      <c r="NAZ84" s="2"/>
      <c r="NBA84" s="2"/>
      <c r="NBB84" s="2"/>
      <c r="NBC84" s="2"/>
      <c r="NBD84" s="2"/>
      <c r="NBE84" s="2"/>
      <c r="NBF84" s="2"/>
      <c r="NBG84" s="2"/>
      <c r="NBH84" s="2"/>
      <c r="NBI84" s="2"/>
      <c r="NBJ84" s="2"/>
      <c r="NBK84" s="2"/>
      <c r="NBL84" s="2"/>
      <c r="NBM84" s="2"/>
      <c r="NBN84" s="2"/>
      <c r="NBO84" s="2"/>
      <c r="NBP84" s="2"/>
      <c r="NBQ84" s="2"/>
      <c r="NBR84" s="2"/>
      <c r="NBS84" s="2"/>
      <c r="NBT84" s="2"/>
      <c r="NBU84" s="2"/>
      <c r="NBV84" s="2"/>
      <c r="NBW84" s="2"/>
      <c r="NBX84" s="2"/>
      <c r="NBY84" s="2"/>
      <c r="NBZ84" s="2"/>
      <c r="NCA84" s="2"/>
      <c r="NCB84" s="2"/>
      <c r="NCC84" s="2"/>
      <c r="NCD84" s="2"/>
      <c r="NCE84" s="2"/>
      <c r="NCF84" s="2"/>
      <c r="NCG84" s="2"/>
      <c r="NCH84" s="2"/>
      <c r="NCI84" s="2"/>
      <c r="NCJ84" s="2"/>
      <c r="NCK84" s="2"/>
      <c r="NCL84" s="2"/>
      <c r="NCM84" s="2"/>
      <c r="NCN84" s="2"/>
      <c r="NCO84" s="2"/>
      <c r="NCP84" s="2"/>
      <c r="NCQ84" s="2"/>
      <c r="NCR84" s="2"/>
      <c r="NCS84" s="2"/>
      <c r="NCT84" s="2"/>
      <c r="NCU84" s="2"/>
      <c r="NCV84" s="2"/>
      <c r="NCW84" s="2"/>
      <c r="NCX84" s="2"/>
      <c r="NCY84" s="2"/>
      <c r="NCZ84" s="2"/>
      <c r="NDA84" s="2"/>
      <c r="NDB84" s="2"/>
      <c r="NDC84" s="2"/>
      <c r="NDD84" s="2"/>
      <c r="NDE84" s="2"/>
      <c r="NDF84" s="2"/>
      <c r="NDG84" s="2"/>
      <c r="NDH84" s="2"/>
      <c r="NDI84" s="2"/>
      <c r="NDJ84" s="2"/>
      <c r="NDK84" s="2"/>
      <c r="NDL84" s="2"/>
      <c r="NDM84" s="2"/>
      <c r="NDN84" s="2"/>
      <c r="NDO84" s="2"/>
      <c r="NDP84" s="2"/>
      <c r="NDQ84" s="2"/>
      <c r="NDR84" s="2"/>
      <c r="NDS84" s="2"/>
      <c r="NDT84" s="2"/>
      <c r="NDU84" s="2"/>
      <c r="NDV84" s="2"/>
      <c r="NDW84" s="2"/>
      <c r="NDX84" s="2"/>
      <c r="NDY84" s="2"/>
      <c r="NDZ84" s="2"/>
      <c r="NEA84" s="2"/>
      <c r="NEB84" s="2"/>
      <c r="NEC84" s="2"/>
      <c r="NED84" s="2"/>
      <c r="NEE84" s="2"/>
      <c r="NEF84" s="2"/>
      <c r="NEG84" s="2"/>
      <c r="NEH84" s="2"/>
      <c r="NEI84" s="2"/>
      <c r="NEJ84" s="2"/>
      <c r="NEK84" s="2"/>
      <c r="NEL84" s="2"/>
      <c r="NEM84" s="2"/>
      <c r="NEN84" s="2"/>
      <c r="NEO84" s="2"/>
      <c r="NEP84" s="2"/>
      <c r="NEQ84" s="2"/>
      <c r="NER84" s="2"/>
      <c r="NES84" s="2"/>
      <c r="NET84" s="2"/>
      <c r="NEU84" s="2"/>
      <c r="NEV84" s="2"/>
      <c r="NEW84" s="2"/>
      <c r="NEX84" s="2"/>
      <c r="NEY84" s="2"/>
      <c r="NEZ84" s="2"/>
      <c r="NFA84" s="2"/>
      <c r="NFB84" s="2"/>
      <c r="NFC84" s="2"/>
      <c r="NFD84" s="2"/>
      <c r="NFE84" s="2"/>
      <c r="NFF84" s="2"/>
      <c r="NFG84" s="2"/>
      <c r="NFH84" s="2"/>
      <c r="NFI84" s="2"/>
      <c r="NFJ84" s="2"/>
      <c r="NFK84" s="2"/>
      <c r="NFL84" s="2"/>
      <c r="NFM84" s="2"/>
      <c r="NFN84" s="2"/>
      <c r="NFO84" s="2"/>
      <c r="NFP84" s="2"/>
      <c r="NFQ84" s="2"/>
      <c r="NFR84" s="2"/>
      <c r="NFS84" s="2"/>
      <c r="NFT84" s="2"/>
      <c r="NFU84" s="2"/>
      <c r="NFV84" s="2"/>
      <c r="NFW84" s="2"/>
      <c r="NFX84" s="2"/>
      <c r="NFY84" s="2"/>
      <c r="NFZ84" s="2"/>
      <c r="NGA84" s="2"/>
      <c r="NGB84" s="2"/>
      <c r="NGC84" s="2"/>
      <c r="NGD84" s="2"/>
      <c r="NGE84" s="2"/>
      <c r="NGF84" s="2"/>
      <c r="NGG84" s="2"/>
      <c r="NGH84" s="2"/>
      <c r="NGI84" s="2"/>
      <c r="NGJ84" s="2"/>
      <c r="NGK84" s="2"/>
      <c r="NGL84" s="2"/>
      <c r="NGM84" s="2"/>
      <c r="NGN84" s="2"/>
      <c r="NGO84" s="2"/>
      <c r="NGP84" s="2"/>
      <c r="NGQ84" s="2"/>
      <c r="NGR84" s="2"/>
      <c r="NGS84" s="2"/>
      <c r="NGT84" s="2"/>
      <c r="NGU84" s="2"/>
      <c r="NGV84" s="2"/>
      <c r="NGW84" s="2"/>
      <c r="NGX84" s="2"/>
      <c r="NGY84" s="2"/>
      <c r="NGZ84" s="2"/>
      <c r="NHA84" s="2"/>
      <c r="NHB84" s="2"/>
      <c r="NHC84" s="2"/>
      <c r="NHD84" s="2"/>
      <c r="NHE84" s="2"/>
      <c r="NHF84" s="2"/>
      <c r="NHG84" s="2"/>
      <c r="NHH84" s="2"/>
      <c r="NHI84" s="2"/>
      <c r="NHJ84" s="2"/>
      <c r="NHK84" s="2"/>
      <c r="NHL84" s="2"/>
      <c r="NHM84" s="2"/>
      <c r="NHN84" s="2"/>
      <c r="NHO84" s="2"/>
      <c r="NHP84" s="2"/>
      <c r="NHQ84" s="2"/>
      <c r="NHR84" s="2"/>
      <c r="NHS84" s="2"/>
      <c r="NHT84" s="2"/>
      <c r="NHU84" s="2"/>
      <c r="NHV84" s="2"/>
      <c r="NHW84" s="2"/>
      <c r="NHX84" s="2"/>
      <c r="NHY84" s="2"/>
      <c r="NHZ84" s="2"/>
      <c r="NIA84" s="2"/>
      <c r="NIB84" s="2"/>
      <c r="NIC84" s="2"/>
      <c r="NID84" s="2"/>
      <c r="NIE84" s="2"/>
      <c r="NIF84" s="2"/>
      <c r="NIG84" s="2"/>
      <c r="NIH84" s="2"/>
      <c r="NII84" s="2"/>
      <c r="NIJ84" s="2"/>
      <c r="NIK84" s="2"/>
      <c r="NIL84" s="2"/>
      <c r="NIM84" s="2"/>
      <c r="NIN84" s="2"/>
      <c r="NIO84" s="2"/>
      <c r="NIP84" s="2"/>
      <c r="NIQ84" s="2"/>
      <c r="NIR84" s="2"/>
      <c r="NIS84" s="2"/>
      <c r="NIT84" s="2"/>
      <c r="NIU84" s="2"/>
      <c r="NIV84" s="2"/>
      <c r="NIW84" s="2"/>
      <c r="NIX84" s="2"/>
      <c r="NIY84" s="2"/>
      <c r="NIZ84" s="2"/>
      <c r="NJA84" s="2"/>
      <c r="NJB84" s="2"/>
      <c r="NJC84" s="2"/>
      <c r="NJD84" s="2"/>
      <c r="NJE84" s="2"/>
      <c r="NJF84" s="2"/>
      <c r="NJG84" s="2"/>
      <c r="NJH84" s="2"/>
      <c r="NJI84" s="2"/>
      <c r="NJJ84" s="2"/>
      <c r="NJK84" s="2"/>
      <c r="NJL84" s="2"/>
      <c r="NJM84" s="2"/>
      <c r="NJN84" s="2"/>
      <c r="NJO84" s="2"/>
      <c r="NJP84" s="2"/>
      <c r="NJQ84" s="2"/>
      <c r="NJR84" s="2"/>
      <c r="NJS84" s="2"/>
      <c r="NJT84" s="2"/>
      <c r="NJU84" s="2"/>
      <c r="NJV84" s="2"/>
      <c r="NJW84" s="2"/>
      <c r="NJX84" s="2"/>
      <c r="NJY84" s="2"/>
      <c r="NJZ84" s="2"/>
      <c r="NKA84" s="2"/>
      <c r="NKB84" s="2"/>
      <c r="NKC84" s="2"/>
      <c r="NKD84" s="2"/>
      <c r="NKE84" s="2"/>
      <c r="NKF84" s="2"/>
      <c r="NKG84" s="2"/>
      <c r="NKH84" s="2"/>
      <c r="NKI84" s="2"/>
      <c r="NKJ84" s="2"/>
      <c r="NKK84" s="2"/>
      <c r="NKL84" s="2"/>
      <c r="NKM84" s="2"/>
      <c r="NKN84" s="2"/>
      <c r="NKO84" s="2"/>
      <c r="NKP84" s="2"/>
      <c r="NKQ84" s="2"/>
      <c r="NKR84" s="2"/>
      <c r="NKS84" s="2"/>
      <c r="NKT84" s="2"/>
      <c r="NKU84" s="2"/>
      <c r="NKV84" s="2"/>
      <c r="NKW84" s="2"/>
      <c r="NKX84" s="2"/>
      <c r="NKY84" s="2"/>
      <c r="NKZ84" s="2"/>
      <c r="NLA84" s="2"/>
      <c r="NLB84" s="2"/>
      <c r="NLC84" s="2"/>
      <c r="NLD84" s="2"/>
      <c r="NLE84" s="2"/>
      <c r="NLF84" s="2"/>
      <c r="NLG84" s="2"/>
      <c r="NLH84" s="2"/>
      <c r="NLI84" s="2"/>
      <c r="NLJ84" s="2"/>
      <c r="NLK84" s="2"/>
      <c r="NLL84" s="2"/>
      <c r="NLM84" s="2"/>
      <c r="NLN84" s="2"/>
      <c r="NLO84" s="2"/>
      <c r="NLP84" s="2"/>
      <c r="NLQ84" s="2"/>
      <c r="NLR84" s="2"/>
      <c r="NLS84" s="2"/>
      <c r="NLT84" s="2"/>
      <c r="NLU84" s="2"/>
      <c r="NLV84" s="2"/>
      <c r="NLW84" s="2"/>
      <c r="NLX84" s="2"/>
      <c r="NLY84" s="2"/>
      <c r="NLZ84" s="2"/>
      <c r="NMA84" s="2"/>
      <c r="NMB84" s="2"/>
      <c r="NMC84" s="2"/>
      <c r="NMD84" s="2"/>
      <c r="NME84" s="2"/>
      <c r="NMF84" s="2"/>
      <c r="NMG84" s="2"/>
      <c r="NMH84" s="2"/>
      <c r="NMI84" s="2"/>
      <c r="NMJ84" s="2"/>
      <c r="NMK84" s="2"/>
      <c r="NML84" s="2"/>
      <c r="NMM84" s="2"/>
      <c r="NMN84" s="2"/>
      <c r="NMO84" s="2"/>
      <c r="NMP84" s="2"/>
      <c r="NMQ84" s="2"/>
      <c r="NMR84" s="2"/>
      <c r="NMS84" s="2"/>
      <c r="NMT84" s="2"/>
      <c r="NMU84" s="2"/>
      <c r="NMV84" s="2"/>
      <c r="NMW84" s="2"/>
      <c r="NMX84" s="2"/>
      <c r="NMY84" s="2"/>
      <c r="NMZ84" s="2"/>
      <c r="NNA84" s="2"/>
      <c r="NNB84" s="2"/>
      <c r="NNC84" s="2"/>
      <c r="NND84" s="2"/>
      <c r="NNE84" s="2"/>
      <c r="NNF84" s="2"/>
      <c r="NNG84" s="2"/>
      <c r="NNH84" s="2"/>
      <c r="NNI84" s="2"/>
      <c r="NNJ84" s="2"/>
      <c r="NNK84" s="2"/>
      <c r="NNL84" s="2"/>
      <c r="NNM84" s="2"/>
      <c r="NNN84" s="2"/>
      <c r="NNO84" s="2"/>
      <c r="NNP84" s="2"/>
      <c r="NNQ84" s="2"/>
      <c r="NNR84" s="2"/>
      <c r="NNS84" s="2"/>
      <c r="NNT84" s="2"/>
      <c r="NNU84" s="2"/>
      <c r="NNV84" s="2"/>
      <c r="NNW84" s="2"/>
      <c r="NNX84" s="2"/>
      <c r="NNY84" s="2"/>
      <c r="NNZ84" s="2"/>
      <c r="NOA84" s="2"/>
      <c r="NOB84" s="2"/>
      <c r="NOC84" s="2"/>
      <c r="NOD84" s="2"/>
      <c r="NOE84" s="2"/>
      <c r="NOF84" s="2"/>
      <c r="NOG84" s="2"/>
      <c r="NOH84" s="2"/>
      <c r="NOI84" s="2"/>
      <c r="NOJ84" s="2"/>
      <c r="NOK84" s="2"/>
      <c r="NOL84" s="2"/>
      <c r="NOM84" s="2"/>
      <c r="NON84" s="2"/>
      <c r="NOO84" s="2"/>
      <c r="NOP84" s="2"/>
      <c r="NOQ84" s="2"/>
      <c r="NOR84" s="2"/>
      <c r="NOS84" s="2"/>
      <c r="NOT84" s="2"/>
      <c r="NOU84" s="2"/>
      <c r="NOV84" s="2"/>
      <c r="NOW84" s="2"/>
      <c r="NOX84" s="2"/>
      <c r="NOY84" s="2"/>
      <c r="NOZ84" s="2"/>
      <c r="NPA84" s="2"/>
      <c r="NPB84" s="2"/>
      <c r="NPC84" s="2"/>
      <c r="NPD84" s="2"/>
      <c r="NPE84" s="2"/>
      <c r="NPF84" s="2"/>
      <c r="NPG84" s="2"/>
      <c r="NPH84" s="2"/>
      <c r="NPI84" s="2"/>
      <c r="NPJ84" s="2"/>
      <c r="NPK84" s="2"/>
      <c r="NPL84" s="2"/>
      <c r="NPM84" s="2"/>
      <c r="NPN84" s="2"/>
      <c r="NPO84" s="2"/>
      <c r="NPP84" s="2"/>
      <c r="NPQ84" s="2"/>
      <c r="NPR84" s="2"/>
      <c r="NPS84" s="2"/>
      <c r="NPT84" s="2"/>
      <c r="NPU84" s="2"/>
      <c r="NPV84" s="2"/>
      <c r="NPW84" s="2"/>
      <c r="NPX84" s="2"/>
      <c r="NPY84" s="2"/>
      <c r="NPZ84" s="2"/>
      <c r="NQA84" s="2"/>
      <c r="NQB84" s="2"/>
      <c r="NQC84" s="2"/>
      <c r="NQD84" s="2"/>
      <c r="NQE84" s="2"/>
      <c r="NQF84" s="2"/>
      <c r="NQG84" s="2"/>
      <c r="NQH84" s="2"/>
      <c r="NQI84" s="2"/>
      <c r="NQJ84" s="2"/>
      <c r="NQK84" s="2"/>
      <c r="NQL84" s="2"/>
      <c r="NQM84" s="2"/>
      <c r="NQN84" s="2"/>
      <c r="NQO84" s="2"/>
      <c r="NQP84" s="2"/>
      <c r="NQQ84" s="2"/>
      <c r="NQR84" s="2"/>
      <c r="NQS84" s="2"/>
      <c r="NQT84" s="2"/>
      <c r="NQU84" s="2"/>
      <c r="NQV84" s="2"/>
      <c r="NQW84" s="2"/>
      <c r="NQX84" s="2"/>
      <c r="NQY84" s="2"/>
      <c r="NQZ84" s="2"/>
      <c r="NRA84" s="2"/>
      <c r="NRB84" s="2"/>
      <c r="NRC84" s="2"/>
      <c r="NRD84" s="2"/>
      <c r="NRE84" s="2"/>
      <c r="NRF84" s="2"/>
      <c r="NRG84" s="2"/>
      <c r="NRH84" s="2"/>
      <c r="NRI84" s="2"/>
      <c r="NRJ84" s="2"/>
      <c r="NRK84" s="2"/>
      <c r="NRL84" s="2"/>
      <c r="NRM84" s="2"/>
      <c r="NRN84" s="2"/>
      <c r="NRO84" s="2"/>
      <c r="NRP84" s="2"/>
      <c r="NRQ84" s="2"/>
      <c r="NRR84" s="2"/>
      <c r="NRS84" s="2"/>
      <c r="NRT84" s="2"/>
      <c r="NRU84" s="2"/>
      <c r="NRV84" s="2"/>
      <c r="NRW84" s="2"/>
      <c r="NRX84" s="2"/>
      <c r="NRY84" s="2"/>
      <c r="NRZ84" s="2"/>
      <c r="NSA84" s="2"/>
      <c r="NSB84" s="2"/>
      <c r="NSC84" s="2"/>
      <c r="NSD84" s="2"/>
      <c r="NSE84" s="2"/>
      <c r="NSF84" s="2"/>
      <c r="NSG84" s="2"/>
      <c r="NSH84" s="2"/>
      <c r="NSI84" s="2"/>
      <c r="NSJ84" s="2"/>
      <c r="NSK84" s="2"/>
      <c r="NSL84" s="2"/>
      <c r="NSM84" s="2"/>
      <c r="NSN84" s="2"/>
      <c r="NSO84" s="2"/>
      <c r="NSP84" s="2"/>
      <c r="NSQ84" s="2"/>
      <c r="NSR84" s="2"/>
      <c r="NSS84" s="2"/>
      <c r="NST84" s="2"/>
      <c r="NSU84" s="2"/>
      <c r="NSV84" s="2"/>
      <c r="NSW84" s="2"/>
      <c r="NSX84" s="2"/>
      <c r="NSY84" s="2"/>
      <c r="NSZ84" s="2"/>
      <c r="NTA84" s="2"/>
      <c r="NTB84" s="2"/>
      <c r="NTC84" s="2"/>
      <c r="NTD84" s="2"/>
      <c r="NTE84" s="2"/>
      <c r="NTF84" s="2"/>
      <c r="NTG84" s="2"/>
      <c r="NTH84" s="2"/>
      <c r="NTI84" s="2"/>
      <c r="NTJ84" s="2"/>
      <c r="NTK84" s="2"/>
      <c r="NTL84" s="2"/>
      <c r="NTM84" s="2"/>
      <c r="NTN84" s="2"/>
      <c r="NTO84" s="2"/>
      <c r="NTP84" s="2"/>
      <c r="NTQ84" s="2"/>
      <c r="NTR84" s="2"/>
      <c r="NTS84" s="2"/>
      <c r="NTT84" s="2"/>
      <c r="NTU84" s="2"/>
      <c r="NTV84" s="2"/>
      <c r="NTW84" s="2"/>
      <c r="NTX84" s="2"/>
      <c r="NTY84" s="2"/>
      <c r="NTZ84" s="2"/>
      <c r="NUA84" s="2"/>
      <c r="NUB84" s="2"/>
      <c r="NUC84" s="2"/>
      <c r="NUD84" s="2"/>
      <c r="NUE84" s="2"/>
      <c r="NUF84" s="2"/>
      <c r="NUG84" s="2"/>
      <c r="NUH84" s="2"/>
      <c r="NUI84" s="2"/>
      <c r="NUJ84" s="2"/>
      <c r="NUK84" s="2"/>
      <c r="NUL84" s="2"/>
      <c r="NUM84" s="2"/>
      <c r="NUN84" s="2"/>
      <c r="NUO84" s="2"/>
      <c r="NUP84" s="2"/>
      <c r="NUQ84" s="2"/>
      <c r="NUR84" s="2"/>
      <c r="NUS84" s="2"/>
      <c r="NUT84" s="2"/>
      <c r="NUU84" s="2"/>
      <c r="NUV84" s="2"/>
      <c r="NUW84" s="2"/>
      <c r="NUX84" s="2"/>
      <c r="NUY84" s="2"/>
      <c r="NUZ84" s="2"/>
      <c r="NVA84" s="2"/>
      <c r="NVB84" s="2"/>
      <c r="NVC84" s="2"/>
      <c r="NVD84" s="2"/>
      <c r="NVE84" s="2"/>
      <c r="NVF84" s="2"/>
      <c r="NVG84" s="2"/>
      <c r="NVH84" s="2"/>
      <c r="NVI84" s="2"/>
      <c r="NVJ84" s="2"/>
      <c r="NVK84" s="2"/>
      <c r="NVL84" s="2"/>
      <c r="NVM84" s="2"/>
      <c r="NVN84" s="2"/>
      <c r="NVO84" s="2"/>
      <c r="NVP84" s="2"/>
      <c r="NVQ84" s="2"/>
      <c r="NVR84" s="2"/>
      <c r="NVS84" s="2"/>
      <c r="NVT84" s="2"/>
      <c r="NVU84" s="2"/>
      <c r="NVV84" s="2"/>
      <c r="NVW84" s="2"/>
      <c r="NVX84" s="2"/>
      <c r="NVY84" s="2"/>
      <c r="NVZ84" s="2"/>
      <c r="NWA84" s="2"/>
      <c r="NWB84" s="2"/>
      <c r="NWC84" s="2"/>
      <c r="NWD84" s="2"/>
      <c r="NWE84" s="2"/>
      <c r="NWF84" s="2"/>
      <c r="NWG84" s="2"/>
      <c r="NWH84" s="2"/>
      <c r="NWI84" s="2"/>
      <c r="NWJ84" s="2"/>
      <c r="NWK84" s="2"/>
      <c r="NWL84" s="2"/>
      <c r="NWM84" s="2"/>
      <c r="NWN84" s="2"/>
      <c r="NWO84" s="2"/>
      <c r="NWP84" s="2"/>
      <c r="NWQ84" s="2"/>
      <c r="NWR84" s="2"/>
      <c r="NWS84" s="2"/>
      <c r="NWT84" s="2"/>
      <c r="NWU84" s="2"/>
      <c r="NWV84" s="2"/>
      <c r="NWW84" s="2"/>
      <c r="NWX84" s="2"/>
      <c r="NWY84" s="2"/>
      <c r="NWZ84" s="2"/>
      <c r="NXA84" s="2"/>
      <c r="NXB84" s="2"/>
      <c r="NXC84" s="2"/>
      <c r="NXD84" s="2"/>
      <c r="NXE84" s="2"/>
      <c r="NXF84" s="2"/>
      <c r="NXG84" s="2"/>
      <c r="NXH84" s="2"/>
      <c r="NXI84" s="2"/>
      <c r="NXJ84" s="2"/>
      <c r="NXK84" s="2"/>
      <c r="NXL84" s="2"/>
      <c r="NXM84" s="2"/>
      <c r="NXN84" s="2"/>
      <c r="NXO84" s="2"/>
      <c r="NXP84" s="2"/>
      <c r="NXQ84" s="2"/>
      <c r="NXR84" s="2"/>
      <c r="NXS84" s="2"/>
      <c r="NXT84" s="2"/>
      <c r="NXU84" s="2"/>
      <c r="NXV84" s="2"/>
      <c r="NXW84" s="2"/>
      <c r="NXX84" s="2"/>
      <c r="NXY84" s="2"/>
      <c r="NXZ84" s="2"/>
      <c r="NYA84" s="2"/>
      <c r="NYB84" s="2"/>
      <c r="NYC84" s="2"/>
      <c r="NYD84" s="2"/>
      <c r="NYE84" s="2"/>
      <c r="NYF84" s="2"/>
      <c r="NYG84" s="2"/>
      <c r="NYH84" s="2"/>
      <c r="NYI84" s="2"/>
      <c r="NYJ84" s="2"/>
      <c r="NYK84" s="2"/>
      <c r="NYL84" s="2"/>
      <c r="NYM84" s="2"/>
      <c r="NYN84" s="2"/>
      <c r="NYO84" s="2"/>
      <c r="NYP84" s="2"/>
      <c r="NYQ84" s="2"/>
      <c r="NYR84" s="2"/>
      <c r="NYS84" s="2"/>
      <c r="NYT84" s="2"/>
      <c r="NYU84" s="2"/>
      <c r="NYV84" s="2"/>
      <c r="NYW84" s="2"/>
      <c r="NYX84" s="2"/>
      <c r="NYY84" s="2"/>
      <c r="NYZ84" s="2"/>
      <c r="NZA84" s="2"/>
      <c r="NZB84" s="2"/>
      <c r="NZC84" s="2"/>
      <c r="NZD84" s="2"/>
      <c r="NZE84" s="2"/>
      <c r="NZF84" s="2"/>
      <c r="NZG84" s="2"/>
      <c r="NZH84" s="2"/>
      <c r="NZI84" s="2"/>
      <c r="NZJ84" s="2"/>
      <c r="NZK84" s="2"/>
      <c r="NZL84" s="2"/>
      <c r="NZM84" s="2"/>
      <c r="NZN84" s="2"/>
      <c r="NZO84" s="2"/>
      <c r="NZP84" s="2"/>
      <c r="NZQ84" s="2"/>
      <c r="NZR84" s="2"/>
      <c r="NZS84" s="2"/>
      <c r="NZT84" s="2"/>
      <c r="NZU84" s="2"/>
      <c r="NZV84" s="2"/>
      <c r="NZW84" s="2"/>
      <c r="NZX84" s="2"/>
      <c r="NZY84" s="2"/>
      <c r="NZZ84" s="2"/>
      <c r="OAA84" s="2"/>
      <c r="OAB84" s="2"/>
      <c r="OAC84" s="2"/>
      <c r="OAD84" s="2"/>
      <c r="OAE84" s="2"/>
      <c r="OAF84" s="2"/>
      <c r="OAG84" s="2"/>
      <c r="OAH84" s="2"/>
      <c r="OAI84" s="2"/>
      <c r="OAJ84" s="2"/>
      <c r="OAK84" s="2"/>
      <c r="OAL84" s="2"/>
      <c r="OAM84" s="2"/>
      <c r="OAN84" s="2"/>
      <c r="OAO84" s="2"/>
      <c r="OAP84" s="2"/>
      <c r="OAQ84" s="2"/>
      <c r="OAR84" s="2"/>
      <c r="OAS84" s="2"/>
      <c r="OAT84" s="2"/>
      <c r="OAU84" s="2"/>
      <c r="OAV84" s="2"/>
      <c r="OAW84" s="2"/>
      <c r="OAX84" s="2"/>
      <c r="OAY84" s="2"/>
      <c r="OAZ84" s="2"/>
      <c r="OBA84" s="2"/>
      <c r="OBB84" s="2"/>
      <c r="OBC84" s="2"/>
      <c r="OBD84" s="2"/>
      <c r="OBE84" s="2"/>
      <c r="OBF84" s="2"/>
      <c r="OBG84" s="2"/>
      <c r="OBH84" s="2"/>
      <c r="OBI84" s="2"/>
      <c r="OBJ84" s="2"/>
      <c r="OBK84" s="2"/>
      <c r="OBL84" s="2"/>
      <c r="OBM84" s="2"/>
      <c r="OBN84" s="2"/>
      <c r="OBO84" s="2"/>
      <c r="OBP84" s="2"/>
      <c r="OBQ84" s="2"/>
      <c r="OBR84" s="2"/>
      <c r="OBS84" s="2"/>
      <c r="OBT84" s="2"/>
      <c r="OBU84" s="2"/>
      <c r="OBV84" s="2"/>
      <c r="OBW84" s="2"/>
      <c r="OBX84" s="2"/>
      <c r="OBY84" s="2"/>
      <c r="OBZ84" s="2"/>
      <c r="OCA84" s="2"/>
      <c r="OCB84" s="2"/>
      <c r="OCC84" s="2"/>
      <c r="OCD84" s="2"/>
      <c r="OCE84" s="2"/>
      <c r="OCF84" s="2"/>
      <c r="OCG84" s="2"/>
      <c r="OCH84" s="2"/>
      <c r="OCI84" s="2"/>
      <c r="OCJ84" s="2"/>
      <c r="OCK84" s="2"/>
      <c r="OCL84" s="2"/>
      <c r="OCM84" s="2"/>
      <c r="OCN84" s="2"/>
      <c r="OCO84" s="2"/>
      <c r="OCP84" s="2"/>
      <c r="OCQ84" s="2"/>
      <c r="OCR84" s="2"/>
      <c r="OCS84" s="2"/>
      <c r="OCT84" s="2"/>
      <c r="OCU84" s="2"/>
      <c r="OCV84" s="2"/>
      <c r="OCW84" s="2"/>
      <c r="OCX84" s="2"/>
      <c r="OCY84" s="2"/>
      <c r="OCZ84" s="2"/>
      <c r="ODA84" s="2"/>
      <c r="ODB84" s="2"/>
      <c r="ODC84" s="2"/>
      <c r="ODD84" s="2"/>
      <c r="ODE84" s="2"/>
      <c r="ODF84" s="2"/>
      <c r="ODG84" s="2"/>
      <c r="ODH84" s="2"/>
      <c r="ODI84" s="2"/>
      <c r="ODJ84" s="2"/>
      <c r="ODK84" s="2"/>
      <c r="ODL84" s="2"/>
      <c r="ODM84" s="2"/>
      <c r="ODN84" s="2"/>
      <c r="ODO84" s="2"/>
      <c r="ODP84" s="2"/>
      <c r="ODQ84" s="2"/>
      <c r="ODR84" s="2"/>
      <c r="ODS84" s="2"/>
      <c r="ODT84" s="2"/>
      <c r="ODU84" s="2"/>
      <c r="ODV84" s="2"/>
      <c r="ODW84" s="2"/>
      <c r="ODX84" s="2"/>
      <c r="ODY84" s="2"/>
      <c r="ODZ84" s="2"/>
      <c r="OEA84" s="2"/>
      <c r="OEB84" s="2"/>
      <c r="OEC84" s="2"/>
      <c r="OED84" s="2"/>
      <c r="OEE84" s="2"/>
      <c r="OEF84" s="2"/>
      <c r="OEG84" s="2"/>
      <c r="OEH84" s="2"/>
      <c r="OEI84" s="2"/>
      <c r="OEJ84" s="2"/>
      <c r="OEK84" s="2"/>
      <c r="OEL84" s="2"/>
      <c r="OEM84" s="2"/>
      <c r="OEN84" s="2"/>
      <c r="OEO84" s="2"/>
      <c r="OEP84" s="2"/>
      <c r="OEQ84" s="2"/>
      <c r="OER84" s="2"/>
      <c r="OES84" s="2"/>
      <c r="OET84" s="2"/>
      <c r="OEU84" s="2"/>
      <c r="OEV84" s="2"/>
      <c r="OEW84" s="2"/>
      <c r="OEX84" s="2"/>
      <c r="OEY84" s="2"/>
      <c r="OEZ84" s="2"/>
      <c r="OFA84" s="2"/>
      <c r="OFB84" s="2"/>
      <c r="OFC84" s="2"/>
      <c r="OFD84" s="2"/>
      <c r="OFE84" s="2"/>
      <c r="OFF84" s="2"/>
      <c r="OFG84" s="2"/>
      <c r="OFH84" s="2"/>
      <c r="OFI84" s="2"/>
      <c r="OFJ84" s="2"/>
      <c r="OFK84" s="2"/>
      <c r="OFL84" s="2"/>
      <c r="OFM84" s="2"/>
      <c r="OFN84" s="2"/>
      <c r="OFO84" s="2"/>
      <c r="OFP84" s="2"/>
      <c r="OFQ84" s="2"/>
      <c r="OFR84" s="2"/>
      <c r="OFS84" s="2"/>
      <c r="OFT84" s="2"/>
      <c r="OFU84" s="2"/>
      <c r="OFV84" s="2"/>
      <c r="OFW84" s="2"/>
      <c r="OFX84" s="2"/>
      <c r="OFY84" s="2"/>
      <c r="OFZ84" s="2"/>
      <c r="OGA84" s="2"/>
      <c r="OGB84" s="2"/>
      <c r="OGC84" s="2"/>
      <c r="OGD84" s="2"/>
      <c r="OGE84" s="2"/>
      <c r="OGF84" s="2"/>
      <c r="OGG84" s="2"/>
      <c r="OGH84" s="2"/>
      <c r="OGI84" s="2"/>
      <c r="OGJ84" s="2"/>
      <c r="OGK84" s="2"/>
      <c r="OGL84" s="2"/>
      <c r="OGM84" s="2"/>
      <c r="OGN84" s="2"/>
      <c r="OGO84" s="2"/>
      <c r="OGP84" s="2"/>
      <c r="OGQ84" s="2"/>
      <c r="OGR84" s="2"/>
      <c r="OGS84" s="2"/>
      <c r="OGT84" s="2"/>
      <c r="OGU84" s="2"/>
      <c r="OGV84" s="2"/>
      <c r="OGW84" s="2"/>
      <c r="OGX84" s="2"/>
      <c r="OGY84" s="2"/>
      <c r="OGZ84" s="2"/>
      <c r="OHA84" s="2"/>
      <c r="OHB84" s="2"/>
      <c r="OHC84" s="2"/>
      <c r="OHD84" s="2"/>
      <c r="OHE84" s="2"/>
      <c r="OHF84" s="2"/>
      <c r="OHG84" s="2"/>
      <c r="OHH84" s="2"/>
      <c r="OHI84" s="2"/>
      <c r="OHJ84" s="2"/>
      <c r="OHK84" s="2"/>
      <c r="OHL84" s="2"/>
      <c r="OHM84" s="2"/>
      <c r="OHN84" s="2"/>
      <c r="OHO84" s="2"/>
      <c r="OHP84" s="2"/>
      <c r="OHQ84" s="2"/>
      <c r="OHR84" s="2"/>
      <c r="OHS84" s="2"/>
      <c r="OHT84" s="2"/>
      <c r="OHU84" s="2"/>
      <c r="OHV84" s="2"/>
      <c r="OHW84" s="2"/>
      <c r="OHX84" s="2"/>
      <c r="OHY84" s="2"/>
      <c r="OHZ84" s="2"/>
      <c r="OIA84" s="2"/>
      <c r="OIB84" s="2"/>
      <c r="OIC84" s="2"/>
      <c r="OID84" s="2"/>
      <c r="OIE84" s="2"/>
      <c r="OIF84" s="2"/>
      <c r="OIG84" s="2"/>
      <c r="OIH84" s="2"/>
      <c r="OII84" s="2"/>
      <c r="OIJ84" s="2"/>
      <c r="OIK84" s="2"/>
      <c r="OIL84" s="2"/>
      <c r="OIM84" s="2"/>
      <c r="OIN84" s="2"/>
      <c r="OIO84" s="2"/>
      <c r="OIP84" s="2"/>
      <c r="OIQ84" s="2"/>
      <c r="OIR84" s="2"/>
      <c r="OIS84" s="2"/>
      <c r="OIT84" s="2"/>
      <c r="OIU84" s="2"/>
      <c r="OIV84" s="2"/>
      <c r="OIW84" s="2"/>
      <c r="OIX84" s="2"/>
      <c r="OIY84" s="2"/>
      <c r="OIZ84" s="2"/>
      <c r="OJA84" s="2"/>
      <c r="OJB84" s="2"/>
      <c r="OJC84" s="2"/>
      <c r="OJD84" s="2"/>
      <c r="OJE84" s="2"/>
      <c r="OJF84" s="2"/>
      <c r="OJG84" s="2"/>
      <c r="OJH84" s="2"/>
      <c r="OJI84" s="2"/>
      <c r="OJJ84" s="2"/>
      <c r="OJK84" s="2"/>
      <c r="OJL84" s="2"/>
      <c r="OJM84" s="2"/>
      <c r="OJN84" s="2"/>
      <c r="OJO84" s="2"/>
      <c r="OJP84" s="2"/>
      <c r="OJQ84" s="2"/>
      <c r="OJR84" s="2"/>
      <c r="OJS84" s="2"/>
      <c r="OJT84" s="2"/>
      <c r="OJU84" s="2"/>
      <c r="OJV84" s="2"/>
      <c r="OJW84" s="2"/>
      <c r="OJX84" s="2"/>
      <c r="OJY84" s="2"/>
      <c r="OJZ84" s="2"/>
      <c r="OKA84" s="2"/>
      <c r="OKB84" s="2"/>
      <c r="OKC84" s="2"/>
      <c r="OKD84" s="2"/>
      <c r="OKE84" s="2"/>
      <c r="OKF84" s="2"/>
      <c r="OKG84" s="2"/>
      <c r="OKH84" s="2"/>
      <c r="OKI84" s="2"/>
      <c r="OKJ84" s="2"/>
      <c r="OKK84" s="2"/>
      <c r="OKL84" s="2"/>
      <c r="OKM84" s="2"/>
      <c r="OKN84" s="2"/>
      <c r="OKO84" s="2"/>
      <c r="OKP84" s="2"/>
      <c r="OKQ84" s="2"/>
      <c r="OKR84" s="2"/>
      <c r="OKS84" s="2"/>
      <c r="OKT84" s="2"/>
      <c r="OKU84" s="2"/>
      <c r="OKV84" s="2"/>
      <c r="OKW84" s="2"/>
      <c r="OKX84" s="2"/>
      <c r="OKY84" s="2"/>
      <c r="OKZ84" s="2"/>
      <c r="OLA84" s="2"/>
      <c r="OLB84" s="2"/>
      <c r="OLC84" s="2"/>
      <c r="OLD84" s="2"/>
      <c r="OLE84" s="2"/>
      <c r="OLF84" s="2"/>
      <c r="OLG84" s="2"/>
      <c r="OLH84" s="2"/>
      <c r="OLI84" s="2"/>
      <c r="OLJ84" s="2"/>
      <c r="OLK84" s="2"/>
      <c r="OLL84" s="2"/>
      <c r="OLM84" s="2"/>
      <c r="OLN84" s="2"/>
      <c r="OLO84" s="2"/>
      <c r="OLP84" s="2"/>
      <c r="OLQ84" s="2"/>
      <c r="OLR84" s="2"/>
      <c r="OLS84" s="2"/>
      <c r="OLT84" s="2"/>
      <c r="OLU84" s="2"/>
      <c r="OLV84" s="2"/>
      <c r="OLW84" s="2"/>
      <c r="OLX84" s="2"/>
      <c r="OLY84" s="2"/>
      <c r="OLZ84" s="2"/>
      <c r="OMA84" s="2"/>
      <c r="OMB84" s="2"/>
      <c r="OMC84" s="2"/>
      <c r="OMD84" s="2"/>
      <c r="OME84" s="2"/>
      <c r="OMF84" s="2"/>
      <c r="OMG84" s="2"/>
      <c r="OMH84" s="2"/>
      <c r="OMI84" s="2"/>
      <c r="OMJ84" s="2"/>
      <c r="OMK84" s="2"/>
      <c r="OML84" s="2"/>
      <c r="OMM84" s="2"/>
      <c r="OMN84" s="2"/>
      <c r="OMO84" s="2"/>
      <c r="OMP84" s="2"/>
      <c r="OMQ84" s="2"/>
      <c r="OMR84" s="2"/>
      <c r="OMS84" s="2"/>
      <c r="OMT84" s="2"/>
      <c r="OMU84" s="2"/>
      <c r="OMV84" s="2"/>
      <c r="OMW84" s="2"/>
      <c r="OMX84" s="2"/>
      <c r="OMY84" s="2"/>
      <c r="OMZ84" s="2"/>
      <c r="ONA84" s="2"/>
      <c r="ONB84" s="2"/>
      <c r="ONC84" s="2"/>
      <c r="OND84" s="2"/>
      <c r="ONE84" s="2"/>
      <c r="ONF84" s="2"/>
      <c r="ONG84" s="2"/>
      <c r="ONH84" s="2"/>
      <c r="ONI84" s="2"/>
      <c r="ONJ84" s="2"/>
      <c r="ONK84" s="2"/>
      <c r="ONL84" s="2"/>
      <c r="ONM84" s="2"/>
      <c r="ONN84" s="2"/>
      <c r="ONO84" s="2"/>
      <c r="ONP84" s="2"/>
      <c r="ONQ84" s="2"/>
      <c r="ONR84" s="2"/>
      <c r="ONS84" s="2"/>
      <c r="ONT84" s="2"/>
      <c r="ONU84" s="2"/>
      <c r="ONV84" s="2"/>
      <c r="ONW84" s="2"/>
      <c r="ONX84" s="2"/>
      <c r="ONY84" s="2"/>
      <c r="ONZ84" s="2"/>
      <c r="OOA84" s="2"/>
      <c r="OOB84" s="2"/>
      <c r="OOC84" s="2"/>
      <c r="OOD84" s="2"/>
      <c r="OOE84" s="2"/>
      <c r="OOF84" s="2"/>
      <c r="OOG84" s="2"/>
      <c r="OOH84" s="2"/>
      <c r="OOI84" s="2"/>
      <c r="OOJ84" s="2"/>
      <c r="OOK84" s="2"/>
      <c r="OOL84" s="2"/>
      <c r="OOM84" s="2"/>
      <c r="OON84" s="2"/>
      <c r="OOO84" s="2"/>
      <c r="OOP84" s="2"/>
      <c r="OOQ84" s="2"/>
      <c r="OOR84" s="2"/>
      <c r="OOS84" s="2"/>
      <c r="OOT84" s="2"/>
      <c r="OOU84" s="2"/>
      <c r="OOV84" s="2"/>
      <c r="OOW84" s="2"/>
      <c r="OOX84" s="2"/>
      <c r="OOY84" s="2"/>
      <c r="OOZ84" s="2"/>
      <c r="OPA84" s="2"/>
      <c r="OPB84" s="2"/>
      <c r="OPC84" s="2"/>
      <c r="OPD84" s="2"/>
      <c r="OPE84" s="2"/>
      <c r="OPF84" s="2"/>
      <c r="OPG84" s="2"/>
      <c r="OPH84" s="2"/>
      <c r="OPI84" s="2"/>
      <c r="OPJ84" s="2"/>
      <c r="OPK84" s="2"/>
      <c r="OPL84" s="2"/>
      <c r="OPM84" s="2"/>
      <c r="OPN84" s="2"/>
      <c r="OPO84" s="2"/>
      <c r="OPP84" s="2"/>
      <c r="OPQ84" s="2"/>
      <c r="OPR84" s="2"/>
      <c r="OPS84" s="2"/>
      <c r="OPT84" s="2"/>
      <c r="OPU84" s="2"/>
      <c r="OPV84" s="2"/>
      <c r="OPW84" s="2"/>
      <c r="OPX84" s="2"/>
      <c r="OPY84" s="2"/>
      <c r="OPZ84" s="2"/>
      <c r="OQA84" s="2"/>
      <c r="OQB84" s="2"/>
      <c r="OQC84" s="2"/>
      <c r="OQD84" s="2"/>
      <c r="OQE84" s="2"/>
      <c r="OQF84" s="2"/>
      <c r="OQG84" s="2"/>
      <c r="OQH84" s="2"/>
      <c r="OQI84" s="2"/>
      <c r="OQJ84" s="2"/>
      <c r="OQK84" s="2"/>
      <c r="OQL84" s="2"/>
      <c r="OQM84" s="2"/>
      <c r="OQN84" s="2"/>
      <c r="OQO84" s="2"/>
      <c r="OQP84" s="2"/>
      <c r="OQQ84" s="2"/>
      <c r="OQR84" s="2"/>
      <c r="OQS84" s="2"/>
      <c r="OQT84" s="2"/>
      <c r="OQU84" s="2"/>
      <c r="OQV84" s="2"/>
      <c r="OQW84" s="2"/>
      <c r="OQX84" s="2"/>
      <c r="OQY84" s="2"/>
      <c r="OQZ84" s="2"/>
      <c r="ORA84" s="2"/>
      <c r="ORB84" s="2"/>
      <c r="ORC84" s="2"/>
      <c r="ORD84" s="2"/>
      <c r="ORE84" s="2"/>
      <c r="ORF84" s="2"/>
      <c r="ORG84" s="2"/>
      <c r="ORH84" s="2"/>
      <c r="ORI84" s="2"/>
      <c r="ORJ84" s="2"/>
      <c r="ORK84" s="2"/>
      <c r="ORL84" s="2"/>
      <c r="ORM84" s="2"/>
      <c r="ORN84" s="2"/>
      <c r="ORO84" s="2"/>
      <c r="ORP84" s="2"/>
      <c r="ORQ84" s="2"/>
      <c r="ORR84" s="2"/>
      <c r="ORS84" s="2"/>
      <c r="ORT84" s="2"/>
      <c r="ORU84" s="2"/>
      <c r="ORV84" s="2"/>
      <c r="ORW84" s="2"/>
      <c r="ORX84" s="2"/>
      <c r="ORY84" s="2"/>
      <c r="ORZ84" s="2"/>
      <c r="OSA84" s="2"/>
      <c r="OSB84" s="2"/>
      <c r="OSC84" s="2"/>
      <c r="OSD84" s="2"/>
      <c r="OSE84" s="2"/>
      <c r="OSF84" s="2"/>
      <c r="OSG84" s="2"/>
      <c r="OSH84" s="2"/>
      <c r="OSI84" s="2"/>
      <c r="OSJ84" s="2"/>
      <c r="OSK84" s="2"/>
      <c r="OSL84" s="2"/>
      <c r="OSM84" s="2"/>
      <c r="OSN84" s="2"/>
      <c r="OSO84" s="2"/>
      <c r="OSP84" s="2"/>
      <c r="OSQ84" s="2"/>
      <c r="OSR84" s="2"/>
      <c r="OSS84" s="2"/>
      <c r="OST84" s="2"/>
      <c r="OSU84" s="2"/>
      <c r="OSV84" s="2"/>
      <c r="OSW84" s="2"/>
      <c r="OSX84" s="2"/>
      <c r="OSY84" s="2"/>
      <c r="OSZ84" s="2"/>
      <c r="OTA84" s="2"/>
      <c r="OTB84" s="2"/>
      <c r="OTC84" s="2"/>
      <c r="OTD84" s="2"/>
      <c r="OTE84" s="2"/>
      <c r="OTF84" s="2"/>
      <c r="OTG84" s="2"/>
      <c r="OTH84" s="2"/>
      <c r="OTI84" s="2"/>
      <c r="OTJ84" s="2"/>
      <c r="OTK84" s="2"/>
      <c r="OTL84" s="2"/>
      <c r="OTM84" s="2"/>
      <c r="OTN84" s="2"/>
      <c r="OTO84" s="2"/>
      <c r="OTP84" s="2"/>
      <c r="OTQ84" s="2"/>
      <c r="OTR84" s="2"/>
      <c r="OTS84" s="2"/>
      <c r="OTT84" s="2"/>
      <c r="OTU84" s="2"/>
      <c r="OTV84" s="2"/>
      <c r="OTW84" s="2"/>
      <c r="OTX84" s="2"/>
      <c r="OTY84" s="2"/>
      <c r="OTZ84" s="2"/>
      <c r="OUA84" s="2"/>
      <c r="OUB84" s="2"/>
      <c r="OUC84" s="2"/>
      <c r="OUD84" s="2"/>
      <c r="OUE84" s="2"/>
      <c r="OUF84" s="2"/>
      <c r="OUG84" s="2"/>
      <c r="OUH84" s="2"/>
      <c r="OUI84" s="2"/>
      <c r="OUJ84" s="2"/>
      <c r="OUK84" s="2"/>
      <c r="OUL84" s="2"/>
      <c r="OUM84" s="2"/>
      <c r="OUN84" s="2"/>
      <c r="OUO84" s="2"/>
      <c r="OUP84" s="2"/>
      <c r="OUQ84" s="2"/>
      <c r="OUR84" s="2"/>
      <c r="OUS84" s="2"/>
      <c r="OUT84" s="2"/>
      <c r="OUU84" s="2"/>
      <c r="OUV84" s="2"/>
      <c r="OUW84" s="2"/>
      <c r="OUX84" s="2"/>
      <c r="OUY84" s="2"/>
      <c r="OUZ84" s="2"/>
      <c r="OVA84" s="2"/>
      <c r="OVB84" s="2"/>
      <c r="OVC84" s="2"/>
      <c r="OVD84" s="2"/>
      <c r="OVE84" s="2"/>
      <c r="OVF84" s="2"/>
      <c r="OVG84" s="2"/>
      <c r="OVH84" s="2"/>
      <c r="OVI84" s="2"/>
      <c r="OVJ84" s="2"/>
      <c r="OVK84" s="2"/>
      <c r="OVL84" s="2"/>
      <c r="OVM84" s="2"/>
      <c r="OVN84" s="2"/>
      <c r="OVO84" s="2"/>
      <c r="OVP84" s="2"/>
      <c r="OVQ84" s="2"/>
      <c r="OVR84" s="2"/>
      <c r="OVS84" s="2"/>
      <c r="OVT84" s="2"/>
      <c r="OVU84" s="2"/>
      <c r="OVV84" s="2"/>
      <c r="OVW84" s="2"/>
      <c r="OVX84" s="2"/>
      <c r="OVY84" s="2"/>
      <c r="OVZ84" s="2"/>
      <c r="OWA84" s="2"/>
      <c r="OWB84" s="2"/>
      <c r="OWC84" s="2"/>
      <c r="OWD84" s="2"/>
      <c r="OWE84" s="2"/>
      <c r="OWF84" s="2"/>
      <c r="OWG84" s="2"/>
      <c r="OWH84" s="2"/>
      <c r="OWI84" s="2"/>
      <c r="OWJ84" s="2"/>
      <c r="OWK84" s="2"/>
      <c r="OWL84" s="2"/>
      <c r="OWM84" s="2"/>
      <c r="OWN84" s="2"/>
      <c r="OWO84" s="2"/>
      <c r="OWP84" s="2"/>
      <c r="OWQ84" s="2"/>
      <c r="OWR84" s="2"/>
      <c r="OWS84" s="2"/>
      <c r="OWT84" s="2"/>
      <c r="OWU84" s="2"/>
      <c r="OWV84" s="2"/>
      <c r="OWW84" s="2"/>
      <c r="OWX84" s="2"/>
      <c r="OWY84" s="2"/>
      <c r="OWZ84" s="2"/>
      <c r="OXA84" s="2"/>
      <c r="OXB84" s="2"/>
      <c r="OXC84" s="2"/>
      <c r="OXD84" s="2"/>
      <c r="OXE84" s="2"/>
      <c r="OXF84" s="2"/>
      <c r="OXG84" s="2"/>
      <c r="OXH84" s="2"/>
      <c r="OXI84" s="2"/>
      <c r="OXJ84" s="2"/>
      <c r="OXK84" s="2"/>
      <c r="OXL84" s="2"/>
      <c r="OXM84" s="2"/>
      <c r="OXN84" s="2"/>
      <c r="OXO84" s="2"/>
      <c r="OXP84" s="2"/>
      <c r="OXQ84" s="2"/>
      <c r="OXR84" s="2"/>
      <c r="OXS84" s="2"/>
      <c r="OXT84" s="2"/>
      <c r="OXU84" s="2"/>
      <c r="OXV84" s="2"/>
      <c r="OXW84" s="2"/>
      <c r="OXX84" s="2"/>
      <c r="OXY84" s="2"/>
      <c r="OXZ84" s="2"/>
      <c r="OYA84" s="2"/>
      <c r="OYB84" s="2"/>
      <c r="OYC84" s="2"/>
      <c r="OYD84" s="2"/>
      <c r="OYE84" s="2"/>
      <c r="OYF84" s="2"/>
      <c r="OYG84" s="2"/>
      <c r="OYH84" s="2"/>
      <c r="OYI84" s="2"/>
      <c r="OYJ84" s="2"/>
      <c r="OYK84" s="2"/>
      <c r="OYL84" s="2"/>
      <c r="OYM84" s="2"/>
      <c r="OYN84" s="2"/>
      <c r="OYO84" s="2"/>
      <c r="OYP84" s="2"/>
      <c r="OYQ84" s="2"/>
      <c r="OYR84" s="2"/>
      <c r="OYS84" s="2"/>
      <c r="OYT84" s="2"/>
      <c r="OYU84" s="2"/>
      <c r="OYV84" s="2"/>
      <c r="OYW84" s="2"/>
      <c r="OYX84" s="2"/>
      <c r="OYY84" s="2"/>
      <c r="OYZ84" s="2"/>
      <c r="OZA84" s="2"/>
      <c r="OZB84" s="2"/>
      <c r="OZC84" s="2"/>
      <c r="OZD84" s="2"/>
      <c r="OZE84" s="2"/>
      <c r="OZF84" s="2"/>
      <c r="OZG84" s="2"/>
      <c r="OZH84" s="2"/>
      <c r="OZI84" s="2"/>
      <c r="OZJ84" s="2"/>
      <c r="OZK84" s="2"/>
      <c r="OZL84" s="2"/>
      <c r="OZM84" s="2"/>
      <c r="OZN84" s="2"/>
      <c r="OZO84" s="2"/>
      <c r="OZP84" s="2"/>
      <c r="OZQ84" s="2"/>
      <c r="OZR84" s="2"/>
      <c r="OZS84" s="2"/>
      <c r="OZT84" s="2"/>
      <c r="OZU84" s="2"/>
      <c r="OZV84" s="2"/>
      <c r="OZW84" s="2"/>
      <c r="OZX84" s="2"/>
      <c r="OZY84" s="2"/>
      <c r="OZZ84" s="2"/>
      <c r="PAA84" s="2"/>
      <c r="PAB84" s="2"/>
      <c r="PAC84" s="2"/>
      <c r="PAD84" s="2"/>
      <c r="PAE84" s="2"/>
      <c r="PAF84" s="2"/>
      <c r="PAG84" s="2"/>
      <c r="PAH84" s="2"/>
      <c r="PAI84" s="2"/>
      <c r="PAJ84" s="2"/>
      <c r="PAK84" s="2"/>
      <c r="PAL84" s="2"/>
      <c r="PAM84" s="2"/>
      <c r="PAN84" s="2"/>
      <c r="PAO84" s="2"/>
      <c r="PAP84" s="2"/>
      <c r="PAQ84" s="2"/>
      <c r="PAR84" s="2"/>
      <c r="PAS84" s="2"/>
      <c r="PAT84" s="2"/>
      <c r="PAU84" s="2"/>
      <c r="PAV84" s="2"/>
      <c r="PAW84" s="2"/>
      <c r="PAX84" s="2"/>
      <c r="PAY84" s="2"/>
      <c r="PAZ84" s="2"/>
      <c r="PBA84" s="2"/>
      <c r="PBB84" s="2"/>
      <c r="PBC84" s="2"/>
      <c r="PBD84" s="2"/>
      <c r="PBE84" s="2"/>
      <c r="PBF84" s="2"/>
      <c r="PBG84" s="2"/>
      <c r="PBH84" s="2"/>
      <c r="PBI84" s="2"/>
      <c r="PBJ84" s="2"/>
      <c r="PBK84" s="2"/>
      <c r="PBL84" s="2"/>
      <c r="PBM84" s="2"/>
      <c r="PBN84" s="2"/>
      <c r="PBO84" s="2"/>
      <c r="PBP84" s="2"/>
      <c r="PBQ84" s="2"/>
      <c r="PBR84" s="2"/>
      <c r="PBS84" s="2"/>
      <c r="PBT84" s="2"/>
      <c r="PBU84" s="2"/>
      <c r="PBV84" s="2"/>
      <c r="PBW84" s="2"/>
      <c r="PBX84" s="2"/>
      <c r="PBY84" s="2"/>
      <c r="PBZ84" s="2"/>
      <c r="PCA84" s="2"/>
      <c r="PCB84" s="2"/>
      <c r="PCC84" s="2"/>
      <c r="PCD84" s="2"/>
      <c r="PCE84" s="2"/>
      <c r="PCF84" s="2"/>
      <c r="PCG84" s="2"/>
      <c r="PCH84" s="2"/>
      <c r="PCI84" s="2"/>
      <c r="PCJ84" s="2"/>
      <c r="PCK84" s="2"/>
      <c r="PCL84" s="2"/>
      <c r="PCM84" s="2"/>
      <c r="PCN84" s="2"/>
      <c r="PCO84" s="2"/>
      <c r="PCP84" s="2"/>
      <c r="PCQ84" s="2"/>
      <c r="PCR84" s="2"/>
      <c r="PCS84" s="2"/>
      <c r="PCT84" s="2"/>
      <c r="PCU84" s="2"/>
      <c r="PCV84" s="2"/>
      <c r="PCW84" s="2"/>
      <c r="PCX84" s="2"/>
      <c r="PCY84" s="2"/>
      <c r="PCZ84" s="2"/>
      <c r="PDA84" s="2"/>
      <c r="PDB84" s="2"/>
      <c r="PDC84" s="2"/>
      <c r="PDD84" s="2"/>
      <c r="PDE84" s="2"/>
      <c r="PDF84" s="2"/>
      <c r="PDG84" s="2"/>
      <c r="PDH84" s="2"/>
      <c r="PDI84" s="2"/>
      <c r="PDJ84" s="2"/>
      <c r="PDK84" s="2"/>
      <c r="PDL84" s="2"/>
      <c r="PDM84" s="2"/>
      <c r="PDN84" s="2"/>
      <c r="PDO84" s="2"/>
      <c r="PDP84" s="2"/>
      <c r="PDQ84" s="2"/>
      <c r="PDR84" s="2"/>
      <c r="PDS84" s="2"/>
      <c r="PDT84" s="2"/>
      <c r="PDU84" s="2"/>
      <c r="PDV84" s="2"/>
      <c r="PDW84" s="2"/>
      <c r="PDX84" s="2"/>
      <c r="PDY84" s="2"/>
      <c r="PDZ84" s="2"/>
      <c r="PEA84" s="2"/>
      <c r="PEB84" s="2"/>
      <c r="PEC84" s="2"/>
      <c r="PED84" s="2"/>
      <c r="PEE84" s="2"/>
      <c r="PEF84" s="2"/>
      <c r="PEG84" s="2"/>
      <c r="PEH84" s="2"/>
      <c r="PEI84" s="2"/>
      <c r="PEJ84" s="2"/>
      <c r="PEK84" s="2"/>
      <c r="PEL84" s="2"/>
      <c r="PEM84" s="2"/>
      <c r="PEN84" s="2"/>
      <c r="PEO84" s="2"/>
      <c r="PEP84" s="2"/>
      <c r="PEQ84" s="2"/>
      <c r="PER84" s="2"/>
      <c r="PES84" s="2"/>
      <c r="PET84" s="2"/>
      <c r="PEU84" s="2"/>
      <c r="PEV84" s="2"/>
      <c r="PEW84" s="2"/>
      <c r="PEX84" s="2"/>
      <c r="PEY84" s="2"/>
      <c r="PEZ84" s="2"/>
      <c r="PFA84" s="2"/>
      <c r="PFB84" s="2"/>
      <c r="PFC84" s="2"/>
      <c r="PFD84" s="2"/>
      <c r="PFE84" s="2"/>
      <c r="PFF84" s="2"/>
      <c r="PFG84" s="2"/>
      <c r="PFH84" s="2"/>
      <c r="PFI84" s="2"/>
      <c r="PFJ84" s="2"/>
      <c r="PFK84" s="2"/>
      <c r="PFL84" s="2"/>
      <c r="PFM84" s="2"/>
      <c r="PFN84" s="2"/>
      <c r="PFO84" s="2"/>
      <c r="PFP84" s="2"/>
      <c r="PFQ84" s="2"/>
      <c r="PFR84" s="2"/>
      <c r="PFS84" s="2"/>
      <c r="PFT84" s="2"/>
      <c r="PFU84" s="2"/>
      <c r="PFV84" s="2"/>
      <c r="PFW84" s="2"/>
      <c r="PFX84" s="2"/>
      <c r="PFY84" s="2"/>
      <c r="PFZ84" s="2"/>
      <c r="PGA84" s="2"/>
      <c r="PGB84" s="2"/>
      <c r="PGC84" s="2"/>
      <c r="PGD84" s="2"/>
      <c r="PGE84" s="2"/>
      <c r="PGF84" s="2"/>
      <c r="PGG84" s="2"/>
      <c r="PGH84" s="2"/>
      <c r="PGI84" s="2"/>
      <c r="PGJ84" s="2"/>
      <c r="PGK84" s="2"/>
      <c r="PGL84" s="2"/>
      <c r="PGM84" s="2"/>
      <c r="PGN84" s="2"/>
      <c r="PGO84" s="2"/>
      <c r="PGP84" s="2"/>
      <c r="PGQ84" s="2"/>
      <c r="PGR84" s="2"/>
      <c r="PGS84" s="2"/>
      <c r="PGT84" s="2"/>
      <c r="PGU84" s="2"/>
      <c r="PGV84" s="2"/>
      <c r="PGW84" s="2"/>
      <c r="PGX84" s="2"/>
      <c r="PGY84" s="2"/>
      <c r="PGZ84" s="2"/>
      <c r="PHA84" s="2"/>
      <c r="PHB84" s="2"/>
      <c r="PHC84" s="2"/>
      <c r="PHD84" s="2"/>
      <c r="PHE84" s="2"/>
      <c r="PHF84" s="2"/>
      <c r="PHG84" s="2"/>
      <c r="PHH84" s="2"/>
      <c r="PHI84" s="2"/>
      <c r="PHJ84" s="2"/>
      <c r="PHK84" s="2"/>
      <c r="PHL84" s="2"/>
      <c r="PHM84" s="2"/>
      <c r="PHN84" s="2"/>
      <c r="PHO84" s="2"/>
      <c r="PHP84" s="2"/>
      <c r="PHQ84" s="2"/>
      <c r="PHR84" s="2"/>
      <c r="PHS84" s="2"/>
      <c r="PHT84" s="2"/>
      <c r="PHU84" s="2"/>
      <c r="PHV84" s="2"/>
      <c r="PHW84" s="2"/>
      <c r="PHX84" s="2"/>
      <c r="PHY84" s="2"/>
      <c r="PHZ84" s="2"/>
      <c r="PIA84" s="2"/>
      <c r="PIB84" s="2"/>
      <c r="PIC84" s="2"/>
      <c r="PID84" s="2"/>
      <c r="PIE84" s="2"/>
      <c r="PIF84" s="2"/>
      <c r="PIG84" s="2"/>
      <c r="PIH84" s="2"/>
      <c r="PII84" s="2"/>
      <c r="PIJ84" s="2"/>
      <c r="PIK84" s="2"/>
      <c r="PIL84" s="2"/>
      <c r="PIM84" s="2"/>
      <c r="PIN84" s="2"/>
      <c r="PIO84" s="2"/>
      <c r="PIP84" s="2"/>
      <c r="PIQ84" s="2"/>
      <c r="PIR84" s="2"/>
      <c r="PIS84" s="2"/>
      <c r="PIT84" s="2"/>
      <c r="PIU84" s="2"/>
      <c r="PIV84" s="2"/>
      <c r="PIW84" s="2"/>
      <c r="PIX84" s="2"/>
      <c r="PIY84" s="2"/>
      <c r="PIZ84" s="2"/>
      <c r="PJA84" s="2"/>
      <c r="PJB84" s="2"/>
      <c r="PJC84" s="2"/>
      <c r="PJD84" s="2"/>
      <c r="PJE84" s="2"/>
      <c r="PJF84" s="2"/>
      <c r="PJG84" s="2"/>
      <c r="PJH84" s="2"/>
      <c r="PJI84" s="2"/>
      <c r="PJJ84" s="2"/>
      <c r="PJK84" s="2"/>
      <c r="PJL84" s="2"/>
      <c r="PJM84" s="2"/>
      <c r="PJN84" s="2"/>
      <c r="PJO84" s="2"/>
      <c r="PJP84" s="2"/>
      <c r="PJQ84" s="2"/>
      <c r="PJR84" s="2"/>
      <c r="PJS84" s="2"/>
      <c r="PJT84" s="2"/>
      <c r="PJU84" s="2"/>
      <c r="PJV84" s="2"/>
      <c r="PJW84" s="2"/>
      <c r="PJX84" s="2"/>
      <c r="PJY84" s="2"/>
      <c r="PJZ84" s="2"/>
      <c r="PKA84" s="2"/>
      <c r="PKB84" s="2"/>
      <c r="PKC84" s="2"/>
      <c r="PKD84" s="2"/>
      <c r="PKE84" s="2"/>
      <c r="PKF84" s="2"/>
      <c r="PKG84" s="2"/>
      <c r="PKH84" s="2"/>
      <c r="PKI84" s="2"/>
      <c r="PKJ84" s="2"/>
      <c r="PKK84" s="2"/>
      <c r="PKL84" s="2"/>
      <c r="PKM84" s="2"/>
      <c r="PKN84" s="2"/>
      <c r="PKO84" s="2"/>
      <c r="PKP84" s="2"/>
      <c r="PKQ84" s="2"/>
      <c r="PKR84" s="2"/>
      <c r="PKS84" s="2"/>
      <c r="PKT84" s="2"/>
      <c r="PKU84" s="2"/>
      <c r="PKV84" s="2"/>
      <c r="PKW84" s="2"/>
      <c r="PKX84" s="2"/>
      <c r="PKY84" s="2"/>
      <c r="PKZ84" s="2"/>
      <c r="PLA84" s="2"/>
      <c r="PLB84" s="2"/>
      <c r="PLC84" s="2"/>
      <c r="PLD84" s="2"/>
      <c r="PLE84" s="2"/>
      <c r="PLF84" s="2"/>
      <c r="PLG84" s="2"/>
      <c r="PLH84" s="2"/>
      <c r="PLI84" s="2"/>
      <c r="PLJ84" s="2"/>
      <c r="PLK84" s="2"/>
      <c r="PLL84" s="2"/>
      <c r="PLM84" s="2"/>
      <c r="PLN84" s="2"/>
      <c r="PLO84" s="2"/>
      <c r="PLP84" s="2"/>
      <c r="PLQ84" s="2"/>
      <c r="PLR84" s="2"/>
      <c r="PLS84" s="2"/>
      <c r="PLT84" s="2"/>
      <c r="PLU84" s="2"/>
      <c r="PLV84" s="2"/>
      <c r="PLW84" s="2"/>
      <c r="PLX84" s="2"/>
      <c r="PLY84" s="2"/>
      <c r="PLZ84" s="2"/>
      <c r="PMA84" s="2"/>
      <c r="PMB84" s="2"/>
      <c r="PMC84" s="2"/>
      <c r="PMD84" s="2"/>
      <c r="PME84" s="2"/>
      <c r="PMF84" s="2"/>
      <c r="PMG84" s="2"/>
      <c r="PMH84" s="2"/>
      <c r="PMI84" s="2"/>
      <c r="PMJ84" s="2"/>
      <c r="PMK84" s="2"/>
      <c r="PML84" s="2"/>
      <c r="PMM84" s="2"/>
      <c r="PMN84" s="2"/>
      <c r="PMO84" s="2"/>
      <c r="PMP84" s="2"/>
      <c r="PMQ84" s="2"/>
      <c r="PMR84" s="2"/>
      <c r="PMS84" s="2"/>
      <c r="PMT84" s="2"/>
      <c r="PMU84" s="2"/>
      <c r="PMV84" s="2"/>
      <c r="PMW84" s="2"/>
      <c r="PMX84" s="2"/>
      <c r="PMY84" s="2"/>
      <c r="PMZ84" s="2"/>
      <c r="PNA84" s="2"/>
      <c r="PNB84" s="2"/>
      <c r="PNC84" s="2"/>
      <c r="PND84" s="2"/>
      <c r="PNE84" s="2"/>
      <c r="PNF84" s="2"/>
      <c r="PNG84" s="2"/>
      <c r="PNH84" s="2"/>
      <c r="PNI84" s="2"/>
      <c r="PNJ84" s="2"/>
      <c r="PNK84" s="2"/>
      <c r="PNL84" s="2"/>
      <c r="PNM84" s="2"/>
      <c r="PNN84" s="2"/>
      <c r="PNO84" s="2"/>
      <c r="PNP84" s="2"/>
      <c r="PNQ84" s="2"/>
      <c r="PNR84" s="2"/>
      <c r="PNS84" s="2"/>
      <c r="PNT84" s="2"/>
      <c r="PNU84" s="2"/>
      <c r="PNV84" s="2"/>
      <c r="PNW84" s="2"/>
      <c r="PNX84" s="2"/>
      <c r="PNY84" s="2"/>
      <c r="PNZ84" s="2"/>
      <c r="POA84" s="2"/>
      <c r="POB84" s="2"/>
      <c r="POC84" s="2"/>
      <c r="POD84" s="2"/>
      <c r="POE84" s="2"/>
      <c r="POF84" s="2"/>
      <c r="POG84" s="2"/>
      <c r="POH84" s="2"/>
      <c r="POI84" s="2"/>
      <c r="POJ84" s="2"/>
      <c r="POK84" s="2"/>
      <c r="POL84" s="2"/>
      <c r="POM84" s="2"/>
      <c r="PON84" s="2"/>
      <c r="POO84" s="2"/>
      <c r="POP84" s="2"/>
      <c r="POQ84" s="2"/>
      <c r="POR84" s="2"/>
      <c r="POS84" s="2"/>
      <c r="POT84" s="2"/>
      <c r="POU84" s="2"/>
      <c r="POV84" s="2"/>
      <c r="POW84" s="2"/>
      <c r="POX84" s="2"/>
      <c r="POY84" s="2"/>
      <c r="POZ84" s="2"/>
      <c r="PPA84" s="2"/>
      <c r="PPB84" s="2"/>
      <c r="PPC84" s="2"/>
      <c r="PPD84" s="2"/>
      <c r="PPE84" s="2"/>
      <c r="PPF84" s="2"/>
      <c r="PPG84" s="2"/>
      <c r="PPH84" s="2"/>
      <c r="PPI84" s="2"/>
      <c r="PPJ84" s="2"/>
      <c r="PPK84" s="2"/>
      <c r="PPL84" s="2"/>
      <c r="PPM84" s="2"/>
      <c r="PPN84" s="2"/>
      <c r="PPO84" s="2"/>
      <c r="PPP84" s="2"/>
      <c r="PPQ84" s="2"/>
      <c r="PPR84" s="2"/>
      <c r="PPS84" s="2"/>
      <c r="PPT84" s="2"/>
      <c r="PPU84" s="2"/>
      <c r="PPV84" s="2"/>
      <c r="PPW84" s="2"/>
      <c r="PPX84" s="2"/>
      <c r="PPY84" s="2"/>
      <c r="PPZ84" s="2"/>
      <c r="PQA84" s="2"/>
      <c r="PQB84" s="2"/>
      <c r="PQC84" s="2"/>
      <c r="PQD84" s="2"/>
      <c r="PQE84" s="2"/>
      <c r="PQF84" s="2"/>
      <c r="PQG84" s="2"/>
      <c r="PQH84" s="2"/>
      <c r="PQI84" s="2"/>
      <c r="PQJ84" s="2"/>
      <c r="PQK84" s="2"/>
      <c r="PQL84" s="2"/>
      <c r="PQM84" s="2"/>
      <c r="PQN84" s="2"/>
      <c r="PQO84" s="2"/>
      <c r="PQP84" s="2"/>
      <c r="PQQ84" s="2"/>
      <c r="PQR84" s="2"/>
      <c r="PQS84" s="2"/>
      <c r="PQT84" s="2"/>
      <c r="PQU84" s="2"/>
      <c r="PQV84" s="2"/>
      <c r="PQW84" s="2"/>
      <c r="PQX84" s="2"/>
      <c r="PQY84" s="2"/>
      <c r="PQZ84" s="2"/>
      <c r="PRA84" s="2"/>
      <c r="PRB84" s="2"/>
      <c r="PRC84" s="2"/>
      <c r="PRD84" s="2"/>
      <c r="PRE84" s="2"/>
      <c r="PRF84" s="2"/>
      <c r="PRG84" s="2"/>
      <c r="PRH84" s="2"/>
      <c r="PRI84" s="2"/>
      <c r="PRJ84" s="2"/>
      <c r="PRK84" s="2"/>
      <c r="PRL84" s="2"/>
      <c r="PRM84" s="2"/>
      <c r="PRN84" s="2"/>
      <c r="PRO84" s="2"/>
      <c r="PRP84" s="2"/>
      <c r="PRQ84" s="2"/>
      <c r="PRR84" s="2"/>
      <c r="PRS84" s="2"/>
      <c r="PRT84" s="2"/>
      <c r="PRU84" s="2"/>
      <c r="PRV84" s="2"/>
      <c r="PRW84" s="2"/>
      <c r="PRX84" s="2"/>
      <c r="PRY84" s="2"/>
      <c r="PRZ84" s="2"/>
      <c r="PSA84" s="2"/>
      <c r="PSB84" s="2"/>
      <c r="PSC84" s="2"/>
      <c r="PSD84" s="2"/>
      <c r="PSE84" s="2"/>
      <c r="PSF84" s="2"/>
      <c r="PSG84" s="2"/>
      <c r="PSH84" s="2"/>
      <c r="PSI84" s="2"/>
      <c r="PSJ84" s="2"/>
      <c r="PSK84" s="2"/>
      <c r="PSL84" s="2"/>
      <c r="PSM84" s="2"/>
      <c r="PSN84" s="2"/>
      <c r="PSO84" s="2"/>
      <c r="PSP84" s="2"/>
      <c r="PSQ84" s="2"/>
      <c r="PSR84" s="2"/>
      <c r="PSS84" s="2"/>
      <c r="PST84" s="2"/>
      <c r="PSU84" s="2"/>
      <c r="PSV84" s="2"/>
      <c r="PSW84" s="2"/>
      <c r="PSX84" s="2"/>
      <c r="PSY84" s="2"/>
      <c r="PSZ84" s="2"/>
      <c r="PTA84" s="2"/>
      <c r="PTB84" s="2"/>
      <c r="PTC84" s="2"/>
      <c r="PTD84" s="2"/>
      <c r="PTE84" s="2"/>
      <c r="PTF84" s="2"/>
      <c r="PTG84" s="2"/>
      <c r="PTH84" s="2"/>
      <c r="PTI84" s="2"/>
      <c r="PTJ84" s="2"/>
      <c r="PTK84" s="2"/>
      <c r="PTL84" s="2"/>
      <c r="PTM84" s="2"/>
      <c r="PTN84" s="2"/>
      <c r="PTO84" s="2"/>
      <c r="PTP84" s="2"/>
      <c r="PTQ84" s="2"/>
      <c r="PTR84" s="2"/>
      <c r="PTS84" s="2"/>
      <c r="PTT84" s="2"/>
      <c r="PTU84" s="2"/>
      <c r="PTV84" s="2"/>
      <c r="PTW84" s="2"/>
      <c r="PTX84" s="2"/>
      <c r="PTY84" s="2"/>
      <c r="PTZ84" s="2"/>
      <c r="PUA84" s="2"/>
      <c r="PUB84" s="2"/>
      <c r="PUC84" s="2"/>
      <c r="PUD84" s="2"/>
      <c r="PUE84" s="2"/>
      <c r="PUF84" s="2"/>
      <c r="PUG84" s="2"/>
      <c r="PUH84" s="2"/>
      <c r="PUI84" s="2"/>
      <c r="PUJ84" s="2"/>
      <c r="PUK84" s="2"/>
      <c r="PUL84" s="2"/>
      <c r="PUM84" s="2"/>
      <c r="PUN84" s="2"/>
      <c r="PUO84" s="2"/>
      <c r="PUP84" s="2"/>
      <c r="PUQ84" s="2"/>
      <c r="PUR84" s="2"/>
      <c r="PUS84" s="2"/>
      <c r="PUT84" s="2"/>
      <c r="PUU84" s="2"/>
      <c r="PUV84" s="2"/>
      <c r="PUW84" s="2"/>
      <c r="PUX84" s="2"/>
      <c r="PUY84" s="2"/>
      <c r="PUZ84" s="2"/>
      <c r="PVA84" s="2"/>
      <c r="PVB84" s="2"/>
      <c r="PVC84" s="2"/>
      <c r="PVD84" s="2"/>
      <c r="PVE84" s="2"/>
      <c r="PVF84" s="2"/>
      <c r="PVG84" s="2"/>
      <c r="PVH84" s="2"/>
      <c r="PVI84" s="2"/>
      <c r="PVJ84" s="2"/>
      <c r="PVK84" s="2"/>
      <c r="PVL84" s="2"/>
      <c r="PVM84" s="2"/>
      <c r="PVN84" s="2"/>
      <c r="PVO84" s="2"/>
      <c r="PVP84" s="2"/>
      <c r="PVQ84" s="2"/>
      <c r="PVR84" s="2"/>
      <c r="PVS84" s="2"/>
      <c r="PVT84" s="2"/>
      <c r="PVU84" s="2"/>
      <c r="PVV84" s="2"/>
      <c r="PVW84" s="2"/>
      <c r="PVX84" s="2"/>
      <c r="PVY84" s="2"/>
      <c r="PVZ84" s="2"/>
      <c r="PWA84" s="2"/>
      <c r="PWB84" s="2"/>
      <c r="PWC84" s="2"/>
      <c r="PWD84" s="2"/>
      <c r="PWE84" s="2"/>
      <c r="PWF84" s="2"/>
      <c r="PWG84" s="2"/>
      <c r="PWH84" s="2"/>
      <c r="PWI84" s="2"/>
      <c r="PWJ84" s="2"/>
      <c r="PWK84" s="2"/>
      <c r="PWL84" s="2"/>
      <c r="PWM84" s="2"/>
      <c r="PWN84" s="2"/>
      <c r="PWO84" s="2"/>
      <c r="PWP84" s="2"/>
      <c r="PWQ84" s="2"/>
      <c r="PWR84" s="2"/>
      <c r="PWS84" s="2"/>
      <c r="PWT84" s="2"/>
      <c r="PWU84" s="2"/>
      <c r="PWV84" s="2"/>
      <c r="PWW84" s="2"/>
      <c r="PWX84" s="2"/>
      <c r="PWY84" s="2"/>
      <c r="PWZ84" s="2"/>
      <c r="PXA84" s="2"/>
      <c r="PXB84" s="2"/>
      <c r="PXC84" s="2"/>
      <c r="PXD84" s="2"/>
      <c r="PXE84" s="2"/>
      <c r="PXF84" s="2"/>
      <c r="PXG84" s="2"/>
      <c r="PXH84" s="2"/>
      <c r="PXI84" s="2"/>
      <c r="PXJ84" s="2"/>
      <c r="PXK84" s="2"/>
      <c r="PXL84" s="2"/>
      <c r="PXM84" s="2"/>
      <c r="PXN84" s="2"/>
      <c r="PXO84" s="2"/>
      <c r="PXP84" s="2"/>
      <c r="PXQ84" s="2"/>
      <c r="PXR84" s="2"/>
      <c r="PXS84" s="2"/>
      <c r="PXT84" s="2"/>
      <c r="PXU84" s="2"/>
      <c r="PXV84" s="2"/>
      <c r="PXW84" s="2"/>
      <c r="PXX84" s="2"/>
      <c r="PXY84" s="2"/>
      <c r="PXZ84" s="2"/>
      <c r="PYA84" s="2"/>
      <c r="PYB84" s="2"/>
      <c r="PYC84" s="2"/>
      <c r="PYD84" s="2"/>
      <c r="PYE84" s="2"/>
      <c r="PYF84" s="2"/>
      <c r="PYG84" s="2"/>
      <c r="PYH84" s="2"/>
      <c r="PYI84" s="2"/>
      <c r="PYJ84" s="2"/>
      <c r="PYK84" s="2"/>
      <c r="PYL84" s="2"/>
      <c r="PYM84" s="2"/>
      <c r="PYN84" s="2"/>
      <c r="PYO84" s="2"/>
      <c r="PYP84" s="2"/>
      <c r="PYQ84" s="2"/>
      <c r="PYR84" s="2"/>
      <c r="PYS84" s="2"/>
      <c r="PYT84" s="2"/>
      <c r="PYU84" s="2"/>
      <c r="PYV84" s="2"/>
      <c r="PYW84" s="2"/>
      <c r="PYX84" s="2"/>
      <c r="PYY84" s="2"/>
      <c r="PYZ84" s="2"/>
      <c r="PZA84" s="2"/>
      <c r="PZB84" s="2"/>
      <c r="PZC84" s="2"/>
      <c r="PZD84" s="2"/>
      <c r="PZE84" s="2"/>
      <c r="PZF84" s="2"/>
      <c r="PZG84" s="2"/>
      <c r="PZH84" s="2"/>
      <c r="PZI84" s="2"/>
      <c r="PZJ84" s="2"/>
      <c r="PZK84" s="2"/>
      <c r="PZL84" s="2"/>
      <c r="PZM84" s="2"/>
      <c r="PZN84" s="2"/>
      <c r="PZO84" s="2"/>
      <c r="PZP84" s="2"/>
      <c r="PZQ84" s="2"/>
      <c r="PZR84" s="2"/>
      <c r="PZS84" s="2"/>
      <c r="PZT84" s="2"/>
      <c r="PZU84" s="2"/>
      <c r="PZV84" s="2"/>
      <c r="PZW84" s="2"/>
      <c r="PZX84" s="2"/>
      <c r="PZY84" s="2"/>
      <c r="PZZ84" s="2"/>
      <c r="QAA84" s="2"/>
      <c r="QAB84" s="2"/>
      <c r="QAC84" s="2"/>
      <c r="QAD84" s="2"/>
      <c r="QAE84" s="2"/>
      <c r="QAF84" s="2"/>
      <c r="QAG84" s="2"/>
      <c r="QAH84" s="2"/>
      <c r="QAI84" s="2"/>
      <c r="QAJ84" s="2"/>
      <c r="QAK84" s="2"/>
      <c r="QAL84" s="2"/>
      <c r="QAM84" s="2"/>
      <c r="QAN84" s="2"/>
      <c r="QAO84" s="2"/>
      <c r="QAP84" s="2"/>
      <c r="QAQ84" s="2"/>
      <c r="QAR84" s="2"/>
      <c r="QAS84" s="2"/>
      <c r="QAT84" s="2"/>
      <c r="QAU84" s="2"/>
      <c r="QAV84" s="2"/>
      <c r="QAW84" s="2"/>
      <c r="QAX84" s="2"/>
      <c r="QAY84" s="2"/>
      <c r="QAZ84" s="2"/>
      <c r="QBA84" s="2"/>
      <c r="QBB84" s="2"/>
      <c r="QBC84" s="2"/>
      <c r="QBD84" s="2"/>
      <c r="QBE84" s="2"/>
      <c r="QBF84" s="2"/>
      <c r="QBG84" s="2"/>
      <c r="QBH84" s="2"/>
      <c r="QBI84" s="2"/>
      <c r="QBJ84" s="2"/>
      <c r="QBK84" s="2"/>
      <c r="QBL84" s="2"/>
      <c r="QBM84" s="2"/>
      <c r="QBN84" s="2"/>
      <c r="QBO84" s="2"/>
      <c r="QBP84" s="2"/>
      <c r="QBQ84" s="2"/>
      <c r="QBR84" s="2"/>
      <c r="QBS84" s="2"/>
      <c r="QBT84" s="2"/>
      <c r="QBU84" s="2"/>
      <c r="QBV84" s="2"/>
      <c r="QBW84" s="2"/>
      <c r="QBX84" s="2"/>
      <c r="QBY84" s="2"/>
      <c r="QBZ84" s="2"/>
      <c r="QCA84" s="2"/>
      <c r="QCB84" s="2"/>
      <c r="QCC84" s="2"/>
      <c r="QCD84" s="2"/>
      <c r="QCE84" s="2"/>
      <c r="QCF84" s="2"/>
      <c r="QCG84" s="2"/>
      <c r="QCH84" s="2"/>
      <c r="QCI84" s="2"/>
      <c r="QCJ84" s="2"/>
      <c r="QCK84" s="2"/>
      <c r="QCL84" s="2"/>
      <c r="QCM84" s="2"/>
      <c r="QCN84" s="2"/>
      <c r="QCO84" s="2"/>
      <c r="QCP84" s="2"/>
      <c r="QCQ84" s="2"/>
      <c r="QCR84" s="2"/>
      <c r="QCS84" s="2"/>
      <c r="QCT84" s="2"/>
      <c r="QCU84" s="2"/>
      <c r="QCV84" s="2"/>
      <c r="QCW84" s="2"/>
      <c r="QCX84" s="2"/>
      <c r="QCY84" s="2"/>
      <c r="QCZ84" s="2"/>
      <c r="QDA84" s="2"/>
      <c r="QDB84" s="2"/>
      <c r="QDC84" s="2"/>
      <c r="QDD84" s="2"/>
      <c r="QDE84" s="2"/>
      <c r="QDF84" s="2"/>
      <c r="QDG84" s="2"/>
      <c r="QDH84" s="2"/>
      <c r="QDI84" s="2"/>
      <c r="QDJ84" s="2"/>
      <c r="QDK84" s="2"/>
      <c r="QDL84" s="2"/>
      <c r="QDM84" s="2"/>
      <c r="QDN84" s="2"/>
      <c r="QDO84" s="2"/>
      <c r="QDP84" s="2"/>
      <c r="QDQ84" s="2"/>
      <c r="QDR84" s="2"/>
      <c r="QDS84" s="2"/>
      <c r="QDT84" s="2"/>
      <c r="QDU84" s="2"/>
      <c r="QDV84" s="2"/>
      <c r="QDW84" s="2"/>
      <c r="QDX84" s="2"/>
      <c r="QDY84" s="2"/>
      <c r="QDZ84" s="2"/>
      <c r="QEA84" s="2"/>
      <c r="QEB84" s="2"/>
      <c r="QEC84" s="2"/>
      <c r="QED84" s="2"/>
      <c r="QEE84" s="2"/>
      <c r="QEF84" s="2"/>
      <c r="QEG84" s="2"/>
      <c r="QEH84" s="2"/>
      <c r="QEI84" s="2"/>
      <c r="QEJ84" s="2"/>
      <c r="QEK84" s="2"/>
      <c r="QEL84" s="2"/>
      <c r="QEM84" s="2"/>
      <c r="QEN84" s="2"/>
      <c r="QEO84" s="2"/>
      <c r="QEP84" s="2"/>
      <c r="QEQ84" s="2"/>
      <c r="QER84" s="2"/>
      <c r="QES84" s="2"/>
      <c r="QET84" s="2"/>
      <c r="QEU84" s="2"/>
      <c r="QEV84" s="2"/>
      <c r="QEW84" s="2"/>
      <c r="QEX84" s="2"/>
      <c r="QEY84" s="2"/>
      <c r="QEZ84" s="2"/>
      <c r="QFA84" s="2"/>
      <c r="QFB84" s="2"/>
      <c r="QFC84" s="2"/>
      <c r="QFD84" s="2"/>
      <c r="QFE84" s="2"/>
      <c r="QFF84" s="2"/>
      <c r="QFG84" s="2"/>
      <c r="QFH84" s="2"/>
      <c r="QFI84" s="2"/>
      <c r="QFJ84" s="2"/>
      <c r="QFK84" s="2"/>
      <c r="QFL84" s="2"/>
      <c r="QFM84" s="2"/>
      <c r="QFN84" s="2"/>
      <c r="QFO84" s="2"/>
      <c r="QFP84" s="2"/>
      <c r="QFQ84" s="2"/>
      <c r="QFR84" s="2"/>
      <c r="QFS84" s="2"/>
      <c r="QFT84" s="2"/>
      <c r="QFU84" s="2"/>
      <c r="QFV84" s="2"/>
      <c r="QFW84" s="2"/>
      <c r="QFX84" s="2"/>
      <c r="QFY84" s="2"/>
      <c r="QFZ84" s="2"/>
      <c r="QGA84" s="2"/>
      <c r="QGB84" s="2"/>
      <c r="QGC84" s="2"/>
      <c r="QGD84" s="2"/>
      <c r="QGE84" s="2"/>
      <c r="QGF84" s="2"/>
      <c r="QGG84" s="2"/>
      <c r="QGH84" s="2"/>
      <c r="QGI84" s="2"/>
      <c r="QGJ84" s="2"/>
      <c r="QGK84" s="2"/>
      <c r="QGL84" s="2"/>
      <c r="QGM84" s="2"/>
      <c r="QGN84" s="2"/>
      <c r="QGO84" s="2"/>
      <c r="QGP84" s="2"/>
      <c r="QGQ84" s="2"/>
      <c r="QGR84" s="2"/>
      <c r="QGS84" s="2"/>
      <c r="QGT84" s="2"/>
      <c r="QGU84" s="2"/>
      <c r="QGV84" s="2"/>
      <c r="QGW84" s="2"/>
      <c r="QGX84" s="2"/>
      <c r="QGY84" s="2"/>
      <c r="QGZ84" s="2"/>
      <c r="QHA84" s="2"/>
      <c r="QHB84" s="2"/>
      <c r="QHC84" s="2"/>
      <c r="QHD84" s="2"/>
      <c r="QHE84" s="2"/>
      <c r="QHF84" s="2"/>
      <c r="QHG84" s="2"/>
      <c r="QHH84" s="2"/>
      <c r="QHI84" s="2"/>
      <c r="QHJ84" s="2"/>
      <c r="QHK84" s="2"/>
      <c r="QHL84" s="2"/>
      <c r="QHM84" s="2"/>
      <c r="QHN84" s="2"/>
      <c r="QHO84" s="2"/>
      <c r="QHP84" s="2"/>
      <c r="QHQ84" s="2"/>
      <c r="QHR84" s="2"/>
      <c r="QHS84" s="2"/>
      <c r="QHT84" s="2"/>
      <c r="QHU84" s="2"/>
      <c r="QHV84" s="2"/>
      <c r="QHW84" s="2"/>
      <c r="QHX84" s="2"/>
      <c r="QHY84" s="2"/>
      <c r="QHZ84" s="2"/>
      <c r="QIA84" s="2"/>
      <c r="QIB84" s="2"/>
      <c r="QIC84" s="2"/>
      <c r="QID84" s="2"/>
      <c r="QIE84" s="2"/>
      <c r="QIF84" s="2"/>
      <c r="QIG84" s="2"/>
      <c r="QIH84" s="2"/>
      <c r="QII84" s="2"/>
      <c r="QIJ84" s="2"/>
      <c r="QIK84" s="2"/>
      <c r="QIL84" s="2"/>
      <c r="QIM84" s="2"/>
      <c r="QIN84" s="2"/>
      <c r="QIO84" s="2"/>
      <c r="QIP84" s="2"/>
      <c r="QIQ84" s="2"/>
      <c r="QIR84" s="2"/>
      <c r="QIS84" s="2"/>
      <c r="QIT84" s="2"/>
      <c r="QIU84" s="2"/>
      <c r="QIV84" s="2"/>
      <c r="QIW84" s="2"/>
      <c r="QIX84" s="2"/>
      <c r="QIY84" s="2"/>
      <c r="QIZ84" s="2"/>
      <c r="QJA84" s="2"/>
      <c r="QJB84" s="2"/>
      <c r="QJC84" s="2"/>
      <c r="QJD84" s="2"/>
      <c r="QJE84" s="2"/>
      <c r="QJF84" s="2"/>
      <c r="QJG84" s="2"/>
      <c r="QJH84" s="2"/>
      <c r="QJI84" s="2"/>
      <c r="QJJ84" s="2"/>
      <c r="QJK84" s="2"/>
      <c r="QJL84" s="2"/>
      <c r="QJM84" s="2"/>
      <c r="QJN84" s="2"/>
      <c r="QJO84" s="2"/>
      <c r="QJP84" s="2"/>
      <c r="QJQ84" s="2"/>
      <c r="QJR84" s="2"/>
      <c r="QJS84" s="2"/>
      <c r="QJT84" s="2"/>
      <c r="QJU84" s="2"/>
      <c r="QJV84" s="2"/>
      <c r="QJW84" s="2"/>
      <c r="QJX84" s="2"/>
      <c r="QJY84" s="2"/>
      <c r="QJZ84" s="2"/>
      <c r="QKA84" s="2"/>
      <c r="QKB84" s="2"/>
      <c r="QKC84" s="2"/>
      <c r="QKD84" s="2"/>
      <c r="QKE84" s="2"/>
      <c r="QKF84" s="2"/>
      <c r="QKG84" s="2"/>
      <c r="QKH84" s="2"/>
      <c r="QKI84" s="2"/>
      <c r="QKJ84" s="2"/>
      <c r="QKK84" s="2"/>
      <c r="QKL84" s="2"/>
      <c r="QKM84" s="2"/>
      <c r="QKN84" s="2"/>
      <c r="QKO84" s="2"/>
      <c r="QKP84" s="2"/>
      <c r="QKQ84" s="2"/>
      <c r="QKR84" s="2"/>
      <c r="QKS84" s="2"/>
      <c r="QKT84" s="2"/>
      <c r="QKU84" s="2"/>
      <c r="QKV84" s="2"/>
      <c r="QKW84" s="2"/>
      <c r="QKX84" s="2"/>
      <c r="QKY84" s="2"/>
      <c r="QKZ84" s="2"/>
      <c r="QLA84" s="2"/>
      <c r="QLB84" s="2"/>
      <c r="QLC84" s="2"/>
      <c r="QLD84" s="2"/>
      <c r="QLE84" s="2"/>
      <c r="QLF84" s="2"/>
      <c r="QLG84" s="2"/>
      <c r="QLH84" s="2"/>
      <c r="QLI84" s="2"/>
      <c r="QLJ84" s="2"/>
      <c r="QLK84" s="2"/>
      <c r="QLL84" s="2"/>
      <c r="QLM84" s="2"/>
      <c r="QLN84" s="2"/>
      <c r="QLO84" s="2"/>
      <c r="QLP84" s="2"/>
      <c r="QLQ84" s="2"/>
      <c r="QLR84" s="2"/>
      <c r="QLS84" s="2"/>
      <c r="QLT84" s="2"/>
      <c r="QLU84" s="2"/>
      <c r="QLV84" s="2"/>
      <c r="QLW84" s="2"/>
      <c r="QLX84" s="2"/>
      <c r="QLY84" s="2"/>
      <c r="QLZ84" s="2"/>
      <c r="QMA84" s="2"/>
      <c r="QMB84" s="2"/>
      <c r="QMC84" s="2"/>
      <c r="QMD84" s="2"/>
      <c r="QME84" s="2"/>
      <c r="QMF84" s="2"/>
      <c r="QMG84" s="2"/>
      <c r="QMH84" s="2"/>
      <c r="QMI84" s="2"/>
      <c r="QMJ84" s="2"/>
      <c r="QMK84" s="2"/>
      <c r="QML84" s="2"/>
      <c r="QMM84" s="2"/>
      <c r="QMN84" s="2"/>
      <c r="QMO84" s="2"/>
      <c r="QMP84" s="2"/>
      <c r="QMQ84" s="2"/>
      <c r="QMR84" s="2"/>
      <c r="QMS84" s="2"/>
      <c r="QMT84" s="2"/>
      <c r="QMU84" s="2"/>
      <c r="QMV84" s="2"/>
      <c r="QMW84" s="2"/>
      <c r="QMX84" s="2"/>
      <c r="QMY84" s="2"/>
      <c r="QMZ84" s="2"/>
      <c r="QNA84" s="2"/>
      <c r="QNB84" s="2"/>
      <c r="QNC84" s="2"/>
      <c r="QND84" s="2"/>
      <c r="QNE84" s="2"/>
      <c r="QNF84" s="2"/>
      <c r="QNG84" s="2"/>
      <c r="QNH84" s="2"/>
      <c r="QNI84" s="2"/>
      <c r="QNJ84" s="2"/>
      <c r="QNK84" s="2"/>
      <c r="QNL84" s="2"/>
      <c r="QNM84" s="2"/>
      <c r="QNN84" s="2"/>
      <c r="QNO84" s="2"/>
      <c r="QNP84" s="2"/>
      <c r="QNQ84" s="2"/>
      <c r="QNR84" s="2"/>
      <c r="QNS84" s="2"/>
      <c r="QNT84" s="2"/>
      <c r="QNU84" s="2"/>
      <c r="QNV84" s="2"/>
      <c r="QNW84" s="2"/>
      <c r="QNX84" s="2"/>
      <c r="QNY84" s="2"/>
      <c r="QNZ84" s="2"/>
      <c r="QOA84" s="2"/>
      <c r="QOB84" s="2"/>
      <c r="QOC84" s="2"/>
      <c r="QOD84" s="2"/>
      <c r="QOE84" s="2"/>
      <c r="QOF84" s="2"/>
      <c r="QOG84" s="2"/>
      <c r="QOH84" s="2"/>
      <c r="QOI84" s="2"/>
      <c r="QOJ84" s="2"/>
      <c r="QOK84" s="2"/>
      <c r="QOL84" s="2"/>
      <c r="QOM84" s="2"/>
      <c r="QON84" s="2"/>
      <c r="QOO84" s="2"/>
      <c r="QOP84" s="2"/>
      <c r="QOQ84" s="2"/>
      <c r="QOR84" s="2"/>
      <c r="QOS84" s="2"/>
      <c r="QOT84" s="2"/>
      <c r="QOU84" s="2"/>
      <c r="QOV84" s="2"/>
      <c r="QOW84" s="2"/>
      <c r="QOX84" s="2"/>
      <c r="QOY84" s="2"/>
      <c r="QOZ84" s="2"/>
      <c r="QPA84" s="2"/>
      <c r="QPB84" s="2"/>
      <c r="QPC84" s="2"/>
      <c r="QPD84" s="2"/>
      <c r="QPE84" s="2"/>
      <c r="QPF84" s="2"/>
      <c r="QPG84" s="2"/>
      <c r="QPH84" s="2"/>
      <c r="QPI84" s="2"/>
      <c r="QPJ84" s="2"/>
      <c r="QPK84" s="2"/>
      <c r="QPL84" s="2"/>
      <c r="QPM84" s="2"/>
      <c r="QPN84" s="2"/>
      <c r="QPO84" s="2"/>
      <c r="QPP84" s="2"/>
      <c r="QPQ84" s="2"/>
      <c r="QPR84" s="2"/>
      <c r="QPS84" s="2"/>
      <c r="QPT84" s="2"/>
      <c r="QPU84" s="2"/>
      <c r="QPV84" s="2"/>
      <c r="QPW84" s="2"/>
      <c r="QPX84" s="2"/>
      <c r="QPY84" s="2"/>
      <c r="QPZ84" s="2"/>
      <c r="QQA84" s="2"/>
      <c r="QQB84" s="2"/>
      <c r="QQC84" s="2"/>
      <c r="QQD84" s="2"/>
      <c r="QQE84" s="2"/>
      <c r="QQF84" s="2"/>
      <c r="QQG84" s="2"/>
      <c r="QQH84" s="2"/>
      <c r="QQI84" s="2"/>
      <c r="QQJ84" s="2"/>
      <c r="QQK84" s="2"/>
      <c r="QQL84" s="2"/>
      <c r="QQM84" s="2"/>
      <c r="QQN84" s="2"/>
      <c r="QQO84" s="2"/>
      <c r="QQP84" s="2"/>
      <c r="QQQ84" s="2"/>
      <c r="QQR84" s="2"/>
      <c r="QQS84" s="2"/>
      <c r="QQT84" s="2"/>
      <c r="QQU84" s="2"/>
      <c r="QQV84" s="2"/>
      <c r="QQW84" s="2"/>
      <c r="QQX84" s="2"/>
      <c r="QQY84" s="2"/>
      <c r="QQZ84" s="2"/>
      <c r="QRA84" s="2"/>
      <c r="QRB84" s="2"/>
      <c r="QRC84" s="2"/>
      <c r="QRD84" s="2"/>
      <c r="QRE84" s="2"/>
      <c r="QRF84" s="2"/>
      <c r="QRG84" s="2"/>
      <c r="QRH84" s="2"/>
      <c r="QRI84" s="2"/>
      <c r="QRJ84" s="2"/>
      <c r="QRK84" s="2"/>
      <c r="QRL84" s="2"/>
      <c r="QRM84" s="2"/>
      <c r="QRN84" s="2"/>
      <c r="QRO84" s="2"/>
      <c r="QRP84" s="2"/>
      <c r="QRQ84" s="2"/>
      <c r="QRR84" s="2"/>
      <c r="QRS84" s="2"/>
      <c r="QRT84" s="2"/>
      <c r="QRU84" s="2"/>
      <c r="QRV84" s="2"/>
      <c r="QRW84" s="2"/>
      <c r="QRX84" s="2"/>
      <c r="QRY84" s="2"/>
      <c r="QRZ84" s="2"/>
      <c r="QSA84" s="2"/>
      <c r="QSB84" s="2"/>
      <c r="QSC84" s="2"/>
      <c r="QSD84" s="2"/>
      <c r="QSE84" s="2"/>
      <c r="QSF84" s="2"/>
      <c r="QSG84" s="2"/>
      <c r="QSH84" s="2"/>
      <c r="QSI84" s="2"/>
      <c r="QSJ84" s="2"/>
      <c r="QSK84" s="2"/>
      <c r="QSL84" s="2"/>
      <c r="QSM84" s="2"/>
      <c r="QSN84" s="2"/>
      <c r="QSO84" s="2"/>
      <c r="QSP84" s="2"/>
      <c r="QSQ84" s="2"/>
      <c r="QSR84" s="2"/>
      <c r="QSS84" s="2"/>
      <c r="QST84" s="2"/>
      <c r="QSU84" s="2"/>
      <c r="QSV84" s="2"/>
      <c r="QSW84" s="2"/>
      <c r="QSX84" s="2"/>
      <c r="QSY84" s="2"/>
      <c r="QSZ84" s="2"/>
      <c r="QTA84" s="2"/>
      <c r="QTB84" s="2"/>
      <c r="QTC84" s="2"/>
      <c r="QTD84" s="2"/>
      <c r="QTE84" s="2"/>
      <c r="QTF84" s="2"/>
      <c r="QTG84" s="2"/>
      <c r="QTH84" s="2"/>
      <c r="QTI84" s="2"/>
      <c r="QTJ84" s="2"/>
      <c r="QTK84" s="2"/>
      <c r="QTL84" s="2"/>
      <c r="QTM84" s="2"/>
      <c r="QTN84" s="2"/>
      <c r="QTO84" s="2"/>
      <c r="QTP84" s="2"/>
      <c r="QTQ84" s="2"/>
      <c r="QTR84" s="2"/>
      <c r="QTS84" s="2"/>
      <c r="QTT84" s="2"/>
      <c r="QTU84" s="2"/>
      <c r="QTV84" s="2"/>
      <c r="QTW84" s="2"/>
      <c r="QTX84" s="2"/>
      <c r="QTY84" s="2"/>
      <c r="QTZ84" s="2"/>
      <c r="QUA84" s="2"/>
      <c r="QUB84" s="2"/>
      <c r="QUC84" s="2"/>
      <c r="QUD84" s="2"/>
      <c r="QUE84" s="2"/>
      <c r="QUF84" s="2"/>
      <c r="QUG84" s="2"/>
      <c r="QUH84" s="2"/>
      <c r="QUI84" s="2"/>
      <c r="QUJ84" s="2"/>
      <c r="QUK84" s="2"/>
      <c r="QUL84" s="2"/>
      <c r="QUM84" s="2"/>
      <c r="QUN84" s="2"/>
      <c r="QUO84" s="2"/>
      <c r="QUP84" s="2"/>
      <c r="QUQ84" s="2"/>
      <c r="QUR84" s="2"/>
      <c r="QUS84" s="2"/>
      <c r="QUT84" s="2"/>
      <c r="QUU84" s="2"/>
      <c r="QUV84" s="2"/>
      <c r="QUW84" s="2"/>
      <c r="QUX84" s="2"/>
      <c r="QUY84" s="2"/>
      <c r="QUZ84" s="2"/>
      <c r="QVA84" s="2"/>
      <c r="QVB84" s="2"/>
      <c r="QVC84" s="2"/>
      <c r="QVD84" s="2"/>
      <c r="QVE84" s="2"/>
      <c r="QVF84" s="2"/>
      <c r="QVG84" s="2"/>
      <c r="QVH84" s="2"/>
      <c r="QVI84" s="2"/>
      <c r="QVJ84" s="2"/>
      <c r="QVK84" s="2"/>
      <c r="QVL84" s="2"/>
      <c r="QVM84" s="2"/>
      <c r="QVN84" s="2"/>
      <c r="QVO84" s="2"/>
      <c r="QVP84" s="2"/>
      <c r="QVQ84" s="2"/>
      <c r="QVR84" s="2"/>
      <c r="QVS84" s="2"/>
      <c r="QVT84" s="2"/>
      <c r="QVU84" s="2"/>
      <c r="QVV84" s="2"/>
      <c r="QVW84" s="2"/>
      <c r="QVX84" s="2"/>
      <c r="QVY84" s="2"/>
      <c r="QVZ84" s="2"/>
      <c r="QWA84" s="2"/>
      <c r="QWB84" s="2"/>
      <c r="QWC84" s="2"/>
      <c r="QWD84" s="2"/>
      <c r="QWE84" s="2"/>
      <c r="QWF84" s="2"/>
      <c r="QWG84" s="2"/>
      <c r="QWH84" s="2"/>
      <c r="QWI84" s="2"/>
      <c r="QWJ84" s="2"/>
      <c r="QWK84" s="2"/>
      <c r="QWL84" s="2"/>
      <c r="QWM84" s="2"/>
      <c r="QWN84" s="2"/>
      <c r="QWO84" s="2"/>
      <c r="QWP84" s="2"/>
      <c r="QWQ84" s="2"/>
      <c r="QWR84" s="2"/>
      <c r="QWS84" s="2"/>
      <c r="QWT84" s="2"/>
      <c r="QWU84" s="2"/>
      <c r="QWV84" s="2"/>
      <c r="QWW84" s="2"/>
      <c r="QWX84" s="2"/>
      <c r="QWY84" s="2"/>
      <c r="QWZ84" s="2"/>
      <c r="QXA84" s="2"/>
      <c r="QXB84" s="2"/>
      <c r="QXC84" s="2"/>
      <c r="QXD84" s="2"/>
      <c r="QXE84" s="2"/>
      <c r="QXF84" s="2"/>
      <c r="QXG84" s="2"/>
      <c r="QXH84" s="2"/>
      <c r="QXI84" s="2"/>
      <c r="QXJ84" s="2"/>
      <c r="QXK84" s="2"/>
      <c r="QXL84" s="2"/>
      <c r="QXM84" s="2"/>
      <c r="QXN84" s="2"/>
      <c r="QXO84" s="2"/>
      <c r="QXP84" s="2"/>
      <c r="QXQ84" s="2"/>
      <c r="QXR84" s="2"/>
      <c r="QXS84" s="2"/>
      <c r="QXT84" s="2"/>
      <c r="QXU84" s="2"/>
      <c r="QXV84" s="2"/>
      <c r="QXW84" s="2"/>
      <c r="QXX84" s="2"/>
      <c r="QXY84" s="2"/>
      <c r="QXZ84" s="2"/>
      <c r="QYA84" s="2"/>
      <c r="QYB84" s="2"/>
      <c r="QYC84" s="2"/>
      <c r="QYD84" s="2"/>
      <c r="QYE84" s="2"/>
      <c r="QYF84" s="2"/>
      <c r="QYG84" s="2"/>
      <c r="QYH84" s="2"/>
      <c r="QYI84" s="2"/>
      <c r="QYJ84" s="2"/>
      <c r="QYK84" s="2"/>
      <c r="QYL84" s="2"/>
      <c r="QYM84" s="2"/>
      <c r="QYN84" s="2"/>
      <c r="QYO84" s="2"/>
      <c r="QYP84" s="2"/>
      <c r="QYQ84" s="2"/>
      <c r="QYR84" s="2"/>
      <c r="QYS84" s="2"/>
      <c r="QYT84" s="2"/>
      <c r="QYU84" s="2"/>
      <c r="QYV84" s="2"/>
      <c r="QYW84" s="2"/>
      <c r="QYX84" s="2"/>
      <c r="QYY84" s="2"/>
      <c r="QYZ84" s="2"/>
      <c r="QZA84" s="2"/>
      <c r="QZB84" s="2"/>
      <c r="QZC84" s="2"/>
      <c r="QZD84" s="2"/>
      <c r="QZE84" s="2"/>
      <c r="QZF84" s="2"/>
      <c r="QZG84" s="2"/>
      <c r="QZH84" s="2"/>
      <c r="QZI84" s="2"/>
      <c r="QZJ84" s="2"/>
      <c r="QZK84" s="2"/>
      <c r="QZL84" s="2"/>
      <c r="QZM84" s="2"/>
      <c r="QZN84" s="2"/>
      <c r="QZO84" s="2"/>
      <c r="QZP84" s="2"/>
      <c r="QZQ84" s="2"/>
      <c r="QZR84" s="2"/>
      <c r="QZS84" s="2"/>
      <c r="QZT84" s="2"/>
      <c r="QZU84" s="2"/>
      <c r="QZV84" s="2"/>
      <c r="QZW84" s="2"/>
      <c r="QZX84" s="2"/>
      <c r="QZY84" s="2"/>
      <c r="QZZ84" s="2"/>
      <c r="RAA84" s="2"/>
      <c r="RAB84" s="2"/>
      <c r="RAC84" s="2"/>
      <c r="RAD84" s="2"/>
      <c r="RAE84" s="2"/>
      <c r="RAF84" s="2"/>
      <c r="RAG84" s="2"/>
      <c r="RAH84" s="2"/>
      <c r="RAI84" s="2"/>
      <c r="RAJ84" s="2"/>
      <c r="RAK84" s="2"/>
      <c r="RAL84" s="2"/>
      <c r="RAM84" s="2"/>
      <c r="RAN84" s="2"/>
      <c r="RAO84" s="2"/>
      <c r="RAP84" s="2"/>
      <c r="RAQ84" s="2"/>
      <c r="RAR84" s="2"/>
      <c r="RAS84" s="2"/>
      <c r="RAT84" s="2"/>
      <c r="RAU84" s="2"/>
      <c r="RAV84" s="2"/>
      <c r="RAW84" s="2"/>
      <c r="RAX84" s="2"/>
      <c r="RAY84" s="2"/>
      <c r="RAZ84" s="2"/>
      <c r="RBA84" s="2"/>
      <c r="RBB84" s="2"/>
      <c r="RBC84" s="2"/>
      <c r="RBD84" s="2"/>
      <c r="RBE84" s="2"/>
      <c r="RBF84" s="2"/>
      <c r="RBG84" s="2"/>
      <c r="RBH84" s="2"/>
      <c r="RBI84" s="2"/>
      <c r="RBJ84" s="2"/>
      <c r="RBK84" s="2"/>
      <c r="RBL84" s="2"/>
      <c r="RBM84" s="2"/>
      <c r="RBN84" s="2"/>
      <c r="RBO84" s="2"/>
      <c r="RBP84" s="2"/>
      <c r="RBQ84" s="2"/>
      <c r="RBR84" s="2"/>
      <c r="RBS84" s="2"/>
      <c r="RBT84" s="2"/>
      <c r="RBU84" s="2"/>
      <c r="RBV84" s="2"/>
      <c r="RBW84" s="2"/>
      <c r="RBX84" s="2"/>
      <c r="RBY84" s="2"/>
      <c r="RBZ84" s="2"/>
      <c r="RCA84" s="2"/>
      <c r="RCB84" s="2"/>
      <c r="RCC84" s="2"/>
      <c r="RCD84" s="2"/>
      <c r="RCE84" s="2"/>
      <c r="RCF84" s="2"/>
      <c r="RCG84" s="2"/>
      <c r="RCH84" s="2"/>
      <c r="RCI84" s="2"/>
      <c r="RCJ84" s="2"/>
      <c r="RCK84" s="2"/>
      <c r="RCL84" s="2"/>
      <c r="RCM84" s="2"/>
      <c r="RCN84" s="2"/>
      <c r="RCO84" s="2"/>
      <c r="RCP84" s="2"/>
      <c r="RCQ84" s="2"/>
      <c r="RCR84" s="2"/>
      <c r="RCS84" s="2"/>
      <c r="RCT84" s="2"/>
      <c r="RCU84" s="2"/>
      <c r="RCV84" s="2"/>
      <c r="RCW84" s="2"/>
      <c r="RCX84" s="2"/>
      <c r="RCY84" s="2"/>
      <c r="RCZ84" s="2"/>
      <c r="RDA84" s="2"/>
      <c r="RDB84" s="2"/>
      <c r="RDC84" s="2"/>
      <c r="RDD84" s="2"/>
      <c r="RDE84" s="2"/>
      <c r="RDF84" s="2"/>
      <c r="RDG84" s="2"/>
      <c r="RDH84" s="2"/>
      <c r="RDI84" s="2"/>
      <c r="RDJ84" s="2"/>
      <c r="RDK84" s="2"/>
      <c r="RDL84" s="2"/>
      <c r="RDM84" s="2"/>
      <c r="RDN84" s="2"/>
      <c r="RDO84" s="2"/>
      <c r="RDP84" s="2"/>
      <c r="RDQ84" s="2"/>
      <c r="RDR84" s="2"/>
      <c r="RDS84" s="2"/>
      <c r="RDT84" s="2"/>
      <c r="RDU84" s="2"/>
      <c r="RDV84" s="2"/>
      <c r="RDW84" s="2"/>
      <c r="RDX84" s="2"/>
      <c r="RDY84" s="2"/>
      <c r="RDZ84" s="2"/>
      <c r="REA84" s="2"/>
      <c r="REB84" s="2"/>
      <c r="REC84" s="2"/>
      <c r="RED84" s="2"/>
      <c r="REE84" s="2"/>
      <c r="REF84" s="2"/>
      <c r="REG84" s="2"/>
      <c r="REH84" s="2"/>
      <c r="REI84" s="2"/>
      <c r="REJ84" s="2"/>
      <c r="REK84" s="2"/>
      <c r="REL84" s="2"/>
      <c r="REM84" s="2"/>
      <c r="REN84" s="2"/>
      <c r="REO84" s="2"/>
      <c r="REP84" s="2"/>
      <c r="REQ84" s="2"/>
      <c r="RER84" s="2"/>
      <c r="RES84" s="2"/>
      <c r="RET84" s="2"/>
      <c r="REU84" s="2"/>
      <c r="REV84" s="2"/>
      <c r="REW84" s="2"/>
      <c r="REX84" s="2"/>
      <c r="REY84" s="2"/>
      <c r="REZ84" s="2"/>
      <c r="RFA84" s="2"/>
      <c r="RFB84" s="2"/>
      <c r="RFC84" s="2"/>
      <c r="RFD84" s="2"/>
      <c r="RFE84" s="2"/>
      <c r="RFF84" s="2"/>
      <c r="RFG84" s="2"/>
      <c r="RFH84" s="2"/>
      <c r="RFI84" s="2"/>
      <c r="RFJ84" s="2"/>
      <c r="RFK84" s="2"/>
      <c r="RFL84" s="2"/>
      <c r="RFM84" s="2"/>
      <c r="RFN84" s="2"/>
      <c r="RFO84" s="2"/>
      <c r="RFP84" s="2"/>
      <c r="RFQ84" s="2"/>
      <c r="RFR84" s="2"/>
      <c r="RFS84" s="2"/>
      <c r="RFT84" s="2"/>
      <c r="RFU84" s="2"/>
      <c r="RFV84" s="2"/>
      <c r="RFW84" s="2"/>
      <c r="RFX84" s="2"/>
      <c r="RFY84" s="2"/>
      <c r="RFZ84" s="2"/>
      <c r="RGA84" s="2"/>
      <c r="RGB84" s="2"/>
      <c r="RGC84" s="2"/>
      <c r="RGD84" s="2"/>
      <c r="RGE84" s="2"/>
      <c r="RGF84" s="2"/>
      <c r="RGG84" s="2"/>
      <c r="RGH84" s="2"/>
      <c r="RGI84" s="2"/>
      <c r="RGJ84" s="2"/>
      <c r="RGK84" s="2"/>
      <c r="RGL84" s="2"/>
      <c r="RGM84" s="2"/>
      <c r="RGN84" s="2"/>
      <c r="RGO84" s="2"/>
      <c r="RGP84" s="2"/>
      <c r="RGQ84" s="2"/>
      <c r="RGR84" s="2"/>
      <c r="RGS84" s="2"/>
      <c r="RGT84" s="2"/>
      <c r="RGU84" s="2"/>
      <c r="RGV84" s="2"/>
      <c r="RGW84" s="2"/>
      <c r="RGX84" s="2"/>
      <c r="RGY84" s="2"/>
      <c r="RGZ84" s="2"/>
      <c r="RHA84" s="2"/>
      <c r="RHB84" s="2"/>
      <c r="RHC84" s="2"/>
      <c r="RHD84" s="2"/>
      <c r="RHE84" s="2"/>
      <c r="RHF84" s="2"/>
      <c r="RHG84" s="2"/>
      <c r="RHH84" s="2"/>
      <c r="RHI84" s="2"/>
      <c r="RHJ84" s="2"/>
      <c r="RHK84" s="2"/>
      <c r="RHL84" s="2"/>
      <c r="RHM84" s="2"/>
      <c r="RHN84" s="2"/>
      <c r="RHO84" s="2"/>
      <c r="RHP84" s="2"/>
      <c r="RHQ84" s="2"/>
      <c r="RHR84" s="2"/>
      <c r="RHS84" s="2"/>
      <c r="RHT84" s="2"/>
      <c r="RHU84" s="2"/>
      <c r="RHV84" s="2"/>
      <c r="RHW84" s="2"/>
      <c r="RHX84" s="2"/>
      <c r="RHY84" s="2"/>
      <c r="RHZ84" s="2"/>
      <c r="RIA84" s="2"/>
      <c r="RIB84" s="2"/>
      <c r="RIC84" s="2"/>
      <c r="RID84" s="2"/>
      <c r="RIE84" s="2"/>
      <c r="RIF84" s="2"/>
      <c r="RIG84" s="2"/>
      <c r="RIH84" s="2"/>
      <c r="RII84" s="2"/>
      <c r="RIJ84" s="2"/>
      <c r="RIK84" s="2"/>
      <c r="RIL84" s="2"/>
      <c r="RIM84" s="2"/>
      <c r="RIN84" s="2"/>
      <c r="RIO84" s="2"/>
      <c r="RIP84" s="2"/>
      <c r="RIQ84" s="2"/>
      <c r="RIR84" s="2"/>
      <c r="RIS84" s="2"/>
      <c r="RIT84" s="2"/>
      <c r="RIU84" s="2"/>
      <c r="RIV84" s="2"/>
      <c r="RIW84" s="2"/>
      <c r="RIX84" s="2"/>
      <c r="RIY84" s="2"/>
      <c r="RIZ84" s="2"/>
      <c r="RJA84" s="2"/>
      <c r="RJB84" s="2"/>
      <c r="RJC84" s="2"/>
      <c r="RJD84" s="2"/>
      <c r="RJE84" s="2"/>
      <c r="RJF84" s="2"/>
      <c r="RJG84" s="2"/>
      <c r="RJH84" s="2"/>
      <c r="RJI84" s="2"/>
      <c r="RJJ84" s="2"/>
      <c r="RJK84" s="2"/>
      <c r="RJL84" s="2"/>
      <c r="RJM84" s="2"/>
      <c r="RJN84" s="2"/>
      <c r="RJO84" s="2"/>
      <c r="RJP84" s="2"/>
      <c r="RJQ84" s="2"/>
      <c r="RJR84" s="2"/>
      <c r="RJS84" s="2"/>
      <c r="RJT84" s="2"/>
      <c r="RJU84" s="2"/>
      <c r="RJV84" s="2"/>
      <c r="RJW84" s="2"/>
      <c r="RJX84" s="2"/>
      <c r="RJY84" s="2"/>
      <c r="RJZ84" s="2"/>
      <c r="RKA84" s="2"/>
      <c r="RKB84" s="2"/>
      <c r="RKC84" s="2"/>
      <c r="RKD84" s="2"/>
      <c r="RKE84" s="2"/>
      <c r="RKF84" s="2"/>
      <c r="RKG84" s="2"/>
      <c r="RKH84" s="2"/>
      <c r="RKI84" s="2"/>
      <c r="RKJ84" s="2"/>
      <c r="RKK84" s="2"/>
      <c r="RKL84" s="2"/>
      <c r="RKM84" s="2"/>
      <c r="RKN84" s="2"/>
      <c r="RKO84" s="2"/>
      <c r="RKP84" s="2"/>
      <c r="RKQ84" s="2"/>
      <c r="RKR84" s="2"/>
      <c r="RKS84" s="2"/>
      <c r="RKT84" s="2"/>
      <c r="RKU84" s="2"/>
      <c r="RKV84" s="2"/>
      <c r="RKW84" s="2"/>
      <c r="RKX84" s="2"/>
      <c r="RKY84" s="2"/>
      <c r="RKZ84" s="2"/>
      <c r="RLA84" s="2"/>
      <c r="RLB84" s="2"/>
      <c r="RLC84" s="2"/>
      <c r="RLD84" s="2"/>
      <c r="RLE84" s="2"/>
      <c r="RLF84" s="2"/>
      <c r="RLG84" s="2"/>
      <c r="RLH84" s="2"/>
      <c r="RLI84" s="2"/>
      <c r="RLJ84" s="2"/>
      <c r="RLK84" s="2"/>
      <c r="RLL84" s="2"/>
      <c r="RLM84" s="2"/>
      <c r="RLN84" s="2"/>
      <c r="RLO84" s="2"/>
      <c r="RLP84" s="2"/>
      <c r="RLQ84" s="2"/>
      <c r="RLR84" s="2"/>
      <c r="RLS84" s="2"/>
      <c r="RLT84" s="2"/>
      <c r="RLU84" s="2"/>
      <c r="RLV84" s="2"/>
      <c r="RLW84" s="2"/>
      <c r="RLX84" s="2"/>
      <c r="RLY84" s="2"/>
      <c r="RLZ84" s="2"/>
      <c r="RMA84" s="2"/>
      <c r="RMB84" s="2"/>
      <c r="RMC84" s="2"/>
      <c r="RMD84" s="2"/>
      <c r="RME84" s="2"/>
      <c r="RMF84" s="2"/>
      <c r="RMG84" s="2"/>
      <c r="RMH84" s="2"/>
      <c r="RMI84" s="2"/>
      <c r="RMJ84" s="2"/>
      <c r="RMK84" s="2"/>
      <c r="RML84" s="2"/>
      <c r="RMM84" s="2"/>
      <c r="RMN84" s="2"/>
      <c r="RMO84" s="2"/>
      <c r="RMP84" s="2"/>
      <c r="RMQ84" s="2"/>
      <c r="RMR84" s="2"/>
      <c r="RMS84" s="2"/>
      <c r="RMT84" s="2"/>
      <c r="RMU84" s="2"/>
      <c r="RMV84" s="2"/>
      <c r="RMW84" s="2"/>
      <c r="RMX84" s="2"/>
      <c r="RMY84" s="2"/>
      <c r="RMZ84" s="2"/>
      <c r="RNA84" s="2"/>
      <c r="RNB84" s="2"/>
      <c r="RNC84" s="2"/>
      <c r="RND84" s="2"/>
      <c r="RNE84" s="2"/>
      <c r="RNF84" s="2"/>
      <c r="RNG84" s="2"/>
      <c r="RNH84" s="2"/>
      <c r="RNI84" s="2"/>
      <c r="RNJ84" s="2"/>
      <c r="RNK84" s="2"/>
      <c r="RNL84" s="2"/>
      <c r="RNM84" s="2"/>
      <c r="RNN84" s="2"/>
      <c r="RNO84" s="2"/>
      <c r="RNP84" s="2"/>
      <c r="RNQ84" s="2"/>
      <c r="RNR84" s="2"/>
      <c r="RNS84" s="2"/>
      <c r="RNT84" s="2"/>
      <c r="RNU84" s="2"/>
      <c r="RNV84" s="2"/>
      <c r="RNW84" s="2"/>
      <c r="RNX84" s="2"/>
      <c r="RNY84" s="2"/>
      <c r="RNZ84" s="2"/>
      <c r="ROA84" s="2"/>
      <c r="ROB84" s="2"/>
      <c r="ROC84" s="2"/>
      <c r="ROD84" s="2"/>
      <c r="ROE84" s="2"/>
      <c r="ROF84" s="2"/>
      <c r="ROG84" s="2"/>
      <c r="ROH84" s="2"/>
      <c r="ROI84" s="2"/>
      <c r="ROJ84" s="2"/>
      <c r="ROK84" s="2"/>
      <c r="ROL84" s="2"/>
      <c r="ROM84" s="2"/>
      <c r="RON84" s="2"/>
      <c r="ROO84" s="2"/>
      <c r="ROP84" s="2"/>
      <c r="ROQ84" s="2"/>
      <c r="ROR84" s="2"/>
      <c r="ROS84" s="2"/>
      <c r="ROT84" s="2"/>
      <c r="ROU84" s="2"/>
      <c r="ROV84" s="2"/>
      <c r="ROW84" s="2"/>
      <c r="ROX84" s="2"/>
      <c r="ROY84" s="2"/>
      <c r="ROZ84" s="2"/>
      <c r="RPA84" s="2"/>
      <c r="RPB84" s="2"/>
      <c r="RPC84" s="2"/>
      <c r="RPD84" s="2"/>
      <c r="RPE84" s="2"/>
      <c r="RPF84" s="2"/>
      <c r="RPG84" s="2"/>
      <c r="RPH84" s="2"/>
      <c r="RPI84" s="2"/>
      <c r="RPJ84" s="2"/>
      <c r="RPK84" s="2"/>
      <c r="RPL84" s="2"/>
      <c r="RPM84" s="2"/>
      <c r="RPN84" s="2"/>
      <c r="RPO84" s="2"/>
      <c r="RPP84" s="2"/>
      <c r="RPQ84" s="2"/>
      <c r="RPR84" s="2"/>
      <c r="RPS84" s="2"/>
      <c r="RPT84" s="2"/>
      <c r="RPU84" s="2"/>
      <c r="RPV84" s="2"/>
      <c r="RPW84" s="2"/>
      <c r="RPX84" s="2"/>
      <c r="RPY84" s="2"/>
      <c r="RPZ84" s="2"/>
      <c r="RQA84" s="2"/>
      <c r="RQB84" s="2"/>
      <c r="RQC84" s="2"/>
      <c r="RQD84" s="2"/>
      <c r="RQE84" s="2"/>
      <c r="RQF84" s="2"/>
      <c r="RQG84" s="2"/>
      <c r="RQH84" s="2"/>
      <c r="RQI84" s="2"/>
      <c r="RQJ84" s="2"/>
      <c r="RQK84" s="2"/>
      <c r="RQL84" s="2"/>
      <c r="RQM84" s="2"/>
      <c r="RQN84" s="2"/>
      <c r="RQO84" s="2"/>
      <c r="RQP84" s="2"/>
      <c r="RQQ84" s="2"/>
      <c r="RQR84" s="2"/>
      <c r="RQS84" s="2"/>
      <c r="RQT84" s="2"/>
      <c r="RQU84" s="2"/>
      <c r="RQV84" s="2"/>
      <c r="RQW84" s="2"/>
      <c r="RQX84" s="2"/>
      <c r="RQY84" s="2"/>
      <c r="RQZ84" s="2"/>
      <c r="RRA84" s="2"/>
      <c r="RRB84" s="2"/>
      <c r="RRC84" s="2"/>
      <c r="RRD84" s="2"/>
      <c r="RRE84" s="2"/>
      <c r="RRF84" s="2"/>
      <c r="RRG84" s="2"/>
      <c r="RRH84" s="2"/>
      <c r="RRI84" s="2"/>
      <c r="RRJ84" s="2"/>
      <c r="RRK84" s="2"/>
      <c r="RRL84" s="2"/>
      <c r="RRM84" s="2"/>
      <c r="RRN84" s="2"/>
      <c r="RRO84" s="2"/>
      <c r="RRP84" s="2"/>
      <c r="RRQ84" s="2"/>
      <c r="RRR84" s="2"/>
      <c r="RRS84" s="2"/>
      <c r="RRT84" s="2"/>
      <c r="RRU84" s="2"/>
      <c r="RRV84" s="2"/>
      <c r="RRW84" s="2"/>
      <c r="RRX84" s="2"/>
      <c r="RRY84" s="2"/>
      <c r="RRZ84" s="2"/>
      <c r="RSA84" s="2"/>
      <c r="RSB84" s="2"/>
      <c r="RSC84" s="2"/>
      <c r="RSD84" s="2"/>
      <c r="RSE84" s="2"/>
      <c r="RSF84" s="2"/>
      <c r="RSG84" s="2"/>
      <c r="RSH84" s="2"/>
      <c r="RSI84" s="2"/>
      <c r="RSJ84" s="2"/>
      <c r="RSK84" s="2"/>
      <c r="RSL84" s="2"/>
      <c r="RSM84" s="2"/>
      <c r="RSN84" s="2"/>
      <c r="RSO84" s="2"/>
      <c r="RSP84" s="2"/>
      <c r="RSQ84" s="2"/>
      <c r="RSR84" s="2"/>
      <c r="RSS84" s="2"/>
      <c r="RST84" s="2"/>
      <c r="RSU84" s="2"/>
      <c r="RSV84" s="2"/>
      <c r="RSW84" s="2"/>
      <c r="RSX84" s="2"/>
      <c r="RSY84" s="2"/>
      <c r="RSZ84" s="2"/>
      <c r="RTA84" s="2"/>
      <c r="RTB84" s="2"/>
      <c r="RTC84" s="2"/>
      <c r="RTD84" s="2"/>
      <c r="RTE84" s="2"/>
      <c r="RTF84" s="2"/>
      <c r="RTG84" s="2"/>
      <c r="RTH84" s="2"/>
      <c r="RTI84" s="2"/>
      <c r="RTJ84" s="2"/>
      <c r="RTK84" s="2"/>
      <c r="RTL84" s="2"/>
      <c r="RTM84" s="2"/>
      <c r="RTN84" s="2"/>
      <c r="RTO84" s="2"/>
      <c r="RTP84" s="2"/>
      <c r="RTQ84" s="2"/>
      <c r="RTR84" s="2"/>
      <c r="RTS84" s="2"/>
      <c r="RTT84" s="2"/>
      <c r="RTU84" s="2"/>
      <c r="RTV84" s="2"/>
      <c r="RTW84" s="2"/>
      <c r="RTX84" s="2"/>
      <c r="RTY84" s="2"/>
      <c r="RTZ84" s="2"/>
      <c r="RUA84" s="2"/>
      <c r="RUB84" s="2"/>
      <c r="RUC84" s="2"/>
      <c r="RUD84" s="2"/>
      <c r="RUE84" s="2"/>
      <c r="RUF84" s="2"/>
      <c r="RUG84" s="2"/>
      <c r="RUH84" s="2"/>
      <c r="RUI84" s="2"/>
      <c r="RUJ84" s="2"/>
      <c r="RUK84" s="2"/>
      <c r="RUL84" s="2"/>
      <c r="RUM84" s="2"/>
      <c r="RUN84" s="2"/>
      <c r="RUO84" s="2"/>
      <c r="RUP84" s="2"/>
      <c r="RUQ84" s="2"/>
      <c r="RUR84" s="2"/>
      <c r="RUS84" s="2"/>
      <c r="RUT84" s="2"/>
      <c r="RUU84" s="2"/>
      <c r="RUV84" s="2"/>
      <c r="RUW84" s="2"/>
      <c r="RUX84" s="2"/>
      <c r="RUY84" s="2"/>
      <c r="RUZ84" s="2"/>
      <c r="RVA84" s="2"/>
      <c r="RVB84" s="2"/>
      <c r="RVC84" s="2"/>
      <c r="RVD84" s="2"/>
      <c r="RVE84" s="2"/>
      <c r="RVF84" s="2"/>
      <c r="RVG84" s="2"/>
      <c r="RVH84" s="2"/>
      <c r="RVI84" s="2"/>
      <c r="RVJ84" s="2"/>
      <c r="RVK84" s="2"/>
      <c r="RVL84" s="2"/>
      <c r="RVM84" s="2"/>
      <c r="RVN84" s="2"/>
      <c r="RVO84" s="2"/>
      <c r="RVP84" s="2"/>
      <c r="RVQ84" s="2"/>
      <c r="RVR84" s="2"/>
      <c r="RVS84" s="2"/>
      <c r="RVT84" s="2"/>
      <c r="RVU84" s="2"/>
      <c r="RVV84" s="2"/>
      <c r="RVW84" s="2"/>
      <c r="RVX84" s="2"/>
      <c r="RVY84" s="2"/>
      <c r="RVZ84" s="2"/>
      <c r="RWA84" s="2"/>
      <c r="RWB84" s="2"/>
      <c r="RWC84" s="2"/>
      <c r="RWD84" s="2"/>
      <c r="RWE84" s="2"/>
      <c r="RWF84" s="2"/>
      <c r="RWG84" s="2"/>
      <c r="RWH84" s="2"/>
      <c r="RWI84" s="2"/>
      <c r="RWJ84" s="2"/>
      <c r="RWK84" s="2"/>
      <c r="RWL84" s="2"/>
      <c r="RWM84" s="2"/>
      <c r="RWN84" s="2"/>
      <c r="RWO84" s="2"/>
      <c r="RWP84" s="2"/>
      <c r="RWQ84" s="2"/>
      <c r="RWR84" s="2"/>
      <c r="RWS84" s="2"/>
      <c r="RWT84" s="2"/>
      <c r="RWU84" s="2"/>
      <c r="RWV84" s="2"/>
      <c r="RWW84" s="2"/>
      <c r="RWX84" s="2"/>
      <c r="RWY84" s="2"/>
      <c r="RWZ84" s="2"/>
      <c r="RXA84" s="2"/>
      <c r="RXB84" s="2"/>
      <c r="RXC84" s="2"/>
      <c r="RXD84" s="2"/>
      <c r="RXE84" s="2"/>
      <c r="RXF84" s="2"/>
      <c r="RXG84" s="2"/>
      <c r="RXH84" s="2"/>
      <c r="RXI84" s="2"/>
      <c r="RXJ84" s="2"/>
      <c r="RXK84" s="2"/>
      <c r="RXL84" s="2"/>
      <c r="RXM84" s="2"/>
      <c r="RXN84" s="2"/>
      <c r="RXO84" s="2"/>
      <c r="RXP84" s="2"/>
      <c r="RXQ84" s="2"/>
      <c r="RXR84" s="2"/>
      <c r="RXS84" s="2"/>
      <c r="RXT84" s="2"/>
      <c r="RXU84" s="2"/>
      <c r="RXV84" s="2"/>
      <c r="RXW84" s="2"/>
      <c r="RXX84" s="2"/>
      <c r="RXY84" s="2"/>
      <c r="RXZ84" s="2"/>
      <c r="RYA84" s="2"/>
      <c r="RYB84" s="2"/>
      <c r="RYC84" s="2"/>
      <c r="RYD84" s="2"/>
      <c r="RYE84" s="2"/>
      <c r="RYF84" s="2"/>
      <c r="RYG84" s="2"/>
      <c r="RYH84" s="2"/>
      <c r="RYI84" s="2"/>
      <c r="RYJ84" s="2"/>
      <c r="RYK84" s="2"/>
      <c r="RYL84" s="2"/>
      <c r="RYM84" s="2"/>
      <c r="RYN84" s="2"/>
      <c r="RYO84" s="2"/>
      <c r="RYP84" s="2"/>
      <c r="RYQ84" s="2"/>
      <c r="RYR84" s="2"/>
      <c r="RYS84" s="2"/>
      <c r="RYT84" s="2"/>
      <c r="RYU84" s="2"/>
      <c r="RYV84" s="2"/>
      <c r="RYW84" s="2"/>
      <c r="RYX84" s="2"/>
      <c r="RYY84" s="2"/>
      <c r="RYZ84" s="2"/>
      <c r="RZA84" s="2"/>
      <c r="RZB84" s="2"/>
      <c r="RZC84" s="2"/>
      <c r="RZD84" s="2"/>
      <c r="RZE84" s="2"/>
      <c r="RZF84" s="2"/>
      <c r="RZG84" s="2"/>
      <c r="RZH84" s="2"/>
      <c r="RZI84" s="2"/>
      <c r="RZJ84" s="2"/>
      <c r="RZK84" s="2"/>
      <c r="RZL84" s="2"/>
      <c r="RZM84" s="2"/>
      <c r="RZN84" s="2"/>
      <c r="RZO84" s="2"/>
      <c r="RZP84" s="2"/>
      <c r="RZQ84" s="2"/>
      <c r="RZR84" s="2"/>
      <c r="RZS84" s="2"/>
      <c r="RZT84" s="2"/>
      <c r="RZU84" s="2"/>
      <c r="RZV84" s="2"/>
      <c r="RZW84" s="2"/>
      <c r="RZX84" s="2"/>
      <c r="RZY84" s="2"/>
      <c r="RZZ84" s="2"/>
      <c r="SAA84" s="2"/>
      <c r="SAB84" s="2"/>
      <c r="SAC84" s="2"/>
      <c r="SAD84" s="2"/>
      <c r="SAE84" s="2"/>
      <c r="SAF84" s="2"/>
      <c r="SAG84" s="2"/>
      <c r="SAH84" s="2"/>
      <c r="SAI84" s="2"/>
      <c r="SAJ84" s="2"/>
      <c r="SAK84" s="2"/>
      <c r="SAL84" s="2"/>
      <c r="SAM84" s="2"/>
      <c r="SAN84" s="2"/>
      <c r="SAO84" s="2"/>
      <c r="SAP84" s="2"/>
      <c r="SAQ84" s="2"/>
      <c r="SAR84" s="2"/>
      <c r="SAS84" s="2"/>
      <c r="SAT84" s="2"/>
      <c r="SAU84" s="2"/>
      <c r="SAV84" s="2"/>
      <c r="SAW84" s="2"/>
      <c r="SAX84" s="2"/>
      <c r="SAY84" s="2"/>
      <c r="SAZ84" s="2"/>
      <c r="SBA84" s="2"/>
      <c r="SBB84" s="2"/>
      <c r="SBC84" s="2"/>
      <c r="SBD84" s="2"/>
      <c r="SBE84" s="2"/>
      <c r="SBF84" s="2"/>
      <c r="SBG84" s="2"/>
      <c r="SBH84" s="2"/>
      <c r="SBI84" s="2"/>
      <c r="SBJ84" s="2"/>
      <c r="SBK84" s="2"/>
      <c r="SBL84" s="2"/>
      <c r="SBM84" s="2"/>
      <c r="SBN84" s="2"/>
      <c r="SBO84" s="2"/>
      <c r="SBP84" s="2"/>
      <c r="SBQ84" s="2"/>
      <c r="SBR84" s="2"/>
      <c r="SBS84" s="2"/>
      <c r="SBT84" s="2"/>
      <c r="SBU84" s="2"/>
      <c r="SBV84" s="2"/>
      <c r="SBW84" s="2"/>
      <c r="SBX84" s="2"/>
      <c r="SBY84" s="2"/>
      <c r="SBZ84" s="2"/>
      <c r="SCA84" s="2"/>
      <c r="SCB84" s="2"/>
      <c r="SCC84" s="2"/>
      <c r="SCD84" s="2"/>
      <c r="SCE84" s="2"/>
      <c r="SCF84" s="2"/>
      <c r="SCG84" s="2"/>
      <c r="SCH84" s="2"/>
      <c r="SCI84" s="2"/>
      <c r="SCJ84" s="2"/>
      <c r="SCK84" s="2"/>
      <c r="SCL84" s="2"/>
      <c r="SCM84" s="2"/>
      <c r="SCN84" s="2"/>
      <c r="SCO84" s="2"/>
      <c r="SCP84" s="2"/>
      <c r="SCQ84" s="2"/>
      <c r="SCR84" s="2"/>
      <c r="SCS84" s="2"/>
      <c r="SCT84" s="2"/>
      <c r="SCU84" s="2"/>
      <c r="SCV84" s="2"/>
      <c r="SCW84" s="2"/>
      <c r="SCX84" s="2"/>
      <c r="SCY84" s="2"/>
      <c r="SCZ84" s="2"/>
      <c r="SDA84" s="2"/>
      <c r="SDB84" s="2"/>
      <c r="SDC84" s="2"/>
      <c r="SDD84" s="2"/>
      <c r="SDE84" s="2"/>
      <c r="SDF84" s="2"/>
      <c r="SDG84" s="2"/>
      <c r="SDH84" s="2"/>
      <c r="SDI84" s="2"/>
      <c r="SDJ84" s="2"/>
      <c r="SDK84" s="2"/>
      <c r="SDL84" s="2"/>
      <c r="SDM84" s="2"/>
      <c r="SDN84" s="2"/>
      <c r="SDO84" s="2"/>
      <c r="SDP84" s="2"/>
      <c r="SDQ84" s="2"/>
      <c r="SDR84" s="2"/>
      <c r="SDS84" s="2"/>
      <c r="SDT84" s="2"/>
      <c r="SDU84" s="2"/>
      <c r="SDV84" s="2"/>
      <c r="SDW84" s="2"/>
      <c r="SDX84" s="2"/>
      <c r="SDY84" s="2"/>
      <c r="SDZ84" s="2"/>
      <c r="SEA84" s="2"/>
      <c r="SEB84" s="2"/>
      <c r="SEC84" s="2"/>
      <c r="SED84" s="2"/>
      <c r="SEE84" s="2"/>
      <c r="SEF84" s="2"/>
      <c r="SEG84" s="2"/>
      <c r="SEH84" s="2"/>
      <c r="SEI84" s="2"/>
      <c r="SEJ84" s="2"/>
      <c r="SEK84" s="2"/>
      <c r="SEL84" s="2"/>
      <c r="SEM84" s="2"/>
      <c r="SEN84" s="2"/>
      <c r="SEO84" s="2"/>
      <c r="SEP84" s="2"/>
      <c r="SEQ84" s="2"/>
      <c r="SER84" s="2"/>
      <c r="SES84" s="2"/>
      <c r="SET84" s="2"/>
      <c r="SEU84" s="2"/>
      <c r="SEV84" s="2"/>
      <c r="SEW84" s="2"/>
      <c r="SEX84" s="2"/>
      <c r="SEY84" s="2"/>
      <c r="SEZ84" s="2"/>
      <c r="SFA84" s="2"/>
      <c r="SFB84" s="2"/>
      <c r="SFC84" s="2"/>
      <c r="SFD84" s="2"/>
      <c r="SFE84" s="2"/>
      <c r="SFF84" s="2"/>
      <c r="SFG84" s="2"/>
      <c r="SFH84" s="2"/>
      <c r="SFI84" s="2"/>
      <c r="SFJ84" s="2"/>
      <c r="SFK84" s="2"/>
      <c r="SFL84" s="2"/>
      <c r="SFM84" s="2"/>
      <c r="SFN84" s="2"/>
      <c r="SFO84" s="2"/>
      <c r="SFP84" s="2"/>
      <c r="SFQ84" s="2"/>
      <c r="SFR84" s="2"/>
      <c r="SFS84" s="2"/>
      <c r="SFT84" s="2"/>
      <c r="SFU84" s="2"/>
      <c r="SFV84" s="2"/>
      <c r="SFW84" s="2"/>
      <c r="SFX84" s="2"/>
      <c r="SFY84" s="2"/>
      <c r="SFZ84" s="2"/>
      <c r="SGA84" s="2"/>
      <c r="SGB84" s="2"/>
      <c r="SGC84" s="2"/>
      <c r="SGD84" s="2"/>
      <c r="SGE84" s="2"/>
      <c r="SGF84" s="2"/>
      <c r="SGG84" s="2"/>
      <c r="SGH84" s="2"/>
      <c r="SGI84" s="2"/>
      <c r="SGJ84" s="2"/>
      <c r="SGK84" s="2"/>
      <c r="SGL84" s="2"/>
      <c r="SGM84" s="2"/>
      <c r="SGN84" s="2"/>
      <c r="SGO84" s="2"/>
      <c r="SGP84" s="2"/>
      <c r="SGQ84" s="2"/>
      <c r="SGR84" s="2"/>
      <c r="SGS84" s="2"/>
      <c r="SGT84" s="2"/>
      <c r="SGU84" s="2"/>
      <c r="SGV84" s="2"/>
      <c r="SGW84" s="2"/>
      <c r="SGX84" s="2"/>
      <c r="SGY84" s="2"/>
      <c r="SGZ84" s="2"/>
      <c r="SHA84" s="2"/>
      <c r="SHB84" s="2"/>
      <c r="SHC84" s="2"/>
      <c r="SHD84" s="2"/>
      <c r="SHE84" s="2"/>
      <c r="SHF84" s="2"/>
      <c r="SHG84" s="2"/>
      <c r="SHH84" s="2"/>
      <c r="SHI84" s="2"/>
      <c r="SHJ84" s="2"/>
      <c r="SHK84" s="2"/>
      <c r="SHL84" s="2"/>
      <c r="SHM84" s="2"/>
      <c r="SHN84" s="2"/>
      <c r="SHO84" s="2"/>
      <c r="SHP84" s="2"/>
      <c r="SHQ84" s="2"/>
      <c r="SHR84" s="2"/>
      <c r="SHS84" s="2"/>
      <c r="SHT84" s="2"/>
      <c r="SHU84" s="2"/>
      <c r="SHV84" s="2"/>
      <c r="SHW84" s="2"/>
      <c r="SHX84" s="2"/>
      <c r="SHY84" s="2"/>
      <c r="SHZ84" s="2"/>
      <c r="SIA84" s="2"/>
      <c r="SIB84" s="2"/>
      <c r="SIC84" s="2"/>
      <c r="SID84" s="2"/>
      <c r="SIE84" s="2"/>
      <c r="SIF84" s="2"/>
      <c r="SIG84" s="2"/>
      <c r="SIH84" s="2"/>
      <c r="SII84" s="2"/>
      <c r="SIJ84" s="2"/>
      <c r="SIK84" s="2"/>
      <c r="SIL84" s="2"/>
      <c r="SIM84" s="2"/>
      <c r="SIN84" s="2"/>
      <c r="SIO84" s="2"/>
      <c r="SIP84" s="2"/>
      <c r="SIQ84" s="2"/>
      <c r="SIR84" s="2"/>
      <c r="SIS84" s="2"/>
      <c r="SIT84" s="2"/>
      <c r="SIU84" s="2"/>
      <c r="SIV84" s="2"/>
      <c r="SIW84" s="2"/>
      <c r="SIX84" s="2"/>
      <c r="SIY84" s="2"/>
      <c r="SIZ84" s="2"/>
      <c r="SJA84" s="2"/>
      <c r="SJB84" s="2"/>
      <c r="SJC84" s="2"/>
      <c r="SJD84" s="2"/>
      <c r="SJE84" s="2"/>
      <c r="SJF84" s="2"/>
      <c r="SJG84" s="2"/>
      <c r="SJH84" s="2"/>
      <c r="SJI84" s="2"/>
      <c r="SJJ84" s="2"/>
      <c r="SJK84" s="2"/>
      <c r="SJL84" s="2"/>
      <c r="SJM84" s="2"/>
      <c r="SJN84" s="2"/>
      <c r="SJO84" s="2"/>
      <c r="SJP84" s="2"/>
      <c r="SJQ84" s="2"/>
      <c r="SJR84" s="2"/>
      <c r="SJS84" s="2"/>
      <c r="SJT84" s="2"/>
      <c r="SJU84" s="2"/>
      <c r="SJV84" s="2"/>
      <c r="SJW84" s="2"/>
      <c r="SJX84" s="2"/>
      <c r="SJY84" s="2"/>
      <c r="SJZ84" s="2"/>
      <c r="SKA84" s="2"/>
      <c r="SKB84" s="2"/>
      <c r="SKC84" s="2"/>
      <c r="SKD84" s="2"/>
      <c r="SKE84" s="2"/>
      <c r="SKF84" s="2"/>
      <c r="SKG84" s="2"/>
      <c r="SKH84" s="2"/>
      <c r="SKI84" s="2"/>
      <c r="SKJ84" s="2"/>
      <c r="SKK84" s="2"/>
      <c r="SKL84" s="2"/>
      <c r="SKM84" s="2"/>
      <c r="SKN84" s="2"/>
      <c r="SKO84" s="2"/>
      <c r="SKP84" s="2"/>
      <c r="SKQ84" s="2"/>
      <c r="SKR84" s="2"/>
      <c r="SKS84" s="2"/>
      <c r="SKT84" s="2"/>
      <c r="SKU84" s="2"/>
      <c r="SKV84" s="2"/>
      <c r="SKW84" s="2"/>
      <c r="SKX84" s="2"/>
      <c r="SKY84" s="2"/>
      <c r="SKZ84" s="2"/>
      <c r="SLA84" s="2"/>
      <c r="SLB84" s="2"/>
      <c r="SLC84" s="2"/>
      <c r="SLD84" s="2"/>
      <c r="SLE84" s="2"/>
      <c r="SLF84" s="2"/>
      <c r="SLG84" s="2"/>
      <c r="SLH84" s="2"/>
      <c r="SLI84" s="2"/>
      <c r="SLJ84" s="2"/>
      <c r="SLK84" s="2"/>
      <c r="SLL84" s="2"/>
      <c r="SLM84" s="2"/>
      <c r="SLN84" s="2"/>
      <c r="SLO84" s="2"/>
      <c r="SLP84" s="2"/>
      <c r="SLQ84" s="2"/>
      <c r="SLR84" s="2"/>
      <c r="SLS84" s="2"/>
      <c r="SLT84" s="2"/>
      <c r="SLU84" s="2"/>
      <c r="SLV84" s="2"/>
      <c r="SLW84" s="2"/>
      <c r="SLX84" s="2"/>
      <c r="SLY84" s="2"/>
      <c r="SLZ84" s="2"/>
      <c r="SMA84" s="2"/>
      <c r="SMB84" s="2"/>
      <c r="SMC84" s="2"/>
      <c r="SMD84" s="2"/>
      <c r="SME84" s="2"/>
      <c r="SMF84" s="2"/>
      <c r="SMG84" s="2"/>
      <c r="SMH84" s="2"/>
      <c r="SMI84" s="2"/>
      <c r="SMJ84" s="2"/>
      <c r="SMK84" s="2"/>
      <c r="SML84" s="2"/>
      <c r="SMM84" s="2"/>
      <c r="SMN84" s="2"/>
      <c r="SMO84" s="2"/>
      <c r="SMP84" s="2"/>
      <c r="SMQ84" s="2"/>
      <c r="SMR84" s="2"/>
      <c r="SMS84" s="2"/>
      <c r="SMT84" s="2"/>
      <c r="SMU84" s="2"/>
      <c r="SMV84" s="2"/>
      <c r="SMW84" s="2"/>
      <c r="SMX84" s="2"/>
      <c r="SMY84" s="2"/>
      <c r="SMZ84" s="2"/>
      <c r="SNA84" s="2"/>
      <c r="SNB84" s="2"/>
      <c r="SNC84" s="2"/>
      <c r="SND84" s="2"/>
      <c r="SNE84" s="2"/>
      <c r="SNF84" s="2"/>
      <c r="SNG84" s="2"/>
      <c r="SNH84" s="2"/>
      <c r="SNI84" s="2"/>
      <c r="SNJ84" s="2"/>
      <c r="SNK84" s="2"/>
      <c r="SNL84" s="2"/>
      <c r="SNM84" s="2"/>
      <c r="SNN84" s="2"/>
      <c r="SNO84" s="2"/>
      <c r="SNP84" s="2"/>
      <c r="SNQ84" s="2"/>
      <c r="SNR84" s="2"/>
      <c r="SNS84" s="2"/>
      <c r="SNT84" s="2"/>
      <c r="SNU84" s="2"/>
      <c r="SNV84" s="2"/>
      <c r="SNW84" s="2"/>
      <c r="SNX84" s="2"/>
      <c r="SNY84" s="2"/>
      <c r="SNZ84" s="2"/>
      <c r="SOA84" s="2"/>
      <c r="SOB84" s="2"/>
      <c r="SOC84" s="2"/>
      <c r="SOD84" s="2"/>
      <c r="SOE84" s="2"/>
      <c r="SOF84" s="2"/>
      <c r="SOG84" s="2"/>
      <c r="SOH84" s="2"/>
      <c r="SOI84" s="2"/>
      <c r="SOJ84" s="2"/>
      <c r="SOK84" s="2"/>
      <c r="SOL84" s="2"/>
      <c r="SOM84" s="2"/>
      <c r="SON84" s="2"/>
      <c r="SOO84" s="2"/>
      <c r="SOP84" s="2"/>
      <c r="SOQ84" s="2"/>
      <c r="SOR84" s="2"/>
      <c r="SOS84" s="2"/>
      <c r="SOT84" s="2"/>
      <c r="SOU84" s="2"/>
      <c r="SOV84" s="2"/>
      <c r="SOW84" s="2"/>
      <c r="SOX84" s="2"/>
      <c r="SOY84" s="2"/>
      <c r="SOZ84" s="2"/>
      <c r="SPA84" s="2"/>
      <c r="SPB84" s="2"/>
      <c r="SPC84" s="2"/>
      <c r="SPD84" s="2"/>
      <c r="SPE84" s="2"/>
      <c r="SPF84" s="2"/>
      <c r="SPG84" s="2"/>
      <c r="SPH84" s="2"/>
      <c r="SPI84" s="2"/>
      <c r="SPJ84" s="2"/>
      <c r="SPK84" s="2"/>
      <c r="SPL84" s="2"/>
      <c r="SPM84" s="2"/>
      <c r="SPN84" s="2"/>
      <c r="SPO84" s="2"/>
      <c r="SPP84" s="2"/>
      <c r="SPQ84" s="2"/>
      <c r="SPR84" s="2"/>
      <c r="SPS84" s="2"/>
      <c r="SPT84" s="2"/>
      <c r="SPU84" s="2"/>
      <c r="SPV84" s="2"/>
      <c r="SPW84" s="2"/>
      <c r="SPX84" s="2"/>
      <c r="SPY84" s="2"/>
      <c r="SPZ84" s="2"/>
      <c r="SQA84" s="2"/>
      <c r="SQB84" s="2"/>
      <c r="SQC84" s="2"/>
      <c r="SQD84" s="2"/>
      <c r="SQE84" s="2"/>
      <c r="SQF84" s="2"/>
      <c r="SQG84" s="2"/>
      <c r="SQH84" s="2"/>
      <c r="SQI84" s="2"/>
      <c r="SQJ84" s="2"/>
      <c r="SQK84" s="2"/>
      <c r="SQL84" s="2"/>
      <c r="SQM84" s="2"/>
      <c r="SQN84" s="2"/>
      <c r="SQO84" s="2"/>
      <c r="SQP84" s="2"/>
      <c r="SQQ84" s="2"/>
      <c r="SQR84" s="2"/>
      <c r="SQS84" s="2"/>
      <c r="SQT84" s="2"/>
      <c r="SQU84" s="2"/>
      <c r="SQV84" s="2"/>
      <c r="SQW84" s="2"/>
      <c r="SQX84" s="2"/>
      <c r="SQY84" s="2"/>
      <c r="SQZ84" s="2"/>
      <c r="SRA84" s="2"/>
      <c r="SRB84" s="2"/>
      <c r="SRC84" s="2"/>
      <c r="SRD84" s="2"/>
      <c r="SRE84" s="2"/>
      <c r="SRF84" s="2"/>
      <c r="SRG84" s="2"/>
      <c r="SRH84" s="2"/>
      <c r="SRI84" s="2"/>
      <c r="SRJ84" s="2"/>
      <c r="SRK84" s="2"/>
      <c r="SRL84" s="2"/>
      <c r="SRM84" s="2"/>
      <c r="SRN84" s="2"/>
      <c r="SRO84" s="2"/>
      <c r="SRP84" s="2"/>
      <c r="SRQ84" s="2"/>
      <c r="SRR84" s="2"/>
      <c r="SRS84" s="2"/>
      <c r="SRT84" s="2"/>
      <c r="SRU84" s="2"/>
      <c r="SRV84" s="2"/>
      <c r="SRW84" s="2"/>
      <c r="SRX84" s="2"/>
      <c r="SRY84" s="2"/>
      <c r="SRZ84" s="2"/>
      <c r="SSA84" s="2"/>
      <c r="SSB84" s="2"/>
      <c r="SSC84" s="2"/>
      <c r="SSD84" s="2"/>
      <c r="SSE84" s="2"/>
      <c r="SSF84" s="2"/>
      <c r="SSG84" s="2"/>
      <c r="SSH84" s="2"/>
      <c r="SSI84" s="2"/>
      <c r="SSJ84" s="2"/>
      <c r="SSK84" s="2"/>
      <c r="SSL84" s="2"/>
      <c r="SSM84" s="2"/>
      <c r="SSN84" s="2"/>
      <c r="SSO84" s="2"/>
      <c r="SSP84" s="2"/>
      <c r="SSQ84" s="2"/>
      <c r="SSR84" s="2"/>
      <c r="SSS84" s="2"/>
      <c r="SST84" s="2"/>
      <c r="SSU84" s="2"/>
      <c r="SSV84" s="2"/>
      <c r="SSW84" s="2"/>
      <c r="SSX84" s="2"/>
      <c r="SSY84" s="2"/>
      <c r="SSZ84" s="2"/>
      <c r="STA84" s="2"/>
      <c r="STB84" s="2"/>
      <c r="STC84" s="2"/>
      <c r="STD84" s="2"/>
      <c r="STE84" s="2"/>
      <c r="STF84" s="2"/>
      <c r="STG84" s="2"/>
      <c r="STH84" s="2"/>
      <c r="STI84" s="2"/>
      <c r="STJ84" s="2"/>
      <c r="STK84" s="2"/>
      <c r="STL84" s="2"/>
      <c r="STM84" s="2"/>
      <c r="STN84" s="2"/>
      <c r="STO84" s="2"/>
      <c r="STP84" s="2"/>
      <c r="STQ84" s="2"/>
      <c r="STR84" s="2"/>
      <c r="STS84" s="2"/>
      <c r="STT84" s="2"/>
      <c r="STU84" s="2"/>
      <c r="STV84" s="2"/>
      <c r="STW84" s="2"/>
      <c r="STX84" s="2"/>
      <c r="STY84" s="2"/>
      <c r="STZ84" s="2"/>
      <c r="SUA84" s="2"/>
      <c r="SUB84" s="2"/>
      <c r="SUC84" s="2"/>
      <c r="SUD84" s="2"/>
      <c r="SUE84" s="2"/>
      <c r="SUF84" s="2"/>
      <c r="SUG84" s="2"/>
      <c r="SUH84" s="2"/>
      <c r="SUI84" s="2"/>
      <c r="SUJ84" s="2"/>
      <c r="SUK84" s="2"/>
      <c r="SUL84" s="2"/>
      <c r="SUM84" s="2"/>
      <c r="SUN84" s="2"/>
      <c r="SUO84" s="2"/>
      <c r="SUP84" s="2"/>
      <c r="SUQ84" s="2"/>
      <c r="SUR84" s="2"/>
      <c r="SUS84" s="2"/>
      <c r="SUT84" s="2"/>
      <c r="SUU84" s="2"/>
      <c r="SUV84" s="2"/>
      <c r="SUW84" s="2"/>
      <c r="SUX84" s="2"/>
      <c r="SUY84" s="2"/>
      <c r="SUZ84" s="2"/>
      <c r="SVA84" s="2"/>
      <c r="SVB84" s="2"/>
      <c r="SVC84" s="2"/>
      <c r="SVD84" s="2"/>
      <c r="SVE84" s="2"/>
      <c r="SVF84" s="2"/>
      <c r="SVG84" s="2"/>
      <c r="SVH84" s="2"/>
      <c r="SVI84" s="2"/>
      <c r="SVJ84" s="2"/>
      <c r="SVK84" s="2"/>
      <c r="SVL84" s="2"/>
      <c r="SVM84" s="2"/>
      <c r="SVN84" s="2"/>
      <c r="SVO84" s="2"/>
      <c r="SVP84" s="2"/>
      <c r="SVQ84" s="2"/>
      <c r="SVR84" s="2"/>
      <c r="SVS84" s="2"/>
      <c r="SVT84" s="2"/>
      <c r="SVU84" s="2"/>
      <c r="SVV84" s="2"/>
      <c r="SVW84" s="2"/>
      <c r="SVX84" s="2"/>
      <c r="SVY84" s="2"/>
      <c r="SVZ84" s="2"/>
      <c r="SWA84" s="2"/>
      <c r="SWB84" s="2"/>
      <c r="SWC84" s="2"/>
      <c r="SWD84" s="2"/>
      <c r="SWE84" s="2"/>
      <c r="SWF84" s="2"/>
      <c r="SWG84" s="2"/>
      <c r="SWH84" s="2"/>
      <c r="SWI84" s="2"/>
      <c r="SWJ84" s="2"/>
      <c r="SWK84" s="2"/>
      <c r="SWL84" s="2"/>
      <c r="SWM84" s="2"/>
      <c r="SWN84" s="2"/>
      <c r="SWO84" s="2"/>
      <c r="SWP84" s="2"/>
      <c r="SWQ84" s="2"/>
      <c r="SWR84" s="2"/>
      <c r="SWS84" s="2"/>
      <c r="SWT84" s="2"/>
      <c r="SWU84" s="2"/>
      <c r="SWV84" s="2"/>
      <c r="SWW84" s="2"/>
      <c r="SWX84" s="2"/>
      <c r="SWY84" s="2"/>
      <c r="SWZ84" s="2"/>
      <c r="SXA84" s="2"/>
      <c r="SXB84" s="2"/>
      <c r="SXC84" s="2"/>
      <c r="SXD84" s="2"/>
      <c r="SXE84" s="2"/>
      <c r="SXF84" s="2"/>
      <c r="SXG84" s="2"/>
      <c r="SXH84" s="2"/>
      <c r="SXI84" s="2"/>
      <c r="SXJ84" s="2"/>
      <c r="SXK84" s="2"/>
      <c r="SXL84" s="2"/>
      <c r="SXM84" s="2"/>
      <c r="SXN84" s="2"/>
      <c r="SXO84" s="2"/>
      <c r="SXP84" s="2"/>
      <c r="SXQ84" s="2"/>
      <c r="SXR84" s="2"/>
      <c r="SXS84" s="2"/>
      <c r="SXT84" s="2"/>
      <c r="SXU84" s="2"/>
      <c r="SXV84" s="2"/>
      <c r="SXW84" s="2"/>
      <c r="SXX84" s="2"/>
      <c r="SXY84" s="2"/>
      <c r="SXZ84" s="2"/>
      <c r="SYA84" s="2"/>
      <c r="SYB84" s="2"/>
      <c r="SYC84" s="2"/>
      <c r="SYD84" s="2"/>
      <c r="SYE84" s="2"/>
      <c r="SYF84" s="2"/>
      <c r="SYG84" s="2"/>
      <c r="SYH84" s="2"/>
      <c r="SYI84" s="2"/>
      <c r="SYJ84" s="2"/>
      <c r="SYK84" s="2"/>
      <c r="SYL84" s="2"/>
      <c r="SYM84" s="2"/>
      <c r="SYN84" s="2"/>
      <c r="SYO84" s="2"/>
      <c r="SYP84" s="2"/>
      <c r="SYQ84" s="2"/>
      <c r="SYR84" s="2"/>
      <c r="SYS84" s="2"/>
      <c r="SYT84" s="2"/>
      <c r="SYU84" s="2"/>
      <c r="SYV84" s="2"/>
      <c r="SYW84" s="2"/>
      <c r="SYX84" s="2"/>
      <c r="SYY84" s="2"/>
      <c r="SYZ84" s="2"/>
      <c r="SZA84" s="2"/>
      <c r="SZB84" s="2"/>
      <c r="SZC84" s="2"/>
      <c r="SZD84" s="2"/>
      <c r="SZE84" s="2"/>
      <c r="SZF84" s="2"/>
      <c r="SZG84" s="2"/>
      <c r="SZH84" s="2"/>
      <c r="SZI84" s="2"/>
      <c r="SZJ84" s="2"/>
      <c r="SZK84" s="2"/>
      <c r="SZL84" s="2"/>
      <c r="SZM84" s="2"/>
      <c r="SZN84" s="2"/>
      <c r="SZO84" s="2"/>
      <c r="SZP84" s="2"/>
      <c r="SZQ84" s="2"/>
      <c r="SZR84" s="2"/>
      <c r="SZS84" s="2"/>
      <c r="SZT84" s="2"/>
      <c r="SZU84" s="2"/>
      <c r="SZV84" s="2"/>
      <c r="SZW84" s="2"/>
      <c r="SZX84" s="2"/>
      <c r="SZY84" s="2"/>
      <c r="SZZ84" s="2"/>
      <c r="TAA84" s="2"/>
      <c r="TAB84" s="2"/>
      <c r="TAC84" s="2"/>
      <c r="TAD84" s="2"/>
      <c r="TAE84" s="2"/>
      <c r="TAF84" s="2"/>
      <c r="TAG84" s="2"/>
      <c r="TAH84" s="2"/>
      <c r="TAI84" s="2"/>
      <c r="TAJ84" s="2"/>
      <c r="TAK84" s="2"/>
      <c r="TAL84" s="2"/>
      <c r="TAM84" s="2"/>
      <c r="TAN84" s="2"/>
      <c r="TAO84" s="2"/>
      <c r="TAP84" s="2"/>
      <c r="TAQ84" s="2"/>
      <c r="TAR84" s="2"/>
      <c r="TAS84" s="2"/>
      <c r="TAT84" s="2"/>
      <c r="TAU84" s="2"/>
      <c r="TAV84" s="2"/>
      <c r="TAW84" s="2"/>
      <c r="TAX84" s="2"/>
      <c r="TAY84" s="2"/>
      <c r="TAZ84" s="2"/>
      <c r="TBA84" s="2"/>
      <c r="TBB84" s="2"/>
      <c r="TBC84" s="2"/>
      <c r="TBD84" s="2"/>
      <c r="TBE84" s="2"/>
      <c r="TBF84" s="2"/>
      <c r="TBG84" s="2"/>
      <c r="TBH84" s="2"/>
      <c r="TBI84" s="2"/>
      <c r="TBJ84" s="2"/>
      <c r="TBK84" s="2"/>
      <c r="TBL84" s="2"/>
      <c r="TBM84" s="2"/>
      <c r="TBN84" s="2"/>
      <c r="TBO84" s="2"/>
      <c r="TBP84" s="2"/>
      <c r="TBQ84" s="2"/>
      <c r="TBR84" s="2"/>
      <c r="TBS84" s="2"/>
      <c r="TBT84" s="2"/>
      <c r="TBU84" s="2"/>
      <c r="TBV84" s="2"/>
      <c r="TBW84" s="2"/>
      <c r="TBX84" s="2"/>
      <c r="TBY84" s="2"/>
      <c r="TBZ84" s="2"/>
      <c r="TCA84" s="2"/>
      <c r="TCB84" s="2"/>
      <c r="TCC84" s="2"/>
      <c r="TCD84" s="2"/>
      <c r="TCE84" s="2"/>
      <c r="TCF84" s="2"/>
      <c r="TCG84" s="2"/>
      <c r="TCH84" s="2"/>
      <c r="TCI84" s="2"/>
      <c r="TCJ84" s="2"/>
      <c r="TCK84" s="2"/>
      <c r="TCL84" s="2"/>
      <c r="TCM84" s="2"/>
      <c r="TCN84" s="2"/>
      <c r="TCO84" s="2"/>
      <c r="TCP84" s="2"/>
      <c r="TCQ84" s="2"/>
      <c r="TCR84" s="2"/>
      <c r="TCS84" s="2"/>
      <c r="TCT84" s="2"/>
      <c r="TCU84" s="2"/>
      <c r="TCV84" s="2"/>
      <c r="TCW84" s="2"/>
      <c r="TCX84" s="2"/>
      <c r="TCY84" s="2"/>
      <c r="TCZ84" s="2"/>
      <c r="TDA84" s="2"/>
      <c r="TDB84" s="2"/>
      <c r="TDC84" s="2"/>
      <c r="TDD84" s="2"/>
      <c r="TDE84" s="2"/>
      <c r="TDF84" s="2"/>
      <c r="TDG84" s="2"/>
      <c r="TDH84" s="2"/>
      <c r="TDI84" s="2"/>
      <c r="TDJ84" s="2"/>
      <c r="TDK84" s="2"/>
      <c r="TDL84" s="2"/>
      <c r="TDM84" s="2"/>
      <c r="TDN84" s="2"/>
      <c r="TDO84" s="2"/>
      <c r="TDP84" s="2"/>
      <c r="TDQ84" s="2"/>
      <c r="TDR84" s="2"/>
      <c r="TDS84" s="2"/>
      <c r="TDT84" s="2"/>
      <c r="TDU84" s="2"/>
      <c r="TDV84" s="2"/>
      <c r="TDW84" s="2"/>
      <c r="TDX84" s="2"/>
      <c r="TDY84" s="2"/>
      <c r="TDZ84" s="2"/>
      <c r="TEA84" s="2"/>
      <c r="TEB84" s="2"/>
      <c r="TEC84" s="2"/>
      <c r="TED84" s="2"/>
      <c r="TEE84" s="2"/>
      <c r="TEF84" s="2"/>
      <c r="TEG84" s="2"/>
      <c r="TEH84" s="2"/>
      <c r="TEI84" s="2"/>
      <c r="TEJ84" s="2"/>
      <c r="TEK84" s="2"/>
      <c r="TEL84" s="2"/>
      <c r="TEM84" s="2"/>
      <c r="TEN84" s="2"/>
      <c r="TEO84" s="2"/>
      <c r="TEP84" s="2"/>
      <c r="TEQ84" s="2"/>
      <c r="TER84" s="2"/>
      <c r="TES84" s="2"/>
      <c r="TET84" s="2"/>
      <c r="TEU84" s="2"/>
      <c r="TEV84" s="2"/>
      <c r="TEW84" s="2"/>
      <c r="TEX84" s="2"/>
      <c r="TEY84" s="2"/>
      <c r="TEZ84" s="2"/>
      <c r="TFA84" s="2"/>
      <c r="TFB84" s="2"/>
      <c r="TFC84" s="2"/>
      <c r="TFD84" s="2"/>
      <c r="TFE84" s="2"/>
      <c r="TFF84" s="2"/>
      <c r="TFG84" s="2"/>
      <c r="TFH84" s="2"/>
      <c r="TFI84" s="2"/>
      <c r="TFJ84" s="2"/>
      <c r="TFK84" s="2"/>
      <c r="TFL84" s="2"/>
      <c r="TFM84" s="2"/>
      <c r="TFN84" s="2"/>
      <c r="TFO84" s="2"/>
      <c r="TFP84" s="2"/>
      <c r="TFQ84" s="2"/>
      <c r="TFR84" s="2"/>
      <c r="TFS84" s="2"/>
      <c r="TFT84" s="2"/>
      <c r="TFU84" s="2"/>
      <c r="TFV84" s="2"/>
      <c r="TFW84" s="2"/>
      <c r="TFX84" s="2"/>
      <c r="TFY84" s="2"/>
      <c r="TFZ84" s="2"/>
      <c r="TGA84" s="2"/>
      <c r="TGB84" s="2"/>
      <c r="TGC84" s="2"/>
      <c r="TGD84" s="2"/>
      <c r="TGE84" s="2"/>
      <c r="TGF84" s="2"/>
      <c r="TGG84" s="2"/>
      <c r="TGH84" s="2"/>
      <c r="TGI84" s="2"/>
      <c r="TGJ84" s="2"/>
      <c r="TGK84" s="2"/>
      <c r="TGL84" s="2"/>
      <c r="TGM84" s="2"/>
      <c r="TGN84" s="2"/>
      <c r="TGO84" s="2"/>
      <c r="TGP84" s="2"/>
      <c r="TGQ84" s="2"/>
      <c r="TGR84" s="2"/>
      <c r="TGS84" s="2"/>
      <c r="TGT84" s="2"/>
      <c r="TGU84" s="2"/>
      <c r="TGV84" s="2"/>
      <c r="TGW84" s="2"/>
      <c r="TGX84" s="2"/>
      <c r="TGY84" s="2"/>
      <c r="TGZ84" s="2"/>
      <c r="THA84" s="2"/>
      <c r="THB84" s="2"/>
      <c r="THC84" s="2"/>
      <c r="THD84" s="2"/>
      <c r="THE84" s="2"/>
      <c r="THF84" s="2"/>
      <c r="THG84" s="2"/>
      <c r="THH84" s="2"/>
      <c r="THI84" s="2"/>
      <c r="THJ84" s="2"/>
      <c r="THK84" s="2"/>
      <c r="THL84" s="2"/>
      <c r="THM84" s="2"/>
      <c r="THN84" s="2"/>
      <c r="THO84" s="2"/>
      <c r="THP84" s="2"/>
      <c r="THQ84" s="2"/>
      <c r="THR84" s="2"/>
      <c r="THS84" s="2"/>
      <c r="THT84" s="2"/>
      <c r="THU84" s="2"/>
      <c r="THV84" s="2"/>
      <c r="THW84" s="2"/>
      <c r="THX84" s="2"/>
      <c r="THY84" s="2"/>
      <c r="THZ84" s="2"/>
      <c r="TIA84" s="2"/>
      <c r="TIB84" s="2"/>
      <c r="TIC84" s="2"/>
      <c r="TID84" s="2"/>
      <c r="TIE84" s="2"/>
      <c r="TIF84" s="2"/>
      <c r="TIG84" s="2"/>
      <c r="TIH84" s="2"/>
      <c r="TII84" s="2"/>
      <c r="TIJ84" s="2"/>
      <c r="TIK84" s="2"/>
      <c r="TIL84" s="2"/>
      <c r="TIM84" s="2"/>
      <c r="TIN84" s="2"/>
      <c r="TIO84" s="2"/>
      <c r="TIP84" s="2"/>
      <c r="TIQ84" s="2"/>
      <c r="TIR84" s="2"/>
      <c r="TIS84" s="2"/>
      <c r="TIT84" s="2"/>
      <c r="TIU84" s="2"/>
      <c r="TIV84" s="2"/>
      <c r="TIW84" s="2"/>
      <c r="TIX84" s="2"/>
      <c r="TIY84" s="2"/>
      <c r="TIZ84" s="2"/>
      <c r="TJA84" s="2"/>
      <c r="TJB84" s="2"/>
      <c r="TJC84" s="2"/>
      <c r="TJD84" s="2"/>
      <c r="TJE84" s="2"/>
      <c r="TJF84" s="2"/>
      <c r="TJG84" s="2"/>
      <c r="TJH84" s="2"/>
      <c r="TJI84" s="2"/>
      <c r="TJJ84" s="2"/>
      <c r="TJK84" s="2"/>
      <c r="TJL84" s="2"/>
      <c r="TJM84" s="2"/>
      <c r="TJN84" s="2"/>
      <c r="TJO84" s="2"/>
      <c r="TJP84" s="2"/>
      <c r="TJQ84" s="2"/>
      <c r="TJR84" s="2"/>
      <c r="TJS84" s="2"/>
      <c r="TJT84" s="2"/>
      <c r="TJU84" s="2"/>
      <c r="TJV84" s="2"/>
      <c r="TJW84" s="2"/>
      <c r="TJX84" s="2"/>
      <c r="TJY84" s="2"/>
      <c r="TJZ84" s="2"/>
      <c r="TKA84" s="2"/>
      <c r="TKB84" s="2"/>
      <c r="TKC84" s="2"/>
      <c r="TKD84" s="2"/>
      <c r="TKE84" s="2"/>
      <c r="TKF84" s="2"/>
      <c r="TKG84" s="2"/>
      <c r="TKH84" s="2"/>
      <c r="TKI84" s="2"/>
      <c r="TKJ84" s="2"/>
      <c r="TKK84" s="2"/>
      <c r="TKL84" s="2"/>
      <c r="TKM84" s="2"/>
      <c r="TKN84" s="2"/>
      <c r="TKO84" s="2"/>
      <c r="TKP84" s="2"/>
      <c r="TKQ84" s="2"/>
      <c r="TKR84" s="2"/>
      <c r="TKS84" s="2"/>
      <c r="TKT84" s="2"/>
      <c r="TKU84" s="2"/>
      <c r="TKV84" s="2"/>
      <c r="TKW84" s="2"/>
      <c r="TKX84" s="2"/>
      <c r="TKY84" s="2"/>
      <c r="TKZ84" s="2"/>
      <c r="TLA84" s="2"/>
      <c r="TLB84" s="2"/>
      <c r="TLC84" s="2"/>
      <c r="TLD84" s="2"/>
      <c r="TLE84" s="2"/>
      <c r="TLF84" s="2"/>
      <c r="TLG84" s="2"/>
      <c r="TLH84" s="2"/>
      <c r="TLI84" s="2"/>
      <c r="TLJ84" s="2"/>
      <c r="TLK84" s="2"/>
      <c r="TLL84" s="2"/>
      <c r="TLM84" s="2"/>
      <c r="TLN84" s="2"/>
      <c r="TLO84" s="2"/>
      <c r="TLP84" s="2"/>
      <c r="TLQ84" s="2"/>
      <c r="TLR84" s="2"/>
      <c r="TLS84" s="2"/>
      <c r="TLT84" s="2"/>
      <c r="TLU84" s="2"/>
      <c r="TLV84" s="2"/>
      <c r="TLW84" s="2"/>
      <c r="TLX84" s="2"/>
      <c r="TLY84" s="2"/>
      <c r="TLZ84" s="2"/>
      <c r="TMA84" s="2"/>
      <c r="TMB84" s="2"/>
      <c r="TMC84" s="2"/>
      <c r="TMD84" s="2"/>
      <c r="TME84" s="2"/>
      <c r="TMF84" s="2"/>
      <c r="TMG84" s="2"/>
      <c r="TMH84" s="2"/>
      <c r="TMI84" s="2"/>
      <c r="TMJ84" s="2"/>
      <c r="TMK84" s="2"/>
      <c r="TML84" s="2"/>
      <c r="TMM84" s="2"/>
      <c r="TMN84" s="2"/>
      <c r="TMO84" s="2"/>
      <c r="TMP84" s="2"/>
      <c r="TMQ84" s="2"/>
      <c r="TMR84" s="2"/>
      <c r="TMS84" s="2"/>
      <c r="TMT84" s="2"/>
      <c r="TMU84" s="2"/>
      <c r="TMV84" s="2"/>
      <c r="TMW84" s="2"/>
      <c r="TMX84" s="2"/>
      <c r="TMY84" s="2"/>
      <c r="TMZ84" s="2"/>
      <c r="TNA84" s="2"/>
      <c r="TNB84" s="2"/>
      <c r="TNC84" s="2"/>
      <c r="TND84" s="2"/>
      <c r="TNE84" s="2"/>
      <c r="TNF84" s="2"/>
      <c r="TNG84" s="2"/>
      <c r="TNH84" s="2"/>
      <c r="TNI84" s="2"/>
      <c r="TNJ84" s="2"/>
      <c r="TNK84" s="2"/>
      <c r="TNL84" s="2"/>
      <c r="TNM84" s="2"/>
      <c r="TNN84" s="2"/>
      <c r="TNO84" s="2"/>
      <c r="TNP84" s="2"/>
      <c r="TNQ84" s="2"/>
      <c r="TNR84" s="2"/>
      <c r="TNS84" s="2"/>
      <c r="TNT84" s="2"/>
      <c r="TNU84" s="2"/>
      <c r="TNV84" s="2"/>
      <c r="TNW84" s="2"/>
      <c r="TNX84" s="2"/>
      <c r="TNY84" s="2"/>
      <c r="TNZ84" s="2"/>
      <c r="TOA84" s="2"/>
      <c r="TOB84" s="2"/>
      <c r="TOC84" s="2"/>
      <c r="TOD84" s="2"/>
      <c r="TOE84" s="2"/>
      <c r="TOF84" s="2"/>
      <c r="TOG84" s="2"/>
      <c r="TOH84" s="2"/>
      <c r="TOI84" s="2"/>
      <c r="TOJ84" s="2"/>
      <c r="TOK84" s="2"/>
      <c r="TOL84" s="2"/>
      <c r="TOM84" s="2"/>
      <c r="TON84" s="2"/>
      <c r="TOO84" s="2"/>
      <c r="TOP84" s="2"/>
      <c r="TOQ84" s="2"/>
      <c r="TOR84" s="2"/>
      <c r="TOS84" s="2"/>
      <c r="TOT84" s="2"/>
      <c r="TOU84" s="2"/>
      <c r="TOV84" s="2"/>
      <c r="TOW84" s="2"/>
      <c r="TOX84" s="2"/>
      <c r="TOY84" s="2"/>
      <c r="TOZ84" s="2"/>
      <c r="TPA84" s="2"/>
      <c r="TPB84" s="2"/>
      <c r="TPC84" s="2"/>
      <c r="TPD84" s="2"/>
      <c r="TPE84" s="2"/>
      <c r="TPF84" s="2"/>
      <c r="TPG84" s="2"/>
      <c r="TPH84" s="2"/>
      <c r="TPI84" s="2"/>
      <c r="TPJ84" s="2"/>
      <c r="TPK84" s="2"/>
      <c r="TPL84" s="2"/>
      <c r="TPM84" s="2"/>
      <c r="TPN84" s="2"/>
      <c r="TPO84" s="2"/>
      <c r="TPP84" s="2"/>
      <c r="TPQ84" s="2"/>
      <c r="TPR84" s="2"/>
      <c r="TPS84" s="2"/>
      <c r="TPT84" s="2"/>
      <c r="TPU84" s="2"/>
      <c r="TPV84" s="2"/>
      <c r="TPW84" s="2"/>
      <c r="TPX84" s="2"/>
      <c r="TPY84" s="2"/>
      <c r="TPZ84" s="2"/>
      <c r="TQA84" s="2"/>
      <c r="TQB84" s="2"/>
      <c r="TQC84" s="2"/>
      <c r="TQD84" s="2"/>
      <c r="TQE84" s="2"/>
      <c r="TQF84" s="2"/>
      <c r="TQG84" s="2"/>
      <c r="TQH84" s="2"/>
      <c r="TQI84" s="2"/>
      <c r="TQJ84" s="2"/>
      <c r="TQK84" s="2"/>
      <c r="TQL84" s="2"/>
      <c r="TQM84" s="2"/>
      <c r="TQN84" s="2"/>
      <c r="TQO84" s="2"/>
      <c r="TQP84" s="2"/>
      <c r="TQQ84" s="2"/>
      <c r="TQR84" s="2"/>
      <c r="TQS84" s="2"/>
      <c r="TQT84" s="2"/>
      <c r="TQU84" s="2"/>
      <c r="TQV84" s="2"/>
      <c r="TQW84" s="2"/>
      <c r="TQX84" s="2"/>
      <c r="TQY84" s="2"/>
      <c r="TQZ84" s="2"/>
      <c r="TRA84" s="2"/>
      <c r="TRB84" s="2"/>
      <c r="TRC84" s="2"/>
      <c r="TRD84" s="2"/>
      <c r="TRE84" s="2"/>
      <c r="TRF84" s="2"/>
      <c r="TRG84" s="2"/>
      <c r="TRH84" s="2"/>
      <c r="TRI84" s="2"/>
      <c r="TRJ84" s="2"/>
      <c r="TRK84" s="2"/>
      <c r="TRL84" s="2"/>
      <c r="TRM84" s="2"/>
      <c r="TRN84" s="2"/>
      <c r="TRO84" s="2"/>
      <c r="TRP84" s="2"/>
      <c r="TRQ84" s="2"/>
      <c r="TRR84" s="2"/>
      <c r="TRS84" s="2"/>
      <c r="TRT84" s="2"/>
      <c r="TRU84" s="2"/>
      <c r="TRV84" s="2"/>
      <c r="TRW84" s="2"/>
      <c r="TRX84" s="2"/>
      <c r="TRY84" s="2"/>
      <c r="TRZ84" s="2"/>
      <c r="TSA84" s="2"/>
      <c r="TSB84" s="2"/>
      <c r="TSC84" s="2"/>
      <c r="TSD84" s="2"/>
      <c r="TSE84" s="2"/>
      <c r="TSF84" s="2"/>
      <c r="TSG84" s="2"/>
      <c r="TSH84" s="2"/>
      <c r="TSI84" s="2"/>
      <c r="TSJ84" s="2"/>
      <c r="TSK84" s="2"/>
      <c r="TSL84" s="2"/>
      <c r="TSM84" s="2"/>
      <c r="TSN84" s="2"/>
      <c r="TSO84" s="2"/>
      <c r="TSP84" s="2"/>
      <c r="TSQ84" s="2"/>
      <c r="TSR84" s="2"/>
      <c r="TSS84" s="2"/>
      <c r="TST84" s="2"/>
      <c r="TSU84" s="2"/>
      <c r="TSV84" s="2"/>
      <c r="TSW84" s="2"/>
      <c r="TSX84" s="2"/>
      <c r="TSY84" s="2"/>
      <c r="TSZ84" s="2"/>
      <c r="TTA84" s="2"/>
      <c r="TTB84" s="2"/>
      <c r="TTC84" s="2"/>
      <c r="TTD84" s="2"/>
      <c r="TTE84" s="2"/>
      <c r="TTF84" s="2"/>
      <c r="TTG84" s="2"/>
      <c r="TTH84" s="2"/>
      <c r="TTI84" s="2"/>
      <c r="TTJ84" s="2"/>
      <c r="TTK84" s="2"/>
      <c r="TTL84" s="2"/>
      <c r="TTM84" s="2"/>
      <c r="TTN84" s="2"/>
      <c r="TTO84" s="2"/>
      <c r="TTP84" s="2"/>
      <c r="TTQ84" s="2"/>
      <c r="TTR84" s="2"/>
      <c r="TTS84" s="2"/>
      <c r="TTT84" s="2"/>
      <c r="TTU84" s="2"/>
      <c r="TTV84" s="2"/>
      <c r="TTW84" s="2"/>
      <c r="TTX84" s="2"/>
      <c r="TTY84" s="2"/>
      <c r="TTZ84" s="2"/>
      <c r="TUA84" s="2"/>
      <c r="TUB84" s="2"/>
      <c r="TUC84" s="2"/>
      <c r="TUD84" s="2"/>
      <c r="TUE84" s="2"/>
      <c r="TUF84" s="2"/>
      <c r="TUG84" s="2"/>
      <c r="TUH84" s="2"/>
      <c r="TUI84" s="2"/>
      <c r="TUJ84" s="2"/>
      <c r="TUK84" s="2"/>
      <c r="TUL84" s="2"/>
      <c r="TUM84" s="2"/>
      <c r="TUN84" s="2"/>
      <c r="TUO84" s="2"/>
      <c r="TUP84" s="2"/>
      <c r="TUQ84" s="2"/>
      <c r="TUR84" s="2"/>
      <c r="TUS84" s="2"/>
      <c r="TUT84" s="2"/>
      <c r="TUU84" s="2"/>
      <c r="TUV84" s="2"/>
      <c r="TUW84" s="2"/>
      <c r="TUX84" s="2"/>
      <c r="TUY84" s="2"/>
      <c r="TUZ84" s="2"/>
      <c r="TVA84" s="2"/>
      <c r="TVB84" s="2"/>
      <c r="TVC84" s="2"/>
      <c r="TVD84" s="2"/>
      <c r="TVE84" s="2"/>
      <c r="TVF84" s="2"/>
      <c r="TVG84" s="2"/>
      <c r="TVH84" s="2"/>
      <c r="TVI84" s="2"/>
      <c r="TVJ84" s="2"/>
      <c r="TVK84" s="2"/>
      <c r="TVL84" s="2"/>
      <c r="TVM84" s="2"/>
      <c r="TVN84" s="2"/>
      <c r="TVO84" s="2"/>
      <c r="TVP84" s="2"/>
      <c r="TVQ84" s="2"/>
      <c r="TVR84" s="2"/>
      <c r="TVS84" s="2"/>
      <c r="TVT84" s="2"/>
      <c r="TVU84" s="2"/>
      <c r="TVV84" s="2"/>
      <c r="TVW84" s="2"/>
      <c r="TVX84" s="2"/>
      <c r="TVY84" s="2"/>
      <c r="TVZ84" s="2"/>
      <c r="TWA84" s="2"/>
      <c r="TWB84" s="2"/>
      <c r="TWC84" s="2"/>
      <c r="TWD84" s="2"/>
      <c r="TWE84" s="2"/>
      <c r="TWF84" s="2"/>
      <c r="TWG84" s="2"/>
      <c r="TWH84" s="2"/>
      <c r="TWI84" s="2"/>
      <c r="TWJ84" s="2"/>
      <c r="TWK84" s="2"/>
      <c r="TWL84" s="2"/>
      <c r="TWM84" s="2"/>
      <c r="TWN84" s="2"/>
      <c r="TWO84" s="2"/>
      <c r="TWP84" s="2"/>
      <c r="TWQ84" s="2"/>
      <c r="TWR84" s="2"/>
      <c r="TWS84" s="2"/>
      <c r="TWT84" s="2"/>
      <c r="TWU84" s="2"/>
      <c r="TWV84" s="2"/>
      <c r="TWW84" s="2"/>
      <c r="TWX84" s="2"/>
      <c r="TWY84" s="2"/>
      <c r="TWZ84" s="2"/>
      <c r="TXA84" s="2"/>
      <c r="TXB84" s="2"/>
      <c r="TXC84" s="2"/>
      <c r="TXD84" s="2"/>
      <c r="TXE84" s="2"/>
      <c r="TXF84" s="2"/>
      <c r="TXG84" s="2"/>
      <c r="TXH84" s="2"/>
      <c r="TXI84" s="2"/>
      <c r="TXJ84" s="2"/>
      <c r="TXK84" s="2"/>
      <c r="TXL84" s="2"/>
      <c r="TXM84" s="2"/>
      <c r="TXN84" s="2"/>
      <c r="TXO84" s="2"/>
      <c r="TXP84" s="2"/>
      <c r="TXQ84" s="2"/>
      <c r="TXR84" s="2"/>
      <c r="TXS84" s="2"/>
      <c r="TXT84" s="2"/>
      <c r="TXU84" s="2"/>
      <c r="TXV84" s="2"/>
      <c r="TXW84" s="2"/>
      <c r="TXX84" s="2"/>
      <c r="TXY84" s="2"/>
      <c r="TXZ84" s="2"/>
      <c r="TYA84" s="2"/>
      <c r="TYB84" s="2"/>
      <c r="TYC84" s="2"/>
      <c r="TYD84" s="2"/>
      <c r="TYE84" s="2"/>
      <c r="TYF84" s="2"/>
      <c r="TYG84" s="2"/>
      <c r="TYH84" s="2"/>
      <c r="TYI84" s="2"/>
      <c r="TYJ84" s="2"/>
      <c r="TYK84" s="2"/>
      <c r="TYL84" s="2"/>
      <c r="TYM84" s="2"/>
      <c r="TYN84" s="2"/>
      <c r="TYO84" s="2"/>
      <c r="TYP84" s="2"/>
      <c r="TYQ84" s="2"/>
      <c r="TYR84" s="2"/>
      <c r="TYS84" s="2"/>
      <c r="TYT84" s="2"/>
      <c r="TYU84" s="2"/>
      <c r="TYV84" s="2"/>
      <c r="TYW84" s="2"/>
      <c r="TYX84" s="2"/>
      <c r="TYY84" s="2"/>
      <c r="TYZ84" s="2"/>
      <c r="TZA84" s="2"/>
      <c r="TZB84" s="2"/>
      <c r="TZC84" s="2"/>
      <c r="TZD84" s="2"/>
      <c r="TZE84" s="2"/>
      <c r="TZF84" s="2"/>
      <c r="TZG84" s="2"/>
      <c r="TZH84" s="2"/>
      <c r="TZI84" s="2"/>
      <c r="TZJ84" s="2"/>
      <c r="TZK84" s="2"/>
      <c r="TZL84" s="2"/>
      <c r="TZM84" s="2"/>
      <c r="TZN84" s="2"/>
      <c r="TZO84" s="2"/>
      <c r="TZP84" s="2"/>
      <c r="TZQ84" s="2"/>
      <c r="TZR84" s="2"/>
      <c r="TZS84" s="2"/>
      <c r="TZT84" s="2"/>
      <c r="TZU84" s="2"/>
      <c r="TZV84" s="2"/>
      <c r="TZW84" s="2"/>
      <c r="TZX84" s="2"/>
      <c r="TZY84" s="2"/>
      <c r="TZZ84" s="2"/>
      <c r="UAA84" s="2"/>
      <c r="UAB84" s="2"/>
      <c r="UAC84" s="2"/>
      <c r="UAD84" s="2"/>
      <c r="UAE84" s="2"/>
      <c r="UAF84" s="2"/>
      <c r="UAG84" s="2"/>
      <c r="UAH84" s="2"/>
      <c r="UAI84" s="2"/>
      <c r="UAJ84" s="2"/>
      <c r="UAK84" s="2"/>
      <c r="UAL84" s="2"/>
      <c r="UAM84" s="2"/>
      <c r="UAN84" s="2"/>
      <c r="UAO84" s="2"/>
      <c r="UAP84" s="2"/>
      <c r="UAQ84" s="2"/>
      <c r="UAR84" s="2"/>
      <c r="UAS84" s="2"/>
      <c r="UAT84" s="2"/>
      <c r="UAU84" s="2"/>
      <c r="UAV84" s="2"/>
      <c r="UAW84" s="2"/>
      <c r="UAX84" s="2"/>
      <c r="UAY84" s="2"/>
      <c r="UAZ84" s="2"/>
      <c r="UBA84" s="2"/>
      <c r="UBB84" s="2"/>
      <c r="UBC84" s="2"/>
      <c r="UBD84" s="2"/>
      <c r="UBE84" s="2"/>
      <c r="UBF84" s="2"/>
      <c r="UBG84" s="2"/>
      <c r="UBH84" s="2"/>
      <c r="UBI84" s="2"/>
      <c r="UBJ84" s="2"/>
      <c r="UBK84" s="2"/>
      <c r="UBL84" s="2"/>
      <c r="UBM84" s="2"/>
      <c r="UBN84" s="2"/>
      <c r="UBO84" s="2"/>
      <c r="UBP84" s="2"/>
      <c r="UBQ84" s="2"/>
      <c r="UBR84" s="2"/>
      <c r="UBS84" s="2"/>
      <c r="UBT84" s="2"/>
      <c r="UBU84" s="2"/>
      <c r="UBV84" s="2"/>
      <c r="UBW84" s="2"/>
      <c r="UBX84" s="2"/>
      <c r="UBY84" s="2"/>
      <c r="UBZ84" s="2"/>
      <c r="UCA84" s="2"/>
      <c r="UCB84" s="2"/>
      <c r="UCC84" s="2"/>
      <c r="UCD84" s="2"/>
      <c r="UCE84" s="2"/>
      <c r="UCF84" s="2"/>
      <c r="UCG84" s="2"/>
      <c r="UCH84" s="2"/>
      <c r="UCI84" s="2"/>
      <c r="UCJ84" s="2"/>
      <c r="UCK84" s="2"/>
      <c r="UCL84" s="2"/>
      <c r="UCM84" s="2"/>
      <c r="UCN84" s="2"/>
      <c r="UCO84" s="2"/>
      <c r="UCP84" s="2"/>
      <c r="UCQ84" s="2"/>
      <c r="UCR84" s="2"/>
      <c r="UCS84" s="2"/>
      <c r="UCT84" s="2"/>
      <c r="UCU84" s="2"/>
      <c r="UCV84" s="2"/>
      <c r="UCW84" s="2"/>
      <c r="UCX84" s="2"/>
      <c r="UCY84" s="2"/>
      <c r="UCZ84" s="2"/>
      <c r="UDA84" s="2"/>
      <c r="UDB84" s="2"/>
      <c r="UDC84" s="2"/>
      <c r="UDD84" s="2"/>
      <c r="UDE84" s="2"/>
      <c r="UDF84" s="2"/>
      <c r="UDG84" s="2"/>
      <c r="UDH84" s="2"/>
      <c r="UDI84" s="2"/>
      <c r="UDJ84" s="2"/>
      <c r="UDK84" s="2"/>
      <c r="UDL84" s="2"/>
      <c r="UDM84" s="2"/>
      <c r="UDN84" s="2"/>
      <c r="UDO84" s="2"/>
      <c r="UDP84" s="2"/>
      <c r="UDQ84" s="2"/>
      <c r="UDR84" s="2"/>
      <c r="UDS84" s="2"/>
      <c r="UDT84" s="2"/>
      <c r="UDU84" s="2"/>
      <c r="UDV84" s="2"/>
      <c r="UDW84" s="2"/>
      <c r="UDX84" s="2"/>
      <c r="UDY84" s="2"/>
      <c r="UDZ84" s="2"/>
      <c r="UEA84" s="2"/>
      <c r="UEB84" s="2"/>
      <c r="UEC84" s="2"/>
      <c r="UED84" s="2"/>
      <c r="UEE84" s="2"/>
      <c r="UEF84" s="2"/>
      <c r="UEG84" s="2"/>
      <c r="UEH84" s="2"/>
      <c r="UEI84" s="2"/>
      <c r="UEJ84" s="2"/>
      <c r="UEK84" s="2"/>
      <c r="UEL84" s="2"/>
      <c r="UEM84" s="2"/>
      <c r="UEN84" s="2"/>
      <c r="UEO84" s="2"/>
      <c r="UEP84" s="2"/>
      <c r="UEQ84" s="2"/>
      <c r="UER84" s="2"/>
      <c r="UES84" s="2"/>
      <c r="UET84" s="2"/>
      <c r="UEU84" s="2"/>
      <c r="UEV84" s="2"/>
      <c r="UEW84" s="2"/>
      <c r="UEX84" s="2"/>
      <c r="UEY84" s="2"/>
      <c r="UEZ84" s="2"/>
      <c r="UFA84" s="2"/>
      <c r="UFB84" s="2"/>
      <c r="UFC84" s="2"/>
      <c r="UFD84" s="2"/>
      <c r="UFE84" s="2"/>
      <c r="UFF84" s="2"/>
      <c r="UFG84" s="2"/>
      <c r="UFH84" s="2"/>
      <c r="UFI84" s="2"/>
      <c r="UFJ84" s="2"/>
      <c r="UFK84" s="2"/>
      <c r="UFL84" s="2"/>
      <c r="UFM84" s="2"/>
      <c r="UFN84" s="2"/>
      <c r="UFO84" s="2"/>
      <c r="UFP84" s="2"/>
      <c r="UFQ84" s="2"/>
      <c r="UFR84" s="2"/>
      <c r="UFS84" s="2"/>
      <c r="UFT84" s="2"/>
      <c r="UFU84" s="2"/>
      <c r="UFV84" s="2"/>
      <c r="UFW84" s="2"/>
      <c r="UFX84" s="2"/>
      <c r="UFY84" s="2"/>
      <c r="UFZ84" s="2"/>
      <c r="UGA84" s="2"/>
      <c r="UGB84" s="2"/>
      <c r="UGC84" s="2"/>
      <c r="UGD84" s="2"/>
      <c r="UGE84" s="2"/>
      <c r="UGF84" s="2"/>
      <c r="UGG84" s="2"/>
      <c r="UGH84" s="2"/>
      <c r="UGI84" s="2"/>
      <c r="UGJ84" s="2"/>
      <c r="UGK84" s="2"/>
      <c r="UGL84" s="2"/>
      <c r="UGM84" s="2"/>
      <c r="UGN84" s="2"/>
      <c r="UGO84" s="2"/>
      <c r="UGP84" s="2"/>
      <c r="UGQ84" s="2"/>
      <c r="UGR84" s="2"/>
      <c r="UGS84" s="2"/>
      <c r="UGT84" s="2"/>
      <c r="UGU84" s="2"/>
      <c r="UGV84" s="2"/>
      <c r="UGW84" s="2"/>
      <c r="UGX84" s="2"/>
      <c r="UGY84" s="2"/>
      <c r="UGZ84" s="2"/>
      <c r="UHA84" s="2"/>
      <c r="UHB84" s="2"/>
      <c r="UHC84" s="2"/>
      <c r="UHD84" s="2"/>
      <c r="UHE84" s="2"/>
      <c r="UHF84" s="2"/>
      <c r="UHG84" s="2"/>
      <c r="UHH84" s="2"/>
      <c r="UHI84" s="2"/>
      <c r="UHJ84" s="2"/>
      <c r="UHK84" s="2"/>
      <c r="UHL84" s="2"/>
      <c r="UHM84" s="2"/>
      <c r="UHN84" s="2"/>
      <c r="UHO84" s="2"/>
      <c r="UHP84" s="2"/>
      <c r="UHQ84" s="2"/>
      <c r="UHR84" s="2"/>
      <c r="UHS84" s="2"/>
      <c r="UHT84" s="2"/>
      <c r="UHU84" s="2"/>
      <c r="UHV84" s="2"/>
      <c r="UHW84" s="2"/>
      <c r="UHX84" s="2"/>
      <c r="UHY84" s="2"/>
      <c r="UHZ84" s="2"/>
      <c r="UIA84" s="2"/>
      <c r="UIB84" s="2"/>
      <c r="UIC84" s="2"/>
      <c r="UID84" s="2"/>
      <c r="UIE84" s="2"/>
      <c r="UIF84" s="2"/>
      <c r="UIG84" s="2"/>
      <c r="UIH84" s="2"/>
      <c r="UII84" s="2"/>
      <c r="UIJ84" s="2"/>
      <c r="UIK84" s="2"/>
      <c r="UIL84" s="2"/>
      <c r="UIM84" s="2"/>
      <c r="UIN84" s="2"/>
      <c r="UIO84" s="2"/>
      <c r="UIP84" s="2"/>
      <c r="UIQ84" s="2"/>
      <c r="UIR84" s="2"/>
      <c r="UIS84" s="2"/>
      <c r="UIT84" s="2"/>
      <c r="UIU84" s="2"/>
      <c r="UIV84" s="2"/>
      <c r="UIW84" s="2"/>
      <c r="UIX84" s="2"/>
      <c r="UIY84" s="2"/>
      <c r="UIZ84" s="2"/>
      <c r="UJA84" s="2"/>
      <c r="UJB84" s="2"/>
      <c r="UJC84" s="2"/>
      <c r="UJD84" s="2"/>
      <c r="UJE84" s="2"/>
      <c r="UJF84" s="2"/>
      <c r="UJG84" s="2"/>
      <c r="UJH84" s="2"/>
      <c r="UJI84" s="2"/>
      <c r="UJJ84" s="2"/>
      <c r="UJK84" s="2"/>
      <c r="UJL84" s="2"/>
      <c r="UJM84" s="2"/>
      <c r="UJN84" s="2"/>
      <c r="UJO84" s="2"/>
      <c r="UJP84" s="2"/>
      <c r="UJQ84" s="2"/>
      <c r="UJR84" s="2"/>
      <c r="UJS84" s="2"/>
      <c r="UJT84" s="2"/>
      <c r="UJU84" s="2"/>
      <c r="UJV84" s="2"/>
      <c r="UJW84" s="2"/>
      <c r="UJX84" s="2"/>
      <c r="UJY84" s="2"/>
      <c r="UJZ84" s="2"/>
      <c r="UKA84" s="2"/>
      <c r="UKB84" s="2"/>
      <c r="UKC84" s="2"/>
      <c r="UKD84" s="2"/>
      <c r="UKE84" s="2"/>
      <c r="UKF84" s="2"/>
      <c r="UKG84" s="2"/>
      <c r="UKH84" s="2"/>
      <c r="UKI84" s="2"/>
      <c r="UKJ84" s="2"/>
      <c r="UKK84" s="2"/>
      <c r="UKL84" s="2"/>
      <c r="UKM84" s="2"/>
      <c r="UKN84" s="2"/>
      <c r="UKO84" s="2"/>
      <c r="UKP84" s="2"/>
      <c r="UKQ84" s="2"/>
      <c r="UKR84" s="2"/>
      <c r="UKS84" s="2"/>
      <c r="UKT84" s="2"/>
      <c r="UKU84" s="2"/>
      <c r="UKV84" s="2"/>
      <c r="UKW84" s="2"/>
      <c r="UKX84" s="2"/>
      <c r="UKY84" s="2"/>
      <c r="UKZ84" s="2"/>
      <c r="ULA84" s="2"/>
      <c r="ULB84" s="2"/>
      <c r="ULC84" s="2"/>
      <c r="ULD84" s="2"/>
      <c r="ULE84" s="2"/>
      <c r="ULF84" s="2"/>
      <c r="ULG84" s="2"/>
      <c r="ULH84" s="2"/>
      <c r="ULI84" s="2"/>
      <c r="ULJ84" s="2"/>
      <c r="ULK84" s="2"/>
      <c r="ULL84" s="2"/>
      <c r="ULM84" s="2"/>
      <c r="ULN84" s="2"/>
      <c r="ULO84" s="2"/>
      <c r="ULP84" s="2"/>
      <c r="ULQ84" s="2"/>
      <c r="ULR84" s="2"/>
      <c r="ULS84" s="2"/>
      <c r="ULT84" s="2"/>
      <c r="ULU84" s="2"/>
      <c r="ULV84" s="2"/>
      <c r="ULW84" s="2"/>
      <c r="ULX84" s="2"/>
      <c r="ULY84" s="2"/>
      <c r="ULZ84" s="2"/>
      <c r="UMA84" s="2"/>
      <c r="UMB84" s="2"/>
      <c r="UMC84" s="2"/>
      <c r="UMD84" s="2"/>
      <c r="UME84" s="2"/>
      <c r="UMF84" s="2"/>
      <c r="UMG84" s="2"/>
      <c r="UMH84" s="2"/>
      <c r="UMI84" s="2"/>
      <c r="UMJ84" s="2"/>
      <c r="UMK84" s="2"/>
      <c r="UML84" s="2"/>
      <c r="UMM84" s="2"/>
      <c r="UMN84" s="2"/>
      <c r="UMO84" s="2"/>
      <c r="UMP84" s="2"/>
      <c r="UMQ84" s="2"/>
      <c r="UMR84" s="2"/>
      <c r="UMS84" s="2"/>
      <c r="UMT84" s="2"/>
      <c r="UMU84" s="2"/>
      <c r="UMV84" s="2"/>
      <c r="UMW84" s="2"/>
      <c r="UMX84" s="2"/>
      <c r="UMY84" s="2"/>
      <c r="UMZ84" s="2"/>
      <c r="UNA84" s="2"/>
      <c r="UNB84" s="2"/>
      <c r="UNC84" s="2"/>
      <c r="UND84" s="2"/>
      <c r="UNE84" s="2"/>
      <c r="UNF84" s="2"/>
      <c r="UNG84" s="2"/>
      <c r="UNH84" s="2"/>
      <c r="UNI84" s="2"/>
      <c r="UNJ84" s="2"/>
      <c r="UNK84" s="2"/>
      <c r="UNL84" s="2"/>
      <c r="UNM84" s="2"/>
      <c r="UNN84" s="2"/>
      <c r="UNO84" s="2"/>
      <c r="UNP84" s="2"/>
      <c r="UNQ84" s="2"/>
      <c r="UNR84" s="2"/>
      <c r="UNS84" s="2"/>
      <c r="UNT84" s="2"/>
      <c r="UNU84" s="2"/>
      <c r="UNV84" s="2"/>
      <c r="UNW84" s="2"/>
      <c r="UNX84" s="2"/>
      <c r="UNY84" s="2"/>
      <c r="UNZ84" s="2"/>
      <c r="UOA84" s="2"/>
      <c r="UOB84" s="2"/>
      <c r="UOC84" s="2"/>
      <c r="UOD84" s="2"/>
      <c r="UOE84" s="2"/>
      <c r="UOF84" s="2"/>
      <c r="UOG84" s="2"/>
      <c r="UOH84" s="2"/>
      <c r="UOI84" s="2"/>
      <c r="UOJ84" s="2"/>
      <c r="UOK84" s="2"/>
      <c r="UOL84" s="2"/>
      <c r="UOM84" s="2"/>
      <c r="UON84" s="2"/>
      <c r="UOO84" s="2"/>
      <c r="UOP84" s="2"/>
      <c r="UOQ84" s="2"/>
      <c r="UOR84" s="2"/>
      <c r="UOS84" s="2"/>
      <c r="UOT84" s="2"/>
      <c r="UOU84" s="2"/>
      <c r="UOV84" s="2"/>
      <c r="UOW84" s="2"/>
      <c r="UOX84" s="2"/>
      <c r="UOY84" s="2"/>
      <c r="UOZ84" s="2"/>
      <c r="UPA84" s="2"/>
      <c r="UPB84" s="2"/>
      <c r="UPC84" s="2"/>
      <c r="UPD84" s="2"/>
      <c r="UPE84" s="2"/>
      <c r="UPF84" s="2"/>
      <c r="UPG84" s="2"/>
      <c r="UPH84" s="2"/>
      <c r="UPI84" s="2"/>
      <c r="UPJ84" s="2"/>
      <c r="UPK84" s="2"/>
      <c r="UPL84" s="2"/>
      <c r="UPM84" s="2"/>
      <c r="UPN84" s="2"/>
      <c r="UPO84" s="2"/>
      <c r="UPP84" s="2"/>
      <c r="UPQ84" s="2"/>
      <c r="UPR84" s="2"/>
      <c r="UPS84" s="2"/>
      <c r="UPT84" s="2"/>
      <c r="UPU84" s="2"/>
      <c r="UPV84" s="2"/>
      <c r="UPW84" s="2"/>
      <c r="UPX84" s="2"/>
      <c r="UPY84" s="2"/>
      <c r="UPZ84" s="2"/>
      <c r="UQA84" s="2"/>
      <c r="UQB84" s="2"/>
      <c r="UQC84" s="2"/>
      <c r="UQD84" s="2"/>
      <c r="UQE84" s="2"/>
      <c r="UQF84" s="2"/>
      <c r="UQG84" s="2"/>
      <c r="UQH84" s="2"/>
      <c r="UQI84" s="2"/>
      <c r="UQJ84" s="2"/>
      <c r="UQK84" s="2"/>
      <c r="UQL84" s="2"/>
      <c r="UQM84" s="2"/>
      <c r="UQN84" s="2"/>
      <c r="UQO84" s="2"/>
      <c r="UQP84" s="2"/>
      <c r="UQQ84" s="2"/>
      <c r="UQR84" s="2"/>
      <c r="UQS84" s="2"/>
      <c r="UQT84" s="2"/>
      <c r="UQU84" s="2"/>
      <c r="UQV84" s="2"/>
      <c r="UQW84" s="2"/>
      <c r="UQX84" s="2"/>
      <c r="UQY84" s="2"/>
      <c r="UQZ84" s="2"/>
      <c r="URA84" s="2"/>
      <c r="URB84" s="2"/>
      <c r="URC84" s="2"/>
      <c r="URD84" s="2"/>
      <c r="URE84" s="2"/>
      <c r="URF84" s="2"/>
      <c r="URG84" s="2"/>
      <c r="URH84" s="2"/>
      <c r="URI84" s="2"/>
      <c r="URJ84" s="2"/>
      <c r="URK84" s="2"/>
      <c r="URL84" s="2"/>
      <c r="URM84" s="2"/>
      <c r="URN84" s="2"/>
      <c r="URO84" s="2"/>
      <c r="URP84" s="2"/>
      <c r="URQ84" s="2"/>
      <c r="URR84" s="2"/>
      <c r="URS84" s="2"/>
      <c r="URT84" s="2"/>
      <c r="URU84" s="2"/>
      <c r="URV84" s="2"/>
      <c r="URW84" s="2"/>
      <c r="URX84" s="2"/>
      <c r="URY84" s="2"/>
      <c r="URZ84" s="2"/>
      <c r="USA84" s="2"/>
      <c r="USB84" s="2"/>
      <c r="USC84" s="2"/>
      <c r="USD84" s="2"/>
      <c r="USE84" s="2"/>
      <c r="USF84" s="2"/>
      <c r="USG84" s="2"/>
      <c r="USH84" s="2"/>
      <c r="USI84" s="2"/>
      <c r="USJ84" s="2"/>
      <c r="USK84" s="2"/>
      <c r="USL84" s="2"/>
      <c r="USM84" s="2"/>
      <c r="USN84" s="2"/>
      <c r="USO84" s="2"/>
      <c r="USP84" s="2"/>
      <c r="USQ84" s="2"/>
      <c r="USR84" s="2"/>
      <c r="USS84" s="2"/>
      <c r="UST84" s="2"/>
      <c r="USU84" s="2"/>
      <c r="USV84" s="2"/>
      <c r="USW84" s="2"/>
      <c r="USX84" s="2"/>
      <c r="USY84" s="2"/>
      <c r="USZ84" s="2"/>
      <c r="UTA84" s="2"/>
      <c r="UTB84" s="2"/>
      <c r="UTC84" s="2"/>
      <c r="UTD84" s="2"/>
      <c r="UTE84" s="2"/>
      <c r="UTF84" s="2"/>
      <c r="UTG84" s="2"/>
      <c r="UTH84" s="2"/>
      <c r="UTI84" s="2"/>
      <c r="UTJ84" s="2"/>
      <c r="UTK84" s="2"/>
      <c r="UTL84" s="2"/>
      <c r="UTM84" s="2"/>
      <c r="UTN84" s="2"/>
      <c r="UTO84" s="2"/>
      <c r="UTP84" s="2"/>
      <c r="UTQ84" s="2"/>
      <c r="UTR84" s="2"/>
      <c r="UTS84" s="2"/>
      <c r="UTT84" s="2"/>
      <c r="UTU84" s="2"/>
      <c r="UTV84" s="2"/>
      <c r="UTW84" s="2"/>
      <c r="UTX84" s="2"/>
      <c r="UTY84" s="2"/>
      <c r="UTZ84" s="2"/>
      <c r="UUA84" s="2"/>
      <c r="UUB84" s="2"/>
      <c r="UUC84" s="2"/>
      <c r="UUD84" s="2"/>
      <c r="UUE84" s="2"/>
      <c r="UUF84" s="2"/>
      <c r="UUG84" s="2"/>
      <c r="UUH84" s="2"/>
      <c r="UUI84" s="2"/>
      <c r="UUJ84" s="2"/>
      <c r="UUK84" s="2"/>
      <c r="UUL84" s="2"/>
      <c r="UUM84" s="2"/>
      <c r="UUN84" s="2"/>
      <c r="UUO84" s="2"/>
      <c r="UUP84" s="2"/>
      <c r="UUQ84" s="2"/>
      <c r="UUR84" s="2"/>
      <c r="UUS84" s="2"/>
      <c r="UUT84" s="2"/>
      <c r="UUU84" s="2"/>
      <c r="UUV84" s="2"/>
      <c r="UUW84" s="2"/>
      <c r="UUX84" s="2"/>
      <c r="UUY84" s="2"/>
      <c r="UUZ84" s="2"/>
      <c r="UVA84" s="2"/>
      <c r="UVB84" s="2"/>
      <c r="UVC84" s="2"/>
      <c r="UVD84" s="2"/>
      <c r="UVE84" s="2"/>
      <c r="UVF84" s="2"/>
      <c r="UVG84" s="2"/>
      <c r="UVH84" s="2"/>
      <c r="UVI84" s="2"/>
      <c r="UVJ84" s="2"/>
      <c r="UVK84" s="2"/>
      <c r="UVL84" s="2"/>
      <c r="UVM84" s="2"/>
      <c r="UVN84" s="2"/>
      <c r="UVO84" s="2"/>
      <c r="UVP84" s="2"/>
      <c r="UVQ84" s="2"/>
      <c r="UVR84" s="2"/>
      <c r="UVS84" s="2"/>
      <c r="UVT84" s="2"/>
      <c r="UVU84" s="2"/>
      <c r="UVV84" s="2"/>
      <c r="UVW84" s="2"/>
      <c r="UVX84" s="2"/>
      <c r="UVY84" s="2"/>
      <c r="UVZ84" s="2"/>
      <c r="UWA84" s="2"/>
      <c r="UWB84" s="2"/>
      <c r="UWC84" s="2"/>
      <c r="UWD84" s="2"/>
      <c r="UWE84" s="2"/>
      <c r="UWF84" s="2"/>
      <c r="UWG84" s="2"/>
      <c r="UWH84" s="2"/>
      <c r="UWI84" s="2"/>
      <c r="UWJ84" s="2"/>
      <c r="UWK84" s="2"/>
      <c r="UWL84" s="2"/>
      <c r="UWM84" s="2"/>
      <c r="UWN84" s="2"/>
      <c r="UWO84" s="2"/>
      <c r="UWP84" s="2"/>
      <c r="UWQ84" s="2"/>
      <c r="UWR84" s="2"/>
      <c r="UWS84" s="2"/>
      <c r="UWT84" s="2"/>
      <c r="UWU84" s="2"/>
      <c r="UWV84" s="2"/>
      <c r="UWW84" s="2"/>
      <c r="UWX84" s="2"/>
      <c r="UWY84" s="2"/>
      <c r="UWZ84" s="2"/>
      <c r="UXA84" s="2"/>
      <c r="UXB84" s="2"/>
      <c r="UXC84" s="2"/>
      <c r="UXD84" s="2"/>
      <c r="UXE84" s="2"/>
      <c r="UXF84" s="2"/>
      <c r="UXG84" s="2"/>
      <c r="UXH84" s="2"/>
      <c r="UXI84" s="2"/>
      <c r="UXJ84" s="2"/>
      <c r="UXK84" s="2"/>
      <c r="UXL84" s="2"/>
      <c r="UXM84" s="2"/>
      <c r="UXN84" s="2"/>
      <c r="UXO84" s="2"/>
      <c r="UXP84" s="2"/>
      <c r="UXQ84" s="2"/>
      <c r="UXR84" s="2"/>
      <c r="UXS84" s="2"/>
      <c r="UXT84" s="2"/>
      <c r="UXU84" s="2"/>
      <c r="UXV84" s="2"/>
      <c r="UXW84" s="2"/>
      <c r="UXX84" s="2"/>
      <c r="UXY84" s="2"/>
      <c r="UXZ84" s="2"/>
      <c r="UYA84" s="2"/>
      <c r="UYB84" s="2"/>
      <c r="UYC84" s="2"/>
      <c r="UYD84" s="2"/>
      <c r="UYE84" s="2"/>
      <c r="UYF84" s="2"/>
      <c r="UYG84" s="2"/>
      <c r="UYH84" s="2"/>
      <c r="UYI84" s="2"/>
      <c r="UYJ84" s="2"/>
      <c r="UYK84" s="2"/>
      <c r="UYL84" s="2"/>
      <c r="UYM84" s="2"/>
      <c r="UYN84" s="2"/>
      <c r="UYO84" s="2"/>
      <c r="UYP84" s="2"/>
      <c r="UYQ84" s="2"/>
      <c r="UYR84" s="2"/>
      <c r="UYS84" s="2"/>
      <c r="UYT84" s="2"/>
      <c r="UYU84" s="2"/>
      <c r="UYV84" s="2"/>
      <c r="UYW84" s="2"/>
      <c r="UYX84" s="2"/>
      <c r="UYY84" s="2"/>
      <c r="UYZ84" s="2"/>
      <c r="UZA84" s="2"/>
      <c r="UZB84" s="2"/>
      <c r="UZC84" s="2"/>
      <c r="UZD84" s="2"/>
      <c r="UZE84" s="2"/>
      <c r="UZF84" s="2"/>
      <c r="UZG84" s="2"/>
      <c r="UZH84" s="2"/>
      <c r="UZI84" s="2"/>
      <c r="UZJ84" s="2"/>
      <c r="UZK84" s="2"/>
      <c r="UZL84" s="2"/>
      <c r="UZM84" s="2"/>
      <c r="UZN84" s="2"/>
      <c r="UZO84" s="2"/>
      <c r="UZP84" s="2"/>
      <c r="UZQ84" s="2"/>
      <c r="UZR84" s="2"/>
      <c r="UZS84" s="2"/>
      <c r="UZT84" s="2"/>
      <c r="UZU84" s="2"/>
      <c r="UZV84" s="2"/>
      <c r="UZW84" s="2"/>
      <c r="UZX84" s="2"/>
      <c r="UZY84" s="2"/>
      <c r="UZZ84" s="2"/>
      <c r="VAA84" s="2"/>
      <c r="VAB84" s="2"/>
      <c r="VAC84" s="2"/>
      <c r="VAD84" s="2"/>
      <c r="VAE84" s="2"/>
      <c r="VAF84" s="2"/>
      <c r="VAG84" s="2"/>
      <c r="VAH84" s="2"/>
      <c r="VAI84" s="2"/>
      <c r="VAJ84" s="2"/>
      <c r="VAK84" s="2"/>
      <c r="VAL84" s="2"/>
      <c r="VAM84" s="2"/>
      <c r="VAN84" s="2"/>
      <c r="VAO84" s="2"/>
      <c r="VAP84" s="2"/>
      <c r="VAQ84" s="2"/>
      <c r="VAR84" s="2"/>
      <c r="VAS84" s="2"/>
      <c r="VAT84" s="2"/>
      <c r="VAU84" s="2"/>
      <c r="VAV84" s="2"/>
      <c r="VAW84" s="2"/>
      <c r="VAX84" s="2"/>
      <c r="VAY84" s="2"/>
      <c r="VAZ84" s="2"/>
      <c r="VBA84" s="2"/>
      <c r="VBB84" s="2"/>
      <c r="VBC84" s="2"/>
      <c r="VBD84" s="2"/>
      <c r="VBE84" s="2"/>
      <c r="VBF84" s="2"/>
      <c r="VBG84" s="2"/>
      <c r="VBH84" s="2"/>
      <c r="VBI84" s="2"/>
      <c r="VBJ84" s="2"/>
      <c r="VBK84" s="2"/>
      <c r="VBL84" s="2"/>
      <c r="VBM84" s="2"/>
      <c r="VBN84" s="2"/>
      <c r="VBO84" s="2"/>
      <c r="VBP84" s="2"/>
      <c r="VBQ84" s="2"/>
      <c r="VBR84" s="2"/>
      <c r="VBS84" s="2"/>
      <c r="VBT84" s="2"/>
      <c r="VBU84" s="2"/>
      <c r="VBV84" s="2"/>
      <c r="VBW84" s="2"/>
      <c r="VBX84" s="2"/>
      <c r="VBY84" s="2"/>
      <c r="VBZ84" s="2"/>
      <c r="VCA84" s="2"/>
      <c r="VCB84" s="2"/>
      <c r="VCC84" s="2"/>
      <c r="VCD84" s="2"/>
      <c r="VCE84" s="2"/>
      <c r="VCF84" s="2"/>
      <c r="VCG84" s="2"/>
      <c r="VCH84" s="2"/>
      <c r="VCI84" s="2"/>
      <c r="VCJ84" s="2"/>
      <c r="VCK84" s="2"/>
      <c r="VCL84" s="2"/>
      <c r="VCM84" s="2"/>
      <c r="VCN84" s="2"/>
      <c r="VCO84" s="2"/>
      <c r="VCP84" s="2"/>
      <c r="VCQ84" s="2"/>
      <c r="VCR84" s="2"/>
      <c r="VCS84" s="2"/>
      <c r="VCT84" s="2"/>
      <c r="VCU84" s="2"/>
      <c r="VCV84" s="2"/>
      <c r="VCW84" s="2"/>
      <c r="VCX84" s="2"/>
      <c r="VCY84" s="2"/>
      <c r="VCZ84" s="2"/>
      <c r="VDA84" s="2"/>
      <c r="VDB84" s="2"/>
      <c r="VDC84" s="2"/>
      <c r="VDD84" s="2"/>
      <c r="VDE84" s="2"/>
      <c r="VDF84" s="2"/>
      <c r="VDG84" s="2"/>
      <c r="VDH84" s="2"/>
      <c r="VDI84" s="2"/>
      <c r="VDJ84" s="2"/>
      <c r="VDK84" s="2"/>
      <c r="VDL84" s="2"/>
      <c r="VDM84" s="2"/>
      <c r="VDN84" s="2"/>
      <c r="VDO84" s="2"/>
      <c r="VDP84" s="2"/>
      <c r="VDQ84" s="2"/>
      <c r="VDR84" s="2"/>
      <c r="VDS84" s="2"/>
      <c r="VDT84" s="2"/>
      <c r="VDU84" s="2"/>
      <c r="VDV84" s="2"/>
      <c r="VDW84" s="2"/>
      <c r="VDX84" s="2"/>
      <c r="VDY84" s="2"/>
      <c r="VDZ84" s="2"/>
      <c r="VEA84" s="2"/>
      <c r="VEB84" s="2"/>
      <c r="VEC84" s="2"/>
      <c r="VED84" s="2"/>
      <c r="VEE84" s="2"/>
      <c r="VEF84" s="2"/>
      <c r="VEG84" s="2"/>
      <c r="VEH84" s="2"/>
      <c r="VEI84" s="2"/>
      <c r="VEJ84" s="2"/>
      <c r="VEK84" s="2"/>
      <c r="VEL84" s="2"/>
      <c r="VEM84" s="2"/>
      <c r="VEN84" s="2"/>
      <c r="VEO84" s="2"/>
      <c r="VEP84" s="2"/>
      <c r="VEQ84" s="2"/>
      <c r="VER84" s="2"/>
      <c r="VES84" s="2"/>
      <c r="VET84" s="2"/>
      <c r="VEU84" s="2"/>
      <c r="VEV84" s="2"/>
      <c r="VEW84" s="2"/>
      <c r="VEX84" s="2"/>
      <c r="VEY84" s="2"/>
      <c r="VEZ84" s="2"/>
      <c r="VFA84" s="2"/>
      <c r="VFB84" s="2"/>
      <c r="VFC84" s="2"/>
      <c r="VFD84" s="2"/>
      <c r="VFE84" s="2"/>
      <c r="VFF84" s="2"/>
      <c r="VFG84" s="2"/>
      <c r="VFH84" s="2"/>
      <c r="VFI84" s="2"/>
      <c r="VFJ84" s="2"/>
      <c r="VFK84" s="2"/>
      <c r="VFL84" s="2"/>
      <c r="VFM84" s="2"/>
      <c r="VFN84" s="2"/>
      <c r="VFO84" s="2"/>
      <c r="VFP84" s="2"/>
      <c r="VFQ84" s="2"/>
      <c r="VFR84" s="2"/>
      <c r="VFS84" s="2"/>
      <c r="VFT84" s="2"/>
      <c r="VFU84" s="2"/>
      <c r="VFV84" s="2"/>
      <c r="VFW84" s="2"/>
      <c r="VFX84" s="2"/>
      <c r="VFY84" s="2"/>
      <c r="VFZ84" s="2"/>
      <c r="VGA84" s="2"/>
      <c r="VGB84" s="2"/>
      <c r="VGC84" s="2"/>
      <c r="VGD84" s="2"/>
      <c r="VGE84" s="2"/>
      <c r="VGF84" s="2"/>
      <c r="VGG84" s="2"/>
      <c r="VGH84" s="2"/>
      <c r="VGI84" s="2"/>
      <c r="VGJ84" s="2"/>
      <c r="VGK84" s="2"/>
      <c r="VGL84" s="2"/>
      <c r="VGM84" s="2"/>
      <c r="VGN84" s="2"/>
      <c r="VGO84" s="2"/>
      <c r="VGP84" s="2"/>
      <c r="VGQ84" s="2"/>
      <c r="VGR84" s="2"/>
      <c r="VGS84" s="2"/>
      <c r="VGT84" s="2"/>
      <c r="VGU84" s="2"/>
      <c r="VGV84" s="2"/>
      <c r="VGW84" s="2"/>
      <c r="VGX84" s="2"/>
      <c r="VGY84" s="2"/>
      <c r="VGZ84" s="2"/>
      <c r="VHA84" s="2"/>
      <c r="VHB84" s="2"/>
      <c r="VHC84" s="2"/>
      <c r="VHD84" s="2"/>
      <c r="VHE84" s="2"/>
      <c r="VHF84" s="2"/>
      <c r="VHG84" s="2"/>
      <c r="VHH84" s="2"/>
      <c r="VHI84" s="2"/>
      <c r="VHJ84" s="2"/>
      <c r="VHK84" s="2"/>
      <c r="VHL84" s="2"/>
      <c r="VHM84" s="2"/>
      <c r="VHN84" s="2"/>
      <c r="VHO84" s="2"/>
      <c r="VHP84" s="2"/>
      <c r="VHQ84" s="2"/>
      <c r="VHR84" s="2"/>
      <c r="VHS84" s="2"/>
      <c r="VHT84" s="2"/>
      <c r="VHU84" s="2"/>
      <c r="VHV84" s="2"/>
      <c r="VHW84" s="2"/>
      <c r="VHX84" s="2"/>
      <c r="VHY84" s="2"/>
      <c r="VHZ84" s="2"/>
      <c r="VIA84" s="2"/>
      <c r="VIB84" s="2"/>
      <c r="VIC84" s="2"/>
      <c r="VID84" s="2"/>
      <c r="VIE84" s="2"/>
      <c r="VIF84" s="2"/>
      <c r="VIG84" s="2"/>
      <c r="VIH84" s="2"/>
      <c r="VII84" s="2"/>
      <c r="VIJ84" s="2"/>
      <c r="VIK84" s="2"/>
      <c r="VIL84" s="2"/>
      <c r="VIM84" s="2"/>
      <c r="VIN84" s="2"/>
      <c r="VIO84" s="2"/>
      <c r="VIP84" s="2"/>
      <c r="VIQ84" s="2"/>
      <c r="VIR84" s="2"/>
      <c r="VIS84" s="2"/>
      <c r="VIT84" s="2"/>
      <c r="VIU84" s="2"/>
      <c r="VIV84" s="2"/>
      <c r="VIW84" s="2"/>
      <c r="VIX84" s="2"/>
      <c r="VIY84" s="2"/>
      <c r="VIZ84" s="2"/>
      <c r="VJA84" s="2"/>
      <c r="VJB84" s="2"/>
      <c r="VJC84" s="2"/>
      <c r="VJD84" s="2"/>
      <c r="VJE84" s="2"/>
      <c r="VJF84" s="2"/>
      <c r="VJG84" s="2"/>
      <c r="VJH84" s="2"/>
      <c r="VJI84" s="2"/>
      <c r="VJJ84" s="2"/>
      <c r="VJK84" s="2"/>
      <c r="VJL84" s="2"/>
      <c r="VJM84" s="2"/>
      <c r="VJN84" s="2"/>
      <c r="VJO84" s="2"/>
      <c r="VJP84" s="2"/>
      <c r="VJQ84" s="2"/>
      <c r="VJR84" s="2"/>
      <c r="VJS84" s="2"/>
      <c r="VJT84" s="2"/>
      <c r="VJU84" s="2"/>
      <c r="VJV84" s="2"/>
      <c r="VJW84" s="2"/>
      <c r="VJX84" s="2"/>
      <c r="VJY84" s="2"/>
      <c r="VJZ84" s="2"/>
      <c r="VKA84" s="2"/>
      <c r="VKB84" s="2"/>
      <c r="VKC84" s="2"/>
      <c r="VKD84" s="2"/>
      <c r="VKE84" s="2"/>
      <c r="VKF84" s="2"/>
      <c r="VKG84" s="2"/>
      <c r="VKH84" s="2"/>
      <c r="VKI84" s="2"/>
      <c r="VKJ84" s="2"/>
      <c r="VKK84" s="2"/>
      <c r="VKL84" s="2"/>
      <c r="VKM84" s="2"/>
      <c r="VKN84" s="2"/>
      <c r="VKO84" s="2"/>
      <c r="VKP84" s="2"/>
      <c r="VKQ84" s="2"/>
      <c r="VKR84" s="2"/>
      <c r="VKS84" s="2"/>
      <c r="VKT84" s="2"/>
      <c r="VKU84" s="2"/>
      <c r="VKV84" s="2"/>
      <c r="VKW84" s="2"/>
      <c r="VKX84" s="2"/>
      <c r="VKY84" s="2"/>
      <c r="VKZ84" s="2"/>
      <c r="VLA84" s="2"/>
      <c r="VLB84" s="2"/>
      <c r="VLC84" s="2"/>
      <c r="VLD84" s="2"/>
      <c r="VLE84" s="2"/>
      <c r="VLF84" s="2"/>
      <c r="VLG84" s="2"/>
      <c r="VLH84" s="2"/>
      <c r="VLI84" s="2"/>
      <c r="VLJ84" s="2"/>
      <c r="VLK84" s="2"/>
      <c r="VLL84" s="2"/>
      <c r="VLM84" s="2"/>
      <c r="VLN84" s="2"/>
      <c r="VLO84" s="2"/>
      <c r="VLP84" s="2"/>
      <c r="VLQ84" s="2"/>
      <c r="VLR84" s="2"/>
      <c r="VLS84" s="2"/>
      <c r="VLT84" s="2"/>
      <c r="VLU84" s="2"/>
      <c r="VLV84" s="2"/>
      <c r="VLW84" s="2"/>
      <c r="VLX84" s="2"/>
      <c r="VLY84" s="2"/>
      <c r="VLZ84" s="2"/>
      <c r="VMA84" s="2"/>
      <c r="VMB84" s="2"/>
      <c r="VMC84" s="2"/>
      <c r="VMD84" s="2"/>
      <c r="VME84" s="2"/>
      <c r="VMF84" s="2"/>
      <c r="VMG84" s="2"/>
      <c r="VMH84" s="2"/>
      <c r="VMI84" s="2"/>
      <c r="VMJ84" s="2"/>
      <c r="VMK84" s="2"/>
      <c r="VML84" s="2"/>
      <c r="VMM84" s="2"/>
      <c r="VMN84" s="2"/>
      <c r="VMO84" s="2"/>
      <c r="VMP84" s="2"/>
      <c r="VMQ84" s="2"/>
      <c r="VMR84" s="2"/>
      <c r="VMS84" s="2"/>
      <c r="VMT84" s="2"/>
      <c r="VMU84" s="2"/>
      <c r="VMV84" s="2"/>
      <c r="VMW84" s="2"/>
      <c r="VMX84" s="2"/>
      <c r="VMY84" s="2"/>
      <c r="VMZ84" s="2"/>
      <c r="VNA84" s="2"/>
      <c r="VNB84" s="2"/>
      <c r="VNC84" s="2"/>
      <c r="VND84" s="2"/>
      <c r="VNE84" s="2"/>
      <c r="VNF84" s="2"/>
      <c r="VNG84" s="2"/>
      <c r="VNH84" s="2"/>
      <c r="VNI84" s="2"/>
      <c r="VNJ84" s="2"/>
      <c r="VNK84" s="2"/>
      <c r="VNL84" s="2"/>
      <c r="VNM84" s="2"/>
      <c r="VNN84" s="2"/>
      <c r="VNO84" s="2"/>
      <c r="VNP84" s="2"/>
      <c r="VNQ84" s="2"/>
      <c r="VNR84" s="2"/>
      <c r="VNS84" s="2"/>
      <c r="VNT84" s="2"/>
      <c r="VNU84" s="2"/>
      <c r="VNV84" s="2"/>
      <c r="VNW84" s="2"/>
      <c r="VNX84" s="2"/>
      <c r="VNY84" s="2"/>
      <c r="VNZ84" s="2"/>
      <c r="VOA84" s="2"/>
      <c r="VOB84" s="2"/>
      <c r="VOC84" s="2"/>
      <c r="VOD84" s="2"/>
      <c r="VOE84" s="2"/>
      <c r="VOF84" s="2"/>
      <c r="VOG84" s="2"/>
      <c r="VOH84" s="2"/>
      <c r="VOI84" s="2"/>
      <c r="VOJ84" s="2"/>
      <c r="VOK84" s="2"/>
      <c r="VOL84" s="2"/>
      <c r="VOM84" s="2"/>
      <c r="VON84" s="2"/>
      <c r="VOO84" s="2"/>
      <c r="VOP84" s="2"/>
      <c r="VOQ84" s="2"/>
      <c r="VOR84" s="2"/>
      <c r="VOS84" s="2"/>
      <c r="VOT84" s="2"/>
      <c r="VOU84" s="2"/>
      <c r="VOV84" s="2"/>
      <c r="VOW84" s="2"/>
      <c r="VOX84" s="2"/>
      <c r="VOY84" s="2"/>
      <c r="VOZ84" s="2"/>
      <c r="VPA84" s="2"/>
      <c r="VPB84" s="2"/>
      <c r="VPC84" s="2"/>
      <c r="VPD84" s="2"/>
      <c r="VPE84" s="2"/>
      <c r="VPF84" s="2"/>
      <c r="VPG84" s="2"/>
      <c r="VPH84" s="2"/>
      <c r="VPI84" s="2"/>
      <c r="VPJ84" s="2"/>
      <c r="VPK84" s="2"/>
      <c r="VPL84" s="2"/>
      <c r="VPM84" s="2"/>
      <c r="VPN84" s="2"/>
      <c r="VPO84" s="2"/>
      <c r="VPP84" s="2"/>
      <c r="VPQ84" s="2"/>
      <c r="VPR84" s="2"/>
      <c r="VPS84" s="2"/>
      <c r="VPT84" s="2"/>
      <c r="VPU84" s="2"/>
      <c r="VPV84" s="2"/>
      <c r="VPW84" s="2"/>
      <c r="VPX84" s="2"/>
      <c r="VPY84" s="2"/>
      <c r="VPZ84" s="2"/>
      <c r="VQA84" s="2"/>
      <c r="VQB84" s="2"/>
      <c r="VQC84" s="2"/>
      <c r="VQD84" s="2"/>
      <c r="VQE84" s="2"/>
      <c r="VQF84" s="2"/>
      <c r="VQG84" s="2"/>
      <c r="VQH84" s="2"/>
      <c r="VQI84" s="2"/>
      <c r="VQJ84" s="2"/>
      <c r="VQK84" s="2"/>
      <c r="VQL84" s="2"/>
      <c r="VQM84" s="2"/>
      <c r="VQN84" s="2"/>
      <c r="VQO84" s="2"/>
      <c r="VQP84" s="2"/>
      <c r="VQQ84" s="2"/>
      <c r="VQR84" s="2"/>
      <c r="VQS84" s="2"/>
      <c r="VQT84" s="2"/>
      <c r="VQU84" s="2"/>
      <c r="VQV84" s="2"/>
      <c r="VQW84" s="2"/>
      <c r="VQX84" s="2"/>
      <c r="VQY84" s="2"/>
      <c r="VQZ84" s="2"/>
      <c r="VRA84" s="2"/>
      <c r="VRB84" s="2"/>
      <c r="VRC84" s="2"/>
      <c r="VRD84" s="2"/>
      <c r="VRE84" s="2"/>
      <c r="VRF84" s="2"/>
      <c r="VRG84" s="2"/>
      <c r="VRH84" s="2"/>
      <c r="VRI84" s="2"/>
      <c r="VRJ84" s="2"/>
      <c r="VRK84" s="2"/>
      <c r="VRL84" s="2"/>
      <c r="VRM84" s="2"/>
      <c r="VRN84" s="2"/>
      <c r="VRO84" s="2"/>
      <c r="VRP84" s="2"/>
      <c r="VRQ84" s="2"/>
      <c r="VRR84" s="2"/>
      <c r="VRS84" s="2"/>
      <c r="VRT84" s="2"/>
      <c r="VRU84" s="2"/>
      <c r="VRV84" s="2"/>
      <c r="VRW84" s="2"/>
      <c r="VRX84" s="2"/>
      <c r="VRY84" s="2"/>
      <c r="VRZ84" s="2"/>
      <c r="VSA84" s="2"/>
      <c r="VSB84" s="2"/>
      <c r="VSC84" s="2"/>
      <c r="VSD84" s="2"/>
      <c r="VSE84" s="2"/>
      <c r="VSF84" s="2"/>
      <c r="VSG84" s="2"/>
      <c r="VSH84" s="2"/>
      <c r="VSI84" s="2"/>
      <c r="VSJ84" s="2"/>
      <c r="VSK84" s="2"/>
      <c r="VSL84" s="2"/>
      <c r="VSM84" s="2"/>
      <c r="VSN84" s="2"/>
      <c r="VSO84" s="2"/>
      <c r="VSP84" s="2"/>
      <c r="VSQ84" s="2"/>
      <c r="VSR84" s="2"/>
      <c r="VSS84" s="2"/>
      <c r="VST84" s="2"/>
      <c r="VSU84" s="2"/>
      <c r="VSV84" s="2"/>
      <c r="VSW84" s="2"/>
      <c r="VSX84" s="2"/>
      <c r="VSY84" s="2"/>
      <c r="VSZ84" s="2"/>
      <c r="VTA84" s="2"/>
      <c r="VTB84" s="2"/>
      <c r="VTC84" s="2"/>
      <c r="VTD84" s="2"/>
      <c r="VTE84" s="2"/>
      <c r="VTF84" s="2"/>
      <c r="VTG84" s="2"/>
      <c r="VTH84" s="2"/>
      <c r="VTI84" s="2"/>
      <c r="VTJ84" s="2"/>
      <c r="VTK84" s="2"/>
      <c r="VTL84" s="2"/>
      <c r="VTM84" s="2"/>
      <c r="VTN84" s="2"/>
      <c r="VTO84" s="2"/>
      <c r="VTP84" s="2"/>
      <c r="VTQ84" s="2"/>
      <c r="VTR84" s="2"/>
      <c r="VTS84" s="2"/>
      <c r="VTT84" s="2"/>
      <c r="VTU84" s="2"/>
      <c r="VTV84" s="2"/>
      <c r="VTW84" s="2"/>
      <c r="VTX84" s="2"/>
      <c r="VTY84" s="2"/>
      <c r="VTZ84" s="2"/>
      <c r="VUA84" s="2"/>
      <c r="VUB84" s="2"/>
      <c r="VUC84" s="2"/>
      <c r="VUD84" s="2"/>
      <c r="VUE84" s="2"/>
      <c r="VUF84" s="2"/>
      <c r="VUG84" s="2"/>
      <c r="VUH84" s="2"/>
      <c r="VUI84" s="2"/>
      <c r="VUJ84" s="2"/>
      <c r="VUK84" s="2"/>
      <c r="VUL84" s="2"/>
      <c r="VUM84" s="2"/>
      <c r="VUN84" s="2"/>
      <c r="VUO84" s="2"/>
      <c r="VUP84" s="2"/>
      <c r="VUQ84" s="2"/>
      <c r="VUR84" s="2"/>
      <c r="VUS84" s="2"/>
      <c r="VUT84" s="2"/>
      <c r="VUU84" s="2"/>
      <c r="VUV84" s="2"/>
      <c r="VUW84" s="2"/>
      <c r="VUX84" s="2"/>
      <c r="VUY84" s="2"/>
      <c r="VUZ84" s="2"/>
      <c r="VVA84" s="2"/>
      <c r="VVB84" s="2"/>
      <c r="VVC84" s="2"/>
      <c r="VVD84" s="2"/>
      <c r="VVE84" s="2"/>
      <c r="VVF84" s="2"/>
      <c r="VVG84" s="2"/>
      <c r="VVH84" s="2"/>
      <c r="VVI84" s="2"/>
      <c r="VVJ84" s="2"/>
      <c r="VVK84" s="2"/>
      <c r="VVL84" s="2"/>
      <c r="VVM84" s="2"/>
      <c r="VVN84" s="2"/>
      <c r="VVO84" s="2"/>
      <c r="VVP84" s="2"/>
      <c r="VVQ84" s="2"/>
      <c r="VVR84" s="2"/>
      <c r="VVS84" s="2"/>
      <c r="VVT84" s="2"/>
      <c r="VVU84" s="2"/>
      <c r="VVV84" s="2"/>
      <c r="VVW84" s="2"/>
      <c r="VVX84" s="2"/>
      <c r="VVY84" s="2"/>
      <c r="VVZ84" s="2"/>
      <c r="VWA84" s="2"/>
      <c r="VWB84" s="2"/>
      <c r="VWC84" s="2"/>
      <c r="VWD84" s="2"/>
      <c r="VWE84" s="2"/>
      <c r="VWF84" s="2"/>
      <c r="VWG84" s="2"/>
      <c r="VWH84" s="2"/>
      <c r="VWI84" s="2"/>
      <c r="VWJ84" s="2"/>
      <c r="VWK84" s="2"/>
      <c r="VWL84" s="2"/>
      <c r="VWM84" s="2"/>
      <c r="VWN84" s="2"/>
      <c r="VWO84" s="2"/>
      <c r="VWP84" s="2"/>
      <c r="VWQ84" s="2"/>
      <c r="VWR84" s="2"/>
      <c r="VWS84" s="2"/>
      <c r="VWT84" s="2"/>
      <c r="VWU84" s="2"/>
      <c r="VWV84" s="2"/>
      <c r="VWW84" s="2"/>
      <c r="VWX84" s="2"/>
      <c r="VWY84" s="2"/>
      <c r="VWZ84" s="2"/>
      <c r="VXA84" s="2"/>
      <c r="VXB84" s="2"/>
      <c r="VXC84" s="2"/>
      <c r="VXD84" s="2"/>
      <c r="VXE84" s="2"/>
      <c r="VXF84" s="2"/>
      <c r="VXG84" s="2"/>
      <c r="VXH84" s="2"/>
      <c r="VXI84" s="2"/>
      <c r="VXJ84" s="2"/>
      <c r="VXK84" s="2"/>
      <c r="VXL84" s="2"/>
      <c r="VXM84" s="2"/>
      <c r="VXN84" s="2"/>
      <c r="VXO84" s="2"/>
      <c r="VXP84" s="2"/>
      <c r="VXQ84" s="2"/>
      <c r="VXR84" s="2"/>
      <c r="VXS84" s="2"/>
      <c r="VXT84" s="2"/>
      <c r="VXU84" s="2"/>
      <c r="VXV84" s="2"/>
      <c r="VXW84" s="2"/>
      <c r="VXX84" s="2"/>
      <c r="VXY84" s="2"/>
      <c r="VXZ84" s="2"/>
      <c r="VYA84" s="2"/>
      <c r="VYB84" s="2"/>
      <c r="VYC84" s="2"/>
      <c r="VYD84" s="2"/>
      <c r="VYE84" s="2"/>
      <c r="VYF84" s="2"/>
      <c r="VYG84" s="2"/>
      <c r="VYH84" s="2"/>
      <c r="VYI84" s="2"/>
      <c r="VYJ84" s="2"/>
      <c r="VYK84" s="2"/>
      <c r="VYL84" s="2"/>
      <c r="VYM84" s="2"/>
      <c r="VYN84" s="2"/>
      <c r="VYO84" s="2"/>
      <c r="VYP84" s="2"/>
      <c r="VYQ84" s="2"/>
      <c r="VYR84" s="2"/>
      <c r="VYS84" s="2"/>
      <c r="VYT84" s="2"/>
      <c r="VYU84" s="2"/>
      <c r="VYV84" s="2"/>
      <c r="VYW84" s="2"/>
      <c r="VYX84" s="2"/>
      <c r="VYY84" s="2"/>
      <c r="VYZ84" s="2"/>
      <c r="VZA84" s="2"/>
      <c r="VZB84" s="2"/>
      <c r="VZC84" s="2"/>
      <c r="VZD84" s="2"/>
      <c r="VZE84" s="2"/>
      <c r="VZF84" s="2"/>
      <c r="VZG84" s="2"/>
      <c r="VZH84" s="2"/>
      <c r="VZI84" s="2"/>
      <c r="VZJ84" s="2"/>
      <c r="VZK84" s="2"/>
      <c r="VZL84" s="2"/>
      <c r="VZM84" s="2"/>
      <c r="VZN84" s="2"/>
      <c r="VZO84" s="2"/>
      <c r="VZP84" s="2"/>
      <c r="VZQ84" s="2"/>
      <c r="VZR84" s="2"/>
      <c r="VZS84" s="2"/>
      <c r="VZT84" s="2"/>
      <c r="VZU84" s="2"/>
      <c r="VZV84" s="2"/>
      <c r="VZW84" s="2"/>
      <c r="VZX84" s="2"/>
      <c r="VZY84" s="2"/>
      <c r="VZZ84" s="2"/>
      <c r="WAA84" s="2"/>
      <c r="WAB84" s="2"/>
      <c r="WAC84" s="2"/>
      <c r="WAD84" s="2"/>
      <c r="WAE84" s="2"/>
      <c r="WAF84" s="2"/>
      <c r="WAG84" s="2"/>
      <c r="WAH84" s="2"/>
      <c r="WAI84" s="2"/>
      <c r="WAJ84" s="2"/>
      <c r="WAK84" s="2"/>
      <c r="WAL84" s="2"/>
      <c r="WAM84" s="2"/>
      <c r="WAN84" s="2"/>
      <c r="WAO84" s="2"/>
      <c r="WAP84" s="2"/>
      <c r="WAQ84" s="2"/>
      <c r="WAR84" s="2"/>
      <c r="WAS84" s="2"/>
      <c r="WAT84" s="2"/>
      <c r="WAU84" s="2"/>
      <c r="WAV84" s="2"/>
      <c r="WAW84" s="2"/>
      <c r="WAX84" s="2"/>
      <c r="WAY84" s="2"/>
      <c r="WAZ84" s="2"/>
      <c r="WBA84" s="2"/>
      <c r="WBB84" s="2"/>
      <c r="WBC84" s="2"/>
      <c r="WBD84" s="2"/>
      <c r="WBE84" s="2"/>
      <c r="WBF84" s="2"/>
      <c r="WBG84" s="2"/>
      <c r="WBH84" s="2"/>
      <c r="WBI84" s="2"/>
      <c r="WBJ84" s="2"/>
      <c r="WBK84" s="2"/>
      <c r="WBL84" s="2"/>
      <c r="WBM84" s="2"/>
      <c r="WBN84" s="2"/>
      <c r="WBO84" s="2"/>
      <c r="WBP84" s="2"/>
      <c r="WBQ84" s="2"/>
      <c r="WBR84" s="2"/>
      <c r="WBS84" s="2"/>
      <c r="WBT84" s="2"/>
      <c r="WBU84" s="2"/>
      <c r="WBV84" s="2"/>
      <c r="WBW84" s="2"/>
      <c r="WBX84" s="2"/>
      <c r="WBY84" s="2"/>
      <c r="WBZ84" s="2"/>
      <c r="WCA84" s="2"/>
      <c r="WCB84" s="2"/>
      <c r="WCC84" s="2"/>
      <c r="WCD84" s="2"/>
      <c r="WCE84" s="2"/>
      <c r="WCF84" s="2"/>
      <c r="WCG84" s="2"/>
      <c r="WCH84" s="2"/>
      <c r="WCI84" s="2"/>
      <c r="WCJ84" s="2"/>
      <c r="WCK84" s="2"/>
      <c r="WCL84" s="2"/>
      <c r="WCM84" s="2"/>
      <c r="WCN84" s="2"/>
      <c r="WCO84" s="2"/>
      <c r="WCP84" s="2"/>
      <c r="WCQ84" s="2"/>
      <c r="WCR84" s="2"/>
      <c r="WCS84" s="2"/>
      <c r="WCT84" s="2"/>
      <c r="WCU84" s="2"/>
      <c r="WCV84" s="2"/>
      <c r="WCW84" s="2"/>
      <c r="WCX84" s="2"/>
      <c r="WCY84" s="2"/>
      <c r="WCZ84" s="2"/>
      <c r="WDA84" s="2"/>
      <c r="WDB84" s="2"/>
      <c r="WDC84" s="2"/>
      <c r="WDD84" s="2"/>
      <c r="WDE84" s="2"/>
      <c r="WDF84" s="2"/>
      <c r="WDG84" s="2"/>
      <c r="WDH84" s="2"/>
      <c r="WDI84" s="2"/>
      <c r="WDJ84" s="2"/>
      <c r="WDK84" s="2"/>
      <c r="WDL84" s="2"/>
      <c r="WDM84" s="2"/>
      <c r="WDN84" s="2"/>
      <c r="WDO84" s="2"/>
      <c r="WDP84" s="2"/>
      <c r="WDQ84" s="2"/>
      <c r="WDR84" s="2"/>
      <c r="WDS84" s="2"/>
      <c r="WDT84" s="2"/>
      <c r="WDU84" s="2"/>
      <c r="WDV84" s="2"/>
      <c r="WDW84" s="2"/>
      <c r="WDX84" s="2"/>
      <c r="WDY84" s="2"/>
      <c r="WDZ84" s="2"/>
      <c r="WEA84" s="2"/>
      <c r="WEB84" s="2"/>
      <c r="WEC84" s="2"/>
      <c r="WED84" s="2"/>
      <c r="WEE84" s="2"/>
      <c r="WEF84" s="2"/>
      <c r="WEG84" s="2"/>
      <c r="WEH84" s="2"/>
      <c r="WEI84" s="2"/>
      <c r="WEJ84" s="2"/>
      <c r="WEK84" s="2"/>
      <c r="WEL84" s="2"/>
      <c r="WEM84" s="2"/>
      <c r="WEN84" s="2"/>
      <c r="WEO84" s="2"/>
      <c r="WEP84" s="2"/>
      <c r="WEQ84" s="2"/>
      <c r="WER84" s="2"/>
      <c r="WES84" s="2"/>
      <c r="WET84" s="2"/>
      <c r="WEU84" s="2"/>
      <c r="WEV84" s="2"/>
      <c r="WEW84" s="2"/>
      <c r="WEX84" s="2"/>
      <c r="WEY84" s="2"/>
      <c r="WEZ84" s="2"/>
      <c r="WFA84" s="2"/>
      <c r="WFB84" s="2"/>
      <c r="WFC84" s="2"/>
      <c r="WFD84" s="2"/>
      <c r="WFE84" s="2"/>
      <c r="WFF84" s="2"/>
      <c r="WFG84" s="2"/>
      <c r="WFH84" s="2"/>
      <c r="WFI84" s="2"/>
      <c r="WFJ84" s="2"/>
      <c r="WFK84" s="2"/>
      <c r="WFL84" s="2"/>
      <c r="WFM84" s="2"/>
      <c r="WFN84" s="2"/>
      <c r="WFO84" s="2"/>
      <c r="WFP84" s="2"/>
      <c r="WFQ84" s="2"/>
      <c r="WFR84" s="2"/>
      <c r="WFS84" s="2"/>
      <c r="WFT84" s="2"/>
      <c r="WFU84" s="2"/>
      <c r="WFV84" s="2"/>
      <c r="WFW84" s="2"/>
      <c r="WFX84" s="2"/>
      <c r="WFY84" s="2"/>
      <c r="WFZ84" s="2"/>
      <c r="WGA84" s="2"/>
      <c r="WGB84" s="2"/>
      <c r="WGC84" s="2"/>
      <c r="WGD84" s="2"/>
      <c r="WGE84" s="2"/>
      <c r="WGF84" s="2"/>
      <c r="WGG84" s="2"/>
      <c r="WGH84" s="2"/>
      <c r="WGI84" s="2"/>
      <c r="WGJ84" s="2"/>
      <c r="WGK84" s="2"/>
      <c r="WGL84" s="2"/>
      <c r="WGM84" s="2"/>
      <c r="WGN84" s="2"/>
      <c r="WGO84" s="2"/>
      <c r="WGP84" s="2"/>
      <c r="WGQ84" s="2"/>
      <c r="WGR84" s="2"/>
      <c r="WGS84" s="2"/>
      <c r="WGT84" s="2"/>
      <c r="WGU84" s="2"/>
      <c r="WGV84" s="2"/>
      <c r="WGW84" s="2"/>
      <c r="WGX84" s="2"/>
      <c r="WGY84" s="2"/>
      <c r="WGZ84" s="2"/>
      <c r="WHA84" s="2"/>
      <c r="WHB84" s="2"/>
      <c r="WHC84" s="2"/>
      <c r="WHD84" s="2"/>
      <c r="WHE84" s="2"/>
      <c r="WHF84" s="2"/>
      <c r="WHG84" s="2"/>
      <c r="WHH84" s="2"/>
      <c r="WHI84" s="2"/>
      <c r="WHJ84" s="2"/>
      <c r="WHK84" s="2"/>
      <c r="WHL84" s="2"/>
      <c r="WHM84" s="2"/>
      <c r="WHN84" s="2"/>
      <c r="WHO84" s="2"/>
      <c r="WHP84" s="2"/>
      <c r="WHQ84" s="2"/>
      <c r="WHR84" s="2"/>
      <c r="WHS84" s="2"/>
      <c r="WHT84" s="2"/>
      <c r="WHU84" s="2"/>
      <c r="WHV84" s="2"/>
      <c r="WHW84" s="2"/>
      <c r="WHX84" s="2"/>
      <c r="WHY84" s="2"/>
      <c r="WHZ84" s="2"/>
      <c r="WIA84" s="2"/>
      <c r="WIB84" s="2"/>
      <c r="WIC84" s="2"/>
      <c r="WID84" s="2"/>
      <c r="WIE84" s="2"/>
      <c r="WIF84" s="2"/>
      <c r="WIG84" s="2"/>
      <c r="WIH84" s="2"/>
      <c r="WII84" s="2"/>
      <c r="WIJ84" s="2"/>
      <c r="WIK84" s="2"/>
      <c r="WIL84" s="2"/>
      <c r="WIM84" s="2"/>
      <c r="WIN84" s="2"/>
      <c r="WIO84" s="2"/>
      <c r="WIP84" s="2"/>
      <c r="WIQ84" s="2"/>
      <c r="WIR84" s="2"/>
      <c r="WIS84" s="2"/>
      <c r="WIT84" s="2"/>
      <c r="WIU84" s="2"/>
      <c r="WIV84" s="2"/>
      <c r="WIW84" s="2"/>
      <c r="WIX84" s="2"/>
      <c r="WIY84" s="2"/>
      <c r="WIZ84" s="2"/>
      <c r="WJA84" s="2"/>
      <c r="WJB84" s="2"/>
      <c r="WJC84" s="2"/>
      <c r="WJD84" s="2"/>
      <c r="WJE84" s="2"/>
      <c r="WJF84" s="2"/>
      <c r="WJG84" s="2"/>
      <c r="WJH84" s="2"/>
      <c r="WJI84" s="2"/>
      <c r="WJJ84" s="2"/>
      <c r="WJK84" s="2"/>
      <c r="WJL84" s="2"/>
      <c r="WJM84" s="2"/>
      <c r="WJN84" s="2"/>
      <c r="WJO84" s="2"/>
      <c r="WJP84" s="2"/>
      <c r="WJQ84" s="2"/>
      <c r="WJR84" s="2"/>
      <c r="WJS84" s="2"/>
      <c r="WJT84" s="2"/>
      <c r="WJU84" s="2"/>
      <c r="WJV84" s="2"/>
      <c r="WJW84" s="2"/>
      <c r="WJX84" s="2"/>
      <c r="WJY84" s="2"/>
      <c r="WJZ84" s="2"/>
      <c r="WKA84" s="2"/>
      <c r="WKB84" s="2"/>
      <c r="WKC84" s="2"/>
      <c r="WKD84" s="2"/>
      <c r="WKE84" s="2"/>
      <c r="WKF84" s="2"/>
      <c r="WKG84" s="2"/>
      <c r="WKH84" s="2"/>
      <c r="WKI84" s="2"/>
      <c r="WKJ84" s="2"/>
      <c r="WKK84" s="2"/>
      <c r="WKL84" s="2"/>
      <c r="WKM84" s="2"/>
      <c r="WKN84" s="2"/>
      <c r="WKO84" s="2"/>
      <c r="WKP84" s="2"/>
      <c r="WKQ84" s="2"/>
      <c r="WKR84" s="2"/>
      <c r="WKS84" s="2"/>
      <c r="WKT84" s="2"/>
      <c r="WKU84" s="2"/>
      <c r="WKV84" s="2"/>
      <c r="WKW84" s="2"/>
      <c r="WKX84" s="2"/>
      <c r="WKY84" s="2"/>
      <c r="WKZ84" s="2"/>
      <c r="WLA84" s="2"/>
      <c r="WLB84" s="2"/>
      <c r="WLC84" s="2"/>
      <c r="WLD84" s="2"/>
      <c r="WLE84" s="2"/>
      <c r="WLF84" s="2"/>
      <c r="WLG84" s="2"/>
      <c r="WLH84" s="2"/>
      <c r="WLI84" s="2"/>
      <c r="WLJ84" s="2"/>
      <c r="WLK84" s="2"/>
      <c r="WLL84" s="2"/>
      <c r="WLM84" s="2"/>
      <c r="WLN84" s="2"/>
      <c r="WLO84" s="2"/>
      <c r="WLP84" s="2"/>
      <c r="WLQ84" s="2"/>
      <c r="WLR84" s="2"/>
      <c r="WLS84" s="2"/>
      <c r="WLT84" s="2"/>
      <c r="WLU84" s="2"/>
      <c r="WLV84" s="2"/>
      <c r="WLW84" s="2"/>
      <c r="WLX84" s="2"/>
      <c r="WLY84" s="2"/>
      <c r="WLZ84" s="2"/>
      <c r="WMA84" s="2"/>
      <c r="WMB84" s="2"/>
      <c r="WMC84" s="2"/>
      <c r="WMD84" s="2"/>
      <c r="WME84" s="2"/>
      <c r="WMF84" s="2"/>
      <c r="WMG84" s="2"/>
      <c r="WMH84" s="2"/>
      <c r="WMI84" s="2"/>
      <c r="WMJ84" s="2"/>
      <c r="WMK84" s="2"/>
      <c r="WML84" s="2"/>
      <c r="WMM84" s="2"/>
      <c r="WMN84" s="2"/>
      <c r="WMO84" s="2"/>
      <c r="WMP84" s="2"/>
      <c r="WMQ84" s="2"/>
      <c r="WMR84" s="2"/>
      <c r="WMS84" s="2"/>
      <c r="WMT84" s="2"/>
      <c r="WMU84" s="2"/>
      <c r="WMV84" s="2"/>
      <c r="WMW84" s="2"/>
      <c r="WMX84" s="2"/>
      <c r="WMY84" s="2"/>
      <c r="WMZ84" s="2"/>
      <c r="WNA84" s="2"/>
      <c r="WNB84" s="2"/>
      <c r="WNC84" s="2"/>
      <c r="WND84" s="2"/>
      <c r="WNE84" s="2"/>
      <c r="WNF84" s="2"/>
      <c r="WNG84" s="2"/>
      <c r="WNH84" s="2"/>
      <c r="WNI84" s="2"/>
      <c r="WNJ84" s="2"/>
      <c r="WNK84" s="2"/>
      <c r="WNL84" s="2"/>
      <c r="WNM84" s="2"/>
      <c r="WNN84" s="2"/>
      <c r="WNO84" s="2"/>
      <c r="WNP84" s="2"/>
      <c r="WNQ84" s="2"/>
      <c r="WNR84" s="2"/>
      <c r="WNS84" s="2"/>
      <c r="WNT84" s="2"/>
      <c r="WNU84" s="2"/>
      <c r="WNV84" s="2"/>
      <c r="WNW84" s="2"/>
      <c r="WNX84" s="2"/>
      <c r="WNY84" s="2"/>
      <c r="WNZ84" s="2"/>
      <c r="WOA84" s="2"/>
      <c r="WOB84" s="2"/>
      <c r="WOC84" s="2"/>
      <c r="WOD84" s="2"/>
      <c r="WOE84" s="2"/>
      <c r="WOF84" s="2"/>
      <c r="WOG84" s="2"/>
      <c r="WOH84" s="2"/>
      <c r="WOI84" s="2"/>
      <c r="WOJ84" s="2"/>
      <c r="WOK84" s="2"/>
      <c r="WOL84" s="2"/>
      <c r="WOM84" s="2"/>
      <c r="WON84" s="2"/>
      <c r="WOO84" s="2"/>
      <c r="WOP84" s="2"/>
      <c r="WOQ84" s="2"/>
      <c r="WOR84" s="2"/>
      <c r="WOS84" s="2"/>
      <c r="WOT84" s="2"/>
      <c r="WOU84" s="2"/>
      <c r="WOV84" s="2"/>
      <c r="WOW84" s="2"/>
      <c r="WOX84" s="2"/>
      <c r="WOY84" s="2"/>
      <c r="WOZ84" s="2"/>
      <c r="WPA84" s="2"/>
      <c r="WPB84" s="2"/>
      <c r="WPC84" s="2"/>
      <c r="WPD84" s="2"/>
      <c r="WPE84" s="2"/>
      <c r="WPF84" s="2"/>
      <c r="WPG84" s="2"/>
      <c r="WPH84" s="2"/>
      <c r="WPI84" s="2"/>
      <c r="WPJ84" s="2"/>
      <c r="WPK84" s="2"/>
      <c r="WPL84" s="2"/>
      <c r="WPM84" s="2"/>
      <c r="WPN84" s="2"/>
      <c r="WPO84" s="2"/>
      <c r="WPP84" s="2"/>
      <c r="WPQ84" s="2"/>
      <c r="WPR84" s="2"/>
      <c r="WPS84" s="2"/>
      <c r="WPT84" s="2"/>
      <c r="WPU84" s="2"/>
      <c r="WPV84" s="2"/>
      <c r="WPW84" s="2"/>
      <c r="WPX84" s="2"/>
      <c r="WPY84" s="2"/>
      <c r="WPZ84" s="2"/>
      <c r="WQA84" s="2"/>
      <c r="WQB84" s="2"/>
      <c r="WQC84" s="2"/>
      <c r="WQD84" s="2"/>
      <c r="WQE84" s="2"/>
      <c r="WQF84" s="2"/>
      <c r="WQG84" s="2"/>
      <c r="WQH84" s="2"/>
      <c r="WQI84" s="2"/>
      <c r="WQJ84" s="2"/>
      <c r="WQK84" s="2"/>
      <c r="WQL84" s="2"/>
      <c r="WQM84" s="2"/>
      <c r="WQN84" s="2"/>
      <c r="WQO84" s="2"/>
      <c r="WQP84" s="2"/>
      <c r="WQQ84" s="2"/>
      <c r="WQR84" s="2"/>
      <c r="WQS84" s="2"/>
      <c r="WQT84" s="2"/>
      <c r="WQU84" s="2"/>
      <c r="WQV84" s="2"/>
      <c r="WQW84" s="2"/>
      <c r="WQX84" s="2"/>
      <c r="WQY84" s="2"/>
      <c r="WQZ84" s="2"/>
      <c r="WRA84" s="2"/>
      <c r="WRB84" s="2"/>
      <c r="WRC84" s="2"/>
      <c r="WRD84" s="2"/>
      <c r="WRE84" s="2"/>
      <c r="WRF84" s="2"/>
      <c r="WRG84" s="2"/>
      <c r="WRH84" s="2"/>
      <c r="WRI84" s="2"/>
      <c r="WRJ84" s="2"/>
      <c r="WRK84" s="2"/>
      <c r="WRL84" s="2"/>
      <c r="WRM84" s="2"/>
      <c r="WRN84" s="2"/>
      <c r="WRO84" s="2"/>
      <c r="WRP84" s="2"/>
      <c r="WRQ84" s="2"/>
      <c r="WRR84" s="2"/>
      <c r="WRS84" s="2"/>
      <c r="WRT84" s="2"/>
      <c r="WRU84" s="2"/>
      <c r="WRV84" s="2"/>
      <c r="WRW84" s="2"/>
      <c r="WRX84" s="2"/>
      <c r="WRY84" s="2"/>
      <c r="WRZ84" s="2"/>
      <c r="WSA84" s="2"/>
      <c r="WSB84" s="2"/>
      <c r="WSC84" s="2"/>
      <c r="WSD84" s="2"/>
      <c r="WSE84" s="2"/>
      <c r="WSF84" s="2"/>
      <c r="WSG84" s="2"/>
      <c r="WSH84" s="2"/>
      <c r="WSI84" s="2"/>
      <c r="WSJ84" s="2"/>
      <c r="WSK84" s="2"/>
      <c r="WSL84" s="2"/>
      <c r="WSM84" s="2"/>
      <c r="WSN84" s="2"/>
      <c r="WSO84" s="2"/>
      <c r="WSP84" s="2"/>
      <c r="WSQ84" s="2"/>
      <c r="WSR84" s="2"/>
      <c r="WSS84" s="2"/>
      <c r="WST84" s="2"/>
      <c r="WSU84" s="2"/>
      <c r="WSV84" s="2"/>
      <c r="WSW84" s="2"/>
      <c r="WSX84" s="2"/>
      <c r="WSY84" s="2"/>
      <c r="WSZ84" s="2"/>
      <c r="WTA84" s="2"/>
      <c r="WTB84" s="2"/>
      <c r="WTC84" s="2"/>
      <c r="WTD84" s="2"/>
      <c r="WTE84" s="2"/>
      <c r="WTF84" s="2"/>
      <c r="WTG84" s="2"/>
      <c r="WTH84" s="2"/>
      <c r="WTI84" s="2"/>
      <c r="WTJ84" s="2"/>
      <c r="WTK84" s="2"/>
      <c r="WTL84" s="2"/>
      <c r="WTM84" s="2"/>
      <c r="WTN84" s="2"/>
      <c r="WTO84" s="2"/>
      <c r="WTP84" s="2"/>
      <c r="WTQ84" s="2"/>
      <c r="WTR84" s="2"/>
      <c r="WTS84" s="2"/>
      <c r="WTT84" s="2"/>
      <c r="WTU84" s="2"/>
      <c r="WTV84" s="2"/>
      <c r="WTW84" s="2"/>
      <c r="WTX84" s="2"/>
      <c r="WTY84" s="2"/>
      <c r="WTZ84" s="2"/>
      <c r="WUA84" s="2"/>
      <c r="WUB84" s="2"/>
      <c r="WUC84" s="2"/>
      <c r="WUD84" s="2"/>
      <c r="WUE84" s="2"/>
      <c r="WUF84" s="2"/>
      <c r="WUG84" s="2"/>
      <c r="WUH84" s="2"/>
      <c r="WUI84" s="2"/>
      <c r="WUJ84" s="2"/>
      <c r="WUK84" s="2"/>
      <c r="WUL84" s="2"/>
      <c r="WUM84" s="2"/>
      <c r="WUN84" s="2"/>
      <c r="WUO84" s="2"/>
      <c r="WUP84" s="2"/>
      <c r="WUQ84" s="2"/>
      <c r="WUR84" s="2"/>
      <c r="WUS84" s="2"/>
      <c r="WUT84" s="2"/>
      <c r="WUU84" s="2"/>
      <c r="WUV84" s="2"/>
      <c r="WUW84" s="2"/>
      <c r="WUX84" s="2"/>
      <c r="WUY84" s="2"/>
      <c r="WUZ84" s="2"/>
      <c r="WVA84" s="2"/>
      <c r="WVB84" s="2"/>
      <c r="WVC84" s="2"/>
      <c r="WVD84" s="2"/>
      <c r="WVE84" s="2"/>
      <c r="WVF84" s="2"/>
      <c r="WVG84" s="2"/>
      <c r="WVH84" s="2"/>
      <c r="WVI84" s="2"/>
      <c r="WVJ84" s="2"/>
      <c r="WVK84" s="2"/>
      <c r="WVL84" s="2"/>
      <c r="WVM84" s="2"/>
      <c r="WVN84" s="2"/>
      <c r="WVO84" s="2"/>
      <c r="WVP84" s="2"/>
      <c r="WVQ84" s="2"/>
      <c r="WVR84" s="2"/>
      <c r="WVS84" s="2"/>
      <c r="WVT84" s="2"/>
      <c r="WVU84" s="2"/>
      <c r="WVV84" s="2"/>
      <c r="WVW84" s="2"/>
      <c r="WVX84" s="2"/>
      <c r="WVY84" s="2"/>
      <c r="WVZ84" s="2"/>
      <c r="WWA84" s="2"/>
      <c r="WWB84" s="2"/>
      <c r="WWC84" s="2"/>
      <c r="WWD84" s="2"/>
      <c r="WWE84" s="2"/>
      <c r="WWF84" s="2"/>
      <c r="WWG84" s="2"/>
      <c r="WWH84" s="2"/>
      <c r="WWI84" s="2"/>
      <c r="WWJ84" s="2"/>
      <c r="WWK84" s="2"/>
      <c r="WWL84" s="2"/>
      <c r="WWM84" s="2"/>
      <c r="WWN84" s="2"/>
      <c r="WWO84" s="2"/>
      <c r="WWP84" s="2"/>
      <c r="WWQ84" s="2"/>
      <c r="WWR84" s="2"/>
      <c r="WWS84" s="2"/>
      <c r="WWT84" s="2"/>
      <c r="WWU84" s="2"/>
      <c r="WWV84" s="2"/>
      <c r="WWW84" s="2"/>
      <c r="WWX84" s="2"/>
      <c r="WWY84" s="2"/>
      <c r="WWZ84" s="2"/>
      <c r="WXA84" s="2"/>
      <c r="WXB84" s="2"/>
      <c r="WXC84" s="2"/>
      <c r="WXD84" s="2"/>
      <c r="WXE84" s="2"/>
      <c r="WXF84" s="2"/>
      <c r="WXG84" s="2"/>
      <c r="WXH84" s="2"/>
      <c r="WXI84" s="2"/>
      <c r="WXJ84" s="2"/>
      <c r="WXK84" s="2"/>
      <c r="WXL84" s="2"/>
      <c r="WXM84" s="2"/>
      <c r="WXN84" s="2"/>
      <c r="WXO84" s="2"/>
      <c r="WXP84" s="2"/>
      <c r="WXQ84" s="2"/>
      <c r="WXR84" s="2"/>
      <c r="WXS84" s="2"/>
      <c r="WXT84" s="2"/>
      <c r="WXU84" s="2"/>
      <c r="WXV84" s="2"/>
      <c r="WXW84" s="2"/>
      <c r="WXX84" s="2"/>
      <c r="WXY84" s="2"/>
      <c r="WXZ84" s="2"/>
      <c r="WYA84" s="2"/>
      <c r="WYB84" s="2"/>
      <c r="WYC84" s="2"/>
      <c r="WYD84" s="2"/>
      <c r="WYE84" s="2"/>
      <c r="WYF84" s="2"/>
      <c r="WYG84" s="2"/>
      <c r="WYH84" s="2"/>
      <c r="WYI84" s="2"/>
      <c r="WYJ84" s="2"/>
      <c r="WYK84" s="2"/>
      <c r="WYL84" s="2"/>
      <c r="WYM84" s="2"/>
      <c r="WYN84" s="2"/>
      <c r="WYO84" s="2"/>
      <c r="WYP84" s="2"/>
      <c r="WYQ84" s="2"/>
      <c r="WYR84" s="2"/>
      <c r="WYS84" s="2"/>
      <c r="WYT84" s="2"/>
      <c r="WYU84" s="2"/>
      <c r="WYV84" s="2"/>
      <c r="WYW84" s="2"/>
      <c r="WYX84" s="2"/>
      <c r="WYY84" s="2"/>
      <c r="WYZ84" s="2"/>
      <c r="WZA84" s="2"/>
      <c r="WZB84" s="2"/>
      <c r="WZC84" s="2"/>
      <c r="WZD84" s="2"/>
      <c r="WZE84" s="2"/>
      <c r="WZF84" s="2"/>
      <c r="WZG84" s="2"/>
      <c r="WZH84" s="2"/>
      <c r="WZI84" s="2"/>
      <c r="WZJ84" s="2"/>
      <c r="WZK84" s="2"/>
      <c r="WZL84" s="2"/>
      <c r="WZM84" s="2"/>
      <c r="WZN84" s="2"/>
      <c r="WZO84" s="2"/>
      <c r="WZP84" s="2"/>
      <c r="WZQ84" s="2"/>
      <c r="WZR84" s="2"/>
      <c r="WZS84" s="2"/>
      <c r="WZT84" s="2"/>
      <c r="WZU84" s="2"/>
      <c r="WZV84" s="2"/>
      <c r="WZW84" s="2"/>
      <c r="WZX84" s="2"/>
      <c r="WZY84" s="2"/>
      <c r="WZZ84" s="2"/>
      <c r="XAA84" s="2"/>
      <c r="XAB84" s="2"/>
      <c r="XAC84" s="2"/>
      <c r="XAD84" s="2"/>
      <c r="XAE84" s="2"/>
      <c r="XAF84" s="2"/>
      <c r="XAG84" s="2"/>
      <c r="XAH84" s="2"/>
      <c r="XAI84" s="2"/>
      <c r="XAJ84" s="2"/>
      <c r="XAK84" s="2"/>
      <c r="XAL84" s="2"/>
      <c r="XAM84" s="2"/>
      <c r="XAN84" s="2"/>
      <c r="XAO84" s="2"/>
      <c r="XAP84" s="2"/>
      <c r="XAQ84" s="2"/>
      <c r="XAR84" s="2"/>
      <c r="XAS84" s="2"/>
      <c r="XAT84" s="2"/>
      <c r="XAU84" s="2"/>
      <c r="XAV84" s="2"/>
      <c r="XAW84" s="2"/>
      <c r="XAX84" s="2"/>
      <c r="XAY84" s="2"/>
      <c r="XAZ84" s="2"/>
      <c r="XBA84" s="2"/>
      <c r="XBB84" s="2"/>
      <c r="XBC84" s="2"/>
      <c r="XBD84" s="2"/>
      <c r="XBE84" s="2"/>
      <c r="XBF84" s="2"/>
      <c r="XBG84" s="2"/>
      <c r="XBH84" s="2"/>
      <c r="XBI84" s="2"/>
      <c r="XBJ84" s="2"/>
      <c r="XBK84" s="2"/>
      <c r="XBL84" s="2"/>
      <c r="XBM84" s="2"/>
      <c r="XBN84" s="2"/>
      <c r="XBO84" s="2"/>
      <c r="XBP84" s="2"/>
      <c r="XBQ84" s="2"/>
      <c r="XBR84" s="2"/>
      <c r="XBS84" s="2"/>
      <c r="XBT84" s="2"/>
      <c r="XBU84" s="2"/>
      <c r="XBV84" s="2"/>
      <c r="XBW84" s="2"/>
      <c r="XBX84" s="2"/>
      <c r="XBY84" s="2"/>
      <c r="XBZ84" s="2"/>
      <c r="XCA84" s="2"/>
      <c r="XCB84" s="2"/>
      <c r="XCC84" s="2"/>
      <c r="XCD84" s="2"/>
      <c r="XCE84" s="2"/>
      <c r="XCF84" s="2"/>
      <c r="XCG84" s="2"/>
      <c r="XCH84" s="2"/>
      <c r="XCI84" s="2"/>
      <c r="XCJ84" s="2"/>
      <c r="XCK84" s="2"/>
      <c r="XCL84" s="2"/>
      <c r="XCM84" s="2"/>
      <c r="XCN84" s="2"/>
      <c r="XCO84" s="2"/>
      <c r="XCP84" s="2"/>
      <c r="XCQ84" s="2"/>
      <c r="XCR84" s="2"/>
      <c r="XCS84" s="2"/>
      <c r="XCT84" s="2"/>
      <c r="XCU84" s="2"/>
      <c r="XCV84" s="2"/>
      <c r="XCW84" s="2"/>
      <c r="XCX84" s="2"/>
      <c r="XCY84" s="2"/>
      <c r="XCZ84" s="2"/>
      <c r="XDA84" s="2"/>
      <c r="XDB84" s="2"/>
      <c r="XDC84" s="2"/>
      <c r="XDD84" s="2"/>
      <c r="XDE84" s="2"/>
      <c r="XDF84" s="2"/>
      <c r="XDG84" s="2"/>
      <c r="XDH84" s="2"/>
      <c r="XDI84" s="2"/>
      <c r="XDJ84" s="2"/>
      <c r="XDK84" s="2"/>
      <c r="XDL84" s="2"/>
      <c r="XDM84" s="2"/>
      <c r="XDN84" s="2"/>
      <c r="XDO84" s="2"/>
      <c r="XDP84" s="2"/>
      <c r="XDQ84" s="2"/>
      <c r="XDR84" s="2"/>
      <c r="XDS84" s="2"/>
      <c r="XDT84" s="2"/>
      <c r="XDU84" s="2"/>
      <c r="XDV84" s="2"/>
      <c r="XDW84" s="2"/>
      <c r="XDX84" s="2"/>
      <c r="XDY84" s="2"/>
      <c r="XDZ84" s="2"/>
      <c r="XEA84" s="2"/>
      <c r="XEB84" s="2"/>
      <c r="XEC84" s="2"/>
      <c r="XED84" s="2"/>
      <c r="XEE84" s="2"/>
      <c r="XEF84" s="2"/>
      <c r="XEG84" s="2"/>
      <c r="XEH84" s="2"/>
      <c r="XEI84" s="2"/>
      <c r="XEJ84" s="2"/>
      <c r="XEK84" s="2"/>
      <c r="XEL84" s="2"/>
      <c r="XEM84" s="2"/>
      <c r="XEN84" s="2"/>
      <c r="XEO84" s="2"/>
      <c r="XEP84" s="2"/>
      <c r="XEQ84" s="2"/>
      <c r="XER84" s="2"/>
      <c r="XES84" s="2"/>
      <c r="XET84" s="2"/>
      <c r="XEU84" s="2"/>
      <c r="XEV84" s="2"/>
      <c r="XEW84" s="2"/>
      <c r="XEX84" s="2"/>
      <c r="XEY84" s="2"/>
      <c r="XEZ84" s="2"/>
      <c r="XFA84" s="2"/>
      <c r="XFB84" s="2"/>
    </row>
    <row r="85" spans="1:16382" hidden="1">
      <c r="B85" s="2"/>
      <c r="C85" s="2"/>
      <c r="D85" s="2"/>
      <c r="E85" s="2"/>
      <c r="F85" s="2"/>
      <c r="G85" s="2"/>
      <c r="H85" s="2"/>
      <c r="I85" s="2"/>
      <c r="J85" s="23"/>
      <c r="K85" s="122"/>
      <c r="L85" s="122"/>
      <c r="M85" s="122"/>
      <c r="N85" s="122"/>
      <c r="O85" s="122"/>
      <c r="P85" s="122"/>
      <c r="Q85" s="122"/>
      <c r="R85" s="122"/>
      <c r="S85" s="2"/>
      <c r="T85" s="2"/>
      <c r="U85" s="2"/>
      <c r="V85" s="2"/>
      <c r="W85" s="2"/>
      <c r="X85" s="2"/>
      <c r="Y85" s="2"/>
      <c r="Z85" s="2"/>
      <c r="AA85" s="2"/>
      <c r="AB85" s="2"/>
      <c r="AC85" s="2"/>
      <c r="AD85" s="2"/>
      <c r="AE85" s="2"/>
      <c r="AF85" s="2"/>
      <c r="AG85" s="2"/>
      <c r="AH85" s="2"/>
      <c r="AI85" s="2"/>
      <c r="AJ85" s="2"/>
      <c r="AK85" s="2"/>
      <c r="AL85" s="2"/>
      <c r="AM85" s="2"/>
      <c r="AN85" s="2"/>
      <c r="AO85" s="2"/>
      <c r="AP85" s="2"/>
      <c r="AQ85" s="2"/>
      <c r="AR85" s="2"/>
      <c r="AS85" s="2"/>
      <c r="AT85" s="2"/>
      <c r="AU85" s="2"/>
      <c r="AV85" s="2"/>
      <c r="AW85" s="2"/>
      <c r="AX85" s="2"/>
      <c r="AY85" s="2"/>
      <c r="AZ85" s="2"/>
      <c r="BA85" s="2"/>
      <c r="BB85" s="2"/>
      <c r="BC85" s="2"/>
      <c r="BD85" s="2"/>
      <c r="BE85" s="2"/>
      <c r="BF85" s="2"/>
      <c r="BG85" s="2"/>
      <c r="BH85" s="2"/>
      <c r="BI85" s="2"/>
      <c r="BJ85" s="2"/>
      <c r="BK85" s="2"/>
      <c r="BL85" s="2"/>
      <c r="BM85" s="2"/>
      <c r="BN85" s="2"/>
      <c r="BO85" s="2"/>
      <c r="BP85" s="2"/>
      <c r="BQ85" s="2"/>
      <c r="BR85" s="2"/>
      <c r="BS85" s="2"/>
      <c r="BT85" s="2"/>
      <c r="BU85" s="2"/>
      <c r="BV85" s="2"/>
      <c r="BW85" s="2"/>
      <c r="BX85" s="2"/>
      <c r="BY85" s="2"/>
      <c r="BZ85" s="2"/>
      <c r="CA85" s="2"/>
      <c r="CB85" s="2"/>
      <c r="CC85" s="2"/>
      <c r="CD85" s="2"/>
      <c r="CE85" s="2"/>
      <c r="CF85" s="2"/>
      <c r="CG85" s="2"/>
      <c r="CH85" s="2"/>
      <c r="CI85" s="2"/>
      <c r="CJ85" s="2"/>
      <c r="CK85" s="2"/>
      <c r="CL85" s="2"/>
      <c r="CM85" s="2"/>
      <c r="CN85" s="2"/>
      <c r="CO85" s="2"/>
      <c r="CP85" s="2"/>
      <c r="CQ85" s="2"/>
      <c r="CR85" s="2"/>
      <c r="CS85" s="2"/>
      <c r="CT85" s="2"/>
      <c r="CU85" s="2"/>
      <c r="CV85" s="2"/>
      <c r="CW85" s="2"/>
      <c r="CX85" s="2"/>
      <c r="CY85" s="2"/>
      <c r="CZ85" s="2"/>
      <c r="DA85" s="2"/>
      <c r="DB85" s="2"/>
      <c r="DC85" s="2"/>
      <c r="DD85" s="2"/>
      <c r="DE85" s="2"/>
      <c r="DF85" s="2"/>
      <c r="DG85" s="2"/>
      <c r="DH85" s="2"/>
      <c r="DI85" s="2"/>
      <c r="DJ85" s="2"/>
      <c r="DK85" s="2"/>
      <c r="DL85" s="2"/>
      <c r="DM85" s="2"/>
      <c r="DN85" s="2"/>
      <c r="DO85" s="2"/>
      <c r="DP85" s="2"/>
      <c r="DQ85" s="2"/>
      <c r="DR85" s="2"/>
      <c r="DS85" s="2"/>
      <c r="DT85" s="2"/>
      <c r="DU85" s="2"/>
      <c r="DV85" s="2"/>
      <c r="DW85" s="2"/>
      <c r="DX85" s="2"/>
      <c r="DY85" s="2"/>
      <c r="DZ85" s="2"/>
      <c r="EA85" s="2"/>
      <c r="EB85" s="2"/>
      <c r="EC85" s="2"/>
      <c r="ED85" s="2"/>
      <c r="EE85" s="2"/>
      <c r="EF85" s="2"/>
      <c r="EG85" s="2"/>
      <c r="EH85" s="2"/>
      <c r="EI85" s="2"/>
      <c r="EJ85" s="2"/>
      <c r="EK85" s="2"/>
      <c r="EL85" s="2"/>
      <c r="EM85" s="2"/>
      <c r="EN85" s="2"/>
      <c r="EO85" s="2"/>
      <c r="EP85" s="2"/>
      <c r="EQ85" s="2"/>
      <c r="ER85" s="2"/>
      <c r="ES85" s="2"/>
      <c r="ET85" s="2"/>
      <c r="EU85" s="2"/>
      <c r="EV85" s="2"/>
      <c r="EW85" s="2"/>
      <c r="EX85" s="2"/>
      <c r="EY85" s="2"/>
      <c r="EZ85" s="2"/>
      <c r="FA85" s="2"/>
      <c r="FB85" s="2"/>
      <c r="FC85" s="2"/>
      <c r="FD85" s="2"/>
      <c r="FE85" s="2"/>
      <c r="FF85" s="2"/>
      <c r="FG85" s="2"/>
      <c r="FH85" s="2"/>
      <c r="FI85" s="2"/>
      <c r="FJ85" s="2"/>
      <c r="FK85" s="2"/>
      <c r="FL85" s="2"/>
      <c r="FM85" s="2"/>
      <c r="FN85" s="2"/>
      <c r="FO85" s="2"/>
      <c r="FP85" s="2"/>
      <c r="FQ85" s="2"/>
      <c r="FR85" s="2"/>
      <c r="FS85" s="2"/>
      <c r="FT85" s="2"/>
      <c r="FU85" s="2"/>
      <c r="FV85" s="2"/>
      <c r="FW85" s="2"/>
      <c r="FX85" s="2"/>
      <c r="FY85" s="2"/>
      <c r="FZ85" s="2"/>
      <c r="GA85" s="2"/>
      <c r="GB85" s="2"/>
      <c r="GC85" s="2"/>
      <c r="GD85" s="2"/>
      <c r="GE85" s="2"/>
      <c r="GF85" s="2"/>
      <c r="GG85" s="2"/>
      <c r="GH85" s="2"/>
      <c r="GI85" s="2"/>
      <c r="GJ85" s="2"/>
      <c r="GK85" s="2"/>
      <c r="GL85" s="2"/>
      <c r="GM85" s="2"/>
      <c r="GN85" s="2"/>
      <c r="GO85" s="2"/>
      <c r="GP85" s="2"/>
      <c r="GQ85" s="2"/>
      <c r="GR85" s="2"/>
      <c r="GS85" s="2"/>
      <c r="GT85" s="2"/>
      <c r="GU85" s="2"/>
      <c r="GV85" s="2"/>
      <c r="GW85" s="2"/>
      <c r="GX85" s="2"/>
      <c r="GY85" s="2"/>
      <c r="GZ85" s="2"/>
      <c r="HA85" s="2"/>
      <c r="HB85" s="2"/>
      <c r="HC85" s="2"/>
      <c r="HD85" s="2"/>
      <c r="HE85" s="2"/>
      <c r="HF85" s="2"/>
      <c r="HG85" s="2"/>
      <c r="HH85" s="2"/>
      <c r="HI85" s="2"/>
      <c r="HJ85" s="2"/>
      <c r="HK85" s="2"/>
      <c r="HL85" s="2"/>
      <c r="HM85" s="2"/>
      <c r="HN85" s="2"/>
      <c r="HO85" s="2"/>
      <c r="HP85" s="2"/>
      <c r="HQ85" s="2"/>
      <c r="HR85" s="2"/>
      <c r="HS85" s="2"/>
      <c r="HT85" s="2"/>
      <c r="HU85" s="2"/>
      <c r="HV85" s="2"/>
      <c r="HW85" s="2"/>
      <c r="HX85" s="2"/>
      <c r="HY85" s="2"/>
      <c r="HZ85" s="2"/>
      <c r="IA85" s="2"/>
      <c r="IB85" s="2"/>
      <c r="IC85" s="2"/>
      <c r="ID85" s="2"/>
      <c r="IE85" s="2"/>
      <c r="IF85" s="2"/>
      <c r="IG85" s="2"/>
      <c r="IH85" s="2"/>
      <c r="II85" s="2"/>
      <c r="IJ85" s="2"/>
      <c r="IK85" s="2"/>
      <c r="IL85" s="2"/>
      <c r="IM85" s="2"/>
      <c r="IN85" s="2"/>
      <c r="IO85" s="2"/>
      <c r="IP85" s="2"/>
      <c r="IQ85" s="2"/>
      <c r="IR85" s="2"/>
      <c r="IS85" s="2"/>
      <c r="IT85" s="2"/>
      <c r="IU85" s="2"/>
      <c r="IV85" s="2"/>
      <c r="IW85" s="2"/>
      <c r="IX85" s="2"/>
      <c r="IY85" s="2"/>
      <c r="IZ85" s="2"/>
      <c r="JA85" s="2"/>
      <c r="JB85" s="2"/>
      <c r="JC85" s="2"/>
      <c r="JD85" s="2"/>
      <c r="JE85" s="2"/>
      <c r="JF85" s="2"/>
      <c r="JG85" s="2"/>
      <c r="JH85" s="2"/>
      <c r="JI85" s="2"/>
      <c r="JJ85" s="2"/>
      <c r="JK85" s="2"/>
      <c r="JL85" s="2"/>
      <c r="JM85" s="2"/>
      <c r="JN85" s="2"/>
      <c r="JO85" s="2"/>
      <c r="JP85" s="2"/>
      <c r="JQ85" s="2"/>
      <c r="JR85" s="2"/>
      <c r="JS85" s="2"/>
      <c r="JT85" s="2"/>
      <c r="JU85" s="2"/>
      <c r="JV85" s="2"/>
      <c r="JW85" s="2"/>
      <c r="JX85" s="2"/>
      <c r="JY85" s="2"/>
      <c r="JZ85" s="2"/>
      <c r="KA85" s="2"/>
      <c r="KB85" s="2"/>
      <c r="KC85" s="2"/>
      <c r="KD85" s="2"/>
      <c r="KE85" s="2"/>
      <c r="KF85" s="2"/>
      <c r="KG85" s="2"/>
      <c r="KH85" s="2"/>
      <c r="KI85" s="2"/>
      <c r="KJ85" s="2"/>
      <c r="KK85" s="2"/>
      <c r="KL85" s="2"/>
      <c r="KM85" s="2"/>
      <c r="KN85" s="2"/>
      <c r="KO85" s="2"/>
      <c r="KP85" s="2"/>
      <c r="KQ85" s="2"/>
      <c r="KR85" s="2"/>
      <c r="KS85" s="2"/>
      <c r="KT85" s="2"/>
      <c r="KU85" s="2"/>
      <c r="KV85" s="2"/>
      <c r="KW85" s="2"/>
      <c r="KX85" s="2"/>
      <c r="KY85" s="2"/>
      <c r="KZ85" s="2"/>
      <c r="LA85" s="2"/>
      <c r="LB85" s="2"/>
      <c r="LC85" s="2"/>
      <c r="LD85" s="2"/>
      <c r="LE85" s="2"/>
      <c r="LF85" s="2"/>
      <c r="LG85" s="2"/>
      <c r="LH85" s="2"/>
      <c r="LI85" s="2"/>
      <c r="LJ85" s="2"/>
      <c r="LK85" s="2"/>
      <c r="LL85" s="2"/>
      <c r="LM85" s="2"/>
      <c r="LN85" s="2"/>
      <c r="LO85" s="2"/>
      <c r="LP85" s="2"/>
      <c r="LQ85" s="2"/>
      <c r="LR85" s="2"/>
      <c r="LS85" s="2"/>
      <c r="LT85" s="2"/>
      <c r="LU85" s="2"/>
      <c r="LV85" s="2"/>
      <c r="LW85" s="2"/>
      <c r="LX85" s="2"/>
      <c r="LY85" s="2"/>
      <c r="LZ85" s="2"/>
      <c r="MA85" s="2"/>
      <c r="MB85" s="2"/>
      <c r="MC85" s="2"/>
      <c r="MD85" s="2"/>
      <c r="ME85" s="2"/>
      <c r="MF85" s="2"/>
      <c r="MG85" s="2"/>
      <c r="MH85" s="2"/>
      <c r="MI85" s="2"/>
      <c r="MJ85" s="2"/>
      <c r="MK85" s="2"/>
      <c r="ML85" s="2"/>
      <c r="MM85" s="2"/>
      <c r="MN85" s="2"/>
      <c r="MO85" s="2"/>
      <c r="MP85" s="2"/>
      <c r="MQ85" s="2"/>
      <c r="MR85" s="2"/>
      <c r="MS85" s="2"/>
      <c r="MT85" s="2"/>
      <c r="MU85" s="2"/>
      <c r="MV85" s="2"/>
      <c r="MW85" s="2"/>
      <c r="MX85" s="2"/>
      <c r="MY85" s="2"/>
      <c r="MZ85" s="2"/>
      <c r="NA85" s="2"/>
      <c r="NB85" s="2"/>
      <c r="NC85" s="2"/>
      <c r="ND85" s="2"/>
      <c r="NE85" s="2"/>
      <c r="NF85" s="2"/>
      <c r="NG85" s="2"/>
      <c r="NH85" s="2"/>
      <c r="NI85" s="2"/>
      <c r="NJ85" s="2"/>
      <c r="NK85" s="2"/>
      <c r="NL85" s="2"/>
      <c r="NM85" s="2"/>
      <c r="NN85" s="2"/>
      <c r="NO85" s="2"/>
      <c r="NP85" s="2"/>
      <c r="NQ85" s="2"/>
      <c r="NR85" s="2"/>
      <c r="NS85" s="2"/>
      <c r="NT85" s="2"/>
      <c r="NU85" s="2"/>
      <c r="NV85" s="2"/>
      <c r="NW85" s="2"/>
      <c r="NX85" s="2"/>
      <c r="NY85" s="2"/>
      <c r="NZ85" s="2"/>
      <c r="OA85" s="2"/>
      <c r="OB85" s="2"/>
      <c r="OC85" s="2"/>
      <c r="OD85" s="2"/>
      <c r="OE85" s="2"/>
      <c r="OF85" s="2"/>
      <c r="OG85" s="2"/>
      <c r="OH85" s="2"/>
      <c r="OI85" s="2"/>
      <c r="OJ85" s="2"/>
      <c r="OK85" s="2"/>
      <c r="OL85" s="2"/>
      <c r="OM85" s="2"/>
      <c r="ON85" s="2"/>
      <c r="OO85" s="2"/>
      <c r="OP85" s="2"/>
      <c r="OQ85" s="2"/>
      <c r="OR85" s="2"/>
      <c r="OS85" s="2"/>
      <c r="OT85" s="2"/>
      <c r="OU85" s="2"/>
      <c r="OV85" s="2"/>
      <c r="OW85" s="2"/>
      <c r="OX85" s="2"/>
      <c r="OY85" s="2"/>
      <c r="OZ85" s="2"/>
      <c r="PA85" s="2"/>
      <c r="PB85" s="2"/>
      <c r="PC85" s="2"/>
      <c r="PD85" s="2"/>
      <c r="PE85" s="2"/>
      <c r="PF85" s="2"/>
      <c r="PG85" s="2"/>
      <c r="PH85" s="2"/>
      <c r="PI85" s="2"/>
      <c r="PJ85" s="2"/>
      <c r="PK85" s="2"/>
      <c r="PL85" s="2"/>
      <c r="PM85" s="2"/>
      <c r="PN85" s="2"/>
      <c r="PO85" s="2"/>
      <c r="PP85" s="2"/>
      <c r="PQ85" s="2"/>
      <c r="PR85" s="2"/>
      <c r="PS85" s="2"/>
      <c r="PT85" s="2"/>
      <c r="PU85" s="2"/>
      <c r="PV85" s="2"/>
      <c r="PW85" s="2"/>
      <c r="PX85" s="2"/>
      <c r="PY85" s="2"/>
      <c r="PZ85" s="2"/>
      <c r="QA85" s="2"/>
      <c r="QB85" s="2"/>
      <c r="QC85" s="2"/>
      <c r="QD85" s="2"/>
      <c r="QE85" s="2"/>
      <c r="QF85" s="2"/>
      <c r="QG85" s="2"/>
      <c r="QH85" s="2"/>
      <c r="QI85" s="2"/>
      <c r="QJ85" s="2"/>
      <c r="QK85" s="2"/>
      <c r="QL85" s="2"/>
      <c r="QM85" s="2"/>
      <c r="QN85" s="2"/>
      <c r="QO85" s="2"/>
      <c r="QP85" s="2"/>
      <c r="QQ85" s="2"/>
      <c r="QR85" s="2"/>
      <c r="QS85" s="2"/>
      <c r="QT85" s="2"/>
      <c r="QU85" s="2"/>
      <c r="QV85" s="2"/>
      <c r="QW85" s="2"/>
      <c r="QX85" s="2"/>
      <c r="QY85" s="2"/>
      <c r="QZ85" s="2"/>
      <c r="RA85" s="2"/>
      <c r="RB85" s="2"/>
      <c r="RC85" s="2"/>
      <c r="RD85" s="2"/>
      <c r="RE85" s="2"/>
      <c r="RF85" s="2"/>
      <c r="RG85" s="2"/>
      <c r="RH85" s="2"/>
      <c r="RI85" s="2"/>
      <c r="RJ85" s="2"/>
      <c r="RK85" s="2"/>
      <c r="RL85" s="2"/>
      <c r="RM85" s="2"/>
      <c r="RN85" s="2"/>
      <c r="RO85" s="2"/>
      <c r="RP85" s="2"/>
      <c r="RQ85" s="2"/>
      <c r="RR85" s="2"/>
      <c r="RS85" s="2"/>
      <c r="RT85" s="2"/>
      <c r="RU85" s="2"/>
      <c r="RV85" s="2"/>
      <c r="RW85" s="2"/>
      <c r="RX85" s="2"/>
      <c r="RY85" s="2"/>
      <c r="RZ85" s="2"/>
      <c r="SA85" s="2"/>
      <c r="SB85" s="2"/>
      <c r="SC85" s="2"/>
      <c r="SD85" s="2"/>
      <c r="SE85" s="2"/>
      <c r="SF85" s="2"/>
      <c r="SG85" s="2"/>
      <c r="SH85" s="2"/>
      <c r="SI85" s="2"/>
      <c r="SJ85" s="2"/>
      <c r="SK85" s="2"/>
      <c r="SL85" s="2"/>
      <c r="SM85" s="2"/>
      <c r="SN85" s="2"/>
      <c r="SO85" s="2"/>
      <c r="SP85" s="2"/>
      <c r="SQ85" s="2"/>
      <c r="SR85" s="2"/>
      <c r="SS85" s="2"/>
      <c r="ST85" s="2"/>
      <c r="SU85" s="2"/>
      <c r="SV85" s="2"/>
      <c r="SW85" s="2"/>
      <c r="SX85" s="2"/>
      <c r="SY85" s="2"/>
      <c r="SZ85" s="2"/>
      <c r="TA85" s="2"/>
      <c r="TB85" s="2"/>
      <c r="TC85" s="2"/>
      <c r="TD85" s="2"/>
      <c r="TE85" s="2"/>
      <c r="TF85" s="2"/>
      <c r="TG85" s="2"/>
      <c r="TH85" s="2"/>
      <c r="TI85" s="2"/>
      <c r="TJ85" s="2"/>
      <c r="TK85" s="2"/>
      <c r="TL85" s="2"/>
      <c r="TM85" s="2"/>
      <c r="TN85" s="2"/>
      <c r="TO85" s="2"/>
      <c r="TP85" s="2"/>
      <c r="TQ85" s="2"/>
      <c r="TR85" s="2"/>
      <c r="TS85" s="2"/>
      <c r="TT85" s="2"/>
      <c r="TU85" s="2"/>
      <c r="TV85" s="2"/>
      <c r="TW85" s="2"/>
      <c r="TX85" s="2"/>
      <c r="TY85" s="2"/>
      <c r="TZ85" s="2"/>
      <c r="UA85" s="2"/>
      <c r="UB85" s="2"/>
      <c r="UC85" s="2"/>
      <c r="UD85" s="2"/>
      <c r="UE85" s="2"/>
      <c r="UF85" s="2"/>
      <c r="UG85" s="2"/>
      <c r="UH85" s="2"/>
      <c r="UI85" s="2"/>
      <c r="UJ85" s="2"/>
      <c r="UK85" s="2"/>
      <c r="UL85" s="2"/>
      <c r="UM85" s="2"/>
      <c r="UN85" s="2"/>
      <c r="UO85" s="2"/>
      <c r="UP85" s="2"/>
      <c r="UQ85" s="2"/>
      <c r="UR85" s="2"/>
      <c r="US85" s="2"/>
      <c r="UT85" s="2"/>
      <c r="UU85" s="2"/>
      <c r="UV85" s="2"/>
      <c r="UW85" s="2"/>
      <c r="UX85" s="2"/>
      <c r="UY85" s="2"/>
      <c r="UZ85" s="2"/>
      <c r="VA85" s="2"/>
      <c r="VB85" s="2"/>
      <c r="VC85" s="2"/>
      <c r="VD85" s="2"/>
      <c r="VE85" s="2"/>
      <c r="VF85" s="2"/>
      <c r="VG85" s="2"/>
      <c r="VH85" s="2"/>
      <c r="VI85" s="2"/>
      <c r="VJ85" s="2"/>
      <c r="VK85" s="2"/>
      <c r="VL85" s="2"/>
      <c r="VM85" s="2"/>
      <c r="VN85" s="2"/>
      <c r="VO85" s="2"/>
      <c r="VP85" s="2"/>
      <c r="VQ85" s="2"/>
      <c r="VR85" s="2"/>
      <c r="VS85" s="2"/>
      <c r="VT85" s="2"/>
      <c r="VU85" s="2"/>
      <c r="VV85" s="2"/>
      <c r="VW85" s="2"/>
      <c r="VX85" s="2"/>
      <c r="VY85" s="2"/>
      <c r="VZ85" s="2"/>
      <c r="WA85" s="2"/>
      <c r="WB85" s="2"/>
      <c r="WC85" s="2"/>
      <c r="WD85" s="2"/>
      <c r="WE85" s="2"/>
      <c r="WF85" s="2"/>
      <c r="WG85" s="2"/>
      <c r="WH85" s="2"/>
      <c r="WI85" s="2"/>
      <c r="WJ85" s="2"/>
      <c r="WK85" s="2"/>
      <c r="WL85" s="2"/>
      <c r="WM85" s="2"/>
      <c r="WN85" s="2"/>
      <c r="WO85" s="2"/>
      <c r="WP85" s="2"/>
      <c r="WQ85" s="2"/>
      <c r="WR85" s="2"/>
      <c r="WS85" s="2"/>
      <c r="WT85" s="2"/>
      <c r="WU85" s="2"/>
      <c r="WV85" s="2"/>
      <c r="WW85" s="2"/>
      <c r="WX85" s="2"/>
      <c r="WY85" s="2"/>
      <c r="WZ85" s="2"/>
      <c r="XA85" s="2"/>
      <c r="XB85" s="2"/>
      <c r="XC85" s="2"/>
      <c r="XD85" s="2"/>
      <c r="XE85" s="2"/>
      <c r="XF85" s="2"/>
      <c r="XG85" s="2"/>
      <c r="XH85" s="2"/>
      <c r="XI85" s="2"/>
      <c r="XJ85" s="2"/>
      <c r="XK85" s="2"/>
      <c r="XL85" s="2"/>
      <c r="XM85" s="2"/>
      <c r="XN85" s="2"/>
      <c r="XO85" s="2"/>
      <c r="XP85" s="2"/>
      <c r="XQ85" s="2"/>
      <c r="XR85" s="2"/>
      <c r="XS85" s="2"/>
      <c r="XT85" s="2"/>
      <c r="XU85" s="2"/>
      <c r="XV85" s="2"/>
      <c r="XW85" s="2"/>
      <c r="XX85" s="2"/>
      <c r="XY85" s="2"/>
      <c r="XZ85" s="2"/>
      <c r="YA85" s="2"/>
      <c r="YB85" s="2"/>
      <c r="YC85" s="2"/>
      <c r="YD85" s="2"/>
      <c r="YE85" s="2"/>
      <c r="YF85" s="2"/>
      <c r="YG85" s="2"/>
      <c r="YH85" s="2"/>
      <c r="YI85" s="2"/>
      <c r="YJ85" s="2"/>
      <c r="YK85" s="2"/>
      <c r="YL85" s="2"/>
      <c r="YM85" s="2"/>
      <c r="YN85" s="2"/>
      <c r="YO85" s="2"/>
      <c r="YP85" s="2"/>
      <c r="YQ85" s="2"/>
      <c r="YR85" s="2"/>
      <c r="YS85" s="2"/>
      <c r="YT85" s="2"/>
      <c r="YU85" s="2"/>
      <c r="YV85" s="2"/>
      <c r="YW85" s="2"/>
      <c r="YX85" s="2"/>
      <c r="YY85" s="2"/>
      <c r="YZ85" s="2"/>
      <c r="ZA85" s="2"/>
      <c r="ZB85" s="2"/>
      <c r="ZC85" s="2"/>
      <c r="ZD85" s="2"/>
      <c r="ZE85" s="2"/>
      <c r="ZF85" s="2"/>
      <c r="ZG85" s="2"/>
      <c r="ZH85" s="2"/>
      <c r="ZI85" s="2"/>
      <c r="ZJ85" s="2"/>
      <c r="ZK85" s="2"/>
      <c r="ZL85" s="2"/>
      <c r="ZM85" s="2"/>
      <c r="ZN85" s="2"/>
      <c r="ZO85" s="2"/>
      <c r="ZP85" s="2"/>
      <c r="ZQ85" s="2"/>
      <c r="ZR85" s="2"/>
      <c r="ZS85" s="2"/>
      <c r="ZT85" s="2"/>
      <c r="ZU85" s="2"/>
      <c r="ZV85" s="2"/>
      <c r="ZW85" s="2"/>
      <c r="ZX85" s="2"/>
      <c r="ZY85" s="2"/>
      <c r="ZZ85" s="2"/>
      <c r="AAA85" s="2"/>
      <c r="AAB85" s="2"/>
      <c r="AAC85" s="2"/>
      <c r="AAD85" s="2"/>
      <c r="AAE85" s="2"/>
      <c r="AAF85" s="2"/>
      <c r="AAG85" s="2"/>
      <c r="AAH85" s="2"/>
      <c r="AAI85" s="2"/>
      <c r="AAJ85" s="2"/>
      <c r="AAK85" s="2"/>
      <c r="AAL85" s="2"/>
      <c r="AAM85" s="2"/>
      <c r="AAN85" s="2"/>
      <c r="AAO85" s="2"/>
      <c r="AAP85" s="2"/>
      <c r="AAQ85" s="2"/>
      <c r="AAR85" s="2"/>
      <c r="AAS85" s="2"/>
      <c r="AAT85" s="2"/>
      <c r="AAU85" s="2"/>
      <c r="AAV85" s="2"/>
      <c r="AAW85" s="2"/>
      <c r="AAX85" s="2"/>
      <c r="AAY85" s="2"/>
      <c r="AAZ85" s="2"/>
      <c r="ABA85" s="2"/>
      <c r="ABB85" s="2"/>
      <c r="ABC85" s="2"/>
      <c r="ABD85" s="2"/>
      <c r="ABE85" s="2"/>
      <c r="ABF85" s="2"/>
      <c r="ABG85" s="2"/>
      <c r="ABH85" s="2"/>
      <c r="ABI85" s="2"/>
      <c r="ABJ85" s="2"/>
      <c r="ABK85" s="2"/>
      <c r="ABL85" s="2"/>
      <c r="ABM85" s="2"/>
      <c r="ABN85" s="2"/>
      <c r="ABO85" s="2"/>
      <c r="ABP85" s="2"/>
      <c r="ABQ85" s="2"/>
      <c r="ABR85" s="2"/>
      <c r="ABS85" s="2"/>
      <c r="ABT85" s="2"/>
      <c r="ABU85" s="2"/>
      <c r="ABV85" s="2"/>
      <c r="ABW85" s="2"/>
      <c r="ABX85" s="2"/>
      <c r="ABY85" s="2"/>
      <c r="ABZ85" s="2"/>
      <c r="ACA85" s="2"/>
      <c r="ACB85" s="2"/>
      <c r="ACC85" s="2"/>
      <c r="ACD85" s="2"/>
      <c r="ACE85" s="2"/>
      <c r="ACF85" s="2"/>
      <c r="ACG85" s="2"/>
      <c r="ACH85" s="2"/>
      <c r="ACI85" s="2"/>
      <c r="ACJ85" s="2"/>
      <c r="ACK85" s="2"/>
      <c r="ACL85" s="2"/>
      <c r="ACM85" s="2"/>
      <c r="ACN85" s="2"/>
      <c r="ACO85" s="2"/>
      <c r="ACP85" s="2"/>
      <c r="ACQ85" s="2"/>
      <c r="ACR85" s="2"/>
      <c r="ACS85" s="2"/>
      <c r="ACT85" s="2"/>
      <c r="ACU85" s="2"/>
      <c r="ACV85" s="2"/>
      <c r="ACW85" s="2"/>
      <c r="ACX85" s="2"/>
      <c r="ACY85" s="2"/>
      <c r="ACZ85" s="2"/>
      <c r="ADA85" s="2"/>
      <c r="ADB85" s="2"/>
      <c r="ADC85" s="2"/>
      <c r="ADD85" s="2"/>
      <c r="ADE85" s="2"/>
      <c r="ADF85" s="2"/>
      <c r="ADG85" s="2"/>
      <c r="ADH85" s="2"/>
      <c r="ADI85" s="2"/>
      <c r="ADJ85" s="2"/>
      <c r="ADK85" s="2"/>
      <c r="ADL85" s="2"/>
      <c r="ADM85" s="2"/>
      <c r="ADN85" s="2"/>
      <c r="ADO85" s="2"/>
      <c r="ADP85" s="2"/>
      <c r="ADQ85" s="2"/>
      <c r="ADR85" s="2"/>
      <c r="ADS85" s="2"/>
      <c r="ADT85" s="2"/>
      <c r="ADU85" s="2"/>
      <c r="ADV85" s="2"/>
      <c r="ADW85" s="2"/>
      <c r="ADX85" s="2"/>
      <c r="ADY85" s="2"/>
      <c r="ADZ85" s="2"/>
      <c r="AEA85" s="2"/>
      <c r="AEB85" s="2"/>
      <c r="AEC85" s="2"/>
      <c r="AED85" s="2"/>
      <c r="AEE85" s="2"/>
      <c r="AEF85" s="2"/>
      <c r="AEG85" s="2"/>
      <c r="AEH85" s="2"/>
      <c r="AEI85" s="2"/>
      <c r="AEJ85" s="2"/>
      <c r="AEK85" s="2"/>
      <c r="AEL85" s="2"/>
      <c r="AEM85" s="2"/>
      <c r="AEN85" s="2"/>
      <c r="AEO85" s="2"/>
      <c r="AEP85" s="2"/>
      <c r="AEQ85" s="2"/>
      <c r="AER85" s="2"/>
      <c r="AES85" s="2"/>
      <c r="AET85" s="2"/>
      <c r="AEU85" s="2"/>
      <c r="AEV85" s="2"/>
      <c r="AEW85" s="2"/>
      <c r="AEX85" s="2"/>
      <c r="AEY85" s="2"/>
      <c r="AEZ85" s="2"/>
      <c r="AFA85" s="2"/>
      <c r="AFB85" s="2"/>
      <c r="AFC85" s="2"/>
      <c r="AFD85" s="2"/>
      <c r="AFE85" s="2"/>
      <c r="AFF85" s="2"/>
      <c r="AFG85" s="2"/>
      <c r="AFH85" s="2"/>
      <c r="AFI85" s="2"/>
      <c r="AFJ85" s="2"/>
      <c r="AFK85" s="2"/>
      <c r="AFL85" s="2"/>
      <c r="AFM85" s="2"/>
      <c r="AFN85" s="2"/>
      <c r="AFO85" s="2"/>
      <c r="AFP85" s="2"/>
      <c r="AFQ85" s="2"/>
      <c r="AFR85" s="2"/>
      <c r="AFS85" s="2"/>
      <c r="AFT85" s="2"/>
      <c r="AFU85" s="2"/>
      <c r="AFV85" s="2"/>
      <c r="AFW85" s="2"/>
      <c r="AFX85" s="2"/>
      <c r="AFY85" s="2"/>
      <c r="AFZ85" s="2"/>
      <c r="AGA85" s="2"/>
      <c r="AGB85" s="2"/>
      <c r="AGC85" s="2"/>
      <c r="AGD85" s="2"/>
      <c r="AGE85" s="2"/>
      <c r="AGF85" s="2"/>
      <c r="AGG85" s="2"/>
      <c r="AGH85" s="2"/>
      <c r="AGI85" s="2"/>
      <c r="AGJ85" s="2"/>
      <c r="AGK85" s="2"/>
      <c r="AGL85" s="2"/>
      <c r="AGM85" s="2"/>
      <c r="AGN85" s="2"/>
      <c r="AGO85" s="2"/>
      <c r="AGP85" s="2"/>
      <c r="AGQ85" s="2"/>
      <c r="AGR85" s="2"/>
      <c r="AGS85" s="2"/>
      <c r="AGT85" s="2"/>
      <c r="AGU85" s="2"/>
      <c r="AGV85" s="2"/>
      <c r="AGW85" s="2"/>
      <c r="AGX85" s="2"/>
      <c r="AGY85" s="2"/>
      <c r="AGZ85" s="2"/>
      <c r="AHA85" s="2"/>
      <c r="AHB85" s="2"/>
      <c r="AHC85" s="2"/>
      <c r="AHD85" s="2"/>
      <c r="AHE85" s="2"/>
      <c r="AHF85" s="2"/>
      <c r="AHG85" s="2"/>
      <c r="AHH85" s="2"/>
      <c r="AHI85" s="2"/>
      <c r="AHJ85" s="2"/>
      <c r="AHK85" s="2"/>
      <c r="AHL85" s="2"/>
      <c r="AHM85" s="2"/>
      <c r="AHN85" s="2"/>
      <c r="AHO85" s="2"/>
      <c r="AHP85" s="2"/>
      <c r="AHQ85" s="2"/>
      <c r="AHR85" s="2"/>
      <c r="AHS85" s="2"/>
      <c r="AHT85" s="2"/>
      <c r="AHU85" s="2"/>
      <c r="AHV85" s="2"/>
      <c r="AHW85" s="2"/>
      <c r="AHX85" s="2"/>
      <c r="AHY85" s="2"/>
      <c r="AHZ85" s="2"/>
      <c r="AIA85" s="2"/>
      <c r="AIB85" s="2"/>
      <c r="AIC85" s="2"/>
      <c r="AID85" s="2"/>
      <c r="AIE85" s="2"/>
      <c r="AIF85" s="2"/>
      <c r="AIG85" s="2"/>
      <c r="AIH85" s="2"/>
      <c r="AII85" s="2"/>
      <c r="AIJ85" s="2"/>
      <c r="AIK85" s="2"/>
      <c r="AIL85" s="2"/>
      <c r="AIM85" s="2"/>
      <c r="AIN85" s="2"/>
      <c r="AIO85" s="2"/>
      <c r="AIP85" s="2"/>
      <c r="AIQ85" s="2"/>
      <c r="AIR85" s="2"/>
      <c r="AIS85" s="2"/>
      <c r="AIT85" s="2"/>
      <c r="AIU85" s="2"/>
      <c r="AIV85" s="2"/>
      <c r="AIW85" s="2"/>
      <c r="AIX85" s="2"/>
      <c r="AIY85" s="2"/>
      <c r="AIZ85" s="2"/>
      <c r="AJA85" s="2"/>
      <c r="AJB85" s="2"/>
      <c r="AJC85" s="2"/>
      <c r="AJD85" s="2"/>
      <c r="AJE85" s="2"/>
      <c r="AJF85" s="2"/>
      <c r="AJG85" s="2"/>
      <c r="AJH85" s="2"/>
      <c r="AJI85" s="2"/>
      <c r="AJJ85" s="2"/>
      <c r="AJK85" s="2"/>
      <c r="AJL85" s="2"/>
      <c r="AJM85" s="2"/>
      <c r="AJN85" s="2"/>
      <c r="AJO85" s="2"/>
      <c r="AJP85" s="2"/>
      <c r="AJQ85" s="2"/>
      <c r="AJR85" s="2"/>
      <c r="AJS85" s="2"/>
      <c r="AJT85" s="2"/>
      <c r="AJU85" s="2"/>
      <c r="AJV85" s="2"/>
      <c r="AJW85" s="2"/>
      <c r="AJX85" s="2"/>
      <c r="AJY85" s="2"/>
      <c r="AJZ85" s="2"/>
      <c r="AKA85" s="2"/>
      <c r="AKB85" s="2"/>
      <c r="AKC85" s="2"/>
      <c r="AKD85" s="2"/>
      <c r="AKE85" s="2"/>
      <c r="AKF85" s="2"/>
      <c r="AKG85" s="2"/>
      <c r="AKH85" s="2"/>
      <c r="AKI85" s="2"/>
      <c r="AKJ85" s="2"/>
      <c r="AKK85" s="2"/>
      <c r="AKL85" s="2"/>
      <c r="AKM85" s="2"/>
      <c r="AKN85" s="2"/>
      <c r="AKO85" s="2"/>
      <c r="AKP85" s="2"/>
      <c r="AKQ85" s="2"/>
      <c r="AKR85" s="2"/>
      <c r="AKS85" s="2"/>
      <c r="AKT85" s="2"/>
      <c r="AKU85" s="2"/>
      <c r="AKV85" s="2"/>
      <c r="AKW85" s="2"/>
      <c r="AKX85" s="2"/>
      <c r="AKY85" s="2"/>
      <c r="AKZ85" s="2"/>
      <c r="ALA85" s="2"/>
      <c r="ALB85" s="2"/>
      <c r="ALC85" s="2"/>
      <c r="ALD85" s="2"/>
      <c r="ALE85" s="2"/>
      <c r="ALF85" s="2"/>
      <c r="ALG85" s="2"/>
      <c r="ALH85" s="2"/>
      <c r="ALI85" s="2"/>
      <c r="ALJ85" s="2"/>
      <c r="ALK85" s="2"/>
      <c r="ALL85" s="2"/>
      <c r="ALM85" s="2"/>
      <c r="ALN85" s="2"/>
      <c r="ALO85" s="2"/>
      <c r="ALP85" s="2"/>
      <c r="ALQ85" s="2"/>
      <c r="ALR85" s="2"/>
      <c r="ALS85" s="2"/>
      <c r="ALT85" s="2"/>
      <c r="ALU85" s="2"/>
      <c r="ALV85" s="2"/>
      <c r="ALW85" s="2"/>
      <c r="ALX85" s="2"/>
      <c r="ALY85" s="2"/>
      <c r="ALZ85" s="2"/>
      <c r="AMA85" s="2"/>
      <c r="AMB85" s="2"/>
      <c r="AMC85" s="2"/>
      <c r="AMD85" s="2"/>
      <c r="AME85" s="2"/>
      <c r="AMF85" s="2"/>
      <c r="AMG85" s="2"/>
      <c r="AMH85" s="2"/>
      <c r="AMI85" s="2"/>
      <c r="AMJ85" s="2"/>
      <c r="AMK85" s="2"/>
      <c r="AML85" s="2"/>
      <c r="AMM85" s="2"/>
      <c r="AMN85" s="2"/>
      <c r="AMO85" s="2"/>
      <c r="AMP85" s="2"/>
      <c r="AMQ85" s="2"/>
      <c r="AMR85" s="2"/>
      <c r="AMS85" s="2"/>
      <c r="AMT85" s="2"/>
      <c r="AMU85" s="2"/>
      <c r="AMV85" s="2"/>
      <c r="AMW85" s="2"/>
      <c r="AMX85" s="2"/>
      <c r="AMY85" s="2"/>
      <c r="AMZ85" s="2"/>
      <c r="ANA85" s="2"/>
      <c r="ANB85" s="2"/>
      <c r="ANC85" s="2"/>
      <c r="AND85" s="2"/>
      <c r="ANE85" s="2"/>
      <c r="ANF85" s="2"/>
      <c r="ANG85" s="2"/>
      <c r="ANH85" s="2"/>
      <c r="ANI85" s="2"/>
      <c r="ANJ85" s="2"/>
      <c r="ANK85" s="2"/>
      <c r="ANL85" s="2"/>
      <c r="ANM85" s="2"/>
      <c r="ANN85" s="2"/>
      <c r="ANO85" s="2"/>
      <c r="ANP85" s="2"/>
      <c r="ANQ85" s="2"/>
      <c r="ANR85" s="2"/>
      <c r="ANS85" s="2"/>
      <c r="ANT85" s="2"/>
      <c r="ANU85" s="2"/>
      <c r="ANV85" s="2"/>
      <c r="ANW85" s="2"/>
      <c r="ANX85" s="2"/>
      <c r="ANY85" s="2"/>
      <c r="ANZ85" s="2"/>
      <c r="AOA85" s="2"/>
      <c r="AOB85" s="2"/>
      <c r="AOC85" s="2"/>
      <c r="AOD85" s="2"/>
      <c r="AOE85" s="2"/>
      <c r="AOF85" s="2"/>
      <c r="AOG85" s="2"/>
      <c r="AOH85" s="2"/>
      <c r="AOI85" s="2"/>
      <c r="AOJ85" s="2"/>
      <c r="AOK85" s="2"/>
      <c r="AOL85" s="2"/>
      <c r="AOM85" s="2"/>
      <c r="AON85" s="2"/>
      <c r="AOO85" s="2"/>
      <c r="AOP85" s="2"/>
      <c r="AOQ85" s="2"/>
      <c r="AOR85" s="2"/>
      <c r="AOS85" s="2"/>
      <c r="AOT85" s="2"/>
      <c r="AOU85" s="2"/>
      <c r="AOV85" s="2"/>
      <c r="AOW85" s="2"/>
      <c r="AOX85" s="2"/>
      <c r="AOY85" s="2"/>
      <c r="AOZ85" s="2"/>
      <c r="APA85" s="2"/>
      <c r="APB85" s="2"/>
      <c r="APC85" s="2"/>
      <c r="APD85" s="2"/>
      <c r="APE85" s="2"/>
      <c r="APF85" s="2"/>
      <c r="APG85" s="2"/>
      <c r="APH85" s="2"/>
      <c r="API85" s="2"/>
      <c r="APJ85" s="2"/>
      <c r="APK85" s="2"/>
      <c r="APL85" s="2"/>
      <c r="APM85" s="2"/>
      <c r="APN85" s="2"/>
      <c r="APO85" s="2"/>
      <c r="APP85" s="2"/>
      <c r="APQ85" s="2"/>
      <c r="APR85" s="2"/>
      <c r="APS85" s="2"/>
      <c r="APT85" s="2"/>
      <c r="APU85" s="2"/>
      <c r="APV85" s="2"/>
      <c r="APW85" s="2"/>
      <c r="APX85" s="2"/>
      <c r="APY85" s="2"/>
      <c r="APZ85" s="2"/>
      <c r="AQA85" s="2"/>
      <c r="AQB85" s="2"/>
      <c r="AQC85" s="2"/>
      <c r="AQD85" s="2"/>
      <c r="AQE85" s="2"/>
      <c r="AQF85" s="2"/>
      <c r="AQG85" s="2"/>
      <c r="AQH85" s="2"/>
      <c r="AQI85" s="2"/>
      <c r="AQJ85" s="2"/>
      <c r="AQK85" s="2"/>
      <c r="AQL85" s="2"/>
      <c r="AQM85" s="2"/>
      <c r="AQN85" s="2"/>
      <c r="AQO85" s="2"/>
      <c r="AQP85" s="2"/>
      <c r="AQQ85" s="2"/>
      <c r="AQR85" s="2"/>
      <c r="AQS85" s="2"/>
      <c r="AQT85" s="2"/>
      <c r="AQU85" s="2"/>
      <c r="AQV85" s="2"/>
      <c r="AQW85" s="2"/>
      <c r="AQX85" s="2"/>
      <c r="AQY85" s="2"/>
      <c r="AQZ85" s="2"/>
      <c r="ARA85" s="2"/>
      <c r="ARB85" s="2"/>
      <c r="ARC85" s="2"/>
      <c r="ARD85" s="2"/>
      <c r="ARE85" s="2"/>
      <c r="ARF85" s="2"/>
      <c r="ARG85" s="2"/>
      <c r="ARH85" s="2"/>
      <c r="ARI85" s="2"/>
      <c r="ARJ85" s="2"/>
      <c r="ARK85" s="2"/>
      <c r="ARL85" s="2"/>
      <c r="ARM85" s="2"/>
      <c r="ARN85" s="2"/>
      <c r="ARO85" s="2"/>
      <c r="ARP85" s="2"/>
      <c r="ARQ85" s="2"/>
      <c r="ARR85" s="2"/>
      <c r="ARS85" s="2"/>
      <c r="ART85" s="2"/>
      <c r="ARU85" s="2"/>
      <c r="ARV85" s="2"/>
      <c r="ARW85" s="2"/>
      <c r="ARX85" s="2"/>
      <c r="ARY85" s="2"/>
      <c r="ARZ85" s="2"/>
      <c r="ASA85" s="2"/>
      <c r="ASB85" s="2"/>
      <c r="ASC85" s="2"/>
      <c r="ASD85" s="2"/>
      <c r="ASE85" s="2"/>
      <c r="ASF85" s="2"/>
      <c r="ASG85" s="2"/>
      <c r="ASH85" s="2"/>
      <c r="ASI85" s="2"/>
      <c r="ASJ85" s="2"/>
      <c r="ASK85" s="2"/>
      <c r="ASL85" s="2"/>
      <c r="ASM85" s="2"/>
      <c r="ASN85" s="2"/>
      <c r="ASO85" s="2"/>
      <c r="ASP85" s="2"/>
      <c r="ASQ85" s="2"/>
      <c r="ASR85" s="2"/>
      <c r="ASS85" s="2"/>
      <c r="AST85" s="2"/>
      <c r="ASU85" s="2"/>
      <c r="ASV85" s="2"/>
      <c r="ASW85" s="2"/>
      <c r="ASX85" s="2"/>
      <c r="ASY85" s="2"/>
      <c r="ASZ85" s="2"/>
      <c r="ATA85" s="2"/>
      <c r="ATB85" s="2"/>
      <c r="ATC85" s="2"/>
      <c r="ATD85" s="2"/>
      <c r="ATE85" s="2"/>
      <c r="ATF85" s="2"/>
      <c r="ATG85" s="2"/>
      <c r="ATH85" s="2"/>
      <c r="ATI85" s="2"/>
      <c r="ATJ85" s="2"/>
      <c r="ATK85" s="2"/>
      <c r="ATL85" s="2"/>
      <c r="ATM85" s="2"/>
      <c r="ATN85" s="2"/>
      <c r="ATO85" s="2"/>
      <c r="ATP85" s="2"/>
      <c r="ATQ85" s="2"/>
      <c r="ATR85" s="2"/>
      <c r="ATS85" s="2"/>
      <c r="ATT85" s="2"/>
      <c r="ATU85" s="2"/>
      <c r="ATV85" s="2"/>
      <c r="ATW85" s="2"/>
      <c r="ATX85" s="2"/>
      <c r="ATY85" s="2"/>
      <c r="ATZ85" s="2"/>
      <c r="AUA85" s="2"/>
      <c r="AUB85" s="2"/>
      <c r="AUC85" s="2"/>
      <c r="AUD85" s="2"/>
      <c r="AUE85" s="2"/>
      <c r="AUF85" s="2"/>
      <c r="AUG85" s="2"/>
      <c r="AUH85" s="2"/>
      <c r="AUI85" s="2"/>
      <c r="AUJ85" s="2"/>
      <c r="AUK85" s="2"/>
      <c r="AUL85" s="2"/>
      <c r="AUM85" s="2"/>
      <c r="AUN85" s="2"/>
      <c r="AUO85" s="2"/>
      <c r="AUP85" s="2"/>
      <c r="AUQ85" s="2"/>
      <c r="AUR85" s="2"/>
      <c r="AUS85" s="2"/>
      <c r="AUT85" s="2"/>
      <c r="AUU85" s="2"/>
      <c r="AUV85" s="2"/>
      <c r="AUW85" s="2"/>
      <c r="AUX85" s="2"/>
      <c r="AUY85" s="2"/>
      <c r="AUZ85" s="2"/>
      <c r="AVA85" s="2"/>
      <c r="AVB85" s="2"/>
      <c r="AVC85" s="2"/>
      <c r="AVD85" s="2"/>
      <c r="AVE85" s="2"/>
      <c r="AVF85" s="2"/>
      <c r="AVG85" s="2"/>
      <c r="AVH85" s="2"/>
      <c r="AVI85" s="2"/>
      <c r="AVJ85" s="2"/>
      <c r="AVK85" s="2"/>
      <c r="AVL85" s="2"/>
      <c r="AVM85" s="2"/>
      <c r="AVN85" s="2"/>
      <c r="AVO85" s="2"/>
      <c r="AVP85" s="2"/>
      <c r="AVQ85" s="2"/>
      <c r="AVR85" s="2"/>
      <c r="AVS85" s="2"/>
      <c r="AVT85" s="2"/>
      <c r="AVU85" s="2"/>
      <c r="AVV85" s="2"/>
      <c r="AVW85" s="2"/>
      <c r="AVX85" s="2"/>
      <c r="AVY85" s="2"/>
      <c r="AVZ85" s="2"/>
      <c r="AWA85" s="2"/>
      <c r="AWB85" s="2"/>
      <c r="AWC85" s="2"/>
      <c r="AWD85" s="2"/>
      <c r="AWE85" s="2"/>
      <c r="AWF85" s="2"/>
      <c r="AWG85" s="2"/>
      <c r="AWH85" s="2"/>
      <c r="AWI85" s="2"/>
      <c r="AWJ85" s="2"/>
      <c r="AWK85" s="2"/>
      <c r="AWL85" s="2"/>
      <c r="AWM85" s="2"/>
      <c r="AWN85" s="2"/>
      <c r="AWO85" s="2"/>
      <c r="AWP85" s="2"/>
      <c r="AWQ85" s="2"/>
      <c r="AWR85" s="2"/>
      <c r="AWS85" s="2"/>
      <c r="AWT85" s="2"/>
      <c r="AWU85" s="2"/>
      <c r="AWV85" s="2"/>
      <c r="AWW85" s="2"/>
      <c r="AWX85" s="2"/>
      <c r="AWY85" s="2"/>
      <c r="AWZ85" s="2"/>
      <c r="AXA85" s="2"/>
      <c r="AXB85" s="2"/>
      <c r="AXC85" s="2"/>
      <c r="AXD85" s="2"/>
      <c r="AXE85" s="2"/>
      <c r="AXF85" s="2"/>
      <c r="AXG85" s="2"/>
      <c r="AXH85" s="2"/>
      <c r="AXI85" s="2"/>
      <c r="AXJ85" s="2"/>
      <c r="AXK85" s="2"/>
      <c r="AXL85" s="2"/>
      <c r="AXM85" s="2"/>
      <c r="AXN85" s="2"/>
      <c r="AXO85" s="2"/>
      <c r="AXP85" s="2"/>
      <c r="AXQ85" s="2"/>
      <c r="AXR85" s="2"/>
      <c r="AXS85" s="2"/>
      <c r="AXT85" s="2"/>
      <c r="AXU85" s="2"/>
      <c r="AXV85" s="2"/>
      <c r="AXW85" s="2"/>
      <c r="AXX85" s="2"/>
      <c r="AXY85" s="2"/>
      <c r="AXZ85" s="2"/>
      <c r="AYA85" s="2"/>
      <c r="AYB85" s="2"/>
      <c r="AYC85" s="2"/>
      <c r="AYD85" s="2"/>
      <c r="AYE85" s="2"/>
      <c r="AYF85" s="2"/>
      <c r="AYG85" s="2"/>
      <c r="AYH85" s="2"/>
      <c r="AYI85" s="2"/>
      <c r="AYJ85" s="2"/>
      <c r="AYK85" s="2"/>
      <c r="AYL85" s="2"/>
      <c r="AYM85" s="2"/>
      <c r="AYN85" s="2"/>
      <c r="AYO85" s="2"/>
      <c r="AYP85" s="2"/>
      <c r="AYQ85" s="2"/>
      <c r="AYR85" s="2"/>
      <c r="AYS85" s="2"/>
      <c r="AYT85" s="2"/>
      <c r="AYU85" s="2"/>
      <c r="AYV85" s="2"/>
      <c r="AYW85" s="2"/>
      <c r="AYX85" s="2"/>
      <c r="AYY85" s="2"/>
      <c r="AYZ85" s="2"/>
      <c r="AZA85" s="2"/>
      <c r="AZB85" s="2"/>
      <c r="AZC85" s="2"/>
      <c r="AZD85" s="2"/>
      <c r="AZE85" s="2"/>
      <c r="AZF85" s="2"/>
      <c r="AZG85" s="2"/>
      <c r="AZH85" s="2"/>
      <c r="AZI85" s="2"/>
      <c r="AZJ85" s="2"/>
      <c r="AZK85" s="2"/>
      <c r="AZL85" s="2"/>
      <c r="AZM85" s="2"/>
      <c r="AZN85" s="2"/>
      <c r="AZO85" s="2"/>
      <c r="AZP85" s="2"/>
      <c r="AZQ85" s="2"/>
      <c r="AZR85" s="2"/>
      <c r="AZS85" s="2"/>
      <c r="AZT85" s="2"/>
      <c r="AZU85" s="2"/>
      <c r="AZV85" s="2"/>
      <c r="AZW85" s="2"/>
      <c r="AZX85" s="2"/>
      <c r="AZY85" s="2"/>
      <c r="AZZ85" s="2"/>
      <c r="BAA85" s="2"/>
      <c r="BAB85" s="2"/>
      <c r="BAC85" s="2"/>
      <c r="BAD85" s="2"/>
      <c r="BAE85" s="2"/>
      <c r="BAF85" s="2"/>
      <c r="BAG85" s="2"/>
      <c r="BAH85" s="2"/>
      <c r="BAI85" s="2"/>
      <c r="BAJ85" s="2"/>
      <c r="BAK85" s="2"/>
      <c r="BAL85" s="2"/>
      <c r="BAM85" s="2"/>
      <c r="BAN85" s="2"/>
      <c r="BAO85" s="2"/>
      <c r="BAP85" s="2"/>
      <c r="BAQ85" s="2"/>
      <c r="BAR85" s="2"/>
      <c r="BAS85" s="2"/>
      <c r="BAT85" s="2"/>
      <c r="BAU85" s="2"/>
      <c r="BAV85" s="2"/>
      <c r="BAW85" s="2"/>
      <c r="BAX85" s="2"/>
      <c r="BAY85" s="2"/>
      <c r="BAZ85" s="2"/>
      <c r="BBA85" s="2"/>
      <c r="BBB85" s="2"/>
      <c r="BBC85" s="2"/>
      <c r="BBD85" s="2"/>
      <c r="BBE85" s="2"/>
      <c r="BBF85" s="2"/>
      <c r="BBG85" s="2"/>
      <c r="BBH85" s="2"/>
      <c r="BBI85" s="2"/>
      <c r="BBJ85" s="2"/>
      <c r="BBK85" s="2"/>
      <c r="BBL85" s="2"/>
      <c r="BBM85" s="2"/>
      <c r="BBN85" s="2"/>
      <c r="BBO85" s="2"/>
      <c r="BBP85" s="2"/>
      <c r="BBQ85" s="2"/>
      <c r="BBR85" s="2"/>
      <c r="BBS85" s="2"/>
      <c r="BBT85" s="2"/>
      <c r="BBU85" s="2"/>
      <c r="BBV85" s="2"/>
      <c r="BBW85" s="2"/>
      <c r="BBX85" s="2"/>
      <c r="BBY85" s="2"/>
      <c r="BBZ85" s="2"/>
      <c r="BCA85" s="2"/>
      <c r="BCB85" s="2"/>
      <c r="BCC85" s="2"/>
      <c r="BCD85" s="2"/>
      <c r="BCE85" s="2"/>
      <c r="BCF85" s="2"/>
      <c r="BCG85" s="2"/>
      <c r="BCH85" s="2"/>
      <c r="BCI85" s="2"/>
      <c r="BCJ85" s="2"/>
      <c r="BCK85" s="2"/>
      <c r="BCL85" s="2"/>
      <c r="BCM85" s="2"/>
      <c r="BCN85" s="2"/>
      <c r="BCO85" s="2"/>
      <c r="BCP85" s="2"/>
      <c r="BCQ85" s="2"/>
      <c r="BCR85" s="2"/>
      <c r="BCS85" s="2"/>
      <c r="BCT85" s="2"/>
      <c r="BCU85" s="2"/>
      <c r="BCV85" s="2"/>
      <c r="BCW85" s="2"/>
      <c r="BCX85" s="2"/>
      <c r="BCY85" s="2"/>
      <c r="BCZ85" s="2"/>
      <c r="BDA85" s="2"/>
      <c r="BDB85" s="2"/>
      <c r="BDC85" s="2"/>
      <c r="BDD85" s="2"/>
      <c r="BDE85" s="2"/>
      <c r="BDF85" s="2"/>
      <c r="BDG85" s="2"/>
      <c r="BDH85" s="2"/>
      <c r="BDI85" s="2"/>
      <c r="BDJ85" s="2"/>
      <c r="BDK85" s="2"/>
      <c r="BDL85" s="2"/>
      <c r="BDM85" s="2"/>
      <c r="BDN85" s="2"/>
      <c r="BDO85" s="2"/>
      <c r="BDP85" s="2"/>
      <c r="BDQ85" s="2"/>
      <c r="BDR85" s="2"/>
      <c r="BDS85" s="2"/>
      <c r="BDT85" s="2"/>
      <c r="BDU85" s="2"/>
      <c r="BDV85" s="2"/>
      <c r="BDW85" s="2"/>
      <c r="BDX85" s="2"/>
      <c r="BDY85" s="2"/>
      <c r="BDZ85" s="2"/>
      <c r="BEA85" s="2"/>
      <c r="BEB85" s="2"/>
      <c r="BEC85" s="2"/>
      <c r="BED85" s="2"/>
      <c r="BEE85" s="2"/>
      <c r="BEF85" s="2"/>
      <c r="BEG85" s="2"/>
      <c r="BEH85" s="2"/>
      <c r="BEI85" s="2"/>
      <c r="BEJ85" s="2"/>
      <c r="BEK85" s="2"/>
      <c r="BEL85" s="2"/>
      <c r="BEM85" s="2"/>
      <c r="BEN85" s="2"/>
      <c r="BEO85" s="2"/>
      <c r="BEP85" s="2"/>
      <c r="BEQ85" s="2"/>
      <c r="BER85" s="2"/>
      <c r="BES85" s="2"/>
      <c r="BET85" s="2"/>
      <c r="BEU85" s="2"/>
      <c r="BEV85" s="2"/>
      <c r="BEW85" s="2"/>
      <c r="BEX85" s="2"/>
      <c r="BEY85" s="2"/>
      <c r="BEZ85" s="2"/>
      <c r="BFA85" s="2"/>
      <c r="BFB85" s="2"/>
      <c r="BFC85" s="2"/>
      <c r="BFD85" s="2"/>
      <c r="BFE85" s="2"/>
      <c r="BFF85" s="2"/>
      <c r="BFG85" s="2"/>
      <c r="BFH85" s="2"/>
      <c r="BFI85" s="2"/>
      <c r="BFJ85" s="2"/>
      <c r="BFK85" s="2"/>
      <c r="BFL85" s="2"/>
      <c r="BFM85" s="2"/>
      <c r="BFN85" s="2"/>
      <c r="BFO85" s="2"/>
      <c r="BFP85" s="2"/>
      <c r="BFQ85" s="2"/>
      <c r="BFR85" s="2"/>
      <c r="BFS85" s="2"/>
      <c r="BFT85" s="2"/>
      <c r="BFU85" s="2"/>
      <c r="BFV85" s="2"/>
      <c r="BFW85" s="2"/>
      <c r="BFX85" s="2"/>
      <c r="BFY85" s="2"/>
      <c r="BFZ85" s="2"/>
      <c r="BGA85" s="2"/>
      <c r="BGB85" s="2"/>
      <c r="BGC85" s="2"/>
      <c r="BGD85" s="2"/>
      <c r="BGE85" s="2"/>
      <c r="BGF85" s="2"/>
      <c r="BGG85" s="2"/>
      <c r="BGH85" s="2"/>
      <c r="BGI85" s="2"/>
      <c r="BGJ85" s="2"/>
      <c r="BGK85" s="2"/>
      <c r="BGL85" s="2"/>
      <c r="BGM85" s="2"/>
      <c r="BGN85" s="2"/>
      <c r="BGO85" s="2"/>
      <c r="BGP85" s="2"/>
      <c r="BGQ85" s="2"/>
      <c r="BGR85" s="2"/>
      <c r="BGS85" s="2"/>
      <c r="BGT85" s="2"/>
      <c r="BGU85" s="2"/>
      <c r="BGV85" s="2"/>
      <c r="BGW85" s="2"/>
      <c r="BGX85" s="2"/>
      <c r="BGY85" s="2"/>
      <c r="BGZ85" s="2"/>
      <c r="BHA85" s="2"/>
      <c r="BHB85" s="2"/>
      <c r="BHC85" s="2"/>
      <c r="BHD85" s="2"/>
      <c r="BHE85" s="2"/>
      <c r="BHF85" s="2"/>
      <c r="BHG85" s="2"/>
      <c r="BHH85" s="2"/>
      <c r="BHI85" s="2"/>
      <c r="BHJ85" s="2"/>
      <c r="BHK85" s="2"/>
      <c r="BHL85" s="2"/>
      <c r="BHM85" s="2"/>
      <c r="BHN85" s="2"/>
      <c r="BHO85" s="2"/>
      <c r="BHP85" s="2"/>
      <c r="BHQ85" s="2"/>
      <c r="BHR85" s="2"/>
      <c r="BHS85" s="2"/>
      <c r="BHT85" s="2"/>
      <c r="BHU85" s="2"/>
      <c r="BHV85" s="2"/>
      <c r="BHW85" s="2"/>
      <c r="BHX85" s="2"/>
      <c r="BHY85" s="2"/>
      <c r="BHZ85" s="2"/>
      <c r="BIA85" s="2"/>
      <c r="BIB85" s="2"/>
      <c r="BIC85" s="2"/>
      <c r="BID85" s="2"/>
      <c r="BIE85" s="2"/>
      <c r="BIF85" s="2"/>
      <c r="BIG85" s="2"/>
      <c r="BIH85" s="2"/>
      <c r="BII85" s="2"/>
      <c r="BIJ85" s="2"/>
      <c r="BIK85" s="2"/>
      <c r="BIL85" s="2"/>
      <c r="BIM85" s="2"/>
      <c r="BIN85" s="2"/>
      <c r="BIO85" s="2"/>
      <c r="BIP85" s="2"/>
      <c r="BIQ85" s="2"/>
      <c r="BIR85" s="2"/>
      <c r="BIS85" s="2"/>
      <c r="BIT85" s="2"/>
      <c r="BIU85" s="2"/>
      <c r="BIV85" s="2"/>
      <c r="BIW85" s="2"/>
      <c r="BIX85" s="2"/>
      <c r="BIY85" s="2"/>
      <c r="BIZ85" s="2"/>
      <c r="BJA85" s="2"/>
      <c r="BJB85" s="2"/>
      <c r="BJC85" s="2"/>
      <c r="BJD85" s="2"/>
      <c r="BJE85" s="2"/>
      <c r="BJF85" s="2"/>
      <c r="BJG85" s="2"/>
      <c r="BJH85" s="2"/>
      <c r="BJI85" s="2"/>
      <c r="BJJ85" s="2"/>
      <c r="BJK85" s="2"/>
      <c r="BJL85" s="2"/>
      <c r="BJM85" s="2"/>
      <c r="BJN85" s="2"/>
      <c r="BJO85" s="2"/>
      <c r="BJP85" s="2"/>
      <c r="BJQ85" s="2"/>
      <c r="BJR85" s="2"/>
      <c r="BJS85" s="2"/>
      <c r="BJT85" s="2"/>
      <c r="BJU85" s="2"/>
      <c r="BJV85" s="2"/>
      <c r="BJW85" s="2"/>
      <c r="BJX85" s="2"/>
      <c r="BJY85" s="2"/>
      <c r="BJZ85" s="2"/>
      <c r="BKA85" s="2"/>
      <c r="BKB85" s="2"/>
      <c r="BKC85" s="2"/>
      <c r="BKD85" s="2"/>
      <c r="BKE85" s="2"/>
      <c r="BKF85" s="2"/>
      <c r="BKG85" s="2"/>
      <c r="BKH85" s="2"/>
      <c r="BKI85" s="2"/>
      <c r="BKJ85" s="2"/>
      <c r="BKK85" s="2"/>
      <c r="BKL85" s="2"/>
      <c r="BKM85" s="2"/>
      <c r="BKN85" s="2"/>
      <c r="BKO85" s="2"/>
      <c r="BKP85" s="2"/>
      <c r="BKQ85" s="2"/>
      <c r="BKR85" s="2"/>
      <c r="BKS85" s="2"/>
      <c r="BKT85" s="2"/>
      <c r="BKU85" s="2"/>
      <c r="BKV85" s="2"/>
      <c r="BKW85" s="2"/>
      <c r="BKX85" s="2"/>
      <c r="BKY85" s="2"/>
      <c r="BKZ85" s="2"/>
      <c r="BLA85" s="2"/>
      <c r="BLB85" s="2"/>
      <c r="BLC85" s="2"/>
      <c r="BLD85" s="2"/>
      <c r="BLE85" s="2"/>
      <c r="BLF85" s="2"/>
      <c r="BLG85" s="2"/>
      <c r="BLH85" s="2"/>
      <c r="BLI85" s="2"/>
      <c r="BLJ85" s="2"/>
      <c r="BLK85" s="2"/>
      <c r="BLL85" s="2"/>
      <c r="BLM85" s="2"/>
      <c r="BLN85" s="2"/>
      <c r="BLO85" s="2"/>
      <c r="BLP85" s="2"/>
      <c r="BLQ85" s="2"/>
      <c r="BLR85" s="2"/>
      <c r="BLS85" s="2"/>
      <c r="BLT85" s="2"/>
      <c r="BLU85" s="2"/>
      <c r="BLV85" s="2"/>
      <c r="BLW85" s="2"/>
      <c r="BLX85" s="2"/>
      <c r="BLY85" s="2"/>
      <c r="BLZ85" s="2"/>
      <c r="BMA85" s="2"/>
      <c r="BMB85" s="2"/>
      <c r="BMC85" s="2"/>
      <c r="BMD85" s="2"/>
      <c r="BME85" s="2"/>
      <c r="BMF85" s="2"/>
      <c r="BMG85" s="2"/>
      <c r="BMH85" s="2"/>
      <c r="BMI85" s="2"/>
      <c r="BMJ85" s="2"/>
      <c r="BMK85" s="2"/>
      <c r="BML85" s="2"/>
      <c r="BMM85" s="2"/>
      <c r="BMN85" s="2"/>
      <c r="BMO85" s="2"/>
      <c r="BMP85" s="2"/>
      <c r="BMQ85" s="2"/>
      <c r="BMR85" s="2"/>
      <c r="BMS85" s="2"/>
      <c r="BMT85" s="2"/>
      <c r="BMU85" s="2"/>
      <c r="BMV85" s="2"/>
      <c r="BMW85" s="2"/>
      <c r="BMX85" s="2"/>
      <c r="BMY85" s="2"/>
      <c r="BMZ85" s="2"/>
      <c r="BNA85" s="2"/>
      <c r="BNB85" s="2"/>
      <c r="BNC85" s="2"/>
      <c r="BND85" s="2"/>
      <c r="BNE85" s="2"/>
      <c r="BNF85" s="2"/>
      <c r="BNG85" s="2"/>
      <c r="BNH85" s="2"/>
      <c r="BNI85" s="2"/>
      <c r="BNJ85" s="2"/>
      <c r="BNK85" s="2"/>
      <c r="BNL85" s="2"/>
      <c r="BNM85" s="2"/>
      <c r="BNN85" s="2"/>
      <c r="BNO85" s="2"/>
      <c r="BNP85" s="2"/>
      <c r="BNQ85" s="2"/>
      <c r="BNR85" s="2"/>
      <c r="BNS85" s="2"/>
      <c r="BNT85" s="2"/>
      <c r="BNU85" s="2"/>
      <c r="BNV85" s="2"/>
      <c r="BNW85" s="2"/>
      <c r="BNX85" s="2"/>
      <c r="BNY85" s="2"/>
      <c r="BNZ85" s="2"/>
      <c r="BOA85" s="2"/>
      <c r="BOB85" s="2"/>
      <c r="BOC85" s="2"/>
      <c r="BOD85" s="2"/>
      <c r="BOE85" s="2"/>
      <c r="BOF85" s="2"/>
      <c r="BOG85" s="2"/>
      <c r="BOH85" s="2"/>
      <c r="BOI85" s="2"/>
      <c r="BOJ85" s="2"/>
      <c r="BOK85" s="2"/>
      <c r="BOL85" s="2"/>
      <c r="BOM85" s="2"/>
      <c r="BON85" s="2"/>
      <c r="BOO85" s="2"/>
      <c r="BOP85" s="2"/>
      <c r="BOQ85" s="2"/>
      <c r="BOR85" s="2"/>
      <c r="BOS85" s="2"/>
      <c r="BOT85" s="2"/>
      <c r="BOU85" s="2"/>
      <c r="BOV85" s="2"/>
      <c r="BOW85" s="2"/>
      <c r="BOX85" s="2"/>
      <c r="BOY85" s="2"/>
      <c r="BOZ85" s="2"/>
      <c r="BPA85" s="2"/>
      <c r="BPB85" s="2"/>
      <c r="BPC85" s="2"/>
      <c r="BPD85" s="2"/>
      <c r="BPE85" s="2"/>
      <c r="BPF85" s="2"/>
      <c r="BPG85" s="2"/>
      <c r="BPH85" s="2"/>
      <c r="BPI85" s="2"/>
      <c r="BPJ85" s="2"/>
      <c r="BPK85" s="2"/>
      <c r="BPL85" s="2"/>
      <c r="BPM85" s="2"/>
      <c r="BPN85" s="2"/>
      <c r="BPO85" s="2"/>
      <c r="BPP85" s="2"/>
      <c r="BPQ85" s="2"/>
      <c r="BPR85" s="2"/>
      <c r="BPS85" s="2"/>
      <c r="BPT85" s="2"/>
      <c r="BPU85" s="2"/>
      <c r="BPV85" s="2"/>
      <c r="BPW85" s="2"/>
      <c r="BPX85" s="2"/>
      <c r="BPY85" s="2"/>
      <c r="BPZ85" s="2"/>
      <c r="BQA85" s="2"/>
      <c r="BQB85" s="2"/>
      <c r="BQC85" s="2"/>
      <c r="BQD85" s="2"/>
      <c r="BQE85" s="2"/>
      <c r="BQF85" s="2"/>
      <c r="BQG85" s="2"/>
      <c r="BQH85" s="2"/>
      <c r="BQI85" s="2"/>
      <c r="BQJ85" s="2"/>
      <c r="BQK85" s="2"/>
      <c r="BQL85" s="2"/>
      <c r="BQM85" s="2"/>
      <c r="BQN85" s="2"/>
      <c r="BQO85" s="2"/>
      <c r="BQP85" s="2"/>
      <c r="BQQ85" s="2"/>
      <c r="BQR85" s="2"/>
      <c r="BQS85" s="2"/>
      <c r="BQT85" s="2"/>
      <c r="BQU85" s="2"/>
      <c r="BQV85" s="2"/>
      <c r="BQW85" s="2"/>
      <c r="BQX85" s="2"/>
      <c r="BQY85" s="2"/>
      <c r="BQZ85" s="2"/>
      <c r="BRA85" s="2"/>
      <c r="BRB85" s="2"/>
      <c r="BRC85" s="2"/>
      <c r="BRD85" s="2"/>
      <c r="BRE85" s="2"/>
      <c r="BRF85" s="2"/>
      <c r="BRG85" s="2"/>
      <c r="BRH85" s="2"/>
      <c r="BRI85" s="2"/>
      <c r="BRJ85" s="2"/>
      <c r="BRK85" s="2"/>
      <c r="BRL85" s="2"/>
      <c r="BRM85" s="2"/>
      <c r="BRN85" s="2"/>
      <c r="BRO85" s="2"/>
      <c r="BRP85" s="2"/>
      <c r="BRQ85" s="2"/>
      <c r="BRR85" s="2"/>
      <c r="BRS85" s="2"/>
      <c r="BRT85" s="2"/>
      <c r="BRU85" s="2"/>
      <c r="BRV85" s="2"/>
      <c r="BRW85" s="2"/>
      <c r="BRX85" s="2"/>
      <c r="BRY85" s="2"/>
      <c r="BRZ85" s="2"/>
      <c r="BSA85" s="2"/>
      <c r="BSB85" s="2"/>
      <c r="BSC85" s="2"/>
      <c r="BSD85" s="2"/>
      <c r="BSE85" s="2"/>
      <c r="BSF85" s="2"/>
      <c r="BSG85" s="2"/>
      <c r="BSH85" s="2"/>
      <c r="BSI85" s="2"/>
      <c r="BSJ85" s="2"/>
      <c r="BSK85" s="2"/>
      <c r="BSL85" s="2"/>
      <c r="BSM85" s="2"/>
      <c r="BSN85" s="2"/>
      <c r="BSO85" s="2"/>
      <c r="BSP85" s="2"/>
      <c r="BSQ85" s="2"/>
      <c r="BSR85" s="2"/>
      <c r="BSS85" s="2"/>
      <c r="BST85" s="2"/>
      <c r="BSU85" s="2"/>
      <c r="BSV85" s="2"/>
      <c r="BSW85" s="2"/>
      <c r="BSX85" s="2"/>
      <c r="BSY85" s="2"/>
      <c r="BSZ85" s="2"/>
      <c r="BTA85" s="2"/>
      <c r="BTB85" s="2"/>
      <c r="BTC85" s="2"/>
      <c r="BTD85" s="2"/>
      <c r="BTE85" s="2"/>
      <c r="BTF85" s="2"/>
      <c r="BTG85" s="2"/>
      <c r="BTH85" s="2"/>
      <c r="BTI85" s="2"/>
      <c r="BTJ85" s="2"/>
      <c r="BTK85" s="2"/>
      <c r="BTL85" s="2"/>
      <c r="BTM85" s="2"/>
      <c r="BTN85" s="2"/>
      <c r="BTO85" s="2"/>
      <c r="BTP85" s="2"/>
      <c r="BTQ85" s="2"/>
      <c r="BTR85" s="2"/>
      <c r="BTS85" s="2"/>
      <c r="BTT85" s="2"/>
      <c r="BTU85" s="2"/>
      <c r="BTV85" s="2"/>
      <c r="BTW85" s="2"/>
      <c r="BTX85" s="2"/>
      <c r="BTY85" s="2"/>
      <c r="BTZ85" s="2"/>
      <c r="BUA85" s="2"/>
      <c r="BUB85" s="2"/>
      <c r="BUC85" s="2"/>
      <c r="BUD85" s="2"/>
      <c r="BUE85" s="2"/>
      <c r="BUF85" s="2"/>
      <c r="BUG85" s="2"/>
      <c r="BUH85" s="2"/>
      <c r="BUI85" s="2"/>
      <c r="BUJ85" s="2"/>
      <c r="BUK85" s="2"/>
      <c r="BUL85" s="2"/>
      <c r="BUM85" s="2"/>
      <c r="BUN85" s="2"/>
      <c r="BUO85" s="2"/>
      <c r="BUP85" s="2"/>
      <c r="BUQ85" s="2"/>
      <c r="BUR85" s="2"/>
      <c r="BUS85" s="2"/>
      <c r="BUT85" s="2"/>
      <c r="BUU85" s="2"/>
      <c r="BUV85" s="2"/>
      <c r="BUW85" s="2"/>
      <c r="BUX85" s="2"/>
      <c r="BUY85" s="2"/>
      <c r="BUZ85" s="2"/>
      <c r="BVA85" s="2"/>
      <c r="BVB85" s="2"/>
      <c r="BVC85" s="2"/>
      <c r="BVD85" s="2"/>
      <c r="BVE85" s="2"/>
      <c r="BVF85" s="2"/>
      <c r="BVG85" s="2"/>
      <c r="BVH85" s="2"/>
      <c r="BVI85" s="2"/>
      <c r="BVJ85" s="2"/>
      <c r="BVK85" s="2"/>
      <c r="BVL85" s="2"/>
      <c r="BVM85" s="2"/>
      <c r="BVN85" s="2"/>
      <c r="BVO85" s="2"/>
      <c r="BVP85" s="2"/>
      <c r="BVQ85" s="2"/>
      <c r="BVR85" s="2"/>
      <c r="BVS85" s="2"/>
      <c r="BVT85" s="2"/>
      <c r="BVU85" s="2"/>
      <c r="BVV85" s="2"/>
      <c r="BVW85" s="2"/>
      <c r="BVX85" s="2"/>
      <c r="BVY85" s="2"/>
      <c r="BVZ85" s="2"/>
      <c r="BWA85" s="2"/>
      <c r="BWB85" s="2"/>
      <c r="BWC85" s="2"/>
      <c r="BWD85" s="2"/>
      <c r="BWE85" s="2"/>
      <c r="BWF85" s="2"/>
      <c r="BWG85" s="2"/>
      <c r="BWH85" s="2"/>
      <c r="BWI85" s="2"/>
      <c r="BWJ85" s="2"/>
      <c r="BWK85" s="2"/>
      <c r="BWL85" s="2"/>
      <c r="BWM85" s="2"/>
      <c r="BWN85" s="2"/>
      <c r="BWO85" s="2"/>
      <c r="BWP85" s="2"/>
      <c r="BWQ85" s="2"/>
      <c r="BWR85" s="2"/>
      <c r="BWS85" s="2"/>
      <c r="BWT85" s="2"/>
      <c r="BWU85" s="2"/>
      <c r="BWV85" s="2"/>
      <c r="BWW85" s="2"/>
      <c r="BWX85" s="2"/>
      <c r="BWY85" s="2"/>
      <c r="BWZ85" s="2"/>
      <c r="BXA85" s="2"/>
      <c r="BXB85" s="2"/>
      <c r="BXC85" s="2"/>
      <c r="BXD85" s="2"/>
      <c r="BXE85" s="2"/>
      <c r="BXF85" s="2"/>
      <c r="BXG85" s="2"/>
      <c r="BXH85" s="2"/>
      <c r="BXI85" s="2"/>
      <c r="BXJ85" s="2"/>
      <c r="BXK85" s="2"/>
      <c r="BXL85" s="2"/>
      <c r="BXM85" s="2"/>
      <c r="BXN85" s="2"/>
      <c r="BXO85" s="2"/>
      <c r="BXP85" s="2"/>
      <c r="BXQ85" s="2"/>
      <c r="BXR85" s="2"/>
      <c r="BXS85" s="2"/>
      <c r="BXT85" s="2"/>
      <c r="BXU85" s="2"/>
      <c r="BXV85" s="2"/>
      <c r="BXW85" s="2"/>
      <c r="BXX85" s="2"/>
      <c r="BXY85" s="2"/>
      <c r="BXZ85" s="2"/>
      <c r="BYA85" s="2"/>
      <c r="BYB85" s="2"/>
      <c r="BYC85" s="2"/>
      <c r="BYD85" s="2"/>
      <c r="BYE85" s="2"/>
      <c r="BYF85" s="2"/>
      <c r="BYG85" s="2"/>
      <c r="BYH85" s="2"/>
      <c r="BYI85" s="2"/>
      <c r="BYJ85" s="2"/>
      <c r="BYK85" s="2"/>
      <c r="BYL85" s="2"/>
      <c r="BYM85" s="2"/>
      <c r="BYN85" s="2"/>
      <c r="BYO85" s="2"/>
      <c r="BYP85" s="2"/>
      <c r="BYQ85" s="2"/>
      <c r="BYR85" s="2"/>
      <c r="BYS85" s="2"/>
      <c r="BYT85" s="2"/>
      <c r="BYU85" s="2"/>
      <c r="BYV85" s="2"/>
      <c r="BYW85" s="2"/>
      <c r="BYX85" s="2"/>
      <c r="BYY85" s="2"/>
      <c r="BYZ85" s="2"/>
      <c r="BZA85" s="2"/>
      <c r="BZB85" s="2"/>
      <c r="BZC85" s="2"/>
      <c r="BZD85" s="2"/>
      <c r="BZE85" s="2"/>
      <c r="BZF85" s="2"/>
      <c r="BZG85" s="2"/>
      <c r="BZH85" s="2"/>
      <c r="BZI85" s="2"/>
      <c r="BZJ85" s="2"/>
      <c r="BZK85" s="2"/>
      <c r="BZL85" s="2"/>
      <c r="BZM85" s="2"/>
      <c r="BZN85" s="2"/>
      <c r="BZO85" s="2"/>
      <c r="BZP85" s="2"/>
      <c r="BZQ85" s="2"/>
      <c r="BZR85" s="2"/>
      <c r="BZS85" s="2"/>
      <c r="BZT85" s="2"/>
      <c r="BZU85" s="2"/>
      <c r="BZV85" s="2"/>
      <c r="BZW85" s="2"/>
      <c r="BZX85" s="2"/>
      <c r="BZY85" s="2"/>
      <c r="BZZ85" s="2"/>
      <c r="CAA85" s="2"/>
      <c r="CAB85" s="2"/>
      <c r="CAC85" s="2"/>
      <c r="CAD85" s="2"/>
      <c r="CAE85" s="2"/>
      <c r="CAF85" s="2"/>
      <c r="CAG85" s="2"/>
      <c r="CAH85" s="2"/>
      <c r="CAI85" s="2"/>
      <c r="CAJ85" s="2"/>
      <c r="CAK85" s="2"/>
      <c r="CAL85" s="2"/>
      <c r="CAM85" s="2"/>
      <c r="CAN85" s="2"/>
      <c r="CAO85" s="2"/>
      <c r="CAP85" s="2"/>
      <c r="CAQ85" s="2"/>
      <c r="CAR85" s="2"/>
      <c r="CAS85" s="2"/>
      <c r="CAT85" s="2"/>
      <c r="CAU85" s="2"/>
      <c r="CAV85" s="2"/>
      <c r="CAW85" s="2"/>
      <c r="CAX85" s="2"/>
      <c r="CAY85" s="2"/>
      <c r="CAZ85" s="2"/>
      <c r="CBA85" s="2"/>
      <c r="CBB85" s="2"/>
      <c r="CBC85" s="2"/>
      <c r="CBD85" s="2"/>
      <c r="CBE85" s="2"/>
      <c r="CBF85" s="2"/>
      <c r="CBG85" s="2"/>
      <c r="CBH85" s="2"/>
      <c r="CBI85" s="2"/>
      <c r="CBJ85" s="2"/>
      <c r="CBK85" s="2"/>
      <c r="CBL85" s="2"/>
      <c r="CBM85" s="2"/>
      <c r="CBN85" s="2"/>
      <c r="CBO85" s="2"/>
      <c r="CBP85" s="2"/>
      <c r="CBQ85" s="2"/>
      <c r="CBR85" s="2"/>
      <c r="CBS85" s="2"/>
      <c r="CBT85" s="2"/>
      <c r="CBU85" s="2"/>
      <c r="CBV85" s="2"/>
      <c r="CBW85" s="2"/>
      <c r="CBX85" s="2"/>
      <c r="CBY85" s="2"/>
      <c r="CBZ85" s="2"/>
      <c r="CCA85" s="2"/>
      <c r="CCB85" s="2"/>
      <c r="CCC85" s="2"/>
      <c r="CCD85" s="2"/>
      <c r="CCE85" s="2"/>
      <c r="CCF85" s="2"/>
      <c r="CCG85" s="2"/>
      <c r="CCH85" s="2"/>
      <c r="CCI85" s="2"/>
      <c r="CCJ85" s="2"/>
      <c r="CCK85" s="2"/>
      <c r="CCL85" s="2"/>
      <c r="CCM85" s="2"/>
      <c r="CCN85" s="2"/>
      <c r="CCO85" s="2"/>
      <c r="CCP85" s="2"/>
      <c r="CCQ85" s="2"/>
      <c r="CCR85" s="2"/>
      <c r="CCS85" s="2"/>
      <c r="CCT85" s="2"/>
      <c r="CCU85" s="2"/>
      <c r="CCV85" s="2"/>
      <c r="CCW85" s="2"/>
      <c r="CCX85" s="2"/>
      <c r="CCY85" s="2"/>
      <c r="CCZ85" s="2"/>
      <c r="CDA85" s="2"/>
      <c r="CDB85" s="2"/>
      <c r="CDC85" s="2"/>
      <c r="CDD85" s="2"/>
      <c r="CDE85" s="2"/>
      <c r="CDF85" s="2"/>
      <c r="CDG85" s="2"/>
      <c r="CDH85" s="2"/>
      <c r="CDI85" s="2"/>
      <c r="CDJ85" s="2"/>
      <c r="CDK85" s="2"/>
      <c r="CDL85" s="2"/>
      <c r="CDM85" s="2"/>
      <c r="CDN85" s="2"/>
      <c r="CDO85" s="2"/>
      <c r="CDP85" s="2"/>
      <c r="CDQ85" s="2"/>
      <c r="CDR85" s="2"/>
      <c r="CDS85" s="2"/>
      <c r="CDT85" s="2"/>
      <c r="CDU85" s="2"/>
      <c r="CDV85" s="2"/>
      <c r="CDW85" s="2"/>
      <c r="CDX85" s="2"/>
      <c r="CDY85" s="2"/>
      <c r="CDZ85" s="2"/>
      <c r="CEA85" s="2"/>
      <c r="CEB85" s="2"/>
      <c r="CEC85" s="2"/>
      <c r="CED85" s="2"/>
      <c r="CEE85" s="2"/>
      <c r="CEF85" s="2"/>
      <c r="CEG85" s="2"/>
      <c r="CEH85" s="2"/>
      <c r="CEI85" s="2"/>
      <c r="CEJ85" s="2"/>
      <c r="CEK85" s="2"/>
      <c r="CEL85" s="2"/>
      <c r="CEM85" s="2"/>
      <c r="CEN85" s="2"/>
      <c r="CEO85" s="2"/>
      <c r="CEP85" s="2"/>
      <c r="CEQ85" s="2"/>
      <c r="CER85" s="2"/>
      <c r="CES85" s="2"/>
      <c r="CET85" s="2"/>
      <c r="CEU85" s="2"/>
      <c r="CEV85" s="2"/>
      <c r="CEW85" s="2"/>
      <c r="CEX85" s="2"/>
      <c r="CEY85" s="2"/>
      <c r="CEZ85" s="2"/>
      <c r="CFA85" s="2"/>
      <c r="CFB85" s="2"/>
      <c r="CFC85" s="2"/>
      <c r="CFD85" s="2"/>
      <c r="CFE85" s="2"/>
      <c r="CFF85" s="2"/>
      <c r="CFG85" s="2"/>
      <c r="CFH85" s="2"/>
      <c r="CFI85" s="2"/>
      <c r="CFJ85" s="2"/>
      <c r="CFK85" s="2"/>
      <c r="CFL85" s="2"/>
      <c r="CFM85" s="2"/>
      <c r="CFN85" s="2"/>
      <c r="CFO85" s="2"/>
      <c r="CFP85" s="2"/>
      <c r="CFQ85" s="2"/>
      <c r="CFR85" s="2"/>
      <c r="CFS85" s="2"/>
      <c r="CFT85" s="2"/>
      <c r="CFU85" s="2"/>
      <c r="CFV85" s="2"/>
      <c r="CFW85" s="2"/>
      <c r="CFX85" s="2"/>
      <c r="CFY85" s="2"/>
      <c r="CFZ85" s="2"/>
      <c r="CGA85" s="2"/>
      <c r="CGB85" s="2"/>
      <c r="CGC85" s="2"/>
      <c r="CGD85" s="2"/>
      <c r="CGE85" s="2"/>
      <c r="CGF85" s="2"/>
      <c r="CGG85" s="2"/>
      <c r="CGH85" s="2"/>
      <c r="CGI85" s="2"/>
      <c r="CGJ85" s="2"/>
      <c r="CGK85" s="2"/>
      <c r="CGL85" s="2"/>
      <c r="CGM85" s="2"/>
      <c r="CGN85" s="2"/>
      <c r="CGO85" s="2"/>
      <c r="CGP85" s="2"/>
      <c r="CGQ85" s="2"/>
      <c r="CGR85" s="2"/>
      <c r="CGS85" s="2"/>
      <c r="CGT85" s="2"/>
      <c r="CGU85" s="2"/>
      <c r="CGV85" s="2"/>
      <c r="CGW85" s="2"/>
      <c r="CGX85" s="2"/>
      <c r="CGY85" s="2"/>
      <c r="CGZ85" s="2"/>
      <c r="CHA85" s="2"/>
      <c r="CHB85" s="2"/>
      <c r="CHC85" s="2"/>
      <c r="CHD85" s="2"/>
      <c r="CHE85" s="2"/>
      <c r="CHF85" s="2"/>
      <c r="CHG85" s="2"/>
      <c r="CHH85" s="2"/>
      <c r="CHI85" s="2"/>
      <c r="CHJ85" s="2"/>
      <c r="CHK85" s="2"/>
      <c r="CHL85" s="2"/>
      <c r="CHM85" s="2"/>
      <c r="CHN85" s="2"/>
      <c r="CHO85" s="2"/>
      <c r="CHP85" s="2"/>
      <c r="CHQ85" s="2"/>
      <c r="CHR85" s="2"/>
      <c r="CHS85" s="2"/>
      <c r="CHT85" s="2"/>
      <c r="CHU85" s="2"/>
      <c r="CHV85" s="2"/>
      <c r="CHW85" s="2"/>
      <c r="CHX85" s="2"/>
      <c r="CHY85" s="2"/>
      <c r="CHZ85" s="2"/>
      <c r="CIA85" s="2"/>
      <c r="CIB85" s="2"/>
      <c r="CIC85" s="2"/>
      <c r="CID85" s="2"/>
      <c r="CIE85" s="2"/>
      <c r="CIF85" s="2"/>
      <c r="CIG85" s="2"/>
      <c r="CIH85" s="2"/>
      <c r="CII85" s="2"/>
      <c r="CIJ85" s="2"/>
      <c r="CIK85" s="2"/>
      <c r="CIL85" s="2"/>
      <c r="CIM85" s="2"/>
      <c r="CIN85" s="2"/>
      <c r="CIO85" s="2"/>
      <c r="CIP85" s="2"/>
      <c r="CIQ85" s="2"/>
      <c r="CIR85" s="2"/>
      <c r="CIS85" s="2"/>
      <c r="CIT85" s="2"/>
      <c r="CIU85" s="2"/>
      <c r="CIV85" s="2"/>
      <c r="CIW85" s="2"/>
      <c r="CIX85" s="2"/>
      <c r="CIY85" s="2"/>
      <c r="CIZ85" s="2"/>
      <c r="CJA85" s="2"/>
      <c r="CJB85" s="2"/>
      <c r="CJC85" s="2"/>
      <c r="CJD85" s="2"/>
      <c r="CJE85" s="2"/>
      <c r="CJF85" s="2"/>
      <c r="CJG85" s="2"/>
      <c r="CJH85" s="2"/>
      <c r="CJI85" s="2"/>
      <c r="CJJ85" s="2"/>
      <c r="CJK85" s="2"/>
      <c r="CJL85" s="2"/>
      <c r="CJM85" s="2"/>
      <c r="CJN85" s="2"/>
      <c r="CJO85" s="2"/>
      <c r="CJP85" s="2"/>
      <c r="CJQ85" s="2"/>
      <c r="CJR85" s="2"/>
      <c r="CJS85" s="2"/>
      <c r="CJT85" s="2"/>
      <c r="CJU85" s="2"/>
      <c r="CJV85" s="2"/>
      <c r="CJW85" s="2"/>
      <c r="CJX85" s="2"/>
      <c r="CJY85" s="2"/>
      <c r="CJZ85" s="2"/>
      <c r="CKA85" s="2"/>
      <c r="CKB85" s="2"/>
      <c r="CKC85" s="2"/>
      <c r="CKD85" s="2"/>
      <c r="CKE85" s="2"/>
      <c r="CKF85" s="2"/>
      <c r="CKG85" s="2"/>
      <c r="CKH85" s="2"/>
      <c r="CKI85" s="2"/>
      <c r="CKJ85" s="2"/>
      <c r="CKK85" s="2"/>
      <c r="CKL85" s="2"/>
      <c r="CKM85" s="2"/>
      <c r="CKN85" s="2"/>
      <c r="CKO85" s="2"/>
      <c r="CKP85" s="2"/>
      <c r="CKQ85" s="2"/>
      <c r="CKR85" s="2"/>
      <c r="CKS85" s="2"/>
      <c r="CKT85" s="2"/>
      <c r="CKU85" s="2"/>
      <c r="CKV85" s="2"/>
      <c r="CKW85" s="2"/>
      <c r="CKX85" s="2"/>
      <c r="CKY85" s="2"/>
      <c r="CKZ85" s="2"/>
      <c r="CLA85" s="2"/>
      <c r="CLB85" s="2"/>
      <c r="CLC85" s="2"/>
      <c r="CLD85" s="2"/>
      <c r="CLE85" s="2"/>
      <c r="CLF85" s="2"/>
      <c r="CLG85" s="2"/>
      <c r="CLH85" s="2"/>
      <c r="CLI85" s="2"/>
      <c r="CLJ85" s="2"/>
      <c r="CLK85" s="2"/>
      <c r="CLL85" s="2"/>
      <c r="CLM85" s="2"/>
      <c r="CLN85" s="2"/>
      <c r="CLO85" s="2"/>
      <c r="CLP85" s="2"/>
      <c r="CLQ85" s="2"/>
      <c r="CLR85" s="2"/>
      <c r="CLS85" s="2"/>
      <c r="CLT85" s="2"/>
      <c r="CLU85" s="2"/>
      <c r="CLV85" s="2"/>
      <c r="CLW85" s="2"/>
      <c r="CLX85" s="2"/>
      <c r="CLY85" s="2"/>
      <c r="CLZ85" s="2"/>
      <c r="CMA85" s="2"/>
      <c r="CMB85" s="2"/>
      <c r="CMC85" s="2"/>
      <c r="CMD85" s="2"/>
      <c r="CME85" s="2"/>
      <c r="CMF85" s="2"/>
      <c r="CMG85" s="2"/>
      <c r="CMH85" s="2"/>
      <c r="CMI85" s="2"/>
      <c r="CMJ85" s="2"/>
      <c r="CMK85" s="2"/>
      <c r="CML85" s="2"/>
      <c r="CMM85" s="2"/>
      <c r="CMN85" s="2"/>
      <c r="CMO85" s="2"/>
      <c r="CMP85" s="2"/>
      <c r="CMQ85" s="2"/>
      <c r="CMR85" s="2"/>
      <c r="CMS85" s="2"/>
      <c r="CMT85" s="2"/>
      <c r="CMU85" s="2"/>
      <c r="CMV85" s="2"/>
      <c r="CMW85" s="2"/>
      <c r="CMX85" s="2"/>
      <c r="CMY85" s="2"/>
      <c r="CMZ85" s="2"/>
      <c r="CNA85" s="2"/>
      <c r="CNB85" s="2"/>
      <c r="CNC85" s="2"/>
      <c r="CND85" s="2"/>
      <c r="CNE85" s="2"/>
      <c r="CNF85" s="2"/>
      <c r="CNG85" s="2"/>
      <c r="CNH85" s="2"/>
      <c r="CNI85" s="2"/>
      <c r="CNJ85" s="2"/>
      <c r="CNK85" s="2"/>
      <c r="CNL85" s="2"/>
      <c r="CNM85" s="2"/>
      <c r="CNN85" s="2"/>
      <c r="CNO85" s="2"/>
      <c r="CNP85" s="2"/>
      <c r="CNQ85" s="2"/>
      <c r="CNR85" s="2"/>
      <c r="CNS85" s="2"/>
      <c r="CNT85" s="2"/>
      <c r="CNU85" s="2"/>
      <c r="CNV85" s="2"/>
      <c r="CNW85" s="2"/>
      <c r="CNX85" s="2"/>
      <c r="CNY85" s="2"/>
      <c r="CNZ85" s="2"/>
      <c r="COA85" s="2"/>
      <c r="COB85" s="2"/>
      <c r="COC85" s="2"/>
      <c r="COD85" s="2"/>
      <c r="COE85" s="2"/>
      <c r="COF85" s="2"/>
      <c r="COG85" s="2"/>
      <c r="COH85" s="2"/>
      <c r="COI85" s="2"/>
      <c r="COJ85" s="2"/>
      <c r="COK85" s="2"/>
      <c r="COL85" s="2"/>
      <c r="COM85" s="2"/>
      <c r="CON85" s="2"/>
      <c r="COO85" s="2"/>
      <c r="COP85" s="2"/>
      <c r="COQ85" s="2"/>
      <c r="COR85" s="2"/>
      <c r="COS85" s="2"/>
      <c r="COT85" s="2"/>
      <c r="COU85" s="2"/>
      <c r="COV85" s="2"/>
      <c r="COW85" s="2"/>
      <c r="COX85" s="2"/>
      <c r="COY85" s="2"/>
      <c r="COZ85" s="2"/>
      <c r="CPA85" s="2"/>
      <c r="CPB85" s="2"/>
      <c r="CPC85" s="2"/>
      <c r="CPD85" s="2"/>
      <c r="CPE85" s="2"/>
      <c r="CPF85" s="2"/>
      <c r="CPG85" s="2"/>
      <c r="CPH85" s="2"/>
      <c r="CPI85" s="2"/>
      <c r="CPJ85" s="2"/>
      <c r="CPK85" s="2"/>
      <c r="CPL85" s="2"/>
      <c r="CPM85" s="2"/>
      <c r="CPN85" s="2"/>
      <c r="CPO85" s="2"/>
      <c r="CPP85" s="2"/>
      <c r="CPQ85" s="2"/>
      <c r="CPR85" s="2"/>
      <c r="CPS85" s="2"/>
      <c r="CPT85" s="2"/>
      <c r="CPU85" s="2"/>
      <c r="CPV85" s="2"/>
      <c r="CPW85" s="2"/>
      <c r="CPX85" s="2"/>
      <c r="CPY85" s="2"/>
      <c r="CPZ85" s="2"/>
      <c r="CQA85" s="2"/>
      <c r="CQB85" s="2"/>
      <c r="CQC85" s="2"/>
      <c r="CQD85" s="2"/>
      <c r="CQE85" s="2"/>
      <c r="CQF85" s="2"/>
      <c r="CQG85" s="2"/>
      <c r="CQH85" s="2"/>
      <c r="CQI85" s="2"/>
      <c r="CQJ85" s="2"/>
      <c r="CQK85" s="2"/>
      <c r="CQL85" s="2"/>
      <c r="CQM85" s="2"/>
      <c r="CQN85" s="2"/>
      <c r="CQO85" s="2"/>
      <c r="CQP85" s="2"/>
      <c r="CQQ85" s="2"/>
      <c r="CQR85" s="2"/>
      <c r="CQS85" s="2"/>
      <c r="CQT85" s="2"/>
      <c r="CQU85" s="2"/>
      <c r="CQV85" s="2"/>
      <c r="CQW85" s="2"/>
      <c r="CQX85" s="2"/>
      <c r="CQY85" s="2"/>
      <c r="CQZ85" s="2"/>
      <c r="CRA85" s="2"/>
      <c r="CRB85" s="2"/>
      <c r="CRC85" s="2"/>
      <c r="CRD85" s="2"/>
      <c r="CRE85" s="2"/>
      <c r="CRF85" s="2"/>
      <c r="CRG85" s="2"/>
      <c r="CRH85" s="2"/>
      <c r="CRI85" s="2"/>
      <c r="CRJ85" s="2"/>
      <c r="CRK85" s="2"/>
      <c r="CRL85" s="2"/>
      <c r="CRM85" s="2"/>
      <c r="CRN85" s="2"/>
      <c r="CRO85" s="2"/>
      <c r="CRP85" s="2"/>
      <c r="CRQ85" s="2"/>
      <c r="CRR85" s="2"/>
      <c r="CRS85" s="2"/>
      <c r="CRT85" s="2"/>
      <c r="CRU85" s="2"/>
      <c r="CRV85" s="2"/>
      <c r="CRW85" s="2"/>
      <c r="CRX85" s="2"/>
      <c r="CRY85" s="2"/>
      <c r="CRZ85" s="2"/>
      <c r="CSA85" s="2"/>
      <c r="CSB85" s="2"/>
      <c r="CSC85" s="2"/>
      <c r="CSD85" s="2"/>
      <c r="CSE85" s="2"/>
      <c r="CSF85" s="2"/>
      <c r="CSG85" s="2"/>
      <c r="CSH85" s="2"/>
      <c r="CSI85" s="2"/>
      <c r="CSJ85" s="2"/>
      <c r="CSK85" s="2"/>
      <c r="CSL85" s="2"/>
      <c r="CSM85" s="2"/>
      <c r="CSN85" s="2"/>
      <c r="CSO85" s="2"/>
      <c r="CSP85" s="2"/>
      <c r="CSQ85" s="2"/>
      <c r="CSR85" s="2"/>
      <c r="CSS85" s="2"/>
      <c r="CST85" s="2"/>
      <c r="CSU85" s="2"/>
      <c r="CSV85" s="2"/>
      <c r="CSW85" s="2"/>
      <c r="CSX85" s="2"/>
      <c r="CSY85" s="2"/>
      <c r="CSZ85" s="2"/>
      <c r="CTA85" s="2"/>
      <c r="CTB85" s="2"/>
      <c r="CTC85" s="2"/>
      <c r="CTD85" s="2"/>
      <c r="CTE85" s="2"/>
      <c r="CTF85" s="2"/>
      <c r="CTG85" s="2"/>
      <c r="CTH85" s="2"/>
      <c r="CTI85" s="2"/>
      <c r="CTJ85" s="2"/>
      <c r="CTK85" s="2"/>
      <c r="CTL85" s="2"/>
      <c r="CTM85" s="2"/>
      <c r="CTN85" s="2"/>
      <c r="CTO85" s="2"/>
      <c r="CTP85" s="2"/>
      <c r="CTQ85" s="2"/>
      <c r="CTR85" s="2"/>
      <c r="CTS85" s="2"/>
      <c r="CTT85" s="2"/>
      <c r="CTU85" s="2"/>
      <c r="CTV85" s="2"/>
      <c r="CTW85" s="2"/>
      <c r="CTX85" s="2"/>
      <c r="CTY85" s="2"/>
      <c r="CTZ85" s="2"/>
      <c r="CUA85" s="2"/>
      <c r="CUB85" s="2"/>
      <c r="CUC85" s="2"/>
      <c r="CUD85" s="2"/>
      <c r="CUE85" s="2"/>
      <c r="CUF85" s="2"/>
      <c r="CUG85" s="2"/>
      <c r="CUH85" s="2"/>
      <c r="CUI85" s="2"/>
      <c r="CUJ85" s="2"/>
      <c r="CUK85" s="2"/>
      <c r="CUL85" s="2"/>
      <c r="CUM85" s="2"/>
      <c r="CUN85" s="2"/>
      <c r="CUO85" s="2"/>
      <c r="CUP85" s="2"/>
      <c r="CUQ85" s="2"/>
      <c r="CUR85" s="2"/>
      <c r="CUS85" s="2"/>
      <c r="CUT85" s="2"/>
      <c r="CUU85" s="2"/>
      <c r="CUV85" s="2"/>
      <c r="CUW85" s="2"/>
      <c r="CUX85" s="2"/>
      <c r="CUY85" s="2"/>
      <c r="CUZ85" s="2"/>
      <c r="CVA85" s="2"/>
      <c r="CVB85" s="2"/>
      <c r="CVC85" s="2"/>
      <c r="CVD85" s="2"/>
      <c r="CVE85" s="2"/>
      <c r="CVF85" s="2"/>
      <c r="CVG85" s="2"/>
      <c r="CVH85" s="2"/>
      <c r="CVI85" s="2"/>
      <c r="CVJ85" s="2"/>
      <c r="CVK85" s="2"/>
      <c r="CVL85" s="2"/>
      <c r="CVM85" s="2"/>
      <c r="CVN85" s="2"/>
      <c r="CVO85" s="2"/>
      <c r="CVP85" s="2"/>
      <c r="CVQ85" s="2"/>
      <c r="CVR85" s="2"/>
      <c r="CVS85" s="2"/>
      <c r="CVT85" s="2"/>
      <c r="CVU85" s="2"/>
      <c r="CVV85" s="2"/>
      <c r="CVW85" s="2"/>
      <c r="CVX85" s="2"/>
      <c r="CVY85" s="2"/>
      <c r="CVZ85" s="2"/>
      <c r="CWA85" s="2"/>
      <c r="CWB85" s="2"/>
      <c r="CWC85" s="2"/>
      <c r="CWD85" s="2"/>
      <c r="CWE85" s="2"/>
      <c r="CWF85" s="2"/>
      <c r="CWG85" s="2"/>
      <c r="CWH85" s="2"/>
      <c r="CWI85" s="2"/>
      <c r="CWJ85" s="2"/>
      <c r="CWK85" s="2"/>
      <c r="CWL85" s="2"/>
      <c r="CWM85" s="2"/>
      <c r="CWN85" s="2"/>
      <c r="CWO85" s="2"/>
      <c r="CWP85" s="2"/>
      <c r="CWQ85" s="2"/>
      <c r="CWR85" s="2"/>
      <c r="CWS85" s="2"/>
      <c r="CWT85" s="2"/>
      <c r="CWU85" s="2"/>
      <c r="CWV85" s="2"/>
      <c r="CWW85" s="2"/>
      <c r="CWX85" s="2"/>
      <c r="CWY85" s="2"/>
      <c r="CWZ85" s="2"/>
      <c r="CXA85" s="2"/>
      <c r="CXB85" s="2"/>
      <c r="CXC85" s="2"/>
      <c r="CXD85" s="2"/>
      <c r="CXE85" s="2"/>
      <c r="CXF85" s="2"/>
      <c r="CXG85" s="2"/>
      <c r="CXH85" s="2"/>
      <c r="CXI85" s="2"/>
      <c r="CXJ85" s="2"/>
      <c r="CXK85" s="2"/>
      <c r="CXL85" s="2"/>
      <c r="CXM85" s="2"/>
      <c r="CXN85" s="2"/>
      <c r="CXO85" s="2"/>
      <c r="CXP85" s="2"/>
      <c r="CXQ85" s="2"/>
      <c r="CXR85" s="2"/>
      <c r="CXS85" s="2"/>
      <c r="CXT85" s="2"/>
      <c r="CXU85" s="2"/>
      <c r="CXV85" s="2"/>
      <c r="CXW85" s="2"/>
      <c r="CXX85" s="2"/>
      <c r="CXY85" s="2"/>
      <c r="CXZ85" s="2"/>
      <c r="CYA85" s="2"/>
      <c r="CYB85" s="2"/>
      <c r="CYC85" s="2"/>
      <c r="CYD85" s="2"/>
      <c r="CYE85" s="2"/>
      <c r="CYF85" s="2"/>
      <c r="CYG85" s="2"/>
      <c r="CYH85" s="2"/>
      <c r="CYI85" s="2"/>
      <c r="CYJ85" s="2"/>
      <c r="CYK85" s="2"/>
      <c r="CYL85" s="2"/>
      <c r="CYM85" s="2"/>
      <c r="CYN85" s="2"/>
      <c r="CYO85" s="2"/>
      <c r="CYP85" s="2"/>
      <c r="CYQ85" s="2"/>
      <c r="CYR85" s="2"/>
      <c r="CYS85" s="2"/>
      <c r="CYT85" s="2"/>
      <c r="CYU85" s="2"/>
      <c r="CYV85" s="2"/>
      <c r="CYW85" s="2"/>
      <c r="CYX85" s="2"/>
      <c r="CYY85" s="2"/>
      <c r="CYZ85" s="2"/>
      <c r="CZA85" s="2"/>
      <c r="CZB85" s="2"/>
      <c r="CZC85" s="2"/>
      <c r="CZD85" s="2"/>
      <c r="CZE85" s="2"/>
      <c r="CZF85" s="2"/>
      <c r="CZG85" s="2"/>
      <c r="CZH85" s="2"/>
      <c r="CZI85" s="2"/>
      <c r="CZJ85" s="2"/>
      <c r="CZK85" s="2"/>
      <c r="CZL85" s="2"/>
      <c r="CZM85" s="2"/>
      <c r="CZN85" s="2"/>
      <c r="CZO85" s="2"/>
      <c r="CZP85" s="2"/>
      <c r="CZQ85" s="2"/>
      <c r="CZR85" s="2"/>
      <c r="CZS85" s="2"/>
      <c r="CZT85" s="2"/>
      <c r="CZU85" s="2"/>
      <c r="CZV85" s="2"/>
      <c r="CZW85" s="2"/>
      <c r="CZX85" s="2"/>
      <c r="CZY85" s="2"/>
      <c r="CZZ85" s="2"/>
      <c r="DAA85" s="2"/>
      <c r="DAB85" s="2"/>
      <c r="DAC85" s="2"/>
      <c r="DAD85" s="2"/>
      <c r="DAE85" s="2"/>
      <c r="DAF85" s="2"/>
      <c r="DAG85" s="2"/>
      <c r="DAH85" s="2"/>
      <c r="DAI85" s="2"/>
      <c r="DAJ85" s="2"/>
      <c r="DAK85" s="2"/>
      <c r="DAL85" s="2"/>
      <c r="DAM85" s="2"/>
      <c r="DAN85" s="2"/>
      <c r="DAO85" s="2"/>
      <c r="DAP85" s="2"/>
      <c r="DAQ85" s="2"/>
      <c r="DAR85" s="2"/>
      <c r="DAS85" s="2"/>
      <c r="DAT85" s="2"/>
      <c r="DAU85" s="2"/>
      <c r="DAV85" s="2"/>
      <c r="DAW85" s="2"/>
      <c r="DAX85" s="2"/>
      <c r="DAY85" s="2"/>
      <c r="DAZ85" s="2"/>
      <c r="DBA85" s="2"/>
      <c r="DBB85" s="2"/>
      <c r="DBC85" s="2"/>
      <c r="DBD85" s="2"/>
      <c r="DBE85" s="2"/>
      <c r="DBF85" s="2"/>
      <c r="DBG85" s="2"/>
      <c r="DBH85" s="2"/>
      <c r="DBI85" s="2"/>
      <c r="DBJ85" s="2"/>
      <c r="DBK85" s="2"/>
      <c r="DBL85" s="2"/>
      <c r="DBM85" s="2"/>
      <c r="DBN85" s="2"/>
      <c r="DBO85" s="2"/>
      <c r="DBP85" s="2"/>
      <c r="DBQ85" s="2"/>
      <c r="DBR85" s="2"/>
      <c r="DBS85" s="2"/>
      <c r="DBT85" s="2"/>
      <c r="DBU85" s="2"/>
      <c r="DBV85" s="2"/>
      <c r="DBW85" s="2"/>
      <c r="DBX85" s="2"/>
      <c r="DBY85" s="2"/>
      <c r="DBZ85" s="2"/>
      <c r="DCA85" s="2"/>
      <c r="DCB85" s="2"/>
      <c r="DCC85" s="2"/>
      <c r="DCD85" s="2"/>
      <c r="DCE85" s="2"/>
      <c r="DCF85" s="2"/>
      <c r="DCG85" s="2"/>
      <c r="DCH85" s="2"/>
      <c r="DCI85" s="2"/>
      <c r="DCJ85" s="2"/>
      <c r="DCK85" s="2"/>
      <c r="DCL85" s="2"/>
      <c r="DCM85" s="2"/>
      <c r="DCN85" s="2"/>
      <c r="DCO85" s="2"/>
      <c r="DCP85" s="2"/>
      <c r="DCQ85" s="2"/>
      <c r="DCR85" s="2"/>
      <c r="DCS85" s="2"/>
      <c r="DCT85" s="2"/>
      <c r="DCU85" s="2"/>
      <c r="DCV85" s="2"/>
      <c r="DCW85" s="2"/>
      <c r="DCX85" s="2"/>
      <c r="DCY85" s="2"/>
      <c r="DCZ85" s="2"/>
      <c r="DDA85" s="2"/>
      <c r="DDB85" s="2"/>
      <c r="DDC85" s="2"/>
      <c r="DDD85" s="2"/>
      <c r="DDE85" s="2"/>
      <c r="DDF85" s="2"/>
      <c r="DDG85" s="2"/>
      <c r="DDH85" s="2"/>
      <c r="DDI85" s="2"/>
      <c r="DDJ85" s="2"/>
      <c r="DDK85" s="2"/>
      <c r="DDL85" s="2"/>
      <c r="DDM85" s="2"/>
      <c r="DDN85" s="2"/>
      <c r="DDO85" s="2"/>
      <c r="DDP85" s="2"/>
      <c r="DDQ85" s="2"/>
      <c r="DDR85" s="2"/>
      <c r="DDS85" s="2"/>
      <c r="DDT85" s="2"/>
      <c r="DDU85" s="2"/>
      <c r="DDV85" s="2"/>
      <c r="DDW85" s="2"/>
      <c r="DDX85" s="2"/>
      <c r="DDY85" s="2"/>
      <c r="DDZ85" s="2"/>
      <c r="DEA85" s="2"/>
      <c r="DEB85" s="2"/>
      <c r="DEC85" s="2"/>
      <c r="DED85" s="2"/>
      <c r="DEE85" s="2"/>
      <c r="DEF85" s="2"/>
      <c r="DEG85" s="2"/>
      <c r="DEH85" s="2"/>
      <c r="DEI85" s="2"/>
      <c r="DEJ85" s="2"/>
      <c r="DEK85" s="2"/>
      <c r="DEL85" s="2"/>
      <c r="DEM85" s="2"/>
      <c r="DEN85" s="2"/>
      <c r="DEO85" s="2"/>
      <c r="DEP85" s="2"/>
      <c r="DEQ85" s="2"/>
      <c r="DER85" s="2"/>
      <c r="DES85" s="2"/>
      <c r="DET85" s="2"/>
      <c r="DEU85" s="2"/>
      <c r="DEV85" s="2"/>
      <c r="DEW85" s="2"/>
      <c r="DEX85" s="2"/>
      <c r="DEY85" s="2"/>
      <c r="DEZ85" s="2"/>
      <c r="DFA85" s="2"/>
      <c r="DFB85" s="2"/>
      <c r="DFC85" s="2"/>
      <c r="DFD85" s="2"/>
      <c r="DFE85" s="2"/>
      <c r="DFF85" s="2"/>
      <c r="DFG85" s="2"/>
      <c r="DFH85" s="2"/>
      <c r="DFI85" s="2"/>
      <c r="DFJ85" s="2"/>
      <c r="DFK85" s="2"/>
      <c r="DFL85" s="2"/>
      <c r="DFM85" s="2"/>
      <c r="DFN85" s="2"/>
      <c r="DFO85" s="2"/>
      <c r="DFP85" s="2"/>
      <c r="DFQ85" s="2"/>
      <c r="DFR85" s="2"/>
      <c r="DFS85" s="2"/>
      <c r="DFT85" s="2"/>
      <c r="DFU85" s="2"/>
      <c r="DFV85" s="2"/>
      <c r="DFW85" s="2"/>
      <c r="DFX85" s="2"/>
      <c r="DFY85" s="2"/>
      <c r="DFZ85" s="2"/>
      <c r="DGA85" s="2"/>
      <c r="DGB85" s="2"/>
      <c r="DGC85" s="2"/>
      <c r="DGD85" s="2"/>
      <c r="DGE85" s="2"/>
      <c r="DGF85" s="2"/>
      <c r="DGG85" s="2"/>
      <c r="DGH85" s="2"/>
      <c r="DGI85" s="2"/>
      <c r="DGJ85" s="2"/>
      <c r="DGK85" s="2"/>
      <c r="DGL85" s="2"/>
      <c r="DGM85" s="2"/>
      <c r="DGN85" s="2"/>
      <c r="DGO85" s="2"/>
      <c r="DGP85" s="2"/>
      <c r="DGQ85" s="2"/>
      <c r="DGR85" s="2"/>
      <c r="DGS85" s="2"/>
      <c r="DGT85" s="2"/>
      <c r="DGU85" s="2"/>
      <c r="DGV85" s="2"/>
      <c r="DGW85" s="2"/>
      <c r="DGX85" s="2"/>
      <c r="DGY85" s="2"/>
      <c r="DGZ85" s="2"/>
      <c r="DHA85" s="2"/>
      <c r="DHB85" s="2"/>
      <c r="DHC85" s="2"/>
      <c r="DHD85" s="2"/>
      <c r="DHE85" s="2"/>
      <c r="DHF85" s="2"/>
      <c r="DHG85" s="2"/>
      <c r="DHH85" s="2"/>
      <c r="DHI85" s="2"/>
      <c r="DHJ85" s="2"/>
      <c r="DHK85" s="2"/>
      <c r="DHL85" s="2"/>
      <c r="DHM85" s="2"/>
      <c r="DHN85" s="2"/>
      <c r="DHO85" s="2"/>
      <c r="DHP85" s="2"/>
      <c r="DHQ85" s="2"/>
      <c r="DHR85" s="2"/>
      <c r="DHS85" s="2"/>
      <c r="DHT85" s="2"/>
      <c r="DHU85" s="2"/>
      <c r="DHV85" s="2"/>
      <c r="DHW85" s="2"/>
      <c r="DHX85" s="2"/>
      <c r="DHY85" s="2"/>
      <c r="DHZ85" s="2"/>
      <c r="DIA85" s="2"/>
      <c r="DIB85" s="2"/>
      <c r="DIC85" s="2"/>
      <c r="DID85" s="2"/>
      <c r="DIE85" s="2"/>
      <c r="DIF85" s="2"/>
      <c r="DIG85" s="2"/>
      <c r="DIH85" s="2"/>
      <c r="DII85" s="2"/>
      <c r="DIJ85" s="2"/>
      <c r="DIK85" s="2"/>
      <c r="DIL85" s="2"/>
      <c r="DIM85" s="2"/>
      <c r="DIN85" s="2"/>
      <c r="DIO85" s="2"/>
      <c r="DIP85" s="2"/>
      <c r="DIQ85" s="2"/>
      <c r="DIR85" s="2"/>
      <c r="DIS85" s="2"/>
      <c r="DIT85" s="2"/>
      <c r="DIU85" s="2"/>
      <c r="DIV85" s="2"/>
      <c r="DIW85" s="2"/>
      <c r="DIX85" s="2"/>
      <c r="DIY85" s="2"/>
      <c r="DIZ85" s="2"/>
      <c r="DJA85" s="2"/>
      <c r="DJB85" s="2"/>
      <c r="DJC85" s="2"/>
      <c r="DJD85" s="2"/>
      <c r="DJE85" s="2"/>
      <c r="DJF85" s="2"/>
      <c r="DJG85" s="2"/>
      <c r="DJH85" s="2"/>
      <c r="DJI85" s="2"/>
      <c r="DJJ85" s="2"/>
      <c r="DJK85" s="2"/>
      <c r="DJL85" s="2"/>
      <c r="DJM85" s="2"/>
      <c r="DJN85" s="2"/>
      <c r="DJO85" s="2"/>
      <c r="DJP85" s="2"/>
      <c r="DJQ85" s="2"/>
      <c r="DJR85" s="2"/>
      <c r="DJS85" s="2"/>
      <c r="DJT85" s="2"/>
      <c r="DJU85" s="2"/>
      <c r="DJV85" s="2"/>
      <c r="DJW85" s="2"/>
      <c r="DJX85" s="2"/>
      <c r="DJY85" s="2"/>
      <c r="DJZ85" s="2"/>
      <c r="DKA85" s="2"/>
      <c r="DKB85" s="2"/>
      <c r="DKC85" s="2"/>
      <c r="DKD85" s="2"/>
      <c r="DKE85" s="2"/>
      <c r="DKF85" s="2"/>
      <c r="DKG85" s="2"/>
      <c r="DKH85" s="2"/>
      <c r="DKI85" s="2"/>
      <c r="DKJ85" s="2"/>
      <c r="DKK85" s="2"/>
      <c r="DKL85" s="2"/>
      <c r="DKM85" s="2"/>
      <c r="DKN85" s="2"/>
      <c r="DKO85" s="2"/>
      <c r="DKP85" s="2"/>
      <c r="DKQ85" s="2"/>
      <c r="DKR85" s="2"/>
      <c r="DKS85" s="2"/>
      <c r="DKT85" s="2"/>
      <c r="DKU85" s="2"/>
      <c r="DKV85" s="2"/>
      <c r="DKW85" s="2"/>
      <c r="DKX85" s="2"/>
      <c r="DKY85" s="2"/>
      <c r="DKZ85" s="2"/>
      <c r="DLA85" s="2"/>
      <c r="DLB85" s="2"/>
      <c r="DLC85" s="2"/>
      <c r="DLD85" s="2"/>
      <c r="DLE85" s="2"/>
      <c r="DLF85" s="2"/>
      <c r="DLG85" s="2"/>
      <c r="DLH85" s="2"/>
      <c r="DLI85" s="2"/>
      <c r="DLJ85" s="2"/>
      <c r="DLK85" s="2"/>
      <c r="DLL85" s="2"/>
      <c r="DLM85" s="2"/>
      <c r="DLN85" s="2"/>
      <c r="DLO85" s="2"/>
      <c r="DLP85" s="2"/>
      <c r="DLQ85" s="2"/>
      <c r="DLR85" s="2"/>
      <c r="DLS85" s="2"/>
      <c r="DLT85" s="2"/>
      <c r="DLU85" s="2"/>
      <c r="DLV85" s="2"/>
      <c r="DLW85" s="2"/>
      <c r="DLX85" s="2"/>
      <c r="DLY85" s="2"/>
      <c r="DLZ85" s="2"/>
      <c r="DMA85" s="2"/>
      <c r="DMB85" s="2"/>
      <c r="DMC85" s="2"/>
      <c r="DMD85" s="2"/>
      <c r="DME85" s="2"/>
      <c r="DMF85" s="2"/>
      <c r="DMG85" s="2"/>
      <c r="DMH85" s="2"/>
      <c r="DMI85" s="2"/>
      <c r="DMJ85" s="2"/>
      <c r="DMK85" s="2"/>
      <c r="DML85" s="2"/>
      <c r="DMM85" s="2"/>
      <c r="DMN85" s="2"/>
      <c r="DMO85" s="2"/>
      <c r="DMP85" s="2"/>
      <c r="DMQ85" s="2"/>
      <c r="DMR85" s="2"/>
      <c r="DMS85" s="2"/>
      <c r="DMT85" s="2"/>
      <c r="DMU85" s="2"/>
      <c r="DMV85" s="2"/>
      <c r="DMW85" s="2"/>
      <c r="DMX85" s="2"/>
      <c r="DMY85" s="2"/>
      <c r="DMZ85" s="2"/>
      <c r="DNA85" s="2"/>
      <c r="DNB85" s="2"/>
      <c r="DNC85" s="2"/>
      <c r="DND85" s="2"/>
      <c r="DNE85" s="2"/>
      <c r="DNF85" s="2"/>
      <c r="DNG85" s="2"/>
      <c r="DNH85" s="2"/>
      <c r="DNI85" s="2"/>
      <c r="DNJ85" s="2"/>
      <c r="DNK85" s="2"/>
      <c r="DNL85" s="2"/>
      <c r="DNM85" s="2"/>
      <c r="DNN85" s="2"/>
      <c r="DNO85" s="2"/>
      <c r="DNP85" s="2"/>
      <c r="DNQ85" s="2"/>
      <c r="DNR85" s="2"/>
      <c r="DNS85" s="2"/>
      <c r="DNT85" s="2"/>
      <c r="DNU85" s="2"/>
      <c r="DNV85" s="2"/>
      <c r="DNW85" s="2"/>
      <c r="DNX85" s="2"/>
      <c r="DNY85" s="2"/>
      <c r="DNZ85" s="2"/>
      <c r="DOA85" s="2"/>
      <c r="DOB85" s="2"/>
      <c r="DOC85" s="2"/>
      <c r="DOD85" s="2"/>
      <c r="DOE85" s="2"/>
      <c r="DOF85" s="2"/>
      <c r="DOG85" s="2"/>
      <c r="DOH85" s="2"/>
      <c r="DOI85" s="2"/>
      <c r="DOJ85" s="2"/>
      <c r="DOK85" s="2"/>
      <c r="DOL85" s="2"/>
      <c r="DOM85" s="2"/>
      <c r="DON85" s="2"/>
      <c r="DOO85" s="2"/>
      <c r="DOP85" s="2"/>
      <c r="DOQ85" s="2"/>
      <c r="DOR85" s="2"/>
      <c r="DOS85" s="2"/>
      <c r="DOT85" s="2"/>
      <c r="DOU85" s="2"/>
      <c r="DOV85" s="2"/>
      <c r="DOW85" s="2"/>
      <c r="DOX85" s="2"/>
      <c r="DOY85" s="2"/>
      <c r="DOZ85" s="2"/>
      <c r="DPA85" s="2"/>
      <c r="DPB85" s="2"/>
      <c r="DPC85" s="2"/>
      <c r="DPD85" s="2"/>
      <c r="DPE85" s="2"/>
      <c r="DPF85" s="2"/>
      <c r="DPG85" s="2"/>
      <c r="DPH85" s="2"/>
      <c r="DPI85" s="2"/>
      <c r="DPJ85" s="2"/>
      <c r="DPK85" s="2"/>
      <c r="DPL85" s="2"/>
      <c r="DPM85" s="2"/>
      <c r="DPN85" s="2"/>
      <c r="DPO85" s="2"/>
      <c r="DPP85" s="2"/>
      <c r="DPQ85" s="2"/>
      <c r="DPR85" s="2"/>
      <c r="DPS85" s="2"/>
      <c r="DPT85" s="2"/>
      <c r="DPU85" s="2"/>
      <c r="DPV85" s="2"/>
      <c r="DPW85" s="2"/>
      <c r="DPX85" s="2"/>
      <c r="DPY85" s="2"/>
      <c r="DPZ85" s="2"/>
      <c r="DQA85" s="2"/>
      <c r="DQB85" s="2"/>
      <c r="DQC85" s="2"/>
      <c r="DQD85" s="2"/>
      <c r="DQE85" s="2"/>
      <c r="DQF85" s="2"/>
      <c r="DQG85" s="2"/>
      <c r="DQH85" s="2"/>
      <c r="DQI85" s="2"/>
      <c r="DQJ85" s="2"/>
      <c r="DQK85" s="2"/>
      <c r="DQL85" s="2"/>
      <c r="DQM85" s="2"/>
      <c r="DQN85" s="2"/>
      <c r="DQO85" s="2"/>
      <c r="DQP85" s="2"/>
      <c r="DQQ85" s="2"/>
      <c r="DQR85" s="2"/>
      <c r="DQS85" s="2"/>
      <c r="DQT85" s="2"/>
      <c r="DQU85" s="2"/>
      <c r="DQV85" s="2"/>
      <c r="DQW85" s="2"/>
      <c r="DQX85" s="2"/>
      <c r="DQY85" s="2"/>
      <c r="DQZ85" s="2"/>
      <c r="DRA85" s="2"/>
      <c r="DRB85" s="2"/>
      <c r="DRC85" s="2"/>
      <c r="DRD85" s="2"/>
      <c r="DRE85" s="2"/>
      <c r="DRF85" s="2"/>
      <c r="DRG85" s="2"/>
      <c r="DRH85" s="2"/>
      <c r="DRI85" s="2"/>
      <c r="DRJ85" s="2"/>
      <c r="DRK85" s="2"/>
      <c r="DRL85" s="2"/>
      <c r="DRM85" s="2"/>
      <c r="DRN85" s="2"/>
      <c r="DRO85" s="2"/>
      <c r="DRP85" s="2"/>
      <c r="DRQ85" s="2"/>
      <c r="DRR85" s="2"/>
      <c r="DRS85" s="2"/>
      <c r="DRT85" s="2"/>
      <c r="DRU85" s="2"/>
      <c r="DRV85" s="2"/>
      <c r="DRW85" s="2"/>
      <c r="DRX85" s="2"/>
      <c r="DRY85" s="2"/>
      <c r="DRZ85" s="2"/>
      <c r="DSA85" s="2"/>
      <c r="DSB85" s="2"/>
      <c r="DSC85" s="2"/>
      <c r="DSD85" s="2"/>
      <c r="DSE85" s="2"/>
      <c r="DSF85" s="2"/>
      <c r="DSG85" s="2"/>
      <c r="DSH85" s="2"/>
      <c r="DSI85" s="2"/>
      <c r="DSJ85" s="2"/>
      <c r="DSK85" s="2"/>
      <c r="DSL85" s="2"/>
      <c r="DSM85" s="2"/>
      <c r="DSN85" s="2"/>
      <c r="DSO85" s="2"/>
      <c r="DSP85" s="2"/>
      <c r="DSQ85" s="2"/>
      <c r="DSR85" s="2"/>
      <c r="DSS85" s="2"/>
      <c r="DST85" s="2"/>
      <c r="DSU85" s="2"/>
      <c r="DSV85" s="2"/>
      <c r="DSW85" s="2"/>
      <c r="DSX85" s="2"/>
      <c r="DSY85" s="2"/>
      <c r="DSZ85" s="2"/>
      <c r="DTA85" s="2"/>
      <c r="DTB85" s="2"/>
      <c r="DTC85" s="2"/>
      <c r="DTD85" s="2"/>
      <c r="DTE85" s="2"/>
      <c r="DTF85" s="2"/>
      <c r="DTG85" s="2"/>
      <c r="DTH85" s="2"/>
      <c r="DTI85" s="2"/>
      <c r="DTJ85" s="2"/>
      <c r="DTK85" s="2"/>
      <c r="DTL85" s="2"/>
      <c r="DTM85" s="2"/>
      <c r="DTN85" s="2"/>
      <c r="DTO85" s="2"/>
      <c r="DTP85" s="2"/>
      <c r="DTQ85" s="2"/>
      <c r="DTR85" s="2"/>
      <c r="DTS85" s="2"/>
      <c r="DTT85" s="2"/>
      <c r="DTU85" s="2"/>
      <c r="DTV85" s="2"/>
      <c r="DTW85" s="2"/>
      <c r="DTX85" s="2"/>
      <c r="DTY85" s="2"/>
      <c r="DTZ85" s="2"/>
      <c r="DUA85" s="2"/>
      <c r="DUB85" s="2"/>
      <c r="DUC85" s="2"/>
      <c r="DUD85" s="2"/>
      <c r="DUE85" s="2"/>
      <c r="DUF85" s="2"/>
      <c r="DUG85" s="2"/>
      <c r="DUH85" s="2"/>
      <c r="DUI85" s="2"/>
      <c r="DUJ85" s="2"/>
      <c r="DUK85" s="2"/>
      <c r="DUL85" s="2"/>
      <c r="DUM85" s="2"/>
      <c r="DUN85" s="2"/>
      <c r="DUO85" s="2"/>
      <c r="DUP85" s="2"/>
      <c r="DUQ85" s="2"/>
      <c r="DUR85" s="2"/>
      <c r="DUS85" s="2"/>
      <c r="DUT85" s="2"/>
      <c r="DUU85" s="2"/>
      <c r="DUV85" s="2"/>
      <c r="DUW85" s="2"/>
      <c r="DUX85" s="2"/>
      <c r="DUY85" s="2"/>
      <c r="DUZ85" s="2"/>
      <c r="DVA85" s="2"/>
      <c r="DVB85" s="2"/>
      <c r="DVC85" s="2"/>
      <c r="DVD85" s="2"/>
      <c r="DVE85" s="2"/>
      <c r="DVF85" s="2"/>
      <c r="DVG85" s="2"/>
      <c r="DVH85" s="2"/>
      <c r="DVI85" s="2"/>
      <c r="DVJ85" s="2"/>
      <c r="DVK85" s="2"/>
      <c r="DVL85" s="2"/>
      <c r="DVM85" s="2"/>
      <c r="DVN85" s="2"/>
      <c r="DVO85" s="2"/>
      <c r="DVP85" s="2"/>
      <c r="DVQ85" s="2"/>
      <c r="DVR85" s="2"/>
      <c r="DVS85" s="2"/>
      <c r="DVT85" s="2"/>
      <c r="DVU85" s="2"/>
      <c r="DVV85" s="2"/>
      <c r="DVW85" s="2"/>
      <c r="DVX85" s="2"/>
      <c r="DVY85" s="2"/>
      <c r="DVZ85" s="2"/>
      <c r="DWA85" s="2"/>
      <c r="DWB85" s="2"/>
      <c r="DWC85" s="2"/>
      <c r="DWD85" s="2"/>
      <c r="DWE85" s="2"/>
      <c r="DWF85" s="2"/>
      <c r="DWG85" s="2"/>
      <c r="DWH85" s="2"/>
      <c r="DWI85" s="2"/>
      <c r="DWJ85" s="2"/>
      <c r="DWK85" s="2"/>
      <c r="DWL85" s="2"/>
      <c r="DWM85" s="2"/>
      <c r="DWN85" s="2"/>
      <c r="DWO85" s="2"/>
      <c r="DWP85" s="2"/>
      <c r="DWQ85" s="2"/>
      <c r="DWR85" s="2"/>
      <c r="DWS85" s="2"/>
      <c r="DWT85" s="2"/>
      <c r="DWU85" s="2"/>
      <c r="DWV85" s="2"/>
      <c r="DWW85" s="2"/>
      <c r="DWX85" s="2"/>
      <c r="DWY85" s="2"/>
      <c r="DWZ85" s="2"/>
      <c r="DXA85" s="2"/>
      <c r="DXB85" s="2"/>
      <c r="DXC85" s="2"/>
      <c r="DXD85" s="2"/>
      <c r="DXE85" s="2"/>
      <c r="DXF85" s="2"/>
      <c r="DXG85" s="2"/>
      <c r="DXH85" s="2"/>
      <c r="DXI85" s="2"/>
      <c r="DXJ85" s="2"/>
      <c r="DXK85" s="2"/>
      <c r="DXL85" s="2"/>
      <c r="DXM85" s="2"/>
      <c r="DXN85" s="2"/>
      <c r="DXO85" s="2"/>
      <c r="DXP85" s="2"/>
      <c r="DXQ85" s="2"/>
      <c r="DXR85" s="2"/>
      <c r="DXS85" s="2"/>
      <c r="DXT85" s="2"/>
      <c r="DXU85" s="2"/>
      <c r="DXV85" s="2"/>
      <c r="DXW85" s="2"/>
      <c r="DXX85" s="2"/>
      <c r="DXY85" s="2"/>
      <c r="DXZ85" s="2"/>
      <c r="DYA85" s="2"/>
      <c r="DYB85" s="2"/>
      <c r="DYC85" s="2"/>
      <c r="DYD85" s="2"/>
      <c r="DYE85" s="2"/>
      <c r="DYF85" s="2"/>
      <c r="DYG85" s="2"/>
      <c r="DYH85" s="2"/>
      <c r="DYI85" s="2"/>
      <c r="DYJ85" s="2"/>
      <c r="DYK85" s="2"/>
      <c r="DYL85" s="2"/>
      <c r="DYM85" s="2"/>
      <c r="DYN85" s="2"/>
      <c r="DYO85" s="2"/>
      <c r="DYP85" s="2"/>
      <c r="DYQ85" s="2"/>
      <c r="DYR85" s="2"/>
      <c r="DYS85" s="2"/>
      <c r="DYT85" s="2"/>
      <c r="DYU85" s="2"/>
      <c r="DYV85" s="2"/>
      <c r="DYW85" s="2"/>
      <c r="DYX85" s="2"/>
      <c r="DYY85" s="2"/>
      <c r="DYZ85" s="2"/>
      <c r="DZA85" s="2"/>
      <c r="DZB85" s="2"/>
      <c r="DZC85" s="2"/>
      <c r="DZD85" s="2"/>
      <c r="DZE85" s="2"/>
      <c r="DZF85" s="2"/>
      <c r="DZG85" s="2"/>
      <c r="DZH85" s="2"/>
      <c r="DZI85" s="2"/>
      <c r="DZJ85" s="2"/>
      <c r="DZK85" s="2"/>
      <c r="DZL85" s="2"/>
      <c r="DZM85" s="2"/>
      <c r="DZN85" s="2"/>
      <c r="DZO85" s="2"/>
      <c r="DZP85" s="2"/>
      <c r="DZQ85" s="2"/>
      <c r="DZR85" s="2"/>
      <c r="DZS85" s="2"/>
      <c r="DZT85" s="2"/>
      <c r="DZU85" s="2"/>
      <c r="DZV85" s="2"/>
      <c r="DZW85" s="2"/>
      <c r="DZX85" s="2"/>
      <c r="DZY85" s="2"/>
      <c r="DZZ85" s="2"/>
      <c r="EAA85" s="2"/>
      <c r="EAB85" s="2"/>
      <c r="EAC85" s="2"/>
      <c r="EAD85" s="2"/>
      <c r="EAE85" s="2"/>
      <c r="EAF85" s="2"/>
      <c r="EAG85" s="2"/>
      <c r="EAH85" s="2"/>
      <c r="EAI85" s="2"/>
      <c r="EAJ85" s="2"/>
      <c r="EAK85" s="2"/>
      <c r="EAL85" s="2"/>
      <c r="EAM85" s="2"/>
      <c r="EAN85" s="2"/>
      <c r="EAO85" s="2"/>
      <c r="EAP85" s="2"/>
      <c r="EAQ85" s="2"/>
      <c r="EAR85" s="2"/>
      <c r="EAS85" s="2"/>
      <c r="EAT85" s="2"/>
      <c r="EAU85" s="2"/>
      <c r="EAV85" s="2"/>
      <c r="EAW85" s="2"/>
      <c r="EAX85" s="2"/>
      <c r="EAY85" s="2"/>
      <c r="EAZ85" s="2"/>
      <c r="EBA85" s="2"/>
      <c r="EBB85" s="2"/>
      <c r="EBC85" s="2"/>
      <c r="EBD85" s="2"/>
      <c r="EBE85" s="2"/>
      <c r="EBF85" s="2"/>
      <c r="EBG85" s="2"/>
      <c r="EBH85" s="2"/>
      <c r="EBI85" s="2"/>
      <c r="EBJ85" s="2"/>
      <c r="EBK85" s="2"/>
      <c r="EBL85" s="2"/>
      <c r="EBM85" s="2"/>
      <c r="EBN85" s="2"/>
      <c r="EBO85" s="2"/>
      <c r="EBP85" s="2"/>
      <c r="EBQ85" s="2"/>
      <c r="EBR85" s="2"/>
      <c r="EBS85" s="2"/>
      <c r="EBT85" s="2"/>
      <c r="EBU85" s="2"/>
      <c r="EBV85" s="2"/>
      <c r="EBW85" s="2"/>
      <c r="EBX85" s="2"/>
      <c r="EBY85" s="2"/>
      <c r="EBZ85" s="2"/>
      <c r="ECA85" s="2"/>
      <c r="ECB85" s="2"/>
      <c r="ECC85" s="2"/>
      <c r="ECD85" s="2"/>
      <c r="ECE85" s="2"/>
      <c r="ECF85" s="2"/>
      <c r="ECG85" s="2"/>
      <c r="ECH85" s="2"/>
      <c r="ECI85" s="2"/>
      <c r="ECJ85" s="2"/>
      <c r="ECK85" s="2"/>
      <c r="ECL85" s="2"/>
      <c r="ECM85" s="2"/>
      <c r="ECN85" s="2"/>
      <c r="ECO85" s="2"/>
      <c r="ECP85" s="2"/>
      <c r="ECQ85" s="2"/>
      <c r="ECR85" s="2"/>
      <c r="ECS85" s="2"/>
      <c r="ECT85" s="2"/>
      <c r="ECU85" s="2"/>
      <c r="ECV85" s="2"/>
      <c r="ECW85" s="2"/>
      <c r="ECX85" s="2"/>
      <c r="ECY85" s="2"/>
      <c r="ECZ85" s="2"/>
      <c r="EDA85" s="2"/>
      <c r="EDB85" s="2"/>
      <c r="EDC85" s="2"/>
      <c r="EDD85" s="2"/>
      <c r="EDE85" s="2"/>
      <c r="EDF85" s="2"/>
      <c r="EDG85" s="2"/>
      <c r="EDH85" s="2"/>
      <c r="EDI85" s="2"/>
      <c r="EDJ85" s="2"/>
      <c r="EDK85" s="2"/>
      <c r="EDL85" s="2"/>
      <c r="EDM85" s="2"/>
      <c r="EDN85" s="2"/>
      <c r="EDO85" s="2"/>
      <c r="EDP85" s="2"/>
      <c r="EDQ85" s="2"/>
      <c r="EDR85" s="2"/>
      <c r="EDS85" s="2"/>
      <c r="EDT85" s="2"/>
      <c r="EDU85" s="2"/>
      <c r="EDV85" s="2"/>
      <c r="EDW85" s="2"/>
      <c r="EDX85" s="2"/>
      <c r="EDY85" s="2"/>
      <c r="EDZ85" s="2"/>
      <c r="EEA85" s="2"/>
      <c r="EEB85" s="2"/>
      <c r="EEC85" s="2"/>
      <c r="EED85" s="2"/>
      <c r="EEE85" s="2"/>
      <c r="EEF85" s="2"/>
      <c r="EEG85" s="2"/>
      <c r="EEH85" s="2"/>
      <c r="EEI85" s="2"/>
      <c r="EEJ85" s="2"/>
      <c r="EEK85" s="2"/>
      <c r="EEL85" s="2"/>
      <c r="EEM85" s="2"/>
      <c r="EEN85" s="2"/>
      <c r="EEO85" s="2"/>
      <c r="EEP85" s="2"/>
      <c r="EEQ85" s="2"/>
      <c r="EER85" s="2"/>
      <c r="EES85" s="2"/>
      <c r="EET85" s="2"/>
      <c r="EEU85" s="2"/>
      <c r="EEV85" s="2"/>
      <c r="EEW85" s="2"/>
      <c r="EEX85" s="2"/>
      <c r="EEY85" s="2"/>
      <c r="EEZ85" s="2"/>
      <c r="EFA85" s="2"/>
      <c r="EFB85" s="2"/>
      <c r="EFC85" s="2"/>
      <c r="EFD85" s="2"/>
      <c r="EFE85" s="2"/>
      <c r="EFF85" s="2"/>
      <c r="EFG85" s="2"/>
      <c r="EFH85" s="2"/>
      <c r="EFI85" s="2"/>
      <c r="EFJ85" s="2"/>
      <c r="EFK85" s="2"/>
      <c r="EFL85" s="2"/>
      <c r="EFM85" s="2"/>
      <c r="EFN85" s="2"/>
      <c r="EFO85" s="2"/>
      <c r="EFP85" s="2"/>
      <c r="EFQ85" s="2"/>
      <c r="EFR85" s="2"/>
      <c r="EFS85" s="2"/>
      <c r="EFT85" s="2"/>
      <c r="EFU85" s="2"/>
      <c r="EFV85" s="2"/>
      <c r="EFW85" s="2"/>
      <c r="EFX85" s="2"/>
      <c r="EFY85" s="2"/>
      <c r="EFZ85" s="2"/>
      <c r="EGA85" s="2"/>
      <c r="EGB85" s="2"/>
      <c r="EGC85" s="2"/>
      <c r="EGD85" s="2"/>
      <c r="EGE85" s="2"/>
      <c r="EGF85" s="2"/>
      <c r="EGG85" s="2"/>
      <c r="EGH85" s="2"/>
      <c r="EGI85" s="2"/>
      <c r="EGJ85" s="2"/>
      <c r="EGK85" s="2"/>
      <c r="EGL85" s="2"/>
      <c r="EGM85" s="2"/>
      <c r="EGN85" s="2"/>
      <c r="EGO85" s="2"/>
      <c r="EGP85" s="2"/>
      <c r="EGQ85" s="2"/>
      <c r="EGR85" s="2"/>
      <c r="EGS85" s="2"/>
      <c r="EGT85" s="2"/>
      <c r="EGU85" s="2"/>
      <c r="EGV85" s="2"/>
      <c r="EGW85" s="2"/>
      <c r="EGX85" s="2"/>
      <c r="EGY85" s="2"/>
      <c r="EGZ85" s="2"/>
      <c r="EHA85" s="2"/>
      <c r="EHB85" s="2"/>
      <c r="EHC85" s="2"/>
      <c r="EHD85" s="2"/>
      <c r="EHE85" s="2"/>
      <c r="EHF85" s="2"/>
      <c r="EHG85" s="2"/>
      <c r="EHH85" s="2"/>
      <c r="EHI85" s="2"/>
      <c r="EHJ85" s="2"/>
      <c r="EHK85" s="2"/>
      <c r="EHL85" s="2"/>
      <c r="EHM85" s="2"/>
      <c r="EHN85" s="2"/>
      <c r="EHO85" s="2"/>
      <c r="EHP85" s="2"/>
      <c r="EHQ85" s="2"/>
      <c r="EHR85" s="2"/>
      <c r="EHS85" s="2"/>
      <c r="EHT85" s="2"/>
      <c r="EHU85" s="2"/>
      <c r="EHV85" s="2"/>
      <c r="EHW85" s="2"/>
      <c r="EHX85" s="2"/>
      <c r="EHY85" s="2"/>
      <c r="EHZ85" s="2"/>
      <c r="EIA85" s="2"/>
      <c r="EIB85" s="2"/>
      <c r="EIC85" s="2"/>
      <c r="EID85" s="2"/>
      <c r="EIE85" s="2"/>
      <c r="EIF85" s="2"/>
      <c r="EIG85" s="2"/>
      <c r="EIH85" s="2"/>
      <c r="EII85" s="2"/>
      <c r="EIJ85" s="2"/>
      <c r="EIK85" s="2"/>
      <c r="EIL85" s="2"/>
      <c r="EIM85" s="2"/>
      <c r="EIN85" s="2"/>
      <c r="EIO85" s="2"/>
      <c r="EIP85" s="2"/>
      <c r="EIQ85" s="2"/>
      <c r="EIR85" s="2"/>
      <c r="EIS85" s="2"/>
      <c r="EIT85" s="2"/>
      <c r="EIU85" s="2"/>
      <c r="EIV85" s="2"/>
      <c r="EIW85" s="2"/>
      <c r="EIX85" s="2"/>
      <c r="EIY85" s="2"/>
      <c r="EIZ85" s="2"/>
      <c r="EJA85" s="2"/>
      <c r="EJB85" s="2"/>
      <c r="EJC85" s="2"/>
      <c r="EJD85" s="2"/>
      <c r="EJE85" s="2"/>
      <c r="EJF85" s="2"/>
      <c r="EJG85" s="2"/>
      <c r="EJH85" s="2"/>
      <c r="EJI85" s="2"/>
      <c r="EJJ85" s="2"/>
      <c r="EJK85" s="2"/>
      <c r="EJL85" s="2"/>
      <c r="EJM85" s="2"/>
      <c r="EJN85" s="2"/>
      <c r="EJO85" s="2"/>
      <c r="EJP85" s="2"/>
      <c r="EJQ85" s="2"/>
      <c r="EJR85" s="2"/>
      <c r="EJS85" s="2"/>
      <c r="EJT85" s="2"/>
      <c r="EJU85" s="2"/>
      <c r="EJV85" s="2"/>
      <c r="EJW85" s="2"/>
      <c r="EJX85" s="2"/>
      <c r="EJY85" s="2"/>
      <c r="EJZ85" s="2"/>
      <c r="EKA85" s="2"/>
      <c r="EKB85" s="2"/>
      <c r="EKC85" s="2"/>
      <c r="EKD85" s="2"/>
      <c r="EKE85" s="2"/>
      <c r="EKF85" s="2"/>
      <c r="EKG85" s="2"/>
      <c r="EKH85" s="2"/>
      <c r="EKI85" s="2"/>
      <c r="EKJ85" s="2"/>
      <c r="EKK85" s="2"/>
      <c r="EKL85" s="2"/>
      <c r="EKM85" s="2"/>
      <c r="EKN85" s="2"/>
      <c r="EKO85" s="2"/>
      <c r="EKP85" s="2"/>
      <c r="EKQ85" s="2"/>
      <c r="EKR85" s="2"/>
      <c r="EKS85" s="2"/>
      <c r="EKT85" s="2"/>
      <c r="EKU85" s="2"/>
      <c r="EKV85" s="2"/>
      <c r="EKW85" s="2"/>
      <c r="EKX85" s="2"/>
      <c r="EKY85" s="2"/>
      <c r="EKZ85" s="2"/>
      <c r="ELA85" s="2"/>
      <c r="ELB85" s="2"/>
      <c r="ELC85" s="2"/>
      <c r="ELD85" s="2"/>
      <c r="ELE85" s="2"/>
      <c r="ELF85" s="2"/>
      <c r="ELG85" s="2"/>
      <c r="ELH85" s="2"/>
      <c r="ELI85" s="2"/>
      <c r="ELJ85" s="2"/>
      <c r="ELK85" s="2"/>
      <c r="ELL85" s="2"/>
      <c r="ELM85" s="2"/>
      <c r="ELN85" s="2"/>
      <c r="ELO85" s="2"/>
      <c r="ELP85" s="2"/>
      <c r="ELQ85" s="2"/>
      <c r="ELR85" s="2"/>
      <c r="ELS85" s="2"/>
      <c r="ELT85" s="2"/>
      <c r="ELU85" s="2"/>
      <c r="ELV85" s="2"/>
      <c r="ELW85" s="2"/>
      <c r="ELX85" s="2"/>
      <c r="ELY85" s="2"/>
      <c r="ELZ85" s="2"/>
      <c r="EMA85" s="2"/>
      <c r="EMB85" s="2"/>
      <c r="EMC85" s="2"/>
      <c r="EMD85" s="2"/>
      <c r="EME85" s="2"/>
      <c r="EMF85" s="2"/>
      <c r="EMG85" s="2"/>
      <c r="EMH85" s="2"/>
      <c r="EMI85" s="2"/>
      <c r="EMJ85" s="2"/>
      <c r="EMK85" s="2"/>
      <c r="EML85" s="2"/>
      <c r="EMM85" s="2"/>
      <c r="EMN85" s="2"/>
      <c r="EMO85" s="2"/>
      <c r="EMP85" s="2"/>
      <c r="EMQ85" s="2"/>
      <c r="EMR85" s="2"/>
      <c r="EMS85" s="2"/>
      <c r="EMT85" s="2"/>
      <c r="EMU85" s="2"/>
      <c r="EMV85" s="2"/>
      <c r="EMW85" s="2"/>
      <c r="EMX85" s="2"/>
      <c r="EMY85" s="2"/>
      <c r="EMZ85" s="2"/>
      <c r="ENA85" s="2"/>
      <c r="ENB85" s="2"/>
      <c r="ENC85" s="2"/>
      <c r="END85" s="2"/>
      <c r="ENE85" s="2"/>
      <c r="ENF85" s="2"/>
      <c r="ENG85" s="2"/>
      <c r="ENH85" s="2"/>
      <c r="ENI85" s="2"/>
      <c r="ENJ85" s="2"/>
      <c r="ENK85" s="2"/>
      <c r="ENL85" s="2"/>
      <c r="ENM85" s="2"/>
      <c r="ENN85" s="2"/>
      <c r="ENO85" s="2"/>
      <c r="ENP85" s="2"/>
      <c r="ENQ85" s="2"/>
      <c r="ENR85" s="2"/>
      <c r="ENS85" s="2"/>
      <c r="ENT85" s="2"/>
      <c r="ENU85" s="2"/>
      <c r="ENV85" s="2"/>
      <c r="ENW85" s="2"/>
      <c r="ENX85" s="2"/>
      <c r="ENY85" s="2"/>
      <c r="ENZ85" s="2"/>
      <c r="EOA85" s="2"/>
      <c r="EOB85" s="2"/>
      <c r="EOC85" s="2"/>
      <c r="EOD85" s="2"/>
      <c r="EOE85" s="2"/>
      <c r="EOF85" s="2"/>
      <c r="EOG85" s="2"/>
      <c r="EOH85" s="2"/>
      <c r="EOI85" s="2"/>
      <c r="EOJ85" s="2"/>
      <c r="EOK85" s="2"/>
      <c r="EOL85" s="2"/>
      <c r="EOM85" s="2"/>
      <c r="EON85" s="2"/>
      <c r="EOO85" s="2"/>
      <c r="EOP85" s="2"/>
      <c r="EOQ85" s="2"/>
      <c r="EOR85" s="2"/>
      <c r="EOS85" s="2"/>
      <c r="EOT85" s="2"/>
      <c r="EOU85" s="2"/>
      <c r="EOV85" s="2"/>
      <c r="EOW85" s="2"/>
      <c r="EOX85" s="2"/>
      <c r="EOY85" s="2"/>
      <c r="EOZ85" s="2"/>
      <c r="EPA85" s="2"/>
      <c r="EPB85" s="2"/>
      <c r="EPC85" s="2"/>
      <c r="EPD85" s="2"/>
      <c r="EPE85" s="2"/>
      <c r="EPF85" s="2"/>
      <c r="EPG85" s="2"/>
      <c r="EPH85" s="2"/>
      <c r="EPI85" s="2"/>
      <c r="EPJ85" s="2"/>
      <c r="EPK85" s="2"/>
      <c r="EPL85" s="2"/>
      <c r="EPM85" s="2"/>
      <c r="EPN85" s="2"/>
      <c r="EPO85" s="2"/>
      <c r="EPP85" s="2"/>
      <c r="EPQ85" s="2"/>
      <c r="EPR85" s="2"/>
      <c r="EPS85" s="2"/>
      <c r="EPT85" s="2"/>
      <c r="EPU85" s="2"/>
      <c r="EPV85" s="2"/>
      <c r="EPW85" s="2"/>
      <c r="EPX85" s="2"/>
      <c r="EPY85" s="2"/>
      <c r="EPZ85" s="2"/>
      <c r="EQA85" s="2"/>
      <c r="EQB85" s="2"/>
      <c r="EQC85" s="2"/>
      <c r="EQD85" s="2"/>
      <c r="EQE85" s="2"/>
      <c r="EQF85" s="2"/>
      <c r="EQG85" s="2"/>
      <c r="EQH85" s="2"/>
      <c r="EQI85" s="2"/>
      <c r="EQJ85" s="2"/>
      <c r="EQK85" s="2"/>
      <c r="EQL85" s="2"/>
      <c r="EQM85" s="2"/>
      <c r="EQN85" s="2"/>
      <c r="EQO85" s="2"/>
      <c r="EQP85" s="2"/>
      <c r="EQQ85" s="2"/>
      <c r="EQR85" s="2"/>
      <c r="EQS85" s="2"/>
      <c r="EQT85" s="2"/>
      <c r="EQU85" s="2"/>
      <c r="EQV85" s="2"/>
      <c r="EQW85" s="2"/>
      <c r="EQX85" s="2"/>
      <c r="EQY85" s="2"/>
      <c r="EQZ85" s="2"/>
      <c r="ERA85" s="2"/>
      <c r="ERB85" s="2"/>
      <c r="ERC85" s="2"/>
      <c r="ERD85" s="2"/>
      <c r="ERE85" s="2"/>
      <c r="ERF85" s="2"/>
      <c r="ERG85" s="2"/>
      <c r="ERH85" s="2"/>
      <c r="ERI85" s="2"/>
      <c r="ERJ85" s="2"/>
      <c r="ERK85" s="2"/>
      <c r="ERL85" s="2"/>
      <c r="ERM85" s="2"/>
      <c r="ERN85" s="2"/>
      <c r="ERO85" s="2"/>
      <c r="ERP85" s="2"/>
      <c r="ERQ85" s="2"/>
      <c r="ERR85" s="2"/>
      <c r="ERS85" s="2"/>
      <c r="ERT85" s="2"/>
      <c r="ERU85" s="2"/>
      <c r="ERV85" s="2"/>
      <c r="ERW85" s="2"/>
      <c r="ERX85" s="2"/>
      <c r="ERY85" s="2"/>
      <c r="ERZ85" s="2"/>
      <c r="ESA85" s="2"/>
      <c r="ESB85" s="2"/>
      <c r="ESC85" s="2"/>
      <c r="ESD85" s="2"/>
      <c r="ESE85" s="2"/>
      <c r="ESF85" s="2"/>
      <c r="ESG85" s="2"/>
      <c r="ESH85" s="2"/>
      <c r="ESI85" s="2"/>
      <c r="ESJ85" s="2"/>
      <c r="ESK85" s="2"/>
      <c r="ESL85" s="2"/>
      <c r="ESM85" s="2"/>
      <c r="ESN85" s="2"/>
      <c r="ESO85" s="2"/>
      <c r="ESP85" s="2"/>
      <c r="ESQ85" s="2"/>
      <c r="ESR85" s="2"/>
      <c r="ESS85" s="2"/>
      <c r="EST85" s="2"/>
      <c r="ESU85" s="2"/>
      <c r="ESV85" s="2"/>
      <c r="ESW85" s="2"/>
      <c r="ESX85" s="2"/>
      <c r="ESY85" s="2"/>
      <c r="ESZ85" s="2"/>
      <c r="ETA85" s="2"/>
      <c r="ETB85" s="2"/>
      <c r="ETC85" s="2"/>
      <c r="ETD85" s="2"/>
      <c r="ETE85" s="2"/>
      <c r="ETF85" s="2"/>
      <c r="ETG85" s="2"/>
      <c r="ETH85" s="2"/>
      <c r="ETI85" s="2"/>
      <c r="ETJ85" s="2"/>
      <c r="ETK85" s="2"/>
      <c r="ETL85" s="2"/>
      <c r="ETM85" s="2"/>
      <c r="ETN85" s="2"/>
      <c r="ETO85" s="2"/>
      <c r="ETP85" s="2"/>
      <c r="ETQ85" s="2"/>
      <c r="ETR85" s="2"/>
      <c r="ETS85" s="2"/>
      <c r="ETT85" s="2"/>
      <c r="ETU85" s="2"/>
      <c r="ETV85" s="2"/>
      <c r="ETW85" s="2"/>
      <c r="ETX85" s="2"/>
      <c r="ETY85" s="2"/>
      <c r="ETZ85" s="2"/>
      <c r="EUA85" s="2"/>
      <c r="EUB85" s="2"/>
      <c r="EUC85" s="2"/>
      <c r="EUD85" s="2"/>
      <c r="EUE85" s="2"/>
      <c r="EUF85" s="2"/>
      <c r="EUG85" s="2"/>
      <c r="EUH85" s="2"/>
      <c r="EUI85" s="2"/>
      <c r="EUJ85" s="2"/>
      <c r="EUK85" s="2"/>
      <c r="EUL85" s="2"/>
      <c r="EUM85" s="2"/>
      <c r="EUN85" s="2"/>
      <c r="EUO85" s="2"/>
      <c r="EUP85" s="2"/>
      <c r="EUQ85" s="2"/>
      <c r="EUR85" s="2"/>
      <c r="EUS85" s="2"/>
      <c r="EUT85" s="2"/>
      <c r="EUU85" s="2"/>
      <c r="EUV85" s="2"/>
      <c r="EUW85" s="2"/>
      <c r="EUX85" s="2"/>
      <c r="EUY85" s="2"/>
      <c r="EUZ85" s="2"/>
      <c r="EVA85" s="2"/>
      <c r="EVB85" s="2"/>
      <c r="EVC85" s="2"/>
      <c r="EVD85" s="2"/>
      <c r="EVE85" s="2"/>
      <c r="EVF85" s="2"/>
      <c r="EVG85" s="2"/>
      <c r="EVH85" s="2"/>
      <c r="EVI85" s="2"/>
      <c r="EVJ85" s="2"/>
      <c r="EVK85" s="2"/>
      <c r="EVL85" s="2"/>
      <c r="EVM85" s="2"/>
      <c r="EVN85" s="2"/>
      <c r="EVO85" s="2"/>
      <c r="EVP85" s="2"/>
      <c r="EVQ85" s="2"/>
      <c r="EVR85" s="2"/>
      <c r="EVS85" s="2"/>
      <c r="EVT85" s="2"/>
      <c r="EVU85" s="2"/>
      <c r="EVV85" s="2"/>
      <c r="EVW85" s="2"/>
      <c r="EVX85" s="2"/>
      <c r="EVY85" s="2"/>
      <c r="EVZ85" s="2"/>
      <c r="EWA85" s="2"/>
      <c r="EWB85" s="2"/>
      <c r="EWC85" s="2"/>
      <c r="EWD85" s="2"/>
      <c r="EWE85" s="2"/>
      <c r="EWF85" s="2"/>
      <c r="EWG85" s="2"/>
      <c r="EWH85" s="2"/>
      <c r="EWI85" s="2"/>
      <c r="EWJ85" s="2"/>
      <c r="EWK85" s="2"/>
      <c r="EWL85" s="2"/>
      <c r="EWM85" s="2"/>
      <c r="EWN85" s="2"/>
      <c r="EWO85" s="2"/>
      <c r="EWP85" s="2"/>
      <c r="EWQ85" s="2"/>
      <c r="EWR85" s="2"/>
      <c r="EWS85" s="2"/>
      <c r="EWT85" s="2"/>
      <c r="EWU85" s="2"/>
      <c r="EWV85" s="2"/>
      <c r="EWW85" s="2"/>
      <c r="EWX85" s="2"/>
      <c r="EWY85" s="2"/>
      <c r="EWZ85" s="2"/>
      <c r="EXA85" s="2"/>
      <c r="EXB85" s="2"/>
      <c r="EXC85" s="2"/>
      <c r="EXD85" s="2"/>
      <c r="EXE85" s="2"/>
      <c r="EXF85" s="2"/>
      <c r="EXG85" s="2"/>
      <c r="EXH85" s="2"/>
      <c r="EXI85" s="2"/>
      <c r="EXJ85" s="2"/>
      <c r="EXK85" s="2"/>
      <c r="EXL85" s="2"/>
      <c r="EXM85" s="2"/>
      <c r="EXN85" s="2"/>
      <c r="EXO85" s="2"/>
      <c r="EXP85" s="2"/>
      <c r="EXQ85" s="2"/>
      <c r="EXR85" s="2"/>
      <c r="EXS85" s="2"/>
      <c r="EXT85" s="2"/>
      <c r="EXU85" s="2"/>
      <c r="EXV85" s="2"/>
      <c r="EXW85" s="2"/>
      <c r="EXX85" s="2"/>
      <c r="EXY85" s="2"/>
      <c r="EXZ85" s="2"/>
      <c r="EYA85" s="2"/>
      <c r="EYB85" s="2"/>
      <c r="EYC85" s="2"/>
      <c r="EYD85" s="2"/>
      <c r="EYE85" s="2"/>
      <c r="EYF85" s="2"/>
      <c r="EYG85" s="2"/>
      <c r="EYH85" s="2"/>
      <c r="EYI85" s="2"/>
      <c r="EYJ85" s="2"/>
      <c r="EYK85" s="2"/>
      <c r="EYL85" s="2"/>
      <c r="EYM85" s="2"/>
      <c r="EYN85" s="2"/>
      <c r="EYO85" s="2"/>
      <c r="EYP85" s="2"/>
      <c r="EYQ85" s="2"/>
      <c r="EYR85" s="2"/>
      <c r="EYS85" s="2"/>
      <c r="EYT85" s="2"/>
      <c r="EYU85" s="2"/>
      <c r="EYV85" s="2"/>
      <c r="EYW85" s="2"/>
      <c r="EYX85" s="2"/>
      <c r="EYY85" s="2"/>
      <c r="EYZ85" s="2"/>
      <c r="EZA85" s="2"/>
      <c r="EZB85" s="2"/>
      <c r="EZC85" s="2"/>
      <c r="EZD85" s="2"/>
      <c r="EZE85" s="2"/>
      <c r="EZF85" s="2"/>
      <c r="EZG85" s="2"/>
      <c r="EZH85" s="2"/>
      <c r="EZI85" s="2"/>
      <c r="EZJ85" s="2"/>
      <c r="EZK85" s="2"/>
      <c r="EZL85" s="2"/>
      <c r="EZM85" s="2"/>
      <c r="EZN85" s="2"/>
      <c r="EZO85" s="2"/>
      <c r="EZP85" s="2"/>
      <c r="EZQ85" s="2"/>
      <c r="EZR85" s="2"/>
      <c r="EZS85" s="2"/>
      <c r="EZT85" s="2"/>
      <c r="EZU85" s="2"/>
      <c r="EZV85" s="2"/>
      <c r="EZW85" s="2"/>
      <c r="EZX85" s="2"/>
      <c r="EZY85" s="2"/>
      <c r="EZZ85" s="2"/>
      <c r="FAA85" s="2"/>
      <c r="FAB85" s="2"/>
      <c r="FAC85" s="2"/>
      <c r="FAD85" s="2"/>
      <c r="FAE85" s="2"/>
      <c r="FAF85" s="2"/>
      <c r="FAG85" s="2"/>
      <c r="FAH85" s="2"/>
      <c r="FAI85" s="2"/>
      <c r="FAJ85" s="2"/>
      <c r="FAK85" s="2"/>
      <c r="FAL85" s="2"/>
      <c r="FAM85" s="2"/>
      <c r="FAN85" s="2"/>
      <c r="FAO85" s="2"/>
      <c r="FAP85" s="2"/>
      <c r="FAQ85" s="2"/>
      <c r="FAR85" s="2"/>
      <c r="FAS85" s="2"/>
      <c r="FAT85" s="2"/>
      <c r="FAU85" s="2"/>
      <c r="FAV85" s="2"/>
      <c r="FAW85" s="2"/>
      <c r="FAX85" s="2"/>
      <c r="FAY85" s="2"/>
      <c r="FAZ85" s="2"/>
      <c r="FBA85" s="2"/>
      <c r="FBB85" s="2"/>
      <c r="FBC85" s="2"/>
      <c r="FBD85" s="2"/>
      <c r="FBE85" s="2"/>
      <c r="FBF85" s="2"/>
      <c r="FBG85" s="2"/>
      <c r="FBH85" s="2"/>
      <c r="FBI85" s="2"/>
      <c r="FBJ85" s="2"/>
      <c r="FBK85" s="2"/>
      <c r="FBL85" s="2"/>
      <c r="FBM85" s="2"/>
      <c r="FBN85" s="2"/>
      <c r="FBO85" s="2"/>
      <c r="FBP85" s="2"/>
      <c r="FBQ85" s="2"/>
      <c r="FBR85" s="2"/>
      <c r="FBS85" s="2"/>
      <c r="FBT85" s="2"/>
      <c r="FBU85" s="2"/>
      <c r="FBV85" s="2"/>
      <c r="FBW85" s="2"/>
      <c r="FBX85" s="2"/>
      <c r="FBY85" s="2"/>
      <c r="FBZ85" s="2"/>
      <c r="FCA85" s="2"/>
      <c r="FCB85" s="2"/>
      <c r="FCC85" s="2"/>
      <c r="FCD85" s="2"/>
      <c r="FCE85" s="2"/>
      <c r="FCF85" s="2"/>
      <c r="FCG85" s="2"/>
      <c r="FCH85" s="2"/>
      <c r="FCI85" s="2"/>
      <c r="FCJ85" s="2"/>
      <c r="FCK85" s="2"/>
      <c r="FCL85" s="2"/>
      <c r="FCM85" s="2"/>
      <c r="FCN85" s="2"/>
      <c r="FCO85" s="2"/>
      <c r="FCP85" s="2"/>
      <c r="FCQ85" s="2"/>
      <c r="FCR85" s="2"/>
      <c r="FCS85" s="2"/>
      <c r="FCT85" s="2"/>
      <c r="FCU85" s="2"/>
      <c r="FCV85" s="2"/>
      <c r="FCW85" s="2"/>
      <c r="FCX85" s="2"/>
      <c r="FCY85" s="2"/>
      <c r="FCZ85" s="2"/>
      <c r="FDA85" s="2"/>
      <c r="FDB85" s="2"/>
      <c r="FDC85" s="2"/>
      <c r="FDD85" s="2"/>
      <c r="FDE85" s="2"/>
      <c r="FDF85" s="2"/>
      <c r="FDG85" s="2"/>
      <c r="FDH85" s="2"/>
      <c r="FDI85" s="2"/>
      <c r="FDJ85" s="2"/>
      <c r="FDK85" s="2"/>
      <c r="FDL85" s="2"/>
      <c r="FDM85" s="2"/>
      <c r="FDN85" s="2"/>
      <c r="FDO85" s="2"/>
      <c r="FDP85" s="2"/>
      <c r="FDQ85" s="2"/>
      <c r="FDR85" s="2"/>
      <c r="FDS85" s="2"/>
      <c r="FDT85" s="2"/>
      <c r="FDU85" s="2"/>
      <c r="FDV85" s="2"/>
      <c r="FDW85" s="2"/>
      <c r="FDX85" s="2"/>
      <c r="FDY85" s="2"/>
      <c r="FDZ85" s="2"/>
      <c r="FEA85" s="2"/>
      <c r="FEB85" s="2"/>
      <c r="FEC85" s="2"/>
      <c r="FED85" s="2"/>
      <c r="FEE85" s="2"/>
      <c r="FEF85" s="2"/>
      <c r="FEG85" s="2"/>
      <c r="FEH85" s="2"/>
      <c r="FEI85" s="2"/>
      <c r="FEJ85" s="2"/>
      <c r="FEK85" s="2"/>
      <c r="FEL85" s="2"/>
      <c r="FEM85" s="2"/>
      <c r="FEN85" s="2"/>
      <c r="FEO85" s="2"/>
      <c r="FEP85" s="2"/>
      <c r="FEQ85" s="2"/>
      <c r="FER85" s="2"/>
      <c r="FES85" s="2"/>
      <c r="FET85" s="2"/>
      <c r="FEU85" s="2"/>
      <c r="FEV85" s="2"/>
      <c r="FEW85" s="2"/>
      <c r="FEX85" s="2"/>
      <c r="FEY85" s="2"/>
      <c r="FEZ85" s="2"/>
      <c r="FFA85" s="2"/>
      <c r="FFB85" s="2"/>
      <c r="FFC85" s="2"/>
      <c r="FFD85" s="2"/>
      <c r="FFE85" s="2"/>
      <c r="FFF85" s="2"/>
      <c r="FFG85" s="2"/>
      <c r="FFH85" s="2"/>
      <c r="FFI85" s="2"/>
      <c r="FFJ85" s="2"/>
      <c r="FFK85" s="2"/>
      <c r="FFL85" s="2"/>
      <c r="FFM85" s="2"/>
      <c r="FFN85" s="2"/>
      <c r="FFO85" s="2"/>
      <c r="FFP85" s="2"/>
      <c r="FFQ85" s="2"/>
      <c r="FFR85" s="2"/>
      <c r="FFS85" s="2"/>
      <c r="FFT85" s="2"/>
      <c r="FFU85" s="2"/>
      <c r="FFV85" s="2"/>
      <c r="FFW85" s="2"/>
      <c r="FFX85" s="2"/>
      <c r="FFY85" s="2"/>
      <c r="FFZ85" s="2"/>
      <c r="FGA85" s="2"/>
      <c r="FGB85" s="2"/>
      <c r="FGC85" s="2"/>
      <c r="FGD85" s="2"/>
      <c r="FGE85" s="2"/>
      <c r="FGF85" s="2"/>
      <c r="FGG85" s="2"/>
      <c r="FGH85" s="2"/>
      <c r="FGI85" s="2"/>
      <c r="FGJ85" s="2"/>
      <c r="FGK85" s="2"/>
      <c r="FGL85" s="2"/>
      <c r="FGM85" s="2"/>
      <c r="FGN85" s="2"/>
      <c r="FGO85" s="2"/>
      <c r="FGP85" s="2"/>
      <c r="FGQ85" s="2"/>
      <c r="FGR85" s="2"/>
      <c r="FGS85" s="2"/>
      <c r="FGT85" s="2"/>
      <c r="FGU85" s="2"/>
      <c r="FGV85" s="2"/>
      <c r="FGW85" s="2"/>
      <c r="FGX85" s="2"/>
      <c r="FGY85" s="2"/>
      <c r="FGZ85" s="2"/>
      <c r="FHA85" s="2"/>
      <c r="FHB85" s="2"/>
      <c r="FHC85" s="2"/>
      <c r="FHD85" s="2"/>
      <c r="FHE85" s="2"/>
      <c r="FHF85" s="2"/>
      <c r="FHG85" s="2"/>
      <c r="FHH85" s="2"/>
      <c r="FHI85" s="2"/>
      <c r="FHJ85" s="2"/>
      <c r="FHK85" s="2"/>
      <c r="FHL85" s="2"/>
      <c r="FHM85" s="2"/>
      <c r="FHN85" s="2"/>
      <c r="FHO85" s="2"/>
      <c r="FHP85" s="2"/>
      <c r="FHQ85" s="2"/>
      <c r="FHR85" s="2"/>
      <c r="FHS85" s="2"/>
      <c r="FHT85" s="2"/>
      <c r="FHU85" s="2"/>
      <c r="FHV85" s="2"/>
      <c r="FHW85" s="2"/>
      <c r="FHX85" s="2"/>
      <c r="FHY85" s="2"/>
      <c r="FHZ85" s="2"/>
      <c r="FIA85" s="2"/>
      <c r="FIB85" s="2"/>
      <c r="FIC85" s="2"/>
      <c r="FID85" s="2"/>
      <c r="FIE85" s="2"/>
      <c r="FIF85" s="2"/>
      <c r="FIG85" s="2"/>
      <c r="FIH85" s="2"/>
      <c r="FII85" s="2"/>
      <c r="FIJ85" s="2"/>
      <c r="FIK85" s="2"/>
      <c r="FIL85" s="2"/>
      <c r="FIM85" s="2"/>
      <c r="FIN85" s="2"/>
      <c r="FIO85" s="2"/>
      <c r="FIP85" s="2"/>
      <c r="FIQ85" s="2"/>
      <c r="FIR85" s="2"/>
      <c r="FIS85" s="2"/>
      <c r="FIT85" s="2"/>
      <c r="FIU85" s="2"/>
      <c r="FIV85" s="2"/>
      <c r="FIW85" s="2"/>
      <c r="FIX85" s="2"/>
      <c r="FIY85" s="2"/>
      <c r="FIZ85" s="2"/>
      <c r="FJA85" s="2"/>
      <c r="FJB85" s="2"/>
      <c r="FJC85" s="2"/>
      <c r="FJD85" s="2"/>
      <c r="FJE85" s="2"/>
      <c r="FJF85" s="2"/>
      <c r="FJG85" s="2"/>
      <c r="FJH85" s="2"/>
      <c r="FJI85" s="2"/>
      <c r="FJJ85" s="2"/>
      <c r="FJK85" s="2"/>
      <c r="FJL85" s="2"/>
      <c r="FJM85" s="2"/>
      <c r="FJN85" s="2"/>
      <c r="FJO85" s="2"/>
      <c r="FJP85" s="2"/>
      <c r="FJQ85" s="2"/>
      <c r="FJR85" s="2"/>
      <c r="FJS85" s="2"/>
      <c r="FJT85" s="2"/>
      <c r="FJU85" s="2"/>
      <c r="FJV85" s="2"/>
      <c r="FJW85" s="2"/>
      <c r="FJX85" s="2"/>
      <c r="FJY85" s="2"/>
      <c r="FJZ85" s="2"/>
      <c r="FKA85" s="2"/>
      <c r="FKB85" s="2"/>
      <c r="FKC85" s="2"/>
      <c r="FKD85" s="2"/>
      <c r="FKE85" s="2"/>
      <c r="FKF85" s="2"/>
      <c r="FKG85" s="2"/>
      <c r="FKH85" s="2"/>
      <c r="FKI85" s="2"/>
      <c r="FKJ85" s="2"/>
      <c r="FKK85" s="2"/>
      <c r="FKL85" s="2"/>
      <c r="FKM85" s="2"/>
      <c r="FKN85" s="2"/>
      <c r="FKO85" s="2"/>
      <c r="FKP85" s="2"/>
      <c r="FKQ85" s="2"/>
      <c r="FKR85" s="2"/>
      <c r="FKS85" s="2"/>
      <c r="FKT85" s="2"/>
      <c r="FKU85" s="2"/>
      <c r="FKV85" s="2"/>
      <c r="FKW85" s="2"/>
      <c r="FKX85" s="2"/>
      <c r="FKY85" s="2"/>
      <c r="FKZ85" s="2"/>
      <c r="FLA85" s="2"/>
      <c r="FLB85" s="2"/>
      <c r="FLC85" s="2"/>
      <c r="FLD85" s="2"/>
      <c r="FLE85" s="2"/>
      <c r="FLF85" s="2"/>
      <c r="FLG85" s="2"/>
      <c r="FLH85" s="2"/>
      <c r="FLI85" s="2"/>
      <c r="FLJ85" s="2"/>
      <c r="FLK85" s="2"/>
      <c r="FLL85" s="2"/>
      <c r="FLM85" s="2"/>
      <c r="FLN85" s="2"/>
      <c r="FLO85" s="2"/>
      <c r="FLP85" s="2"/>
      <c r="FLQ85" s="2"/>
      <c r="FLR85" s="2"/>
      <c r="FLS85" s="2"/>
      <c r="FLT85" s="2"/>
      <c r="FLU85" s="2"/>
      <c r="FLV85" s="2"/>
      <c r="FLW85" s="2"/>
      <c r="FLX85" s="2"/>
      <c r="FLY85" s="2"/>
      <c r="FLZ85" s="2"/>
      <c r="FMA85" s="2"/>
      <c r="FMB85" s="2"/>
      <c r="FMC85" s="2"/>
      <c r="FMD85" s="2"/>
      <c r="FME85" s="2"/>
      <c r="FMF85" s="2"/>
      <c r="FMG85" s="2"/>
      <c r="FMH85" s="2"/>
      <c r="FMI85" s="2"/>
      <c r="FMJ85" s="2"/>
      <c r="FMK85" s="2"/>
      <c r="FML85" s="2"/>
      <c r="FMM85" s="2"/>
      <c r="FMN85" s="2"/>
      <c r="FMO85" s="2"/>
      <c r="FMP85" s="2"/>
      <c r="FMQ85" s="2"/>
      <c r="FMR85" s="2"/>
      <c r="FMS85" s="2"/>
      <c r="FMT85" s="2"/>
      <c r="FMU85" s="2"/>
      <c r="FMV85" s="2"/>
      <c r="FMW85" s="2"/>
      <c r="FMX85" s="2"/>
      <c r="FMY85" s="2"/>
      <c r="FMZ85" s="2"/>
      <c r="FNA85" s="2"/>
      <c r="FNB85" s="2"/>
      <c r="FNC85" s="2"/>
      <c r="FND85" s="2"/>
      <c r="FNE85" s="2"/>
      <c r="FNF85" s="2"/>
      <c r="FNG85" s="2"/>
      <c r="FNH85" s="2"/>
      <c r="FNI85" s="2"/>
      <c r="FNJ85" s="2"/>
      <c r="FNK85" s="2"/>
      <c r="FNL85" s="2"/>
      <c r="FNM85" s="2"/>
      <c r="FNN85" s="2"/>
      <c r="FNO85" s="2"/>
      <c r="FNP85" s="2"/>
      <c r="FNQ85" s="2"/>
      <c r="FNR85" s="2"/>
      <c r="FNS85" s="2"/>
      <c r="FNT85" s="2"/>
      <c r="FNU85" s="2"/>
      <c r="FNV85" s="2"/>
      <c r="FNW85" s="2"/>
      <c r="FNX85" s="2"/>
      <c r="FNY85" s="2"/>
      <c r="FNZ85" s="2"/>
      <c r="FOA85" s="2"/>
      <c r="FOB85" s="2"/>
      <c r="FOC85" s="2"/>
      <c r="FOD85" s="2"/>
      <c r="FOE85" s="2"/>
      <c r="FOF85" s="2"/>
      <c r="FOG85" s="2"/>
      <c r="FOH85" s="2"/>
      <c r="FOI85" s="2"/>
      <c r="FOJ85" s="2"/>
      <c r="FOK85" s="2"/>
      <c r="FOL85" s="2"/>
      <c r="FOM85" s="2"/>
      <c r="FON85" s="2"/>
      <c r="FOO85" s="2"/>
      <c r="FOP85" s="2"/>
      <c r="FOQ85" s="2"/>
      <c r="FOR85" s="2"/>
      <c r="FOS85" s="2"/>
      <c r="FOT85" s="2"/>
      <c r="FOU85" s="2"/>
      <c r="FOV85" s="2"/>
      <c r="FOW85" s="2"/>
      <c r="FOX85" s="2"/>
      <c r="FOY85" s="2"/>
      <c r="FOZ85" s="2"/>
      <c r="FPA85" s="2"/>
      <c r="FPB85" s="2"/>
      <c r="FPC85" s="2"/>
      <c r="FPD85" s="2"/>
      <c r="FPE85" s="2"/>
      <c r="FPF85" s="2"/>
      <c r="FPG85" s="2"/>
      <c r="FPH85" s="2"/>
      <c r="FPI85" s="2"/>
      <c r="FPJ85" s="2"/>
      <c r="FPK85" s="2"/>
      <c r="FPL85" s="2"/>
      <c r="FPM85" s="2"/>
      <c r="FPN85" s="2"/>
      <c r="FPO85" s="2"/>
      <c r="FPP85" s="2"/>
      <c r="FPQ85" s="2"/>
      <c r="FPR85" s="2"/>
      <c r="FPS85" s="2"/>
      <c r="FPT85" s="2"/>
      <c r="FPU85" s="2"/>
      <c r="FPV85" s="2"/>
      <c r="FPW85" s="2"/>
      <c r="FPX85" s="2"/>
      <c r="FPY85" s="2"/>
      <c r="FPZ85" s="2"/>
      <c r="FQA85" s="2"/>
      <c r="FQB85" s="2"/>
      <c r="FQC85" s="2"/>
      <c r="FQD85" s="2"/>
      <c r="FQE85" s="2"/>
      <c r="FQF85" s="2"/>
      <c r="FQG85" s="2"/>
      <c r="FQH85" s="2"/>
      <c r="FQI85" s="2"/>
      <c r="FQJ85" s="2"/>
      <c r="FQK85" s="2"/>
      <c r="FQL85" s="2"/>
      <c r="FQM85" s="2"/>
      <c r="FQN85" s="2"/>
      <c r="FQO85" s="2"/>
      <c r="FQP85" s="2"/>
      <c r="FQQ85" s="2"/>
      <c r="FQR85" s="2"/>
      <c r="FQS85" s="2"/>
      <c r="FQT85" s="2"/>
      <c r="FQU85" s="2"/>
      <c r="FQV85" s="2"/>
      <c r="FQW85" s="2"/>
      <c r="FQX85" s="2"/>
      <c r="FQY85" s="2"/>
      <c r="FQZ85" s="2"/>
      <c r="FRA85" s="2"/>
      <c r="FRB85" s="2"/>
      <c r="FRC85" s="2"/>
      <c r="FRD85" s="2"/>
      <c r="FRE85" s="2"/>
      <c r="FRF85" s="2"/>
      <c r="FRG85" s="2"/>
      <c r="FRH85" s="2"/>
      <c r="FRI85" s="2"/>
      <c r="FRJ85" s="2"/>
      <c r="FRK85" s="2"/>
      <c r="FRL85" s="2"/>
      <c r="FRM85" s="2"/>
      <c r="FRN85" s="2"/>
      <c r="FRO85" s="2"/>
      <c r="FRP85" s="2"/>
      <c r="FRQ85" s="2"/>
      <c r="FRR85" s="2"/>
      <c r="FRS85" s="2"/>
      <c r="FRT85" s="2"/>
      <c r="FRU85" s="2"/>
      <c r="FRV85" s="2"/>
      <c r="FRW85" s="2"/>
      <c r="FRX85" s="2"/>
      <c r="FRY85" s="2"/>
      <c r="FRZ85" s="2"/>
      <c r="FSA85" s="2"/>
      <c r="FSB85" s="2"/>
      <c r="FSC85" s="2"/>
      <c r="FSD85" s="2"/>
      <c r="FSE85" s="2"/>
      <c r="FSF85" s="2"/>
      <c r="FSG85" s="2"/>
      <c r="FSH85" s="2"/>
      <c r="FSI85" s="2"/>
      <c r="FSJ85" s="2"/>
      <c r="FSK85" s="2"/>
      <c r="FSL85" s="2"/>
      <c r="FSM85" s="2"/>
      <c r="FSN85" s="2"/>
      <c r="FSO85" s="2"/>
      <c r="FSP85" s="2"/>
      <c r="FSQ85" s="2"/>
      <c r="FSR85" s="2"/>
      <c r="FSS85" s="2"/>
      <c r="FST85" s="2"/>
      <c r="FSU85" s="2"/>
      <c r="FSV85" s="2"/>
      <c r="FSW85" s="2"/>
      <c r="FSX85" s="2"/>
      <c r="FSY85" s="2"/>
      <c r="FSZ85" s="2"/>
      <c r="FTA85" s="2"/>
      <c r="FTB85" s="2"/>
      <c r="FTC85" s="2"/>
      <c r="FTD85" s="2"/>
      <c r="FTE85" s="2"/>
      <c r="FTF85" s="2"/>
      <c r="FTG85" s="2"/>
      <c r="FTH85" s="2"/>
      <c r="FTI85" s="2"/>
      <c r="FTJ85" s="2"/>
      <c r="FTK85" s="2"/>
      <c r="FTL85" s="2"/>
      <c r="FTM85" s="2"/>
      <c r="FTN85" s="2"/>
      <c r="FTO85" s="2"/>
      <c r="FTP85" s="2"/>
      <c r="FTQ85" s="2"/>
      <c r="FTR85" s="2"/>
      <c r="FTS85" s="2"/>
      <c r="FTT85" s="2"/>
      <c r="FTU85" s="2"/>
      <c r="FTV85" s="2"/>
      <c r="FTW85" s="2"/>
      <c r="FTX85" s="2"/>
      <c r="FTY85" s="2"/>
      <c r="FTZ85" s="2"/>
      <c r="FUA85" s="2"/>
      <c r="FUB85" s="2"/>
      <c r="FUC85" s="2"/>
      <c r="FUD85" s="2"/>
      <c r="FUE85" s="2"/>
      <c r="FUF85" s="2"/>
      <c r="FUG85" s="2"/>
      <c r="FUH85" s="2"/>
      <c r="FUI85" s="2"/>
      <c r="FUJ85" s="2"/>
      <c r="FUK85" s="2"/>
      <c r="FUL85" s="2"/>
      <c r="FUM85" s="2"/>
      <c r="FUN85" s="2"/>
      <c r="FUO85" s="2"/>
      <c r="FUP85" s="2"/>
      <c r="FUQ85" s="2"/>
      <c r="FUR85" s="2"/>
      <c r="FUS85" s="2"/>
      <c r="FUT85" s="2"/>
      <c r="FUU85" s="2"/>
      <c r="FUV85" s="2"/>
      <c r="FUW85" s="2"/>
      <c r="FUX85" s="2"/>
      <c r="FUY85" s="2"/>
      <c r="FUZ85" s="2"/>
      <c r="FVA85" s="2"/>
      <c r="FVB85" s="2"/>
      <c r="FVC85" s="2"/>
      <c r="FVD85" s="2"/>
      <c r="FVE85" s="2"/>
      <c r="FVF85" s="2"/>
      <c r="FVG85" s="2"/>
      <c r="FVH85" s="2"/>
      <c r="FVI85" s="2"/>
      <c r="FVJ85" s="2"/>
      <c r="FVK85" s="2"/>
      <c r="FVL85" s="2"/>
      <c r="FVM85" s="2"/>
      <c r="FVN85" s="2"/>
      <c r="FVO85" s="2"/>
      <c r="FVP85" s="2"/>
      <c r="FVQ85" s="2"/>
      <c r="FVR85" s="2"/>
      <c r="FVS85" s="2"/>
      <c r="FVT85" s="2"/>
      <c r="FVU85" s="2"/>
      <c r="FVV85" s="2"/>
      <c r="FVW85" s="2"/>
      <c r="FVX85" s="2"/>
      <c r="FVY85" s="2"/>
      <c r="FVZ85" s="2"/>
      <c r="FWA85" s="2"/>
      <c r="FWB85" s="2"/>
      <c r="FWC85" s="2"/>
      <c r="FWD85" s="2"/>
      <c r="FWE85" s="2"/>
      <c r="FWF85" s="2"/>
      <c r="FWG85" s="2"/>
      <c r="FWH85" s="2"/>
      <c r="FWI85" s="2"/>
      <c r="FWJ85" s="2"/>
      <c r="FWK85" s="2"/>
      <c r="FWL85" s="2"/>
      <c r="FWM85" s="2"/>
      <c r="FWN85" s="2"/>
      <c r="FWO85" s="2"/>
      <c r="FWP85" s="2"/>
      <c r="FWQ85" s="2"/>
      <c r="FWR85" s="2"/>
      <c r="FWS85" s="2"/>
      <c r="FWT85" s="2"/>
      <c r="FWU85" s="2"/>
      <c r="FWV85" s="2"/>
      <c r="FWW85" s="2"/>
      <c r="FWX85" s="2"/>
      <c r="FWY85" s="2"/>
      <c r="FWZ85" s="2"/>
      <c r="FXA85" s="2"/>
      <c r="FXB85" s="2"/>
      <c r="FXC85" s="2"/>
      <c r="FXD85" s="2"/>
      <c r="FXE85" s="2"/>
      <c r="FXF85" s="2"/>
      <c r="FXG85" s="2"/>
      <c r="FXH85" s="2"/>
      <c r="FXI85" s="2"/>
      <c r="FXJ85" s="2"/>
      <c r="FXK85" s="2"/>
      <c r="FXL85" s="2"/>
      <c r="FXM85" s="2"/>
      <c r="FXN85" s="2"/>
      <c r="FXO85" s="2"/>
      <c r="FXP85" s="2"/>
      <c r="FXQ85" s="2"/>
      <c r="FXR85" s="2"/>
      <c r="FXS85" s="2"/>
      <c r="FXT85" s="2"/>
      <c r="FXU85" s="2"/>
      <c r="FXV85" s="2"/>
      <c r="FXW85" s="2"/>
      <c r="FXX85" s="2"/>
      <c r="FXY85" s="2"/>
      <c r="FXZ85" s="2"/>
      <c r="FYA85" s="2"/>
      <c r="FYB85" s="2"/>
      <c r="FYC85" s="2"/>
      <c r="FYD85" s="2"/>
      <c r="FYE85" s="2"/>
      <c r="FYF85" s="2"/>
      <c r="FYG85" s="2"/>
      <c r="FYH85" s="2"/>
      <c r="FYI85" s="2"/>
      <c r="FYJ85" s="2"/>
      <c r="FYK85" s="2"/>
      <c r="FYL85" s="2"/>
      <c r="FYM85" s="2"/>
      <c r="FYN85" s="2"/>
      <c r="FYO85" s="2"/>
      <c r="FYP85" s="2"/>
      <c r="FYQ85" s="2"/>
      <c r="FYR85" s="2"/>
      <c r="FYS85" s="2"/>
      <c r="FYT85" s="2"/>
      <c r="FYU85" s="2"/>
      <c r="FYV85" s="2"/>
      <c r="FYW85" s="2"/>
      <c r="FYX85" s="2"/>
      <c r="FYY85" s="2"/>
      <c r="FYZ85" s="2"/>
      <c r="FZA85" s="2"/>
      <c r="FZB85" s="2"/>
      <c r="FZC85" s="2"/>
      <c r="FZD85" s="2"/>
      <c r="FZE85" s="2"/>
      <c r="FZF85" s="2"/>
      <c r="FZG85" s="2"/>
      <c r="FZH85" s="2"/>
      <c r="FZI85" s="2"/>
      <c r="FZJ85" s="2"/>
      <c r="FZK85" s="2"/>
      <c r="FZL85" s="2"/>
      <c r="FZM85" s="2"/>
      <c r="FZN85" s="2"/>
      <c r="FZO85" s="2"/>
      <c r="FZP85" s="2"/>
      <c r="FZQ85" s="2"/>
      <c r="FZR85" s="2"/>
      <c r="FZS85" s="2"/>
      <c r="FZT85" s="2"/>
      <c r="FZU85" s="2"/>
      <c r="FZV85" s="2"/>
      <c r="FZW85" s="2"/>
      <c r="FZX85" s="2"/>
      <c r="FZY85" s="2"/>
      <c r="FZZ85" s="2"/>
      <c r="GAA85" s="2"/>
      <c r="GAB85" s="2"/>
      <c r="GAC85" s="2"/>
      <c r="GAD85" s="2"/>
      <c r="GAE85" s="2"/>
      <c r="GAF85" s="2"/>
      <c r="GAG85" s="2"/>
      <c r="GAH85" s="2"/>
      <c r="GAI85" s="2"/>
      <c r="GAJ85" s="2"/>
      <c r="GAK85" s="2"/>
      <c r="GAL85" s="2"/>
      <c r="GAM85" s="2"/>
      <c r="GAN85" s="2"/>
      <c r="GAO85" s="2"/>
      <c r="GAP85" s="2"/>
      <c r="GAQ85" s="2"/>
      <c r="GAR85" s="2"/>
      <c r="GAS85" s="2"/>
      <c r="GAT85" s="2"/>
      <c r="GAU85" s="2"/>
      <c r="GAV85" s="2"/>
      <c r="GAW85" s="2"/>
      <c r="GAX85" s="2"/>
      <c r="GAY85" s="2"/>
      <c r="GAZ85" s="2"/>
      <c r="GBA85" s="2"/>
      <c r="GBB85" s="2"/>
      <c r="GBC85" s="2"/>
      <c r="GBD85" s="2"/>
      <c r="GBE85" s="2"/>
      <c r="GBF85" s="2"/>
      <c r="GBG85" s="2"/>
      <c r="GBH85" s="2"/>
      <c r="GBI85" s="2"/>
      <c r="GBJ85" s="2"/>
      <c r="GBK85" s="2"/>
      <c r="GBL85" s="2"/>
      <c r="GBM85" s="2"/>
      <c r="GBN85" s="2"/>
      <c r="GBO85" s="2"/>
      <c r="GBP85" s="2"/>
      <c r="GBQ85" s="2"/>
      <c r="GBR85" s="2"/>
      <c r="GBS85" s="2"/>
      <c r="GBT85" s="2"/>
      <c r="GBU85" s="2"/>
      <c r="GBV85" s="2"/>
      <c r="GBW85" s="2"/>
      <c r="GBX85" s="2"/>
      <c r="GBY85" s="2"/>
      <c r="GBZ85" s="2"/>
      <c r="GCA85" s="2"/>
      <c r="GCB85" s="2"/>
      <c r="GCC85" s="2"/>
      <c r="GCD85" s="2"/>
      <c r="GCE85" s="2"/>
      <c r="GCF85" s="2"/>
      <c r="GCG85" s="2"/>
      <c r="GCH85" s="2"/>
      <c r="GCI85" s="2"/>
      <c r="GCJ85" s="2"/>
      <c r="GCK85" s="2"/>
      <c r="GCL85" s="2"/>
      <c r="GCM85" s="2"/>
      <c r="GCN85" s="2"/>
      <c r="GCO85" s="2"/>
      <c r="GCP85" s="2"/>
      <c r="GCQ85" s="2"/>
      <c r="GCR85" s="2"/>
      <c r="GCS85" s="2"/>
      <c r="GCT85" s="2"/>
      <c r="GCU85" s="2"/>
      <c r="GCV85" s="2"/>
      <c r="GCW85" s="2"/>
      <c r="GCX85" s="2"/>
      <c r="GCY85" s="2"/>
      <c r="GCZ85" s="2"/>
      <c r="GDA85" s="2"/>
      <c r="GDB85" s="2"/>
      <c r="GDC85" s="2"/>
      <c r="GDD85" s="2"/>
      <c r="GDE85" s="2"/>
      <c r="GDF85" s="2"/>
      <c r="GDG85" s="2"/>
      <c r="GDH85" s="2"/>
      <c r="GDI85" s="2"/>
      <c r="GDJ85" s="2"/>
      <c r="GDK85" s="2"/>
      <c r="GDL85" s="2"/>
      <c r="GDM85" s="2"/>
      <c r="GDN85" s="2"/>
      <c r="GDO85" s="2"/>
      <c r="GDP85" s="2"/>
      <c r="GDQ85" s="2"/>
      <c r="GDR85" s="2"/>
      <c r="GDS85" s="2"/>
      <c r="GDT85" s="2"/>
      <c r="GDU85" s="2"/>
      <c r="GDV85" s="2"/>
      <c r="GDW85" s="2"/>
      <c r="GDX85" s="2"/>
      <c r="GDY85" s="2"/>
      <c r="GDZ85" s="2"/>
      <c r="GEA85" s="2"/>
      <c r="GEB85" s="2"/>
      <c r="GEC85" s="2"/>
      <c r="GED85" s="2"/>
      <c r="GEE85" s="2"/>
      <c r="GEF85" s="2"/>
      <c r="GEG85" s="2"/>
      <c r="GEH85" s="2"/>
      <c r="GEI85" s="2"/>
      <c r="GEJ85" s="2"/>
      <c r="GEK85" s="2"/>
      <c r="GEL85" s="2"/>
      <c r="GEM85" s="2"/>
      <c r="GEN85" s="2"/>
      <c r="GEO85" s="2"/>
      <c r="GEP85" s="2"/>
      <c r="GEQ85" s="2"/>
      <c r="GER85" s="2"/>
      <c r="GES85" s="2"/>
      <c r="GET85" s="2"/>
      <c r="GEU85" s="2"/>
      <c r="GEV85" s="2"/>
      <c r="GEW85" s="2"/>
      <c r="GEX85" s="2"/>
      <c r="GEY85" s="2"/>
      <c r="GEZ85" s="2"/>
      <c r="GFA85" s="2"/>
      <c r="GFB85" s="2"/>
      <c r="GFC85" s="2"/>
      <c r="GFD85" s="2"/>
      <c r="GFE85" s="2"/>
      <c r="GFF85" s="2"/>
      <c r="GFG85" s="2"/>
      <c r="GFH85" s="2"/>
      <c r="GFI85" s="2"/>
      <c r="GFJ85" s="2"/>
      <c r="GFK85" s="2"/>
      <c r="GFL85" s="2"/>
      <c r="GFM85" s="2"/>
      <c r="GFN85" s="2"/>
      <c r="GFO85" s="2"/>
      <c r="GFP85" s="2"/>
      <c r="GFQ85" s="2"/>
      <c r="GFR85" s="2"/>
      <c r="GFS85" s="2"/>
      <c r="GFT85" s="2"/>
      <c r="GFU85" s="2"/>
      <c r="GFV85" s="2"/>
      <c r="GFW85" s="2"/>
      <c r="GFX85" s="2"/>
      <c r="GFY85" s="2"/>
      <c r="GFZ85" s="2"/>
      <c r="GGA85" s="2"/>
      <c r="GGB85" s="2"/>
      <c r="GGC85" s="2"/>
      <c r="GGD85" s="2"/>
      <c r="GGE85" s="2"/>
      <c r="GGF85" s="2"/>
      <c r="GGG85" s="2"/>
      <c r="GGH85" s="2"/>
      <c r="GGI85" s="2"/>
      <c r="GGJ85" s="2"/>
      <c r="GGK85" s="2"/>
      <c r="GGL85" s="2"/>
      <c r="GGM85" s="2"/>
      <c r="GGN85" s="2"/>
      <c r="GGO85" s="2"/>
      <c r="GGP85" s="2"/>
      <c r="GGQ85" s="2"/>
      <c r="GGR85" s="2"/>
      <c r="GGS85" s="2"/>
      <c r="GGT85" s="2"/>
      <c r="GGU85" s="2"/>
      <c r="GGV85" s="2"/>
      <c r="GGW85" s="2"/>
      <c r="GGX85" s="2"/>
      <c r="GGY85" s="2"/>
      <c r="GGZ85" s="2"/>
      <c r="GHA85" s="2"/>
      <c r="GHB85" s="2"/>
      <c r="GHC85" s="2"/>
      <c r="GHD85" s="2"/>
      <c r="GHE85" s="2"/>
      <c r="GHF85" s="2"/>
      <c r="GHG85" s="2"/>
      <c r="GHH85" s="2"/>
      <c r="GHI85" s="2"/>
      <c r="GHJ85" s="2"/>
      <c r="GHK85" s="2"/>
      <c r="GHL85" s="2"/>
      <c r="GHM85" s="2"/>
      <c r="GHN85" s="2"/>
      <c r="GHO85" s="2"/>
      <c r="GHP85" s="2"/>
      <c r="GHQ85" s="2"/>
      <c r="GHR85" s="2"/>
      <c r="GHS85" s="2"/>
      <c r="GHT85" s="2"/>
      <c r="GHU85" s="2"/>
      <c r="GHV85" s="2"/>
      <c r="GHW85" s="2"/>
      <c r="GHX85" s="2"/>
      <c r="GHY85" s="2"/>
      <c r="GHZ85" s="2"/>
      <c r="GIA85" s="2"/>
      <c r="GIB85" s="2"/>
      <c r="GIC85" s="2"/>
      <c r="GID85" s="2"/>
      <c r="GIE85" s="2"/>
      <c r="GIF85" s="2"/>
      <c r="GIG85" s="2"/>
      <c r="GIH85" s="2"/>
      <c r="GII85" s="2"/>
      <c r="GIJ85" s="2"/>
      <c r="GIK85" s="2"/>
      <c r="GIL85" s="2"/>
      <c r="GIM85" s="2"/>
      <c r="GIN85" s="2"/>
      <c r="GIO85" s="2"/>
      <c r="GIP85" s="2"/>
      <c r="GIQ85" s="2"/>
      <c r="GIR85" s="2"/>
      <c r="GIS85" s="2"/>
      <c r="GIT85" s="2"/>
      <c r="GIU85" s="2"/>
      <c r="GIV85" s="2"/>
      <c r="GIW85" s="2"/>
      <c r="GIX85" s="2"/>
      <c r="GIY85" s="2"/>
      <c r="GIZ85" s="2"/>
      <c r="GJA85" s="2"/>
      <c r="GJB85" s="2"/>
      <c r="GJC85" s="2"/>
      <c r="GJD85" s="2"/>
      <c r="GJE85" s="2"/>
      <c r="GJF85" s="2"/>
      <c r="GJG85" s="2"/>
      <c r="GJH85" s="2"/>
      <c r="GJI85" s="2"/>
      <c r="GJJ85" s="2"/>
      <c r="GJK85" s="2"/>
      <c r="GJL85" s="2"/>
      <c r="GJM85" s="2"/>
      <c r="GJN85" s="2"/>
      <c r="GJO85" s="2"/>
      <c r="GJP85" s="2"/>
      <c r="GJQ85" s="2"/>
      <c r="GJR85" s="2"/>
      <c r="GJS85" s="2"/>
      <c r="GJT85" s="2"/>
      <c r="GJU85" s="2"/>
      <c r="GJV85" s="2"/>
      <c r="GJW85" s="2"/>
      <c r="GJX85" s="2"/>
      <c r="GJY85" s="2"/>
      <c r="GJZ85" s="2"/>
      <c r="GKA85" s="2"/>
      <c r="GKB85" s="2"/>
      <c r="GKC85" s="2"/>
      <c r="GKD85" s="2"/>
      <c r="GKE85" s="2"/>
      <c r="GKF85" s="2"/>
      <c r="GKG85" s="2"/>
      <c r="GKH85" s="2"/>
      <c r="GKI85" s="2"/>
      <c r="GKJ85" s="2"/>
      <c r="GKK85" s="2"/>
      <c r="GKL85" s="2"/>
      <c r="GKM85" s="2"/>
      <c r="GKN85" s="2"/>
      <c r="GKO85" s="2"/>
      <c r="GKP85" s="2"/>
      <c r="GKQ85" s="2"/>
      <c r="GKR85" s="2"/>
      <c r="GKS85" s="2"/>
      <c r="GKT85" s="2"/>
      <c r="GKU85" s="2"/>
      <c r="GKV85" s="2"/>
      <c r="GKW85" s="2"/>
      <c r="GKX85" s="2"/>
      <c r="GKY85" s="2"/>
      <c r="GKZ85" s="2"/>
      <c r="GLA85" s="2"/>
      <c r="GLB85" s="2"/>
      <c r="GLC85" s="2"/>
      <c r="GLD85" s="2"/>
      <c r="GLE85" s="2"/>
      <c r="GLF85" s="2"/>
      <c r="GLG85" s="2"/>
      <c r="GLH85" s="2"/>
      <c r="GLI85" s="2"/>
      <c r="GLJ85" s="2"/>
      <c r="GLK85" s="2"/>
      <c r="GLL85" s="2"/>
      <c r="GLM85" s="2"/>
      <c r="GLN85" s="2"/>
      <c r="GLO85" s="2"/>
      <c r="GLP85" s="2"/>
      <c r="GLQ85" s="2"/>
      <c r="GLR85" s="2"/>
      <c r="GLS85" s="2"/>
      <c r="GLT85" s="2"/>
      <c r="GLU85" s="2"/>
      <c r="GLV85" s="2"/>
      <c r="GLW85" s="2"/>
      <c r="GLX85" s="2"/>
      <c r="GLY85" s="2"/>
      <c r="GLZ85" s="2"/>
      <c r="GMA85" s="2"/>
      <c r="GMB85" s="2"/>
      <c r="GMC85" s="2"/>
      <c r="GMD85" s="2"/>
      <c r="GME85" s="2"/>
      <c r="GMF85" s="2"/>
      <c r="GMG85" s="2"/>
      <c r="GMH85" s="2"/>
      <c r="GMI85" s="2"/>
      <c r="GMJ85" s="2"/>
      <c r="GMK85" s="2"/>
      <c r="GML85" s="2"/>
      <c r="GMM85" s="2"/>
      <c r="GMN85" s="2"/>
      <c r="GMO85" s="2"/>
      <c r="GMP85" s="2"/>
      <c r="GMQ85" s="2"/>
      <c r="GMR85" s="2"/>
      <c r="GMS85" s="2"/>
      <c r="GMT85" s="2"/>
      <c r="GMU85" s="2"/>
      <c r="GMV85" s="2"/>
      <c r="GMW85" s="2"/>
      <c r="GMX85" s="2"/>
      <c r="GMY85" s="2"/>
      <c r="GMZ85" s="2"/>
      <c r="GNA85" s="2"/>
      <c r="GNB85" s="2"/>
      <c r="GNC85" s="2"/>
      <c r="GND85" s="2"/>
      <c r="GNE85" s="2"/>
      <c r="GNF85" s="2"/>
      <c r="GNG85" s="2"/>
      <c r="GNH85" s="2"/>
      <c r="GNI85" s="2"/>
      <c r="GNJ85" s="2"/>
      <c r="GNK85" s="2"/>
      <c r="GNL85" s="2"/>
      <c r="GNM85" s="2"/>
      <c r="GNN85" s="2"/>
      <c r="GNO85" s="2"/>
      <c r="GNP85" s="2"/>
      <c r="GNQ85" s="2"/>
      <c r="GNR85" s="2"/>
      <c r="GNS85" s="2"/>
      <c r="GNT85" s="2"/>
      <c r="GNU85" s="2"/>
      <c r="GNV85" s="2"/>
      <c r="GNW85" s="2"/>
      <c r="GNX85" s="2"/>
      <c r="GNY85" s="2"/>
      <c r="GNZ85" s="2"/>
      <c r="GOA85" s="2"/>
      <c r="GOB85" s="2"/>
      <c r="GOC85" s="2"/>
      <c r="GOD85" s="2"/>
      <c r="GOE85" s="2"/>
      <c r="GOF85" s="2"/>
      <c r="GOG85" s="2"/>
      <c r="GOH85" s="2"/>
      <c r="GOI85" s="2"/>
      <c r="GOJ85" s="2"/>
      <c r="GOK85" s="2"/>
      <c r="GOL85" s="2"/>
      <c r="GOM85" s="2"/>
      <c r="GON85" s="2"/>
      <c r="GOO85" s="2"/>
      <c r="GOP85" s="2"/>
      <c r="GOQ85" s="2"/>
      <c r="GOR85" s="2"/>
      <c r="GOS85" s="2"/>
      <c r="GOT85" s="2"/>
      <c r="GOU85" s="2"/>
      <c r="GOV85" s="2"/>
      <c r="GOW85" s="2"/>
      <c r="GOX85" s="2"/>
      <c r="GOY85" s="2"/>
      <c r="GOZ85" s="2"/>
      <c r="GPA85" s="2"/>
      <c r="GPB85" s="2"/>
      <c r="GPC85" s="2"/>
      <c r="GPD85" s="2"/>
      <c r="GPE85" s="2"/>
      <c r="GPF85" s="2"/>
      <c r="GPG85" s="2"/>
      <c r="GPH85" s="2"/>
      <c r="GPI85" s="2"/>
      <c r="GPJ85" s="2"/>
      <c r="GPK85" s="2"/>
      <c r="GPL85" s="2"/>
      <c r="GPM85" s="2"/>
      <c r="GPN85" s="2"/>
      <c r="GPO85" s="2"/>
      <c r="GPP85" s="2"/>
      <c r="GPQ85" s="2"/>
      <c r="GPR85" s="2"/>
      <c r="GPS85" s="2"/>
      <c r="GPT85" s="2"/>
      <c r="GPU85" s="2"/>
      <c r="GPV85" s="2"/>
      <c r="GPW85" s="2"/>
      <c r="GPX85" s="2"/>
      <c r="GPY85" s="2"/>
      <c r="GPZ85" s="2"/>
      <c r="GQA85" s="2"/>
      <c r="GQB85" s="2"/>
      <c r="GQC85" s="2"/>
      <c r="GQD85" s="2"/>
      <c r="GQE85" s="2"/>
      <c r="GQF85" s="2"/>
      <c r="GQG85" s="2"/>
      <c r="GQH85" s="2"/>
      <c r="GQI85" s="2"/>
      <c r="GQJ85" s="2"/>
      <c r="GQK85" s="2"/>
      <c r="GQL85" s="2"/>
      <c r="GQM85" s="2"/>
      <c r="GQN85" s="2"/>
      <c r="GQO85" s="2"/>
      <c r="GQP85" s="2"/>
      <c r="GQQ85" s="2"/>
      <c r="GQR85" s="2"/>
      <c r="GQS85" s="2"/>
      <c r="GQT85" s="2"/>
      <c r="GQU85" s="2"/>
      <c r="GQV85" s="2"/>
      <c r="GQW85" s="2"/>
      <c r="GQX85" s="2"/>
      <c r="GQY85" s="2"/>
      <c r="GQZ85" s="2"/>
      <c r="GRA85" s="2"/>
      <c r="GRB85" s="2"/>
      <c r="GRC85" s="2"/>
      <c r="GRD85" s="2"/>
      <c r="GRE85" s="2"/>
      <c r="GRF85" s="2"/>
      <c r="GRG85" s="2"/>
      <c r="GRH85" s="2"/>
      <c r="GRI85" s="2"/>
      <c r="GRJ85" s="2"/>
      <c r="GRK85" s="2"/>
      <c r="GRL85" s="2"/>
      <c r="GRM85" s="2"/>
      <c r="GRN85" s="2"/>
      <c r="GRO85" s="2"/>
      <c r="GRP85" s="2"/>
      <c r="GRQ85" s="2"/>
      <c r="GRR85" s="2"/>
      <c r="GRS85" s="2"/>
      <c r="GRT85" s="2"/>
      <c r="GRU85" s="2"/>
      <c r="GRV85" s="2"/>
      <c r="GRW85" s="2"/>
      <c r="GRX85" s="2"/>
      <c r="GRY85" s="2"/>
      <c r="GRZ85" s="2"/>
      <c r="GSA85" s="2"/>
      <c r="GSB85" s="2"/>
      <c r="GSC85" s="2"/>
      <c r="GSD85" s="2"/>
      <c r="GSE85" s="2"/>
      <c r="GSF85" s="2"/>
      <c r="GSG85" s="2"/>
      <c r="GSH85" s="2"/>
      <c r="GSI85" s="2"/>
      <c r="GSJ85" s="2"/>
      <c r="GSK85" s="2"/>
      <c r="GSL85" s="2"/>
      <c r="GSM85" s="2"/>
      <c r="GSN85" s="2"/>
      <c r="GSO85" s="2"/>
      <c r="GSP85" s="2"/>
      <c r="GSQ85" s="2"/>
      <c r="GSR85" s="2"/>
      <c r="GSS85" s="2"/>
      <c r="GST85" s="2"/>
      <c r="GSU85" s="2"/>
      <c r="GSV85" s="2"/>
      <c r="GSW85" s="2"/>
      <c r="GSX85" s="2"/>
      <c r="GSY85" s="2"/>
      <c r="GSZ85" s="2"/>
      <c r="GTA85" s="2"/>
      <c r="GTB85" s="2"/>
      <c r="GTC85" s="2"/>
      <c r="GTD85" s="2"/>
      <c r="GTE85" s="2"/>
      <c r="GTF85" s="2"/>
      <c r="GTG85" s="2"/>
      <c r="GTH85" s="2"/>
      <c r="GTI85" s="2"/>
      <c r="GTJ85" s="2"/>
      <c r="GTK85" s="2"/>
      <c r="GTL85" s="2"/>
      <c r="GTM85" s="2"/>
      <c r="GTN85" s="2"/>
      <c r="GTO85" s="2"/>
      <c r="GTP85" s="2"/>
      <c r="GTQ85" s="2"/>
      <c r="GTR85" s="2"/>
      <c r="GTS85" s="2"/>
      <c r="GTT85" s="2"/>
      <c r="GTU85" s="2"/>
      <c r="GTV85" s="2"/>
      <c r="GTW85" s="2"/>
      <c r="GTX85" s="2"/>
      <c r="GTY85" s="2"/>
      <c r="GTZ85" s="2"/>
      <c r="GUA85" s="2"/>
      <c r="GUB85" s="2"/>
      <c r="GUC85" s="2"/>
      <c r="GUD85" s="2"/>
      <c r="GUE85" s="2"/>
      <c r="GUF85" s="2"/>
      <c r="GUG85" s="2"/>
      <c r="GUH85" s="2"/>
      <c r="GUI85" s="2"/>
      <c r="GUJ85" s="2"/>
      <c r="GUK85" s="2"/>
      <c r="GUL85" s="2"/>
      <c r="GUM85" s="2"/>
      <c r="GUN85" s="2"/>
      <c r="GUO85" s="2"/>
      <c r="GUP85" s="2"/>
      <c r="GUQ85" s="2"/>
      <c r="GUR85" s="2"/>
      <c r="GUS85" s="2"/>
      <c r="GUT85" s="2"/>
      <c r="GUU85" s="2"/>
      <c r="GUV85" s="2"/>
      <c r="GUW85" s="2"/>
      <c r="GUX85" s="2"/>
      <c r="GUY85" s="2"/>
      <c r="GUZ85" s="2"/>
      <c r="GVA85" s="2"/>
      <c r="GVB85" s="2"/>
      <c r="GVC85" s="2"/>
      <c r="GVD85" s="2"/>
      <c r="GVE85" s="2"/>
      <c r="GVF85" s="2"/>
      <c r="GVG85" s="2"/>
      <c r="GVH85" s="2"/>
      <c r="GVI85" s="2"/>
      <c r="GVJ85" s="2"/>
      <c r="GVK85" s="2"/>
      <c r="GVL85" s="2"/>
      <c r="GVM85" s="2"/>
      <c r="GVN85" s="2"/>
      <c r="GVO85" s="2"/>
      <c r="GVP85" s="2"/>
      <c r="GVQ85" s="2"/>
      <c r="GVR85" s="2"/>
      <c r="GVS85" s="2"/>
      <c r="GVT85" s="2"/>
      <c r="GVU85" s="2"/>
      <c r="GVV85" s="2"/>
      <c r="GVW85" s="2"/>
      <c r="GVX85" s="2"/>
      <c r="GVY85" s="2"/>
      <c r="GVZ85" s="2"/>
      <c r="GWA85" s="2"/>
      <c r="GWB85" s="2"/>
      <c r="GWC85" s="2"/>
      <c r="GWD85" s="2"/>
      <c r="GWE85" s="2"/>
      <c r="GWF85" s="2"/>
      <c r="GWG85" s="2"/>
      <c r="GWH85" s="2"/>
      <c r="GWI85" s="2"/>
      <c r="GWJ85" s="2"/>
      <c r="GWK85" s="2"/>
      <c r="GWL85" s="2"/>
      <c r="GWM85" s="2"/>
      <c r="GWN85" s="2"/>
      <c r="GWO85" s="2"/>
      <c r="GWP85" s="2"/>
      <c r="GWQ85" s="2"/>
      <c r="GWR85" s="2"/>
      <c r="GWS85" s="2"/>
      <c r="GWT85" s="2"/>
      <c r="GWU85" s="2"/>
      <c r="GWV85" s="2"/>
      <c r="GWW85" s="2"/>
      <c r="GWX85" s="2"/>
      <c r="GWY85" s="2"/>
      <c r="GWZ85" s="2"/>
      <c r="GXA85" s="2"/>
      <c r="GXB85" s="2"/>
      <c r="GXC85" s="2"/>
      <c r="GXD85" s="2"/>
      <c r="GXE85" s="2"/>
      <c r="GXF85" s="2"/>
      <c r="GXG85" s="2"/>
      <c r="GXH85" s="2"/>
      <c r="GXI85" s="2"/>
      <c r="GXJ85" s="2"/>
      <c r="GXK85" s="2"/>
      <c r="GXL85" s="2"/>
      <c r="GXM85" s="2"/>
      <c r="GXN85" s="2"/>
      <c r="GXO85" s="2"/>
      <c r="GXP85" s="2"/>
      <c r="GXQ85" s="2"/>
      <c r="GXR85" s="2"/>
      <c r="GXS85" s="2"/>
      <c r="GXT85" s="2"/>
      <c r="GXU85" s="2"/>
      <c r="GXV85" s="2"/>
      <c r="GXW85" s="2"/>
      <c r="GXX85" s="2"/>
      <c r="GXY85" s="2"/>
      <c r="GXZ85" s="2"/>
      <c r="GYA85" s="2"/>
      <c r="GYB85" s="2"/>
      <c r="GYC85" s="2"/>
      <c r="GYD85" s="2"/>
      <c r="GYE85" s="2"/>
      <c r="GYF85" s="2"/>
      <c r="GYG85" s="2"/>
      <c r="GYH85" s="2"/>
      <c r="GYI85" s="2"/>
      <c r="GYJ85" s="2"/>
      <c r="GYK85" s="2"/>
      <c r="GYL85" s="2"/>
      <c r="GYM85" s="2"/>
      <c r="GYN85" s="2"/>
      <c r="GYO85" s="2"/>
      <c r="GYP85" s="2"/>
      <c r="GYQ85" s="2"/>
      <c r="GYR85" s="2"/>
      <c r="GYS85" s="2"/>
      <c r="GYT85" s="2"/>
      <c r="GYU85" s="2"/>
      <c r="GYV85" s="2"/>
      <c r="GYW85" s="2"/>
      <c r="GYX85" s="2"/>
      <c r="GYY85" s="2"/>
      <c r="GYZ85" s="2"/>
      <c r="GZA85" s="2"/>
      <c r="GZB85" s="2"/>
      <c r="GZC85" s="2"/>
      <c r="GZD85" s="2"/>
      <c r="GZE85" s="2"/>
      <c r="GZF85" s="2"/>
      <c r="GZG85" s="2"/>
      <c r="GZH85" s="2"/>
      <c r="GZI85" s="2"/>
      <c r="GZJ85" s="2"/>
      <c r="GZK85" s="2"/>
      <c r="GZL85" s="2"/>
      <c r="GZM85" s="2"/>
      <c r="GZN85" s="2"/>
      <c r="GZO85" s="2"/>
      <c r="GZP85" s="2"/>
      <c r="GZQ85" s="2"/>
      <c r="GZR85" s="2"/>
      <c r="GZS85" s="2"/>
      <c r="GZT85" s="2"/>
      <c r="GZU85" s="2"/>
      <c r="GZV85" s="2"/>
      <c r="GZW85" s="2"/>
      <c r="GZX85" s="2"/>
      <c r="GZY85" s="2"/>
      <c r="GZZ85" s="2"/>
      <c r="HAA85" s="2"/>
      <c r="HAB85" s="2"/>
      <c r="HAC85" s="2"/>
      <c r="HAD85" s="2"/>
      <c r="HAE85" s="2"/>
      <c r="HAF85" s="2"/>
      <c r="HAG85" s="2"/>
      <c r="HAH85" s="2"/>
      <c r="HAI85" s="2"/>
      <c r="HAJ85" s="2"/>
      <c r="HAK85" s="2"/>
      <c r="HAL85" s="2"/>
      <c r="HAM85" s="2"/>
      <c r="HAN85" s="2"/>
      <c r="HAO85" s="2"/>
      <c r="HAP85" s="2"/>
      <c r="HAQ85" s="2"/>
      <c r="HAR85" s="2"/>
      <c r="HAS85" s="2"/>
      <c r="HAT85" s="2"/>
      <c r="HAU85" s="2"/>
      <c r="HAV85" s="2"/>
      <c r="HAW85" s="2"/>
      <c r="HAX85" s="2"/>
      <c r="HAY85" s="2"/>
      <c r="HAZ85" s="2"/>
      <c r="HBA85" s="2"/>
      <c r="HBB85" s="2"/>
      <c r="HBC85" s="2"/>
      <c r="HBD85" s="2"/>
      <c r="HBE85" s="2"/>
      <c r="HBF85" s="2"/>
      <c r="HBG85" s="2"/>
      <c r="HBH85" s="2"/>
      <c r="HBI85" s="2"/>
      <c r="HBJ85" s="2"/>
      <c r="HBK85" s="2"/>
      <c r="HBL85" s="2"/>
      <c r="HBM85" s="2"/>
      <c r="HBN85" s="2"/>
      <c r="HBO85" s="2"/>
      <c r="HBP85" s="2"/>
      <c r="HBQ85" s="2"/>
      <c r="HBR85" s="2"/>
      <c r="HBS85" s="2"/>
      <c r="HBT85" s="2"/>
      <c r="HBU85" s="2"/>
      <c r="HBV85" s="2"/>
      <c r="HBW85" s="2"/>
      <c r="HBX85" s="2"/>
      <c r="HBY85" s="2"/>
      <c r="HBZ85" s="2"/>
      <c r="HCA85" s="2"/>
      <c r="HCB85" s="2"/>
      <c r="HCC85" s="2"/>
      <c r="HCD85" s="2"/>
      <c r="HCE85" s="2"/>
      <c r="HCF85" s="2"/>
      <c r="HCG85" s="2"/>
      <c r="HCH85" s="2"/>
      <c r="HCI85" s="2"/>
      <c r="HCJ85" s="2"/>
      <c r="HCK85" s="2"/>
      <c r="HCL85" s="2"/>
      <c r="HCM85" s="2"/>
      <c r="HCN85" s="2"/>
      <c r="HCO85" s="2"/>
      <c r="HCP85" s="2"/>
      <c r="HCQ85" s="2"/>
      <c r="HCR85" s="2"/>
      <c r="HCS85" s="2"/>
      <c r="HCT85" s="2"/>
      <c r="HCU85" s="2"/>
      <c r="HCV85" s="2"/>
      <c r="HCW85" s="2"/>
      <c r="HCX85" s="2"/>
      <c r="HCY85" s="2"/>
      <c r="HCZ85" s="2"/>
      <c r="HDA85" s="2"/>
      <c r="HDB85" s="2"/>
      <c r="HDC85" s="2"/>
      <c r="HDD85" s="2"/>
      <c r="HDE85" s="2"/>
      <c r="HDF85" s="2"/>
      <c r="HDG85" s="2"/>
      <c r="HDH85" s="2"/>
      <c r="HDI85" s="2"/>
      <c r="HDJ85" s="2"/>
      <c r="HDK85" s="2"/>
      <c r="HDL85" s="2"/>
      <c r="HDM85" s="2"/>
      <c r="HDN85" s="2"/>
      <c r="HDO85" s="2"/>
      <c r="HDP85" s="2"/>
      <c r="HDQ85" s="2"/>
      <c r="HDR85" s="2"/>
      <c r="HDS85" s="2"/>
      <c r="HDT85" s="2"/>
      <c r="HDU85" s="2"/>
      <c r="HDV85" s="2"/>
      <c r="HDW85" s="2"/>
      <c r="HDX85" s="2"/>
      <c r="HDY85" s="2"/>
      <c r="HDZ85" s="2"/>
      <c r="HEA85" s="2"/>
      <c r="HEB85" s="2"/>
      <c r="HEC85" s="2"/>
      <c r="HED85" s="2"/>
      <c r="HEE85" s="2"/>
      <c r="HEF85" s="2"/>
      <c r="HEG85" s="2"/>
      <c r="HEH85" s="2"/>
      <c r="HEI85" s="2"/>
      <c r="HEJ85" s="2"/>
      <c r="HEK85" s="2"/>
      <c r="HEL85" s="2"/>
      <c r="HEM85" s="2"/>
      <c r="HEN85" s="2"/>
      <c r="HEO85" s="2"/>
      <c r="HEP85" s="2"/>
      <c r="HEQ85" s="2"/>
      <c r="HER85" s="2"/>
      <c r="HES85" s="2"/>
      <c r="HET85" s="2"/>
      <c r="HEU85" s="2"/>
      <c r="HEV85" s="2"/>
      <c r="HEW85" s="2"/>
      <c r="HEX85" s="2"/>
      <c r="HEY85" s="2"/>
      <c r="HEZ85" s="2"/>
      <c r="HFA85" s="2"/>
      <c r="HFB85" s="2"/>
      <c r="HFC85" s="2"/>
      <c r="HFD85" s="2"/>
      <c r="HFE85" s="2"/>
      <c r="HFF85" s="2"/>
      <c r="HFG85" s="2"/>
      <c r="HFH85" s="2"/>
      <c r="HFI85" s="2"/>
      <c r="HFJ85" s="2"/>
      <c r="HFK85" s="2"/>
      <c r="HFL85" s="2"/>
      <c r="HFM85" s="2"/>
      <c r="HFN85" s="2"/>
      <c r="HFO85" s="2"/>
      <c r="HFP85" s="2"/>
      <c r="HFQ85" s="2"/>
      <c r="HFR85" s="2"/>
      <c r="HFS85" s="2"/>
      <c r="HFT85" s="2"/>
      <c r="HFU85" s="2"/>
      <c r="HFV85" s="2"/>
      <c r="HFW85" s="2"/>
      <c r="HFX85" s="2"/>
      <c r="HFY85" s="2"/>
      <c r="HFZ85" s="2"/>
      <c r="HGA85" s="2"/>
      <c r="HGB85" s="2"/>
      <c r="HGC85" s="2"/>
      <c r="HGD85" s="2"/>
      <c r="HGE85" s="2"/>
      <c r="HGF85" s="2"/>
      <c r="HGG85" s="2"/>
      <c r="HGH85" s="2"/>
      <c r="HGI85" s="2"/>
      <c r="HGJ85" s="2"/>
      <c r="HGK85" s="2"/>
      <c r="HGL85" s="2"/>
      <c r="HGM85" s="2"/>
      <c r="HGN85" s="2"/>
      <c r="HGO85" s="2"/>
      <c r="HGP85" s="2"/>
      <c r="HGQ85" s="2"/>
      <c r="HGR85" s="2"/>
      <c r="HGS85" s="2"/>
      <c r="HGT85" s="2"/>
      <c r="HGU85" s="2"/>
      <c r="HGV85" s="2"/>
      <c r="HGW85" s="2"/>
      <c r="HGX85" s="2"/>
      <c r="HGY85" s="2"/>
      <c r="HGZ85" s="2"/>
      <c r="HHA85" s="2"/>
      <c r="HHB85" s="2"/>
      <c r="HHC85" s="2"/>
      <c r="HHD85" s="2"/>
      <c r="HHE85" s="2"/>
      <c r="HHF85" s="2"/>
      <c r="HHG85" s="2"/>
      <c r="HHH85" s="2"/>
      <c r="HHI85" s="2"/>
      <c r="HHJ85" s="2"/>
      <c r="HHK85" s="2"/>
      <c r="HHL85" s="2"/>
      <c r="HHM85" s="2"/>
      <c r="HHN85" s="2"/>
      <c r="HHO85" s="2"/>
      <c r="HHP85" s="2"/>
      <c r="HHQ85" s="2"/>
      <c r="HHR85" s="2"/>
      <c r="HHS85" s="2"/>
      <c r="HHT85" s="2"/>
      <c r="HHU85" s="2"/>
      <c r="HHV85" s="2"/>
      <c r="HHW85" s="2"/>
      <c r="HHX85" s="2"/>
      <c r="HHY85" s="2"/>
      <c r="HHZ85" s="2"/>
      <c r="HIA85" s="2"/>
      <c r="HIB85" s="2"/>
      <c r="HIC85" s="2"/>
      <c r="HID85" s="2"/>
      <c r="HIE85" s="2"/>
      <c r="HIF85" s="2"/>
      <c r="HIG85" s="2"/>
      <c r="HIH85" s="2"/>
      <c r="HII85" s="2"/>
      <c r="HIJ85" s="2"/>
      <c r="HIK85" s="2"/>
      <c r="HIL85" s="2"/>
      <c r="HIM85" s="2"/>
      <c r="HIN85" s="2"/>
      <c r="HIO85" s="2"/>
      <c r="HIP85" s="2"/>
      <c r="HIQ85" s="2"/>
      <c r="HIR85" s="2"/>
      <c r="HIS85" s="2"/>
      <c r="HIT85" s="2"/>
      <c r="HIU85" s="2"/>
      <c r="HIV85" s="2"/>
      <c r="HIW85" s="2"/>
      <c r="HIX85" s="2"/>
      <c r="HIY85" s="2"/>
      <c r="HIZ85" s="2"/>
      <c r="HJA85" s="2"/>
      <c r="HJB85" s="2"/>
      <c r="HJC85" s="2"/>
      <c r="HJD85" s="2"/>
      <c r="HJE85" s="2"/>
      <c r="HJF85" s="2"/>
      <c r="HJG85" s="2"/>
      <c r="HJH85" s="2"/>
      <c r="HJI85" s="2"/>
      <c r="HJJ85" s="2"/>
      <c r="HJK85" s="2"/>
      <c r="HJL85" s="2"/>
      <c r="HJM85" s="2"/>
      <c r="HJN85" s="2"/>
      <c r="HJO85" s="2"/>
      <c r="HJP85" s="2"/>
      <c r="HJQ85" s="2"/>
      <c r="HJR85" s="2"/>
      <c r="HJS85" s="2"/>
      <c r="HJT85" s="2"/>
      <c r="HJU85" s="2"/>
      <c r="HJV85" s="2"/>
      <c r="HJW85" s="2"/>
      <c r="HJX85" s="2"/>
      <c r="HJY85" s="2"/>
      <c r="HJZ85" s="2"/>
      <c r="HKA85" s="2"/>
      <c r="HKB85" s="2"/>
      <c r="HKC85" s="2"/>
      <c r="HKD85" s="2"/>
      <c r="HKE85" s="2"/>
      <c r="HKF85" s="2"/>
      <c r="HKG85" s="2"/>
      <c r="HKH85" s="2"/>
      <c r="HKI85" s="2"/>
      <c r="HKJ85" s="2"/>
      <c r="HKK85" s="2"/>
      <c r="HKL85" s="2"/>
      <c r="HKM85" s="2"/>
      <c r="HKN85" s="2"/>
      <c r="HKO85" s="2"/>
      <c r="HKP85" s="2"/>
      <c r="HKQ85" s="2"/>
      <c r="HKR85" s="2"/>
      <c r="HKS85" s="2"/>
      <c r="HKT85" s="2"/>
      <c r="HKU85" s="2"/>
      <c r="HKV85" s="2"/>
      <c r="HKW85" s="2"/>
      <c r="HKX85" s="2"/>
      <c r="HKY85" s="2"/>
      <c r="HKZ85" s="2"/>
      <c r="HLA85" s="2"/>
      <c r="HLB85" s="2"/>
      <c r="HLC85" s="2"/>
      <c r="HLD85" s="2"/>
      <c r="HLE85" s="2"/>
      <c r="HLF85" s="2"/>
      <c r="HLG85" s="2"/>
      <c r="HLH85" s="2"/>
      <c r="HLI85" s="2"/>
      <c r="HLJ85" s="2"/>
      <c r="HLK85" s="2"/>
      <c r="HLL85" s="2"/>
      <c r="HLM85" s="2"/>
      <c r="HLN85" s="2"/>
      <c r="HLO85" s="2"/>
      <c r="HLP85" s="2"/>
      <c r="HLQ85" s="2"/>
      <c r="HLR85" s="2"/>
      <c r="HLS85" s="2"/>
      <c r="HLT85" s="2"/>
      <c r="HLU85" s="2"/>
      <c r="HLV85" s="2"/>
      <c r="HLW85" s="2"/>
      <c r="HLX85" s="2"/>
      <c r="HLY85" s="2"/>
      <c r="HLZ85" s="2"/>
      <c r="HMA85" s="2"/>
      <c r="HMB85" s="2"/>
      <c r="HMC85" s="2"/>
      <c r="HMD85" s="2"/>
      <c r="HME85" s="2"/>
      <c r="HMF85" s="2"/>
      <c r="HMG85" s="2"/>
      <c r="HMH85" s="2"/>
      <c r="HMI85" s="2"/>
      <c r="HMJ85" s="2"/>
      <c r="HMK85" s="2"/>
      <c r="HML85" s="2"/>
      <c r="HMM85" s="2"/>
      <c r="HMN85" s="2"/>
      <c r="HMO85" s="2"/>
      <c r="HMP85" s="2"/>
      <c r="HMQ85" s="2"/>
      <c r="HMR85" s="2"/>
      <c r="HMS85" s="2"/>
      <c r="HMT85" s="2"/>
      <c r="HMU85" s="2"/>
      <c r="HMV85" s="2"/>
      <c r="HMW85" s="2"/>
      <c r="HMX85" s="2"/>
      <c r="HMY85" s="2"/>
      <c r="HMZ85" s="2"/>
      <c r="HNA85" s="2"/>
      <c r="HNB85" s="2"/>
      <c r="HNC85" s="2"/>
      <c r="HND85" s="2"/>
      <c r="HNE85" s="2"/>
      <c r="HNF85" s="2"/>
      <c r="HNG85" s="2"/>
      <c r="HNH85" s="2"/>
      <c r="HNI85" s="2"/>
      <c r="HNJ85" s="2"/>
      <c r="HNK85" s="2"/>
      <c r="HNL85" s="2"/>
      <c r="HNM85" s="2"/>
      <c r="HNN85" s="2"/>
      <c r="HNO85" s="2"/>
      <c r="HNP85" s="2"/>
      <c r="HNQ85" s="2"/>
      <c r="HNR85" s="2"/>
      <c r="HNS85" s="2"/>
      <c r="HNT85" s="2"/>
      <c r="HNU85" s="2"/>
      <c r="HNV85" s="2"/>
      <c r="HNW85" s="2"/>
      <c r="HNX85" s="2"/>
      <c r="HNY85" s="2"/>
      <c r="HNZ85" s="2"/>
      <c r="HOA85" s="2"/>
      <c r="HOB85" s="2"/>
      <c r="HOC85" s="2"/>
      <c r="HOD85" s="2"/>
      <c r="HOE85" s="2"/>
      <c r="HOF85" s="2"/>
      <c r="HOG85" s="2"/>
      <c r="HOH85" s="2"/>
      <c r="HOI85" s="2"/>
      <c r="HOJ85" s="2"/>
      <c r="HOK85" s="2"/>
      <c r="HOL85" s="2"/>
      <c r="HOM85" s="2"/>
      <c r="HON85" s="2"/>
      <c r="HOO85" s="2"/>
      <c r="HOP85" s="2"/>
      <c r="HOQ85" s="2"/>
      <c r="HOR85" s="2"/>
      <c r="HOS85" s="2"/>
      <c r="HOT85" s="2"/>
      <c r="HOU85" s="2"/>
      <c r="HOV85" s="2"/>
      <c r="HOW85" s="2"/>
      <c r="HOX85" s="2"/>
      <c r="HOY85" s="2"/>
      <c r="HOZ85" s="2"/>
      <c r="HPA85" s="2"/>
      <c r="HPB85" s="2"/>
      <c r="HPC85" s="2"/>
      <c r="HPD85" s="2"/>
      <c r="HPE85" s="2"/>
      <c r="HPF85" s="2"/>
      <c r="HPG85" s="2"/>
      <c r="HPH85" s="2"/>
      <c r="HPI85" s="2"/>
      <c r="HPJ85" s="2"/>
      <c r="HPK85" s="2"/>
      <c r="HPL85" s="2"/>
      <c r="HPM85" s="2"/>
      <c r="HPN85" s="2"/>
      <c r="HPO85" s="2"/>
      <c r="HPP85" s="2"/>
      <c r="HPQ85" s="2"/>
      <c r="HPR85" s="2"/>
      <c r="HPS85" s="2"/>
      <c r="HPT85" s="2"/>
      <c r="HPU85" s="2"/>
      <c r="HPV85" s="2"/>
      <c r="HPW85" s="2"/>
      <c r="HPX85" s="2"/>
      <c r="HPY85" s="2"/>
      <c r="HPZ85" s="2"/>
      <c r="HQA85" s="2"/>
      <c r="HQB85" s="2"/>
      <c r="HQC85" s="2"/>
      <c r="HQD85" s="2"/>
      <c r="HQE85" s="2"/>
      <c r="HQF85" s="2"/>
      <c r="HQG85" s="2"/>
      <c r="HQH85" s="2"/>
      <c r="HQI85" s="2"/>
      <c r="HQJ85" s="2"/>
      <c r="HQK85" s="2"/>
      <c r="HQL85" s="2"/>
      <c r="HQM85" s="2"/>
      <c r="HQN85" s="2"/>
      <c r="HQO85" s="2"/>
      <c r="HQP85" s="2"/>
      <c r="HQQ85" s="2"/>
      <c r="HQR85" s="2"/>
      <c r="HQS85" s="2"/>
      <c r="HQT85" s="2"/>
      <c r="HQU85" s="2"/>
      <c r="HQV85" s="2"/>
      <c r="HQW85" s="2"/>
      <c r="HQX85" s="2"/>
      <c r="HQY85" s="2"/>
      <c r="HQZ85" s="2"/>
      <c r="HRA85" s="2"/>
      <c r="HRB85" s="2"/>
      <c r="HRC85" s="2"/>
      <c r="HRD85" s="2"/>
      <c r="HRE85" s="2"/>
      <c r="HRF85" s="2"/>
      <c r="HRG85" s="2"/>
      <c r="HRH85" s="2"/>
      <c r="HRI85" s="2"/>
      <c r="HRJ85" s="2"/>
      <c r="HRK85" s="2"/>
      <c r="HRL85" s="2"/>
      <c r="HRM85" s="2"/>
      <c r="HRN85" s="2"/>
      <c r="HRO85" s="2"/>
      <c r="HRP85" s="2"/>
      <c r="HRQ85" s="2"/>
      <c r="HRR85" s="2"/>
      <c r="HRS85" s="2"/>
      <c r="HRT85" s="2"/>
      <c r="HRU85" s="2"/>
      <c r="HRV85" s="2"/>
      <c r="HRW85" s="2"/>
      <c r="HRX85" s="2"/>
      <c r="HRY85" s="2"/>
      <c r="HRZ85" s="2"/>
      <c r="HSA85" s="2"/>
      <c r="HSB85" s="2"/>
      <c r="HSC85" s="2"/>
      <c r="HSD85" s="2"/>
      <c r="HSE85" s="2"/>
      <c r="HSF85" s="2"/>
      <c r="HSG85" s="2"/>
      <c r="HSH85" s="2"/>
      <c r="HSI85" s="2"/>
      <c r="HSJ85" s="2"/>
      <c r="HSK85" s="2"/>
      <c r="HSL85" s="2"/>
      <c r="HSM85" s="2"/>
      <c r="HSN85" s="2"/>
      <c r="HSO85" s="2"/>
      <c r="HSP85" s="2"/>
      <c r="HSQ85" s="2"/>
      <c r="HSR85" s="2"/>
      <c r="HSS85" s="2"/>
      <c r="HST85" s="2"/>
      <c r="HSU85" s="2"/>
      <c r="HSV85" s="2"/>
      <c r="HSW85" s="2"/>
      <c r="HSX85" s="2"/>
      <c r="HSY85" s="2"/>
      <c r="HSZ85" s="2"/>
      <c r="HTA85" s="2"/>
      <c r="HTB85" s="2"/>
      <c r="HTC85" s="2"/>
      <c r="HTD85" s="2"/>
      <c r="HTE85" s="2"/>
      <c r="HTF85" s="2"/>
      <c r="HTG85" s="2"/>
      <c r="HTH85" s="2"/>
      <c r="HTI85" s="2"/>
      <c r="HTJ85" s="2"/>
      <c r="HTK85" s="2"/>
      <c r="HTL85" s="2"/>
      <c r="HTM85" s="2"/>
      <c r="HTN85" s="2"/>
      <c r="HTO85" s="2"/>
      <c r="HTP85" s="2"/>
      <c r="HTQ85" s="2"/>
      <c r="HTR85" s="2"/>
      <c r="HTS85" s="2"/>
      <c r="HTT85" s="2"/>
      <c r="HTU85" s="2"/>
      <c r="HTV85" s="2"/>
      <c r="HTW85" s="2"/>
      <c r="HTX85" s="2"/>
      <c r="HTY85" s="2"/>
      <c r="HTZ85" s="2"/>
      <c r="HUA85" s="2"/>
      <c r="HUB85" s="2"/>
      <c r="HUC85" s="2"/>
      <c r="HUD85" s="2"/>
      <c r="HUE85" s="2"/>
      <c r="HUF85" s="2"/>
      <c r="HUG85" s="2"/>
      <c r="HUH85" s="2"/>
      <c r="HUI85" s="2"/>
      <c r="HUJ85" s="2"/>
      <c r="HUK85" s="2"/>
      <c r="HUL85" s="2"/>
      <c r="HUM85" s="2"/>
      <c r="HUN85" s="2"/>
      <c r="HUO85" s="2"/>
      <c r="HUP85" s="2"/>
      <c r="HUQ85" s="2"/>
      <c r="HUR85" s="2"/>
      <c r="HUS85" s="2"/>
      <c r="HUT85" s="2"/>
      <c r="HUU85" s="2"/>
      <c r="HUV85" s="2"/>
      <c r="HUW85" s="2"/>
      <c r="HUX85" s="2"/>
      <c r="HUY85" s="2"/>
      <c r="HUZ85" s="2"/>
      <c r="HVA85" s="2"/>
      <c r="HVB85" s="2"/>
      <c r="HVC85" s="2"/>
      <c r="HVD85" s="2"/>
      <c r="HVE85" s="2"/>
      <c r="HVF85" s="2"/>
      <c r="HVG85" s="2"/>
      <c r="HVH85" s="2"/>
      <c r="HVI85" s="2"/>
      <c r="HVJ85" s="2"/>
      <c r="HVK85" s="2"/>
      <c r="HVL85" s="2"/>
      <c r="HVM85" s="2"/>
      <c r="HVN85" s="2"/>
      <c r="HVO85" s="2"/>
      <c r="HVP85" s="2"/>
      <c r="HVQ85" s="2"/>
      <c r="HVR85" s="2"/>
      <c r="HVS85" s="2"/>
      <c r="HVT85" s="2"/>
      <c r="HVU85" s="2"/>
      <c r="HVV85" s="2"/>
      <c r="HVW85" s="2"/>
      <c r="HVX85" s="2"/>
      <c r="HVY85" s="2"/>
      <c r="HVZ85" s="2"/>
      <c r="HWA85" s="2"/>
      <c r="HWB85" s="2"/>
      <c r="HWC85" s="2"/>
      <c r="HWD85" s="2"/>
      <c r="HWE85" s="2"/>
      <c r="HWF85" s="2"/>
      <c r="HWG85" s="2"/>
      <c r="HWH85" s="2"/>
      <c r="HWI85" s="2"/>
      <c r="HWJ85" s="2"/>
      <c r="HWK85" s="2"/>
      <c r="HWL85" s="2"/>
      <c r="HWM85" s="2"/>
      <c r="HWN85" s="2"/>
      <c r="HWO85" s="2"/>
      <c r="HWP85" s="2"/>
      <c r="HWQ85" s="2"/>
      <c r="HWR85" s="2"/>
      <c r="HWS85" s="2"/>
      <c r="HWT85" s="2"/>
      <c r="HWU85" s="2"/>
      <c r="HWV85" s="2"/>
      <c r="HWW85" s="2"/>
      <c r="HWX85" s="2"/>
      <c r="HWY85" s="2"/>
      <c r="HWZ85" s="2"/>
      <c r="HXA85" s="2"/>
      <c r="HXB85" s="2"/>
      <c r="HXC85" s="2"/>
      <c r="HXD85" s="2"/>
      <c r="HXE85" s="2"/>
      <c r="HXF85" s="2"/>
      <c r="HXG85" s="2"/>
      <c r="HXH85" s="2"/>
      <c r="HXI85" s="2"/>
      <c r="HXJ85" s="2"/>
      <c r="HXK85" s="2"/>
      <c r="HXL85" s="2"/>
      <c r="HXM85" s="2"/>
      <c r="HXN85" s="2"/>
      <c r="HXO85" s="2"/>
      <c r="HXP85" s="2"/>
      <c r="HXQ85" s="2"/>
      <c r="HXR85" s="2"/>
      <c r="HXS85" s="2"/>
      <c r="HXT85" s="2"/>
      <c r="HXU85" s="2"/>
      <c r="HXV85" s="2"/>
      <c r="HXW85" s="2"/>
      <c r="HXX85" s="2"/>
      <c r="HXY85" s="2"/>
      <c r="HXZ85" s="2"/>
      <c r="HYA85" s="2"/>
      <c r="HYB85" s="2"/>
      <c r="HYC85" s="2"/>
      <c r="HYD85" s="2"/>
      <c r="HYE85" s="2"/>
      <c r="HYF85" s="2"/>
      <c r="HYG85" s="2"/>
      <c r="HYH85" s="2"/>
      <c r="HYI85" s="2"/>
      <c r="HYJ85" s="2"/>
      <c r="HYK85" s="2"/>
      <c r="HYL85" s="2"/>
      <c r="HYM85" s="2"/>
      <c r="HYN85" s="2"/>
      <c r="HYO85" s="2"/>
      <c r="HYP85" s="2"/>
      <c r="HYQ85" s="2"/>
      <c r="HYR85" s="2"/>
      <c r="HYS85" s="2"/>
      <c r="HYT85" s="2"/>
      <c r="HYU85" s="2"/>
      <c r="HYV85" s="2"/>
      <c r="HYW85" s="2"/>
      <c r="HYX85" s="2"/>
      <c r="HYY85" s="2"/>
      <c r="HYZ85" s="2"/>
      <c r="HZA85" s="2"/>
      <c r="HZB85" s="2"/>
      <c r="HZC85" s="2"/>
      <c r="HZD85" s="2"/>
      <c r="HZE85" s="2"/>
      <c r="HZF85" s="2"/>
      <c r="HZG85" s="2"/>
      <c r="HZH85" s="2"/>
      <c r="HZI85" s="2"/>
      <c r="HZJ85" s="2"/>
      <c r="HZK85" s="2"/>
      <c r="HZL85" s="2"/>
      <c r="HZM85" s="2"/>
      <c r="HZN85" s="2"/>
      <c r="HZO85" s="2"/>
      <c r="HZP85" s="2"/>
      <c r="HZQ85" s="2"/>
      <c r="HZR85" s="2"/>
      <c r="HZS85" s="2"/>
      <c r="HZT85" s="2"/>
      <c r="HZU85" s="2"/>
      <c r="HZV85" s="2"/>
      <c r="HZW85" s="2"/>
      <c r="HZX85" s="2"/>
      <c r="HZY85" s="2"/>
      <c r="HZZ85" s="2"/>
      <c r="IAA85" s="2"/>
      <c r="IAB85" s="2"/>
      <c r="IAC85" s="2"/>
      <c r="IAD85" s="2"/>
      <c r="IAE85" s="2"/>
      <c r="IAF85" s="2"/>
      <c r="IAG85" s="2"/>
      <c r="IAH85" s="2"/>
      <c r="IAI85" s="2"/>
      <c r="IAJ85" s="2"/>
      <c r="IAK85" s="2"/>
      <c r="IAL85" s="2"/>
      <c r="IAM85" s="2"/>
      <c r="IAN85" s="2"/>
      <c r="IAO85" s="2"/>
      <c r="IAP85" s="2"/>
      <c r="IAQ85" s="2"/>
      <c r="IAR85" s="2"/>
      <c r="IAS85" s="2"/>
      <c r="IAT85" s="2"/>
      <c r="IAU85" s="2"/>
      <c r="IAV85" s="2"/>
      <c r="IAW85" s="2"/>
      <c r="IAX85" s="2"/>
      <c r="IAY85" s="2"/>
      <c r="IAZ85" s="2"/>
      <c r="IBA85" s="2"/>
      <c r="IBB85" s="2"/>
      <c r="IBC85" s="2"/>
      <c r="IBD85" s="2"/>
      <c r="IBE85" s="2"/>
      <c r="IBF85" s="2"/>
      <c r="IBG85" s="2"/>
      <c r="IBH85" s="2"/>
      <c r="IBI85" s="2"/>
      <c r="IBJ85" s="2"/>
      <c r="IBK85" s="2"/>
      <c r="IBL85" s="2"/>
      <c r="IBM85" s="2"/>
      <c r="IBN85" s="2"/>
      <c r="IBO85" s="2"/>
      <c r="IBP85" s="2"/>
      <c r="IBQ85" s="2"/>
      <c r="IBR85" s="2"/>
      <c r="IBS85" s="2"/>
      <c r="IBT85" s="2"/>
      <c r="IBU85" s="2"/>
      <c r="IBV85" s="2"/>
      <c r="IBW85" s="2"/>
      <c r="IBX85" s="2"/>
      <c r="IBY85" s="2"/>
      <c r="IBZ85" s="2"/>
      <c r="ICA85" s="2"/>
      <c r="ICB85" s="2"/>
      <c r="ICC85" s="2"/>
      <c r="ICD85" s="2"/>
      <c r="ICE85" s="2"/>
      <c r="ICF85" s="2"/>
      <c r="ICG85" s="2"/>
      <c r="ICH85" s="2"/>
      <c r="ICI85" s="2"/>
      <c r="ICJ85" s="2"/>
      <c r="ICK85" s="2"/>
      <c r="ICL85" s="2"/>
      <c r="ICM85" s="2"/>
      <c r="ICN85" s="2"/>
      <c r="ICO85" s="2"/>
      <c r="ICP85" s="2"/>
      <c r="ICQ85" s="2"/>
      <c r="ICR85" s="2"/>
      <c r="ICS85" s="2"/>
      <c r="ICT85" s="2"/>
      <c r="ICU85" s="2"/>
      <c r="ICV85" s="2"/>
      <c r="ICW85" s="2"/>
      <c r="ICX85" s="2"/>
      <c r="ICY85" s="2"/>
      <c r="ICZ85" s="2"/>
      <c r="IDA85" s="2"/>
      <c r="IDB85" s="2"/>
      <c r="IDC85" s="2"/>
      <c r="IDD85" s="2"/>
      <c r="IDE85" s="2"/>
      <c r="IDF85" s="2"/>
      <c r="IDG85" s="2"/>
      <c r="IDH85" s="2"/>
      <c r="IDI85" s="2"/>
      <c r="IDJ85" s="2"/>
      <c r="IDK85" s="2"/>
      <c r="IDL85" s="2"/>
      <c r="IDM85" s="2"/>
      <c r="IDN85" s="2"/>
      <c r="IDO85" s="2"/>
      <c r="IDP85" s="2"/>
      <c r="IDQ85" s="2"/>
      <c r="IDR85" s="2"/>
      <c r="IDS85" s="2"/>
      <c r="IDT85" s="2"/>
      <c r="IDU85" s="2"/>
      <c r="IDV85" s="2"/>
      <c r="IDW85" s="2"/>
      <c r="IDX85" s="2"/>
      <c r="IDY85" s="2"/>
      <c r="IDZ85" s="2"/>
      <c r="IEA85" s="2"/>
      <c r="IEB85" s="2"/>
      <c r="IEC85" s="2"/>
      <c r="IED85" s="2"/>
      <c r="IEE85" s="2"/>
      <c r="IEF85" s="2"/>
      <c r="IEG85" s="2"/>
      <c r="IEH85" s="2"/>
      <c r="IEI85" s="2"/>
      <c r="IEJ85" s="2"/>
      <c r="IEK85" s="2"/>
      <c r="IEL85" s="2"/>
      <c r="IEM85" s="2"/>
      <c r="IEN85" s="2"/>
      <c r="IEO85" s="2"/>
      <c r="IEP85" s="2"/>
      <c r="IEQ85" s="2"/>
      <c r="IER85" s="2"/>
      <c r="IES85" s="2"/>
      <c r="IET85" s="2"/>
      <c r="IEU85" s="2"/>
      <c r="IEV85" s="2"/>
      <c r="IEW85" s="2"/>
      <c r="IEX85" s="2"/>
      <c r="IEY85" s="2"/>
      <c r="IEZ85" s="2"/>
      <c r="IFA85" s="2"/>
      <c r="IFB85" s="2"/>
      <c r="IFC85" s="2"/>
      <c r="IFD85" s="2"/>
      <c r="IFE85" s="2"/>
      <c r="IFF85" s="2"/>
      <c r="IFG85" s="2"/>
      <c r="IFH85" s="2"/>
      <c r="IFI85" s="2"/>
      <c r="IFJ85" s="2"/>
      <c r="IFK85" s="2"/>
      <c r="IFL85" s="2"/>
      <c r="IFM85" s="2"/>
      <c r="IFN85" s="2"/>
      <c r="IFO85" s="2"/>
      <c r="IFP85" s="2"/>
      <c r="IFQ85" s="2"/>
      <c r="IFR85" s="2"/>
      <c r="IFS85" s="2"/>
      <c r="IFT85" s="2"/>
      <c r="IFU85" s="2"/>
      <c r="IFV85" s="2"/>
      <c r="IFW85" s="2"/>
      <c r="IFX85" s="2"/>
      <c r="IFY85" s="2"/>
      <c r="IFZ85" s="2"/>
      <c r="IGA85" s="2"/>
      <c r="IGB85" s="2"/>
      <c r="IGC85" s="2"/>
      <c r="IGD85" s="2"/>
      <c r="IGE85" s="2"/>
      <c r="IGF85" s="2"/>
      <c r="IGG85" s="2"/>
      <c r="IGH85" s="2"/>
      <c r="IGI85" s="2"/>
      <c r="IGJ85" s="2"/>
      <c r="IGK85" s="2"/>
      <c r="IGL85" s="2"/>
      <c r="IGM85" s="2"/>
      <c r="IGN85" s="2"/>
      <c r="IGO85" s="2"/>
      <c r="IGP85" s="2"/>
      <c r="IGQ85" s="2"/>
      <c r="IGR85" s="2"/>
      <c r="IGS85" s="2"/>
      <c r="IGT85" s="2"/>
      <c r="IGU85" s="2"/>
      <c r="IGV85" s="2"/>
      <c r="IGW85" s="2"/>
      <c r="IGX85" s="2"/>
      <c r="IGY85" s="2"/>
      <c r="IGZ85" s="2"/>
      <c r="IHA85" s="2"/>
      <c r="IHB85" s="2"/>
      <c r="IHC85" s="2"/>
      <c r="IHD85" s="2"/>
      <c r="IHE85" s="2"/>
      <c r="IHF85" s="2"/>
      <c r="IHG85" s="2"/>
      <c r="IHH85" s="2"/>
      <c r="IHI85" s="2"/>
      <c r="IHJ85" s="2"/>
      <c r="IHK85" s="2"/>
      <c r="IHL85" s="2"/>
      <c r="IHM85" s="2"/>
      <c r="IHN85" s="2"/>
      <c r="IHO85" s="2"/>
      <c r="IHP85" s="2"/>
      <c r="IHQ85" s="2"/>
      <c r="IHR85" s="2"/>
      <c r="IHS85" s="2"/>
      <c r="IHT85" s="2"/>
      <c r="IHU85" s="2"/>
      <c r="IHV85" s="2"/>
      <c r="IHW85" s="2"/>
      <c r="IHX85" s="2"/>
      <c r="IHY85" s="2"/>
      <c r="IHZ85" s="2"/>
      <c r="IIA85" s="2"/>
      <c r="IIB85" s="2"/>
      <c r="IIC85" s="2"/>
      <c r="IID85" s="2"/>
      <c r="IIE85" s="2"/>
      <c r="IIF85" s="2"/>
      <c r="IIG85" s="2"/>
      <c r="IIH85" s="2"/>
      <c r="III85" s="2"/>
      <c r="IIJ85" s="2"/>
      <c r="IIK85" s="2"/>
      <c r="IIL85" s="2"/>
      <c r="IIM85" s="2"/>
      <c r="IIN85" s="2"/>
      <c r="IIO85" s="2"/>
      <c r="IIP85" s="2"/>
      <c r="IIQ85" s="2"/>
      <c r="IIR85" s="2"/>
      <c r="IIS85" s="2"/>
      <c r="IIT85" s="2"/>
      <c r="IIU85" s="2"/>
      <c r="IIV85" s="2"/>
      <c r="IIW85" s="2"/>
      <c r="IIX85" s="2"/>
      <c r="IIY85" s="2"/>
      <c r="IIZ85" s="2"/>
      <c r="IJA85" s="2"/>
      <c r="IJB85" s="2"/>
      <c r="IJC85" s="2"/>
      <c r="IJD85" s="2"/>
      <c r="IJE85" s="2"/>
      <c r="IJF85" s="2"/>
      <c r="IJG85" s="2"/>
      <c r="IJH85" s="2"/>
      <c r="IJI85" s="2"/>
      <c r="IJJ85" s="2"/>
      <c r="IJK85" s="2"/>
      <c r="IJL85" s="2"/>
      <c r="IJM85" s="2"/>
      <c r="IJN85" s="2"/>
      <c r="IJO85" s="2"/>
      <c r="IJP85" s="2"/>
      <c r="IJQ85" s="2"/>
      <c r="IJR85" s="2"/>
      <c r="IJS85" s="2"/>
      <c r="IJT85" s="2"/>
      <c r="IJU85" s="2"/>
      <c r="IJV85" s="2"/>
      <c r="IJW85" s="2"/>
      <c r="IJX85" s="2"/>
      <c r="IJY85" s="2"/>
      <c r="IJZ85" s="2"/>
      <c r="IKA85" s="2"/>
      <c r="IKB85" s="2"/>
      <c r="IKC85" s="2"/>
      <c r="IKD85" s="2"/>
      <c r="IKE85" s="2"/>
      <c r="IKF85" s="2"/>
      <c r="IKG85" s="2"/>
      <c r="IKH85" s="2"/>
      <c r="IKI85" s="2"/>
      <c r="IKJ85" s="2"/>
      <c r="IKK85" s="2"/>
      <c r="IKL85" s="2"/>
      <c r="IKM85" s="2"/>
      <c r="IKN85" s="2"/>
      <c r="IKO85" s="2"/>
      <c r="IKP85" s="2"/>
      <c r="IKQ85" s="2"/>
      <c r="IKR85" s="2"/>
      <c r="IKS85" s="2"/>
      <c r="IKT85" s="2"/>
      <c r="IKU85" s="2"/>
      <c r="IKV85" s="2"/>
      <c r="IKW85" s="2"/>
      <c r="IKX85" s="2"/>
      <c r="IKY85" s="2"/>
      <c r="IKZ85" s="2"/>
      <c r="ILA85" s="2"/>
      <c r="ILB85" s="2"/>
      <c r="ILC85" s="2"/>
      <c r="ILD85" s="2"/>
      <c r="ILE85" s="2"/>
      <c r="ILF85" s="2"/>
      <c r="ILG85" s="2"/>
      <c r="ILH85" s="2"/>
      <c r="ILI85" s="2"/>
      <c r="ILJ85" s="2"/>
      <c r="ILK85" s="2"/>
      <c r="ILL85" s="2"/>
      <c r="ILM85" s="2"/>
      <c r="ILN85" s="2"/>
      <c r="ILO85" s="2"/>
      <c r="ILP85" s="2"/>
      <c r="ILQ85" s="2"/>
      <c r="ILR85" s="2"/>
      <c r="ILS85" s="2"/>
      <c r="ILT85" s="2"/>
      <c r="ILU85" s="2"/>
      <c r="ILV85" s="2"/>
      <c r="ILW85" s="2"/>
      <c r="ILX85" s="2"/>
      <c r="ILY85" s="2"/>
      <c r="ILZ85" s="2"/>
      <c r="IMA85" s="2"/>
      <c r="IMB85" s="2"/>
      <c r="IMC85" s="2"/>
      <c r="IMD85" s="2"/>
      <c r="IME85" s="2"/>
      <c r="IMF85" s="2"/>
      <c r="IMG85" s="2"/>
      <c r="IMH85" s="2"/>
      <c r="IMI85" s="2"/>
      <c r="IMJ85" s="2"/>
      <c r="IMK85" s="2"/>
      <c r="IML85" s="2"/>
      <c r="IMM85" s="2"/>
      <c r="IMN85" s="2"/>
      <c r="IMO85" s="2"/>
      <c r="IMP85" s="2"/>
      <c r="IMQ85" s="2"/>
      <c r="IMR85" s="2"/>
      <c r="IMS85" s="2"/>
      <c r="IMT85" s="2"/>
      <c r="IMU85" s="2"/>
      <c r="IMV85" s="2"/>
      <c r="IMW85" s="2"/>
      <c r="IMX85" s="2"/>
      <c r="IMY85" s="2"/>
      <c r="IMZ85" s="2"/>
      <c r="INA85" s="2"/>
      <c r="INB85" s="2"/>
      <c r="INC85" s="2"/>
      <c r="IND85" s="2"/>
      <c r="INE85" s="2"/>
      <c r="INF85" s="2"/>
      <c r="ING85" s="2"/>
      <c r="INH85" s="2"/>
      <c r="INI85" s="2"/>
      <c r="INJ85" s="2"/>
      <c r="INK85" s="2"/>
      <c r="INL85" s="2"/>
      <c r="INM85" s="2"/>
      <c r="INN85" s="2"/>
      <c r="INO85" s="2"/>
      <c r="INP85" s="2"/>
      <c r="INQ85" s="2"/>
      <c r="INR85" s="2"/>
      <c r="INS85" s="2"/>
      <c r="INT85" s="2"/>
      <c r="INU85" s="2"/>
      <c r="INV85" s="2"/>
      <c r="INW85" s="2"/>
      <c r="INX85" s="2"/>
      <c r="INY85" s="2"/>
      <c r="INZ85" s="2"/>
      <c r="IOA85" s="2"/>
      <c r="IOB85" s="2"/>
      <c r="IOC85" s="2"/>
      <c r="IOD85" s="2"/>
      <c r="IOE85" s="2"/>
      <c r="IOF85" s="2"/>
      <c r="IOG85" s="2"/>
      <c r="IOH85" s="2"/>
      <c r="IOI85" s="2"/>
      <c r="IOJ85" s="2"/>
      <c r="IOK85" s="2"/>
      <c r="IOL85" s="2"/>
      <c r="IOM85" s="2"/>
      <c r="ION85" s="2"/>
      <c r="IOO85" s="2"/>
      <c r="IOP85" s="2"/>
      <c r="IOQ85" s="2"/>
      <c r="IOR85" s="2"/>
      <c r="IOS85" s="2"/>
      <c r="IOT85" s="2"/>
      <c r="IOU85" s="2"/>
      <c r="IOV85" s="2"/>
      <c r="IOW85" s="2"/>
      <c r="IOX85" s="2"/>
      <c r="IOY85" s="2"/>
      <c r="IOZ85" s="2"/>
      <c r="IPA85" s="2"/>
      <c r="IPB85" s="2"/>
      <c r="IPC85" s="2"/>
      <c r="IPD85" s="2"/>
      <c r="IPE85" s="2"/>
      <c r="IPF85" s="2"/>
      <c r="IPG85" s="2"/>
      <c r="IPH85" s="2"/>
      <c r="IPI85" s="2"/>
      <c r="IPJ85" s="2"/>
      <c r="IPK85" s="2"/>
      <c r="IPL85" s="2"/>
      <c r="IPM85" s="2"/>
      <c r="IPN85" s="2"/>
      <c r="IPO85" s="2"/>
      <c r="IPP85" s="2"/>
      <c r="IPQ85" s="2"/>
      <c r="IPR85" s="2"/>
      <c r="IPS85" s="2"/>
      <c r="IPT85" s="2"/>
      <c r="IPU85" s="2"/>
      <c r="IPV85" s="2"/>
      <c r="IPW85" s="2"/>
      <c r="IPX85" s="2"/>
      <c r="IPY85" s="2"/>
      <c r="IPZ85" s="2"/>
      <c r="IQA85" s="2"/>
      <c r="IQB85" s="2"/>
      <c r="IQC85" s="2"/>
      <c r="IQD85" s="2"/>
      <c r="IQE85" s="2"/>
      <c r="IQF85" s="2"/>
      <c r="IQG85" s="2"/>
      <c r="IQH85" s="2"/>
      <c r="IQI85" s="2"/>
      <c r="IQJ85" s="2"/>
      <c r="IQK85" s="2"/>
      <c r="IQL85" s="2"/>
      <c r="IQM85" s="2"/>
      <c r="IQN85" s="2"/>
      <c r="IQO85" s="2"/>
      <c r="IQP85" s="2"/>
      <c r="IQQ85" s="2"/>
      <c r="IQR85" s="2"/>
      <c r="IQS85" s="2"/>
      <c r="IQT85" s="2"/>
      <c r="IQU85" s="2"/>
      <c r="IQV85" s="2"/>
      <c r="IQW85" s="2"/>
      <c r="IQX85" s="2"/>
      <c r="IQY85" s="2"/>
      <c r="IQZ85" s="2"/>
      <c r="IRA85" s="2"/>
      <c r="IRB85" s="2"/>
      <c r="IRC85" s="2"/>
      <c r="IRD85" s="2"/>
      <c r="IRE85" s="2"/>
      <c r="IRF85" s="2"/>
      <c r="IRG85" s="2"/>
      <c r="IRH85" s="2"/>
      <c r="IRI85" s="2"/>
      <c r="IRJ85" s="2"/>
      <c r="IRK85" s="2"/>
      <c r="IRL85" s="2"/>
      <c r="IRM85" s="2"/>
      <c r="IRN85" s="2"/>
      <c r="IRO85" s="2"/>
      <c r="IRP85" s="2"/>
      <c r="IRQ85" s="2"/>
      <c r="IRR85" s="2"/>
      <c r="IRS85" s="2"/>
      <c r="IRT85" s="2"/>
      <c r="IRU85" s="2"/>
      <c r="IRV85" s="2"/>
      <c r="IRW85" s="2"/>
      <c r="IRX85" s="2"/>
      <c r="IRY85" s="2"/>
      <c r="IRZ85" s="2"/>
      <c r="ISA85" s="2"/>
      <c r="ISB85" s="2"/>
      <c r="ISC85" s="2"/>
      <c r="ISD85" s="2"/>
      <c r="ISE85" s="2"/>
      <c r="ISF85" s="2"/>
      <c r="ISG85" s="2"/>
      <c r="ISH85" s="2"/>
      <c r="ISI85" s="2"/>
      <c r="ISJ85" s="2"/>
      <c r="ISK85" s="2"/>
      <c r="ISL85" s="2"/>
      <c r="ISM85" s="2"/>
      <c r="ISN85" s="2"/>
      <c r="ISO85" s="2"/>
      <c r="ISP85" s="2"/>
      <c r="ISQ85" s="2"/>
      <c r="ISR85" s="2"/>
      <c r="ISS85" s="2"/>
      <c r="IST85" s="2"/>
      <c r="ISU85" s="2"/>
      <c r="ISV85" s="2"/>
      <c r="ISW85" s="2"/>
      <c r="ISX85" s="2"/>
      <c r="ISY85" s="2"/>
      <c r="ISZ85" s="2"/>
      <c r="ITA85" s="2"/>
      <c r="ITB85" s="2"/>
      <c r="ITC85" s="2"/>
      <c r="ITD85" s="2"/>
      <c r="ITE85" s="2"/>
      <c r="ITF85" s="2"/>
      <c r="ITG85" s="2"/>
      <c r="ITH85" s="2"/>
      <c r="ITI85" s="2"/>
      <c r="ITJ85" s="2"/>
      <c r="ITK85" s="2"/>
      <c r="ITL85" s="2"/>
      <c r="ITM85" s="2"/>
      <c r="ITN85" s="2"/>
      <c r="ITO85" s="2"/>
      <c r="ITP85" s="2"/>
      <c r="ITQ85" s="2"/>
      <c r="ITR85" s="2"/>
      <c r="ITS85" s="2"/>
      <c r="ITT85" s="2"/>
      <c r="ITU85" s="2"/>
      <c r="ITV85" s="2"/>
      <c r="ITW85" s="2"/>
      <c r="ITX85" s="2"/>
      <c r="ITY85" s="2"/>
      <c r="ITZ85" s="2"/>
      <c r="IUA85" s="2"/>
      <c r="IUB85" s="2"/>
      <c r="IUC85" s="2"/>
      <c r="IUD85" s="2"/>
      <c r="IUE85" s="2"/>
      <c r="IUF85" s="2"/>
      <c r="IUG85" s="2"/>
      <c r="IUH85" s="2"/>
      <c r="IUI85" s="2"/>
      <c r="IUJ85" s="2"/>
      <c r="IUK85" s="2"/>
      <c r="IUL85" s="2"/>
      <c r="IUM85" s="2"/>
      <c r="IUN85" s="2"/>
      <c r="IUO85" s="2"/>
      <c r="IUP85" s="2"/>
      <c r="IUQ85" s="2"/>
      <c r="IUR85" s="2"/>
      <c r="IUS85" s="2"/>
      <c r="IUT85" s="2"/>
      <c r="IUU85" s="2"/>
      <c r="IUV85" s="2"/>
      <c r="IUW85" s="2"/>
      <c r="IUX85" s="2"/>
      <c r="IUY85" s="2"/>
      <c r="IUZ85" s="2"/>
      <c r="IVA85" s="2"/>
      <c r="IVB85" s="2"/>
      <c r="IVC85" s="2"/>
      <c r="IVD85" s="2"/>
      <c r="IVE85" s="2"/>
      <c r="IVF85" s="2"/>
      <c r="IVG85" s="2"/>
      <c r="IVH85" s="2"/>
      <c r="IVI85" s="2"/>
      <c r="IVJ85" s="2"/>
      <c r="IVK85" s="2"/>
      <c r="IVL85" s="2"/>
      <c r="IVM85" s="2"/>
      <c r="IVN85" s="2"/>
      <c r="IVO85" s="2"/>
      <c r="IVP85" s="2"/>
      <c r="IVQ85" s="2"/>
      <c r="IVR85" s="2"/>
      <c r="IVS85" s="2"/>
      <c r="IVT85" s="2"/>
      <c r="IVU85" s="2"/>
      <c r="IVV85" s="2"/>
      <c r="IVW85" s="2"/>
      <c r="IVX85" s="2"/>
      <c r="IVY85" s="2"/>
      <c r="IVZ85" s="2"/>
      <c r="IWA85" s="2"/>
      <c r="IWB85" s="2"/>
      <c r="IWC85" s="2"/>
      <c r="IWD85" s="2"/>
      <c r="IWE85" s="2"/>
      <c r="IWF85" s="2"/>
      <c r="IWG85" s="2"/>
      <c r="IWH85" s="2"/>
      <c r="IWI85" s="2"/>
      <c r="IWJ85" s="2"/>
      <c r="IWK85" s="2"/>
      <c r="IWL85" s="2"/>
      <c r="IWM85" s="2"/>
      <c r="IWN85" s="2"/>
      <c r="IWO85" s="2"/>
      <c r="IWP85" s="2"/>
      <c r="IWQ85" s="2"/>
      <c r="IWR85" s="2"/>
      <c r="IWS85" s="2"/>
      <c r="IWT85" s="2"/>
      <c r="IWU85" s="2"/>
      <c r="IWV85" s="2"/>
      <c r="IWW85" s="2"/>
      <c r="IWX85" s="2"/>
      <c r="IWY85" s="2"/>
      <c r="IWZ85" s="2"/>
      <c r="IXA85" s="2"/>
      <c r="IXB85" s="2"/>
      <c r="IXC85" s="2"/>
      <c r="IXD85" s="2"/>
      <c r="IXE85" s="2"/>
      <c r="IXF85" s="2"/>
      <c r="IXG85" s="2"/>
      <c r="IXH85" s="2"/>
      <c r="IXI85" s="2"/>
      <c r="IXJ85" s="2"/>
      <c r="IXK85" s="2"/>
      <c r="IXL85" s="2"/>
      <c r="IXM85" s="2"/>
      <c r="IXN85" s="2"/>
      <c r="IXO85" s="2"/>
      <c r="IXP85" s="2"/>
      <c r="IXQ85" s="2"/>
      <c r="IXR85" s="2"/>
      <c r="IXS85" s="2"/>
      <c r="IXT85" s="2"/>
      <c r="IXU85" s="2"/>
      <c r="IXV85" s="2"/>
      <c r="IXW85" s="2"/>
      <c r="IXX85" s="2"/>
      <c r="IXY85" s="2"/>
      <c r="IXZ85" s="2"/>
      <c r="IYA85" s="2"/>
      <c r="IYB85" s="2"/>
      <c r="IYC85" s="2"/>
      <c r="IYD85" s="2"/>
      <c r="IYE85" s="2"/>
      <c r="IYF85" s="2"/>
      <c r="IYG85" s="2"/>
      <c r="IYH85" s="2"/>
      <c r="IYI85" s="2"/>
      <c r="IYJ85" s="2"/>
      <c r="IYK85" s="2"/>
      <c r="IYL85" s="2"/>
      <c r="IYM85" s="2"/>
      <c r="IYN85" s="2"/>
      <c r="IYO85" s="2"/>
      <c r="IYP85" s="2"/>
      <c r="IYQ85" s="2"/>
      <c r="IYR85" s="2"/>
      <c r="IYS85" s="2"/>
      <c r="IYT85" s="2"/>
      <c r="IYU85" s="2"/>
      <c r="IYV85" s="2"/>
      <c r="IYW85" s="2"/>
      <c r="IYX85" s="2"/>
      <c r="IYY85" s="2"/>
      <c r="IYZ85" s="2"/>
      <c r="IZA85" s="2"/>
      <c r="IZB85" s="2"/>
      <c r="IZC85" s="2"/>
      <c r="IZD85" s="2"/>
      <c r="IZE85" s="2"/>
      <c r="IZF85" s="2"/>
      <c r="IZG85" s="2"/>
      <c r="IZH85" s="2"/>
      <c r="IZI85" s="2"/>
      <c r="IZJ85" s="2"/>
      <c r="IZK85" s="2"/>
      <c r="IZL85" s="2"/>
      <c r="IZM85" s="2"/>
      <c r="IZN85" s="2"/>
      <c r="IZO85" s="2"/>
      <c r="IZP85" s="2"/>
      <c r="IZQ85" s="2"/>
      <c r="IZR85" s="2"/>
      <c r="IZS85" s="2"/>
      <c r="IZT85" s="2"/>
      <c r="IZU85" s="2"/>
      <c r="IZV85" s="2"/>
      <c r="IZW85" s="2"/>
      <c r="IZX85" s="2"/>
      <c r="IZY85" s="2"/>
      <c r="IZZ85" s="2"/>
      <c r="JAA85" s="2"/>
      <c r="JAB85" s="2"/>
      <c r="JAC85" s="2"/>
      <c r="JAD85" s="2"/>
      <c r="JAE85" s="2"/>
      <c r="JAF85" s="2"/>
      <c r="JAG85" s="2"/>
      <c r="JAH85" s="2"/>
      <c r="JAI85" s="2"/>
      <c r="JAJ85" s="2"/>
      <c r="JAK85" s="2"/>
      <c r="JAL85" s="2"/>
      <c r="JAM85" s="2"/>
      <c r="JAN85" s="2"/>
      <c r="JAO85" s="2"/>
      <c r="JAP85" s="2"/>
      <c r="JAQ85" s="2"/>
      <c r="JAR85" s="2"/>
      <c r="JAS85" s="2"/>
      <c r="JAT85" s="2"/>
      <c r="JAU85" s="2"/>
      <c r="JAV85" s="2"/>
      <c r="JAW85" s="2"/>
      <c r="JAX85" s="2"/>
      <c r="JAY85" s="2"/>
      <c r="JAZ85" s="2"/>
      <c r="JBA85" s="2"/>
      <c r="JBB85" s="2"/>
      <c r="JBC85" s="2"/>
      <c r="JBD85" s="2"/>
      <c r="JBE85" s="2"/>
      <c r="JBF85" s="2"/>
      <c r="JBG85" s="2"/>
      <c r="JBH85" s="2"/>
      <c r="JBI85" s="2"/>
      <c r="JBJ85" s="2"/>
      <c r="JBK85" s="2"/>
      <c r="JBL85" s="2"/>
      <c r="JBM85" s="2"/>
      <c r="JBN85" s="2"/>
      <c r="JBO85" s="2"/>
      <c r="JBP85" s="2"/>
      <c r="JBQ85" s="2"/>
      <c r="JBR85" s="2"/>
      <c r="JBS85" s="2"/>
      <c r="JBT85" s="2"/>
      <c r="JBU85" s="2"/>
      <c r="JBV85" s="2"/>
      <c r="JBW85" s="2"/>
      <c r="JBX85" s="2"/>
      <c r="JBY85" s="2"/>
      <c r="JBZ85" s="2"/>
      <c r="JCA85" s="2"/>
      <c r="JCB85" s="2"/>
      <c r="JCC85" s="2"/>
      <c r="JCD85" s="2"/>
      <c r="JCE85" s="2"/>
      <c r="JCF85" s="2"/>
      <c r="JCG85" s="2"/>
      <c r="JCH85" s="2"/>
      <c r="JCI85" s="2"/>
      <c r="JCJ85" s="2"/>
      <c r="JCK85" s="2"/>
      <c r="JCL85" s="2"/>
      <c r="JCM85" s="2"/>
      <c r="JCN85" s="2"/>
      <c r="JCO85" s="2"/>
      <c r="JCP85" s="2"/>
      <c r="JCQ85" s="2"/>
      <c r="JCR85" s="2"/>
      <c r="JCS85" s="2"/>
      <c r="JCT85" s="2"/>
      <c r="JCU85" s="2"/>
      <c r="JCV85" s="2"/>
      <c r="JCW85" s="2"/>
      <c r="JCX85" s="2"/>
      <c r="JCY85" s="2"/>
      <c r="JCZ85" s="2"/>
      <c r="JDA85" s="2"/>
      <c r="JDB85" s="2"/>
      <c r="JDC85" s="2"/>
      <c r="JDD85" s="2"/>
      <c r="JDE85" s="2"/>
      <c r="JDF85" s="2"/>
      <c r="JDG85" s="2"/>
      <c r="JDH85" s="2"/>
      <c r="JDI85" s="2"/>
      <c r="JDJ85" s="2"/>
      <c r="JDK85" s="2"/>
      <c r="JDL85" s="2"/>
      <c r="JDM85" s="2"/>
      <c r="JDN85" s="2"/>
      <c r="JDO85" s="2"/>
      <c r="JDP85" s="2"/>
      <c r="JDQ85" s="2"/>
      <c r="JDR85" s="2"/>
      <c r="JDS85" s="2"/>
      <c r="JDT85" s="2"/>
      <c r="JDU85" s="2"/>
      <c r="JDV85" s="2"/>
      <c r="JDW85" s="2"/>
      <c r="JDX85" s="2"/>
      <c r="JDY85" s="2"/>
      <c r="JDZ85" s="2"/>
      <c r="JEA85" s="2"/>
      <c r="JEB85" s="2"/>
      <c r="JEC85" s="2"/>
      <c r="JED85" s="2"/>
      <c r="JEE85" s="2"/>
      <c r="JEF85" s="2"/>
      <c r="JEG85" s="2"/>
      <c r="JEH85" s="2"/>
      <c r="JEI85" s="2"/>
      <c r="JEJ85" s="2"/>
      <c r="JEK85" s="2"/>
      <c r="JEL85" s="2"/>
      <c r="JEM85" s="2"/>
      <c r="JEN85" s="2"/>
      <c r="JEO85" s="2"/>
      <c r="JEP85" s="2"/>
      <c r="JEQ85" s="2"/>
      <c r="JER85" s="2"/>
      <c r="JES85" s="2"/>
      <c r="JET85" s="2"/>
      <c r="JEU85" s="2"/>
      <c r="JEV85" s="2"/>
      <c r="JEW85" s="2"/>
      <c r="JEX85" s="2"/>
      <c r="JEY85" s="2"/>
      <c r="JEZ85" s="2"/>
      <c r="JFA85" s="2"/>
      <c r="JFB85" s="2"/>
      <c r="JFC85" s="2"/>
      <c r="JFD85" s="2"/>
      <c r="JFE85" s="2"/>
      <c r="JFF85" s="2"/>
      <c r="JFG85" s="2"/>
      <c r="JFH85" s="2"/>
      <c r="JFI85" s="2"/>
      <c r="JFJ85" s="2"/>
      <c r="JFK85" s="2"/>
      <c r="JFL85" s="2"/>
      <c r="JFM85" s="2"/>
      <c r="JFN85" s="2"/>
      <c r="JFO85" s="2"/>
      <c r="JFP85" s="2"/>
      <c r="JFQ85" s="2"/>
      <c r="JFR85" s="2"/>
      <c r="JFS85" s="2"/>
      <c r="JFT85" s="2"/>
      <c r="JFU85" s="2"/>
      <c r="JFV85" s="2"/>
      <c r="JFW85" s="2"/>
      <c r="JFX85" s="2"/>
      <c r="JFY85" s="2"/>
      <c r="JFZ85" s="2"/>
      <c r="JGA85" s="2"/>
      <c r="JGB85" s="2"/>
      <c r="JGC85" s="2"/>
      <c r="JGD85" s="2"/>
      <c r="JGE85" s="2"/>
      <c r="JGF85" s="2"/>
      <c r="JGG85" s="2"/>
      <c r="JGH85" s="2"/>
      <c r="JGI85" s="2"/>
      <c r="JGJ85" s="2"/>
      <c r="JGK85" s="2"/>
      <c r="JGL85" s="2"/>
      <c r="JGM85" s="2"/>
      <c r="JGN85" s="2"/>
      <c r="JGO85" s="2"/>
      <c r="JGP85" s="2"/>
      <c r="JGQ85" s="2"/>
      <c r="JGR85" s="2"/>
      <c r="JGS85" s="2"/>
      <c r="JGT85" s="2"/>
      <c r="JGU85" s="2"/>
      <c r="JGV85" s="2"/>
      <c r="JGW85" s="2"/>
      <c r="JGX85" s="2"/>
      <c r="JGY85" s="2"/>
      <c r="JGZ85" s="2"/>
      <c r="JHA85" s="2"/>
      <c r="JHB85" s="2"/>
      <c r="JHC85" s="2"/>
      <c r="JHD85" s="2"/>
      <c r="JHE85" s="2"/>
      <c r="JHF85" s="2"/>
      <c r="JHG85" s="2"/>
      <c r="JHH85" s="2"/>
      <c r="JHI85" s="2"/>
      <c r="JHJ85" s="2"/>
      <c r="JHK85" s="2"/>
      <c r="JHL85" s="2"/>
      <c r="JHM85" s="2"/>
      <c r="JHN85" s="2"/>
      <c r="JHO85" s="2"/>
      <c r="JHP85" s="2"/>
      <c r="JHQ85" s="2"/>
      <c r="JHR85" s="2"/>
      <c r="JHS85" s="2"/>
      <c r="JHT85" s="2"/>
      <c r="JHU85" s="2"/>
      <c r="JHV85" s="2"/>
      <c r="JHW85" s="2"/>
      <c r="JHX85" s="2"/>
      <c r="JHY85" s="2"/>
      <c r="JHZ85" s="2"/>
      <c r="JIA85" s="2"/>
      <c r="JIB85" s="2"/>
      <c r="JIC85" s="2"/>
      <c r="JID85" s="2"/>
      <c r="JIE85" s="2"/>
      <c r="JIF85" s="2"/>
      <c r="JIG85" s="2"/>
      <c r="JIH85" s="2"/>
      <c r="JII85" s="2"/>
      <c r="JIJ85" s="2"/>
      <c r="JIK85" s="2"/>
      <c r="JIL85" s="2"/>
      <c r="JIM85" s="2"/>
      <c r="JIN85" s="2"/>
      <c r="JIO85" s="2"/>
      <c r="JIP85" s="2"/>
      <c r="JIQ85" s="2"/>
      <c r="JIR85" s="2"/>
      <c r="JIS85" s="2"/>
      <c r="JIT85" s="2"/>
      <c r="JIU85" s="2"/>
      <c r="JIV85" s="2"/>
      <c r="JIW85" s="2"/>
      <c r="JIX85" s="2"/>
      <c r="JIY85" s="2"/>
      <c r="JIZ85" s="2"/>
      <c r="JJA85" s="2"/>
      <c r="JJB85" s="2"/>
      <c r="JJC85" s="2"/>
      <c r="JJD85" s="2"/>
      <c r="JJE85" s="2"/>
      <c r="JJF85" s="2"/>
      <c r="JJG85" s="2"/>
      <c r="JJH85" s="2"/>
      <c r="JJI85" s="2"/>
      <c r="JJJ85" s="2"/>
      <c r="JJK85" s="2"/>
      <c r="JJL85" s="2"/>
      <c r="JJM85" s="2"/>
      <c r="JJN85" s="2"/>
      <c r="JJO85" s="2"/>
      <c r="JJP85" s="2"/>
      <c r="JJQ85" s="2"/>
      <c r="JJR85" s="2"/>
      <c r="JJS85" s="2"/>
      <c r="JJT85" s="2"/>
      <c r="JJU85" s="2"/>
      <c r="JJV85" s="2"/>
      <c r="JJW85" s="2"/>
      <c r="JJX85" s="2"/>
      <c r="JJY85" s="2"/>
      <c r="JJZ85" s="2"/>
      <c r="JKA85" s="2"/>
      <c r="JKB85" s="2"/>
      <c r="JKC85" s="2"/>
      <c r="JKD85" s="2"/>
      <c r="JKE85" s="2"/>
      <c r="JKF85" s="2"/>
      <c r="JKG85" s="2"/>
      <c r="JKH85" s="2"/>
      <c r="JKI85" s="2"/>
      <c r="JKJ85" s="2"/>
      <c r="JKK85" s="2"/>
      <c r="JKL85" s="2"/>
      <c r="JKM85" s="2"/>
      <c r="JKN85" s="2"/>
      <c r="JKO85" s="2"/>
      <c r="JKP85" s="2"/>
      <c r="JKQ85" s="2"/>
      <c r="JKR85" s="2"/>
      <c r="JKS85" s="2"/>
      <c r="JKT85" s="2"/>
      <c r="JKU85" s="2"/>
      <c r="JKV85" s="2"/>
      <c r="JKW85" s="2"/>
      <c r="JKX85" s="2"/>
      <c r="JKY85" s="2"/>
      <c r="JKZ85" s="2"/>
      <c r="JLA85" s="2"/>
      <c r="JLB85" s="2"/>
      <c r="JLC85" s="2"/>
      <c r="JLD85" s="2"/>
      <c r="JLE85" s="2"/>
      <c r="JLF85" s="2"/>
      <c r="JLG85" s="2"/>
      <c r="JLH85" s="2"/>
      <c r="JLI85" s="2"/>
      <c r="JLJ85" s="2"/>
      <c r="JLK85" s="2"/>
      <c r="JLL85" s="2"/>
      <c r="JLM85" s="2"/>
      <c r="JLN85" s="2"/>
      <c r="JLO85" s="2"/>
      <c r="JLP85" s="2"/>
      <c r="JLQ85" s="2"/>
      <c r="JLR85" s="2"/>
      <c r="JLS85" s="2"/>
      <c r="JLT85" s="2"/>
      <c r="JLU85" s="2"/>
      <c r="JLV85" s="2"/>
      <c r="JLW85" s="2"/>
      <c r="JLX85" s="2"/>
      <c r="JLY85" s="2"/>
      <c r="JLZ85" s="2"/>
      <c r="JMA85" s="2"/>
      <c r="JMB85" s="2"/>
      <c r="JMC85" s="2"/>
      <c r="JMD85" s="2"/>
      <c r="JME85" s="2"/>
      <c r="JMF85" s="2"/>
      <c r="JMG85" s="2"/>
      <c r="JMH85" s="2"/>
      <c r="JMI85" s="2"/>
      <c r="JMJ85" s="2"/>
      <c r="JMK85" s="2"/>
      <c r="JML85" s="2"/>
      <c r="JMM85" s="2"/>
      <c r="JMN85" s="2"/>
      <c r="JMO85" s="2"/>
      <c r="JMP85" s="2"/>
      <c r="JMQ85" s="2"/>
      <c r="JMR85" s="2"/>
      <c r="JMS85" s="2"/>
      <c r="JMT85" s="2"/>
      <c r="JMU85" s="2"/>
      <c r="JMV85" s="2"/>
      <c r="JMW85" s="2"/>
      <c r="JMX85" s="2"/>
      <c r="JMY85" s="2"/>
      <c r="JMZ85" s="2"/>
      <c r="JNA85" s="2"/>
      <c r="JNB85" s="2"/>
      <c r="JNC85" s="2"/>
      <c r="JND85" s="2"/>
      <c r="JNE85" s="2"/>
      <c r="JNF85" s="2"/>
      <c r="JNG85" s="2"/>
      <c r="JNH85" s="2"/>
      <c r="JNI85" s="2"/>
      <c r="JNJ85" s="2"/>
      <c r="JNK85" s="2"/>
      <c r="JNL85" s="2"/>
      <c r="JNM85" s="2"/>
      <c r="JNN85" s="2"/>
      <c r="JNO85" s="2"/>
      <c r="JNP85" s="2"/>
      <c r="JNQ85" s="2"/>
      <c r="JNR85" s="2"/>
      <c r="JNS85" s="2"/>
      <c r="JNT85" s="2"/>
      <c r="JNU85" s="2"/>
      <c r="JNV85" s="2"/>
      <c r="JNW85" s="2"/>
      <c r="JNX85" s="2"/>
      <c r="JNY85" s="2"/>
      <c r="JNZ85" s="2"/>
      <c r="JOA85" s="2"/>
      <c r="JOB85" s="2"/>
      <c r="JOC85" s="2"/>
      <c r="JOD85" s="2"/>
      <c r="JOE85" s="2"/>
      <c r="JOF85" s="2"/>
      <c r="JOG85" s="2"/>
      <c r="JOH85" s="2"/>
      <c r="JOI85" s="2"/>
      <c r="JOJ85" s="2"/>
      <c r="JOK85" s="2"/>
      <c r="JOL85" s="2"/>
      <c r="JOM85" s="2"/>
      <c r="JON85" s="2"/>
      <c r="JOO85" s="2"/>
      <c r="JOP85" s="2"/>
      <c r="JOQ85" s="2"/>
      <c r="JOR85" s="2"/>
      <c r="JOS85" s="2"/>
      <c r="JOT85" s="2"/>
      <c r="JOU85" s="2"/>
      <c r="JOV85" s="2"/>
      <c r="JOW85" s="2"/>
      <c r="JOX85" s="2"/>
      <c r="JOY85" s="2"/>
      <c r="JOZ85" s="2"/>
      <c r="JPA85" s="2"/>
      <c r="JPB85" s="2"/>
      <c r="JPC85" s="2"/>
      <c r="JPD85" s="2"/>
      <c r="JPE85" s="2"/>
      <c r="JPF85" s="2"/>
      <c r="JPG85" s="2"/>
      <c r="JPH85" s="2"/>
      <c r="JPI85" s="2"/>
      <c r="JPJ85" s="2"/>
      <c r="JPK85" s="2"/>
      <c r="JPL85" s="2"/>
      <c r="JPM85" s="2"/>
      <c r="JPN85" s="2"/>
      <c r="JPO85" s="2"/>
      <c r="JPP85" s="2"/>
      <c r="JPQ85" s="2"/>
      <c r="JPR85" s="2"/>
      <c r="JPS85" s="2"/>
      <c r="JPT85" s="2"/>
      <c r="JPU85" s="2"/>
      <c r="JPV85" s="2"/>
      <c r="JPW85" s="2"/>
      <c r="JPX85" s="2"/>
      <c r="JPY85" s="2"/>
      <c r="JPZ85" s="2"/>
      <c r="JQA85" s="2"/>
      <c r="JQB85" s="2"/>
      <c r="JQC85" s="2"/>
      <c r="JQD85" s="2"/>
      <c r="JQE85" s="2"/>
      <c r="JQF85" s="2"/>
      <c r="JQG85" s="2"/>
      <c r="JQH85" s="2"/>
      <c r="JQI85" s="2"/>
      <c r="JQJ85" s="2"/>
      <c r="JQK85" s="2"/>
      <c r="JQL85" s="2"/>
      <c r="JQM85" s="2"/>
      <c r="JQN85" s="2"/>
      <c r="JQO85" s="2"/>
      <c r="JQP85" s="2"/>
      <c r="JQQ85" s="2"/>
      <c r="JQR85" s="2"/>
      <c r="JQS85" s="2"/>
      <c r="JQT85" s="2"/>
      <c r="JQU85" s="2"/>
      <c r="JQV85" s="2"/>
      <c r="JQW85" s="2"/>
      <c r="JQX85" s="2"/>
      <c r="JQY85" s="2"/>
      <c r="JQZ85" s="2"/>
      <c r="JRA85" s="2"/>
      <c r="JRB85" s="2"/>
      <c r="JRC85" s="2"/>
      <c r="JRD85" s="2"/>
      <c r="JRE85" s="2"/>
      <c r="JRF85" s="2"/>
      <c r="JRG85" s="2"/>
      <c r="JRH85" s="2"/>
      <c r="JRI85" s="2"/>
      <c r="JRJ85" s="2"/>
      <c r="JRK85" s="2"/>
      <c r="JRL85" s="2"/>
      <c r="JRM85" s="2"/>
      <c r="JRN85" s="2"/>
      <c r="JRO85" s="2"/>
      <c r="JRP85" s="2"/>
      <c r="JRQ85" s="2"/>
      <c r="JRR85" s="2"/>
      <c r="JRS85" s="2"/>
      <c r="JRT85" s="2"/>
      <c r="JRU85" s="2"/>
      <c r="JRV85" s="2"/>
      <c r="JRW85" s="2"/>
      <c r="JRX85" s="2"/>
      <c r="JRY85" s="2"/>
      <c r="JRZ85" s="2"/>
      <c r="JSA85" s="2"/>
      <c r="JSB85" s="2"/>
      <c r="JSC85" s="2"/>
      <c r="JSD85" s="2"/>
      <c r="JSE85" s="2"/>
      <c r="JSF85" s="2"/>
      <c r="JSG85" s="2"/>
      <c r="JSH85" s="2"/>
      <c r="JSI85" s="2"/>
      <c r="JSJ85" s="2"/>
      <c r="JSK85" s="2"/>
      <c r="JSL85" s="2"/>
      <c r="JSM85" s="2"/>
      <c r="JSN85" s="2"/>
      <c r="JSO85" s="2"/>
      <c r="JSP85" s="2"/>
      <c r="JSQ85" s="2"/>
      <c r="JSR85" s="2"/>
      <c r="JSS85" s="2"/>
      <c r="JST85" s="2"/>
      <c r="JSU85" s="2"/>
      <c r="JSV85" s="2"/>
      <c r="JSW85" s="2"/>
      <c r="JSX85" s="2"/>
      <c r="JSY85" s="2"/>
      <c r="JSZ85" s="2"/>
      <c r="JTA85" s="2"/>
      <c r="JTB85" s="2"/>
      <c r="JTC85" s="2"/>
      <c r="JTD85" s="2"/>
      <c r="JTE85" s="2"/>
      <c r="JTF85" s="2"/>
      <c r="JTG85" s="2"/>
      <c r="JTH85" s="2"/>
      <c r="JTI85" s="2"/>
      <c r="JTJ85" s="2"/>
      <c r="JTK85" s="2"/>
      <c r="JTL85" s="2"/>
      <c r="JTM85" s="2"/>
      <c r="JTN85" s="2"/>
      <c r="JTO85" s="2"/>
      <c r="JTP85" s="2"/>
      <c r="JTQ85" s="2"/>
      <c r="JTR85" s="2"/>
      <c r="JTS85" s="2"/>
      <c r="JTT85" s="2"/>
      <c r="JTU85" s="2"/>
      <c r="JTV85" s="2"/>
      <c r="JTW85" s="2"/>
      <c r="JTX85" s="2"/>
      <c r="JTY85" s="2"/>
      <c r="JTZ85" s="2"/>
      <c r="JUA85" s="2"/>
      <c r="JUB85" s="2"/>
      <c r="JUC85" s="2"/>
      <c r="JUD85" s="2"/>
      <c r="JUE85" s="2"/>
      <c r="JUF85" s="2"/>
      <c r="JUG85" s="2"/>
      <c r="JUH85" s="2"/>
      <c r="JUI85" s="2"/>
      <c r="JUJ85" s="2"/>
      <c r="JUK85" s="2"/>
      <c r="JUL85" s="2"/>
      <c r="JUM85" s="2"/>
      <c r="JUN85" s="2"/>
      <c r="JUO85" s="2"/>
      <c r="JUP85" s="2"/>
      <c r="JUQ85" s="2"/>
      <c r="JUR85" s="2"/>
      <c r="JUS85" s="2"/>
      <c r="JUT85" s="2"/>
      <c r="JUU85" s="2"/>
      <c r="JUV85" s="2"/>
      <c r="JUW85" s="2"/>
      <c r="JUX85" s="2"/>
      <c r="JUY85" s="2"/>
      <c r="JUZ85" s="2"/>
      <c r="JVA85" s="2"/>
      <c r="JVB85" s="2"/>
      <c r="JVC85" s="2"/>
      <c r="JVD85" s="2"/>
      <c r="JVE85" s="2"/>
      <c r="JVF85" s="2"/>
      <c r="JVG85" s="2"/>
      <c r="JVH85" s="2"/>
      <c r="JVI85" s="2"/>
      <c r="JVJ85" s="2"/>
      <c r="JVK85" s="2"/>
      <c r="JVL85" s="2"/>
      <c r="JVM85" s="2"/>
      <c r="JVN85" s="2"/>
      <c r="JVO85" s="2"/>
      <c r="JVP85" s="2"/>
      <c r="JVQ85" s="2"/>
      <c r="JVR85" s="2"/>
      <c r="JVS85" s="2"/>
      <c r="JVT85" s="2"/>
      <c r="JVU85" s="2"/>
      <c r="JVV85" s="2"/>
      <c r="JVW85" s="2"/>
      <c r="JVX85" s="2"/>
      <c r="JVY85" s="2"/>
      <c r="JVZ85" s="2"/>
      <c r="JWA85" s="2"/>
      <c r="JWB85" s="2"/>
      <c r="JWC85" s="2"/>
      <c r="JWD85" s="2"/>
      <c r="JWE85" s="2"/>
      <c r="JWF85" s="2"/>
      <c r="JWG85" s="2"/>
      <c r="JWH85" s="2"/>
      <c r="JWI85" s="2"/>
      <c r="JWJ85" s="2"/>
      <c r="JWK85" s="2"/>
      <c r="JWL85" s="2"/>
      <c r="JWM85" s="2"/>
      <c r="JWN85" s="2"/>
      <c r="JWO85" s="2"/>
      <c r="JWP85" s="2"/>
      <c r="JWQ85" s="2"/>
      <c r="JWR85" s="2"/>
      <c r="JWS85" s="2"/>
      <c r="JWT85" s="2"/>
      <c r="JWU85" s="2"/>
      <c r="JWV85" s="2"/>
      <c r="JWW85" s="2"/>
      <c r="JWX85" s="2"/>
      <c r="JWY85" s="2"/>
      <c r="JWZ85" s="2"/>
      <c r="JXA85" s="2"/>
      <c r="JXB85" s="2"/>
      <c r="JXC85" s="2"/>
      <c r="JXD85" s="2"/>
      <c r="JXE85" s="2"/>
      <c r="JXF85" s="2"/>
      <c r="JXG85" s="2"/>
      <c r="JXH85" s="2"/>
      <c r="JXI85" s="2"/>
      <c r="JXJ85" s="2"/>
      <c r="JXK85" s="2"/>
      <c r="JXL85" s="2"/>
      <c r="JXM85" s="2"/>
      <c r="JXN85" s="2"/>
      <c r="JXO85" s="2"/>
      <c r="JXP85" s="2"/>
      <c r="JXQ85" s="2"/>
      <c r="JXR85" s="2"/>
      <c r="JXS85" s="2"/>
      <c r="JXT85" s="2"/>
      <c r="JXU85" s="2"/>
      <c r="JXV85" s="2"/>
      <c r="JXW85" s="2"/>
      <c r="JXX85" s="2"/>
      <c r="JXY85" s="2"/>
      <c r="JXZ85" s="2"/>
      <c r="JYA85" s="2"/>
      <c r="JYB85" s="2"/>
      <c r="JYC85" s="2"/>
      <c r="JYD85" s="2"/>
      <c r="JYE85" s="2"/>
      <c r="JYF85" s="2"/>
      <c r="JYG85" s="2"/>
      <c r="JYH85" s="2"/>
      <c r="JYI85" s="2"/>
      <c r="JYJ85" s="2"/>
      <c r="JYK85" s="2"/>
      <c r="JYL85" s="2"/>
      <c r="JYM85" s="2"/>
      <c r="JYN85" s="2"/>
      <c r="JYO85" s="2"/>
      <c r="JYP85" s="2"/>
      <c r="JYQ85" s="2"/>
      <c r="JYR85" s="2"/>
      <c r="JYS85" s="2"/>
      <c r="JYT85" s="2"/>
      <c r="JYU85" s="2"/>
      <c r="JYV85" s="2"/>
      <c r="JYW85" s="2"/>
      <c r="JYX85" s="2"/>
      <c r="JYY85" s="2"/>
      <c r="JYZ85" s="2"/>
      <c r="JZA85" s="2"/>
      <c r="JZB85" s="2"/>
      <c r="JZC85" s="2"/>
      <c r="JZD85" s="2"/>
      <c r="JZE85" s="2"/>
      <c r="JZF85" s="2"/>
      <c r="JZG85" s="2"/>
      <c r="JZH85" s="2"/>
      <c r="JZI85" s="2"/>
      <c r="JZJ85" s="2"/>
      <c r="JZK85" s="2"/>
      <c r="JZL85" s="2"/>
      <c r="JZM85" s="2"/>
      <c r="JZN85" s="2"/>
      <c r="JZO85" s="2"/>
      <c r="JZP85" s="2"/>
      <c r="JZQ85" s="2"/>
      <c r="JZR85" s="2"/>
      <c r="JZS85" s="2"/>
      <c r="JZT85" s="2"/>
      <c r="JZU85" s="2"/>
      <c r="JZV85" s="2"/>
      <c r="JZW85" s="2"/>
      <c r="JZX85" s="2"/>
      <c r="JZY85" s="2"/>
      <c r="JZZ85" s="2"/>
      <c r="KAA85" s="2"/>
      <c r="KAB85" s="2"/>
      <c r="KAC85" s="2"/>
      <c r="KAD85" s="2"/>
      <c r="KAE85" s="2"/>
      <c r="KAF85" s="2"/>
      <c r="KAG85" s="2"/>
      <c r="KAH85" s="2"/>
      <c r="KAI85" s="2"/>
      <c r="KAJ85" s="2"/>
      <c r="KAK85" s="2"/>
      <c r="KAL85" s="2"/>
      <c r="KAM85" s="2"/>
      <c r="KAN85" s="2"/>
      <c r="KAO85" s="2"/>
      <c r="KAP85" s="2"/>
      <c r="KAQ85" s="2"/>
      <c r="KAR85" s="2"/>
      <c r="KAS85" s="2"/>
      <c r="KAT85" s="2"/>
      <c r="KAU85" s="2"/>
      <c r="KAV85" s="2"/>
      <c r="KAW85" s="2"/>
      <c r="KAX85" s="2"/>
      <c r="KAY85" s="2"/>
      <c r="KAZ85" s="2"/>
      <c r="KBA85" s="2"/>
      <c r="KBB85" s="2"/>
      <c r="KBC85" s="2"/>
      <c r="KBD85" s="2"/>
      <c r="KBE85" s="2"/>
      <c r="KBF85" s="2"/>
      <c r="KBG85" s="2"/>
      <c r="KBH85" s="2"/>
      <c r="KBI85" s="2"/>
      <c r="KBJ85" s="2"/>
      <c r="KBK85" s="2"/>
      <c r="KBL85" s="2"/>
      <c r="KBM85" s="2"/>
      <c r="KBN85" s="2"/>
      <c r="KBO85" s="2"/>
      <c r="KBP85" s="2"/>
      <c r="KBQ85" s="2"/>
      <c r="KBR85" s="2"/>
      <c r="KBS85" s="2"/>
      <c r="KBT85" s="2"/>
      <c r="KBU85" s="2"/>
      <c r="KBV85" s="2"/>
      <c r="KBW85" s="2"/>
      <c r="KBX85" s="2"/>
      <c r="KBY85" s="2"/>
      <c r="KBZ85" s="2"/>
      <c r="KCA85" s="2"/>
      <c r="KCB85" s="2"/>
      <c r="KCC85" s="2"/>
      <c r="KCD85" s="2"/>
      <c r="KCE85" s="2"/>
      <c r="KCF85" s="2"/>
      <c r="KCG85" s="2"/>
      <c r="KCH85" s="2"/>
      <c r="KCI85" s="2"/>
      <c r="KCJ85" s="2"/>
      <c r="KCK85" s="2"/>
      <c r="KCL85" s="2"/>
      <c r="KCM85" s="2"/>
      <c r="KCN85" s="2"/>
      <c r="KCO85" s="2"/>
      <c r="KCP85" s="2"/>
      <c r="KCQ85" s="2"/>
      <c r="KCR85" s="2"/>
      <c r="KCS85" s="2"/>
      <c r="KCT85" s="2"/>
      <c r="KCU85" s="2"/>
      <c r="KCV85" s="2"/>
      <c r="KCW85" s="2"/>
      <c r="KCX85" s="2"/>
      <c r="KCY85" s="2"/>
      <c r="KCZ85" s="2"/>
      <c r="KDA85" s="2"/>
      <c r="KDB85" s="2"/>
      <c r="KDC85" s="2"/>
      <c r="KDD85" s="2"/>
      <c r="KDE85" s="2"/>
      <c r="KDF85" s="2"/>
      <c r="KDG85" s="2"/>
      <c r="KDH85" s="2"/>
      <c r="KDI85" s="2"/>
      <c r="KDJ85" s="2"/>
      <c r="KDK85" s="2"/>
      <c r="KDL85" s="2"/>
      <c r="KDM85" s="2"/>
      <c r="KDN85" s="2"/>
      <c r="KDO85" s="2"/>
      <c r="KDP85" s="2"/>
      <c r="KDQ85" s="2"/>
      <c r="KDR85" s="2"/>
      <c r="KDS85" s="2"/>
      <c r="KDT85" s="2"/>
      <c r="KDU85" s="2"/>
      <c r="KDV85" s="2"/>
      <c r="KDW85" s="2"/>
      <c r="KDX85" s="2"/>
      <c r="KDY85" s="2"/>
      <c r="KDZ85" s="2"/>
      <c r="KEA85" s="2"/>
      <c r="KEB85" s="2"/>
      <c r="KEC85" s="2"/>
      <c r="KED85" s="2"/>
      <c r="KEE85" s="2"/>
      <c r="KEF85" s="2"/>
      <c r="KEG85" s="2"/>
      <c r="KEH85" s="2"/>
      <c r="KEI85" s="2"/>
      <c r="KEJ85" s="2"/>
      <c r="KEK85" s="2"/>
      <c r="KEL85" s="2"/>
      <c r="KEM85" s="2"/>
      <c r="KEN85" s="2"/>
      <c r="KEO85" s="2"/>
      <c r="KEP85" s="2"/>
      <c r="KEQ85" s="2"/>
      <c r="KER85" s="2"/>
      <c r="KES85" s="2"/>
      <c r="KET85" s="2"/>
      <c r="KEU85" s="2"/>
      <c r="KEV85" s="2"/>
      <c r="KEW85" s="2"/>
      <c r="KEX85" s="2"/>
      <c r="KEY85" s="2"/>
      <c r="KEZ85" s="2"/>
      <c r="KFA85" s="2"/>
      <c r="KFB85" s="2"/>
      <c r="KFC85" s="2"/>
      <c r="KFD85" s="2"/>
      <c r="KFE85" s="2"/>
      <c r="KFF85" s="2"/>
      <c r="KFG85" s="2"/>
      <c r="KFH85" s="2"/>
      <c r="KFI85" s="2"/>
      <c r="KFJ85" s="2"/>
      <c r="KFK85" s="2"/>
      <c r="KFL85" s="2"/>
      <c r="KFM85" s="2"/>
      <c r="KFN85" s="2"/>
      <c r="KFO85" s="2"/>
      <c r="KFP85" s="2"/>
      <c r="KFQ85" s="2"/>
      <c r="KFR85" s="2"/>
      <c r="KFS85" s="2"/>
      <c r="KFT85" s="2"/>
      <c r="KFU85" s="2"/>
      <c r="KFV85" s="2"/>
      <c r="KFW85" s="2"/>
      <c r="KFX85" s="2"/>
      <c r="KFY85" s="2"/>
      <c r="KFZ85" s="2"/>
      <c r="KGA85" s="2"/>
      <c r="KGB85" s="2"/>
      <c r="KGC85" s="2"/>
      <c r="KGD85" s="2"/>
      <c r="KGE85" s="2"/>
      <c r="KGF85" s="2"/>
      <c r="KGG85" s="2"/>
      <c r="KGH85" s="2"/>
      <c r="KGI85" s="2"/>
      <c r="KGJ85" s="2"/>
      <c r="KGK85" s="2"/>
      <c r="KGL85" s="2"/>
      <c r="KGM85" s="2"/>
      <c r="KGN85" s="2"/>
      <c r="KGO85" s="2"/>
      <c r="KGP85" s="2"/>
      <c r="KGQ85" s="2"/>
      <c r="KGR85" s="2"/>
      <c r="KGS85" s="2"/>
      <c r="KGT85" s="2"/>
      <c r="KGU85" s="2"/>
      <c r="KGV85" s="2"/>
      <c r="KGW85" s="2"/>
      <c r="KGX85" s="2"/>
      <c r="KGY85" s="2"/>
      <c r="KGZ85" s="2"/>
      <c r="KHA85" s="2"/>
      <c r="KHB85" s="2"/>
      <c r="KHC85" s="2"/>
      <c r="KHD85" s="2"/>
      <c r="KHE85" s="2"/>
      <c r="KHF85" s="2"/>
      <c r="KHG85" s="2"/>
      <c r="KHH85" s="2"/>
      <c r="KHI85" s="2"/>
      <c r="KHJ85" s="2"/>
      <c r="KHK85" s="2"/>
      <c r="KHL85" s="2"/>
      <c r="KHM85" s="2"/>
      <c r="KHN85" s="2"/>
      <c r="KHO85" s="2"/>
      <c r="KHP85" s="2"/>
      <c r="KHQ85" s="2"/>
      <c r="KHR85" s="2"/>
      <c r="KHS85" s="2"/>
      <c r="KHT85" s="2"/>
      <c r="KHU85" s="2"/>
      <c r="KHV85" s="2"/>
      <c r="KHW85" s="2"/>
      <c r="KHX85" s="2"/>
      <c r="KHY85" s="2"/>
      <c r="KHZ85" s="2"/>
      <c r="KIA85" s="2"/>
      <c r="KIB85" s="2"/>
      <c r="KIC85" s="2"/>
      <c r="KID85" s="2"/>
      <c r="KIE85" s="2"/>
      <c r="KIF85" s="2"/>
      <c r="KIG85" s="2"/>
      <c r="KIH85" s="2"/>
      <c r="KII85" s="2"/>
      <c r="KIJ85" s="2"/>
      <c r="KIK85" s="2"/>
      <c r="KIL85" s="2"/>
      <c r="KIM85" s="2"/>
      <c r="KIN85" s="2"/>
      <c r="KIO85" s="2"/>
      <c r="KIP85" s="2"/>
      <c r="KIQ85" s="2"/>
      <c r="KIR85" s="2"/>
      <c r="KIS85" s="2"/>
      <c r="KIT85" s="2"/>
      <c r="KIU85" s="2"/>
      <c r="KIV85" s="2"/>
      <c r="KIW85" s="2"/>
      <c r="KIX85" s="2"/>
      <c r="KIY85" s="2"/>
      <c r="KIZ85" s="2"/>
      <c r="KJA85" s="2"/>
      <c r="KJB85" s="2"/>
      <c r="KJC85" s="2"/>
      <c r="KJD85" s="2"/>
      <c r="KJE85" s="2"/>
      <c r="KJF85" s="2"/>
      <c r="KJG85" s="2"/>
      <c r="KJH85" s="2"/>
      <c r="KJI85" s="2"/>
      <c r="KJJ85" s="2"/>
      <c r="KJK85" s="2"/>
      <c r="KJL85" s="2"/>
      <c r="KJM85" s="2"/>
      <c r="KJN85" s="2"/>
      <c r="KJO85" s="2"/>
      <c r="KJP85" s="2"/>
      <c r="KJQ85" s="2"/>
      <c r="KJR85" s="2"/>
      <c r="KJS85" s="2"/>
      <c r="KJT85" s="2"/>
      <c r="KJU85" s="2"/>
      <c r="KJV85" s="2"/>
      <c r="KJW85" s="2"/>
      <c r="KJX85" s="2"/>
      <c r="KJY85" s="2"/>
      <c r="KJZ85" s="2"/>
      <c r="KKA85" s="2"/>
      <c r="KKB85" s="2"/>
      <c r="KKC85" s="2"/>
      <c r="KKD85" s="2"/>
      <c r="KKE85" s="2"/>
      <c r="KKF85" s="2"/>
      <c r="KKG85" s="2"/>
      <c r="KKH85" s="2"/>
      <c r="KKI85" s="2"/>
      <c r="KKJ85" s="2"/>
      <c r="KKK85" s="2"/>
      <c r="KKL85" s="2"/>
      <c r="KKM85" s="2"/>
      <c r="KKN85" s="2"/>
      <c r="KKO85" s="2"/>
      <c r="KKP85" s="2"/>
      <c r="KKQ85" s="2"/>
      <c r="KKR85" s="2"/>
      <c r="KKS85" s="2"/>
      <c r="KKT85" s="2"/>
      <c r="KKU85" s="2"/>
      <c r="KKV85" s="2"/>
      <c r="KKW85" s="2"/>
      <c r="KKX85" s="2"/>
      <c r="KKY85" s="2"/>
      <c r="KKZ85" s="2"/>
      <c r="KLA85" s="2"/>
      <c r="KLB85" s="2"/>
      <c r="KLC85" s="2"/>
      <c r="KLD85" s="2"/>
      <c r="KLE85" s="2"/>
      <c r="KLF85" s="2"/>
      <c r="KLG85" s="2"/>
      <c r="KLH85" s="2"/>
      <c r="KLI85" s="2"/>
      <c r="KLJ85" s="2"/>
      <c r="KLK85" s="2"/>
      <c r="KLL85" s="2"/>
      <c r="KLM85" s="2"/>
      <c r="KLN85" s="2"/>
      <c r="KLO85" s="2"/>
      <c r="KLP85" s="2"/>
      <c r="KLQ85" s="2"/>
      <c r="KLR85" s="2"/>
      <c r="KLS85" s="2"/>
      <c r="KLT85" s="2"/>
      <c r="KLU85" s="2"/>
      <c r="KLV85" s="2"/>
      <c r="KLW85" s="2"/>
      <c r="KLX85" s="2"/>
      <c r="KLY85" s="2"/>
      <c r="KLZ85" s="2"/>
      <c r="KMA85" s="2"/>
      <c r="KMB85" s="2"/>
      <c r="KMC85" s="2"/>
      <c r="KMD85" s="2"/>
      <c r="KME85" s="2"/>
      <c r="KMF85" s="2"/>
      <c r="KMG85" s="2"/>
      <c r="KMH85" s="2"/>
      <c r="KMI85" s="2"/>
      <c r="KMJ85" s="2"/>
      <c r="KMK85" s="2"/>
      <c r="KML85" s="2"/>
      <c r="KMM85" s="2"/>
      <c r="KMN85" s="2"/>
      <c r="KMO85" s="2"/>
      <c r="KMP85" s="2"/>
      <c r="KMQ85" s="2"/>
      <c r="KMR85" s="2"/>
      <c r="KMS85" s="2"/>
      <c r="KMT85" s="2"/>
      <c r="KMU85" s="2"/>
      <c r="KMV85" s="2"/>
      <c r="KMW85" s="2"/>
      <c r="KMX85" s="2"/>
      <c r="KMY85" s="2"/>
      <c r="KMZ85" s="2"/>
      <c r="KNA85" s="2"/>
      <c r="KNB85" s="2"/>
      <c r="KNC85" s="2"/>
      <c r="KND85" s="2"/>
      <c r="KNE85" s="2"/>
      <c r="KNF85" s="2"/>
      <c r="KNG85" s="2"/>
      <c r="KNH85" s="2"/>
      <c r="KNI85" s="2"/>
      <c r="KNJ85" s="2"/>
      <c r="KNK85" s="2"/>
      <c r="KNL85" s="2"/>
      <c r="KNM85" s="2"/>
      <c r="KNN85" s="2"/>
      <c r="KNO85" s="2"/>
      <c r="KNP85" s="2"/>
      <c r="KNQ85" s="2"/>
      <c r="KNR85" s="2"/>
      <c r="KNS85" s="2"/>
      <c r="KNT85" s="2"/>
      <c r="KNU85" s="2"/>
      <c r="KNV85" s="2"/>
      <c r="KNW85" s="2"/>
      <c r="KNX85" s="2"/>
      <c r="KNY85" s="2"/>
      <c r="KNZ85" s="2"/>
      <c r="KOA85" s="2"/>
      <c r="KOB85" s="2"/>
      <c r="KOC85" s="2"/>
      <c r="KOD85" s="2"/>
      <c r="KOE85" s="2"/>
      <c r="KOF85" s="2"/>
      <c r="KOG85" s="2"/>
      <c r="KOH85" s="2"/>
      <c r="KOI85" s="2"/>
      <c r="KOJ85" s="2"/>
      <c r="KOK85" s="2"/>
      <c r="KOL85" s="2"/>
      <c r="KOM85" s="2"/>
      <c r="KON85" s="2"/>
      <c r="KOO85" s="2"/>
      <c r="KOP85" s="2"/>
      <c r="KOQ85" s="2"/>
      <c r="KOR85" s="2"/>
      <c r="KOS85" s="2"/>
      <c r="KOT85" s="2"/>
      <c r="KOU85" s="2"/>
      <c r="KOV85" s="2"/>
      <c r="KOW85" s="2"/>
      <c r="KOX85" s="2"/>
      <c r="KOY85" s="2"/>
      <c r="KOZ85" s="2"/>
      <c r="KPA85" s="2"/>
      <c r="KPB85" s="2"/>
      <c r="KPC85" s="2"/>
      <c r="KPD85" s="2"/>
      <c r="KPE85" s="2"/>
      <c r="KPF85" s="2"/>
      <c r="KPG85" s="2"/>
      <c r="KPH85" s="2"/>
      <c r="KPI85" s="2"/>
      <c r="KPJ85" s="2"/>
      <c r="KPK85" s="2"/>
      <c r="KPL85" s="2"/>
      <c r="KPM85" s="2"/>
      <c r="KPN85" s="2"/>
      <c r="KPO85" s="2"/>
      <c r="KPP85" s="2"/>
      <c r="KPQ85" s="2"/>
      <c r="KPR85" s="2"/>
      <c r="KPS85" s="2"/>
      <c r="KPT85" s="2"/>
      <c r="KPU85" s="2"/>
      <c r="KPV85" s="2"/>
      <c r="KPW85" s="2"/>
      <c r="KPX85" s="2"/>
      <c r="KPY85" s="2"/>
      <c r="KPZ85" s="2"/>
      <c r="KQA85" s="2"/>
      <c r="KQB85" s="2"/>
      <c r="KQC85" s="2"/>
      <c r="KQD85" s="2"/>
      <c r="KQE85" s="2"/>
      <c r="KQF85" s="2"/>
      <c r="KQG85" s="2"/>
      <c r="KQH85" s="2"/>
      <c r="KQI85" s="2"/>
      <c r="KQJ85" s="2"/>
      <c r="KQK85" s="2"/>
      <c r="KQL85" s="2"/>
      <c r="KQM85" s="2"/>
      <c r="KQN85" s="2"/>
      <c r="KQO85" s="2"/>
      <c r="KQP85" s="2"/>
      <c r="KQQ85" s="2"/>
      <c r="KQR85" s="2"/>
      <c r="KQS85" s="2"/>
      <c r="KQT85" s="2"/>
      <c r="KQU85" s="2"/>
      <c r="KQV85" s="2"/>
      <c r="KQW85" s="2"/>
      <c r="KQX85" s="2"/>
      <c r="KQY85" s="2"/>
      <c r="KQZ85" s="2"/>
      <c r="KRA85" s="2"/>
      <c r="KRB85" s="2"/>
      <c r="KRC85" s="2"/>
      <c r="KRD85" s="2"/>
      <c r="KRE85" s="2"/>
      <c r="KRF85" s="2"/>
      <c r="KRG85" s="2"/>
      <c r="KRH85" s="2"/>
      <c r="KRI85" s="2"/>
      <c r="KRJ85" s="2"/>
      <c r="KRK85" s="2"/>
      <c r="KRL85" s="2"/>
      <c r="KRM85" s="2"/>
      <c r="KRN85" s="2"/>
      <c r="KRO85" s="2"/>
      <c r="KRP85" s="2"/>
      <c r="KRQ85" s="2"/>
      <c r="KRR85" s="2"/>
      <c r="KRS85" s="2"/>
      <c r="KRT85" s="2"/>
      <c r="KRU85" s="2"/>
      <c r="KRV85" s="2"/>
      <c r="KRW85" s="2"/>
      <c r="KRX85" s="2"/>
      <c r="KRY85" s="2"/>
      <c r="KRZ85" s="2"/>
      <c r="KSA85" s="2"/>
      <c r="KSB85" s="2"/>
      <c r="KSC85" s="2"/>
      <c r="KSD85" s="2"/>
      <c r="KSE85" s="2"/>
      <c r="KSF85" s="2"/>
      <c r="KSG85" s="2"/>
      <c r="KSH85" s="2"/>
      <c r="KSI85" s="2"/>
      <c r="KSJ85" s="2"/>
      <c r="KSK85" s="2"/>
      <c r="KSL85" s="2"/>
      <c r="KSM85" s="2"/>
      <c r="KSN85" s="2"/>
      <c r="KSO85" s="2"/>
      <c r="KSP85" s="2"/>
      <c r="KSQ85" s="2"/>
      <c r="KSR85" s="2"/>
      <c r="KSS85" s="2"/>
      <c r="KST85" s="2"/>
      <c r="KSU85" s="2"/>
      <c r="KSV85" s="2"/>
      <c r="KSW85" s="2"/>
      <c r="KSX85" s="2"/>
      <c r="KSY85" s="2"/>
      <c r="KSZ85" s="2"/>
      <c r="KTA85" s="2"/>
      <c r="KTB85" s="2"/>
      <c r="KTC85" s="2"/>
      <c r="KTD85" s="2"/>
      <c r="KTE85" s="2"/>
      <c r="KTF85" s="2"/>
      <c r="KTG85" s="2"/>
      <c r="KTH85" s="2"/>
      <c r="KTI85" s="2"/>
      <c r="KTJ85" s="2"/>
      <c r="KTK85" s="2"/>
      <c r="KTL85" s="2"/>
      <c r="KTM85" s="2"/>
      <c r="KTN85" s="2"/>
      <c r="KTO85" s="2"/>
      <c r="KTP85" s="2"/>
      <c r="KTQ85" s="2"/>
      <c r="KTR85" s="2"/>
      <c r="KTS85" s="2"/>
      <c r="KTT85" s="2"/>
      <c r="KTU85" s="2"/>
      <c r="KTV85" s="2"/>
      <c r="KTW85" s="2"/>
      <c r="KTX85" s="2"/>
      <c r="KTY85" s="2"/>
      <c r="KTZ85" s="2"/>
      <c r="KUA85" s="2"/>
      <c r="KUB85" s="2"/>
      <c r="KUC85" s="2"/>
      <c r="KUD85" s="2"/>
      <c r="KUE85" s="2"/>
      <c r="KUF85" s="2"/>
      <c r="KUG85" s="2"/>
      <c r="KUH85" s="2"/>
      <c r="KUI85" s="2"/>
      <c r="KUJ85" s="2"/>
      <c r="KUK85" s="2"/>
      <c r="KUL85" s="2"/>
      <c r="KUM85" s="2"/>
      <c r="KUN85" s="2"/>
      <c r="KUO85" s="2"/>
      <c r="KUP85" s="2"/>
      <c r="KUQ85" s="2"/>
      <c r="KUR85" s="2"/>
      <c r="KUS85" s="2"/>
      <c r="KUT85" s="2"/>
      <c r="KUU85" s="2"/>
      <c r="KUV85" s="2"/>
      <c r="KUW85" s="2"/>
      <c r="KUX85" s="2"/>
      <c r="KUY85" s="2"/>
      <c r="KUZ85" s="2"/>
      <c r="KVA85" s="2"/>
      <c r="KVB85" s="2"/>
      <c r="KVC85" s="2"/>
      <c r="KVD85" s="2"/>
      <c r="KVE85" s="2"/>
      <c r="KVF85" s="2"/>
      <c r="KVG85" s="2"/>
      <c r="KVH85" s="2"/>
      <c r="KVI85" s="2"/>
      <c r="KVJ85" s="2"/>
      <c r="KVK85" s="2"/>
      <c r="KVL85" s="2"/>
      <c r="KVM85" s="2"/>
      <c r="KVN85" s="2"/>
      <c r="KVO85" s="2"/>
      <c r="KVP85" s="2"/>
      <c r="KVQ85" s="2"/>
      <c r="KVR85" s="2"/>
      <c r="KVS85" s="2"/>
      <c r="KVT85" s="2"/>
      <c r="KVU85" s="2"/>
      <c r="KVV85" s="2"/>
      <c r="KVW85" s="2"/>
      <c r="KVX85" s="2"/>
      <c r="KVY85" s="2"/>
      <c r="KVZ85" s="2"/>
      <c r="KWA85" s="2"/>
      <c r="KWB85" s="2"/>
      <c r="KWC85" s="2"/>
      <c r="KWD85" s="2"/>
      <c r="KWE85" s="2"/>
      <c r="KWF85" s="2"/>
      <c r="KWG85" s="2"/>
      <c r="KWH85" s="2"/>
      <c r="KWI85" s="2"/>
      <c r="KWJ85" s="2"/>
      <c r="KWK85" s="2"/>
      <c r="KWL85" s="2"/>
      <c r="KWM85" s="2"/>
      <c r="KWN85" s="2"/>
      <c r="KWO85" s="2"/>
      <c r="KWP85" s="2"/>
      <c r="KWQ85" s="2"/>
      <c r="KWR85" s="2"/>
      <c r="KWS85" s="2"/>
      <c r="KWT85" s="2"/>
      <c r="KWU85" s="2"/>
      <c r="KWV85" s="2"/>
      <c r="KWW85" s="2"/>
      <c r="KWX85" s="2"/>
      <c r="KWY85" s="2"/>
      <c r="KWZ85" s="2"/>
      <c r="KXA85" s="2"/>
      <c r="KXB85" s="2"/>
      <c r="KXC85" s="2"/>
      <c r="KXD85" s="2"/>
      <c r="KXE85" s="2"/>
      <c r="KXF85" s="2"/>
      <c r="KXG85" s="2"/>
      <c r="KXH85" s="2"/>
      <c r="KXI85" s="2"/>
      <c r="KXJ85" s="2"/>
      <c r="KXK85" s="2"/>
      <c r="KXL85" s="2"/>
      <c r="KXM85" s="2"/>
      <c r="KXN85" s="2"/>
      <c r="KXO85" s="2"/>
      <c r="KXP85" s="2"/>
      <c r="KXQ85" s="2"/>
      <c r="KXR85" s="2"/>
      <c r="KXS85" s="2"/>
      <c r="KXT85" s="2"/>
      <c r="KXU85" s="2"/>
      <c r="KXV85" s="2"/>
      <c r="KXW85" s="2"/>
      <c r="KXX85" s="2"/>
      <c r="KXY85" s="2"/>
      <c r="KXZ85" s="2"/>
      <c r="KYA85" s="2"/>
      <c r="KYB85" s="2"/>
      <c r="KYC85" s="2"/>
      <c r="KYD85" s="2"/>
      <c r="KYE85" s="2"/>
      <c r="KYF85" s="2"/>
      <c r="KYG85" s="2"/>
      <c r="KYH85" s="2"/>
      <c r="KYI85" s="2"/>
      <c r="KYJ85" s="2"/>
      <c r="KYK85" s="2"/>
      <c r="KYL85" s="2"/>
      <c r="KYM85" s="2"/>
      <c r="KYN85" s="2"/>
      <c r="KYO85" s="2"/>
      <c r="KYP85" s="2"/>
      <c r="KYQ85" s="2"/>
      <c r="KYR85" s="2"/>
      <c r="KYS85" s="2"/>
      <c r="KYT85" s="2"/>
      <c r="KYU85" s="2"/>
      <c r="KYV85" s="2"/>
      <c r="KYW85" s="2"/>
      <c r="KYX85" s="2"/>
      <c r="KYY85" s="2"/>
      <c r="KYZ85" s="2"/>
      <c r="KZA85" s="2"/>
      <c r="KZB85" s="2"/>
      <c r="KZC85" s="2"/>
      <c r="KZD85" s="2"/>
      <c r="KZE85" s="2"/>
      <c r="KZF85" s="2"/>
      <c r="KZG85" s="2"/>
      <c r="KZH85" s="2"/>
      <c r="KZI85" s="2"/>
      <c r="KZJ85" s="2"/>
      <c r="KZK85" s="2"/>
      <c r="KZL85" s="2"/>
      <c r="KZM85" s="2"/>
      <c r="KZN85" s="2"/>
      <c r="KZO85" s="2"/>
      <c r="KZP85" s="2"/>
      <c r="KZQ85" s="2"/>
      <c r="KZR85" s="2"/>
      <c r="KZS85" s="2"/>
      <c r="KZT85" s="2"/>
      <c r="KZU85" s="2"/>
      <c r="KZV85" s="2"/>
      <c r="KZW85" s="2"/>
      <c r="KZX85" s="2"/>
      <c r="KZY85" s="2"/>
      <c r="KZZ85" s="2"/>
      <c r="LAA85" s="2"/>
      <c r="LAB85" s="2"/>
      <c r="LAC85" s="2"/>
      <c r="LAD85" s="2"/>
      <c r="LAE85" s="2"/>
      <c r="LAF85" s="2"/>
      <c r="LAG85" s="2"/>
      <c r="LAH85" s="2"/>
      <c r="LAI85" s="2"/>
      <c r="LAJ85" s="2"/>
      <c r="LAK85" s="2"/>
      <c r="LAL85" s="2"/>
      <c r="LAM85" s="2"/>
      <c r="LAN85" s="2"/>
      <c r="LAO85" s="2"/>
      <c r="LAP85" s="2"/>
      <c r="LAQ85" s="2"/>
      <c r="LAR85" s="2"/>
      <c r="LAS85" s="2"/>
      <c r="LAT85" s="2"/>
      <c r="LAU85" s="2"/>
      <c r="LAV85" s="2"/>
      <c r="LAW85" s="2"/>
      <c r="LAX85" s="2"/>
      <c r="LAY85" s="2"/>
      <c r="LAZ85" s="2"/>
      <c r="LBA85" s="2"/>
      <c r="LBB85" s="2"/>
      <c r="LBC85" s="2"/>
      <c r="LBD85" s="2"/>
      <c r="LBE85" s="2"/>
      <c r="LBF85" s="2"/>
      <c r="LBG85" s="2"/>
      <c r="LBH85" s="2"/>
      <c r="LBI85" s="2"/>
      <c r="LBJ85" s="2"/>
      <c r="LBK85" s="2"/>
      <c r="LBL85" s="2"/>
      <c r="LBM85" s="2"/>
      <c r="LBN85" s="2"/>
      <c r="LBO85" s="2"/>
      <c r="LBP85" s="2"/>
      <c r="LBQ85" s="2"/>
      <c r="LBR85" s="2"/>
      <c r="LBS85" s="2"/>
      <c r="LBT85" s="2"/>
      <c r="LBU85" s="2"/>
      <c r="LBV85" s="2"/>
      <c r="LBW85" s="2"/>
      <c r="LBX85" s="2"/>
      <c r="LBY85" s="2"/>
      <c r="LBZ85" s="2"/>
      <c r="LCA85" s="2"/>
      <c r="LCB85" s="2"/>
      <c r="LCC85" s="2"/>
      <c r="LCD85" s="2"/>
      <c r="LCE85" s="2"/>
      <c r="LCF85" s="2"/>
      <c r="LCG85" s="2"/>
      <c r="LCH85" s="2"/>
      <c r="LCI85" s="2"/>
      <c r="LCJ85" s="2"/>
      <c r="LCK85" s="2"/>
      <c r="LCL85" s="2"/>
      <c r="LCM85" s="2"/>
      <c r="LCN85" s="2"/>
      <c r="LCO85" s="2"/>
      <c r="LCP85" s="2"/>
      <c r="LCQ85" s="2"/>
      <c r="LCR85" s="2"/>
      <c r="LCS85" s="2"/>
      <c r="LCT85" s="2"/>
      <c r="LCU85" s="2"/>
      <c r="LCV85" s="2"/>
      <c r="LCW85" s="2"/>
      <c r="LCX85" s="2"/>
      <c r="LCY85" s="2"/>
      <c r="LCZ85" s="2"/>
      <c r="LDA85" s="2"/>
      <c r="LDB85" s="2"/>
      <c r="LDC85" s="2"/>
      <c r="LDD85" s="2"/>
      <c r="LDE85" s="2"/>
      <c r="LDF85" s="2"/>
      <c r="LDG85" s="2"/>
      <c r="LDH85" s="2"/>
      <c r="LDI85" s="2"/>
      <c r="LDJ85" s="2"/>
      <c r="LDK85" s="2"/>
      <c r="LDL85" s="2"/>
      <c r="LDM85" s="2"/>
      <c r="LDN85" s="2"/>
      <c r="LDO85" s="2"/>
      <c r="LDP85" s="2"/>
      <c r="LDQ85" s="2"/>
      <c r="LDR85" s="2"/>
      <c r="LDS85" s="2"/>
      <c r="LDT85" s="2"/>
      <c r="LDU85" s="2"/>
      <c r="LDV85" s="2"/>
      <c r="LDW85" s="2"/>
      <c r="LDX85" s="2"/>
      <c r="LDY85" s="2"/>
      <c r="LDZ85" s="2"/>
      <c r="LEA85" s="2"/>
      <c r="LEB85" s="2"/>
      <c r="LEC85" s="2"/>
      <c r="LED85" s="2"/>
      <c r="LEE85" s="2"/>
      <c r="LEF85" s="2"/>
      <c r="LEG85" s="2"/>
      <c r="LEH85" s="2"/>
      <c r="LEI85" s="2"/>
      <c r="LEJ85" s="2"/>
      <c r="LEK85" s="2"/>
      <c r="LEL85" s="2"/>
      <c r="LEM85" s="2"/>
      <c r="LEN85" s="2"/>
      <c r="LEO85" s="2"/>
      <c r="LEP85" s="2"/>
      <c r="LEQ85" s="2"/>
      <c r="LER85" s="2"/>
      <c r="LES85" s="2"/>
      <c r="LET85" s="2"/>
      <c r="LEU85" s="2"/>
      <c r="LEV85" s="2"/>
      <c r="LEW85" s="2"/>
      <c r="LEX85" s="2"/>
      <c r="LEY85" s="2"/>
      <c r="LEZ85" s="2"/>
      <c r="LFA85" s="2"/>
      <c r="LFB85" s="2"/>
      <c r="LFC85" s="2"/>
      <c r="LFD85" s="2"/>
      <c r="LFE85" s="2"/>
      <c r="LFF85" s="2"/>
      <c r="LFG85" s="2"/>
      <c r="LFH85" s="2"/>
      <c r="LFI85" s="2"/>
      <c r="LFJ85" s="2"/>
      <c r="LFK85" s="2"/>
      <c r="LFL85" s="2"/>
      <c r="LFM85" s="2"/>
      <c r="LFN85" s="2"/>
      <c r="LFO85" s="2"/>
      <c r="LFP85" s="2"/>
      <c r="LFQ85" s="2"/>
      <c r="LFR85" s="2"/>
      <c r="LFS85" s="2"/>
      <c r="LFT85" s="2"/>
      <c r="LFU85" s="2"/>
      <c r="LFV85" s="2"/>
      <c r="LFW85" s="2"/>
      <c r="LFX85" s="2"/>
      <c r="LFY85" s="2"/>
      <c r="LFZ85" s="2"/>
      <c r="LGA85" s="2"/>
      <c r="LGB85" s="2"/>
      <c r="LGC85" s="2"/>
      <c r="LGD85" s="2"/>
      <c r="LGE85" s="2"/>
      <c r="LGF85" s="2"/>
      <c r="LGG85" s="2"/>
      <c r="LGH85" s="2"/>
      <c r="LGI85" s="2"/>
      <c r="LGJ85" s="2"/>
      <c r="LGK85" s="2"/>
      <c r="LGL85" s="2"/>
      <c r="LGM85" s="2"/>
      <c r="LGN85" s="2"/>
      <c r="LGO85" s="2"/>
      <c r="LGP85" s="2"/>
      <c r="LGQ85" s="2"/>
      <c r="LGR85" s="2"/>
      <c r="LGS85" s="2"/>
      <c r="LGT85" s="2"/>
      <c r="LGU85" s="2"/>
      <c r="LGV85" s="2"/>
      <c r="LGW85" s="2"/>
      <c r="LGX85" s="2"/>
      <c r="LGY85" s="2"/>
      <c r="LGZ85" s="2"/>
      <c r="LHA85" s="2"/>
      <c r="LHB85" s="2"/>
      <c r="LHC85" s="2"/>
      <c r="LHD85" s="2"/>
      <c r="LHE85" s="2"/>
      <c r="LHF85" s="2"/>
      <c r="LHG85" s="2"/>
      <c r="LHH85" s="2"/>
      <c r="LHI85" s="2"/>
      <c r="LHJ85" s="2"/>
      <c r="LHK85" s="2"/>
      <c r="LHL85" s="2"/>
      <c r="LHM85" s="2"/>
      <c r="LHN85" s="2"/>
      <c r="LHO85" s="2"/>
      <c r="LHP85" s="2"/>
      <c r="LHQ85" s="2"/>
      <c r="LHR85" s="2"/>
      <c r="LHS85" s="2"/>
      <c r="LHT85" s="2"/>
      <c r="LHU85" s="2"/>
      <c r="LHV85" s="2"/>
      <c r="LHW85" s="2"/>
      <c r="LHX85" s="2"/>
      <c r="LHY85" s="2"/>
      <c r="LHZ85" s="2"/>
      <c r="LIA85" s="2"/>
      <c r="LIB85" s="2"/>
      <c r="LIC85" s="2"/>
      <c r="LID85" s="2"/>
      <c r="LIE85" s="2"/>
      <c r="LIF85" s="2"/>
      <c r="LIG85" s="2"/>
      <c r="LIH85" s="2"/>
      <c r="LII85" s="2"/>
      <c r="LIJ85" s="2"/>
      <c r="LIK85" s="2"/>
      <c r="LIL85" s="2"/>
      <c r="LIM85" s="2"/>
      <c r="LIN85" s="2"/>
      <c r="LIO85" s="2"/>
      <c r="LIP85" s="2"/>
      <c r="LIQ85" s="2"/>
      <c r="LIR85" s="2"/>
      <c r="LIS85" s="2"/>
      <c r="LIT85" s="2"/>
      <c r="LIU85" s="2"/>
      <c r="LIV85" s="2"/>
      <c r="LIW85" s="2"/>
      <c r="LIX85" s="2"/>
      <c r="LIY85" s="2"/>
      <c r="LIZ85" s="2"/>
      <c r="LJA85" s="2"/>
      <c r="LJB85" s="2"/>
      <c r="LJC85" s="2"/>
      <c r="LJD85" s="2"/>
      <c r="LJE85" s="2"/>
      <c r="LJF85" s="2"/>
      <c r="LJG85" s="2"/>
      <c r="LJH85" s="2"/>
      <c r="LJI85" s="2"/>
      <c r="LJJ85" s="2"/>
      <c r="LJK85" s="2"/>
      <c r="LJL85" s="2"/>
      <c r="LJM85" s="2"/>
      <c r="LJN85" s="2"/>
      <c r="LJO85" s="2"/>
      <c r="LJP85" s="2"/>
      <c r="LJQ85" s="2"/>
      <c r="LJR85" s="2"/>
      <c r="LJS85" s="2"/>
      <c r="LJT85" s="2"/>
      <c r="LJU85" s="2"/>
      <c r="LJV85" s="2"/>
      <c r="LJW85" s="2"/>
      <c r="LJX85" s="2"/>
      <c r="LJY85" s="2"/>
      <c r="LJZ85" s="2"/>
      <c r="LKA85" s="2"/>
      <c r="LKB85" s="2"/>
      <c r="LKC85" s="2"/>
      <c r="LKD85" s="2"/>
      <c r="LKE85" s="2"/>
      <c r="LKF85" s="2"/>
      <c r="LKG85" s="2"/>
      <c r="LKH85" s="2"/>
      <c r="LKI85" s="2"/>
      <c r="LKJ85" s="2"/>
      <c r="LKK85" s="2"/>
      <c r="LKL85" s="2"/>
      <c r="LKM85" s="2"/>
      <c r="LKN85" s="2"/>
      <c r="LKO85" s="2"/>
      <c r="LKP85" s="2"/>
      <c r="LKQ85" s="2"/>
      <c r="LKR85" s="2"/>
      <c r="LKS85" s="2"/>
      <c r="LKT85" s="2"/>
      <c r="LKU85" s="2"/>
      <c r="LKV85" s="2"/>
      <c r="LKW85" s="2"/>
      <c r="LKX85" s="2"/>
      <c r="LKY85" s="2"/>
      <c r="LKZ85" s="2"/>
      <c r="LLA85" s="2"/>
      <c r="LLB85" s="2"/>
      <c r="LLC85" s="2"/>
      <c r="LLD85" s="2"/>
      <c r="LLE85" s="2"/>
      <c r="LLF85" s="2"/>
      <c r="LLG85" s="2"/>
      <c r="LLH85" s="2"/>
      <c r="LLI85" s="2"/>
      <c r="LLJ85" s="2"/>
      <c r="LLK85" s="2"/>
      <c r="LLL85" s="2"/>
      <c r="LLM85" s="2"/>
      <c r="LLN85" s="2"/>
      <c r="LLO85" s="2"/>
      <c r="LLP85" s="2"/>
      <c r="LLQ85" s="2"/>
      <c r="LLR85" s="2"/>
      <c r="LLS85" s="2"/>
      <c r="LLT85" s="2"/>
      <c r="LLU85" s="2"/>
      <c r="LLV85" s="2"/>
      <c r="LLW85" s="2"/>
      <c r="LLX85" s="2"/>
      <c r="LLY85" s="2"/>
      <c r="LLZ85" s="2"/>
      <c r="LMA85" s="2"/>
      <c r="LMB85" s="2"/>
      <c r="LMC85" s="2"/>
      <c r="LMD85" s="2"/>
      <c r="LME85" s="2"/>
      <c r="LMF85" s="2"/>
      <c r="LMG85" s="2"/>
      <c r="LMH85" s="2"/>
      <c r="LMI85" s="2"/>
      <c r="LMJ85" s="2"/>
      <c r="LMK85" s="2"/>
      <c r="LML85" s="2"/>
      <c r="LMM85" s="2"/>
      <c r="LMN85" s="2"/>
      <c r="LMO85" s="2"/>
      <c r="LMP85" s="2"/>
      <c r="LMQ85" s="2"/>
      <c r="LMR85" s="2"/>
      <c r="LMS85" s="2"/>
      <c r="LMT85" s="2"/>
      <c r="LMU85" s="2"/>
      <c r="LMV85" s="2"/>
      <c r="LMW85" s="2"/>
      <c r="LMX85" s="2"/>
      <c r="LMY85" s="2"/>
      <c r="LMZ85" s="2"/>
      <c r="LNA85" s="2"/>
      <c r="LNB85" s="2"/>
      <c r="LNC85" s="2"/>
      <c r="LND85" s="2"/>
      <c r="LNE85" s="2"/>
      <c r="LNF85" s="2"/>
      <c r="LNG85" s="2"/>
      <c r="LNH85" s="2"/>
      <c r="LNI85" s="2"/>
      <c r="LNJ85" s="2"/>
      <c r="LNK85" s="2"/>
      <c r="LNL85" s="2"/>
      <c r="LNM85" s="2"/>
      <c r="LNN85" s="2"/>
      <c r="LNO85" s="2"/>
      <c r="LNP85" s="2"/>
      <c r="LNQ85" s="2"/>
      <c r="LNR85" s="2"/>
      <c r="LNS85" s="2"/>
      <c r="LNT85" s="2"/>
      <c r="LNU85" s="2"/>
      <c r="LNV85" s="2"/>
      <c r="LNW85" s="2"/>
      <c r="LNX85" s="2"/>
      <c r="LNY85" s="2"/>
      <c r="LNZ85" s="2"/>
      <c r="LOA85" s="2"/>
      <c r="LOB85" s="2"/>
      <c r="LOC85" s="2"/>
      <c r="LOD85" s="2"/>
      <c r="LOE85" s="2"/>
      <c r="LOF85" s="2"/>
      <c r="LOG85" s="2"/>
      <c r="LOH85" s="2"/>
      <c r="LOI85" s="2"/>
      <c r="LOJ85" s="2"/>
      <c r="LOK85" s="2"/>
      <c r="LOL85" s="2"/>
      <c r="LOM85" s="2"/>
      <c r="LON85" s="2"/>
      <c r="LOO85" s="2"/>
      <c r="LOP85" s="2"/>
      <c r="LOQ85" s="2"/>
      <c r="LOR85" s="2"/>
      <c r="LOS85" s="2"/>
      <c r="LOT85" s="2"/>
      <c r="LOU85" s="2"/>
      <c r="LOV85" s="2"/>
      <c r="LOW85" s="2"/>
      <c r="LOX85" s="2"/>
      <c r="LOY85" s="2"/>
      <c r="LOZ85" s="2"/>
      <c r="LPA85" s="2"/>
      <c r="LPB85" s="2"/>
      <c r="LPC85" s="2"/>
      <c r="LPD85" s="2"/>
      <c r="LPE85" s="2"/>
      <c r="LPF85" s="2"/>
      <c r="LPG85" s="2"/>
      <c r="LPH85" s="2"/>
      <c r="LPI85" s="2"/>
      <c r="LPJ85" s="2"/>
      <c r="LPK85" s="2"/>
      <c r="LPL85" s="2"/>
      <c r="LPM85" s="2"/>
      <c r="LPN85" s="2"/>
      <c r="LPO85" s="2"/>
      <c r="LPP85" s="2"/>
      <c r="LPQ85" s="2"/>
      <c r="LPR85" s="2"/>
      <c r="LPS85" s="2"/>
      <c r="LPT85" s="2"/>
      <c r="LPU85" s="2"/>
      <c r="LPV85" s="2"/>
      <c r="LPW85" s="2"/>
      <c r="LPX85" s="2"/>
      <c r="LPY85" s="2"/>
      <c r="LPZ85" s="2"/>
      <c r="LQA85" s="2"/>
      <c r="LQB85" s="2"/>
      <c r="LQC85" s="2"/>
      <c r="LQD85" s="2"/>
      <c r="LQE85" s="2"/>
      <c r="LQF85" s="2"/>
      <c r="LQG85" s="2"/>
      <c r="LQH85" s="2"/>
      <c r="LQI85" s="2"/>
      <c r="LQJ85" s="2"/>
      <c r="LQK85" s="2"/>
      <c r="LQL85" s="2"/>
      <c r="LQM85" s="2"/>
      <c r="LQN85" s="2"/>
      <c r="LQO85" s="2"/>
      <c r="LQP85" s="2"/>
      <c r="LQQ85" s="2"/>
      <c r="LQR85" s="2"/>
      <c r="LQS85" s="2"/>
      <c r="LQT85" s="2"/>
      <c r="LQU85" s="2"/>
      <c r="LQV85" s="2"/>
      <c r="LQW85" s="2"/>
      <c r="LQX85" s="2"/>
      <c r="LQY85" s="2"/>
      <c r="LQZ85" s="2"/>
      <c r="LRA85" s="2"/>
      <c r="LRB85" s="2"/>
      <c r="LRC85" s="2"/>
      <c r="LRD85" s="2"/>
      <c r="LRE85" s="2"/>
      <c r="LRF85" s="2"/>
      <c r="LRG85" s="2"/>
      <c r="LRH85" s="2"/>
      <c r="LRI85" s="2"/>
      <c r="LRJ85" s="2"/>
      <c r="LRK85" s="2"/>
      <c r="LRL85" s="2"/>
      <c r="LRM85" s="2"/>
      <c r="LRN85" s="2"/>
      <c r="LRO85" s="2"/>
      <c r="LRP85" s="2"/>
      <c r="LRQ85" s="2"/>
      <c r="LRR85" s="2"/>
      <c r="LRS85" s="2"/>
      <c r="LRT85" s="2"/>
      <c r="LRU85" s="2"/>
      <c r="LRV85" s="2"/>
      <c r="LRW85" s="2"/>
      <c r="LRX85" s="2"/>
      <c r="LRY85" s="2"/>
      <c r="LRZ85" s="2"/>
      <c r="LSA85" s="2"/>
      <c r="LSB85" s="2"/>
      <c r="LSC85" s="2"/>
      <c r="LSD85" s="2"/>
      <c r="LSE85" s="2"/>
      <c r="LSF85" s="2"/>
      <c r="LSG85" s="2"/>
      <c r="LSH85" s="2"/>
      <c r="LSI85" s="2"/>
      <c r="LSJ85" s="2"/>
      <c r="LSK85" s="2"/>
      <c r="LSL85" s="2"/>
      <c r="LSM85" s="2"/>
      <c r="LSN85" s="2"/>
      <c r="LSO85" s="2"/>
      <c r="LSP85" s="2"/>
      <c r="LSQ85" s="2"/>
      <c r="LSR85" s="2"/>
      <c r="LSS85" s="2"/>
      <c r="LST85" s="2"/>
      <c r="LSU85" s="2"/>
      <c r="LSV85" s="2"/>
      <c r="LSW85" s="2"/>
      <c r="LSX85" s="2"/>
      <c r="LSY85" s="2"/>
      <c r="LSZ85" s="2"/>
      <c r="LTA85" s="2"/>
      <c r="LTB85" s="2"/>
      <c r="LTC85" s="2"/>
      <c r="LTD85" s="2"/>
      <c r="LTE85" s="2"/>
      <c r="LTF85" s="2"/>
      <c r="LTG85" s="2"/>
      <c r="LTH85" s="2"/>
      <c r="LTI85" s="2"/>
      <c r="LTJ85" s="2"/>
      <c r="LTK85" s="2"/>
      <c r="LTL85" s="2"/>
      <c r="LTM85" s="2"/>
      <c r="LTN85" s="2"/>
      <c r="LTO85" s="2"/>
      <c r="LTP85" s="2"/>
      <c r="LTQ85" s="2"/>
      <c r="LTR85" s="2"/>
      <c r="LTS85" s="2"/>
      <c r="LTT85" s="2"/>
      <c r="LTU85" s="2"/>
      <c r="LTV85" s="2"/>
      <c r="LTW85" s="2"/>
      <c r="LTX85" s="2"/>
      <c r="LTY85" s="2"/>
      <c r="LTZ85" s="2"/>
      <c r="LUA85" s="2"/>
      <c r="LUB85" s="2"/>
      <c r="LUC85" s="2"/>
      <c r="LUD85" s="2"/>
      <c r="LUE85" s="2"/>
      <c r="LUF85" s="2"/>
      <c r="LUG85" s="2"/>
      <c r="LUH85" s="2"/>
      <c r="LUI85" s="2"/>
      <c r="LUJ85" s="2"/>
      <c r="LUK85" s="2"/>
      <c r="LUL85" s="2"/>
      <c r="LUM85" s="2"/>
      <c r="LUN85" s="2"/>
      <c r="LUO85" s="2"/>
      <c r="LUP85" s="2"/>
      <c r="LUQ85" s="2"/>
      <c r="LUR85" s="2"/>
      <c r="LUS85" s="2"/>
      <c r="LUT85" s="2"/>
      <c r="LUU85" s="2"/>
      <c r="LUV85" s="2"/>
      <c r="LUW85" s="2"/>
      <c r="LUX85" s="2"/>
      <c r="LUY85" s="2"/>
      <c r="LUZ85" s="2"/>
      <c r="LVA85" s="2"/>
      <c r="LVB85" s="2"/>
      <c r="LVC85" s="2"/>
      <c r="LVD85" s="2"/>
      <c r="LVE85" s="2"/>
      <c r="LVF85" s="2"/>
      <c r="LVG85" s="2"/>
      <c r="LVH85" s="2"/>
      <c r="LVI85" s="2"/>
      <c r="LVJ85" s="2"/>
      <c r="LVK85" s="2"/>
      <c r="LVL85" s="2"/>
      <c r="LVM85" s="2"/>
      <c r="LVN85" s="2"/>
      <c r="LVO85" s="2"/>
      <c r="LVP85" s="2"/>
      <c r="LVQ85" s="2"/>
      <c r="LVR85" s="2"/>
      <c r="LVS85" s="2"/>
      <c r="LVT85" s="2"/>
      <c r="LVU85" s="2"/>
      <c r="LVV85" s="2"/>
      <c r="LVW85" s="2"/>
      <c r="LVX85" s="2"/>
      <c r="LVY85" s="2"/>
      <c r="LVZ85" s="2"/>
      <c r="LWA85" s="2"/>
      <c r="LWB85" s="2"/>
      <c r="LWC85" s="2"/>
      <c r="LWD85" s="2"/>
      <c r="LWE85" s="2"/>
      <c r="LWF85" s="2"/>
      <c r="LWG85" s="2"/>
      <c r="LWH85" s="2"/>
      <c r="LWI85" s="2"/>
      <c r="LWJ85" s="2"/>
      <c r="LWK85" s="2"/>
      <c r="LWL85" s="2"/>
      <c r="LWM85" s="2"/>
      <c r="LWN85" s="2"/>
      <c r="LWO85" s="2"/>
      <c r="LWP85" s="2"/>
      <c r="LWQ85" s="2"/>
      <c r="LWR85" s="2"/>
      <c r="LWS85" s="2"/>
      <c r="LWT85" s="2"/>
      <c r="LWU85" s="2"/>
      <c r="LWV85" s="2"/>
      <c r="LWW85" s="2"/>
      <c r="LWX85" s="2"/>
      <c r="LWY85" s="2"/>
      <c r="LWZ85" s="2"/>
      <c r="LXA85" s="2"/>
      <c r="LXB85" s="2"/>
      <c r="LXC85" s="2"/>
      <c r="LXD85" s="2"/>
      <c r="LXE85" s="2"/>
      <c r="LXF85" s="2"/>
      <c r="LXG85" s="2"/>
      <c r="LXH85" s="2"/>
      <c r="LXI85" s="2"/>
      <c r="LXJ85" s="2"/>
      <c r="LXK85" s="2"/>
      <c r="LXL85" s="2"/>
      <c r="LXM85" s="2"/>
      <c r="LXN85" s="2"/>
      <c r="LXO85" s="2"/>
      <c r="LXP85" s="2"/>
      <c r="LXQ85" s="2"/>
      <c r="LXR85" s="2"/>
      <c r="LXS85" s="2"/>
      <c r="LXT85" s="2"/>
      <c r="LXU85" s="2"/>
      <c r="LXV85" s="2"/>
      <c r="LXW85" s="2"/>
      <c r="LXX85" s="2"/>
      <c r="LXY85" s="2"/>
      <c r="LXZ85" s="2"/>
      <c r="LYA85" s="2"/>
      <c r="LYB85" s="2"/>
      <c r="LYC85" s="2"/>
      <c r="LYD85" s="2"/>
      <c r="LYE85" s="2"/>
      <c r="LYF85" s="2"/>
      <c r="LYG85" s="2"/>
      <c r="LYH85" s="2"/>
      <c r="LYI85" s="2"/>
      <c r="LYJ85" s="2"/>
      <c r="LYK85" s="2"/>
      <c r="LYL85" s="2"/>
      <c r="LYM85" s="2"/>
      <c r="LYN85" s="2"/>
      <c r="LYO85" s="2"/>
      <c r="LYP85" s="2"/>
      <c r="LYQ85" s="2"/>
      <c r="LYR85" s="2"/>
      <c r="LYS85" s="2"/>
      <c r="LYT85" s="2"/>
      <c r="LYU85" s="2"/>
      <c r="LYV85" s="2"/>
      <c r="LYW85" s="2"/>
      <c r="LYX85" s="2"/>
      <c r="LYY85" s="2"/>
      <c r="LYZ85" s="2"/>
      <c r="LZA85" s="2"/>
      <c r="LZB85" s="2"/>
      <c r="LZC85" s="2"/>
      <c r="LZD85" s="2"/>
      <c r="LZE85" s="2"/>
      <c r="LZF85" s="2"/>
      <c r="LZG85" s="2"/>
      <c r="LZH85" s="2"/>
      <c r="LZI85" s="2"/>
      <c r="LZJ85" s="2"/>
      <c r="LZK85" s="2"/>
      <c r="LZL85" s="2"/>
      <c r="LZM85" s="2"/>
      <c r="LZN85" s="2"/>
      <c r="LZO85" s="2"/>
      <c r="LZP85" s="2"/>
      <c r="LZQ85" s="2"/>
      <c r="LZR85" s="2"/>
      <c r="LZS85" s="2"/>
      <c r="LZT85" s="2"/>
      <c r="LZU85" s="2"/>
      <c r="LZV85" s="2"/>
      <c r="LZW85" s="2"/>
      <c r="LZX85" s="2"/>
      <c r="LZY85" s="2"/>
      <c r="LZZ85" s="2"/>
      <c r="MAA85" s="2"/>
      <c r="MAB85" s="2"/>
      <c r="MAC85" s="2"/>
      <c r="MAD85" s="2"/>
      <c r="MAE85" s="2"/>
      <c r="MAF85" s="2"/>
      <c r="MAG85" s="2"/>
      <c r="MAH85" s="2"/>
      <c r="MAI85" s="2"/>
      <c r="MAJ85" s="2"/>
      <c r="MAK85" s="2"/>
      <c r="MAL85" s="2"/>
      <c r="MAM85" s="2"/>
      <c r="MAN85" s="2"/>
      <c r="MAO85" s="2"/>
      <c r="MAP85" s="2"/>
      <c r="MAQ85" s="2"/>
      <c r="MAR85" s="2"/>
      <c r="MAS85" s="2"/>
      <c r="MAT85" s="2"/>
      <c r="MAU85" s="2"/>
      <c r="MAV85" s="2"/>
      <c r="MAW85" s="2"/>
      <c r="MAX85" s="2"/>
      <c r="MAY85" s="2"/>
      <c r="MAZ85" s="2"/>
      <c r="MBA85" s="2"/>
      <c r="MBB85" s="2"/>
      <c r="MBC85" s="2"/>
      <c r="MBD85" s="2"/>
      <c r="MBE85" s="2"/>
      <c r="MBF85" s="2"/>
      <c r="MBG85" s="2"/>
      <c r="MBH85" s="2"/>
      <c r="MBI85" s="2"/>
      <c r="MBJ85" s="2"/>
      <c r="MBK85" s="2"/>
      <c r="MBL85" s="2"/>
      <c r="MBM85" s="2"/>
      <c r="MBN85" s="2"/>
      <c r="MBO85" s="2"/>
      <c r="MBP85" s="2"/>
      <c r="MBQ85" s="2"/>
      <c r="MBR85" s="2"/>
      <c r="MBS85" s="2"/>
      <c r="MBT85" s="2"/>
      <c r="MBU85" s="2"/>
      <c r="MBV85" s="2"/>
      <c r="MBW85" s="2"/>
      <c r="MBX85" s="2"/>
      <c r="MBY85" s="2"/>
      <c r="MBZ85" s="2"/>
      <c r="MCA85" s="2"/>
      <c r="MCB85" s="2"/>
      <c r="MCC85" s="2"/>
      <c r="MCD85" s="2"/>
      <c r="MCE85" s="2"/>
      <c r="MCF85" s="2"/>
      <c r="MCG85" s="2"/>
      <c r="MCH85" s="2"/>
      <c r="MCI85" s="2"/>
      <c r="MCJ85" s="2"/>
      <c r="MCK85" s="2"/>
      <c r="MCL85" s="2"/>
      <c r="MCM85" s="2"/>
      <c r="MCN85" s="2"/>
      <c r="MCO85" s="2"/>
      <c r="MCP85" s="2"/>
      <c r="MCQ85" s="2"/>
      <c r="MCR85" s="2"/>
      <c r="MCS85" s="2"/>
      <c r="MCT85" s="2"/>
      <c r="MCU85" s="2"/>
      <c r="MCV85" s="2"/>
      <c r="MCW85" s="2"/>
      <c r="MCX85" s="2"/>
      <c r="MCY85" s="2"/>
      <c r="MCZ85" s="2"/>
      <c r="MDA85" s="2"/>
      <c r="MDB85" s="2"/>
      <c r="MDC85" s="2"/>
      <c r="MDD85" s="2"/>
      <c r="MDE85" s="2"/>
      <c r="MDF85" s="2"/>
      <c r="MDG85" s="2"/>
      <c r="MDH85" s="2"/>
      <c r="MDI85" s="2"/>
      <c r="MDJ85" s="2"/>
      <c r="MDK85" s="2"/>
      <c r="MDL85" s="2"/>
      <c r="MDM85" s="2"/>
      <c r="MDN85" s="2"/>
      <c r="MDO85" s="2"/>
      <c r="MDP85" s="2"/>
      <c r="MDQ85" s="2"/>
      <c r="MDR85" s="2"/>
      <c r="MDS85" s="2"/>
      <c r="MDT85" s="2"/>
      <c r="MDU85" s="2"/>
      <c r="MDV85" s="2"/>
      <c r="MDW85" s="2"/>
      <c r="MDX85" s="2"/>
      <c r="MDY85" s="2"/>
      <c r="MDZ85" s="2"/>
      <c r="MEA85" s="2"/>
      <c r="MEB85" s="2"/>
      <c r="MEC85" s="2"/>
      <c r="MED85" s="2"/>
      <c r="MEE85" s="2"/>
      <c r="MEF85" s="2"/>
      <c r="MEG85" s="2"/>
      <c r="MEH85" s="2"/>
      <c r="MEI85" s="2"/>
      <c r="MEJ85" s="2"/>
      <c r="MEK85" s="2"/>
      <c r="MEL85" s="2"/>
      <c r="MEM85" s="2"/>
      <c r="MEN85" s="2"/>
      <c r="MEO85" s="2"/>
      <c r="MEP85" s="2"/>
      <c r="MEQ85" s="2"/>
      <c r="MER85" s="2"/>
      <c r="MES85" s="2"/>
      <c r="MET85" s="2"/>
      <c r="MEU85" s="2"/>
      <c r="MEV85" s="2"/>
      <c r="MEW85" s="2"/>
      <c r="MEX85" s="2"/>
      <c r="MEY85" s="2"/>
      <c r="MEZ85" s="2"/>
      <c r="MFA85" s="2"/>
      <c r="MFB85" s="2"/>
      <c r="MFC85" s="2"/>
      <c r="MFD85" s="2"/>
      <c r="MFE85" s="2"/>
      <c r="MFF85" s="2"/>
      <c r="MFG85" s="2"/>
      <c r="MFH85" s="2"/>
      <c r="MFI85" s="2"/>
      <c r="MFJ85" s="2"/>
      <c r="MFK85" s="2"/>
      <c r="MFL85" s="2"/>
      <c r="MFM85" s="2"/>
      <c r="MFN85" s="2"/>
      <c r="MFO85" s="2"/>
      <c r="MFP85" s="2"/>
      <c r="MFQ85" s="2"/>
      <c r="MFR85" s="2"/>
      <c r="MFS85" s="2"/>
      <c r="MFT85" s="2"/>
      <c r="MFU85" s="2"/>
      <c r="MFV85" s="2"/>
      <c r="MFW85" s="2"/>
      <c r="MFX85" s="2"/>
      <c r="MFY85" s="2"/>
      <c r="MFZ85" s="2"/>
      <c r="MGA85" s="2"/>
      <c r="MGB85" s="2"/>
      <c r="MGC85" s="2"/>
      <c r="MGD85" s="2"/>
      <c r="MGE85" s="2"/>
      <c r="MGF85" s="2"/>
      <c r="MGG85" s="2"/>
      <c r="MGH85" s="2"/>
      <c r="MGI85" s="2"/>
      <c r="MGJ85" s="2"/>
      <c r="MGK85" s="2"/>
      <c r="MGL85" s="2"/>
      <c r="MGM85" s="2"/>
      <c r="MGN85" s="2"/>
      <c r="MGO85" s="2"/>
      <c r="MGP85" s="2"/>
      <c r="MGQ85" s="2"/>
      <c r="MGR85" s="2"/>
      <c r="MGS85" s="2"/>
      <c r="MGT85" s="2"/>
      <c r="MGU85" s="2"/>
      <c r="MGV85" s="2"/>
      <c r="MGW85" s="2"/>
      <c r="MGX85" s="2"/>
      <c r="MGY85" s="2"/>
      <c r="MGZ85" s="2"/>
      <c r="MHA85" s="2"/>
      <c r="MHB85" s="2"/>
      <c r="MHC85" s="2"/>
      <c r="MHD85" s="2"/>
      <c r="MHE85" s="2"/>
      <c r="MHF85" s="2"/>
      <c r="MHG85" s="2"/>
      <c r="MHH85" s="2"/>
      <c r="MHI85" s="2"/>
      <c r="MHJ85" s="2"/>
      <c r="MHK85" s="2"/>
      <c r="MHL85" s="2"/>
      <c r="MHM85" s="2"/>
      <c r="MHN85" s="2"/>
      <c r="MHO85" s="2"/>
      <c r="MHP85" s="2"/>
      <c r="MHQ85" s="2"/>
      <c r="MHR85" s="2"/>
      <c r="MHS85" s="2"/>
      <c r="MHT85" s="2"/>
      <c r="MHU85" s="2"/>
      <c r="MHV85" s="2"/>
      <c r="MHW85" s="2"/>
      <c r="MHX85" s="2"/>
      <c r="MHY85" s="2"/>
      <c r="MHZ85" s="2"/>
      <c r="MIA85" s="2"/>
      <c r="MIB85" s="2"/>
      <c r="MIC85" s="2"/>
      <c r="MID85" s="2"/>
      <c r="MIE85" s="2"/>
      <c r="MIF85" s="2"/>
      <c r="MIG85" s="2"/>
      <c r="MIH85" s="2"/>
      <c r="MII85" s="2"/>
      <c r="MIJ85" s="2"/>
      <c r="MIK85" s="2"/>
      <c r="MIL85" s="2"/>
      <c r="MIM85" s="2"/>
      <c r="MIN85" s="2"/>
      <c r="MIO85" s="2"/>
      <c r="MIP85" s="2"/>
      <c r="MIQ85" s="2"/>
      <c r="MIR85" s="2"/>
      <c r="MIS85" s="2"/>
      <c r="MIT85" s="2"/>
      <c r="MIU85" s="2"/>
      <c r="MIV85" s="2"/>
      <c r="MIW85" s="2"/>
      <c r="MIX85" s="2"/>
      <c r="MIY85" s="2"/>
      <c r="MIZ85" s="2"/>
      <c r="MJA85" s="2"/>
      <c r="MJB85" s="2"/>
      <c r="MJC85" s="2"/>
      <c r="MJD85" s="2"/>
      <c r="MJE85" s="2"/>
      <c r="MJF85" s="2"/>
      <c r="MJG85" s="2"/>
      <c r="MJH85" s="2"/>
      <c r="MJI85" s="2"/>
      <c r="MJJ85" s="2"/>
      <c r="MJK85" s="2"/>
      <c r="MJL85" s="2"/>
      <c r="MJM85" s="2"/>
      <c r="MJN85" s="2"/>
      <c r="MJO85" s="2"/>
      <c r="MJP85" s="2"/>
      <c r="MJQ85" s="2"/>
      <c r="MJR85" s="2"/>
      <c r="MJS85" s="2"/>
      <c r="MJT85" s="2"/>
      <c r="MJU85" s="2"/>
      <c r="MJV85" s="2"/>
      <c r="MJW85" s="2"/>
      <c r="MJX85" s="2"/>
      <c r="MJY85" s="2"/>
      <c r="MJZ85" s="2"/>
      <c r="MKA85" s="2"/>
      <c r="MKB85" s="2"/>
      <c r="MKC85" s="2"/>
      <c r="MKD85" s="2"/>
      <c r="MKE85" s="2"/>
      <c r="MKF85" s="2"/>
      <c r="MKG85" s="2"/>
      <c r="MKH85" s="2"/>
      <c r="MKI85" s="2"/>
      <c r="MKJ85" s="2"/>
      <c r="MKK85" s="2"/>
      <c r="MKL85" s="2"/>
      <c r="MKM85" s="2"/>
      <c r="MKN85" s="2"/>
      <c r="MKO85" s="2"/>
      <c r="MKP85" s="2"/>
      <c r="MKQ85" s="2"/>
      <c r="MKR85" s="2"/>
      <c r="MKS85" s="2"/>
      <c r="MKT85" s="2"/>
      <c r="MKU85" s="2"/>
      <c r="MKV85" s="2"/>
      <c r="MKW85" s="2"/>
      <c r="MKX85" s="2"/>
      <c r="MKY85" s="2"/>
      <c r="MKZ85" s="2"/>
      <c r="MLA85" s="2"/>
      <c r="MLB85" s="2"/>
      <c r="MLC85" s="2"/>
      <c r="MLD85" s="2"/>
      <c r="MLE85" s="2"/>
      <c r="MLF85" s="2"/>
      <c r="MLG85" s="2"/>
      <c r="MLH85" s="2"/>
      <c r="MLI85" s="2"/>
      <c r="MLJ85" s="2"/>
      <c r="MLK85" s="2"/>
      <c r="MLL85" s="2"/>
      <c r="MLM85" s="2"/>
      <c r="MLN85" s="2"/>
      <c r="MLO85" s="2"/>
      <c r="MLP85" s="2"/>
      <c r="MLQ85" s="2"/>
      <c r="MLR85" s="2"/>
      <c r="MLS85" s="2"/>
      <c r="MLT85" s="2"/>
      <c r="MLU85" s="2"/>
      <c r="MLV85" s="2"/>
      <c r="MLW85" s="2"/>
      <c r="MLX85" s="2"/>
      <c r="MLY85" s="2"/>
      <c r="MLZ85" s="2"/>
      <c r="MMA85" s="2"/>
      <c r="MMB85" s="2"/>
      <c r="MMC85" s="2"/>
      <c r="MMD85" s="2"/>
      <c r="MME85" s="2"/>
      <c r="MMF85" s="2"/>
      <c r="MMG85" s="2"/>
      <c r="MMH85" s="2"/>
      <c r="MMI85" s="2"/>
      <c r="MMJ85" s="2"/>
      <c r="MMK85" s="2"/>
      <c r="MML85" s="2"/>
      <c r="MMM85" s="2"/>
      <c r="MMN85" s="2"/>
      <c r="MMO85" s="2"/>
      <c r="MMP85" s="2"/>
      <c r="MMQ85" s="2"/>
      <c r="MMR85" s="2"/>
      <c r="MMS85" s="2"/>
      <c r="MMT85" s="2"/>
      <c r="MMU85" s="2"/>
      <c r="MMV85" s="2"/>
      <c r="MMW85" s="2"/>
      <c r="MMX85" s="2"/>
      <c r="MMY85" s="2"/>
      <c r="MMZ85" s="2"/>
      <c r="MNA85" s="2"/>
      <c r="MNB85" s="2"/>
      <c r="MNC85" s="2"/>
      <c r="MND85" s="2"/>
      <c r="MNE85" s="2"/>
      <c r="MNF85" s="2"/>
      <c r="MNG85" s="2"/>
      <c r="MNH85" s="2"/>
      <c r="MNI85" s="2"/>
      <c r="MNJ85" s="2"/>
      <c r="MNK85" s="2"/>
      <c r="MNL85" s="2"/>
      <c r="MNM85" s="2"/>
      <c r="MNN85" s="2"/>
      <c r="MNO85" s="2"/>
      <c r="MNP85" s="2"/>
      <c r="MNQ85" s="2"/>
      <c r="MNR85" s="2"/>
      <c r="MNS85" s="2"/>
      <c r="MNT85" s="2"/>
      <c r="MNU85" s="2"/>
      <c r="MNV85" s="2"/>
      <c r="MNW85" s="2"/>
      <c r="MNX85" s="2"/>
      <c r="MNY85" s="2"/>
      <c r="MNZ85" s="2"/>
      <c r="MOA85" s="2"/>
      <c r="MOB85" s="2"/>
      <c r="MOC85" s="2"/>
      <c r="MOD85" s="2"/>
      <c r="MOE85" s="2"/>
      <c r="MOF85" s="2"/>
      <c r="MOG85" s="2"/>
      <c r="MOH85" s="2"/>
      <c r="MOI85" s="2"/>
      <c r="MOJ85" s="2"/>
      <c r="MOK85" s="2"/>
      <c r="MOL85" s="2"/>
      <c r="MOM85" s="2"/>
      <c r="MON85" s="2"/>
      <c r="MOO85" s="2"/>
      <c r="MOP85" s="2"/>
      <c r="MOQ85" s="2"/>
      <c r="MOR85" s="2"/>
      <c r="MOS85" s="2"/>
      <c r="MOT85" s="2"/>
      <c r="MOU85" s="2"/>
      <c r="MOV85" s="2"/>
      <c r="MOW85" s="2"/>
      <c r="MOX85" s="2"/>
      <c r="MOY85" s="2"/>
      <c r="MOZ85" s="2"/>
      <c r="MPA85" s="2"/>
      <c r="MPB85" s="2"/>
      <c r="MPC85" s="2"/>
      <c r="MPD85" s="2"/>
      <c r="MPE85" s="2"/>
      <c r="MPF85" s="2"/>
      <c r="MPG85" s="2"/>
      <c r="MPH85" s="2"/>
      <c r="MPI85" s="2"/>
      <c r="MPJ85" s="2"/>
      <c r="MPK85" s="2"/>
      <c r="MPL85" s="2"/>
      <c r="MPM85" s="2"/>
      <c r="MPN85" s="2"/>
      <c r="MPO85" s="2"/>
      <c r="MPP85" s="2"/>
      <c r="MPQ85" s="2"/>
      <c r="MPR85" s="2"/>
      <c r="MPS85" s="2"/>
      <c r="MPT85" s="2"/>
      <c r="MPU85" s="2"/>
      <c r="MPV85" s="2"/>
      <c r="MPW85" s="2"/>
      <c r="MPX85" s="2"/>
      <c r="MPY85" s="2"/>
      <c r="MPZ85" s="2"/>
      <c r="MQA85" s="2"/>
      <c r="MQB85" s="2"/>
      <c r="MQC85" s="2"/>
      <c r="MQD85" s="2"/>
      <c r="MQE85" s="2"/>
      <c r="MQF85" s="2"/>
      <c r="MQG85" s="2"/>
      <c r="MQH85" s="2"/>
      <c r="MQI85" s="2"/>
      <c r="MQJ85" s="2"/>
      <c r="MQK85" s="2"/>
      <c r="MQL85" s="2"/>
      <c r="MQM85" s="2"/>
      <c r="MQN85" s="2"/>
      <c r="MQO85" s="2"/>
      <c r="MQP85" s="2"/>
      <c r="MQQ85" s="2"/>
      <c r="MQR85" s="2"/>
      <c r="MQS85" s="2"/>
      <c r="MQT85" s="2"/>
      <c r="MQU85" s="2"/>
      <c r="MQV85" s="2"/>
      <c r="MQW85" s="2"/>
      <c r="MQX85" s="2"/>
      <c r="MQY85" s="2"/>
      <c r="MQZ85" s="2"/>
      <c r="MRA85" s="2"/>
      <c r="MRB85" s="2"/>
      <c r="MRC85" s="2"/>
      <c r="MRD85" s="2"/>
      <c r="MRE85" s="2"/>
      <c r="MRF85" s="2"/>
      <c r="MRG85" s="2"/>
      <c r="MRH85" s="2"/>
      <c r="MRI85" s="2"/>
      <c r="MRJ85" s="2"/>
      <c r="MRK85" s="2"/>
      <c r="MRL85" s="2"/>
      <c r="MRM85" s="2"/>
      <c r="MRN85" s="2"/>
      <c r="MRO85" s="2"/>
      <c r="MRP85" s="2"/>
      <c r="MRQ85" s="2"/>
      <c r="MRR85" s="2"/>
      <c r="MRS85" s="2"/>
      <c r="MRT85" s="2"/>
      <c r="MRU85" s="2"/>
      <c r="MRV85" s="2"/>
      <c r="MRW85" s="2"/>
      <c r="MRX85" s="2"/>
      <c r="MRY85" s="2"/>
      <c r="MRZ85" s="2"/>
      <c r="MSA85" s="2"/>
      <c r="MSB85" s="2"/>
      <c r="MSC85" s="2"/>
      <c r="MSD85" s="2"/>
      <c r="MSE85" s="2"/>
      <c r="MSF85" s="2"/>
      <c r="MSG85" s="2"/>
      <c r="MSH85" s="2"/>
      <c r="MSI85" s="2"/>
      <c r="MSJ85" s="2"/>
      <c r="MSK85" s="2"/>
      <c r="MSL85" s="2"/>
      <c r="MSM85" s="2"/>
      <c r="MSN85" s="2"/>
      <c r="MSO85" s="2"/>
      <c r="MSP85" s="2"/>
      <c r="MSQ85" s="2"/>
      <c r="MSR85" s="2"/>
      <c r="MSS85" s="2"/>
      <c r="MST85" s="2"/>
      <c r="MSU85" s="2"/>
      <c r="MSV85" s="2"/>
      <c r="MSW85" s="2"/>
      <c r="MSX85" s="2"/>
      <c r="MSY85" s="2"/>
      <c r="MSZ85" s="2"/>
      <c r="MTA85" s="2"/>
      <c r="MTB85" s="2"/>
      <c r="MTC85" s="2"/>
      <c r="MTD85" s="2"/>
      <c r="MTE85" s="2"/>
      <c r="MTF85" s="2"/>
      <c r="MTG85" s="2"/>
      <c r="MTH85" s="2"/>
      <c r="MTI85" s="2"/>
      <c r="MTJ85" s="2"/>
      <c r="MTK85" s="2"/>
      <c r="MTL85" s="2"/>
      <c r="MTM85" s="2"/>
      <c r="MTN85" s="2"/>
      <c r="MTO85" s="2"/>
      <c r="MTP85" s="2"/>
      <c r="MTQ85" s="2"/>
      <c r="MTR85" s="2"/>
      <c r="MTS85" s="2"/>
      <c r="MTT85" s="2"/>
      <c r="MTU85" s="2"/>
      <c r="MTV85" s="2"/>
      <c r="MTW85" s="2"/>
      <c r="MTX85" s="2"/>
      <c r="MTY85" s="2"/>
      <c r="MTZ85" s="2"/>
      <c r="MUA85" s="2"/>
      <c r="MUB85" s="2"/>
      <c r="MUC85" s="2"/>
      <c r="MUD85" s="2"/>
      <c r="MUE85" s="2"/>
      <c r="MUF85" s="2"/>
      <c r="MUG85" s="2"/>
      <c r="MUH85" s="2"/>
      <c r="MUI85" s="2"/>
      <c r="MUJ85" s="2"/>
      <c r="MUK85" s="2"/>
      <c r="MUL85" s="2"/>
      <c r="MUM85" s="2"/>
      <c r="MUN85" s="2"/>
      <c r="MUO85" s="2"/>
      <c r="MUP85" s="2"/>
      <c r="MUQ85" s="2"/>
      <c r="MUR85" s="2"/>
      <c r="MUS85" s="2"/>
      <c r="MUT85" s="2"/>
      <c r="MUU85" s="2"/>
      <c r="MUV85" s="2"/>
      <c r="MUW85" s="2"/>
      <c r="MUX85" s="2"/>
      <c r="MUY85" s="2"/>
      <c r="MUZ85" s="2"/>
      <c r="MVA85" s="2"/>
      <c r="MVB85" s="2"/>
      <c r="MVC85" s="2"/>
      <c r="MVD85" s="2"/>
      <c r="MVE85" s="2"/>
      <c r="MVF85" s="2"/>
      <c r="MVG85" s="2"/>
      <c r="MVH85" s="2"/>
      <c r="MVI85" s="2"/>
      <c r="MVJ85" s="2"/>
      <c r="MVK85" s="2"/>
      <c r="MVL85" s="2"/>
      <c r="MVM85" s="2"/>
      <c r="MVN85" s="2"/>
      <c r="MVO85" s="2"/>
      <c r="MVP85" s="2"/>
      <c r="MVQ85" s="2"/>
      <c r="MVR85" s="2"/>
      <c r="MVS85" s="2"/>
      <c r="MVT85" s="2"/>
      <c r="MVU85" s="2"/>
      <c r="MVV85" s="2"/>
      <c r="MVW85" s="2"/>
      <c r="MVX85" s="2"/>
      <c r="MVY85" s="2"/>
      <c r="MVZ85" s="2"/>
      <c r="MWA85" s="2"/>
      <c r="MWB85" s="2"/>
      <c r="MWC85" s="2"/>
      <c r="MWD85" s="2"/>
      <c r="MWE85" s="2"/>
      <c r="MWF85" s="2"/>
      <c r="MWG85" s="2"/>
      <c r="MWH85" s="2"/>
      <c r="MWI85" s="2"/>
      <c r="MWJ85" s="2"/>
      <c r="MWK85" s="2"/>
      <c r="MWL85" s="2"/>
      <c r="MWM85" s="2"/>
      <c r="MWN85" s="2"/>
      <c r="MWO85" s="2"/>
      <c r="MWP85" s="2"/>
      <c r="MWQ85" s="2"/>
      <c r="MWR85" s="2"/>
      <c r="MWS85" s="2"/>
      <c r="MWT85" s="2"/>
      <c r="MWU85" s="2"/>
      <c r="MWV85" s="2"/>
      <c r="MWW85" s="2"/>
      <c r="MWX85" s="2"/>
      <c r="MWY85" s="2"/>
      <c r="MWZ85" s="2"/>
      <c r="MXA85" s="2"/>
      <c r="MXB85" s="2"/>
      <c r="MXC85" s="2"/>
      <c r="MXD85" s="2"/>
      <c r="MXE85" s="2"/>
      <c r="MXF85" s="2"/>
      <c r="MXG85" s="2"/>
      <c r="MXH85" s="2"/>
      <c r="MXI85" s="2"/>
      <c r="MXJ85" s="2"/>
      <c r="MXK85" s="2"/>
      <c r="MXL85" s="2"/>
      <c r="MXM85" s="2"/>
      <c r="MXN85" s="2"/>
      <c r="MXO85" s="2"/>
      <c r="MXP85" s="2"/>
      <c r="MXQ85" s="2"/>
      <c r="MXR85" s="2"/>
      <c r="MXS85" s="2"/>
      <c r="MXT85" s="2"/>
      <c r="MXU85" s="2"/>
      <c r="MXV85" s="2"/>
      <c r="MXW85" s="2"/>
      <c r="MXX85" s="2"/>
      <c r="MXY85" s="2"/>
      <c r="MXZ85" s="2"/>
      <c r="MYA85" s="2"/>
      <c r="MYB85" s="2"/>
      <c r="MYC85" s="2"/>
      <c r="MYD85" s="2"/>
      <c r="MYE85" s="2"/>
      <c r="MYF85" s="2"/>
      <c r="MYG85" s="2"/>
      <c r="MYH85" s="2"/>
      <c r="MYI85" s="2"/>
      <c r="MYJ85" s="2"/>
      <c r="MYK85" s="2"/>
      <c r="MYL85" s="2"/>
      <c r="MYM85" s="2"/>
      <c r="MYN85" s="2"/>
      <c r="MYO85" s="2"/>
      <c r="MYP85" s="2"/>
      <c r="MYQ85" s="2"/>
      <c r="MYR85" s="2"/>
      <c r="MYS85" s="2"/>
      <c r="MYT85" s="2"/>
      <c r="MYU85" s="2"/>
      <c r="MYV85" s="2"/>
      <c r="MYW85" s="2"/>
      <c r="MYX85" s="2"/>
      <c r="MYY85" s="2"/>
      <c r="MYZ85" s="2"/>
      <c r="MZA85" s="2"/>
      <c r="MZB85" s="2"/>
      <c r="MZC85" s="2"/>
      <c r="MZD85" s="2"/>
      <c r="MZE85" s="2"/>
      <c r="MZF85" s="2"/>
      <c r="MZG85" s="2"/>
      <c r="MZH85" s="2"/>
      <c r="MZI85" s="2"/>
      <c r="MZJ85" s="2"/>
      <c r="MZK85" s="2"/>
      <c r="MZL85" s="2"/>
      <c r="MZM85" s="2"/>
      <c r="MZN85" s="2"/>
      <c r="MZO85" s="2"/>
      <c r="MZP85" s="2"/>
      <c r="MZQ85" s="2"/>
      <c r="MZR85" s="2"/>
      <c r="MZS85" s="2"/>
      <c r="MZT85" s="2"/>
      <c r="MZU85" s="2"/>
      <c r="MZV85" s="2"/>
      <c r="MZW85" s="2"/>
      <c r="MZX85" s="2"/>
      <c r="MZY85" s="2"/>
      <c r="MZZ85" s="2"/>
      <c r="NAA85" s="2"/>
      <c r="NAB85" s="2"/>
      <c r="NAC85" s="2"/>
      <c r="NAD85" s="2"/>
      <c r="NAE85" s="2"/>
      <c r="NAF85" s="2"/>
      <c r="NAG85" s="2"/>
      <c r="NAH85" s="2"/>
      <c r="NAI85" s="2"/>
      <c r="NAJ85" s="2"/>
      <c r="NAK85" s="2"/>
      <c r="NAL85" s="2"/>
      <c r="NAM85" s="2"/>
      <c r="NAN85" s="2"/>
      <c r="NAO85" s="2"/>
      <c r="NAP85" s="2"/>
      <c r="NAQ85" s="2"/>
      <c r="NAR85" s="2"/>
      <c r="NAS85" s="2"/>
      <c r="NAT85" s="2"/>
      <c r="NAU85" s="2"/>
      <c r="NAV85" s="2"/>
      <c r="NAW85" s="2"/>
      <c r="NAX85" s="2"/>
      <c r="NAY85" s="2"/>
      <c r="NAZ85" s="2"/>
      <c r="NBA85" s="2"/>
      <c r="NBB85" s="2"/>
      <c r="NBC85" s="2"/>
      <c r="NBD85" s="2"/>
      <c r="NBE85" s="2"/>
      <c r="NBF85" s="2"/>
      <c r="NBG85" s="2"/>
      <c r="NBH85" s="2"/>
      <c r="NBI85" s="2"/>
      <c r="NBJ85" s="2"/>
      <c r="NBK85" s="2"/>
      <c r="NBL85" s="2"/>
      <c r="NBM85" s="2"/>
      <c r="NBN85" s="2"/>
      <c r="NBO85" s="2"/>
      <c r="NBP85" s="2"/>
      <c r="NBQ85" s="2"/>
      <c r="NBR85" s="2"/>
      <c r="NBS85" s="2"/>
      <c r="NBT85" s="2"/>
      <c r="NBU85" s="2"/>
      <c r="NBV85" s="2"/>
      <c r="NBW85" s="2"/>
      <c r="NBX85" s="2"/>
      <c r="NBY85" s="2"/>
      <c r="NBZ85" s="2"/>
      <c r="NCA85" s="2"/>
      <c r="NCB85" s="2"/>
      <c r="NCC85" s="2"/>
      <c r="NCD85" s="2"/>
      <c r="NCE85" s="2"/>
      <c r="NCF85" s="2"/>
      <c r="NCG85" s="2"/>
      <c r="NCH85" s="2"/>
      <c r="NCI85" s="2"/>
      <c r="NCJ85" s="2"/>
      <c r="NCK85" s="2"/>
      <c r="NCL85" s="2"/>
      <c r="NCM85" s="2"/>
      <c r="NCN85" s="2"/>
      <c r="NCO85" s="2"/>
      <c r="NCP85" s="2"/>
      <c r="NCQ85" s="2"/>
      <c r="NCR85" s="2"/>
      <c r="NCS85" s="2"/>
      <c r="NCT85" s="2"/>
      <c r="NCU85" s="2"/>
      <c r="NCV85" s="2"/>
      <c r="NCW85" s="2"/>
      <c r="NCX85" s="2"/>
      <c r="NCY85" s="2"/>
      <c r="NCZ85" s="2"/>
      <c r="NDA85" s="2"/>
      <c r="NDB85" s="2"/>
      <c r="NDC85" s="2"/>
      <c r="NDD85" s="2"/>
      <c r="NDE85" s="2"/>
      <c r="NDF85" s="2"/>
      <c r="NDG85" s="2"/>
      <c r="NDH85" s="2"/>
      <c r="NDI85" s="2"/>
      <c r="NDJ85" s="2"/>
      <c r="NDK85" s="2"/>
      <c r="NDL85" s="2"/>
      <c r="NDM85" s="2"/>
      <c r="NDN85" s="2"/>
      <c r="NDO85" s="2"/>
      <c r="NDP85" s="2"/>
      <c r="NDQ85" s="2"/>
      <c r="NDR85" s="2"/>
      <c r="NDS85" s="2"/>
      <c r="NDT85" s="2"/>
      <c r="NDU85" s="2"/>
      <c r="NDV85" s="2"/>
      <c r="NDW85" s="2"/>
      <c r="NDX85" s="2"/>
      <c r="NDY85" s="2"/>
      <c r="NDZ85" s="2"/>
      <c r="NEA85" s="2"/>
      <c r="NEB85" s="2"/>
      <c r="NEC85" s="2"/>
      <c r="NED85" s="2"/>
      <c r="NEE85" s="2"/>
      <c r="NEF85" s="2"/>
      <c r="NEG85" s="2"/>
      <c r="NEH85" s="2"/>
      <c r="NEI85" s="2"/>
      <c r="NEJ85" s="2"/>
      <c r="NEK85" s="2"/>
      <c r="NEL85" s="2"/>
      <c r="NEM85" s="2"/>
      <c r="NEN85" s="2"/>
      <c r="NEO85" s="2"/>
      <c r="NEP85" s="2"/>
      <c r="NEQ85" s="2"/>
      <c r="NER85" s="2"/>
      <c r="NES85" s="2"/>
      <c r="NET85" s="2"/>
      <c r="NEU85" s="2"/>
      <c r="NEV85" s="2"/>
      <c r="NEW85" s="2"/>
      <c r="NEX85" s="2"/>
      <c r="NEY85" s="2"/>
      <c r="NEZ85" s="2"/>
      <c r="NFA85" s="2"/>
      <c r="NFB85" s="2"/>
      <c r="NFC85" s="2"/>
      <c r="NFD85" s="2"/>
      <c r="NFE85" s="2"/>
      <c r="NFF85" s="2"/>
      <c r="NFG85" s="2"/>
      <c r="NFH85" s="2"/>
      <c r="NFI85" s="2"/>
      <c r="NFJ85" s="2"/>
      <c r="NFK85" s="2"/>
      <c r="NFL85" s="2"/>
      <c r="NFM85" s="2"/>
      <c r="NFN85" s="2"/>
      <c r="NFO85" s="2"/>
      <c r="NFP85" s="2"/>
      <c r="NFQ85" s="2"/>
      <c r="NFR85" s="2"/>
      <c r="NFS85" s="2"/>
      <c r="NFT85" s="2"/>
      <c r="NFU85" s="2"/>
      <c r="NFV85" s="2"/>
      <c r="NFW85" s="2"/>
      <c r="NFX85" s="2"/>
      <c r="NFY85" s="2"/>
      <c r="NFZ85" s="2"/>
      <c r="NGA85" s="2"/>
      <c r="NGB85" s="2"/>
      <c r="NGC85" s="2"/>
      <c r="NGD85" s="2"/>
      <c r="NGE85" s="2"/>
      <c r="NGF85" s="2"/>
      <c r="NGG85" s="2"/>
      <c r="NGH85" s="2"/>
      <c r="NGI85" s="2"/>
      <c r="NGJ85" s="2"/>
      <c r="NGK85" s="2"/>
      <c r="NGL85" s="2"/>
      <c r="NGM85" s="2"/>
      <c r="NGN85" s="2"/>
      <c r="NGO85" s="2"/>
      <c r="NGP85" s="2"/>
      <c r="NGQ85" s="2"/>
      <c r="NGR85" s="2"/>
      <c r="NGS85" s="2"/>
      <c r="NGT85" s="2"/>
      <c r="NGU85" s="2"/>
      <c r="NGV85" s="2"/>
      <c r="NGW85" s="2"/>
      <c r="NGX85" s="2"/>
      <c r="NGY85" s="2"/>
      <c r="NGZ85" s="2"/>
      <c r="NHA85" s="2"/>
      <c r="NHB85" s="2"/>
      <c r="NHC85" s="2"/>
      <c r="NHD85" s="2"/>
      <c r="NHE85" s="2"/>
      <c r="NHF85" s="2"/>
      <c r="NHG85" s="2"/>
      <c r="NHH85" s="2"/>
      <c r="NHI85" s="2"/>
      <c r="NHJ85" s="2"/>
      <c r="NHK85" s="2"/>
      <c r="NHL85" s="2"/>
      <c r="NHM85" s="2"/>
      <c r="NHN85" s="2"/>
      <c r="NHO85" s="2"/>
      <c r="NHP85" s="2"/>
      <c r="NHQ85" s="2"/>
      <c r="NHR85" s="2"/>
      <c r="NHS85" s="2"/>
      <c r="NHT85" s="2"/>
      <c r="NHU85" s="2"/>
      <c r="NHV85" s="2"/>
      <c r="NHW85" s="2"/>
      <c r="NHX85" s="2"/>
      <c r="NHY85" s="2"/>
      <c r="NHZ85" s="2"/>
      <c r="NIA85" s="2"/>
      <c r="NIB85" s="2"/>
      <c r="NIC85" s="2"/>
      <c r="NID85" s="2"/>
      <c r="NIE85" s="2"/>
      <c r="NIF85" s="2"/>
      <c r="NIG85" s="2"/>
      <c r="NIH85" s="2"/>
      <c r="NII85" s="2"/>
      <c r="NIJ85" s="2"/>
      <c r="NIK85" s="2"/>
      <c r="NIL85" s="2"/>
      <c r="NIM85" s="2"/>
      <c r="NIN85" s="2"/>
      <c r="NIO85" s="2"/>
      <c r="NIP85" s="2"/>
      <c r="NIQ85" s="2"/>
      <c r="NIR85" s="2"/>
      <c r="NIS85" s="2"/>
      <c r="NIT85" s="2"/>
      <c r="NIU85" s="2"/>
      <c r="NIV85" s="2"/>
      <c r="NIW85" s="2"/>
      <c r="NIX85" s="2"/>
      <c r="NIY85" s="2"/>
      <c r="NIZ85" s="2"/>
      <c r="NJA85" s="2"/>
      <c r="NJB85" s="2"/>
      <c r="NJC85" s="2"/>
      <c r="NJD85" s="2"/>
      <c r="NJE85" s="2"/>
      <c r="NJF85" s="2"/>
      <c r="NJG85" s="2"/>
      <c r="NJH85" s="2"/>
      <c r="NJI85" s="2"/>
      <c r="NJJ85" s="2"/>
      <c r="NJK85" s="2"/>
      <c r="NJL85" s="2"/>
      <c r="NJM85" s="2"/>
      <c r="NJN85" s="2"/>
      <c r="NJO85" s="2"/>
      <c r="NJP85" s="2"/>
      <c r="NJQ85" s="2"/>
      <c r="NJR85" s="2"/>
      <c r="NJS85" s="2"/>
      <c r="NJT85" s="2"/>
      <c r="NJU85" s="2"/>
      <c r="NJV85" s="2"/>
      <c r="NJW85" s="2"/>
      <c r="NJX85" s="2"/>
      <c r="NJY85" s="2"/>
      <c r="NJZ85" s="2"/>
      <c r="NKA85" s="2"/>
      <c r="NKB85" s="2"/>
      <c r="NKC85" s="2"/>
      <c r="NKD85" s="2"/>
      <c r="NKE85" s="2"/>
      <c r="NKF85" s="2"/>
      <c r="NKG85" s="2"/>
      <c r="NKH85" s="2"/>
      <c r="NKI85" s="2"/>
      <c r="NKJ85" s="2"/>
      <c r="NKK85" s="2"/>
      <c r="NKL85" s="2"/>
      <c r="NKM85" s="2"/>
      <c r="NKN85" s="2"/>
      <c r="NKO85" s="2"/>
      <c r="NKP85" s="2"/>
      <c r="NKQ85" s="2"/>
      <c r="NKR85" s="2"/>
      <c r="NKS85" s="2"/>
      <c r="NKT85" s="2"/>
      <c r="NKU85" s="2"/>
      <c r="NKV85" s="2"/>
      <c r="NKW85" s="2"/>
      <c r="NKX85" s="2"/>
      <c r="NKY85" s="2"/>
      <c r="NKZ85" s="2"/>
      <c r="NLA85" s="2"/>
      <c r="NLB85" s="2"/>
      <c r="NLC85" s="2"/>
      <c r="NLD85" s="2"/>
      <c r="NLE85" s="2"/>
      <c r="NLF85" s="2"/>
      <c r="NLG85" s="2"/>
      <c r="NLH85" s="2"/>
      <c r="NLI85" s="2"/>
      <c r="NLJ85" s="2"/>
      <c r="NLK85" s="2"/>
      <c r="NLL85" s="2"/>
      <c r="NLM85" s="2"/>
      <c r="NLN85" s="2"/>
      <c r="NLO85" s="2"/>
      <c r="NLP85" s="2"/>
      <c r="NLQ85" s="2"/>
      <c r="NLR85" s="2"/>
      <c r="NLS85" s="2"/>
      <c r="NLT85" s="2"/>
      <c r="NLU85" s="2"/>
      <c r="NLV85" s="2"/>
      <c r="NLW85" s="2"/>
      <c r="NLX85" s="2"/>
      <c r="NLY85" s="2"/>
      <c r="NLZ85" s="2"/>
      <c r="NMA85" s="2"/>
      <c r="NMB85" s="2"/>
      <c r="NMC85" s="2"/>
      <c r="NMD85" s="2"/>
      <c r="NME85" s="2"/>
      <c r="NMF85" s="2"/>
      <c r="NMG85" s="2"/>
      <c r="NMH85" s="2"/>
      <c r="NMI85" s="2"/>
      <c r="NMJ85" s="2"/>
      <c r="NMK85" s="2"/>
      <c r="NML85" s="2"/>
      <c r="NMM85" s="2"/>
      <c r="NMN85" s="2"/>
      <c r="NMO85" s="2"/>
      <c r="NMP85" s="2"/>
      <c r="NMQ85" s="2"/>
      <c r="NMR85" s="2"/>
      <c r="NMS85" s="2"/>
      <c r="NMT85" s="2"/>
      <c r="NMU85" s="2"/>
      <c r="NMV85" s="2"/>
      <c r="NMW85" s="2"/>
      <c r="NMX85" s="2"/>
      <c r="NMY85" s="2"/>
      <c r="NMZ85" s="2"/>
      <c r="NNA85" s="2"/>
      <c r="NNB85" s="2"/>
      <c r="NNC85" s="2"/>
      <c r="NND85" s="2"/>
      <c r="NNE85" s="2"/>
      <c r="NNF85" s="2"/>
      <c r="NNG85" s="2"/>
      <c r="NNH85" s="2"/>
      <c r="NNI85" s="2"/>
      <c r="NNJ85" s="2"/>
      <c r="NNK85" s="2"/>
      <c r="NNL85" s="2"/>
      <c r="NNM85" s="2"/>
      <c r="NNN85" s="2"/>
      <c r="NNO85" s="2"/>
      <c r="NNP85" s="2"/>
      <c r="NNQ85" s="2"/>
      <c r="NNR85" s="2"/>
      <c r="NNS85" s="2"/>
      <c r="NNT85" s="2"/>
      <c r="NNU85" s="2"/>
      <c r="NNV85" s="2"/>
      <c r="NNW85" s="2"/>
      <c r="NNX85" s="2"/>
      <c r="NNY85" s="2"/>
      <c r="NNZ85" s="2"/>
      <c r="NOA85" s="2"/>
      <c r="NOB85" s="2"/>
      <c r="NOC85" s="2"/>
      <c r="NOD85" s="2"/>
      <c r="NOE85" s="2"/>
      <c r="NOF85" s="2"/>
      <c r="NOG85" s="2"/>
      <c r="NOH85" s="2"/>
      <c r="NOI85" s="2"/>
      <c r="NOJ85" s="2"/>
      <c r="NOK85" s="2"/>
      <c r="NOL85" s="2"/>
      <c r="NOM85" s="2"/>
      <c r="NON85" s="2"/>
      <c r="NOO85" s="2"/>
      <c r="NOP85" s="2"/>
      <c r="NOQ85" s="2"/>
      <c r="NOR85" s="2"/>
      <c r="NOS85" s="2"/>
      <c r="NOT85" s="2"/>
      <c r="NOU85" s="2"/>
      <c r="NOV85" s="2"/>
      <c r="NOW85" s="2"/>
      <c r="NOX85" s="2"/>
      <c r="NOY85" s="2"/>
      <c r="NOZ85" s="2"/>
      <c r="NPA85" s="2"/>
      <c r="NPB85" s="2"/>
      <c r="NPC85" s="2"/>
      <c r="NPD85" s="2"/>
      <c r="NPE85" s="2"/>
      <c r="NPF85" s="2"/>
      <c r="NPG85" s="2"/>
      <c r="NPH85" s="2"/>
      <c r="NPI85" s="2"/>
      <c r="NPJ85" s="2"/>
      <c r="NPK85" s="2"/>
      <c r="NPL85" s="2"/>
      <c r="NPM85" s="2"/>
      <c r="NPN85" s="2"/>
      <c r="NPO85" s="2"/>
      <c r="NPP85" s="2"/>
      <c r="NPQ85" s="2"/>
      <c r="NPR85" s="2"/>
      <c r="NPS85" s="2"/>
      <c r="NPT85" s="2"/>
      <c r="NPU85" s="2"/>
      <c r="NPV85" s="2"/>
      <c r="NPW85" s="2"/>
      <c r="NPX85" s="2"/>
      <c r="NPY85" s="2"/>
      <c r="NPZ85" s="2"/>
      <c r="NQA85" s="2"/>
      <c r="NQB85" s="2"/>
      <c r="NQC85" s="2"/>
      <c r="NQD85" s="2"/>
      <c r="NQE85" s="2"/>
      <c r="NQF85" s="2"/>
      <c r="NQG85" s="2"/>
      <c r="NQH85" s="2"/>
      <c r="NQI85" s="2"/>
      <c r="NQJ85" s="2"/>
      <c r="NQK85" s="2"/>
      <c r="NQL85" s="2"/>
      <c r="NQM85" s="2"/>
      <c r="NQN85" s="2"/>
      <c r="NQO85" s="2"/>
      <c r="NQP85" s="2"/>
      <c r="NQQ85" s="2"/>
      <c r="NQR85" s="2"/>
      <c r="NQS85" s="2"/>
      <c r="NQT85" s="2"/>
      <c r="NQU85" s="2"/>
      <c r="NQV85" s="2"/>
      <c r="NQW85" s="2"/>
      <c r="NQX85" s="2"/>
      <c r="NQY85" s="2"/>
      <c r="NQZ85" s="2"/>
      <c r="NRA85" s="2"/>
      <c r="NRB85" s="2"/>
      <c r="NRC85" s="2"/>
      <c r="NRD85" s="2"/>
      <c r="NRE85" s="2"/>
      <c r="NRF85" s="2"/>
      <c r="NRG85" s="2"/>
      <c r="NRH85" s="2"/>
      <c r="NRI85" s="2"/>
      <c r="NRJ85" s="2"/>
      <c r="NRK85" s="2"/>
      <c r="NRL85" s="2"/>
      <c r="NRM85" s="2"/>
      <c r="NRN85" s="2"/>
      <c r="NRO85" s="2"/>
      <c r="NRP85" s="2"/>
      <c r="NRQ85" s="2"/>
      <c r="NRR85" s="2"/>
      <c r="NRS85" s="2"/>
      <c r="NRT85" s="2"/>
      <c r="NRU85" s="2"/>
      <c r="NRV85" s="2"/>
      <c r="NRW85" s="2"/>
      <c r="NRX85" s="2"/>
      <c r="NRY85" s="2"/>
      <c r="NRZ85" s="2"/>
      <c r="NSA85" s="2"/>
      <c r="NSB85" s="2"/>
      <c r="NSC85" s="2"/>
      <c r="NSD85" s="2"/>
      <c r="NSE85" s="2"/>
      <c r="NSF85" s="2"/>
      <c r="NSG85" s="2"/>
      <c r="NSH85" s="2"/>
      <c r="NSI85" s="2"/>
      <c r="NSJ85" s="2"/>
      <c r="NSK85" s="2"/>
      <c r="NSL85" s="2"/>
      <c r="NSM85" s="2"/>
      <c r="NSN85" s="2"/>
      <c r="NSO85" s="2"/>
      <c r="NSP85" s="2"/>
      <c r="NSQ85" s="2"/>
      <c r="NSR85" s="2"/>
      <c r="NSS85" s="2"/>
      <c r="NST85" s="2"/>
      <c r="NSU85" s="2"/>
      <c r="NSV85" s="2"/>
      <c r="NSW85" s="2"/>
      <c r="NSX85" s="2"/>
      <c r="NSY85" s="2"/>
      <c r="NSZ85" s="2"/>
      <c r="NTA85" s="2"/>
      <c r="NTB85" s="2"/>
      <c r="NTC85" s="2"/>
      <c r="NTD85" s="2"/>
      <c r="NTE85" s="2"/>
      <c r="NTF85" s="2"/>
      <c r="NTG85" s="2"/>
      <c r="NTH85" s="2"/>
      <c r="NTI85" s="2"/>
      <c r="NTJ85" s="2"/>
      <c r="NTK85" s="2"/>
      <c r="NTL85" s="2"/>
      <c r="NTM85" s="2"/>
      <c r="NTN85" s="2"/>
      <c r="NTO85" s="2"/>
      <c r="NTP85" s="2"/>
      <c r="NTQ85" s="2"/>
      <c r="NTR85" s="2"/>
      <c r="NTS85" s="2"/>
      <c r="NTT85" s="2"/>
      <c r="NTU85" s="2"/>
      <c r="NTV85" s="2"/>
      <c r="NTW85" s="2"/>
      <c r="NTX85" s="2"/>
      <c r="NTY85" s="2"/>
      <c r="NTZ85" s="2"/>
      <c r="NUA85" s="2"/>
      <c r="NUB85" s="2"/>
      <c r="NUC85" s="2"/>
      <c r="NUD85" s="2"/>
      <c r="NUE85" s="2"/>
      <c r="NUF85" s="2"/>
      <c r="NUG85" s="2"/>
      <c r="NUH85" s="2"/>
      <c r="NUI85" s="2"/>
      <c r="NUJ85" s="2"/>
      <c r="NUK85" s="2"/>
      <c r="NUL85" s="2"/>
      <c r="NUM85" s="2"/>
      <c r="NUN85" s="2"/>
      <c r="NUO85" s="2"/>
      <c r="NUP85" s="2"/>
      <c r="NUQ85" s="2"/>
      <c r="NUR85" s="2"/>
      <c r="NUS85" s="2"/>
      <c r="NUT85" s="2"/>
      <c r="NUU85" s="2"/>
      <c r="NUV85" s="2"/>
      <c r="NUW85" s="2"/>
      <c r="NUX85" s="2"/>
      <c r="NUY85" s="2"/>
      <c r="NUZ85" s="2"/>
      <c r="NVA85" s="2"/>
      <c r="NVB85" s="2"/>
      <c r="NVC85" s="2"/>
      <c r="NVD85" s="2"/>
      <c r="NVE85" s="2"/>
      <c r="NVF85" s="2"/>
      <c r="NVG85" s="2"/>
      <c r="NVH85" s="2"/>
      <c r="NVI85" s="2"/>
      <c r="NVJ85" s="2"/>
      <c r="NVK85" s="2"/>
      <c r="NVL85" s="2"/>
      <c r="NVM85" s="2"/>
      <c r="NVN85" s="2"/>
      <c r="NVO85" s="2"/>
      <c r="NVP85" s="2"/>
      <c r="NVQ85" s="2"/>
      <c r="NVR85" s="2"/>
      <c r="NVS85" s="2"/>
      <c r="NVT85" s="2"/>
      <c r="NVU85" s="2"/>
      <c r="NVV85" s="2"/>
      <c r="NVW85" s="2"/>
      <c r="NVX85" s="2"/>
      <c r="NVY85" s="2"/>
      <c r="NVZ85" s="2"/>
      <c r="NWA85" s="2"/>
      <c r="NWB85" s="2"/>
      <c r="NWC85" s="2"/>
      <c r="NWD85" s="2"/>
      <c r="NWE85" s="2"/>
      <c r="NWF85" s="2"/>
      <c r="NWG85" s="2"/>
      <c r="NWH85" s="2"/>
      <c r="NWI85" s="2"/>
      <c r="NWJ85" s="2"/>
      <c r="NWK85" s="2"/>
      <c r="NWL85" s="2"/>
      <c r="NWM85" s="2"/>
      <c r="NWN85" s="2"/>
      <c r="NWO85" s="2"/>
      <c r="NWP85" s="2"/>
      <c r="NWQ85" s="2"/>
      <c r="NWR85" s="2"/>
      <c r="NWS85" s="2"/>
      <c r="NWT85" s="2"/>
      <c r="NWU85" s="2"/>
      <c r="NWV85" s="2"/>
      <c r="NWW85" s="2"/>
      <c r="NWX85" s="2"/>
      <c r="NWY85" s="2"/>
      <c r="NWZ85" s="2"/>
      <c r="NXA85" s="2"/>
      <c r="NXB85" s="2"/>
      <c r="NXC85" s="2"/>
      <c r="NXD85" s="2"/>
      <c r="NXE85" s="2"/>
      <c r="NXF85" s="2"/>
      <c r="NXG85" s="2"/>
      <c r="NXH85" s="2"/>
      <c r="NXI85" s="2"/>
      <c r="NXJ85" s="2"/>
      <c r="NXK85" s="2"/>
      <c r="NXL85" s="2"/>
      <c r="NXM85" s="2"/>
      <c r="NXN85" s="2"/>
      <c r="NXO85" s="2"/>
      <c r="NXP85" s="2"/>
      <c r="NXQ85" s="2"/>
      <c r="NXR85" s="2"/>
      <c r="NXS85" s="2"/>
      <c r="NXT85" s="2"/>
      <c r="NXU85" s="2"/>
      <c r="NXV85" s="2"/>
      <c r="NXW85" s="2"/>
      <c r="NXX85" s="2"/>
      <c r="NXY85" s="2"/>
      <c r="NXZ85" s="2"/>
      <c r="NYA85" s="2"/>
      <c r="NYB85" s="2"/>
      <c r="NYC85" s="2"/>
      <c r="NYD85" s="2"/>
      <c r="NYE85" s="2"/>
      <c r="NYF85" s="2"/>
      <c r="NYG85" s="2"/>
      <c r="NYH85" s="2"/>
      <c r="NYI85" s="2"/>
      <c r="NYJ85" s="2"/>
      <c r="NYK85" s="2"/>
      <c r="NYL85" s="2"/>
      <c r="NYM85" s="2"/>
      <c r="NYN85" s="2"/>
      <c r="NYO85" s="2"/>
      <c r="NYP85" s="2"/>
      <c r="NYQ85" s="2"/>
      <c r="NYR85" s="2"/>
      <c r="NYS85" s="2"/>
      <c r="NYT85" s="2"/>
      <c r="NYU85" s="2"/>
      <c r="NYV85" s="2"/>
      <c r="NYW85" s="2"/>
      <c r="NYX85" s="2"/>
      <c r="NYY85" s="2"/>
      <c r="NYZ85" s="2"/>
      <c r="NZA85" s="2"/>
      <c r="NZB85" s="2"/>
      <c r="NZC85" s="2"/>
      <c r="NZD85" s="2"/>
      <c r="NZE85" s="2"/>
      <c r="NZF85" s="2"/>
      <c r="NZG85" s="2"/>
      <c r="NZH85" s="2"/>
      <c r="NZI85" s="2"/>
      <c r="NZJ85" s="2"/>
      <c r="NZK85" s="2"/>
      <c r="NZL85" s="2"/>
      <c r="NZM85" s="2"/>
      <c r="NZN85" s="2"/>
      <c r="NZO85" s="2"/>
      <c r="NZP85" s="2"/>
      <c r="NZQ85" s="2"/>
      <c r="NZR85" s="2"/>
      <c r="NZS85" s="2"/>
      <c r="NZT85" s="2"/>
      <c r="NZU85" s="2"/>
      <c r="NZV85" s="2"/>
      <c r="NZW85" s="2"/>
      <c r="NZX85" s="2"/>
      <c r="NZY85" s="2"/>
      <c r="NZZ85" s="2"/>
      <c r="OAA85" s="2"/>
      <c r="OAB85" s="2"/>
      <c r="OAC85" s="2"/>
      <c r="OAD85" s="2"/>
      <c r="OAE85" s="2"/>
      <c r="OAF85" s="2"/>
      <c r="OAG85" s="2"/>
      <c r="OAH85" s="2"/>
      <c r="OAI85" s="2"/>
      <c r="OAJ85" s="2"/>
      <c r="OAK85" s="2"/>
      <c r="OAL85" s="2"/>
      <c r="OAM85" s="2"/>
      <c r="OAN85" s="2"/>
      <c r="OAO85" s="2"/>
      <c r="OAP85" s="2"/>
      <c r="OAQ85" s="2"/>
      <c r="OAR85" s="2"/>
      <c r="OAS85" s="2"/>
      <c r="OAT85" s="2"/>
      <c r="OAU85" s="2"/>
      <c r="OAV85" s="2"/>
      <c r="OAW85" s="2"/>
      <c r="OAX85" s="2"/>
      <c r="OAY85" s="2"/>
      <c r="OAZ85" s="2"/>
      <c r="OBA85" s="2"/>
      <c r="OBB85" s="2"/>
      <c r="OBC85" s="2"/>
      <c r="OBD85" s="2"/>
      <c r="OBE85" s="2"/>
      <c r="OBF85" s="2"/>
      <c r="OBG85" s="2"/>
      <c r="OBH85" s="2"/>
      <c r="OBI85" s="2"/>
      <c r="OBJ85" s="2"/>
      <c r="OBK85" s="2"/>
      <c r="OBL85" s="2"/>
      <c r="OBM85" s="2"/>
      <c r="OBN85" s="2"/>
      <c r="OBO85" s="2"/>
      <c r="OBP85" s="2"/>
      <c r="OBQ85" s="2"/>
      <c r="OBR85" s="2"/>
      <c r="OBS85" s="2"/>
      <c r="OBT85" s="2"/>
      <c r="OBU85" s="2"/>
      <c r="OBV85" s="2"/>
      <c r="OBW85" s="2"/>
      <c r="OBX85" s="2"/>
      <c r="OBY85" s="2"/>
      <c r="OBZ85" s="2"/>
      <c r="OCA85" s="2"/>
      <c r="OCB85" s="2"/>
      <c r="OCC85" s="2"/>
      <c r="OCD85" s="2"/>
      <c r="OCE85" s="2"/>
      <c r="OCF85" s="2"/>
      <c r="OCG85" s="2"/>
      <c r="OCH85" s="2"/>
      <c r="OCI85" s="2"/>
      <c r="OCJ85" s="2"/>
      <c r="OCK85" s="2"/>
      <c r="OCL85" s="2"/>
      <c r="OCM85" s="2"/>
      <c r="OCN85" s="2"/>
      <c r="OCO85" s="2"/>
      <c r="OCP85" s="2"/>
      <c r="OCQ85" s="2"/>
      <c r="OCR85" s="2"/>
      <c r="OCS85" s="2"/>
      <c r="OCT85" s="2"/>
      <c r="OCU85" s="2"/>
      <c r="OCV85" s="2"/>
      <c r="OCW85" s="2"/>
      <c r="OCX85" s="2"/>
      <c r="OCY85" s="2"/>
      <c r="OCZ85" s="2"/>
      <c r="ODA85" s="2"/>
      <c r="ODB85" s="2"/>
      <c r="ODC85" s="2"/>
      <c r="ODD85" s="2"/>
      <c r="ODE85" s="2"/>
      <c r="ODF85" s="2"/>
      <c r="ODG85" s="2"/>
      <c r="ODH85" s="2"/>
      <c r="ODI85" s="2"/>
      <c r="ODJ85" s="2"/>
      <c r="ODK85" s="2"/>
      <c r="ODL85" s="2"/>
      <c r="ODM85" s="2"/>
      <c r="ODN85" s="2"/>
      <c r="ODO85" s="2"/>
      <c r="ODP85" s="2"/>
      <c r="ODQ85" s="2"/>
      <c r="ODR85" s="2"/>
      <c r="ODS85" s="2"/>
      <c r="ODT85" s="2"/>
      <c r="ODU85" s="2"/>
      <c r="ODV85" s="2"/>
      <c r="ODW85" s="2"/>
      <c r="ODX85" s="2"/>
      <c r="ODY85" s="2"/>
      <c r="ODZ85" s="2"/>
      <c r="OEA85" s="2"/>
      <c r="OEB85" s="2"/>
      <c r="OEC85" s="2"/>
      <c r="OED85" s="2"/>
      <c r="OEE85" s="2"/>
      <c r="OEF85" s="2"/>
      <c r="OEG85" s="2"/>
      <c r="OEH85" s="2"/>
      <c r="OEI85" s="2"/>
      <c r="OEJ85" s="2"/>
      <c r="OEK85" s="2"/>
      <c r="OEL85" s="2"/>
      <c r="OEM85" s="2"/>
      <c r="OEN85" s="2"/>
      <c r="OEO85" s="2"/>
      <c r="OEP85" s="2"/>
      <c r="OEQ85" s="2"/>
      <c r="OER85" s="2"/>
      <c r="OES85" s="2"/>
      <c r="OET85" s="2"/>
      <c r="OEU85" s="2"/>
      <c r="OEV85" s="2"/>
      <c r="OEW85" s="2"/>
      <c r="OEX85" s="2"/>
      <c r="OEY85" s="2"/>
      <c r="OEZ85" s="2"/>
      <c r="OFA85" s="2"/>
      <c r="OFB85" s="2"/>
      <c r="OFC85" s="2"/>
      <c r="OFD85" s="2"/>
      <c r="OFE85" s="2"/>
      <c r="OFF85" s="2"/>
      <c r="OFG85" s="2"/>
      <c r="OFH85" s="2"/>
      <c r="OFI85" s="2"/>
      <c r="OFJ85" s="2"/>
      <c r="OFK85" s="2"/>
      <c r="OFL85" s="2"/>
      <c r="OFM85" s="2"/>
      <c r="OFN85" s="2"/>
      <c r="OFO85" s="2"/>
      <c r="OFP85" s="2"/>
      <c r="OFQ85" s="2"/>
      <c r="OFR85" s="2"/>
      <c r="OFS85" s="2"/>
      <c r="OFT85" s="2"/>
      <c r="OFU85" s="2"/>
      <c r="OFV85" s="2"/>
      <c r="OFW85" s="2"/>
      <c r="OFX85" s="2"/>
      <c r="OFY85" s="2"/>
      <c r="OFZ85" s="2"/>
      <c r="OGA85" s="2"/>
      <c r="OGB85" s="2"/>
      <c r="OGC85" s="2"/>
      <c r="OGD85" s="2"/>
      <c r="OGE85" s="2"/>
      <c r="OGF85" s="2"/>
      <c r="OGG85" s="2"/>
      <c r="OGH85" s="2"/>
      <c r="OGI85" s="2"/>
      <c r="OGJ85" s="2"/>
      <c r="OGK85" s="2"/>
      <c r="OGL85" s="2"/>
      <c r="OGM85" s="2"/>
      <c r="OGN85" s="2"/>
      <c r="OGO85" s="2"/>
      <c r="OGP85" s="2"/>
      <c r="OGQ85" s="2"/>
      <c r="OGR85" s="2"/>
      <c r="OGS85" s="2"/>
      <c r="OGT85" s="2"/>
      <c r="OGU85" s="2"/>
      <c r="OGV85" s="2"/>
      <c r="OGW85" s="2"/>
      <c r="OGX85" s="2"/>
      <c r="OGY85" s="2"/>
      <c r="OGZ85" s="2"/>
      <c r="OHA85" s="2"/>
      <c r="OHB85" s="2"/>
      <c r="OHC85" s="2"/>
      <c r="OHD85" s="2"/>
      <c r="OHE85" s="2"/>
      <c r="OHF85" s="2"/>
      <c r="OHG85" s="2"/>
      <c r="OHH85" s="2"/>
      <c r="OHI85" s="2"/>
      <c r="OHJ85" s="2"/>
      <c r="OHK85" s="2"/>
      <c r="OHL85" s="2"/>
      <c r="OHM85" s="2"/>
      <c r="OHN85" s="2"/>
      <c r="OHO85" s="2"/>
      <c r="OHP85" s="2"/>
      <c r="OHQ85" s="2"/>
      <c r="OHR85" s="2"/>
      <c r="OHS85" s="2"/>
      <c r="OHT85" s="2"/>
      <c r="OHU85" s="2"/>
      <c r="OHV85" s="2"/>
      <c r="OHW85" s="2"/>
      <c r="OHX85" s="2"/>
      <c r="OHY85" s="2"/>
      <c r="OHZ85" s="2"/>
      <c r="OIA85" s="2"/>
      <c r="OIB85" s="2"/>
      <c r="OIC85" s="2"/>
      <c r="OID85" s="2"/>
      <c r="OIE85" s="2"/>
      <c r="OIF85" s="2"/>
      <c r="OIG85" s="2"/>
      <c r="OIH85" s="2"/>
      <c r="OII85" s="2"/>
      <c r="OIJ85" s="2"/>
      <c r="OIK85" s="2"/>
      <c r="OIL85" s="2"/>
      <c r="OIM85" s="2"/>
      <c r="OIN85" s="2"/>
      <c r="OIO85" s="2"/>
      <c r="OIP85" s="2"/>
      <c r="OIQ85" s="2"/>
      <c r="OIR85" s="2"/>
      <c r="OIS85" s="2"/>
      <c r="OIT85" s="2"/>
      <c r="OIU85" s="2"/>
      <c r="OIV85" s="2"/>
      <c r="OIW85" s="2"/>
      <c r="OIX85" s="2"/>
      <c r="OIY85" s="2"/>
      <c r="OIZ85" s="2"/>
      <c r="OJA85" s="2"/>
      <c r="OJB85" s="2"/>
      <c r="OJC85" s="2"/>
      <c r="OJD85" s="2"/>
      <c r="OJE85" s="2"/>
      <c r="OJF85" s="2"/>
      <c r="OJG85" s="2"/>
      <c r="OJH85" s="2"/>
      <c r="OJI85" s="2"/>
      <c r="OJJ85" s="2"/>
      <c r="OJK85" s="2"/>
      <c r="OJL85" s="2"/>
      <c r="OJM85" s="2"/>
      <c r="OJN85" s="2"/>
      <c r="OJO85" s="2"/>
      <c r="OJP85" s="2"/>
      <c r="OJQ85" s="2"/>
      <c r="OJR85" s="2"/>
      <c r="OJS85" s="2"/>
      <c r="OJT85" s="2"/>
      <c r="OJU85" s="2"/>
      <c r="OJV85" s="2"/>
      <c r="OJW85" s="2"/>
      <c r="OJX85" s="2"/>
      <c r="OJY85" s="2"/>
      <c r="OJZ85" s="2"/>
      <c r="OKA85" s="2"/>
      <c r="OKB85" s="2"/>
      <c r="OKC85" s="2"/>
      <c r="OKD85" s="2"/>
      <c r="OKE85" s="2"/>
      <c r="OKF85" s="2"/>
      <c r="OKG85" s="2"/>
      <c r="OKH85" s="2"/>
      <c r="OKI85" s="2"/>
      <c r="OKJ85" s="2"/>
      <c r="OKK85" s="2"/>
      <c r="OKL85" s="2"/>
      <c r="OKM85" s="2"/>
      <c r="OKN85" s="2"/>
      <c r="OKO85" s="2"/>
      <c r="OKP85" s="2"/>
      <c r="OKQ85" s="2"/>
      <c r="OKR85" s="2"/>
      <c r="OKS85" s="2"/>
      <c r="OKT85" s="2"/>
      <c r="OKU85" s="2"/>
      <c r="OKV85" s="2"/>
      <c r="OKW85" s="2"/>
      <c r="OKX85" s="2"/>
      <c r="OKY85" s="2"/>
      <c r="OKZ85" s="2"/>
      <c r="OLA85" s="2"/>
      <c r="OLB85" s="2"/>
      <c r="OLC85" s="2"/>
      <c r="OLD85" s="2"/>
      <c r="OLE85" s="2"/>
      <c r="OLF85" s="2"/>
      <c r="OLG85" s="2"/>
      <c r="OLH85" s="2"/>
      <c r="OLI85" s="2"/>
      <c r="OLJ85" s="2"/>
      <c r="OLK85" s="2"/>
      <c r="OLL85" s="2"/>
      <c r="OLM85" s="2"/>
      <c r="OLN85" s="2"/>
      <c r="OLO85" s="2"/>
      <c r="OLP85" s="2"/>
      <c r="OLQ85" s="2"/>
      <c r="OLR85" s="2"/>
      <c r="OLS85" s="2"/>
      <c r="OLT85" s="2"/>
      <c r="OLU85" s="2"/>
      <c r="OLV85" s="2"/>
      <c r="OLW85" s="2"/>
      <c r="OLX85" s="2"/>
      <c r="OLY85" s="2"/>
      <c r="OLZ85" s="2"/>
      <c r="OMA85" s="2"/>
      <c r="OMB85" s="2"/>
      <c r="OMC85" s="2"/>
      <c r="OMD85" s="2"/>
      <c r="OME85" s="2"/>
      <c r="OMF85" s="2"/>
      <c r="OMG85" s="2"/>
      <c r="OMH85" s="2"/>
      <c r="OMI85" s="2"/>
      <c r="OMJ85" s="2"/>
      <c r="OMK85" s="2"/>
      <c r="OML85" s="2"/>
      <c r="OMM85" s="2"/>
      <c r="OMN85" s="2"/>
      <c r="OMO85" s="2"/>
      <c r="OMP85" s="2"/>
      <c r="OMQ85" s="2"/>
      <c r="OMR85" s="2"/>
      <c r="OMS85" s="2"/>
      <c r="OMT85" s="2"/>
      <c r="OMU85" s="2"/>
      <c r="OMV85" s="2"/>
      <c r="OMW85" s="2"/>
      <c r="OMX85" s="2"/>
      <c r="OMY85" s="2"/>
      <c r="OMZ85" s="2"/>
      <c r="ONA85" s="2"/>
      <c r="ONB85" s="2"/>
      <c r="ONC85" s="2"/>
      <c r="OND85" s="2"/>
      <c r="ONE85" s="2"/>
      <c r="ONF85" s="2"/>
      <c r="ONG85" s="2"/>
      <c r="ONH85" s="2"/>
      <c r="ONI85" s="2"/>
      <c r="ONJ85" s="2"/>
      <c r="ONK85" s="2"/>
      <c r="ONL85" s="2"/>
      <c r="ONM85" s="2"/>
      <c r="ONN85" s="2"/>
      <c r="ONO85" s="2"/>
      <c r="ONP85" s="2"/>
      <c r="ONQ85" s="2"/>
      <c r="ONR85" s="2"/>
      <c r="ONS85" s="2"/>
      <c r="ONT85" s="2"/>
      <c r="ONU85" s="2"/>
      <c r="ONV85" s="2"/>
      <c r="ONW85" s="2"/>
      <c r="ONX85" s="2"/>
      <c r="ONY85" s="2"/>
      <c r="ONZ85" s="2"/>
      <c r="OOA85" s="2"/>
      <c r="OOB85" s="2"/>
      <c r="OOC85" s="2"/>
      <c r="OOD85" s="2"/>
      <c r="OOE85" s="2"/>
      <c r="OOF85" s="2"/>
      <c r="OOG85" s="2"/>
      <c r="OOH85" s="2"/>
      <c r="OOI85" s="2"/>
      <c r="OOJ85" s="2"/>
      <c r="OOK85" s="2"/>
      <c r="OOL85" s="2"/>
      <c r="OOM85" s="2"/>
      <c r="OON85" s="2"/>
      <c r="OOO85" s="2"/>
      <c r="OOP85" s="2"/>
      <c r="OOQ85" s="2"/>
      <c r="OOR85" s="2"/>
      <c r="OOS85" s="2"/>
      <c r="OOT85" s="2"/>
      <c r="OOU85" s="2"/>
      <c r="OOV85" s="2"/>
      <c r="OOW85" s="2"/>
      <c r="OOX85" s="2"/>
      <c r="OOY85" s="2"/>
      <c r="OOZ85" s="2"/>
      <c r="OPA85" s="2"/>
      <c r="OPB85" s="2"/>
      <c r="OPC85" s="2"/>
      <c r="OPD85" s="2"/>
      <c r="OPE85" s="2"/>
      <c r="OPF85" s="2"/>
      <c r="OPG85" s="2"/>
      <c r="OPH85" s="2"/>
      <c r="OPI85" s="2"/>
      <c r="OPJ85" s="2"/>
      <c r="OPK85" s="2"/>
      <c r="OPL85" s="2"/>
      <c r="OPM85" s="2"/>
      <c r="OPN85" s="2"/>
      <c r="OPO85" s="2"/>
      <c r="OPP85" s="2"/>
      <c r="OPQ85" s="2"/>
      <c r="OPR85" s="2"/>
      <c r="OPS85" s="2"/>
      <c r="OPT85" s="2"/>
      <c r="OPU85" s="2"/>
      <c r="OPV85" s="2"/>
      <c r="OPW85" s="2"/>
      <c r="OPX85" s="2"/>
      <c r="OPY85" s="2"/>
      <c r="OPZ85" s="2"/>
      <c r="OQA85" s="2"/>
      <c r="OQB85" s="2"/>
      <c r="OQC85" s="2"/>
      <c r="OQD85" s="2"/>
      <c r="OQE85" s="2"/>
      <c r="OQF85" s="2"/>
      <c r="OQG85" s="2"/>
      <c r="OQH85" s="2"/>
      <c r="OQI85" s="2"/>
      <c r="OQJ85" s="2"/>
      <c r="OQK85" s="2"/>
      <c r="OQL85" s="2"/>
      <c r="OQM85" s="2"/>
      <c r="OQN85" s="2"/>
      <c r="OQO85" s="2"/>
      <c r="OQP85" s="2"/>
      <c r="OQQ85" s="2"/>
      <c r="OQR85" s="2"/>
      <c r="OQS85" s="2"/>
      <c r="OQT85" s="2"/>
      <c r="OQU85" s="2"/>
      <c r="OQV85" s="2"/>
      <c r="OQW85" s="2"/>
      <c r="OQX85" s="2"/>
      <c r="OQY85" s="2"/>
      <c r="OQZ85" s="2"/>
      <c r="ORA85" s="2"/>
      <c r="ORB85" s="2"/>
      <c r="ORC85" s="2"/>
      <c r="ORD85" s="2"/>
      <c r="ORE85" s="2"/>
      <c r="ORF85" s="2"/>
      <c r="ORG85" s="2"/>
      <c r="ORH85" s="2"/>
      <c r="ORI85" s="2"/>
      <c r="ORJ85" s="2"/>
      <c r="ORK85" s="2"/>
      <c r="ORL85" s="2"/>
      <c r="ORM85" s="2"/>
      <c r="ORN85" s="2"/>
      <c r="ORO85" s="2"/>
      <c r="ORP85" s="2"/>
      <c r="ORQ85" s="2"/>
      <c r="ORR85" s="2"/>
      <c r="ORS85" s="2"/>
      <c r="ORT85" s="2"/>
      <c r="ORU85" s="2"/>
      <c r="ORV85" s="2"/>
      <c r="ORW85" s="2"/>
      <c r="ORX85" s="2"/>
      <c r="ORY85" s="2"/>
      <c r="ORZ85" s="2"/>
      <c r="OSA85" s="2"/>
      <c r="OSB85" s="2"/>
      <c r="OSC85" s="2"/>
      <c r="OSD85" s="2"/>
      <c r="OSE85" s="2"/>
      <c r="OSF85" s="2"/>
      <c r="OSG85" s="2"/>
      <c r="OSH85" s="2"/>
      <c r="OSI85" s="2"/>
      <c r="OSJ85" s="2"/>
      <c r="OSK85" s="2"/>
      <c r="OSL85" s="2"/>
      <c r="OSM85" s="2"/>
      <c r="OSN85" s="2"/>
      <c r="OSO85" s="2"/>
      <c r="OSP85" s="2"/>
      <c r="OSQ85" s="2"/>
      <c r="OSR85" s="2"/>
      <c r="OSS85" s="2"/>
      <c r="OST85" s="2"/>
      <c r="OSU85" s="2"/>
      <c r="OSV85" s="2"/>
      <c r="OSW85" s="2"/>
      <c r="OSX85" s="2"/>
      <c r="OSY85" s="2"/>
      <c r="OSZ85" s="2"/>
      <c r="OTA85" s="2"/>
      <c r="OTB85" s="2"/>
      <c r="OTC85" s="2"/>
      <c r="OTD85" s="2"/>
      <c r="OTE85" s="2"/>
      <c r="OTF85" s="2"/>
      <c r="OTG85" s="2"/>
      <c r="OTH85" s="2"/>
      <c r="OTI85" s="2"/>
      <c r="OTJ85" s="2"/>
      <c r="OTK85" s="2"/>
      <c r="OTL85" s="2"/>
      <c r="OTM85" s="2"/>
      <c r="OTN85" s="2"/>
      <c r="OTO85" s="2"/>
      <c r="OTP85" s="2"/>
      <c r="OTQ85" s="2"/>
      <c r="OTR85" s="2"/>
      <c r="OTS85" s="2"/>
      <c r="OTT85" s="2"/>
      <c r="OTU85" s="2"/>
      <c r="OTV85" s="2"/>
      <c r="OTW85" s="2"/>
      <c r="OTX85" s="2"/>
      <c r="OTY85" s="2"/>
      <c r="OTZ85" s="2"/>
      <c r="OUA85" s="2"/>
      <c r="OUB85" s="2"/>
      <c r="OUC85" s="2"/>
      <c r="OUD85" s="2"/>
      <c r="OUE85" s="2"/>
      <c r="OUF85" s="2"/>
      <c r="OUG85" s="2"/>
      <c r="OUH85" s="2"/>
      <c r="OUI85" s="2"/>
      <c r="OUJ85" s="2"/>
      <c r="OUK85" s="2"/>
      <c r="OUL85" s="2"/>
      <c r="OUM85" s="2"/>
      <c r="OUN85" s="2"/>
      <c r="OUO85" s="2"/>
      <c r="OUP85" s="2"/>
      <c r="OUQ85" s="2"/>
      <c r="OUR85" s="2"/>
      <c r="OUS85" s="2"/>
      <c r="OUT85" s="2"/>
      <c r="OUU85" s="2"/>
      <c r="OUV85" s="2"/>
      <c r="OUW85" s="2"/>
      <c r="OUX85" s="2"/>
      <c r="OUY85" s="2"/>
      <c r="OUZ85" s="2"/>
      <c r="OVA85" s="2"/>
      <c r="OVB85" s="2"/>
      <c r="OVC85" s="2"/>
      <c r="OVD85" s="2"/>
      <c r="OVE85" s="2"/>
      <c r="OVF85" s="2"/>
      <c r="OVG85" s="2"/>
      <c r="OVH85" s="2"/>
      <c r="OVI85" s="2"/>
      <c r="OVJ85" s="2"/>
      <c r="OVK85" s="2"/>
      <c r="OVL85" s="2"/>
      <c r="OVM85" s="2"/>
      <c r="OVN85" s="2"/>
      <c r="OVO85" s="2"/>
      <c r="OVP85" s="2"/>
      <c r="OVQ85" s="2"/>
      <c r="OVR85" s="2"/>
      <c r="OVS85" s="2"/>
      <c r="OVT85" s="2"/>
      <c r="OVU85" s="2"/>
      <c r="OVV85" s="2"/>
      <c r="OVW85" s="2"/>
      <c r="OVX85" s="2"/>
      <c r="OVY85" s="2"/>
      <c r="OVZ85" s="2"/>
      <c r="OWA85" s="2"/>
      <c r="OWB85" s="2"/>
      <c r="OWC85" s="2"/>
      <c r="OWD85" s="2"/>
      <c r="OWE85" s="2"/>
      <c r="OWF85" s="2"/>
      <c r="OWG85" s="2"/>
      <c r="OWH85" s="2"/>
      <c r="OWI85" s="2"/>
      <c r="OWJ85" s="2"/>
      <c r="OWK85" s="2"/>
      <c r="OWL85" s="2"/>
      <c r="OWM85" s="2"/>
      <c r="OWN85" s="2"/>
      <c r="OWO85" s="2"/>
      <c r="OWP85" s="2"/>
      <c r="OWQ85" s="2"/>
      <c r="OWR85" s="2"/>
      <c r="OWS85" s="2"/>
      <c r="OWT85" s="2"/>
      <c r="OWU85" s="2"/>
      <c r="OWV85" s="2"/>
      <c r="OWW85" s="2"/>
      <c r="OWX85" s="2"/>
      <c r="OWY85" s="2"/>
      <c r="OWZ85" s="2"/>
      <c r="OXA85" s="2"/>
      <c r="OXB85" s="2"/>
      <c r="OXC85" s="2"/>
      <c r="OXD85" s="2"/>
      <c r="OXE85" s="2"/>
      <c r="OXF85" s="2"/>
      <c r="OXG85" s="2"/>
      <c r="OXH85" s="2"/>
      <c r="OXI85" s="2"/>
      <c r="OXJ85" s="2"/>
      <c r="OXK85" s="2"/>
      <c r="OXL85" s="2"/>
      <c r="OXM85" s="2"/>
      <c r="OXN85" s="2"/>
      <c r="OXO85" s="2"/>
      <c r="OXP85" s="2"/>
      <c r="OXQ85" s="2"/>
      <c r="OXR85" s="2"/>
      <c r="OXS85" s="2"/>
      <c r="OXT85" s="2"/>
      <c r="OXU85" s="2"/>
      <c r="OXV85" s="2"/>
      <c r="OXW85" s="2"/>
      <c r="OXX85" s="2"/>
      <c r="OXY85" s="2"/>
      <c r="OXZ85" s="2"/>
      <c r="OYA85" s="2"/>
      <c r="OYB85" s="2"/>
      <c r="OYC85" s="2"/>
      <c r="OYD85" s="2"/>
      <c r="OYE85" s="2"/>
      <c r="OYF85" s="2"/>
      <c r="OYG85" s="2"/>
      <c r="OYH85" s="2"/>
      <c r="OYI85" s="2"/>
      <c r="OYJ85" s="2"/>
      <c r="OYK85" s="2"/>
      <c r="OYL85" s="2"/>
      <c r="OYM85" s="2"/>
      <c r="OYN85" s="2"/>
      <c r="OYO85" s="2"/>
      <c r="OYP85" s="2"/>
      <c r="OYQ85" s="2"/>
      <c r="OYR85" s="2"/>
      <c r="OYS85" s="2"/>
      <c r="OYT85" s="2"/>
      <c r="OYU85" s="2"/>
      <c r="OYV85" s="2"/>
      <c r="OYW85" s="2"/>
      <c r="OYX85" s="2"/>
      <c r="OYY85" s="2"/>
      <c r="OYZ85" s="2"/>
      <c r="OZA85" s="2"/>
      <c r="OZB85" s="2"/>
      <c r="OZC85" s="2"/>
      <c r="OZD85" s="2"/>
      <c r="OZE85" s="2"/>
      <c r="OZF85" s="2"/>
      <c r="OZG85" s="2"/>
      <c r="OZH85" s="2"/>
      <c r="OZI85" s="2"/>
      <c r="OZJ85" s="2"/>
      <c r="OZK85" s="2"/>
      <c r="OZL85" s="2"/>
      <c r="OZM85" s="2"/>
      <c r="OZN85" s="2"/>
      <c r="OZO85" s="2"/>
      <c r="OZP85" s="2"/>
      <c r="OZQ85" s="2"/>
      <c r="OZR85" s="2"/>
      <c r="OZS85" s="2"/>
      <c r="OZT85" s="2"/>
      <c r="OZU85" s="2"/>
      <c r="OZV85" s="2"/>
      <c r="OZW85" s="2"/>
      <c r="OZX85" s="2"/>
      <c r="OZY85" s="2"/>
      <c r="OZZ85" s="2"/>
      <c r="PAA85" s="2"/>
      <c r="PAB85" s="2"/>
      <c r="PAC85" s="2"/>
      <c r="PAD85" s="2"/>
      <c r="PAE85" s="2"/>
      <c r="PAF85" s="2"/>
      <c r="PAG85" s="2"/>
      <c r="PAH85" s="2"/>
      <c r="PAI85" s="2"/>
      <c r="PAJ85" s="2"/>
      <c r="PAK85" s="2"/>
      <c r="PAL85" s="2"/>
      <c r="PAM85" s="2"/>
      <c r="PAN85" s="2"/>
      <c r="PAO85" s="2"/>
      <c r="PAP85" s="2"/>
      <c r="PAQ85" s="2"/>
      <c r="PAR85" s="2"/>
      <c r="PAS85" s="2"/>
      <c r="PAT85" s="2"/>
      <c r="PAU85" s="2"/>
      <c r="PAV85" s="2"/>
      <c r="PAW85" s="2"/>
      <c r="PAX85" s="2"/>
      <c r="PAY85" s="2"/>
      <c r="PAZ85" s="2"/>
      <c r="PBA85" s="2"/>
      <c r="PBB85" s="2"/>
      <c r="PBC85" s="2"/>
      <c r="PBD85" s="2"/>
      <c r="PBE85" s="2"/>
      <c r="PBF85" s="2"/>
      <c r="PBG85" s="2"/>
      <c r="PBH85" s="2"/>
      <c r="PBI85" s="2"/>
      <c r="PBJ85" s="2"/>
      <c r="PBK85" s="2"/>
      <c r="PBL85" s="2"/>
      <c r="PBM85" s="2"/>
      <c r="PBN85" s="2"/>
      <c r="PBO85" s="2"/>
      <c r="PBP85" s="2"/>
      <c r="PBQ85" s="2"/>
      <c r="PBR85" s="2"/>
      <c r="PBS85" s="2"/>
      <c r="PBT85" s="2"/>
      <c r="PBU85" s="2"/>
      <c r="PBV85" s="2"/>
      <c r="PBW85" s="2"/>
      <c r="PBX85" s="2"/>
      <c r="PBY85" s="2"/>
      <c r="PBZ85" s="2"/>
      <c r="PCA85" s="2"/>
      <c r="PCB85" s="2"/>
      <c r="PCC85" s="2"/>
      <c r="PCD85" s="2"/>
      <c r="PCE85" s="2"/>
      <c r="PCF85" s="2"/>
      <c r="PCG85" s="2"/>
      <c r="PCH85" s="2"/>
      <c r="PCI85" s="2"/>
      <c r="PCJ85" s="2"/>
      <c r="PCK85" s="2"/>
      <c r="PCL85" s="2"/>
      <c r="PCM85" s="2"/>
      <c r="PCN85" s="2"/>
      <c r="PCO85" s="2"/>
      <c r="PCP85" s="2"/>
      <c r="PCQ85" s="2"/>
      <c r="PCR85" s="2"/>
      <c r="PCS85" s="2"/>
      <c r="PCT85" s="2"/>
      <c r="PCU85" s="2"/>
      <c r="PCV85" s="2"/>
      <c r="PCW85" s="2"/>
      <c r="PCX85" s="2"/>
      <c r="PCY85" s="2"/>
      <c r="PCZ85" s="2"/>
      <c r="PDA85" s="2"/>
      <c r="PDB85" s="2"/>
      <c r="PDC85" s="2"/>
      <c r="PDD85" s="2"/>
      <c r="PDE85" s="2"/>
      <c r="PDF85" s="2"/>
      <c r="PDG85" s="2"/>
      <c r="PDH85" s="2"/>
      <c r="PDI85" s="2"/>
      <c r="PDJ85" s="2"/>
      <c r="PDK85" s="2"/>
      <c r="PDL85" s="2"/>
      <c r="PDM85" s="2"/>
      <c r="PDN85" s="2"/>
      <c r="PDO85" s="2"/>
      <c r="PDP85" s="2"/>
      <c r="PDQ85" s="2"/>
      <c r="PDR85" s="2"/>
      <c r="PDS85" s="2"/>
      <c r="PDT85" s="2"/>
      <c r="PDU85" s="2"/>
      <c r="PDV85" s="2"/>
      <c r="PDW85" s="2"/>
      <c r="PDX85" s="2"/>
      <c r="PDY85" s="2"/>
      <c r="PDZ85" s="2"/>
      <c r="PEA85" s="2"/>
      <c r="PEB85" s="2"/>
      <c r="PEC85" s="2"/>
      <c r="PED85" s="2"/>
      <c r="PEE85" s="2"/>
      <c r="PEF85" s="2"/>
      <c r="PEG85" s="2"/>
      <c r="PEH85" s="2"/>
      <c r="PEI85" s="2"/>
      <c r="PEJ85" s="2"/>
      <c r="PEK85" s="2"/>
      <c r="PEL85" s="2"/>
      <c r="PEM85" s="2"/>
      <c r="PEN85" s="2"/>
      <c r="PEO85" s="2"/>
      <c r="PEP85" s="2"/>
      <c r="PEQ85" s="2"/>
      <c r="PER85" s="2"/>
      <c r="PES85" s="2"/>
      <c r="PET85" s="2"/>
      <c r="PEU85" s="2"/>
      <c r="PEV85" s="2"/>
      <c r="PEW85" s="2"/>
      <c r="PEX85" s="2"/>
      <c r="PEY85" s="2"/>
      <c r="PEZ85" s="2"/>
      <c r="PFA85" s="2"/>
      <c r="PFB85" s="2"/>
      <c r="PFC85" s="2"/>
      <c r="PFD85" s="2"/>
      <c r="PFE85" s="2"/>
      <c r="PFF85" s="2"/>
      <c r="PFG85" s="2"/>
      <c r="PFH85" s="2"/>
      <c r="PFI85" s="2"/>
      <c r="PFJ85" s="2"/>
      <c r="PFK85" s="2"/>
      <c r="PFL85" s="2"/>
      <c r="PFM85" s="2"/>
      <c r="PFN85" s="2"/>
      <c r="PFO85" s="2"/>
      <c r="PFP85" s="2"/>
      <c r="PFQ85" s="2"/>
      <c r="PFR85" s="2"/>
      <c r="PFS85" s="2"/>
      <c r="PFT85" s="2"/>
      <c r="PFU85" s="2"/>
      <c r="PFV85" s="2"/>
      <c r="PFW85" s="2"/>
      <c r="PFX85" s="2"/>
      <c r="PFY85" s="2"/>
      <c r="PFZ85" s="2"/>
      <c r="PGA85" s="2"/>
      <c r="PGB85" s="2"/>
      <c r="PGC85" s="2"/>
      <c r="PGD85" s="2"/>
      <c r="PGE85" s="2"/>
      <c r="PGF85" s="2"/>
      <c r="PGG85" s="2"/>
      <c r="PGH85" s="2"/>
      <c r="PGI85" s="2"/>
      <c r="PGJ85" s="2"/>
      <c r="PGK85" s="2"/>
      <c r="PGL85" s="2"/>
      <c r="PGM85" s="2"/>
      <c r="PGN85" s="2"/>
      <c r="PGO85" s="2"/>
      <c r="PGP85" s="2"/>
      <c r="PGQ85" s="2"/>
      <c r="PGR85" s="2"/>
      <c r="PGS85" s="2"/>
      <c r="PGT85" s="2"/>
      <c r="PGU85" s="2"/>
      <c r="PGV85" s="2"/>
      <c r="PGW85" s="2"/>
      <c r="PGX85" s="2"/>
      <c r="PGY85" s="2"/>
      <c r="PGZ85" s="2"/>
      <c r="PHA85" s="2"/>
      <c r="PHB85" s="2"/>
      <c r="PHC85" s="2"/>
      <c r="PHD85" s="2"/>
      <c r="PHE85" s="2"/>
      <c r="PHF85" s="2"/>
      <c r="PHG85" s="2"/>
      <c r="PHH85" s="2"/>
      <c r="PHI85" s="2"/>
      <c r="PHJ85" s="2"/>
      <c r="PHK85" s="2"/>
      <c r="PHL85" s="2"/>
      <c r="PHM85" s="2"/>
      <c r="PHN85" s="2"/>
      <c r="PHO85" s="2"/>
      <c r="PHP85" s="2"/>
      <c r="PHQ85" s="2"/>
      <c r="PHR85" s="2"/>
      <c r="PHS85" s="2"/>
      <c r="PHT85" s="2"/>
      <c r="PHU85" s="2"/>
      <c r="PHV85" s="2"/>
      <c r="PHW85" s="2"/>
      <c r="PHX85" s="2"/>
      <c r="PHY85" s="2"/>
      <c r="PHZ85" s="2"/>
      <c r="PIA85" s="2"/>
      <c r="PIB85" s="2"/>
      <c r="PIC85" s="2"/>
      <c r="PID85" s="2"/>
      <c r="PIE85" s="2"/>
      <c r="PIF85" s="2"/>
      <c r="PIG85" s="2"/>
      <c r="PIH85" s="2"/>
      <c r="PII85" s="2"/>
      <c r="PIJ85" s="2"/>
      <c r="PIK85" s="2"/>
      <c r="PIL85" s="2"/>
      <c r="PIM85" s="2"/>
      <c r="PIN85" s="2"/>
      <c r="PIO85" s="2"/>
      <c r="PIP85" s="2"/>
      <c r="PIQ85" s="2"/>
      <c r="PIR85" s="2"/>
      <c r="PIS85" s="2"/>
      <c r="PIT85" s="2"/>
      <c r="PIU85" s="2"/>
      <c r="PIV85" s="2"/>
      <c r="PIW85" s="2"/>
      <c r="PIX85" s="2"/>
      <c r="PIY85" s="2"/>
      <c r="PIZ85" s="2"/>
      <c r="PJA85" s="2"/>
      <c r="PJB85" s="2"/>
      <c r="PJC85" s="2"/>
      <c r="PJD85" s="2"/>
      <c r="PJE85" s="2"/>
      <c r="PJF85" s="2"/>
      <c r="PJG85" s="2"/>
      <c r="PJH85" s="2"/>
      <c r="PJI85" s="2"/>
      <c r="PJJ85" s="2"/>
      <c r="PJK85" s="2"/>
      <c r="PJL85" s="2"/>
      <c r="PJM85" s="2"/>
      <c r="PJN85" s="2"/>
      <c r="PJO85" s="2"/>
      <c r="PJP85" s="2"/>
      <c r="PJQ85" s="2"/>
      <c r="PJR85" s="2"/>
      <c r="PJS85" s="2"/>
      <c r="PJT85" s="2"/>
      <c r="PJU85" s="2"/>
      <c r="PJV85" s="2"/>
      <c r="PJW85" s="2"/>
      <c r="PJX85" s="2"/>
      <c r="PJY85" s="2"/>
      <c r="PJZ85" s="2"/>
      <c r="PKA85" s="2"/>
      <c r="PKB85" s="2"/>
      <c r="PKC85" s="2"/>
      <c r="PKD85" s="2"/>
      <c r="PKE85" s="2"/>
      <c r="PKF85" s="2"/>
      <c r="PKG85" s="2"/>
      <c r="PKH85" s="2"/>
      <c r="PKI85" s="2"/>
      <c r="PKJ85" s="2"/>
      <c r="PKK85" s="2"/>
      <c r="PKL85" s="2"/>
      <c r="PKM85" s="2"/>
      <c r="PKN85" s="2"/>
      <c r="PKO85" s="2"/>
      <c r="PKP85" s="2"/>
      <c r="PKQ85" s="2"/>
      <c r="PKR85" s="2"/>
      <c r="PKS85" s="2"/>
      <c r="PKT85" s="2"/>
      <c r="PKU85" s="2"/>
      <c r="PKV85" s="2"/>
      <c r="PKW85" s="2"/>
      <c r="PKX85" s="2"/>
      <c r="PKY85" s="2"/>
      <c r="PKZ85" s="2"/>
      <c r="PLA85" s="2"/>
      <c r="PLB85" s="2"/>
      <c r="PLC85" s="2"/>
      <c r="PLD85" s="2"/>
      <c r="PLE85" s="2"/>
      <c r="PLF85" s="2"/>
      <c r="PLG85" s="2"/>
      <c r="PLH85" s="2"/>
      <c r="PLI85" s="2"/>
      <c r="PLJ85" s="2"/>
      <c r="PLK85" s="2"/>
      <c r="PLL85" s="2"/>
      <c r="PLM85" s="2"/>
      <c r="PLN85" s="2"/>
      <c r="PLO85" s="2"/>
      <c r="PLP85" s="2"/>
      <c r="PLQ85" s="2"/>
      <c r="PLR85" s="2"/>
      <c r="PLS85" s="2"/>
      <c r="PLT85" s="2"/>
      <c r="PLU85" s="2"/>
      <c r="PLV85" s="2"/>
      <c r="PLW85" s="2"/>
      <c r="PLX85" s="2"/>
      <c r="PLY85" s="2"/>
      <c r="PLZ85" s="2"/>
      <c r="PMA85" s="2"/>
      <c r="PMB85" s="2"/>
      <c r="PMC85" s="2"/>
      <c r="PMD85" s="2"/>
      <c r="PME85" s="2"/>
      <c r="PMF85" s="2"/>
      <c r="PMG85" s="2"/>
      <c r="PMH85" s="2"/>
      <c r="PMI85" s="2"/>
      <c r="PMJ85" s="2"/>
      <c r="PMK85" s="2"/>
      <c r="PML85" s="2"/>
      <c r="PMM85" s="2"/>
      <c r="PMN85" s="2"/>
      <c r="PMO85" s="2"/>
      <c r="PMP85" s="2"/>
      <c r="PMQ85" s="2"/>
      <c r="PMR85" s="2"/>
      <c r="PMS85" s="2"/>
      <c r="PMT85" s="2"/>
      <c r="PMU85" s="2"/>
      <c r="PMV85" s="2"/>
      <c r="PMW85" s="2"/>
      <c r="PMX85" s="2"/>
      <c r="PMY85" s="2"/>
      <c r="PMZ85" s="2"/>
      <c r="PNA85" s="2"/>
      <c r="PNB85" s="2"/>
      <c r="PNC85" s="2"/>
      <c r="PND85" s="2"/>
      <c r="PNE85" s="2"/>
      <c r="PNF85" s="2"/>
      <c r="PNG85" s="2"/>
      <c r="PNH85" s="2"/>
      <c r="PNI85" s="2"/>
      <c r="PNJ85" s="2"/>
      <c r="PNK85" s="2"/>
      <c r="PNL85" s="2"/>
      <c r="PNM85" s="2"/>
      <c r="PNN85" s="2"/>
      <c r="PNO85" s="2"/>
      <c r="PNP85" s="2"/>
      <c r="PNQ85" s="2"/>
      <c r="PNR85" s="2"/>
      <c r="PNS85" s="2"/>
      <c r="PNT85" s="2"/>
      <c r="PNU85" s="2"/>
      <c r="PNV85" s="2"/>
      <c r="PNW85" s="2"/>
      <c r="PNX85" s="2"/>
      <c r="PNY85" s="2"/>
      <c r="PNZ85" s="2"/>
      <c r="POA85" s="2"/>
      <c r="POB85" s="2"/>
      <c r="POC85" s="2"/>
      <c r="POD85" s="2"/>
      <c r="POE85" s="2"/>
      <c r="POF85" s="2"/>
      <c r="POG85" s="2"/>
      <c r="POH85" s="2"/>
      <c r="POI85" s="2"/>
      <c r="POJ85" s="2"/>
      <c r="POK85" s="2"/>
      <c r="POL85" s="2"/>
      <c r="POM85" s="2"/>
      <c r="PON85" s="2"/>
      <c r="POO85" s="2"/>
      <c r="POP85" s="2"/>
      <c r="POQ85" s="2"/>
      <c r="POR85" s="2"/>
      <c r="POS85" s="2"/>
      <c r="POT85" s="2"/>
      <c r="POU85" s="2"/>
      <c r="POV85" s="2"/>
      <c r="POW85" s="2"/>
      <c r="POX85" s="2"/>
      <c r="POY85" s="2"/>
      <c r="POZ85" s="2"/>
      <c r="PPA85" s="2"/>
      <c r="PPB85" s="2"/>
      <c r="PPC85" s="2"/>
      <c r="PPD85" s="2"/>
      <c r="PPE85" s="2"/>
      <c r="PPF85" s="2"/>
      <c r="PPG85" s="2"/>
      <c r="PPH85" s="2"/>
      <c r="PPI85" s="2"/>
      <c r="PPJ85" s="2"/>
      <c r="PPK85" s="2"/>
      <c r="PPL85" s="2"/>
      <c r="PPM85" s="2"/>
      <c r="PPN85" s="2"/>
      <c r="PPO85" s="2"/>
      <c r="PPP85" s="2"/>
      <c r="PPQ85" s="2"/>
      <c r="PPR85" s="2"/>
      <c r="PPS85" s="2"/>
      <c r="PPT85" s="2"/>
      <c r="PPU85" s="2"/>
      <c r="PPV85" s="2"/>
      <c r="PPW85" s="2"/>
      <c r="PPX85" s="2"/>
      <c r="PPY85" s="2"/>
      <c r="PPZ85" s="2"/>
      <c r="PQA85" s="2"/>
      <c r="PQB85" s="2"/>
      <c r="PQC85" s="2"/>
      <c r="PQD85" s="2"/>
      <c r="PQE85" s="2"/>
      <c r="PQF85" s="2"/>
      <c r="PQG85" s="2"/>
      <c r="PQH85" s="2"/>
      <c r="PQI85" s="2"/>
      <c r="PQJ85" s="2"/>
      <c r="PQK85" s="2"/>
      <c r="PQL85" s="2"/>
      <c r="PQM85" s="2"/>
      <c r="PQN85" s="2"/>
      <c r="PQO85" s="2"/>
      <c r="PQP85" s="2"/>
      <c r="PQQ85" s="2"/>
      <c r="PQR85" s="2"/>
      <c r="PQS85" s="2"/>
      <c r="PQT85" s="2"/>
      <c r="PQU85" s="2"/>
      <c r="PQV85" s="2"/>
      <c r="PQW85" s="2"/>
      <c r="PQX85" s="2"/>
      <c r="PQY85" s="2"/>
      <c r="PQZ85" s="2"/>
      <c r="PRA85" s="2"/>
      <c r="PRB85" s="2"/>
      <c r="PRC85" s="2"/>
      <c r="PRD85" s="2"/>
      <c r="PRE85" s="2"/>
      <c r="PRF85" s="2"/>
      <c r="PRG85" s="2"/>
      <c r="PRH85" s="2"/>
      <c r="PRI85" s="2"/>
      <c r="PRJ85" s="2"/>
      <c r="PRK85" s="2"/>
      <c r="PRL85" s="2"/>
      <c r="PRM85" s="2"/>
      <c r="PRN85" s="2"/>
      <c r="PRO85" s="2"/>
      <c r="PRP85" s="2"/>
      <c r="PRQ85" s="2"/>
      <c r="PRR85" s="2"/>
      <c r="PRS85" s="2"/>
      <c r="PRT85" s="2"/>
      <c r="PRU85" s="2"/>
      <c r="PRV85" s="2"/>
      <c r="PRW85" s="2"/>
      <c r="PRX85" s="2"/>
      <c r="PRY85" s="2"/>
      <c r="PRZ85" s="2"/>
      <c r="PSA85" s="2"/>
      <c r="PSB85" s="2"/>
      <c r="PSC85" s="2"/>
      <c r="PSD85" s="2"/>
      <c r="PSE85" s="2"/>
      <c r="PSF85" s="2"/>
      <c r="PSG85" s="2"/>
      <c r="PSH85" s="2"/>
      <c r="PSI85" s="2"/>
      <c r="PSJ85" s="2"/>
      <c r="PSK85" s="2"/>
      <c r="PSL85" s="2"/>
      <c r="PSM85" s="2"/>
      <c r="PSN85" s="2"/>
      <c r="PSO85" s="2"/>
      <c r="PSP85" s="2"/>
      <c r="PSQ85" s="2"/>
      <c r="PSR85" s="2"/>
      <c r="PSS85" s="2"/>
      <c r="PST85" s="2"/>
      <c r="PSU85" s="2"/>
      <c r="PSV85" s="2"/>
      <c r="PSW85" s="2"/>
      <c r="PSX85" s="2"/>
      <c r="PSY85" s="2"/>
      <c r="PSZ85" s="2"/>
      <c r="PTA85" s="2"/>
      <c r="PTB85" s="2"/>
      <c r="PTC85" s="2"/>
      <c r="PTD85" s="2"/>
      <c r="PTE85" s="2"/>
      <c r="PTF85" s="2"/>
      <c r="PTG85" s="2"/>
      <c r="PTH85" s="2"/>
      <c r="PTI85" s="2"/>
      <c r="PTJ85" s="2"/>
      <c r="PTK85" s="2"/>
      <c r="PTL85" s="2"/>
      <c r="PTM85" s="2"/>
      <c r="PTN85" s="2"/>
      <c r="PTO85" s="2"/>
      <c r="PTP85" s="2"/>
      <c r="PTQ85" s="2"/>
      <c r="PTR85" s="2"/>
      <c r="PTS85" s="2"/>
      <c r="PTT85" s="2"/>
      <c r="PTU85" s="2"/>
      <c r="PTV85" s="2"/>
      <c r="PTW85" s="2"/>
      <c r="PTX85" s="2"/>
      <c r="PTY85" s="2"/>
      <c r="PTZ85" s="2"/>
      <c r="PUA85" s="2"/>
      <c r="PUB85" s="2"/>
      <c r="PUC85" s="2"/>
      <c r="PUD85" s="2"/>
      <c r="PUE85" s="2"/>
      <c r="PUF85" s="2"/>
      <c r="PUG85" s="2"/>
      <c r="PUH85" s="2"/>
      <c r="PUI85" s="2"/>
      <c r="PUJ85" s="2"/>
      <c r="PUK85" s="2"/>
      <c r="PUL85" s="2"/>
      <c r="PUM85" s="2"/>
      <c r="PUN85" s="2"/>
      <c r="PUO85" s="2"/>
      <c r="PUP85" s="2"/>
      <c r="PUQ85" s="2"/>
      <c r="PUR85" s="2"/>
      <c r="PUS85" s="2"/>
      <c r="PUT85" s="2"/>
      <c r="PUU85" s="2"/>
      <c r="PUV85" s="2"/>
      <c r="PUW85" s="2"/>
      <c r="PUX85" s="2"/>
      <c r="PUY85" s="2"/>
      <c r="PUZ85" s="2"/>
      <c r="PVA85" s="2"/>
      <c r="PVB85" s="2"/>
      <c r="PVC85" s="2"/>
      <c r="PVD85" s="2"/>
      <c r="PVE85" s="2"/>
      <c r="PVF85" s="2"/>
      <c r="PVG85" s="2"/>
      <c r="PVH85" s="2"/>
      <c r="PVI85" s="2"/>
      <c r="PVJ85" s="2"/>
      <c r="PVK85" s="2"/>
      <c r="PVL85" s="2"/>
      <c r="PVM85" s="2"/>
      <c r="PVN85" s="2"/>
      <c r="PVO85" s="2"/>
      <c r="PVP85" s="2"/>
      <c r="PVQ85" s="2"/>
      <c r="PVR85" s="2"/>
      <c r="PVS85" s="2"/>
      <c r="PVT85" s="2"/>
      <c r="PVU85" s="2"/>
      <c r="PVV85" s="2"/>
      <c r="PVW85" s="2"/>
      <c r="PVX85" s="2"/>
      <c r="PVY85" s="2"/>
      <c r="PVZ85" s="2"/>
      <c r="PWA85" s="2"/>
      <c r="PWB85" s="2"/>
      <c r="PWC85" s="2"/>
      <c r="PWD85" s="2"/>
      <c r="PWE85" s="2"/>
      <c r="PWF85" s="2"/>
      <c r="PWG85" s="2"/>
      <c r="PWH85" s="2"/>
      <c r="PWI85" s="2"/>
      <c r="PWJ85" s="2"/>
      <c r="PWK85" s="2"/>
      <c r="PWL85" s="2"/>
      <c r="PWM85" s="2"/>
      <c r="PWN85" s="2"/>
      <c r="PWO85" s="2"/>
      <c r="PWP85" s="2"/>
      <c r="PWQ85" s="2"/>
      <c r="PWR85" s="2"/>
      <c r="PWS85" s="2"/>
      <c r="PWT85" s="2"/>
      <c r="PWU85" s="2"/>
      <c r="PWV85" s="2"/>
      <c r="PWW85" s="2"/>
      <c r="PWX85" s="2"/>
      <c r="PWY85" s="2"/>
      <c r="PWZ85" s="2"/>
      <c r="PXA85" s="2"/>
      <c r="PXB85" s="2"/>
      <c r="PXC85" s="2"/>
      <c r="PXD85" s="2"/>
      <c r="PXE85" s="2"/>
      <c r="PXF85" s="2"/>
      <c r="PXG85" s="2"/>
      <c r="PXH85" s="2"/>
      <c r="PXI85" s="2"/>
      <c r="PXJ85" s="2"/>
      <c r="PXK85" s="2"/>
      <c r="PXL85" s="2"/>
      <c r="PXM85" s="2"/>
      <c r="PXN85" s="2"/>
      <c r="PXO85" s="2"/>
      <c r="PXP85" s="2"/>
      <c r="PXQ85" s="2"/>
      <c r="PXR85" s="2"/>
      <c r="PXS85" s="2"/>
      <c r="PXT85" s="2"/>
      <c r="PXU85" s="2"/>
      <c r="PXV85" s="2"/>
      <c r="PXW85" s="2"/>
      <c r="PXX85" s="2"/>
      <c r="PXY85" s="2"/>
      <c r="PXZ85" s="2"/>
      <c r="PYA85" s="2"/>
      <c r="PYB85" s="2"/>
      <c r="PYC85" s="2"/>
      <c r="PYD85" s="2"/>
      <c r="PYE85" s="2"/>
      <c r="PYF85" s="2"/>
      <c r="PYG85" s="2"/>
      <c r="PYH85" s="2"/>
      <c r="PYI85" s="2"/>
      <c r="PYJ85" s="2"/>
      <c r="PYK85" s="2"/>
      <c r="PYL85" s="2"/>
      <c r="PYM85" s="2"/>
      <c r="PYN85" s="2"/>
      <c r="PYO85" s="2"/>
      <c r="PYP85" s="2"/>
      <c r="PYQ85" s="2"/>
      <c r="PYR85" s="2"/>
      <c r="PYS85" s="2"/>
      <c r="PYT85" s="2"/>
      <c r="PYU85" s="2"/>
      <c r="PYV85" s="2"/>
      <c r="PYW85" s="2"/>
      <c r="PYX85" s="2"/>
      <c r="PYY85" s="2"/>
      <c r="PYZ85" s="2"/>
      <c r="PZA85" s="2"/>
      <c r="PZB85" s="2"/>
      <c r="PZC85" s="2"/>
      <c r="PZD85" s="2"/>
      <c r="PZE85" s="2"/>
      <c r="PZF85" s="2"/>
      <c r="PZG85" s="2"/>
      <c r="PZH85" s="2"/>
      <c r="PZI85" s="2"/>
      <c r="PZJ85" s="2"/>
      <c r="PZK85" s="2"/>
      <c r="PZL85" s="2"/>
      <c r="PZM85" s="2"/>
      <c r="PZN85" s="2"/>
      <c r="PZO85" s="2"/>
      <c r="PZP85" s="2"/>
      <c r="PZQ85" s="2"/>
      <c r="PZR85" s="2"/>
      <c r="PZS85" s="2"/>
      <c r="PZT85" s="2"/>
      <c r="PZU85" s="2"/>
      <c r="PZV85" s="2"/>
      <c r="PZW85" s="2"/>
      <c r="PZX85" s="2"/>
      <c r="PZY85" s="2"/>
      <c r="PZZ85" s="2"/>
      <c r="QAA85" s="2"/>
      <c r="QAB85" s="2"/>
      <c r="QAC85" s="2"/>
      <c r="QAD85" s="2"/>
      <c r="QAE85" s="2"/>
      <c r="QAF85" s="2"/>
      <c r="QAG85" s="2"/>
      <c r="QAH85" s="2"/>
      <c r="QAI85" s="2"/>
      <c r="QAJ85" s="2"/>
      <c r="QAK85" s="2"/>
      <c r="QAL85" s="2"/>
      <c r="QAM85" s="2"/>
      <c r="QAN85" s="2"/>
      <c r="QAO85" s="2"/>
      <c r="QAP85" s="2"/>
      <c r="QAQ85" s="2"/>
      <c r="QAR85" s="2"/>
      <c r="QAS85" s="2"/>
      <c r="QAT85" s="2"/>
      <c r="QAU85" s="2"/>
      <c r="QAV85" s="2"/>
      <c r="QAW85" s="2"/>
      <c r="QAX85" s="2"/>
      <c r="QAY85" s="2"/>
      <c r="QAZ85" s="2"/>
      <c r="QBA85" s="2"/>
      <c r="QBB85" s="2"/>
      <c r="QBC85" s="2"/>
      <c r="QBD85" s="2"/>
      <c r="QBE85" s="2"/>
      <c r="QBF85" s="2"/>
      <c r="QBG85" s="2"/>
      <c r="QBH85" s="2"/>
      <c r="QBI85" s="2"/>
      <c r="QBJ85" s="2"/>
      <c r="QBK85" s="2"/>
      <c r="QBL85" s="2"/>
      <c r="QBM85" s="2"/>
      <c r="QBN85" s="2"/>
      <c r="QBO85" s="2"/>
      <c r="QBP85" s="2"/>
      <c r="QBQ85" s="2"/>
      <c r="QBR85" s="2"/>
      <c r="QBS85" s="2"/>
      <c r="QBT85" s="2"/>
      <c r="QBU85" s="2"/>
      <c r="QBV85" s="2"/>
      <c r="QBW85" s="2"/>
      <c r="QBX85" s="2"/>
      <c r="QBY85" s="2"/>
      <c r="QBZ85" s="2"/>
      <c r="QCA85" s="2"/>
      <c r="QCB85" s="2"/>
      <c r="QCC85" s="2"/>
      <c r="QCD85" s="2"/>
      <c r="QCE85" s="2"/>
      <c r="QCF85" s="2"/>
      <c r="QCG85" s="2"/>
      <c r="QCH85" s="2"/>
      <c r="QCI85" s="2"/>
      <c r="QCJ85" s="2"/>
      <c r="QCK85" s="2"/>
      <c r="QCL85" s="2"/>
      <c r="QCM85" s="2"/>
      <c r="QCN85" s="2"/>
      <c r="QCO85" s="2"/>
      <c r="QCP85" s="2"/>
      <c r="QCQ85" s="2"/>
      <c r="QCR85" s="2"/>
      <c r="QCS85" s="2"/>
      <c r="QCT85" s="2"/>
      <c r="QCU85" s="2"/>
      <c r="QCV85" s="2"/>
      <c r="QCW85" s="2"/>
      <c r="QCX85" s="2"/>
      <c r="QCY85" s="2"/>
      <c r="QCZ85" s="2"/>
      <c r="QDA85" s="2"/>
      <c r="QDB85" s="2"/>
      <c r="QDC85" s="2"/>
      <c r="QDD85" s="2"/>
      <c r="QDE85" s="2"/>
      <c r="QDF85" s="2"/>
      <c r="QDG85" s="2"/>
      <c r="QDH85" s="2"/>
      <c r="QDI85" s="2"/>
      <c r="QDJ85" s="2"/>
      <c r="QDK85" s="2"/>
      <c r="QDL85" s="2"/>
      <c r="QDM85" s="2"/>
      <c r="QDN85" s="2"/>
      <c r="QDO85" s="2"/>
      <c r="QDP85" s="2"/>
      <c r="QDQ85" s="2"/>
      <c r="QDR85" s="2"/>
      <c r="QDS85" s="2"/>
      <c r="QDT85" s="2"/>
      <c r="QDU85" s="2"/>
      <c r="QDV85" s="2"/>
      <c r="QDW85" s="2"/>
      <c r="QDX85" s="2"/>
      <c r="QDY85" s="2"/>
      <c r="QDZ85" s="2"/>
      <c r="QEA85" s="2"/>
      <c r="QEB85" s="2"/>
      <c r="QEC85" s="2"/>
      <c r="QED85" s="2"/>
      <c r="QEE85" s="2"/>
      <c r="QEF85" s="2"/>
      <c r="QEG85" s="2"/>
      <c r="QEH85" s="2"/>
      <c r="QEI85" s="2"/>
      <c r="QEJ85" s="2"/>
      <c r="QEK85" s="2"/>
      <c r="QEL85" s="2"/>
      <c r="QEM85" s="2"/>
      <c r="QEN85" s="2"/>
      <c r="QEO85" s="2"/>
      <c r="QEP85" s="2"/>
      <c r="QEQ85" s="2"/>
      <c r="QER85" s="2"/>
      <c r="QES85" s="2"/>
      <c r="QET85" s="2"/>
      <c r="QEU85" s="2"/>
      <c r="QEV85" s="2"/>
      <c r="QEW85" s="2"/>
      <c r="QEX85" s="2"/>
      <c r="QEY85" s="2"/>
      <c r="QEZ85" s="2"/>
      <c r="QFA85" s="2"/>
      <c r="QFB85" s="2"/>
      <c r="QFC85" s="2"/>
      <c r="QFD85" s="2"/>
      <c r="QFE85" s="2"/>
      <c r="QFF85" s="2"/>
      <c r="QFG85" s="2"/>
      <c r="QFH85" s="2"/>
      <c r="QFI85" s="2"/>
      <c r="QFJ85" s="2"/>
      <c r="QFK85" s="2"/>
      <c r="QFL85" s="2"/>
      <c r="QFM85" s="2"/>
      <c r="QFN85" s="2"/>
      <c r="QFO85" s="2"/>
      <c r="QFP85" s="2"/>
      <c r="QFQ85" s="2"/>
      <c r="QFR85" s="2"/>
      <c r="QFS85" s="2"/>
      <c r="QFT85" s="2"/>
      <c r="QFU85" s="2"/>
      <c r="QFV85" s="2"/>
      <c r="QFW85" s="2"/>
      <c r="QFX85" s="2"/>
      <c r="QFY85" s="2"/>
      <c r="QFZ85" s="2"/>
      <c r="QGA85" s="2"/>
      <c r="QGB85" s="2"/>
      <c r="QGC85" s="2"/>
      <c r="QGD85" s="2"/>
      <c r="QGE85" s="2"/>
      <c r="QGF85" s="2"/>
      <c r="QGG85" s="2"/>
      <c r="QGH85" s="2"/>
      <c r="QGI85" s="2"/>
      <c r="QGJ85" s="2"/>
      <c r="QGK85" s="2"/>
      <c r="QGL85" s="2"/>
      <c r="QGM85" s="2"/>
      <c r="QGN85" s="2"/>
      <c r="QGO85" s="2"/>
      <c r="QGP85" s="2"/>
      <c r="QGQ85" s="2"/>
      <c r="QGR85" s="2"/>
      <c r="QGS85" s="2"/>
      <c r="QGT85" s="2"/>
      <c r="QGU85" s="2"/>
      <c r="QGV85" s="2"/>
      <c r="QGW85" s="2"/>
      <c r="QGX85" s="2"/>
      <c r="QGY85" s="2"/>
      <c r="QGZ85" s="2"/>
      <c r="QHA85" s="2"/>
      <c r="QHB85" s="2"/>
      <c r="QHC85" s="2"/>
      <c r="QHD85" s="2"/>
      <c r="QHE85" s="2"/>
      <c r="QHF85" s="2"/>
      <c r="QHG85" s="2"/>
      <c r="QHH85" s="2"/>
      <c r="QHI85" s="2"/>
      <c r="QHJ85" s="2"/>
      <c r="QHK85" s="2"/>
      <c r="QHL85" s="2"/>
      <c r="QHM85" s="2"/>
      <c r="QHN85" s="2"/>
      <c r="QHO85" s="2"/>
      <c r="QHP85" s="2"/>
      <c r="QHQ85" s="2"/>
      <c r="QHR85" s="2"/>
      <c r="QHS85" s="2"/>
      <c r="QHT85" s="2"/>
      <c r="QHU85" s="2"/>
      <c r="QHV85" s="2"/>
      <c r="QHW85" s="2"/>
      <c r="QHX85" s="2"/>
      <c r="QHY85" s="2"/>
      <c r="QHZ85" s="2"/>
      <c r="QIA85" s="2"/>
      <c r="QIB85" s="2"/>
      <c r="QIC85" s="2"/>
      <c r="QID85" s="2"/>
      <c r="QIE85" s="2"/>
      <c r="QIF85" s="2"/>
      <c r="QIG85" s="2"/>
      <c r="QIH85" s="2"/>
      <c r="QII85" s="2"/>
      <c r="QIJ85" s="2"/>
      <c r="QIK85" s="2"/>
      <c r="QIL85" s="2"/>
      <c r="QIM85" s="2"/>
      <c r="QIN85" s="2"/>
      <c r="QIO85" s="2"/>
      <c r="QIP85" s="2"/>
      <c r="QIQ85" s="2"/>
      <c r="QIR85" s="2"/>
      <c r="QIS85" s="2"/>
      <c r="QIT85" s="2"/>
      <c r="QIU85" s="2"/>
      <c r="QIV85" s="2"/>
      <c r="QIW85" s="2"/>
      <c r="QIX85" s="2"/>
      <c r="QIY85" s="2"/>
      <c r="QIZ85" s="2"/>
      <c r="QJA85" s="2"/>
      <c r="QJB85" s="2"/>
      <c r="QJC85" s="2"/>
      <c r="QJD85" s="2"/>
      <c r="QJE85" s="2"/>
      <c r="QJF85" s="2"/>
      <c r="QJG85" s="2"/>
      <c r="QJH85" s="2"/>
      <c r="QJI85" s="2"/>
      <c r="QJJ85" s="2"/>
      <c r="QJK85" s="2"/>
      <c r="QJL85" s="2"/>
      <c r="QJM85" s="2"/>
      <c r="QJN85" s="2"/>
      <c r="QJO85" s="2"/>
      <c r="QJP85" s="2"/>
      <c r="QJQ85" s="2"/>
      <c r="QJR85" s="2"/>
      <c r="QJS85" s="2"/>
      <c r="QJT85" s="2"/>
      <c r="QJU85" s="2"/>
      <c r="QJV85" s="2"/>
      <c r="QJW85" s="2"/>
      <c r="QJX85" s="2"/>
      <c r="QJY85" s="2"/>
      <c r="QJZ85" s="2"/>
      <c r="QKA85" s="2"/>
      <c r="QKB85" s="2"/>
      <c r="QKC85" s="2"/>
      <c r="QKD85" s="2"/>
      <c r="QKE85" s="2"/>
      <c r="QKF85" s="2"/>
      <c r="QKG85" s="2"/>
      <c r="QKH85" s="2"/>
      <c r="QKI85" s="2"/>
      <c r="QKJ85" s="2"/>
      <c r="QKK85" s="2"/>
      <c r="QKL85" s="2"/>
      <c r="QKM85" s="2"/>
      <c r="QKN85" s="2"/>
      <c r="QKO85" s="2"/>
      <c r="QKP85" s="2"/>
      <c r="QKQ85" s="2"/>
      <c r="QKR85" s="2"/>
      <c r="QKS85" s="2"/>
      <c r="QKT85" s="2"/>
      <c r="QKU85" s="2"/>
      <c r="QKV85" s="2"/>
      <c r="QKW85" s="2"/>
      <c r="QKX85" s="2"/>
      <c r="QKY85" s="2"/>
      <c r="QKZ85" s="2"/>
      <c r="QLA85" s="2"/>
      <c r="QLB85" s="2"/>
      <c r="QLC85" s="2"/>
      <c r="QLD85" s="2"/>
      <c r="QLE85" s="2"/>
      <c r="QLF85" s="2"/>
      <c r="QLG85" s="2"/>
      <c r="QLH85" s="2"/>
      <c r="QLI85" s="2"/>
      <c r="QLJ85" s="2"/>
      <c r="QLK85" s="2"/>
      <c r="QLL85" s="2"/>
      <c r="QLM85" s="2"/>
      <c r="QLN85" s="2"/>
      <c r="QLO85" s="2"/>
      <c r="QLP85" s="2"/>
      <c r="QLQ85" s="2"/>
      <c r="QLR85" s="2"/>
      <c r="QLS85" s="2"/>
      <c r="QLT85" s="2"/>
      <c r="QLU85" s="2"/>
      <c r="QLV85" s="2"/>
      <c r="QLW85" s="2"/>
      <c r="QLX85" s="2"/>
      <c r="QLY85" s="2"/>
      <c r="QLZ85" s="2"/>
      <c r="QMA85" s="2"/>
      <c r="QMB85" s="2"/>
      <c r="QMC85" s="2"/>
      <c r="QMD85" s="2"/>
      <c r="QME85" s="2"/>
      <c r="QMF85" s="2"/>
      <c r="QMG85" s="2"/>
      <c r="QMH85" s="2"/>
      <c r="QMI85" s="2"/>
      <c r="QMJ85" s="2"/>
      <c r="QMK85" s="2"/>
      <c r="QML85" s="2"/>
      <c r="QMM85" s="2"/>
      <c r="QMN85" s="2"/>
      <c r="QMO85" s="2"/>
      <c r="QMP85" s="2"/>
      <c r="QMQ85" s="2"/>
      <c r="QMR85" s="2"/>
      <c r="QMS85" s="2"/>
      <c r="QMT85" s="2"/>
      <c r="QMU85" s="2"/>
      <c r="QMV85" s="2"/>
      <c r="QMW85" s="2"/>
      <c r="QMX85" s="2"/>
      <c r="QMY85" s="2"/>
      <c r="QMZ85" s="2"/>
      <c r="QNA85" s="2"/>
      <c r="QNB85" s="2"/>
      <c r="QNC85" s="2"/>
      <c r="QND85" s="2"/>
      <c r="QNE85" s="2"/>
      <c r="QNF85" s="2"/>
      <c r="QNG85" s="2"/>
      <c r="QNH85" s="2"/>
      <c r="QNI85" s="2"/>
      <c r="QNJ85" s="2"/>
      <c r="QNK85" s="2"/>
      <c r="QNL85" s="2"/>
      <c r="QNM85" s="2"/>
      <c r="QNN85" s="2"/>
      <c r="QNO85" s="2"/>
      <c r="QNP85" s="2"/>
      <c r="QNQ85" s="2"/>
      <c r="QNR85" s="2"/>
      <c r="QNS85" s="2"/>
      <c r="QNT85" s="2"/>
      <c r="QNU85" s="2"/>
      <c r="QNV85" s="2"/>
      <c r="QNW85" s="2"/>
      <c r="QNX85" s="2"/>
      <c r="QNY85" s="2"/>
      <c r="QNZ85" s="2"/>
      <c r="QOA85" s="2"/>
      <c r="QOB85" s="2"/>
      <c r="QOC85" s="2"/>
      <c r="QOD85" s="2"/>
      <c r="QOE85" s="2"/>
      <c r="QOF85" s="2"/>
      <c r="QOG85" s="2"/>
      <c r="QOH85" s="2"/>
      <c r="QOI85" s="2"/>
      <c r="QOJ85" s="2"/>
      <c r="QOK85" s="2"/>
      <c r="QOL85" s="2"/>
      <c r="QOM85" s="2"/>
      <c r="QON85" s="2"/>
      <c r="QOO85" s="2"/>
      <c r="QOP85" s="2"/>
      <c r="QOQ85" s="2"/>
      <c r="QOR85" s="2"/>
      <c r="QOS85" s="2"/>
      <c r="QOT85" s="2"/>
      <c r="QOU85" s="2"/>
      <c r="QOV85" s="2"/>
      <c r="QOW85" s="2"/>
      <c r="QOX85" s="2"/>
      <c r="QOY85" s="2"/>
      <c r="QOZ85" s="2"/>
      <c r="QPA85" s="2"/>
      <c r="QPB85" s="2"/>
      <c r="QPC85" s="2"/>
      <c r="QPD85" s="2"/>
      <c r="QPE85" s="2"/>
      <c r="QPF85" s="2"/>
      <c r="QPG85" s="2"/>
      <c r="QPH85" s="2"/>
      <c r="QPI85" s="2"/>
      <c r="QPJ85" s="2"/>
      <c r="QPK85" s="2"/>
      <c r="QPL85" s="2"/>
      <c r="QPM85" s="2"/>
      <c r="QPN85" s="2"/>
      <c r="QPO85" s="2"/>
      <c r="QPP85" s="2"/>
      <c r="QPQ85" s="2"/>
      <c r="QPR85" s="2"/>
      <c r="QPS85" s="2"/>
      <c r="QPT85" s="2"/>
      <c r="QPU85" s="2"/>
      <c r="QPV85" s="2"/>
      <c r="QPW85" s="2"/>
      <c r="QPX85" s="2"/>
      <c r="QPY85" s="2"/>
      <c r="QPZ85" s="2"/>
      <c r="QQA85" s="2"/>
      <c r="QQB85" s="2"/>
      <c r="QQC85" s="2"/>
      <c r="QQD85" s="2"/>
      <c r="QQE85" s="2"/>
      <c r="QQF85" s="2"/>
      <c r="QQG85" s="2"/>
      <c r="QQH85" s="2"/>
      <c r="QQI85" s="2"/>
      <c r="QQJ85" s="2"/>
      <c r="QQK85" s="2"/>
      <c r="QQL85" s="2"/>
      <c r="QQM85" s="2"/>
      <c r="QQN85" s="2"/>
      <c r="QQO85" s="2"/>
      <c r="QQP85" s="2"/>
      <c r="QQQ85" s="2"/>
      <c r="QQR85" s="2"/>
      <c r="QQS85" s="2"/>
      <c r="QQT85" s="2"/>
      <c r="QQU85" s="2"/>
      <c r="QQV85" s="2"/>
      <c r="QQW85" s="2"/>
      <c r="QQX85" s="2"/>
      <c r="QQY85" s="2"/>
      <c r="QQZ85" s="2"/>
      <c r="QRA85" s="2"/>
      <c r="QRB85" s="2"/>
      <c r="QRC85" s="2"/>
      <c r="QRD85" s="2"/>
      <c r="QRE85" s="2"/>
      <c r="QRF85" s="2"/>
      <c r="QRG85" s="2"/>
      <c r="QRH85" s="2"/>
      <c r="QRI85" s="2"/>
      <c r="QRJ85" s="2"/>
      <c r="QRK85" s="2"/>
      <c r="QRL85" s="2"/>
      <c r="QRM85" s="2"/>
      <c r="QRN85" s="2"/>
      <c r="QRO85" s="2"/>
      <c r="QRP85" s="2"/>
      <c r="QRQ85" s="2"/>
      <c r="QRR85" s="2"/>
      <c r="QRS85" s="2"/>
      <c r="QRT85" s="2"/>
      <c r="QRU85" s="2"/>
      <c r="QRV85" s="2"/>
      <c r="QRW85" s="2"/>
      <c r="QRX85" s="2"/>
      <c r="QRY85" s="2"/>
      <c r="QRZ85" s="2"/>
      <c r="QSA85" s="2"/>
      <c r="QSB85" s="2"/>
      <c r="QSC85" s="2"/>
      <c r="QSD85" s="2"/>
      <c r="QSE85" s="2"/>
      <c r="QSF85" s="2"/>
      <c r="QSG85" s="2"/>
      <c r="QSH85" s="2"/>
      <c r="QSI85" s="2"/>
      <c r="QSJ85" s="2"/>
      <c r="QSK85" s="2"/>
      <c r="QSL85" s="2"/>
      <c r="QSM85" s="2"/>
      <c r="QSN85" s="2"/>
      <c r="QSO85" s="2"/>
      <c r="QSP85" s="2"/>
      <c r="QSQ85" s="2"/>
      <c r="QSR85" s="2"/>
      <c r="QSS85" s="2"/>
      <c r="QST85" s="2"/>
      <c r="QSU85" s="2"/>
      <c r="QSV85" s="2"/>
      <c r="QSW85" s="2"/>
      <c r="QSX85" s="2"/>
      <c r="QSY85" s="2"/>
      <c r="QSZ85" s="2"/>
      <c r="QTA85" s="2"/>
      <c r="QTB85" s="2"/>
      <c r="QTC85" s="2"/>
      <c r="QTD85" s="2"/>
      <c r="QTE85" s="2"/>
      <c r="QTF85" s="2"/>
      <c r="QTG85" s="2"/>
      <c r="QTH85" s="2"/>
      <c r="QTI85" s="2"/>
      <c r="QTJ85" s="2"/>
      <c r="QTK85" s="2"/>
      <c r="QTL85" s="2"/>
      <c r="QTM85" s="2"/>
      <c r="QTN85" s="2"/>
      <c r="QTO85" s="2"/>
      <c r="QTP85" s="2"/>
      <c r="QTQ85" s="2"/>
      <c r="QTR85" s="2"/>
      <c r="QTS85" s="2"/>
      <c r="QTT85" s="2"/>
      <c r="QTU85" s="2"/>
      <c r="QTV85" s="2"/>
      <c r="QTW85" s="2"/>
      <c r="QTX85" s="2"/>
      <c r="QTY85" s="2"/>
      <c r="QTZ85" s="2"/>
      <c r="QUA85" s="2"/>
      <c r="QUB85" s="2"/>
      <c r="QUC85" s="2"/>
      <c r="QUD85" s="2"/>
      <c r="QUE85" s="2"/>
      <c r="QUF85" s="2"/>
      <c r="QUG85" s="2"/>
      <c r="QUH85" s="2"/>
      <c r="QUI85" s="2"/>
      <c r="QUJ85" s="2"/>
      <c r="QUK85" s="2"/>
      <c r="QUL85" s="2"/>
      <c r="QUM85" s="2"/>
      <c r="QUN85" s="2"/>
      <c r="QUO85" s="2"/>
      <c r="QUP85" s="2"/>
      <c r="QUQ85" s="2"/>
      <c r="QUR85" s="2"/>
      <c r="QUS85" s="2"/>
      <c r="QUT85" s="2"/>
      <c r="QUU85" s="2"/>
      <c r="QUV85" s="2"/>
      <c r="QUW85" s="2"/>
      <c r="QUX85" s="2"/>
      <c r="QUY85" s="2"/>
      <c r="QUZ85" s="2"/>
      <c r="QVA85" s="2"/>
      <c r="QVB85" s="2"/>
      <c r="QVC85" s="2"/>
      <c r="QVD85" s="2"/>
      <c r="QVE85" s="2"/>
      <c r="QVF85" s="2"/>
      <c r="QVG85" s="2"/>
      <c r="QVH85" s="2"/>
      <c r="QVI85" s="2"/>
      <c r="QVJ85" s="2"/>
      <c r="QVK85" s="2"/>
      <c r="QVL85" s="2"/>
      <c r="QVM85" s="2"/>
      <c r="QVN85" s="2"/>
      <c r="QVO85" s="2"/>
      <c r="QVP85" s="2"/>
      <c r="QVQ85" s="2"/>
      <c r="QVR85" s="2"/>
      <c r="QVS85" s="2"/>
      <c r="QVT85" s="2"/>
      <c r="QVU85" s="2"/>
      <c r="QVV85" s="2"/>
      <c r="QVW85" s="2"/>
      <c r="QVX85" s="2"/>
      <c r="QVY85" s="2"/>
      <c r="QVZ85" s="2"/>
      <c r="QWA85" s="2"/>
      <c r="QWB85" s="2"/>
      <c r="QWC85" s="2"/>
      <c r="QWD85" s="2"/>
      <c r="QWE85" s="2"/>
      <c r="QWF85" s="2"/>
      <c r="QWG85" s="2"/>
      <c r="QWH85" s="2"/>
      <c r="QWI85" s="2"/>
      <c r="QWJ85" s="2"/>
      <c r="QWK85" s="2"/>
      <c r="QWL85" s="2"/>
      <c r="QWM85" s="2"/>
      <c r="QWN85" s="2"/>
      <c r="QWO85" s="2"/>
      <c r="QWP85" s="2"/>
      <c r="QWQ85" s="2"/>
      <c r="QWR85" s="2"/>
      <c r="QWS85" s="2"/>
      <c r="QWT85" s="2"/>
      <c r="QWU85" s="2"/>
      <c r="QWV85" s="2"/>
      <c r="QWW85" s="2"/>
      <c r="QWX85" s="2"/>
      <c r="QWY85" s="2"/>
      <c r="QWZ85" s="2"/>
      <c r="QXA85" s="2"/>
      <c r="QXB85" s="2"/>
      <c r="QXC85" s="2"/>
      <c r="QXD85" s="2"/>
      <c r="QXE85" s="2"/>
      <c r="QXF85" s="2"/>
      <c r="QXG85" s="2"/>
      <c r="QXH85" s="2"/>
      <c r="QXI85" s="2"/>
      <c r="QXJ85" s="2"/>
      <c r="QXK85" s="2"/>
      <c r="QXL85" s="2"/>
      <c r="QXM85" s="2"/>
      <c r="QXN85" s="2"/>
      <c r="QXO85" s="2"/>
      <c r="QXP85" s="2"/>
      <c r="QXQ85" s="2"/>
      <c r="QXR85" s="2"/>
      <c r="QXS85" s="2"/>
      <c r="QXT85" s="2"/>
      <c r="QXU85" s="2"/>
      <c r="QXV85" s="2"/>
      <c r="QXW85" s="2"/>
      <c r="QXX85" s="2"/>
      <c r="QXY85" s="2"/>
      <c r="QXZ85" s="2"/>
      <c r="QYA85" s="2"/>
      <c r="QYB85" s="2"/>
      <c r="QYC85" s="2"/>
      <c r="QYD85" s="2"/>
      <c r="QYE85" s="2"/>
      <c r="QYF85" s="2"/>
      <c r="QYG85" s="2"/>
      <c r="QYH85" s="2"/>
      <c r="QYI85" s="2"/>
      <c r="QYJ85" s="2"/>
      <c r="QYK85" s="2"/>
      <c r="QYL85" s="2"/>
      <c r="QYM85" s="2"/>
      <c r="QYN85" s="2"/>
      <c r="QYO85" s="2"/>
      <c r="QYP85" s="2"/>
      <c r="QYQ85" s="2"/>
      <c r="QYR85" s="2"/>
      <c r="QYS85" s="2"/>
      <c r="QYT85" s="2"/>
      <c r="QYU85" s="2"/>
      <c r="QYV85" s="2"/>
      <c r="QYW85" s="2"/>
      <c r="QYX85" s="2"/>
      <c r="QYY85" s="2"/>
      <c r="QYZ85" s="2"/>
      <c r="QZA85" s="2"/>
      <c r="QZB85" s="2"/>
      <c r="QZC85" s="2"/>
      <c r="QZD85" s="2"/>
      <c r="QZE85" s="2"/>
      <c r="QZF85" s="2"/>
      <c r="QZG85" s="2"/>
      <c r="QZH85" s="2"/>
      <c r="QZI85" s="2"/>
      <c r="QZJ85" s="2"/>
      <c r="QZK85" s="2"/>
      <c r="QZL85" s="2"/>
      <c r="QZM85" s="2"/>
      <c r="QZN85" s="2"/>
      <c r="QZO85" s="2"/>
      <c r="QZP85" s="2"/>
      <c r="QZQ85" s="2"/>
      <c r="QZR85" s="2"/>
      <c r="QZS85" s="2"/>
      <c r="QZT85" s="2"/>
      <c r="QZU85" s="2"/>
      <c r="QZV85" s="2"/>
      <c r="QZW85" s="2"/>
      <c r="QZX85" s="2"/>
      <c r="QZY85" s="2"/>
      <c r="QZZ85" s="2"/>
      <c r="RAA85" s="2"/>
      <c r="RAB85" s="2"/>
      <c r="RAC85" s="2"/>
      <c r="RAD85" s="2"/>
      <c r="RAE85" s="2"/>
      <c r="RAF85" s="2"/>
      <c r="RAG85" s="2"/>
      <c r="RAH85" s="2"/>
      <c r="RAI85" s="2"/>
      <c r="RAJ85" s="2"/>
      <c r="RAK85" s="2"/>
      <c r="RAL85" s="2"/>
      <c r="RAM85" s="2"/>
      <c r="RAN85" s="2"/>
      <c r="RAO85" s="2"/>
      <c r="RAP85" s="2"/>
      <c r="RAQ85" s="2"/>
      <c r="RAR85" s="2"/>
      <c r="RAS85" s="2"/>
      <c r="RAT85" s="2"/>
      <c r="RAU85" s="2"/>
      <c r="RAV85" s="2"/>
      <c r="RAW85" s="2"/>
      <c r="RAX85" s="2"/>
      <c r="RAY85" s="2"/>
      <c r="RAZ85" s="2"/>
      <c r="RBA85" s="2"/>
      <c r="RBB85" s="2"/>
      <c r="RBC85" s="2"/>
      <c r="RBD85" s="2"/>
      <c r="RBE85" s="2"/>
      <c r="RBF85" s="2"/>
      <c r="RBG85" s="2"/>
      <c r="RBH85" s="2"/>
      <c r="RBI85" s="2"/>
      <c r="RBJ85" s="2"/>
      <c r="RBK85" s="2"/>
      <c r="RBL85" s="2"/>
      <c r="RBM85" s="2"/>
      <c r="RBN85" s="2"/>
      <c r="RBO85" s="2"/>
      <c r="RBP85" s="2"/>
      <c r="RBQ85" s="2"/>
      <c r="RBR85" s="2"/>
      <c r="RBS85" s="2"/>
      <c r="RBT85" s="2"/>
      <c r="RBU85" s="2"/>
      <c r="RBV85" s="2"/>
      <c r="RBW85" s="2"/>
      <c r="RBX85" s="2"/>
      <c r="RBY85" s="2"/>
      <c r="RBZ85" s="2"/>
      <c r="RCA85" s="2"/>
      <c r="RCB85" s="2"/>
      <c r="RCC85" s="2"/>
      <c r="RCD85" s="2"/>
      <c r="RCE85" s="2"/>
      <c r="RCF85" s="2"/>
      <c r="RCG85" s="2"/>
      <c r="RCH85" s="2"/>
      <c r="RCI85" s="2"/>
      <c r="RCJ85" s="2"/>
      <c r="RCK85" s="2"/>
      <c r="RCL85" s="2"/>
      <c r="RCM85" s="2"/>
      <c r="RCN85" s="2"/>
      <c r="RCO85" s="2"/>
      <c r="RCP85" s="2"/>
      <c r="RCQ85" s="2"/>
      <c r="RCR85" s="2"/>
      <c r="RCS85" s="2"/>
      <c r="RCT85" s="2"/>
      <c r="RCU85" s="2"/>
      <c r="RCV85" s="2"/>
      <c r="RCW85" s="2"/>
      <c r="RCX85" s="2"/>
      <c r="RCY85" s="2"/>
      <c r="RCZ85" s="2"/>
      <c r="RDA85" s="2"/>
      <c r="RDB85" s="2"/>
      <c r="RDC85" s="2"/>
      <c r="RDD85" s="2"/>
      <c r="RDE85" s="2"/>
      <c r="RDF85" s="2"/>
      <c r="RDG85" s="2"/>
      <c r="RDH85" s="2"/>
      <c r="RDI85" s="2"/>
      <c r="RDJ85" s="2"/>
      <c r="RDK85" s="2"/>
      <c r="RDL85" s="2"/>
      <c r="RDM85" s="2"/>
      <c r="RDN85" s="2"/>
      <c r="RDO85" s="2"/>
      <c r="RDP85" s="2"/>
      <c r="RDQ85" s="2"/>
      <c r="RDR85" s="2"/>
      <c r="RDS85" s="2"/>
      <c r="RDT85" s="2"/>
      <c r="RDU85" s="2"/>
      <c r="RDV85" s="2"/>
      <c r="RDW85" s="2"/>
      <c r="RDX85" s="2"/>
      <c r="RDY85" s="2"/>
      <c r="RDZ85" s="2"/>
      <c r="REA85" s="2"/>
      <c r="REB85" s="2"/>
      <c r="REC85" s="2"/>
      <c r="RED85" s="2"/>
      <c r="REE85" s="2"/>
      <c r="REF85" s="2"/>
      <c r="REG85" s="2"/>
      <c r="REH85" s="2"/>
      <c r="REI85" s="2"/>
      <c r="REJ85" s="2"/>
      <c r="REK85" s="2"/>
      <c r="REL85" s="2"/>
      <c r="REM85" s="2"/>
      <c r="REN85" s="2"/>
      <c r="REO85" s="2"/>
      <c r="REP85" s="2"/>
      <c r="REQ85" s="2"/>
      <c r="RER85" s="2"/>
      <c r="RES85" s="2"/>
      <c r="RET85" s="2"/>
      <c r="REU85" s="2"/>
      <c r="REV85" s="2"/>
      <c r="REW85" s="2"/>
      <c r="REX85" s="2"/>
      <c r="REY85" s="2"/>
      <c r="REZ85" s="2"/>
      <c r="RFA85" s="2"/>
      <c r="RFB85" s="2"/>
      <c r="RFC85" s="2"/>
      <c r="RFD85" s="2"/>
      <c r="RFE85" s="2"/>
      <c r="RFF85" s="2"/>
      <c r="RFG85" s="2"/>
      <c r="RFH85" s="2"/>
      <c r="RFI85" s="2"/>
      <c r="RFJ85" s="2"/>
      <c r="RFK85" s="2"/>
      <c r="RFL85" s="2"/>
      <c r="RFM85" s="2"/>
      <c r="RFN85" s="2"/>
      <c r="RFO85" s="2"/>
      <c r="RFP85" s="2"/>
      <c r="RFQ85" s="2"/>
      <c r="RFR85" s="2"/>
      <c r="RFS85" s="2"/>
      <c r="RFT85" s="2"/>
      <c r="RFU85" s="2"/>
      <c r="RFV85" s="2"/>
      <c r="RFW85" s="2"/>
      <c r="RFX85" s="2"/>
      <c r="RFY85" s="2"/>
      <c r="RFZ85" s="2"/>
      <c r="RGA85" s="2"/>
      <c r="RGB85" s="2"/>
      <c r="RGC85" s="2"/>
      <c r="RGD85" s="2"/>
      <c r="RGE85" s="2"/>
      <c r="RGF85" s="2"/>
      <c r="RGG85" s="2"/>
      <c r="RGH85" s="2"/>
      <c r="RGI85" s="2"/>
      <c r="RGJ85" s="2"/>
      <c r="RGK85" s="2"/>
      <c r="RGL85" s="2"/>
      <c r="RGM85" s="2"/>
      <c r="RGN85" s="2"/>
      <c r="RGO85" s="2"/>
      <c r="RGP85" s="2"/>
      <c r="RGQ85" s="2"/>
      <c r="RGR85" s="2"/>
      <c r="RGS85" s="2"/>
      <c r="RGT85" s="2"/>
      <c r="RGU85" s="2"/>
      <c r="RGV85" s="2"/>
      <c r="RGW85" s="2"/>
      <c r="RGX85" s="2"/>
      <c r="RGY85" s="2"/>
      <c r="RGZ85" s="2"/>
      <c r="RHA85" s="2"/>
      <c r="RHB85" s="2"/>
      <c r="RHC85" s="2"/>
      <c r="RHD85" s="2"/>
      <c r="RHE85" s="2"/>
      <c r="RHF85" s="2"/>
      <c r="RHG85" s="2"/>
      <c r="RHH85" s="2"/>
      <c r="RHI85" s="2"/>
      <c r="RHJ85" s="2"/>
      <c r="RHK85" s="2"/>
      <c r="RHL85" s="2"/>
      <c r="RHM85" s="2"/>
      <c r="RHN85" s="2"/>
      <c r="RHO85" s="2"/>
      <c r="RHP85" s="2"/>
      <c r="RHQ85" s="2"/>
      <c r="RHR85" s="2"/>
      <c r="RHS85" s="2"/>
      <c r="RHT85" s="2"/>
      <c r="RHU85" s="2"/>
      <c r="RHV85" s="2"/>
      <c r="RHW85" s="2"/>
      <c r="RHX85" s="2"/>
      <c r="RHY85" s="2"/>
      <c r="RHZ85" s="2"/>
      <c r="RIA85" s="2"/>
      <c r="RIB85" s="2"/>
      <c r="RIC85" s="2"/>
      <c r="RID85" s="2"/>
      <c r="RIE85" s="2"/>
      <c r="RIF85" s="2"/>
      <c r="RIG85" s="2"/>
      <c r="RIH85" s="2"/>
      <c r="RII85" s="2"/>
      <c r="RIJ85" s="2"/>
      <c r="RIK85" s="2"/>
      <c r="RIL85" s="2"/>
      <c r="RIM85" s="2"/>
      <c r="RIN85" s="2"/>
      <c r="RIO85" s="2"/>
      <c r="RIP85" s="2"/>
      <c r="RIQ85" s="2"/>
      <c r="RIR85" s="2"/>
      <c r="RIS85" s="2"/>
      <c r="RIT85" s="2"/>
      <c r="RIU85" s="2"/>
      <c r="RIV85" s="2"/>
      <c r="RIW85" s="2"/>
      <c r="RIX85" s="2"/>
      <c r="RIY85" s="2"/>
      <c r="RIZ85" s="2"/>
      <c r="RJA85" s="2"/>
      <c r="RJB85" s="2"/>
      <c r="RJC85" s="2"/>
      <c r="RJD85" s="2"/>
      <c r="RJE85" s="2"/>
      <c r="RJF85" s="2"/>
      <c r="RJG85" s="2"/>
      <c r="RJH85" s="2"/>
      <c r="RJI85" s="2"/>
      <c r="RJJ85" s="2"/>
      <c r="RJK85" s="2"/>
      <c r="RJL85" s="2"/>
      <c r="RJM85" s="2"/>
      <c r="RJN85" s="2"/>
      <c r="RJO85" s="2"/>
      <c r="RJP85" s="2"/>
      <c r="RJQ85" s="2"/>
      <c r="RJR85" s="2"/>
      <c r="RJS85" s="2"/>
      <c r="RJT85" s="2"/>
      <c r="RJU85" s="2"/>
      <c r="RJV85" s="2"/>
      <c r="RJW85" s="2"/>
      <c r="RJX85" s="2"/>
      <c r="RJY85" s="2"/>
      <c r="RJZ85" s="2"/>
      <c r="RKA85" s="2"/>
      <c r="RKB85" s="2"/>
      <c r="RKC85" s="2"/>
      <c r="RKD85" s="2"/>
      <c r="RKE85" s="2"/>
      <c r="RKF85" s="2"/>
      <c r="RKG85" s="2"/>
      <c r="RKH85" s="2"/>
      <c r="RKI85" s="2"/>
      <c r="RKJ85" s="2"/>
      <c r="RKK85" s="2"/>
      <c r="RKL85" s="2"/>
      <c r="RKM85" s="2"/>
      <c r="RKN85" s="2"/>
      <c r="RKO85" s="2"/>
      <c r="RKP85" s="2"/>
      <c r="RKQ85" s="2"/>
      <c r="RKR85" s="2"/>
      <c r="RKS85" s="2"/>
      <c r="RKT85" s="2"/>
      <c r="RKU85" s="2"/>
      <c r="RKV85" s="2"/>
      <c r="RKW85" s="2"/>
      <c r="RKX85" s="2"/>
      <c r="RKY85" s="2"/>
      <c r="RKZ85" s="2"/>
      <c r="RLA85" s="2"/>
      <c r="RLB85" s="2"/>
      <c r="RLC85" s="2"/>
      <c r="RLD85" s="2"/>
      <c r="RLE85" s="2"/>
      <c r="RLF85" s="2"/>
      <c r="RLG85" s="2"/>
      <c r="RLH85" s="2"/>
      <c r="RLI85" s="2"/>
      <c r="RLJ85" s="2"/>
      <c r="RLK85" s="2"/>
      <c r="RLL85" s="2"/>
      <c r="RLM85" s="2"/>
      <c r="RLN85" s="2"/>
      <c r="RLO85" s="2"/>
      <c r="RLP85" s="2"/>
      <c r="RLQ85" s="2"/>
      <c r="RLR85" s="2"/>
      <c r="RLS85" s="2"/>
      <c r="RLT85" s="2"/>
      <c r="RLU85" s="2"/>
      <c r="RLV85" s="2"/>
      <c r="RLW85" s="2"/>
      <c r="RLX85" s="2"/>
      <c r="RLY85" s="2"/>
      <c r="RLZ85" s="2"/>
      <c r="RMA85" s="2"/>
      <c r="RMB85" s="2"/>
      <c r="RMC85" s="2"/>
      <c r="RMD85" s="2"/>
      <c r="RME85" s="2"/>
      <c r="RMF85" s="2"/>
      <c r="RMG85" s="2"/>
      <c r="RMH85" s="2"/>
      <c r="RMI85" s="2"/>
      <c r="RMJ85" s="2"/>
      <c r="RMK85" s="2"/>
      <c r="RML85" s="2"/>
      <c r="RMM85" s="2"/>
      <c r="RMN85" s="2"/>
      <c r="RMO85" s="2"/>
      <c r="RMP85" s="2"/>
      <c r="RMQ85" s="2"/>
      <c r="RMR85" s="2"/>
      <c r="RMS85" s="2"/>
      <c r="RMT85" s="2"/>
      <c r="RMU85" s="2"/>
      <c r="RMV85" s="2"/>
      <c r="RMW85" s="2"/>
      <c r="RMX85" s="2"/>
      <c r="RMY85" s="2"/>
      <c r="RMZ85" s="2"/>
      <c r="RNA85" s="2"/>
      <c r="RNB85" s="2"/>
      <c r="RNC85" s="2"/>
      <c r="RND85" s="2"/>
      <c r="RNE85" s="2"/>
      <c r="RNF85" s="2"/>
      <c r="RNG85" s="2"/>
      <c r="RNH85" s="2"/>
      <c r="RNI85" s="2"/>
      <c r="RNJ85" s="2"/>
      <c r="RNK85" s="2"/>
      <c r="RNL85" s="2"/>
      <c r="RNM85" s="2"/>
      <c r="RNN85" s="2"/>
      <c r="RNO85" s="2"/>
      <c r="RNP85" s="2"/>
      <c r="RNQ85" s="2"/>
      <c r="RNR85" s="2"/>
      <c r="RNS85" s="2"/>
      <c r="RNT85" s="2"/>
      <c r="RNU85" s="2"/>
      <c r="RNV85" s="2"/>
      <c r="RNW85" s="2"/>
      <c r="RNX85" s="2"/>
      <c r="RNY85" s="2"/>
      <c r="RNZ85" s="2"/>
      <c r="ROA85" s="2"/>
      <c r="ROB85" s="2"/>
      <c r="ROC85" s="2"/>
      <c r="ROD85" s="2"/>
      <c r="ROE85" s="2"/>
      <c r="ROF85" s="2"/>
      <c r="ROG85" s="2"/>
      <c r="ROH85" s="2"/>
      <c r="ROI85" s="2"/>
      <c r="ROJ85" s="2"/>
      <c r="ROK85" s="2"/>
      <c r="ROL85" s="2"/>
      <c r="ROM85" s="2"/>
      <c r="RON85" s="2"/>
      <c r="ROO85" s="2"/>
      <c r="ROP85" s="2"/>
      <c r="ROQ85" s="2"/>
      <c r="ROR85" s="2"/>
      <c r="ROS85" s="2"/>
      <c r="ROT85" s="2"/>
      <c r="ROU85" s="2"/>
      <c r="ROV85" s="2"/>
      <c r="ROW85" s="2"/>
      <c r="ROX85" s="2"/>
      <c r="ROY85" s="2"/>
      <c r="ROZ85" s="2"/>
      <c r="RPA85" s="2"/>
      <c r="RPB85" s="2"/>
      <c r="RPC85" s="2"/>
      <c r="RPD85" s="2"/>
      <c r="RPE85" s="2"/>
      <c r="RPF85" s="2"/>
      <c r="RPG85" s="2"/>
      <c r="RPH85" s="2"/>
      <c r="RPI85" s="2"/>
      <c r="RPJ85" s="2"/>
      <c r="RPK85" s="2"/>
      <c r="RPL85" s="2"/>
      <c r="RPM85" s="2"/>
      <c r="RPN85" s="2"/>
      <c r="RPO85" s="2"/>
      <c r="RPP85" s="2"/>
      <c r="RPQ85" s="2"/>
      <c r="RPR85" s="2"/>
      <c r="RPS85" s="2"/>
      <c r="RPT85" s="2"/>
      <c r="RPU85" s="2"/>
      <c r="RPV85" s="2"/>
      <c r="RPW85" s="2"/>
      <c r="RPX85" s="2"/>
      <c r="RPY85" s="2"/>
      <c r="RPZ85" s="2"/>
      <c r="RQA85" s="2"/>
      <c r="RQB85" s="2"/>
      <c r="RQC85" s="2"/>
      <c r="RQD85" s="2"/>
      <c r="RQE85" s="2"/>
      <c r="RQF85" s="2"/>
      <c r="RQG85" s="2"/>
      <c r="RQH85" s="2"/>
      <c r="RQI85" s="2"/>
      <c r="RQJ85" s="2"/>
      <c r="RQK85" s="2"/>
      <c r="RQL85" s="2"/>
      <c r="RQM85" s="2"/>
      <c r="RQN85" s="2"/>
      <c r="RQO85" s="2"/>
      <c r="RQP85" s="2"/>
      <c r="RQQ85" s="2"/>
      <c r="RQR85" s="2"/>
      <c r="RQS85" s="2"/>
      <c r="RQT85" s="2"/>
      <c r="RQU85" s="2"/>
      <c r="RQV85" s="2"/>
      <c r="RQW85" s="2"/>
      <c r="RQX85" s="2"/>
      <c r="RQY85" s="2"/>
      <c r="RQZ85" s="2"/>
      <c r="RRA85" s="2"/>
      <c r="RRB85" s="2"/>
      <c r="RRC85" s="2"/>
      <c r="RRD85" s="2"/>
      <c r="RRE85" s="2"/>
      <c r="RRF85" s="2"/>
      <c r="RRG85" s="2"/>
      <c r="RRH85" s="2"/>
      <c r="RRI85" s="2"/>
      <c r="RRJ85" s="2"/>
      <c r="RRK85" s="2"/>
      <c r="RRL85" s="2"/>
      <c r="RRM85" s="2"/>
      <c r="RRN85" s="2"/>
      <c r="RRO85" s="2"/>
      <c r="RRP85" s="2"/>
      <c r="RRQ85" s="2"/>
      <c r="RRR85" s="2"/>
      <c r="RRS85" s="2"/>
      <c r="RRT85" s="2"/>
      <c r="RRU85" s="2"/>
      <c r="RRV85" s="2"/>
      <c r="RRW85" s="2"/>
      <c r="RRX85" s="2"/>
      <c r="RRY85" s="2"/>
      <c r="RRZ85" s="2"/>
      <c r="RSA85" s="2"/>
      <c r="RSB85" s="2"/>
      <c r="RSC85" s="2"/>
      <c r="RSD85" s="2"/>
      <c r="RSE85" s="2"/>
      <c r="RSF85" s="2"/>
      <c r="RSG85" s="2"/>
      <c r="RSH85" s="2"/>
      <c r="RSI85" s="2"/>
      <c r="RSJ85" s="2"/>
      <c r="RSK85" s="2"/>
      <c r="RSL85" s="2"/>
      <c r="RSM85" s="2"/>
      <c r="RSN85" s="2"/>
      <c r="RSO85" s="2"/>
      <c r="RSP85" s="2"/>
      <c r="RSQ85" s="2"/>
      <c r="RSR85" s="2"/>
      <c r="RSS85" s="2"/>
      <c r="RST85" s="2"/>
      <c r="RSU85" s="2"/>
      <c r="RSV85" s="2"/>
      <c r="RSW85" s="2"/>
      <c r="RSX85" s="2"/>
      <c r="RSY85" s="2"/>
      <c r="RSZ85" s="2"/>
      <c r="RTA85" s="2"/>
      <c r="RTB85" s="2"/>
      <c r="RTC85" s="2"/>
      <c r="RTD85" s="2"/>
      <c r="RTE85" s="2"/>
      <c r="RTF85" s="2"/>
      <c r="RTG85" s="2"/>
      <c r="RTH85" s="2"/>
      <c r="RTI85" s="2"/>
      <c r="RTJ85" s="2"/>
      <c r="RTK85" s="2"/>
      <c r="RTL85" s="2"/>
      <c r="RTM85" s="2"/>
      <c r="RTN85" s="2"/>
      <c r="RTO85" s="2"/>
      <c r="RTP85" s="2"/>
      <c r="RTQ85" s="2"/>
      <c r="RTR85" s="2"/>
      <c r="RTS85" s="2"/>
      <c r="RTT85" s="2"/>
      <c r="RTU85" s="2"/>
      <c r="RTV85" s="2"/>
      <c r="RTW85" s="2"/>
      <c r="RTX85" s="2"/>
      <c r="RTY85" s="2"/>
      <c r="RTZ85" s="2"/>
      <c r="RUA85" s="2"/>
      <c r="RUB85" s="2"/>
      <c r="RUC85" s="2"/>
      <c r="RUD85" s="2"/>
      <c r="RUE85" s="2"/>
      <c r="RUF85" s="2"/>
      <c r="RUG85" s="2"/>
      <c r="RUH85" s="2"/>
      <c r="RUI85" s="2"/>
      <c r="RUJ85" s="2"/>
      <c r="RUK85" s="2"/>
      <c r="RUL85" s="2"/>
      <c r="RUM85" s="2"/>
      <c r="RUN85" s="2"/>
      <c r="RUO85" s="2"/>
      <c r="RUP85" s="2"/>
      <c r="RUQ85" s="2"/>
      <c r="RUR85" s="2"/>
      <c r="RUS85" s="2"/>
      <c r="RUT85" s="2"/>
      <c r="RUU85" s="2"/>
      <c r="RUV85" s="2"/>
      <c r="RUW85" s="2"/>
      <c r="RUX85" s="2"/>
      <c r="RUY85" s="2"/>
      <c r="RUZ85" s="2"/>
      <c r="RVA85" s="2"/>
      <c r="RVB85" s="2"/>
      <c r="RVC85" s="2"/>
      <c r="RVD85" s="2"/>
      <c r="RVE85" s="2"/>
      <c r="RVF85" s="2"/>
      <c r="RVG85" s="2"/>
      <c r="RVH85" s="2"/>
      <c r="RVI85" s="2"/>
      <c r="RVJ85" s="2"/>
      <c r="RVK85" s="2"/>
      <c r="RVL85" s="2"/>
      <c r="RVM85" s="2"/>
      <c r="RVN85" s="2"/>
      <c r="RVO85" s="2"/>
      <c r="RVP85" s="2"/>
      <c r="RVQ85" s="2"/>
      <c r="RVR85" s="2"/>
      <c r="RVS85" s="2"/>
      <c r="RVT85" s="2"/>
      <c r="RVU85" s="2"/>
      <c r="RVV85" s="2"/>
      <c r="RVW85" s="2"/>
      <c r="RVX85" s="2"/>
      <c r="RVY85" s="2"/>
      <c r="RVZ85" s="2"/>
      <c r="RWA85" s="2"/>
      <c r="RWB85" s="2"/>
      <c r="RWC85" s="2"/>
      <c r="RWD85" s="2"/>
      <c r="RWE85" s="2"/>
      <c r="RWF85" s="2"/>
      <c r="RWG85" s="2"/>
      <c r="RWH85" s="2"/>
      <c r="RWI85" s="2"/>
      <c r="RWJ85" s="2"/>
      <c r="RWK85" s="2"/>
      <c r="RWL85" s="2"/>
      <c r="RWM85" s="2"/>
      <c r="RWN85" s="2"/>
      <c r="RWO85" s="2"/>
      <c r="RWP85" s="2"/>
      <c r="RWQ85" s="2"/>
      <c r="RWR85" s="2"/>
      <c r="RWS85" s="2"/>
      <c r="RWT85" s="2"/>
      <c r="RWU85" s="2"/>
      <c r="RWV85" s="2"/>
      <c r="RWW85" s="2"/>
      <c r="RWX85" s="2"/>
      <c r="RWY85" s="2"/>
      <c r="RWZ85" s="2"/>
      <c r="RXA85" s="2"/>
      <c r="RXB85" s="2"/>
      <c r="RXC85" s="2"/>
      <c r="RXD85" s="2"/>
      <c r="RXE85" s="2"/>
      <c r="RXF85" s="2"/>
      <c r="RXG85" s="2"/>
      <c r="RXH85" s="2"/>
      <c r="RXI85" s="2"/>
      <c r="RXJ85" s="2"/>
      <c r="RXK85" s="2"/>
      <c r="RXL85" s="2"/>
      <c r="RXM85" s="2"/>
      <c r="RXN85" s="2"/>
      <c r="RXO85" s="2"/>
      <c r="RXP85" s="2"/>
      <c r="RXQ85" s="2"/>
      <c r="RXR85" s="2"/>
      <c r="RXS85" s="2"/>
      <c r="RXT85" s="2"/>
      <c r="RXU85" s="2"/>
      <c r="RXV85" s="2"/>
      <c r="RXW85" s="2"/>
      <c r="RXX85" s="2"/>
      <c r="RXY85" s="2"/>
      <c r="RXZ85" s="2"/>
      <c r="RYA85" s="2"/>
      <c r="RYB85" s="2"/>
      <c r="RYC85" s="2"/>
      <c r="RYD85" s="2"/>
      <c r="RYE85" s="2"/>
      <c r="RYF85" s="2"/>
      <c r="RYG85" s="2"/>
      <c r="RYH85" s="2"/>
      <c r="RYI85" s="2"/>
      <c r="RYJ85" s="2"/>
      <c r="RYK85" s="2"/>
      <c r="RYL85" s="2"/>
      <c r="RYM85" s="2"/>
      <c r="RYN85" s="2"/>
      <c r="RYO85" s="2"/>
      <c r="RYP85" s="2"/>
      <c r="RYQ85" s="2"/>
      <c r="RYR85" s="2"/>
      <c r="RYS85" s="2"/>
      <c r="RYT85" s="2"/>
      <c r="RYU85" s="2"/>
      <c r="RYV85" s="2"/>
      <c r="RYW85" s="2"/>
      <c r="RYX85" s="2"/>
      <c r="RYY85" s="2"/>
      <c r="RYZ85" s="2"/>
      <c r="RZA85" s="2"/>
      <c r="RZB85" s="2"/>
      <c r="RZC85" s="2"/>
      <c r="RZD85" s="2"/>
      <c r="RZE85" s="2"/>
      <c r="RZF85" s="2"/>
      <c r="RZG85" s="2"/>
      <c r="RZH85" s="2"/>
      <c r="RZI85" s="2"/>
      <c r="RZJ85" s="2"/>
      <c r="RZK85" s="2"/>
      <c r="RZL85" s="2"/>
      <c r="RZM85" s="2"/>
      <c r="RZN85" s="2"/>
      <c r="RZO85" s="2"/>
      <c r="RZP85" s="2"/>
      <c r="RZQ85" s="2"/>
      <c r="RZR85" s="2"/>
      <c r="RZS85" s="2"/>
      <c r="RZT85" s="2"/>
      <c r="RZU85" s="2"/>
      <c r="RZV85" s="2"/>
      <c r="RZW85" s="2"/>
      <c r="RZX85" s="2"/>
      <c r="RZY85" s="2"/>
      <c r="RZZ85" s="2"/>
      <c r="SAA85" s="2"/>
      <c r="SAB85" s="2"/>
      <c r="SAC85" s="2"/>
      <c r="SAD85" s="2"/>
      <c r="SAE85" s="2"/>
      <c r="SAF85" s="2"/>
      <c r="SAG85" s="2"/>
      <c r="SAH85" s="2"/>
      <c r="SAI85" s="2"/>
      <c r="SAJ85" s="2"/>
      <c r="SAK85" s="2"/>
      <c r="SAL85" s="2"/>
      <c r="SAM85" s="2"/>
      <c r="SAN85" s="2"/>
      <c r="SAO85" s="2"/>
      <c r="SAP85" s="2"/>
      <c r="SAQ85" s="2"/>
      <c r="SAR85" s="2"/>
      <c r="SAS85" s="2"/>
      <c r="SAT85" s="2"/>
      <c r="SAU85" s="2"/>
      <c r="SAV85" s="2"/>
      <c r="SAW85" s="2"/>
      <c r="SAX85" s="2"/>
      <c r="SAY85" s="2"/>
      <c r="SAZ85" s="2"/>
      <c r="SBA85" s="2"/>
      <c r="SBB85" s="2"/>
      <c r="SBC85" s="2"/>
      <c r="SBD85" s="2"/>
      <c r="SBE85" s="2"/>
      <c r="SBF85" s="2"/>
      <c r="SBG85" s="2"/>
      <c r="SBH85" s="2"/>
      <c r="SBI85" s="2"/>
      <c r="SBJ85" s="2"/>
      <c r="SBK85" s="2"/>
      <c r="SBL85" s="2"/>
      <c r="SBM85" s="2"/>
      <c r="SBN85" s="2"/>
      <c r="SBO85" s="2"/>
      <c r="SBP85" s="2"/>
      <c r="SBQ85" s="2"/>
      <c r="SBR85" s="2"/>
      <c r="SBS85" s="2"/>
      <c r="SBT85" s="2"/>
      <c r="SBU85" s="2"/>
      <c r="SBV85" s="2"/>
      <c r="SBW85" s="2"/>
      <c r="SBX85" s="2"/>
      <c r="SBY85" s="2"/>
      <c r="SBZ85" s="2"/>
      <c r="SCA85" s="2"/>
      <c r="SCB85" s="2"/>
      <c r="SCC85" s="2"/>
      <c r="SCD85" s="2"/>
      <c r="SCE85" s="2"/>
      <c r="SCF85" s="2"/>
      <c r="SCG85" s="2"/>
      <c r="SCH85" s="2"/>
      <c r="SCI85" s="2"/>
      <c r="SCJ85" s="2"/>
      <c r="SCK85" s="2"/>
      <c r="SCL85" s="2"/>
      <c r="SCM85" s="2"/>
      <c r="SCN85" s="2"/>
      <c r="SCO85" s="2"/>
      <c r="SCP85" s="2"/>
      <c r="SCQ85" s="2"/>
      <c r="SCR85" s="2"/>
      <c r="SCS85" s="2"/>
      <c r="SCT85" s="2"/>
      <c r="SCU85" s="2"/>
      <c r="SCV85" s="2"/>
      <c r="SCW85" s="2"/>
      <c r="SCX85" s="2"/>
      <c r="SCY85" s="2"/>
      <c r="SCZ85" s="2"/>
      <c r="SDA85" s="2"/>
      <c r="SDB85" s="2"/>
      <c r="SDC85" s="2"/>
      <c r="SDD85" s="2"/>
      <c r="SDE85" s="2"/>
      <c r="SDF85" s="2"/>
      <c r="SDG85" s="2"/>
      <c r="SDH85" s="2"/>
      <c r="SDI85" s="2"/>
      <c r="SDJ85" s="2"/>
      <c r="SDK85" s="2"/>
      <c r="SDL85" s="2"/>
      <c r="SDM85" s="2"/>
      <c r="SDN85" s="2"/>
      <c r="SDO85" s="2"/>
      <c r="SDP85" s="2"/>
      <c r="SDQ85" s="2"/>
      <c r="SDR85" s="2"/>
      <c r="SDS85" s="2"/>
      <c r="SDT85" s="2"/>
      <c r="SDU85" s="2"/>
      <c r="SDV85" s="2"/>
      <c r="SDW85" s="2"/>
      <c r="SDX85" s="2"/>
      <c r="SDY85" s="2"/>
      <c r="SDZ85" s="2"/>
      <c r="SEA85" s="2"/>
      <c r="SEB85" s="2"/>
      <c r="SEC85" s="2"/>
      <c r="SED85" s="2"/>
      <c r="SEE85" s="2"/>
      <c r="SEF85" s="2"/>
      <c r="SEG85" s="2"/>
      <c r="SEH85" s="2"/>
      <c r="SEI85" s="2"/>
      <c r="SEJ85" s="2"/>
      <c r="SEK85" s="2"/>
      <c r="SEL85" s="2"/>
      <c r="SEM85" s="2"/>
      <c r="SEN85" s="2"/>
      <c r="SEO85" s="2"/>
      <c r="SEP85" s="2"/>
      <c r="SEQ85" s="2"/>
      <c r="SER85" s="2"/>
      <c r="SES85" s="2"/>
      <c r="SET85" s="2"/>
      <c r="SEU85" s="2"/>
      <c r="SEV85" s="2"/>
      <c r="SEW85" s="2"/>
      <c r="SEX85" s="2"/>
      <c r="SEY85" s="2"/>
      <c r="SEZ85" s="2"/>
      <c r="SFA85" s="2"/>
      <c r="SFB85" s="2"/>
      <c r="SFC85" s="2"/>
      <c r="SFD85" s="2"/>
      <c r="SFE85" s="2"/>
      <c r="SFF85" s="2"/>
      <c r="SFG85" s="2"/>
      <c r="SFH85" s="2"/>
      <c r="SFI85" s="2"/>
      <c r="SFJ85" s="2"/>
      <c r="SFK85" s="2"/>
      <c r="SFL85" s="2"/>
      <c r="SFM85" s="2"/>
      <c r="SFN85" s="2"/>
      <c r="SFO85" s="2"/>
      <c r="SFP85" s="2"/>
      <c r="SFQ85" s="2"/>
      <c r="SFR85" s="2"/>
      <c r="SFS85" s="2"/>
      <c r="SFT85" s="2"/>
      <c r="SFU85" s="2"/>
      <c r="SFV85" s="2"/>
      <c r="SFW85" s="2"/>
      <c r="SFX85" s="2"/>
      <c r="SFY85" s="2"/>
      <c r="SFZ85" s="2"/>
      <c r="SGA85" s="2"/>
      <c r="SGB85" s="2"/>
      <c r="SGC85" s="2"/>
      <c r="SGD85" s="2"/>
      <c r="SGE85" s="2"/>
      <c r="SGF85" s="2"/>
      <c r="SGG85" s="2"/>
      <c r="SGH85" s="2"/>
      <c r="SGI85" s="2"/>
      <c r="SGJ85" s="2"/>
      <c r="SGK85" s="2"/>
      <c r="SGL85" s="2"/>
      <c r="SGM85" s="2"/>
      <c r="SGN85" s="2"/>
      <c r="SGO85" s="2"/>
      <c r="SGP85" s="2"/>
      <c r="SGQ85" s="2"/>
      <c r="SGR85" s="2"/>
      <c r="SGS85" s="2"/>
      <c r="SGT85" s="2"/>
      <c r="SGU85" s="2"/>
      <c r="SGV85" s="2"/>
      <c r="SGW85" s="2"/>
      <c r="SGX85" s="2"/>
      <c r="SGY85" s="2"/>
      <c r="SGZ85" s="2"/>
      <c r="SHA85" s="2"/>
      <c r="SHB85" s="2"/>
      <c r="SHC85" s="2"/>
      <c r="SHD85" s="2"/>
      <c r="SHE85" s="2"/>
      <c r="SHF85" s="2"/>
      <c r="SHG85" s="2"/>
      <c r="SHH85" s="2"/>
      <c r="SHI85" s="2"/>
      <c r="SHJ85" s="2"/>
      <c r="SHK85" s="2"/>
      <c r="SHL85" s="2"/>
      <c r="SHM85" s="2"/>
      <c r="SHN85" s="2"/>
      <c r="SHO85" s="2"/>
      <c r="SHP85" s="2"/>
      <c r="SHQ85" s="2"/>
      <c r="SHR85" s="2"/>
      <c r="SHS85" s="2"/>
      <c r="SHT85" s="2"/>
      <c r="SHU85" s="2"/>
      <c r="SHV85" s="2"/>
      <c r="SHW85" s="2"/>
      <c r="SHX85" s="2"/>
      <c r="SHY85" s="2"/>
      <c r="SHZ85" s="2"/>
      <c r="SIA85" s="2"/>
      <c r="SIB85" s="2"/>
      <c r="SIC85" s="2"/>
      <c r="SID85" s="2"/>
      <c r="SIE85" s="2"/>
      <c r="SIF85" s="2"/>
      <c r="SIG85" s="2"/>
      <c r="SIH85" s="2"/>
      <c r="SII85" s="2"/>
      <c r="SIJ85" s="2"/>
      <c r="SIK85" s="2"/>
      <c r="SIL85" s="2"/>
      <c r="SIM85" s="2"/>
      <c r="SIN85" s="2"/>
      <c r="SIO85" s="2"/>
      <c r="SIP85" s="2"/>
      <c r="SIQ85" s="2"/>
      <c r="SIR85" s="2"/>
      <c r="SIS85" s="2"/>
      <c r="SIT85" s="2"/>
      <c r="SIU85" s="2"/>
      <c r="SIV85" s="2"/>
      <c r="SIW85" s="2"/>
      <c r="SIX85" s="2"/>
      <c r="SIY85" s="2"/>
      <c r="SIZ85" s="2"/>
      <c r="SJA85" s="2"/>
      <c r="SJB85" s="2"/>
      <c r="SJC85" s="2"/>
      <c r="SJD85" s="2"/>
      <c r="SJE85" s="2"/>
      <c r="SJF85" s="2"/>
      <c r="SJG85" s="2"/>
      <c r="SJH85" s="2"/>
      <c r="SJI85" s="2"/>
      <c r="SJJ85" s="2"/>
      <c r="SJK85" s="2"/>
      <c r="SJL85" s="2"/>
      <c r="SJM85" s="2"/>
      <c r="SJN85" s="2"/>
      <c r="SJO85" s="2"/>
      <c r="SJP85" s="2"/>
      <c r="SJQ85" s="2"/>
      <c r="SJR85" s="2"/>
      <c r="SJS85" s="2"/>
      <c r="SJT85" s="2"/>
      <c r="SJU85" s="2"/>
      <c r="SJV85" s="2"/>
      <c r="SJW85" s="2"/>
      <c r="SJX85" s="2"/>
      <c r="SJY85" s="2"/>
      <c r="SJZ85" s="2"/>
      <c r="SKA85" s="2"/>
      <c r="SKB85" s="2"/>
      <c r="SKC85" s="2"/>
      <c r="SKD85" s="2"/>
      <c r="SKE85" s="2"/>
      <c r="SKF85" s="2"/>
      <c r="SKG85" s="2"/>
      <c r="SKH85" s="2"/>
      <c r="SKI85" s="2"/>
      <c r="SKJ85" s="2"/>
      <c r="SKK85" s="2"/>
      <c r="SKL85" s="2"/>
      <c r="SKM85" s="2"/>
      <c r="SKN85" s="2"/>
      <c r="SKO85" s="2"/>
      <c r="SKP85" s="2"/>
      <c r="SKQ85" s="2"/>
      <c r="SKR85" s="2"/>
      <c r="SKS85" s="2"/>
      <c r="SKT85" s="2"/>
      <c r="SKU85" s="2"/>
      <c r="SKV85" s="2"/>
      <c r="SKW85" s="2"/>
      <c r="SKX85" s="2"/>
      <c r="SKY85" s="2"/>
      <c r="SKZ85" s="2"/>
      <c r="SLA85" s="2"/>
      <c r="SLB85" s="2"/>
      <c r="SLC85" s="2"/>
      <c r="SLD85" s="2"/>
      <c r="SLE85" s="2"/>
      <c r="SLF85" s="2"/>
      <c r="SLG85" s="2"/>
      <c r="SLH85" s="2"/>
      <c r="SLI85" s="2"/>
      <c r="SLJ85" s="2"/>
      <c r="SLK85" s="2"/>
      <c r="SLL85" s="2"/>
      <c r="SLM85" s="2"/>
      <c r="SLN85" s="2"/>
      <c r="SLO85" s="2"/>
      <c r="SLP85" s="2"/>
      <c r="SLQ85" s="2"/>
      <c r="SLR85" s="2"/>
      <c r="SLS85" s="2"/>
      <c r="SLT85" s="2"/>
      <c r="SLU85" s="2"/>
      <c r="SLV85" s="2"/>
      <c r="SLW85" s="2"/>
      <c r="SLX85" s="2"/>
      <c r="SLY85" s="2"/>
      <c r="SLZ85" s="2"/>
      <c r="SMA85" s="2"/>
      <c r="SMB85" s="2"/>
      <c r="SMC85" s="2"/>
      <c r="SMD85" s="2"/>
      <c r="SME85" s="2"/>
      <c r="SMF85" s="2"/>
      <c r="SMG85" s="2"/>
      <c r="SMH85" s="2"/>
      <c r="SMI85" s="2"/>
      <c r="SMJ85" s="2"/>
      <c r="SMK85" s="2"/>
      <c r="SML85" s="2"/>
      <c r="SMM85" s="2"/>
      <c r="SMN85" s="2"/>
      <c r="SMO85" s="2"/>
      <c r="SMP85" s="2"/>
      <c r="SMQ85" s="2"/>
      <c r="SMR85" s="2"/>
      <c r="SMS85" s="2"/>
      <c r="SMT85" s="2"/>
      <c r="SMU85" s="2"/>
      <c r="SMV85" s="2"/>
      <c r="SMW85" s="2"/>
      <c r="SMX85" s="2"/>
      <c r="SMY85" s="2"/>
      <c r="SMZ85" s="2"/>
      <c r="SNA85" s="2"/>
      <c r="SNB85" s="2"/>
      <c r="SNC85" s="2"/>
      <c r="SND85" s="2"/>
      <c r="SNE85" s="2"/>
      <c r="SNF85" s="2"/>
      <c r="SNG85" s="2"/>
      <c r="SNH85" s="2"/>
      <c r="SNI85" s="2"/>
      <c r="SNJ85" s="2"/>
      <c r="SNK85" s="2"/>
      <c r="SNL85" s="2"/>
      <c r="SNM85" s="2"/>
      <c r="SNN85" s="2"/>
      <c r="SNO85" s="2"/>
      <c r="SNP85" s="2"/>
      <c r="SNQ85" s="2"/>
      <c r="SNR85" s="2"/>
      <c r="SNS85" s="2"/>
      <c r="SNT85" s="2"/>
      <c r="SNU85" s="2"/>
      <c r="SNV85" s="2"/>
      <c r="SNW85" s="2"/>
      <c r="SNX85" s="2"/>
      <c r="SNY85" s="2"/>
      <c r="SNZ85" s="2"/>
      <c r="SOA85" s="2"/>
      <c r="SOB85" s="2"/>
      <c r="SOC85" s="2"/>
      <c r="SOD85" s="2"/>
      <c r="SOE85" s="2"/>
      <c r="SOF85" s="2"/>
      <c r="SOG85" s="2"/>
      <c r="SOH85" s="2"/>
      <c r="SOI85" s="2"/>
      <c r="SOJ85" s="2"/>
      <c r="SOK85" s="2"/>
      <c r="SOL85" s="2"/>
      <c r="SOM85" s="2"/>
      <c r="SON85" s="2"/>
      <c r="SOO85" s="2"/>
      <c r="SOP85" s="2"/>
      <c r="SOQ85" s="2"/>
      <c r="SOR85" s="2"/>
      <c r="SOS85" s="2"/>
      <c r="SOT85" s="2"/>
      <c r="SOU85" s="2"/>
      <c r="SOV85" s="2"/>
      <c r="SOW85" s="2"/>
      <c r="SOX85" s="2"/>
      <c r="SOY85" s="2"/>
      <c r="SOZ85" s="2"/>
      <c r="SPA85" s="2"/>
      <c r="SPB85" s="2"/>
      <c r="SPC85" s="2"/>
      <c r="SPD85" s="2"/>
      <c r="SPE85" s="2"/>
      <c r="SPF85" s="2"/>
      <c r="SPG85" s="2"/>
      <c r="SPH85" s="2"/>
      <c r="SPI85" s="2"/>
      <c r="SPJ85" s="2"/>
      <c r="SPK85" s="2"/>
      <c r="SPL85" s="2"/>
      <c r="SPM85" s="2"/>
      <c r="SPN85" s="2"/>
      <c r="SPO85" s="2"/>
      <c r="SPP85" s="2"/>
      <c r="SPQ85" s="2"/>
      <c r="SPR85" s="2"/>
      <c r="SPS85" s="2"/>
      <c r="SPT85" s="2"/>
      <c r="SPU85" s="2"/>
      <c r="SPV85" s="2"/>
      <c r="SPW85" s="2"/>
      <c r="SPX85" s="2"/>
      <c r="SPY85" s="2"/>
      <c r="SPZ85" s="2"/>
      <c r="SQA85" s="2"/>
      <c r="SQB85" s="2"/>
      <c r="SQC85" s="2"/>
      <c r="SQD85" s="2"/>
      <c r="SQE85" s="2"/>
      <c r="SQF85" s="2"/>
      <c r="SQG85" s="2"/>
      <c r="SQH85" s="2"/>
      <c r="SQI85" s="2"/>
      <c r="SQJ85" s="2"/>
      <c r="SQK85" s="2"/>
      <c r="SQL85" s="2"/>
      <c r="SQM85" s="2"/>
      <c r="SQN85" s="2"/>
      <c r="SQO85" s="2"/>
      <c r="SQP85" s="2"/>
      <c r="SQQ85" s="2"/>
      <c r="SQR85" s="2"/>
      <c r="SQS85" s="2"/>
      <c r="SQT85" s="2"/>
      <c r="SQU85" s="2"/>
      <c r="SQV85" s="2"/>
      <c r="SQW85" s="2"/>
      <c r="SQX85" s="2"/>
      <c r="SQY85" s="2"/>
      <c r="SQZ85" s="2"/>
      <c r="SRA85" s="2"/>
      <c r="SRB85" s="2"/>
      <c r="SRC85" s="2"/>
      <c r="SRD85" s="2"/>
      <c r="SRE85" s="2"/>
      <c r="SRF85" s="2"/>
      <c r="SRG85" s="2"/>
      <c r="SRH85" s="2"/>
      <c r="SRI85" s="2"/>
      <c r="SRJ85" s="2"/>
      <c r="SRK85" s="2"/>
      <c r="SRL85" s="2"/>
      <c r="SRM85" s="2"/>
      <c r="SRN85" s="2"/>
      <c r="SRO85" s="2"/>
      <c r="SRP85" s="2"/>
      <c r="SRQ85" s="2"/>
      <c r="SRR85" s="2"/>
      <c r="SRS85" s="2"/>
      <c r="SRT85" s="2"/>
      <c r="SRU85" s="2"/>
      <c r="SRV85" s="2"/>
      <c r="SRW85" s="2"/>
      <c r="SRX85" s="2"/>
      <c r="SRY85" s="2"/>
      <c r="SRZ85" s="2"/>
      <c r="SSA85" s="2"/>
      <c r="SSB85" s="2"/>
      <c r="SSC85" s="2"/>
      <c r="SSD85" s="2"/>
      <c r="SSE85" s="2"/>
      <c r="SSF85" s="2"/>
      <c r="SSG85" s="2"/>
      <c r="SSH85" s="2"/>
      <c r="SSI85" s="2"/>
      <c r="SSJ85" s="2"/>
      <c r="SSK85" s="2"/>
      <c r="SSL85" s="2"/>
      <c r="SSM85" s="2"/>
      <c r="SSN85" s="2"/>
      <c r="SSO85" s="2"/>
      <c r="SSP85" s="2"/>
      <c r="SSQ85" s="2"/>
      <c r="SSR85" s="2"/>
      <c r="SSS85" s="2"/>
      <c r="SST85" s="2"/>
      <c r="SSU85" s="2"/>
      <c r="SSV85" s="2"/>
      <c r="SSW85" s="2"/>
      <c r="SSX85" s="2"/>
      <c r="SSY85" s="2"/>
      <c r="SSZ85" s="2"/>
      <c r="STA85" s="2"/>
      <c r="STB85" s="2"/>
      <c r="STC85" s="2"/>
      <c r="STD85" s="2"/>
      <c r="STE85" s="2"/>
      <c r="STF85" s="2"/>
      <c r="STG85" s="2"/>
      <c r="STH85" s="2"/>
      <c r="STI85" s="2"/>
      <c r="STJ85" s="2"/>
      <c r="STK85" s="2"/>
      <c r="STL85" s="2"/>
      <c r="STM85" s="2"/>
      <c r="STN85" s="2"/>
      <c r="STO85" s="2"/>
      <c r="STP85" s="2"/>
      <c r="STQ85" s="2"/>
      <c r="STR85" s="2"/>
      <c r="STS85" s="2"/>
      <c r="STT85" s="2"/>
      <c r="STU85" s="2"/>
      <c r="STV85" s="2"/>
      <c r="STW85" s="2"/>
      <c r="STX85" s="2"/>
      <c r="STY85" s="2"/>
      <c r="STZ85" s="2"/>
      <c r="SUA85" s="2"/>
      <c r="SUB85" s="2"/>
      <c r="SUC85" s="2"/>
      <c r="SUD85" s="2"/>
      <c r="SUE85" s="2"/>
      <c r="SUF85" s="2"/>
      <c r="SUG85" s="2"/>
      <c r="SUH85" s="2"/>
      <c r="SUI85" s="2"/>
      <c r="SUJ85" s="2"/>
      <c r="SUK85" s="2"/>
      <c r="SUL85" s="2"/>
      <c r="SUM85" s="2"/>
      <c r="SUN85" s="2"/>
      <c r="SUO85" s="2"/>
      <c r="SUP85" s="2"/>
      <c r="SUQ85" s="2"/>
      <c r="SUR85" s="2"/>
      <c r="SUS85" s="2"/>
      <c r="SUT85" s="2"/>
      <c r="SUU85" s="2"/>
      <c r="SUV85" s="2"/>
      <c r="SUW85" s="2"/>
      <c r="SUX85" s="2"/>
      <c r="SUY85" s="2"/>
      <c r="SUZ85" s="2"/>
      <c r="SVA85" s="2"/>
      <c r="SVB85" s="2"/>
      <c r="SVC85" s="2"/>
      <c r="SVD85" s="2"/>
      <c r="SVE85" s="2"/>
      <c r="SVF85" s="2"/>
      <c r="SVG85" s="2"/>
      <c r="SVH85" s="2"/>
      <c r="SVI85" s="2"/>
      <c r="SVJ85" s="2"/>
      <c r="SVK85" s="2"/>
      <c r="SVL85" s="2"/>
      <c r="SVM85" s="2"/>
      <c r="SVN85" s="2"/>
      <c r="SVO85" s="2"/>
      <c r="SVP85" s="2"/>
      <c r="SVQ85" s="2"/>
      <c r="SVR85" s="2"/>
      <c r="SVS85" s="2"/>
      <c r="SVT85" s="2"/>
      <c r="SVU85" s="2"/>
      <c r="SVV85" s="2"/>
      <c r="SVW85" s="2"/>
      <c r="SVX85" s="2"/>
      <c r="SVY85" s="2"/>
      <c r="SVZ85" s="2"/>
      <c r="SWA85" s="2"/>
      <c r="SWB85" s="2"/>
      <c r="SWC85" s="2"/>
      <c r="SWD85" s="2"/>
      <c r="SWE85" s="2"/>
      <c r="SWF85" s="2"/>
      <c r="SWG85" s="2"/>
      <c r="SWH85" s="2"/>
      <c r="SWI85" s="2"/>
      <c r="SWJ85" s="2"/>
      <c r="SWK85" s="2"/>
      <c r="SWL85" s="2"/>
      <c r="SWM85" s="2"/>
      <c r="SWN85" s="2"/>
      <c r="SWO85" s="2"/>
      <c r="SWP85" s="2"/>
      <c r="SWQ85" s="2"/>
      <c r="SWR85" s="2"/>
      <c r="SWS85" s="2"/>
      <c r="SWT85" s="2"/>
      <c r="SWU85" s="2"/>
      <c r="SWV85" s="2"/>
      <c r="SWW85" s="2"/>
      <c r="SWX85" s="2"/>
      <c r="SWY85" s="2"/>
      <c r="SWZ85" s="2"/>
      <c r="SXA85" s="2"/>
      <c r="SXB85" s="2"/>
      <c r="SXC85" s="2"/>
      <c r="SXD85" s="2"/>
      <c r="SXE85" s="2"/>
      <c r="SXF85" s="2"/>
      <c r="SXG85" s="2"/>
      <c r="SXH85" s="2"/>
      <c r="SXI85" s="2"/>
      <c r="SXJ85" s="2"/>
      <c r="SXK85" s="2"/>
      <c r="SXL85" s="2"/>
      <c r="SXM85" s="2"/>
      <c r="SXN85" s="2"/>
      <c r="SXO85" s="2"/>
      <c r="SXP85" s="2"/>
      <c r="SXQ85" s="2"/>
      <c r="SXR85" s="2"/>
      <c r="SXS85" s="2"/>
      <c r="SXT85" s="2"/>
      <c r="SXU85" s="2"/>
      <c r="SXV85" s="2"/>
      <c r="SXW85" s="2"/>
      <c r="SXX85" s="2"/>
      <c r="SXY85" s="2"/>
      <c r="SXZ85" s="2"/>
      <c r="SYA85" s="2"/>
      <c r="SYB85" s="2"/>
      <c r="SYC85" s="2"/>
      <c r="SYD85" s="2"/>
      <c r="SYE85" s="2"/>
      <c r="SYF85" s="2"/>
      <c r="SYG85" s="2"/>
      <c r="SYH85" s="2"/>
      <c r="SYI85" s="2"/>
      <c r="SYJ85" s="2"/>
      <c r="SYK85" s="2"/>
      <c r="SYL85" s="2"/>
      <c r="SYM85" s="2"/>
      <c r="SYN85" s="2"/>
      <c r="SYO85" s="2"/>
      <c r="SYP85" s="2"/>
      <c r="SYQ85" s="2"/>
      <c r="SYR85" s="2"/>
      <c r="SYS85" s="2"/>
      <c r="SYT85" s="2"/>
      <c r="SYU85" s="2"/>
      <c r="SYV85" s="2"/>
      <c r="SYW85" s="2"/>
      <c r="SYX85" s="2"/>
      <c r="SYY85" s="2"/>
      <c r="SYZ85" s="2"/>
      <c r="SZA85" s="2"/>
      <c r="SZB85" s="2"/>
      <c r="SZC85" s="2"/>
      <c r="SZD85" s="2"/>
      <c r="SZE85" s="2"/>
      <c r="SZF85" s="2"/>
      <c r="SZG85" s="2"/>
      <c r="SZH85" s="2"/>
      <c r="SZI85" s="2"/>
      <c r="SZJ85" s="2"/>
      <c r="SZK85" s="2"/>
      <c r="SZL85" s="2"/>
      <c r="SZM85" s="2"/>
      <c r="SZN85" s="2"/>
      <c r="SZO85" s="2"/>
      <c r="SZP85" s="2"/>
      <c r="SZQ85" s="2"/>
      <c r="SZR85" s="2"/>
      <c r="SZS85" s="2"/>
      <c r="SZT85" s="2"/>
      <c r="SZU85" s="2"/>
      <c r="SZV85" s="2"/>
      <c r="SZW85" s="2"/>
      <c r="SZX85" s="2"/>
      <c r="SZY85" s="2"/>
      <c r="SZZ85" s="2"/>
      <c r="TAA85" s="2"/>
      <c r="TAB85" s="2"/>
      <c r="TAC85" s="2"/>
      <c r="TAD85" s="2"/>
      <c r="TAE85" s="2"/>
      <c r="TAF85" s="2"/>
      <c r="TAG85" s="2"/>
      <c r="TAH85" s="2"/>
      <c r="TAI85" s="2"/>
      <c r="TAJ85" s="2"/>
      <c r="TAK85" s="2"/>
      <c r="TAL85" s="2"/>
      <c r="TAM85" s="2"/>
      <c r="TAN85" s="2"/>
      <c r="TAO85" s="2"/>
      <c r="TAP85" s="2"/>
      <c r="TAQ85" s="2"/>
      <c r="TAR85" s="2"/>
      <c r="TAS85" s="2"/>
      <c r="TAT85" s="2"/>
      <c r="TAU85" s="2"/>
      <c r="TAV85" s="2"/>
      <c r="TAW85" s="2"/>
      <c r="TAX85" s="2"/>
      <c r="TAY85" s="2"/>
      <c r="TAZ85" s="2"/>
      <c r="TBA85" s="2"/>
      <c r="TBB85" s="2"/>
      <c r="TBC85" s="2"/>
      <c r="TBD85" s="2"/>
      <c r="TBE85" s="2"/>
      <c r="TBF85" s="2"/>
      <c r="TBG85" s="2"/>
      <c r="TBH85" s="2"/>
      <c r="TBI85" s="2"/>
      <c r="TBJ85" s="2"/>
      <c r="TBK85" s="2"/>
      <c r="TBL85" s="2"/>
      <c r="TBM85" s="2"/>
      <c r="TBN85" s="2"/>
      <c r="TBO85" s="2"/>
      <c r="TBP85" s="2"/>
      <c r="TBQ85" s="2"/>
      <c r="TBR85" s="2"/>
      <c r="TBS85" s="2"/>
      <c r="TBT85" s="2"/>
      <c r="TBU85" s="2"/>
      <c r="TBV85" s="2"/>
      <c r="TBW85" s="2"/>
      <c r="TBX85" s="2"/>
      <c r="TBY85" s="2"/>
      <c r="TBZ85" s="2"/>
      <c r="TCA85" s="2"/>
      <c r="TCB85" s="2"/>
      <c r="TCC85" s="2"/>
      <c r="TCD85" s="2"/>
      <c r="TCE85" s="2"/>
      <c r="TCF85" s="2"/>
      <c r="TCG85" s="2"/>
      <c r="TCH85" s="2"/>
      <c r="TCI85" s="2"/>
      <c r="TCJ85" s="2"/>
      <c r="TCK85" s="2"/>
      <c r="TCL85" s="2"/>
      <c r="TCM85" s="2"/>
      <c r="TCN85" s="2"/>
      <c r="TCO85" s="2"/>
      <c r="TCP85" s="2"/>
      <c r="TCQ85" s="2"/>
      <c r="TCR85" s="2"/>
      <c r="TCS85" s="2"/>
      <c r="TCT85" s="2"/>
      <c r="TCU85" s="2"/>
      <c r="TCV85" s="2"/>
      <c r="TCW85" s="2"/>
      <c r="TCX85" s="2"/>
      <c r="TCY85" s="2"/>
      <c r="TCZ85" s="2"/>
      <c r="TDA85" s="2"/>
      <c r="TDB85" s="2"/>
      <c r="TDC85" s="2"/>
      <c r="TDD85" s="2"/>
      <c r="TDE85" s="2"/>
      <c r="TDF85" s="2"/>
      <c r="TDG85" s="2"/>
      <c r="TDH85" s="2"/>
      <c r="TDI85" s="2"/>
      <c r="TDJ85" s="2"/>
      <c r="TDK85" s="2"/>
      <c r="TDL85" s="2"/>
      <c r="TDM85" s="2"/>
      <c r="TDN85" s="2"/>
      <c r="TDO85" s="2"/>
      <c r="TDP85" s="2"/>
      <c r="TDQ85" s="2"/>
      <c r="TDR85" s="2"/>
      <c r="TDS85" s="2"/>
      <c r="TDT85" s="2"/>
      <c r="TDU85" s="2"/>
      <c r="TDV85" s="2"/>
      <c r="TDW85" s="2"/>
      <c r="TDX85" s="2"/>
      <c r="TDY85" s="2"/>
      <c r="TDZ85" s="2"/>
      <c r="TEA85" s="2"/>
      <c r="TEB85" s="2"/>
      <c r="TEC85" s="2"/>
      <c r="TED85" s="2"/>
      <c r="TEE85" s="2"/>
      <c r="TEF85" s="2"/>
      <c r="TEG85" s="2"/>
      <c r="TEH85" s="2"/>
      <c r="TEI85" s="2"/>
      <c r="TEJ85" s="2"/>
      <c r="TEK85" s="2"/>
      <c r="TEL85" s="2"/>
      <c r="TEM85" s="2"/>
      <c r="TEN85" s="2"/>
      <c r="TEO85" s="2"/>
      <c r="TEP85" s="2"/>
      <c r="TEQ85" s="2"/>
      <c r="TER85" s="2"/>
      <c r="TES85" s="2"/>
      <c r="TET85" s="2"/>
      <c r="TEU85" s="2"/>
      <c r="TEV85" s="2"/>
      <c r="TEW85" s="2"/>
      <c r="TEX85" s="2"/>
      <c r="TEY85" s="2"/>
      <c r="TEZ85" s="2"/>
      <c r="TFA85" s="2"/>
      <c r="TFB85" s="2"/>
      <c r="TFC85" s="2"/>
      <c r="TFD85" s="2"/>
      <c r="TFE85" s="2"/>
      <c r="TFF85" s="2"/>
      <c r="TFG85" s="2"/>
      <c r="TFH85" s="2"/>
      <c r="TFI85" s="2"/>
      <c r="TFJ85" s="2"/>
      <c r="TFK85" s="2"/>
      <c r="TFL85" s="2"/>
      <c r="TFM85" s="2"/>
      <c r="TFN85" s="2"/>
      <c r="TFO85" s="2"/>
      <c r="TFP85" s="2"/>
      <c r="TFQ85" s="2"/>
      <c r="TFR85" s="2"/>
      <c r="TFS85" s="2"/>
      <c r="TFT85" s="2"/>
      <c r="TFU85" s="2"/>
      <c r="TFV85" s="2"/>
      <c r="TFW85" s="2"/>
      <c r="TFX85" s="2"/>
      <c r="TFY85" s="2"/>
      <c r="TFZ85" s="2"/>
      <c r="TGA85" s="2"/>
      <c r="TGB85" s="2"/>
      <c r="TGC85" s="2"/>
      <c r="TGD85" s="2"/>
      <c r="TGE85" s="2"/>
      <c r="TGF85" s="2"/>
      <c r="TGG85" s="2"/>
      <c r="TGH85" s="2"/>
      <c r="TGI85" s="2"/>
      <c r="TGJ85" s="2"/>
      <c r="TGK85" s="2"/>
      <c r="TGL85" s="2"/>
      <c r="TGM85" s="2"/>
      <c r="TGN85" s="2"/>
      <c r="TGO85" s="2"/>
      <c r="TGP85" s="2"/>
      <c r="TGQ85" s="2"/>
      <c r="TGR85" s="2"/>
      <c r="TGS85" s="2"/>
      <c r="TGT85" s="2"/>
      <c r="TGU85" s="2"/>
      <c r="TGV85" s="2"/>
      <c r="TGW85" s="2"/>
      <c r="TGX85" s="2"/>
      <c r="TGY85" s="2"/>
      <c r="TGZ85" s="2"/>
      <c r="THA85" s="2"/>
      <c r="THB85" s="2"/>
      <c r="THC85" s="2"/>
      <c r="THD85" s="2"/>
      <c r="THE85" s="2"/>
      <c r="THF85" s="2"/>
      <c r="THG85" s="2"/>
      <c r="THH85" s="2"/>
      <c r="THI85" s="2"/>
      <c r="THJ85" s="2"/>
      <c r="THK85" s="2"/>
      <c r="THL85" s="2"/>
      <c r="THM85" s="2"/>
      <c r="THN85" s="2"/>
      <c r="THO85" s="2"/>
      <c r="THP85" s="2"/>
      <c r="THQ85" s="2"/>
      <c r="THR85" s="2"/>
      <c r="THS85" s="2"/>
      <c r="THT85" s="2"/>
      <c r="THU85" s="2"/>
      <c r="THV85" s="2"/>
      <c r="THW85" s="2"/>
      <c r="THX85" s="2"/>
      <c r="THY85" s="2"/>
      <c r="THZ85" s="2"/>
      <c r="TIA85" s="2"/>
      <c r="TIB85" s="2"/>
      <c r="TIC85" s="2"/>
      <c r="TID85" s="2"/>
      <c r="TIE85" s="2"/>
      <c r="TIF85" s="2"/>
      <c r="TIG85" s="2"/>
      <c r="TIH85" s="2"/>
      <c r="TII85" s="2"/>
      <c r="TIJ85" s="2"/>
      <c r="TIK85" s="2"/>
      <c r="TIL85" s="2"/>
      <c r="TIM85" s="2"/>
      <c r="TIN85" s="2"/>
      <c r="TIO85" s="2"/>
      <c r="TIP85" s="2"/>
      <c r="TIQ85" s="2"/>
      <c r="TIR85" s="2"/>
      <c r="TIS85" s="2"/>
      <c r="TIT85" s="2"/>
      <c r="TIU85" s="2"/>
      <c r="TIV85" s="2"/>
      <c r="TIW85" s="2"/>
      <c r="TIX85" s="2"/>
      <c r="TIY85" s="2"/>
      <c r="TIZ85" s="2"/>
      <c r="TJA85" s="2"/>
      <c r="TJB85" s="2"/>
      <c r="TJC85" s="2"/>
      <c r="TJD85" s="2"/>
      <c r="TJE85" s="2"/>
      <c r="TJF85" s="2"/>
      <c r="TJG85" s="2"/>
      <c r="TJH85" s="2"/>
      <c r="TJI85" s="2"/>
      <c r="TJJ85" s="2"/>
      <c r="TJK85" s="2"/>
      <c r="TJL85" s="2"/>
      <c r="TJM85" s="2"/>
      <c r="TJN85" s="2"/>
      <c r="TJO85" s="2"/>
      <c r="TJP85" s="2"/>
      <c r="TJQ85" s="2"/>
      <c r="TJR85" s="2"/>
      <c r="TJS85" s="2"/>
      <c r="TJT85" s="2"/>
      <c r="TJU85" s="2"/>
      <c r="TJV85" s="2"/>
      <c r="TJW85" s="2"/>
      <c r="TJX85" s="2"/>
      <c r="TJY85" s="2"/>
      <c r="TJZ85" s="2"/>
      <c r="TKA85" s="2"/>
      <c r="TKB85" s="2"/>
      <c r="TKC85" s="2"/>
      <c r="TKD85" s="2"/>
      <c r="TKE85" s="2"/>
      <c r="TKF85" s="2"/>
      <c r="TKG85" s="2"/>
      <c r="TKH85" s="2"/>
      <c r="TKI85" s="2"/>
      <c r="TKJ85" s="2"/>
      <c r="TKK85" s="2"/>
      <c r="TKL85" s="2"/>
      <c r="TKM85" s="2"/>
      <c r="TKN85" s="2"/>
      <c r="TKO85" s="2"/>
      <c r="TKP85" s="2"/>
      <c r="TKQ85" s="2"/>
      <c r="TKR85" s="2"/>
      <c r="TKS85" s="2"/>
      <c r="TKT85" s="2"/>
      <c r="TKU85" s="2"/>
      <c r="TKV85" s="2"/>
      <c r="TKW85" s="2"/>
      <c r="TKX85" s="2"/>
      <c r="TKY85" s="2"/>
      <c r="TKZ85" s="2"/>
      <c r="TLA85" s="2"/>
      <c r="TLB85" s="2"/>
      <c r="TLC85" s="2"/>
      <c r="TLD85" s="2"/>
      <c r="TLE85" s="2"/>
      <c r="TLF85" s="2"/>
      <c r="TLG85" s="2"/>
      <c r="TLH85" s="2"/>
      <c r="TLI85" s="2"/>
      <c r="TLJ85" s="2"/>
      <c r="TLK85" s="2"/>
      <c r="TLL85" s="2"/>
      <c r="TLM85" s="2"/>
      <c r="TLN85" s="2"/>
      <c r="TLO85" s="2"/>
      <c r="TLP85" s="2"/>
      <c r="TLQ85" s="2"/>
      <c r="TLR85" s="2"/>
      <c r="TLS85" s="2"/>
      <c r="TLT85" s="2"/>
      <c r="TLU85" s="2"/>
      <c r="TLV85" s="2"/>
      <c r="TLW85" s="2"/>
      <c r="TLX85" s="2"/>
      <c r="TLY85" s="2"/>
      <c r="TLZ85" s="2"/>
      <c r="TMA85" s="2"/>
      <c r="TMB85" s="2"/>
      <c r="TMC85" s="2"/>
      <c r="TMD85" s="2"/>
      <c r="TME85" s="2"/>
      <c r="TMF85" s="2"/>
      <c r="TMG85" s="2"/>
      <c r="TMH85" s="2"/>
      <c r="TMI85" s="2"/>
      <c r="TMJ85" s="2"/>
      <c r="TMK85" s="2"/>
      <c r="TML85" s="2"/>
      <c r="TMM85" s="2"/>
      <c r="TMN85" s="2"/>
      <c r="TMO85" s="2"/>
      <c r="TMP85" s="2"/>
      <c r="TMQ85" s="2"/>
      <c r="TMR85" s="2"/>
      <c r="TMS85" s="2"/>
      <c r="TMT85" s="2"/>
      <c r="TMU85" s="2"/>
      <c r="TMV85" s="2"/>
      <c r="TMW85" s="2"/>
      <c r="TMX85" s="2"/>
      <c r="TMY85" s="2"/>
      <c r="TMZ85" s="2"/>
      <c r="TNA85" s="2"/>
      <c r="TNB85" s="2"/>
      <c r="TNC85" s="2"/>
      <c r="TND85" s="2"/>
      <c r="TNE85" s="2"/>
      <c r="TNF85" s="2"/>
      <c r="TNG85" s="2"/>
      <c r="TNH85" s="2"/>
      <c r="TNI85" s="2"/>
      <c r="TNJ85" s="2"/>
      <c r="TNK85" s="2"/>
      <c r="TNL85" s="2"/>
      <c r="TNM85" s="2"/>
      <c r="TNN85" s="2"/>
      <c r="TNO85" s="2"/>
      <c r="TNP85" s="2"/>
      <c r="TNQ85" s="2"/>
      <c r="TNR85" s="2"/>
      <c r="TNS85" s="2"/>
      <c r="TNT85" s="2"/>
      <c r="TNU85" s="2"/>
      <c r="TNV85" s="2"/>
      <c r="TNW85" s="2"/>
      <c r="TNX85" s="2"/>
      <c r="TNY85" s="2"/>
      <c r="TNZ85" s="2"/>
      <c r="TOA85" s="2"/>
      <c r="TOB85" s="2"/>
      <c r="TOC85" s="2"/>
      <c r="TOD85" s="2"/>
      <c r="TOE85" s="2"/>
      <c r="TOF85" s="2"/>
      <c r="TOG85" s="2"/>
      <c r="TOH85" s="2"/>
      <c r="TOI85" s="2"/>
      <c r="TOJ85" s="2"/>
      <c r="TOK85" s="2"/>
      <c r="TOL85" s="2"/>
      <c r="TOM85" s="2"/>
      <c r="TON85" s="2"/>
      <c r="TOO85" s="2"/>
      <c r="TOP85" s="2"/>
      <c r="TOQ85" s="2"/>
      <c r="TOR85" s="2"/>
      <c r="TOS85" s="2"/>
      <c r="TOT85" s="2"/>
      <c r="TOU85" s="2"/>
      <c r="TOV85" s="2"/>
      <c r="TOW85" s="2"/>
      <c r="TOX85" s="2"/>
      <c r="TOY85" s="2"/>
      <c r="TOZ85" s="2"/>
      <c r="TPA85" s="2"/>
      <c r="TPB85" s="2"/>
      <c r="TPC85" s="2"/>
      <c r="TPD85" s="2"/>
      <c r="TPE85" s="2"/>
      <c r="TPF85" s="2"/>
      <c r="TPG85" s="2"/>
      <c r="TPH85" s="2"/>
      <c r="TPI85" s="2"/>
      <c r="TPJ85" s="2"/>
      <c r="TPK85" s="2"/>
      <c r="TPL85" s="2"/>
      <c r="TPM85" s="2"/>
      <c r="TPN85" s="2"/>
      <c r="TPO85" s="2"/>
      <c r="TPP85" s="2"/>
      <c r="TPQ85" s="2"/>
      <c r="TPR85" s="2"/>
      <c r="TPS85" s="2"/>
      <c r="TPT85" s="2"/>
      <c r="TPU85" s="2"/>
      <c r="TPV85" s="2"/>
      <c r="TPW85" s="2"/>
      <c r="TPX85" s="2"/>
      <c r="TPY85" s="2"/>
      <c r="TPZ85" s="2"/>
      <c r="TQA85" s="2"/>
      <c r="TQB85" s="2"/>
      <c r="TQC85" s="2"/>
      <c r="TQD85" s="2"/>
      <c r="TQE85" s="2"/>
      <c r="TQF85" s="2"/>
      <c r="TQG85" s="2"/>
      <c r="TQH85" s="2"/>
      <c r="TQI85" s="2"/>
      <c r="TQJ85" s="2"/>
      <c r="TQK85" s="2"/>
      <c r="TQL85" s="2"/>
      <c r="TQM85" s="2"/>
      <c r="TQN85" s="2"/>
      <c r="TQO85" s="2"/>
      <c r="TQP85" s="2"/>
      <c r="TQQ85" s="2"/>
      <c r="TQR85" s="2"/>
      <c r="TQS85" s="2"/>
      <c r="TQT85" s="2"/>
      <c r="TQU85" s="2"/>
      <c r="TQV85" s="2"/>
      <c r="TQW85" s="2"/>
      <c r="TQX85" s="2"/>
      <c r="TQY85" s="2"/>
      <c r="TQZ85" s="2"/>
      <c r="TRA85" s="2"/>
      <c r="TRB85" s="2"/>
      <c r="TRC85" s="2"/>
      <c r="TRD85" s="2"/>
      <c r="TRE85" s="2"/>
      <c r="TRF85" s="2"/>
      <c r="TRG85" s="2"/>
      <c r="TRH85" s="2"/>
      <c r="TRI85" s="2"/>
      <c r="TRJ85" s="2"/>
      <c r="TRK85" s="2"/>
      <c r="TRL85" s="2"/>
      <c r="TRM85" s="2"/>
      <c r="TRN85" s="2"/>
      <c r="TRO85" s="2"/>
      <c r="TRP85" s="2"/>
      <c r="TRQ85" s="2"/>
      <c r="TRR85" s="2"/>
      <c r="TRS85" s="2"/>
      <c r="TRT85" s="2"/>
      <c r="TRU85" s="2"/>
      <c r="TRV85" s="2"/>
      <c r="TRW85" s="2"/>
      <c r="TRX85" s="2"/>
      <c r="TRY85" s="2"/>
      <c r="TRZ85" s="2"/>
      <c r="TSA85" s="2"/>
      <c r="TSB85" s="2"/>
      <c r="TSC85" s="2"/>
      <c r="TSD85" s="2"/>
      <c r="TSE85" s="2"/>
      <c r="TSF85" s="2"/>
      <c r="TSG85" s="2"/>
      <c r="TSH85" s="2"/>
      <c r="TSI85" s="2"/>
      <c r="TSJ85" s="2"/>
      <c r="TSK85" s="2"/>
      <c r="TSL85" s="2"/>
      <c r="TSM85" s="2"/>
      <c r="TSN85" s="2"/>
      <c r="TSO85" s="2"/>
      <c r="TSP85" s="2"/>
      <c r="TSQ85" s="2"/>
      <c r="TSR85" s="2"/>
      <c r="TSS85" s="2"/>
      <c r="TST85" s="2"/>
      <c r="TSU85" s="2"/>
      <c r="TSV85" s="2"/>
      <c r="TSW85" s="2"/>
      <c r="TSX85" s="2"/>
      <c r="TSY85" s="2"/>
      <c r="TSZ85" s="2"/>
      <c r="TTA85" s="2"/>
      <c r="TTB85" s="2"/>
      <c r="TTC85" s="2"/>
      <c r="TTD85" s="2"/>
      <c r="TTE85" s="2"/>
      <c r="TTF85" s="2"/>
      <c r="TTG85" s="2"/>
      <c r="TTH85" s="2"/>
      <c r="TTI85" s="2"/>
      <c r="TTJ85" s="2"/>
      <c r="TTK85" s="2"/>
      <c r="TTL85" s="2"/>
      <c r="TTM85" s="2"/>
      <c r="TTN85" s="2"/>
      <c r="TTO85" s="2"/>
      <c r="TTP85" s="2"/>
      <c r="TTQ85" s="2"/>
      <c r="TTR85" s="2"/>
      <c r="TTS85" s="2"/>
      <c r="TTT85" s="2"/>
      <c r="TTU85" s="2"/>
      <c r="TTV85" s="2"/>
      <c r="TTW85" s="2"/>
      <c r="TTX85" s="2"/>
      <c r="TTY85" s="2"/>
      <c r="TTZ85" s="2"/>
      <c r="TUA85" s="2"/>
      <c r="TUB85" s="2"/>
      <c r="TUC85" s="2"/>
      <c r="TUD85" s="2"/>
      <c r="TUE85" s="2"/>
      <c r="TUF85" s="2"/>
      <c r="TUG85" s="2"/>
      <c r="TUH85" s="2"/>
      <c r="TUI85" s="2"/>
      <c r="TUJ85" s="2"/>
      <c r="TUK85" s="2"/>
      <c r="TUL85" s="2"/>
      <c r="TUM85" s="2"/>
      <c r="TUN85" s="2"/>
      <c r="TUO85" s="2"/>
      <c r="TUP85" s="2"/>
      <c r="TUQ85" s="2"/>
      <c r="TUR85" s="2"/>
      <c r="TUS85" s="2"/>
      <c r="TUT85" s="2"/>
      <c r="TUU85" s="2"/>
      <c r="TUV85" s="2"/>
      <c r="TUW85" s="2"/>
      <c r="TUX85" s="2"/>
      <c r="TUY85" s="2"/>
      <c r="TUZ85" s="2"/>
      <c r="TVA85" s="2"/>
      <c r="TVB85" s="2"/>
      <c r="TVC85" s="2"/>
      <c r="TVD85" s="2"/>
      <c r="TVE85" s="2"/>
      <c r="TVF85" s="2"/>
      <c r="TVG85" s="2"/>
      <c r="TVH85" s="2"/>
      <c r="TVI85" s="2"/>
      <c r="TVJ85" s="2"/>
      <c r="TVK85" s="2"/>
      <c r="TVL85" s="2"/>
      <c r="TVM85" s="2"/>
      <c r="TVN85" s="2"/>
      <c r="TVO85" s="2"/>
      <c r="TVP85" s="2"/>
      <c r="TVQ85" s="2"/>
      <c r="TVR85" s="2"/>
      <c r="TVS85" s="2"/>
      <c r="TVT85" s="2"/>
      <c r="TVU85" s="2"/>
      <c r="TVV85" s="2"/>
      <c r="TVW85" s="2"/>
      <c r="TVX85" s="2"/>
      <c r="TVY85" s="2"/>
      <c r="TVZ85" s="2"/>
      <c r="TWA85" s="2"/>
      <c r="TWB85" s="2"/>
      <c r="TWC85" s="2"/>
      <c r="TWD85" s="2"/>
      <c r="TWE85" s="2"/>
      <c r="TWF85" s="2"/>
      <c r="TWG85" s="2"/>
      <c r="TWH85" s="2"/>
      <c r="TWI85" s="2"/>
      <c r="TWJ85" s="2"/>
      <c r="TWK85" s="2"/>
      <c r="TWL85" s="2"/>
      <c r="TWM85" s="2"/>
      <c r="TWN85" s="2"/>
      <c r="TWO85" s="2"/>
      <c r="TWP85" s="2"/>
      <c r="TWQ85" s="2"/>
      <c r="TWR85" s="2"/>
      <c r="TWS85" s="2"/>
      <c r="TWT85" s="2"/>
      <c r="TWU85" s="2"/>
      <c r="TWV85" s="2"/>
      <c r="TWW85" s="2"/>
      <c r="TWX85" s="2"/>
      <c r="TWY85" s="2"/>
      <c r="TWZ85" s="2"/>
      <c r="TXA85" s="2"/>
      <c r="TXB85" s="2"/>
      <c r="TXC85" s="2"/>
      <c r="TXD85" s="2"/>
      <c r="TXE85" s="2"/>
      <c r="TXF85" s="2"/>
      <c r="TXG85" s="2"/>
      <c r="TXH85" s="2"/>
      <c r="TXI85" s="2"/>
      <c r="TXJ85" s="2"/>
      <c r="TXK85" s="2"/>
      <c r="TXL85" s="2"/>
      <c r="TXM85" s="2"/>
      <c r="TXN85" s="2"/>
      <c r="TXO85" s="2"/>
      <c r="TXP85" s="2"/>
      <c r="TXQ85" s="2"/>
      <c r="TXR85" s="2"/>
      <c r="TXS85" s="2"/>
      <c r="TXT85" s="2"/>
      <c r="TXU85" s="2"/>
      <c r="TXV85" s="2"/>
      <c r="TXW85" s="2"/>
      <c r="TXX85" s="2"/>
      <c r="TXY85" s="2"/>
      <c r="TXZ85" s="2"/>
      <c r="TYA85" s="2"/>
      <c r="TYB85" s="2"/>
      <c r="TYC85" s="2"/>
      <c r="TYD85" s="2"/>
      <c r="TYE85" s="2"/>
      <c r="TYF85" s="2"/>
      <c r="TYG85" s="2"/>
      <c r="TYH85" s="2"/>
      <c r="TYI85" s="2"/>
      <c r="TYJ85" s="2"/>
      <c r="TYK85" s="2"/>
      <c r="TYL85" s="2"/>
      <c r="TYM85" s="2"/>
      <c r="TYN85" s="2"/>
      <c r="TYO85" s="2"/>
      <c r="TYP85" s="2"/>
      <c r="TYQ85" s="2"/>
      <c r="TYR85" s="2"/>
      <c r="TYS85" s="2"/>
      <c r="TYT85" s="2"/>
      <c r="TYU85" s="2"/>
      <c r="TYV85" s="2"/>
      <c r="TYW85" s="2"/>
      <c r="TYX85" s="2"/>
      <c r="TYY85" s="2"/>
      <c r="TYZ85" s="2"/>
      <c r="TZA85" s="2"/>
      <c r="TZB85" s="2"/>
      <c r="TZC85" s="2"/>
      <c r="TZD85" s="2"/>
      <c r="TZE85" s="2"/>
      <c r="TZF85" s="2"/>
      <c r="TZG85" s="2"/>
      <c r="TZH85" s="2"/>
      <c r="TZI85" s="2"/>
      <c r="TZJ85" s="2"/>
      <c r="TZK85" s="2"/>
      <c r="TZL85" s="2"/>
      <c r="TZM85" s="2"/>
      <c r="TZN85" s="2"/>
      <c r="TZO85" s="2"/>
      <c r="TZP85" s="2"/>
      <c r="TZQ85" s="2"/>
      <c r="TZR85" s="2"/>
      <c r="TZS85" s="2"/>
      <c r="TZT85" s="2"/>
      <c r="TZU85" s="2"/>
      <c r="TZV85" s="2"/>
      <c r="TZW85" s="2"/>
      <c r="TZX85" s="2"/>
      <c r="TZY85" s="2"/>
      <c r="TZZ85" s="2"/>
      <c r="UAA85" s="2"/>
      <c r="UAB85" s="2"/>
      <c r="UAC85" s="2"/>
      <c r="UAD85" s="2"/>
      <c r="UAE85" s="2"/>
      <c r="UAF85" s="2"/>
      <c r="UAG85" s="2"/>
      <c r="UAH85" s="2"/>
      <c r="UAI85" s="2"/>
      <c r="UAJ85" s="2"/>
      <c r="UAK85" s="2"/>
      <c r="UAL85" s="2"/>
      <c r="UAM85" s="2"/>
      <c r="UAN85" s="2"/>
      <c r="UAO85" s="2"/>
      <c r="UAP85" s="2"/>
      <c r="UAQ85" s="2"/>
      <c r="UAR85" s="2"/>
      <c r="UAS85" s="2"/>
      <c r="UAT85" s="2"/>
      <c r="UAU85" s="2"/>
      <c r="UAV85" s="2"/>
      <c r="UAW85" s="2"/>
      <c r="UAX85" s="2"/>
      <c r="UAY85" s="2"/>
      <c r="UAZ85" s="2"/>
      <c r="UBA85" s="2"/>
      <c r="UBB85" s="2"/>
      <c r="UBC85" s="2"/>
      <c r="UBD85" s="2"/>
      <c r="UBE85" s="2"/>
      <c r="UBF85" s="2"/>
      <c r="UBG85" s="2"/>
      <c r="UBH85" s="2"/>
      <c r="UBI85" s="2"/>
      <c r="UBJ85" s="2"/>
      <c r="UBK85" s="2"/>
      <c r="UBL85" s="2"/>
      <c r="UBM85" s="2"/>
      <c r="UBN85" s="2"/>
      <c r="UBO85" s="2"/>
      <c r="UBP85" s="2"/>
      <c r="UBQ85" s="2"/>
      <c r="UBR85" s="2"/>
      <c r="UBS85" s="2"/>
      <c r="UBT85" s="2"/>
      <c r="UBU85" s="2"/>
      <c r="UBV85" s="2"/>
      <c r="UBW85" s="2"/>
      <c r="UBX85" s="2"/>
      <c r="UBY85" s="2"/>
      <c r="UBZ85" s="2"/>
      <c r="UCA85" s="2"/>
      <c r="UCB85" s="2"/>
      <c r="UCC85" s="2"/>
      <c r="UCD85" s="2"/>
      <c r="UCE85" s="2"/>
      <c r="UCF85" s="2"/>
      <c r="UCG85" s="2"/>
      <c r="UCH85" s="2"/>
      <c r="UCI85" s="2"/>
      <c r="UCJ85" s="2"/>
      <c r="UCK85" s="2"/>
      <c r="UCL85" s="2"/>
      <c r="UCM85" s="2"/>
      <c r="UCN85" s="2"/>
      <c r="UCO85" s="2"/>
      <c r="UCP85" s="2"/>
      <c r="UCQ85" s="2"/>
      <c r="UCR85" s="2"/>
      <c r="UCS85" s="2"/>
      <c r="UCT85" s="2"/>
      <c r="UCU85" s="2"/>
      <c r="UCV85" s="2"/>
      <c r="UCW85" s="2"/>
      <c r="UCX85" s="2"/>
      <c r="UCY85" s="2"/>
      <c r="UCZ85" s="2"/>
      <c r="UDA85" s="2"/>
      <c r="UDB85" s="2"/>
      <c r="UDC85" s="2"/>
      <c r="UDD85" s="2"/>
      <c r="UDE85" s="2"/>
      <c r="UDF85" s="2"/>
      <c r="UDG85" s="2"/>
      <c r="UDH85" s="2"/>
      <c r="UDI85" s="2"/>
      <c r="UDJ85" s="2"/>
      <c r="UDK85" s="2"/>
      <c r="UDL85" s="2"/>
      <c r="UDM85" s="2"/>
      <c r="UDN85" s="2"/>
      <c r="UDO85" s="2"/>
      <c r="UDP85" s="2"/>
      <c r="UDQ85" s="2"/>
      <c r="UDR85" s="2"/>
      <c r="UDS85" s="2"/>
      <c r="UDT85" s="2"/>
      <c r="UDU85" s="2"/>
      <c r="UDV85" s="2"/>
      <c r="UDW85" s="2"/>
      <c r="UDX85" s="2"/>
      <c r="UDY85" s="2"/>
      <c r="UDZ85" s="2"/>
      <c r="UEA85" s="2"/>
      <c r="UEB85" s="2"/>
      <c r="UEC85" s="2"/>
      <c r="UED85" s="2"/>
      <c r="UEE85" s="2"/>
      <c r="UEF85" s="2"/>
      <c r="UEG85" s="2"/>
      <c r="UEH85" s="2"/>
      <c r="UEI85" s="2"/>
      <c r="UEJ85" s="2"/>
      <c r="UEK85" s="2"/>
      <c r="UEL85" s="2"/>
      <c r="UEM85" s="2"/>
      <c r="UEN85" s="2"/>
      <c r="UEO85" s="2"/>
      <c r="UEP85" s="2"/>
      <c r="UEQ85" s="2"/>
      <c r="UER85" s="2"/>
      <c r="UES85" s="2"/>
      <c r="UET85" s="2"/>
      <c r="UEU85" s="2"/>
      <c r="UEV85" s="2"/>
      <c r="UEW85" s="2"/>
      <c r="UEX85" s="2"/>
      <c r="UEY85" s="2"/>
      <c r="UEZ85" s="2"/>
      <c r="UFA85" s="2"/>
      <c r="UFB85" s="2"/>
      <c r="UFC85" s="2"/>
      <c r="UFD85" s="2"/>
      <c r="UFE85" s="2"/>
      <c r="UFF85" s="2"/>
      <c r="UFG85" s="2"/>
      <c r="UFH85" s="2"/>
      <c r="UFI85" s="2"/>
      <c r="UFJ85" s="2"/>
      <c r="UFK85" s="2"/>
      <c r="UFL85" s="2"/>
      <c r="UFM85" s="2"/>
      <c r="UFN85" s="2"/>
      <c r="UFO85" s="2"/>
      <c r="UFP85" s="2"/>
      <c r="UFQ85" s="2"/>
      <c r="UFR85" s="2"/>
      <c r="UFS85" s="2"/>
      <c r="UFT85" s="2"/>
      <c r="UFU85" s="2"/>
      <c r="UFV85" s="2"/>
      <c r="UFW85" s="2"/>
      <c r="UFX85" s="2"/>
      <c r="UFY85" s="2"/>
      <c r="UFZ85" s="2"/>
      <c r="UGA85" s="2"/>
      <c r="UGB85" s="2"/>
      <c r="UGC85" s="2"/>
      <c r="UGD85" s="2"/>
      <c r="UGE85" s="2"/>
      <c r="UGF85" s="2"/>
      <c r="UGG85" s="2"/>
      <c r="UGH85" s="2"/>
      <c r="UGI85" s="2"/>
      <c r="UGJ85" s="2"/>
      <c r="UGK85" s="2"/>
      <c r="UGL85" s="2"/>
      <c r="UGM85" s="2"/>
      <c r="UGN85" s="2"/>
      <c r="UGO85" s="2"/>
      <c r="UGP85" s="2"/>
      <c r="UGQ85" s="2"/>
      <c r="UGR85" s="2"/>
      <c r="UGS85" s="2"/>
      <c r="UGT85" s="2"/>
      <c r="UGU85" s="2"/>
      <c r="UGV85" s="2"/>
      <c r="UGW85" s="2"/>
      <c r="UGX85" s="2"/>
      <c r="UGY85" s="2"/>
      <c r="UGZ85" s="2"/>
      <c r="UHA85" s="2"/>
      <c r="UHB85" s="2"/>
      <c r="UHC85" s="2"/>
      <c r="UHD85" s="2"/>
      <c r="UHE85" s="2"/>
      <c r="UHF85" s="2"/>
      <c r="UHG85" s="2"/>
      <c r="UHH85" s="2"/>
      <c r="UHI85" s="2"/>
      <c r="UHJ85" s="2"/>
      <c r="UHK85" s="2"/>
      <c r="UHL85" s="2"/>
      <c r="UHM85" s="2"/>
      <c r="UHN85" s="2"/>
      <c r="UHO85" s="2"/>
      <c r="UHP85" s="2"/>
      <c r="UHQ85" s="2"/>
      <c r="UHR85" s="2"/>
      <c r="UHS85" s="2"/>
      <c r="UHT85" s="2"/>
      <c r="UHU85" s="2"/>
      <c r="UHV85" s="2"/>
      <c r="UHW85" s="2"/>
      <c r="UHX85" s="2"/>
      <c r="UHY85" s="2"/>
      <c r="UHZ85" s="2"/>
      <c r="UIA85" s="2"/>
      <c r="UIB85" s="2"/>
      <c r="UIC85" s="2"/>
      <c r="UID85" s="2"/>
      <c r="UIE85" s="2"/>
      <c r="UIF85" s="2"/>
      <c r="UIG85" s="2"/>
      <c r="UIH85" s="2"/>
      <c r="UII85" s="2"/>
      <c r="UIJ85" s="2"/>
      <c r="UIK85" s="2"/>
      <c r="UIL85" s="2"/>
      <c r="UIM85" s="2"/>
      <c r="UIN85" s="2"/>
      <c r="UIO85" s="2"/>
      <c r="UIP85" s="2"/>
      <c r="UIQ85" s="2"/>
      <c r="UIR85" s="2"/>
      <c r="UIS85" s="2"/>
      <c r="UIT85" s="2"/>
      <c r="UIU85" s="2"/>
      <c r="UIV85" s="2"/>
      <c r="UIW85" s="2"/>
      <c r="UIX85" s="2"/>
      <c r="UIY85" s="2"/>
      <c r="UIZ85" s="2"/>
      <c r="UJA85" s="2"/>
      <c r="UJB85" s="2"/>
      <c r="UJC85" s="2"/>
      <c r="UJD85" s="2"/>
      <c r="UJE85" s="2"/>
      <c r="UJF85" s="2"/>
      <c r="UJG85" s="2"/>
      <c r="UJH85" s="2"/>
      <c r="UJI85" s="2"/>
      <c r="UJJ85" s="2"/>
      <c r="UJK85" s="2"/>
      <c r="UJL85" s="2"/>
      <c r="UJM85" s="2"/>
      <c r="UJN85" s="2"/>
      <c r="UJO85" s="2"/>
      <c r="UJP85" s="2"/>
      <c r="UJQ85" s="2"/>
      <c r="UJR85" s="2"/>
      <c r="UJS85" s="2"/>
      <c r="UJT85" s="2"/>
      <c r="UJU85" s="2"/>
      <c r="UJV85" s="2"/>
      <c r="UJW85" s="2"/>
      <c r="UJX85" s="2"/>
      <c r="UJY85" s="2"/>
      <c r="UJZ85" s="2"/>
      <c r="UKA85" s="2"/>
      <c r="UKB85" s="2"/>
      <c r="UKC85" s="2"/>
      <c r="UKD85" s="2"/>
      <c r="UKE85" s="2"/>
      <c r="UKF85" s="2"/>
      <c r="UKG85" s="2"/>
      <c r="UKH85" s="2"/>
      <c r="UKI85" s="2"/>
      <c r="UKJ85" s="2"/>
      <c r="UKK85" s="2"/>
      <c r="UKL85" s="2"/>
      <c r="UKM85" s="2"/>
      <c r="UKN85" s="2"/>
      <c r="UKO85" s="2"/>
      <c r="UKP85" s="2"/>
      <c r="UKQ85" s="2"/>
      <c r="UKR85" s="2"/>
      <c r="UKS85" s="2"/>
      <c r="UKT85" s="2"/>
      <c r="UKU85" s="2"/>
      <c r="UKV85" s="2"/>
      <c r="UKW85" s="2"/>
      <c r="UKX85" s="2"/>
      <c r="UKY85" s="2"/>
      <c r="UKZ85" s="2"/>
      <c r="ULA85" s="2"/>
      <c r="ULB85" s="2"/>
      <c r="ULC85" s="2"/>
      <c r="ULD85" s="2"/>
      <c r="ULE85" s="2"/>
      <c r="ULF85" s="2"/>
      <c r="ULG85" s="2"/>
      <c r="ULH85" s="2"/>
      <c r="ULI85" s="2"/>
      <c r="ULJ85" s="2"/>
      <c r="ULK85" s="2"/>
      <c r="ULL85" s="2"/>
      <c r="ULM85" s="2"/>
      <c r="ULN85" s="2"/>
      <c r="ULO85" s="2"/>
      <c r="ULP85" s="2"/>
      <c r="ULQ85" s="2"/>
      <c r="ULR85" s="2"/>
      <c r="ULS85" s="2"/>
      <c r="ULT85" s="2"/>
      <c r="ULU85" s="2"/>
      <c r="ULV85" s="2"/>
      <c r="ULW85" s="2"/>
      <c r="ULX85" s="2"/>
      <c r="ULY85" s="2"/>
      <c r="ULZ85" s="2"/>
      <c r="UMA85" s="2"/>
      <c r="UMB85" s="2"/>
      <c r="UMC85" s="2"/>
      <c r="UMD85" s="2"/>
      <c r="UME85" s="2"/>
      <c r="UMF85" s="2"/>
      <c r="UMG85" s="2"/>
      <c r="UMH85" s="2"/>
      <c r="UMI85" s="2"/>
      <c r="UMJ85" s="2"/>
      <c r="UMK85" s="2"/>
      <c r="UML85" s="2"/>
      <c r="UMM85" s="2"/>
      <c r="UMN85" s="2"/>
      <c r="UMO85" s="2"/>
      <c r="UMP85" s="2"/>
      <c r="UMQ85" s="2"/>
      <c r="UMR85" s="2"/>
      <c r="UMS85" s="2"/>
      <c r="UMT85" s="2"/>
      <c r="UMU85" s="2"/>
      <c r="UMV85" s="2"/>
      <c r="UMW85" s="2"/>
      <c r="UMX85" s="2"/>
      <c r="UMY85" s="2"/>
      <c r="UMZ85" s="2"/>
      <c r="UNA85" s="2"/>
      <c r="UNB85" s="2"/>
      <c r="UNC85" s="2"/>
      <c r="UND85" s="2"/>
      <c r="UNE85" s="2"/>
      <c r="UNF85" s="2"/>
      <c r="UNG85" s="2"/>
      <c r="UNH85" s="2"/>
      <c r="UNI85" s="2"/>
      <c r="UNJ85" s="2"/>
      <c r="UNK85" s="2"/>
      <c r="UNL85" s="2"/>
      <c r="UNM85" s="2"/>
      <c r="UNN85" s="2"/>
      <c r="UNO85" s="2"/>
      <c r="UNP85" s="2"/>
      <c r="UNQ85" s="2"/>
      <c r="UNR85" s="2"/>
      <c r="UNS85" s="2"/>
      <c r="UNT85" s="2"/>
      <c r="UNU85" s="2"/>
      <c r="UNV85" s="2"/>
      <c r="UNW85" s="2"/>
      <c r="UNX85" s="2"/>
      <c r="UNY85" s="2"/>
      <c r="UNZ85" s="2"/>
      <c r="UOA85" s="2"/>
      <c r="UOB85" s="2"/>
      <c r="UOC85" s="2"/>
      <c r="UOD85" s="2"/>
      <c r="UOE85" s="2"/>
      <c r="UOF85" s="2"/>
      <c r="UOG85" s="2"/>
      <c r="UOH85" s="2"/>
      <c r="UOI85" s="2"/>
      <c r="UOJ85" s="2"/>
      <c r="UOK85" s="2"/>
      <c r="UOL85" s="2"/>
      <c r="UOM85" s="2"/>
      <c r="UON85" s="2"/>
      <c r="UOO85" s="2"/>
      <c r="UOP85" s="2"/>
      <c r="UOQ85" s="2"/>
      <c r="UOR85" s="2"/>
      <c r="UOS85" s="2"/>
      <c r="UOT85" s="2"/>
      <c r="UOU85" s="2"/>
      <c r="UOV85" s="2"/>
      <c r="UOW85" s="2"/>
      <c r="UOX85" s="2"/>
      <c r="UOY85" s="2"/>
      <c r="UOZ85" s="2"/>
      <c r="UPA85" s="2"/>
      <c r="UPB85" s="2"/>
      <c r="UPC85" s="2"/>
      <c r="UPD85" s="2"/>
      <c r="UPE85" s="2"/>
      <c r="UPF85" s="2"/>
      <c r="UPG85" s="2"/>
      <c r="UPH85" s="2"/>
      <c r="UPI85" s="2"/>
      <c r="UPJ85" s="2"/>
      <c r="UPK85" s="2"/>
      <c r="UPL85" s="2"/>
      <c r="UPM85" s="2"/>
      <c r="UPN85" s="2"/>
      <c r="UPO85" s="2"/>
      <c r="UPP85" s="2"/>
      <c r="UPQ85" s="2"/>
      <c r="UPR85" s="2"/>
      <c r="UPS85" s="2"/>
      <c r="UPT85" s="2"/>
      <c r="UPU85" s="2"/>
      <c r="UPV85" s="2"/>
      <c r="UPW85" s="2"/>
      <c r="UPX85" s="2"/>
      <c r="UPY85" s="2"/>
      <c r="UPZ85" s="2"/>
      <c r="UQA85" s="2"/>
      <c r="UQB85" s="2"/>
      <c r="UQC85" s="2"/>
      <c r="UQD85" s="2"/>
      <c r="UQE85" s="2"/>
      <c r="UQF85" s="2"/>
      <c r="UQG85" s="2"/>
      <c r="UQH85" s="2"/>
      <c r="UQI85" s="2"/>
      <c r="UQJ85" s="2"/>
      <c r="UQK85" s="2"/>
      <c r="UQL85" s="2"/>
      <c r="UQM85" s="2"/>
      <c r="UQN85" s="2"/>
      <c r="UQO85" s="2"/>
      <c r="UQP85" s="2"/>
      <c r="UQQ85" s="2"/>
      <c r="UQR85" s="2"/>
      <c r="UQS85" s="2"/>
      <c r="UQT85" s="2"/>
      <c r="UQU85" s="2"/>
      <c r="UQV85" s="2"/>
      <c r="UQW85" s="2"/>
      <c r="UQX85" s="2"/>
      <c r="UQY85" s="2"/>
      <c r="UQZ85" s="2"/>
      <c r="URA85" s="2"/>
      <c r="URB85" s="2"/>
      <c r="URC85" s="2"/>
      <c r="URD85" s="2"/>
      <c r="URE85" s="2"/>
      <c r="URF85" s="2"/>
      <c r="URG85" s="2"/>
      <c r="URH85" s="2"/>
      <c r="URI85" s="2"/>
      <c r="URJ85" s="2"/>
      <c r="URK85" s="2"/>
      <c r="URL85" s="2"/>
      <c r="URM85" s="2"/>
      <c r="URN85" s="2"/>
      <c r="URO85" s="2"/>
      <c r="URP85" s="2"/>
      <c r="URQ85" s="2"/>
      <c r="URR85" s="2"/>
      <c r="URS85" s="2"/>
      <c r="URT85" s="2"/>
      <c r="URU85" s="2"/>
      <c r="URV85" s="2"/>
      <c r="URW85" s="2"/>
      <c r="URX85" s="2"/>
      <c r="URY85" s="2"/>
      <c r="URZ85" s="2"/>
      <c r="USA85" s="2"/>
      <c r="USB85" s="2"/>
      <c r="USC85" s="2"/>
      <c r="USD85" s="2"/>
      <c r="USE85" s="2"/>
      <c r="USF85" s="2"/>
      <c r="USG85" s="2"/>
      <c r="USH85" s="2"/>
      <c r="USI85" s="2"/>
      <c r="USJ85" s="2"/>
      <c r="USK85" s="2"/>
      <c r="USL85" s="2"/>
      <c r="USM85" s="2"/>
      <c r="USN85" s="2"/>
      <c r="USO85" s="2"/>
      <c r="USP85" s="2"/>
      <c r="USQ85" s="2"/>
      <c r="USR85" s="2"/>
      <c r="USS85" s="2"/>
      <c r="UST85" s="2"/>
      <c r="USU85" s="2"/>
      <c r="USV85" s="2"/>
      <c r="USW85" s="2"/>
      <c r="USX85" s="2"/>
      <c r="USY85" s="2"/>
      <c r="USZ85" s="2"/>
      <c r="UTA85" s="2"/>
      <c r="UTB85" s="2"/>
      <c r="UTC85" s="2"/>
      <c r="UTD85" s="2"/>
      <c r="UTE85" s="2"/>
      <c r="UTF85" s="2"/>
      <c r="UTG85" s="2"/>
      <c r="UTH85" s="2"/>
      <c r="UTI85" s="2"/>
      <c r="UTJ85" s="2"/>
      <c r="UTK85" s="2"/>
      <c r="UTL85" s="2"/>
      <c r="UTM85" s="2"/>
      <c r="UTN85" s="2"/>
      <c r="UTO85" s="2"/>
      <c r="UTP85" s="2"/>
      <c r="UTQ85" s="2"/>
      <c r="UTR85" s="2"/>
      <c r="UTS85" s="2"/>
      <c r="UTT85" s="2"/>
      <c r="UTU85" s="2"/>
      <c r="UTV85" s="2"/>
      <c r="UTW85" s="2"/>
      <c r="UTX85" s="2"/>
      <c r="UTY85" s="2"/>
      <c r="UTZ85" s="2"/>
      <c r="UUA85" s="2"/>
      <c r="UUB85" s="2"/>
      <c r="UUC85" s="2"/>
      <c r="UUD85" s="2"/>
      <c r="UUE85" s="2"/>
      <c r="UUF85" s="2"/>
      <c r="UUG85" s="2"/>
      <c r="UUH85" s="2"/>
      <c r="UUI85" s="2"/>
      <c r="UUJ85" s="2"/>
      <c r="UUK85" s="2"/>
      <c r="UUL85" s="2"/>
      <c r="UUM85" s="2"/>
      <c r="UUN85" s="2"/>
      <c r="UUO85" s="2"/>
      <c r="UUP85" s="2"/>
      <c r="UUQ85" s="2"/>
      <c r="UUR85" s="2"/>
      <c r="UUS85" s="2"/>
      <c r="UUT85" s="2"/>
      <c r="UUU85" s="2"/>
      <c r="UUV85" s="2"/>
      <c r="UUW85" s="2"/>
      <c r="UUX85" s="2"/>
      <c r="UUY85" s="2"/>
      <c r="UUZ85" s="2"/>
      <c r="UVA85" s="2"/>
      <c r="UVB85" s="2"/>
      <c r="UVC85" s="2"/>
      <c r="UVD85" s="2"/>
      <c r="UVE85" s="2"/>
      <c r="UVF85" s="2"/>
      <c r="UVG85" s="2"/>
      <c r="UVH85" s="2"/>
      <c r="UVI85" s="2"/>
      <c r="UVJ85" s="2"/>
      <c r="UVK85" s="2"/>
      <c r="UVL85" s="2"/>
      <c r="UVM85" s="2"/>
      <c r="UVN85" s="2"/>
      <c r="UVO85" s="2"/>
      <c r="UVP85" s="2"/>
      <c r="UVQ85" s="2"/>
      <c r="UVR85" s="2"/>
      <c r="UVS85" s="2"/>
      <c r="UVT85" s="2"/>
      <c r="UVU85" s="2"/>
      <c r="UVV85" s="2"/>
      <c r="UVW85" s="2"/>
      <c r="UVX85" s="2"/>
      <c r="UVY85" s="2"/>
      <c r="UVZ85" s="2"/>
      <c r="UWA85" s="2"/>
      <c r="UWB85" s="2"/>
      <c r="UWC85" s="2"/>
      <c r="UWD85" s="2"/>
      <c r="UWE85" s="2"/>
      <c r="UWF85" s="2"/>
      <c r="UWG85" s="2"/>
      <c r="UWH85" s="2"/>
      <c r="UWI85" s="2"/>
      <c r="UWJ85" s="2"/>
      <c r="UWK85" s="2"/>
      <c r="UWL85" s="2"/>
      <c r="UWM85" s="2"/>
      <c r="UWN85" s="2"/>
      <c r="UWO85" s="2"/>
      <c r="UWP85" s="2"/>
      <c r="UWQ85" s="2"/>
      <c r="UWR85" s="2"/>
      <c r="UWS85" s="2"/>
      <c r="UWT85" s="2"/>
      <c r="UWU85" s="2"/>
      <c r="UWV85" s="2"/>
      <c r="UWW85" s="2"/>
      <c r="UWX85" s="2"/>
      <c r="UWY85" s="2"/>
      <c r="UWZ85" s="2"/>
      <c r="UXA85" s="2"/>
      <c r="UXB85" s="2"/>
      <c r="UXC85" s="2"/>
      <c r="UXD85" s="2"/>
      <c r="UXE85" s="2"/>
      <c r="UXF85" s="2"/>
      <c r="UXG85" s="2"/>
      <c r="UXH85" s="2"/>
      <c r="UXI85" s="2"/>
      <c r="UXJ85" s="2"/>
      <c r="UXK85" s="2"/>
      <c r="UXL85" s="2"/>
      <c r="UXM85" s="2"/>
      <c r="UXN85" s="2"/>
      <c r="UXO85" s="2"/>
      <c r="UXP85" s="2"/>
      <c r="UXQ85" s="2"/>
      <c r="UXR85" s="2"/>
      <c r="UXS85" s="2"/>
      <c r="UXT85" s="2"/>
      <c r="UXU85" s="2"/>
      <c r="UXV85" s="2"/>
      <c r="UXW85" s="2"/>
      <c r="UXX85" s="2"/>
      <c r="UXY85" s="2"/>
      <c r="UXZ85" s="2"/>
      <c r="UYA85" s="2"/>
      <c r="UYB85" s="2"/>
      <c r="UYC85" s="2"/>
      <c r="UYD85" s="2"/>
      <c r="UYE85" s="2"/>
      <c r="UYF85" s="2"/>
      <c r="UYG85" s="2"/>
      <c r="UYH85" s="2"/>
      <c r="UYI85" s="2"/>
      <c r="UYJ85" s="2"/>
      <c r="UYK85" s="2"/>
      <c r="UYL85" s="2"/>
      <c r="UYM85" s="2"/>
      <c r="UYN85" s="2"/>
      <c r="UYO85" s="2"/>
      <c r="UYP85" s="2"/>
      <c r="UYQ85" s="2"/>
      <c r="UYR85" s="2"/>
      <c r="UYS85" s="2"/>
      <c r="UYT85" s="2"/>
      <c r="UYU85" s="2"/>
      <c r="UYV85" s="2"/>
      <c r="UYW85" s="2"/>
      <c r="UYX85" s="2"/>
      <c r="UYY85" s="2"/>
      <c r="UYZ85" s="2"/>
      <c r="UZA85" s="2"/>
      <c r="UZB85" s="2"/>
      <c r="UZC85" s="2"/>
      <c r="UZD85" s="2"/>
      <c r="UZE85" s="2"/>
      <c r="UZF85" s="2"/>
      <c r="UZG85" s="2"/>
      <c r="UZH85" s="2"/>
      <c r="UZI85" s="2"/>
      <c r="UZJ85" s="2"/>
      <c r="UZK85" s="2"/>
      <c r="UZL85" s="2"/>
      <c r="UZM85" s="2"/>
      <c r="UZN85" s="2"/>
      <c r="UZO85" s="2"/>
      <c r="UZP85" s="2"/>
      <c r="UZQ85" s="2"/>
      <c r="UZR85" s="2"/>
      <c r="UZS85" s="2"/>
      <c r="UZT85" s="2"/>
      <c r="UZU85" s="2"/>
      <c r="UZV85" s="2"/>
      <c r="UZW85" s="2"/>
      <c r="UZX85" s="2"/>
      <c r="UZY85" s="2"/>
      <c r="UZZ85" s="2"/>
      <c r="VAA85" s="2"/>
      <c r="VAB85" s="2"/>
      <c r="VAC85" s="2"/>
      <c r="VAD85" s="2"/>
      <c r="VAE85" s="2"/>
      <c r="VAF85" s="2"/>
      <c r="VAG85" s="2"/>
      <c r="VAH85" s="2"/>
      <c r="VAI85" s="2"/>
      <c r="VAJ85" s="2"/>
      <c r="VAK85" s="2"/>
      <c r="VAL85" s="2"/>
      <c r="VAM85" s="2"/>
      <c r="VAN85" s="2"/>
      <c r="VAO85" s="2"/>
      <c r="VAP85" s="2"/>
      <c r="VAQ85" s="2"/>
      <c r="VAR85" s="2"/>
      <c r="VAS85" s="2"/>
      <c r="VAT85" s="2"/>
      <c r="VAU85" s="2"/>
      <c r="VAV85" s="2"/>
      <c r="VAW85" s="2"/>
      <c r="VAX85" s="2"/>
      <c r="VAY85" s="2"/>
      <c r="VAZ85" s="2"/>
      <c r="VBA85" s="2"/>
      <c r="VBB85" s="2"/>
      <c r="VBC85" s="2"/>
      <c r="VBD85" s="2"/>
      <c r="VBE85" s="2"/>
      <c r="VBF85" s="2"/>
      <c r="VBG85" s="2"/>
      <c r="VBH85" s="2"/>
      <c r="VBI85" s="2"/>
      <c r="VBJ85" s="2"/>
      <c r="VBK85" s="2"/>
      <c r="VBL85" s="2"/>
      <c r="VBM85" s="2"/>
      <c r="VBN85" s="2"/>
      <c r="VBO85" s="2"/>
      <c r="VBP85" s="2"/>
      <c r="VBQ85" s="2"/>
      <c r="VBR85" s="2"/>
      <c r="VBS85" s="2"/>
      <c r="VBT85" s="2"/>
      <c r="VBU85" s="2"/>
      <c r="VBV85" s="2"/>
      <c r="VBW85" s="2"/>
      <c r="VBX85" s="2"/>
      <c r="VBY85" s="2"/>
      <c r="VBZ85" s="2"/>
      <c r="VCA85" s="2"/>
      <c r="VCB85" s="2"/>
      <c r="VCC85" s="2"/>
      <c r="VCD85" s="2"/>
      <c r="VCE85" s="2"/>
      <c r="VCF85" s="2"/>
      <c r="VCG85" s="2"/>
      <c r="VCH85" s="2"/>
      <c r="VCI85" s="2"/>
      <c r="VCJ85" s="2"/>
      <c r="VCK85" s="2"/>
      <c r="VCL85" s="2"/>
      <c r="VCM85" s="2"/>
      <c r="VCN85" s="2"/>
      <c r="VCO85" s="2"/>
      <c r="VCP85" s="2"/>
      <c r="VCQ85" s="2"/>
      <c r="VCR85" s="2"/>
      <c r="VCS85" s="2"/>
      <c r="VCT85" s="2"/>
      <c r="VCU85" s="2"/>
      <c r="VCV85" s="2"/>
      <c r="VCW85" s="2"/>
      <c r="VCX85" s="2"/>
      <c r="VCY85" s="2"/>
      <c r="VCZ85" s="2"/>
      <c r="VDA85" s="2"/>
      <c r="VDB85" s="2"/>
      <c r="VDC85" s="2"/>
      <c r="VDD85" s="2"/>
      <c r="VDE85" s="2"/>
      <c r="VDF85" s="2"/>
      <c r="VDG85" s="2"/>
      <c r="VDH85" s="2"/>
      <c r="VDI85" s="2"/>
      <c r="VDJ85" s="2"/>
      <c r="VDK85" s="2"/>
      <c r="VDL85" s="2"/>
      <c r="VDM85" s="2"/>
      <c r="VDN85" s="2"/>
      <c r="VDO85" s="2"/>
      <c r="VDP85" s="2"/>
      <c r="VDQ85" s="2"/>
      <c r="VDR85" s="2"/>
      <c r="VDS85" s="2"/>
      <c r="VDT85" s="2"/>
      <c r="VDU85" s="2"/>
      <c r="VDV85" s="2"/>
      <c r="VDW85" s="2"/>
      <c r="VDX85" s="2"/>
      <c r="VDY85" s="2"/>
      <c r="VDZ85" s="2"/>
      <c r="VEA85" s="2"/>
      <c r="VEB85" s="2"/>
      <c r="VEC85" s="2"/>
      <c r="VED85" s="2"/>
      <c r="VEE85" s="2"/>
      <c r="VEF85" s="2"/>
      <c r="VEG85" s="2"/>
      <c r="VEH85" s="2"/>
      <c r="VEI85" s="2"/>
      <c r="VEJ85" s="2"/>
      <c r="VEK85" s="2"/>
      <c r="VEL85" s="2"/>
      <c r="VEM85" s="2"/>
      <c r="VEN85" s="2"/>
      <c r="VEO85" s="2"/>
      <c r="VEP85" s="2"/>
      <c r="VEQ85" s="2"/>
      <c r="VER85" s="2"/>
      <c r="VES85" s="2"/>
      <c r="VET85" s="2"/>
      <c r="VEU85" s="2"/>
      <c r="VEV85" s="2"/>
      <c r="VEW85" s="2"/>
      <c r="VEX85" s="2"/>
      <c r="VEY85" s="2"/>
      <c r="VEZ85" s="2"/>
      <c r="VFA85" s="2"/>
      <c r="VFB85" s="2"/>
      <c r="VFC85" s="2"/>
      <c r="VFD85" s="2"/>
      <c r="VFE85" s="2"/>
      <c r="VFF85" s="2"/>
      <c r="VFG85" s="2"/>
      <c r="VFH85" s="2"/>
      <c r="VFI85" s="2"/>
      <c r="VFJ85" s="2"/>
      <c r="VFK85" s="2"/>
      <c r="VFL85" s="2"/>
      <c r="VFM85" s="2"/>
      <c r="VFN85" s="2"/>
      <c r="VFO85" s="2"/>
      <c r="VFP85" s="2"/>
      <c r="VFQ85" s="2"/>
      <c r="VFR85" s="2"/>
      <c r="VFS85" s="2"/>
      <c r="VFT85" s="2"/>
      <c r="VFU85" s="2"/>
      <c r="VFV85" s="2"/>
      <c r="VFW85" s="2"/>
      <c r="VFX85" s="2"/>
      <c r="VFY85" s="2"/>
      <c r="VFZ85" s="2"/>
      <c r="VGA85" s="2"/>
      <c r="VGB85" s="2"/>
      <c r="VGC85" s="2"/>
      <c r="VGD85" s="2"/>
      <c r="VGE85" s="2"/>
      <c r="VGF85" s="2"/>
      <c r="VGG85" s="2"/>
      <c r="VGH85" s="2"/>
      <c r="VGI85" s="2"/>
      <c r="VGJ85" s="2"/>
      <c r="VGK85" s="2"/>
      <c r="VGL85" s="2"/>
      <c r="VGM85" s="2"/>
      <c r="VGN85" s="2"/>
      <c r="VGO85" s="2"/>
      <c r="VGP85" s="2"/>
      <c r="VGQ85" s="2"/>
      <c r="VGR85" s="2"/>
      <c r="VGS85" s="2"/>
      <c r="VGT85" s="2"/>
      <c r="VGU85" s="2"/>
      <c r="VGV85" s="2"/>
      <c r="VGW85" s="2"/>
      <c r="VGX85" s="2"/>
      <c r="VGY85" s="2"/>
      <c r="VGZ85" s="2"/>
      <c r="VHA85" s="2"/>
      <c r="VHB85" s="2"/>
      <c r="VHC85" s="2"/>
      <c r="VHD85" s="2"/>
      <c r="VHE85" s="2"/>
      <c r="VHF85" s="2"/>
      <c r="VHG85" s="2"/>
      <c r="VHH85" s="2"/>
      <c r="VHI85" s="2"/>
      <c r="VHJ85" s="2"/>
      <c r="VHK85" s="2"/>
      <c r="VHL85" s="2"/>
      <c r="VHM85" s="2"/>
      <c r="VHN85" s="2"/>
      <c r="VHO85" s="2"/>
      <c r="VHP85" s="2"/>
      <c r="VHQ85" s="2"/>
      <c r="VHR85" s="2"/>
      <c r="VHS85" s="2"/>
      <c r="VHT85" s="2"/>
      <c r="VHU85" s="2"/>
      <c r="VHV85" s="2"/>
      <c r="VHW85" s="2"/>
      <c r="VHX85" s="2"/>
      <c r="VHY85" s="2"/>
      <c r="VHZ85" s="2"/>
      <c r="VIA85" s="2"/>
      <c r="VIB85" s="2"/>
      <c r="VIC85" s="2"/>
      <c r="VID85" s="2"/>
      <c r="VIE85" s="2"/>
      <c r="VIF85" s="2"/>
      <c r="VIG85" s="2"/>
      <c r="VIH85" s="2"/>
      <c r="VII85" s="2"/>
      <c r="VIJ85" s="2"/>
      <c r="VIK85" s="2"/>
      <c r="VIL85" s="2"/>
      <c r="VIM85" s="2"/>
      <c r="VIN85" s="2"/>
      <c r="VIO85" s="2"/>
      <c r="VIP85" s="2"/>
      <c r="VIQ85" s="2"/>
      <c r="VIR85" s="2"/>
      <c r="VIS85" s="2"/>
      <c r="VIT85" s="2"/>
      <c r="VIU85" s="2"/>
      <c r="VIV85" s="2"/>
      <c r="VIW85" s="2"/>
      <c r="VIX85" s="2"/>
      <c r="VIY85" s="2"/>
      <c r="VIZ85" s="2"/>
      <c r="VJA85" s="2"/>
      <c r="VJB85" s="2"/>
      <c r="VJC85" s="2"/>
      <c r="VJD85" s="2"/>
      <c r="VJE85" s="2"/>
      <c r="VJF85" s="2"/>
      <c r="VJG85" s="2"/>
      <c r="VJH85" s="2"/>
      <c r="VJI85" s="2"/>
      <c r="VJJ85" s="2"/>
      <c r="VJK85" s="2"/>
      <c r="VJL85" s="2"/>
      <c r="VJM85" s="2"/>
      <c r="VJN85" s="2"/>
      <c r="VJO85" s="2"/>
      <c r="VJP85" s="2"/>
      <c r="VJQ85" s="2"/>
      <c r="VJR85" s="2"/>
      <c r="VJS85" s="2"/>
      <c r="VJT85" s="2"/>
      <c r="VJU85" s="2"/>
      <c r="VJV85" s="2"/>
      <c r="VJW85" s="2"/>
      <c r="VJX85" s="2"/>
      <c r="VJY85" s="2"/>
      <c r="VJZ85" s="2"/>
      <c r="VKA85" s="2"/>
      <c r="VKB85" s="2"/>
      <c r="VKC85" s="2"/>
      <c r="VKD85" s="2"/>
      <c r="VKE85" s="2"/>
      <c r="VKF85" s="2"/>
      <c r="VKG85" s="2"/>
      <c r="VKH85" s="2"/>
      <c r="VKI85" s="2"/>
      <c r="VKJ85" s="2"/>
      <c r="VKK85" s="2"/>
      <c r="VKL85" s="2"/>
      <c r="VKM85" s="2"/>
      <c r="VKN85" s="2"/>
      <c r="VKO85" s="2"/>
      <c r="VKP85" s="2"/>
      <c r="VKQ85" s="2"/>
      <c r="VKR85" s="2"/>
      <c r="VKS85" s="2"/>
      <c r="VKT85" s="2"/>
      <c r="VKU85" s="2"/>
      <c r="VKV85" s="2"/>
      <c r="VKW85" s="2"/>
      <c r="VKX85" s="2"/>
      <c r="VKY85" s="2"/>
      <c r="VKZ85" s="2"/>
      <c r="VLA85" s="2"/>
      <c r="VLB85" s="2"/>
      <c r="VLC85" s="2"/>
      <c r="VLD85" s="2"/>
      <c r="VLE85" s="2"/>
      <c r="VLF85" s="2"/>
      <c r="VLG85" s="2"/>
      <c r="VLH85" s="2"/>
      <c r="VLI85" s="2"/>
      <c r="VLJ85" s="2"/>
      <c r="VLK85" s="2"/>
      <c r="VLL85" s="2"/>
      <c r="VLM85" s="2"/>
      <c r="VLN85" s="2"/>
      <c r="VLO85" s="2"/>
      <c r="VLP85" s="2"/>
      <c r="VLQ85" s="2"/>
      <c r="VLR85" s="2"/>
      <c r="VLS85" s="2"/>
      <c r="VLT85" s="2"/>
      <c r="VLU85" s="2"/>
      <c r="VLV85" s="2"/>
      <c r="VLW85" s="2"/>
      <c r="VLX85" s="2"/>
      <c r="VLY85" s="2"/>
      <c r="VLZ85" s="2"/>
      <c r="VMA85" s="2"/>
      <c r="VMB85" s="2"/>
      <c r="VMC85" s="2"/>
      <c r="VMD85" s="2"/>
      <c r="VME85" s="2"/>
      <c r="VMF85" s="2"/>
      <c r="VMG85" s="2"/>
      <c r="VMH85" s="2"/>
      <c r="VMI85" s="2"/>
      <c r="VMJ85" s="2"/>
      <c r="VMK85" s="2"/>
      <c r="VML85" s="2"/>
      <c r="VMM85" s="2"/>
      <c r="VMN85" s="2"/>
      <c r="VMO85" s="2"/>
      <c r="VMP85" s="2"/>
      <c r="VMQ85" s="2"/>
      <c r="VMR85" s="2"/>
      <c r="VMS85" s="2"/>
      <c r="VMT85" s="2"/>
      <c r="VMU85" s="2"/>
      <c r="VMV85" s="2"/>
      <c r="VMW85" s="2"/>
      <c r="VMX85" s="2"/>
      <c r="VMY85" s="2"/>
      <c r="VMZ85" s="2"/>
      <c r="VNA85" s="2"/>
      <c r="VNB85" s="2"/>
      <c r="VNC85" s="2"/>
      <c r="VND85" s="2"/>
      <c r="VNE85" s="2"/>
      <c r="VNF85" s="2"/>
      <c r="VNG85" s="2"/>
      <c r="VNH85" s="2"/>
      <c r="VNI85" s="2"/>
      <c r="VNJ85" s="2"/>
      <c r="VNK85" s="2"/>
      <c r="VNL85" s="2"/>
      <c r="VNM85" s="2"/>
      <c r="VNN85" s="2"/>
      <c r="VNO85" s="2"/>
      <c r="VNP85" s="2"/>
      <c r="VNQ85" s="2"/>
      <c r="VNR85" s="2"/>
      <c r="VNS85" s="2"/>
      <c r="VNT85" s="2"/>
      <c r="VNU85" s="2"/>
      <c r="VNV85" s="2"/>
      <c r="VNW85" s="2"/>
      <c r="VNX85" s="2"/>
      <c r="VNY85" s="2"/>
      <c r="VNZ85" s="2"/>
      <c r="VOA85" s="2"/>
      <c r="VOB85" s="2"/>
      <c r="VOC85" s="2"/>
      <c r="VOD85" s="2"/>
      <c r="VOE85" s="2"/>
      <c r="VOF85" s="2"/>
      <c r="VOG85" s="2"/>
      <c r="VOH85" s="2"/>
      <c r="VOI85" s="2"/>
      <c r="VOJ85" s="2"/>
      <c r="VOK85" s="2"/>
      <c r="VOL85" s="2"/>
      <c r="VOM85" s="2"/>
      <c r="VON85" s="2"/>
      <c r="VOO85" s="2"/>
      <c r="VOP85" s="2"/>
      <c r="VOQ85" s="2"/>
      <c r="VOR85" s="2"/>
      <c r="VOS85" s="2"/>
      <c r="VOT85" s="2"/>
      <c r="VOU85" s="2"/>
      <c r="VOV85" s="2"/>
      <c r="VOW85" s="2"/>
      <c r="VOX85" s="2"/>
      <c r="VOY85" s="2"/>
      <c r="VOZ85" s="2"/>
      <c r="VPA85" s="2"/>
      <c r="VPB85" s="2"/>
      <c r="VPC85" s="2"/>
      <c r="VPD85" s="2"/>
      <c r="VPE85" s="2"/>
      <c r="VPF85" s="2"/>
      <c r="VPG85" s="2"/>
      <c r="VPH85" s="2"/>
      <c r="VPI85" s="2"/>
      <c r="VPJ85" s="2"/>
      <c r="VPK85" s="2"/>
      <c r="VPL85" s="2"/>
      <c r="VPM85" s="2"/>
      <c r="VPN85" s="2"/>
      <c r="VPO85" s="2"/>
      <c r="VPP85" s="2"/>
      <c r="VPQ85" s="2"/>
      <c r="VPR85" s="2"/>
      <c r="VPS85" s="2"/>
      <c r="VPT85" s="2"/>
      <c r="VPU85" s="2"/>
      <c r="VPV85" s="2"/>
      <c r="VPW85" s="2"/>
      <c r="VPX85" s="2"/>
      <c r="VPY85" s="2"/>
      <c r="VPZ85" s="2"/>
      <c r="VQA85" s="2"/>
      <c r="VQB85" s="2"/>
      <c r="VQC85" s="2"/>
      <c r="VQD85" s="2"/>
      <c r="VQE85" s="2"/>
      <c r="VQF85" s="2"/>
      <c r="VQG85" s="2"/>
      <c r="VQH85" s="2"/>
      <c r="VQI85" s="2"/>
      <c r="VQJ85" s="2"/>
      <c r="VQK85" s="2"/>
      <c r="VQL85" s="2"/>
      <c r="VQM85" s="2"/>
      <c r="VQN85" s="2"/>
      <c r="VQO85" s="2"/>
      <c r="VQP85" s="2"/>
      <c r="VQQ85" s="2"/>
      <c r="VQR85" s="2"/>
      <c r="VQS85" s="2"/>
      <c r="VQT85" s="2"/>
      <c r="VQU85" s="2"/>
      <c r="VQV85" s="2"/>
      <c r="VQW85" s="2"/>
      <c r="VQX85" s="2"/>
      <c r="VQY85" s="2"/>
      <c r="VQZ85" s="2"/>
      <c r="VRA85" s="2"/>
      <c r="VRB85" s="2"/>
      <c r="VRC85" s="2"/>
      <c r="VRD85" s="2"/>
      <c r="VRE85" s="2"/>
      <c r="VRF85" s="2"/>
      <c r="VRG85" s="2"/>
      <c r="VRH85" s="2"/>
      <c r="VRI85" s="2"/>
      <c r="VRJ85" s="2"/>
      <c r="VRK85" s="2"/>
      <c r="VRL85" s="2"/>
      <c r="VRM85" s="2"/>
      <c r="VRN85" s="2"/>
      <c r="VRO85" s="2"/>
      <c r="VRP85" s="2"/>
      <c r="VRQ85" s="2"/>
      <c r="VRR85" s="2"/>
      <c r="VRS85" s="2"/>
      <c r="VRT85" s="2"/>
      <c r="VRU85" s="2"/>
      <c r="VRV85" s="2"/>
      <c r="VRW85" s="2"/>
      <c r="VRX85" s="2"/>
      <c r="VRY85" s="2"/>
      <c r="VRZ85" s="2"/>
      <c r="VSA85" s="2"/>
      <c r="VSB85" s="2"/>
      <c r="VSC85" s="2"/>
      <c r="VSD85" s="2"/>
      <c r="VSE85" s="2"/>
      <c r="VSF85" s="2"/>
      <c r="VSG85" s="2"/>
      <c r="VSH85" s="2"/>
      <c r="VSI85" s="2"/>
      <c r="VSJ85" s="2"/>
      <c r="VSK85" s="2"/>
      <c r="VSL85" s="2"/>
      <c r="VSM85" s="2"/>
      <c r="VSN85" s="2"/>
      <c r="VSO85" s="2"/>
      <c r="VSP85" s="2"/>
      <c r="VSQ85" s="2"/>
      <c r="VSR85" s="2"/>
      <c r="VSS85" s="2"/>
      <c r="VST85" s="2"/>
      <c r="VSU85" s="2"/>
      <c r="VSV85" s="2"/>
      <c r="VSW85" s="2"/>
      <c r="VSX85" s="2"/>
      <c r="VSY85" s="2"/>
      <c r="VSZ85" s="2"/>
      <c r="VTA85" s="2"/>
      <c r="VTB85" s="2"/>
      <c r="VTC85" s="2"/>
      <c r="VTD85" s="2"/>
      <c r="VTE85" s="2"/>
      <c r="VTF85" s="2"/>
      <c r="VTG85" s="2"/>
      <c r="VTH85" s="2"/>
      <c r="VTI85" s="2"/>
      <c r="VTJ85" s="2"/>
      <c r="VTK85" s="2"/>
      <c r="VTL85" s="2"/>
      <c r="VTM85" s="2"/>
      <c r="VTN85" s="2"/>
      <c r="VTO85" s="2"/>
      <c r="VTP85" s="2"/>
      <c r="VTQ85" s="2"/>
      <c r="VTR85" s="2"/>
      <c r="VTS85" s="2"/>
      <c r="VTT85" s="2"/>
      <c r="VTU85" s="2"/>
      <c r="VTV85" s="2"/>
      <c r="VTW85" s="2"/>
      <c r="VTX85" s="2"/>
      <c r="VTY85" s="2"/>
      <c r="VTZ85" s="2"/>
      <c r="VUA85" s="2"/>
      <c r="VUB85" s="2"/>
      <c r="VUC85" s="2"/>
      <c r="VUD85" s="2"/>
      <c r="VUE85" s="2"/>
      <c r="VUF85" s="2"/>
      <c r="VUG85" s="2"/>
      <c r="VUH85" s="2"/>
      <c r="VUI85" s="2"/>
      <c r="VUJ85" s="2"/>
      <c r="VUK85" s="2"/>
      <c r="VUL85" s="2"/>
      <c r="VUM85" s="2"/>
      <c r="VUN85" s="2"/>
      <c r="VUO85" s="2"/>
      <c r="VUP85" s="2"/>
      <c r="VUQ85" s="2"/>
      <c r="VUR85" s="2"/>
      <c r="VUS85" s="2"/>
      <c r="VUT85" s="2"/>
      <c r="VUU85" s="2"/>
      <c r="VUV85" s="2"/>
      <c r="VUW85" s="2"/>
      <c r="VUX85" s="2"/>
      <c r="VUY85" s="2"/>
      <c r="VUZ85" s="2"/>
      <c r="VVA85" s="2"/>
      <c r="VVB85" s="2"/>
      <c r="VVC85" s="2"/>
      <c r="VVD85" s="2"/>
      <c r="VVE85" s="2"/>
      <c r="VVF85" s="2"/>
      <c r="VVG85" s="2"/>
      <c r="VVH85" s="2"/>
      <c r="VVI85" s="2"/>
      <c r="VVJ85" s="2"/>
      <c r="VVK85" s="2"/>
      <c r="VVL85" s="2"/>
      <c r="VVM85" s="2"/>
      <c r="VVN85" s="2"/>
      <c r="VVO85" s="2"/>
      <c r="VVP85" s="2"/>
      <c r="VVQ85" s="2"/>
      <c r="VVR85" s="2"/>
      <c r="VVS85" s="2"/>
      <c r="VVT85" s="2"/>
      <c r="VVU85" s="2"/>
      <c r="VVV85" s="2"/>
      <c r="VVW85" s="2"/>
      <c r="VVX85" s="2"/>
      <c r="VVY85" s="2"/>
      <c r="VVZ85" s="2"/>
      <c r="VWA85" s="2"/>
      <c r="VWB85" s="2"/>
      <c r="VWC85" s="2"/>
      <c r="VWD85" s="2"/>
      <c r="VWE85" s="2"/>
      <c r="VWF85" s="2"/>
      <c r="VWG85" s="2"/>
      <c r="VWH85" s="2"/>
      <c r="VWI85" s="2"/>
      <c r="VWJ85" s="2"/>
      <c r="VWK85" s="2"/>
      <c r="VWL85" s="2"/>
      <c r="VWM85" s="2"/>
      <c r="VWN85" s="2"/>
      <c r="VWO85" s="2"/>
      <c r="VWP85" s="2"/>
      <c r="VWQ85" s="2"/>
      <c r="VWR85" s="2"/>
      <c r="VWS85" s="2"/>
      <c r="VWT85" s="2"/>
      <c r="VWU85" s="2"/>
      <c r="VWV85" s="2"/>
      <c r="VWW85" s="2"/>
      <c r="VWX85" s="2"/>
      <c r="VWY85" s="2"/>
      <c r="VWZ85" s="2"/>
      <c r="VXA85" s="2"/>
      <c r="VXB85" s="2"/>
      <c r="VXC85" s="2"/>
      <c r="VXD85" s="2"/>
      <c r="VXE85" s="2"/>
      <c r="VXF85" s="2"/>
      <c r="VXG85" s="2"/>
      <c r="VXH85" s="2"/>
      <c r="VXI85" s="2"/>
      <c r="VXJ85" s="2"/>
      <c r="VXK85" s="2"/>
      <c r="VXL85" s="2"/>
      <c r="VXM85" s="2"/>
      <c r="VXN85" s="2"/>
      <c r="VXO85" s="2"/>
      <c r="VXP85" s="2"/>
      <c r="VXQ85" s="2"/>
      <c r="VXR85" s="2"/>
      <c r="VXS85" s="2"/>
      <c r="VXT85" s="2"/>
      <c r="VXU85" s="2"/>
      <c r="VXV85" s="2"/>
      <c r="VXW85" s="2"/>
      <c r="VXX85" s="2"/>
      <c r="VXY85" s="2"/>
      <c r="VXZ85" s="2"/>
      <c r="VYA85" s="2"/>
      <c r="VYB85" s="2"/>
      <c r="VYC85" s="2"/>
      <c r="VYD85" s="2"/>
      <c r="VYE85" s="2"/>
      <c r="VYF85" s="2"/>
      <c r="VYG85" s="2"/>
      <c r="VYH85" s="2"/>
      <c r="VYI85" s="2"/>
      <c r="VYJ85" s="2"/>
      <c r="VYK85" s="2"/>
      <c r="VYL85" s="2"/>
      <c r="VYM85" s="2"/>
      <c r="VYN85" s="2"/>
      <c r="VYO85" s="2"/>
      <c r="VYP85" s="2"/>
      <c r="VYQ85" s="2"/>
      <c r="VYR85" s="2"/>
      <c r="VYS85" s="2"/>
      <c r="VYT85" s="2"/>
      <c r="VYU85" s="2"/>
      <c r="VYV85" s="2"/>
      <c r="VYW85" s="2"/>
      <c r="VYX85" s="2"/>
      <c r="VYY85" s="2"/>
      <c r="VYZ85" s="2"/>
      <c r="VZA85" s="2"/>
      <c r="VZB85" s="2"/>
      <c r="VZC85" s="2"/>
      <c r="VZD85" s="2"/>
      <c r="VZE85" s="2"/>
      <c r="VZF85" s="2"/>
      <c r="VZG85" s="2"/>
      <c r="VZH85" s="2"/>
      <c r="VZI85" s="2"/>
      <c r="VZJ85" s="2"/>
      <c r="VZK85" s="2"/>
      <c r="VZL85" s="2"/>
      <c r="VZM85" s="2"/>
      <c r="VZN85" s="2"/>
      <c r="VZO85" s="2"/>
      <c r="VZP85" s="2"/>
      <c r="VZQ85" s="2"/>
      <c r="VZR85" s="2"/>
      <c r="VZS85" s="2"/>
      <c r="VZT85" s="2"/>
      <c r="VZU85" s="2"/>
      <c r="VZV85" s="2"/>
      <c r="VZW85" s="2"/>
      <c r="VZX85" s="2"/>
      <c r="VZY85" s="2"/>
      <c r="VZZ85" s="2"/>
      <c r="WAA85" s="2"/>
      <c r="WAB85" s="2"/>
      <c r="WAC85" s="2"/>
      <c r="WAD85" s="2"/>
      <c r="WAE85" s="2"/>
      <c r="WAF85" s="2"/>
      <c r="WAG85" s="2"/>
      <c r="WAH85" s="2"/>
      <c r="WAI85" s="2"/>
      <c r="WAJ85" s="2"/>
      <c r="WAK85" s="2"/>
      <c r="WAL85" s="2"/>
      <c r="WAM85" s="2"/>
      <c r="WAN85" s="2"/>
      <c r="WAO85" s="2"/>
      <c r="WAP85" s="2"/>
      <c r="WAQ85" s="2"/>
      <c r="WAR85" s="2"/>
      <c r="WAS85" s="2"/>
      <c r="WAT85" s="2"/>
      <c r="WAU85" s="2"/>
      <c r="WAV85" s="2"/>
      <c r="WAW85" s="2"/>
      <c r="WAX85" s="2"/>
      <c r="WAY85" s="2"/>
      <c r="WAZ85" s="2"/>
      <c r="WBA85" s="2"/>
      <c r="WBB85" s="2"/>
      <c r="WBC85" s="2"/>
      <c r="WBD85" s="2"/>
      <c r="WBE85" s="2"/>
      <c r="WBF85" s="2"/>
      <c r="WBG85" s="2"/>
      <c r="WBH85" s="2"/>
      <c r="WBI85" s="2"/>
      <c r="WBJ85" s="2"/>
      <c r="WBK85" s="2"/>
      <c r="WBL85" s="2"/>
      <c r="WBM85" s="2"/>
      <c r="WBN85" s="2"/>
      <c r="WBO85" s="2"/>
      <c r="WBP85" s="2"/>
      <c r="WBQ85" s="2"/>
      <c r="WBR85" s="2"/>
      <c r="WBS85" s="2"/>
      <c r="WBT85" s="2"/>
      <c r="WBU85" s="2"/>
      <c r="WBV85" s="2"/>
      <c r="WBW85" s="2"/>
      <c r="WBX85" s="2"/>
      <c r="WBY85" s="2"/>
      <c r="WBZ85" s="2"/>
      <c r="WCA85" s="2"/>
      <c r="WCB85" s="2"/>
      <c r="WCC85" s="2"/>
      <c r="WCD85" s="2"/>
      <c r="WCE85" s="2"/>
      <c r="WCF85" s="2"/>
      <c r="WCG85" s="2"/>
      <c r="WCH85" s="2"/>
      <c r="WCI85" s="2"/>
      <c r="WCJ85" s="2"/>
      <c r="WCK85" s="2"/>
      <c r="WCL85" s="2"/>
      <c r="WCM85" s="2"/>
      <c r="WCN85" s="2"/>
      <c r="WCO85" s="2"/>
      <c r="WCP85" s="2"/>
      <c r="WCQ85" s="2"/>
      <c r="WCR85" s="2"/>
      <c r="WCS85" s="2"/>
      <c r="WCT85" s="2"/>
      <c r="WCU85" s="2"/>
      <c r="WCV85" s="2"/>
      <c r="WCW85" s="2"/>
      <c r="WCX85" s="2"/>
      <c r="WCY85" s="2"/>
      <c r="WCZ85" s="2"/>
      <c r="WDA85" s="2"/>
      <c r="WDB85" s="2"/>
      <c r="WDC85" s="2"/>
      <c r="WDD85" s="2"/>
      <c r="WDE85" s="2"/>
      <c r="WDF85" s="2"/>
      <c r="WDG85" s="2"/>
      <c r="WDH85" s="2"/>
      <c r="WDI85" s="2"/>
      <c r="WDJ85" s="2"/>
      <c r="WDK85" s="2"/>
      <c r="WDL85" s="2"/>
      <c r="WDM85" s="2"/>
      <c r="WDN85" s="2"/>
      <c r="WDO85" s="2"/>
      <c r="WDP85" s="2"/>
      <c r="WDQ85" s="2"/>
      <c r="WDR85" s="2"/>
      <c r="WDS85" s="2"/>
      <c r="WDT85" s="2"/>
      <c r="WDU85" s="2"/>
      <c r="WDV85" s="2"/>
      <c r="WDW85" s="2"/>
      <c r="WDX85" s="2"/>
      <c r="WDY85" s="2"/>
      <c r="WDZ85" s="2"/>
      <c r="WEA85" s="2"/>
      <c r="WEB85" s="2"/>
      <c r="WEC85" s="2"/>
      <c r="WED85" s="2"/>
      <c r="WEE85" s="2"/>
      <c r="WEF85" s="2"/>
      <c r="WEG85" s="2"/>
      <c r="WEH85" s="2"/>
      <c r="WEI85" s="2"/>
      <c r="WEJ85" s="2"/>
      <c r="WEK85" s="2"/>
      <c r="WEL85" s="2"/>
      <c r="WEM85" s="2"/>
      <c r="WEN85" s="2"/>
      <c r="WEO85" s="2"/>
      <c r="WEP85" s="2"/>
      <c r="WEQ85" s="2"/>
      <c r="WER85" s="2"/>
      <c r="WES85" s="2"/>
      <c r="WET85" s="2"/>
      <c r="WEU85" s="2"/>
      <c r="WEV85" s="2"/>
      <c r="WEW85" s="2"/>
      <c r="WEX85" s="2"/>
      <c r="WEY85" s="2"/>
      <c r="WEZ85" s="2"/>
      <c r="WFA85" s="2"/>
      <c r="WFB85" s="2"/>
      <c r="WFC85" s="2"/>
      <c r="WFD85" s="2"/>
      <c r="WFE85" s="2"/>
      <c r="WFF85" s="2"/>
      <c r="WFG85" s="2"/>
      <c r="WFH85" s="2"/>
      <c r="WFI85" s="2"/>
      <c r="WFJ85" s="2"/>
      <c r="WFK85" s="2"/>
      <c r="WFL85" s="2"/>
      <c r="WFM85" s="2"/>
      <c r="WFN85" s="2"/>
      <c r="WFO85" s="2"/>
      <c r="WFP85" s="2"/>
      <c r="WFQ85" s="2"/>
      <c r="WFR85" s="2"/>
      <c r="WFS85" s="2"/>
      <c r="WFT85" s="2"/>
      <c r="WFU85" s="2"/>
      <c r="WFV85" s="2"/>
      <c r="WFW85" s="2"/>
      <c r="WFX85" s="2"/>
      <c r="WFY85" s="2"/>
      <c r="WFZ85" s="2"/>
      <c r="WGA85" s="2"/>
      <c r="WGB85" s="2"/>
      <c r="WGC85" s="2"/>
      <c r="WGD85" s="2"/>
      <c r="WGE85" s="2"/>
      <c r="WGF85" s="2"/>
      <c r="WGG85" s="2"/>
      <c r="WGH85" s="2"/>
      <c r="WGI85" s="2"/>
      <c r="WGJ85" s="2"/>
      <c r="WGK85" s="2"/>
      <c r="WGL85" s="2"/>
      <c r="WGM85" s="2"/>
      <c r="WGN85" s="2"/>
      <c r="WGO85" s="2"/>
      <c r="WGP85" s="2"/>
      <c r="WGQ85" s="2"/>
      <c r="WGR85" s="2"/>
      <c r="WGS85" s="2"/>
      <c r="WGT85" s="2"/>
      <c r="WGU85" s="2"/>
      <c r="WGV85" s="2"/>
      <c r="WGW85" s="2"/>
      <c r="WGX85" s="2"/>
      <c r="WGY85" s="2"/>
      <c r="WGZ85" s="2"/>
      <c r="WHA85" s="2"/>
      <c r="WHB85" s="2"/>
      <c r="WHC85" s="2"/>
      <c r="WHD85" s="2"/>
      <c r="WHE85" s="2"/>
      <c r="WHF85" s="2"/>
      <c r="WHG85" s="2"/>
      <c r="WHH85" s="2"/>
      <c r="WHI85" s="2"/>
      <c r="WHJ85" s="2"/>
      <c r="WHK85" s="2"/>
      <c r="WHL85" s="2"/>
      <c r="WHM85" s="2"/>
      <c r="WHN85" s="2"/>
      <c r="WHO85" s="2"/>
      <c r="WHP85" s="2"/>
      <c r="WHQ85" s="2"/>
      <c r="WHR85" s="2"/>
      <c r="WHS85" s="2"/>
      <c r="WHT85" s="2"/>
      <c r="WHU85" s="2"/>
      <c r="WHV85" s="2"/>
      <c r="WHW85" s="2"/>
      <c r="WHX85" s="2"/>
      <c r="WHY85" s="2"/>
      <c r="WHZ85" s="2"/>
      <c r="WIA85" s="2"/>
      <c r="WIB85" s="2"/>
      <c r="WIC85" s="2"/>
      <c r="WID85" s="2"/>
      <c r="WIE85" s="2"/>
      <c r="WIF85" s="2"/>
      <c r="WIG85" s="2"/>
      <c r="WIH85" s="2"/>
      <c r="WII85" s="2"/>
      <c r="WIJ85" s="2"/>
      <c r="WIK85" s="2"/>
      <c r="WIL85" s="2"/>
      <c r="WIM85" s="2"/>
      <c r="WIN85" s="2"/>
      <c r="WIO85" s="2"/>
      <c r="WIP85" s="2"/>
      <c r="WIQ85" s="2"/>
      <c r="WIR85" s="2"/>
      <c r="WIS85" s="2"/>
      <c r="WIT85" s="2"/>
      <c r="WIU85" s="2"/>
      <c r="WIV85" s="2"/>
      <c r="WIW85" s="2"/>
      <c r="WIX85" s="2"/>
      <c r="WIY85" s="2"/>
      <c r="WIZ85" s="2"/>
      <c r="WJA85" s="2"/>
      <c r="WJB85" s="2"/>
      <c r="WJC85" s="2"/>
      <c r="WJD85" s="2"/>
      <c r="WJE85" s="2"/>
      <c r="WJF85" s="2"/>
      <c r="WJG85" s="2"/>
      <c r="WJH85" s="2"/>
      <c r="WJI85" s="2"/>
      <c r="WJJ85" s="2"/>
      <c r="WJK85" s="2"/>
      <c r="WJL85" s="2"/>
      <c r="WJM85" s="2"/>
      <c r="WJN85" s="2"/>
      <c r="WJO85" s="2"/>
      <c r="WJP85" s="2"/>
      <c r="WJQ85" s="2"/>
      <c r="WJR85" s="2"/>
      <c r="WJS85" s="2"/>
      <c r="WJT85" s="2"/>
      <c r="WJU85" s="2"/>
      <c r="WJV85" s="2"/>
      <c r="WJW85" s="2"/>
      <c r="WJX85" s="2"/>
      <c r="WJY85" s="2"/>
      <c r="WJZ85" s="2"/>
      <c r="WKA85" s="2"/>
      <c r="WKB85" s="2"/>
      <c r="WKC85" s="2"/>
      <c r="WKD85" s="2"/>
      <c r="WKE85" s="2"/>
      <c r="WKF85" s="2"/>
      <c r="WKG85" s="2"/>
      <c r="WKH85" s="2"/>
      <c r="WKI85" s="2"/>
      <c r="WKJ85" s="2"/>
      <c r="WKK85" s="2"/>
      <c r="WKL85" s="2"/>
      <c r="WKM85" s="2"/>
      <c r="WKN85" s="2"/>
      <c r="WKO85" s="2"/>
      <c r="WKP85" s="2"/>
      <c r="WKQ85" s="2"/>
      <c r="WKR85" s="2"/>
      <c r="WKS85" s="2"/>
      <c r="WKT85" s="2"/>
      <c r="WKU85" s="2"/>
      <c r="WKV85" s="2"/>
      <c r="WKW85" s="2"/>
      <c r="WKX85" s="2"/>
      <c r="WKY85" s="2"/>
      <c r="WKZ85" s="2"/>
      <c r="WLA85" s="2"/>
      <c r="WLB85" s="2"/>
      <c r="WLC85" s="2"/>
      <c r="WLD85" s="2"/>
      <c r="WLE85" s="2"/>
      <c r="WLF85" s="2"/>
      <c r="WLG85" s="2"/>
      <c r="WLH85" s="2"/>
      <c r="WLI85" s="2"/>
      <c r="WLJ85" s="2"/>
      <c r="WLK85" s="2"/>
      <c r="WLL85" s="2"/>
      <c r="WLM85" s="2"/>
      <c r="WLN85" s="2"/>
      <c r="WLO85" s="2"/>
      <c r="WLP85" s="2"/>
      <c r="WLQ85" s="2"/>
      <c r="WLR85" s="2"/>
      <c r="WLS85" s="2"/>
      <c r="WLT85" s="2"/>
      <c r="WLU85" s="2"/>
      <c r="WLV85" s="2"/>
      <c r="WLW85" s="2"/>
      <c r="WLX85" s="2"/>
      <c r="WLY85" s="2"/>
      <c r="WLZ85" s="2"/>
      <c r="WMA85" s="2"/>
      <c r="WMB85" s="2"/>
      <c r="WMC85" s="2"/>
      <c r="WMD85" s="2"/>
      <c r="WME85" s="2"/>
      <c r="WMF85" s="2"/>
      <c r="WMG85" s="2"/>
      <c r="WMH85" s="2"/>
      <c r="WMI85" s="2"/>
      <c r="WMJ85" s="2"/>
      <c r="WMK85" s="2"/>
      <c r="WML85" s="2"/>
      <c r="WMM85" s="2"/>
      <c r="WMN85" s="2"/>
      <c r="WMO85" s="2"/>
      <c r="WMP85" s="2"/>
      <c r="WMQ85" s="2"/>
      <c r="WMR85" s="2"/>
      <c r="WMS85" s="2"/>
      <c r="WMT85" s="2"/>
      <c r="WMU85" s="2"/>
      <c r="WMV85" s="2"/>
      <c r="WMW85" s="2"/>
      <c r="WMX85" s="2"/>
      <c r="WMY85" s="2"/>
      <c r="WMZ85" s="2"/>
      <c r="WNA85" s="2"/>
      <c r="WNB85" s="2"/>
      <c r="WNC85" s="2"/>
      <c r="WND85" s="2"/>
      <c r="WNE85" s="2"/>
      <c r="WNF85" s="2"/>
      <c r="WNG85" s="2"/>
      <c r="WNH85" s="2"/>
      <c r="WNI85" s="2"/>
      <c r="WNJ85" s="2"/>
      <c r="WNK85" s="2"/>
      <c r="WNL85" s="2"/>
      <c r="WNM85" s="2"/>
      <c r="WNN85" s="2"/>
      <c r="WNO85" s="2"/>
      <c r="WNP85" s="2"/>
      <c r="WNQ85" s="2"/>
      <c r="WNR85" s="2"/>
      <c r="WNS85" s="2"/>
      <c r="WNT85" s="2"/>
      <c r="WNU85" s="2"/>
      <c r="WNV85" s="2"/>
      <c r="WNW85" s="2"/>
      <c r="WNX85" s="2"/>
      <c r="WNY85" s="2"/>
      <c r="WNZ85" s="2"/>
      <c r="WOA85" s="2"/>
      <c r="WOB85" s="2"/>
      <c r="WOC85" s="2"/>
      <c r="WOD85" s="2"/>
      <c r="WOE85" s="2"/>
      <c r="WOF85" s="2"/>
      <c r="WOG85" s="2"/>
      <c r="WOH85" s="2"/>
      <c r="WOI85" s="2"/>
      <c r="WOJ85" s="2"/>
      <c r="WOK85" s="2"/>
      <c r="WOL85" s="2"/>
      <c r="WOM85" s="2"/>
      <c r="WON85" s="2"/>
      <c r="WOO85" s="2"/>
      <c r="WOP85" s="2"/>
      <c r="WOQ85" s="2"/>
      <c r="WOR85" s="2"/>
      <c r="WOS85" s="2"/>
      <c r="WOT85" s="2"/>
      <c r="WOU85" s="2"/>
      <c r="WOV85" s="2"/>
      <c r="WOW85" s="2"/>
      <c r="WOX85" s="2"/>
      <c r="WOY85" s="2"/>
      <c r="WOZ85" s="2"/>
      <c r="WPA85" s="2"/>
      <c r="WPB85" s="2"/>
      <c r="WPC85" s="2"/>
      <c r="WPD85" s="2"/>
      <c r="WPE85" s="2"/>
      <c r="WPF85" s="2"/>
      <c r="WPG85" s="2"/>
      <c r="WPH85" s="2"/>
      <c r="WPI85" s="2"/>
      <c r="WPJ85" s="2"/>
      <c r="WPK85" s="2"/>
      <c r="WPL85" s="2"/>
      <c r="WPM85" s="2"/>
      <c r="WPN85" s="2"/>
      <c r="WPO85" s="2"/>
      <c r="WPP85" s="2"/>
      <c r="WPQ85" s="2"/>
      <c r="WPR85" s="2"/>
      <c r="WPS85" s="2"/>
      <c r="WPT85" s="2"/>
      <c r="WPU85" s="2"/>
      <c r="WPV85" s="2"/>
      <c r="WPW85" s="2"/>
      <c r="WPX85" s="2"/>
      <c r="WPY85" s="2"/>
      <c r="WPZ85" s="2"/>
      <c r="WQA85" s="2"/>
      <c r="WQB85" s="2"/>
      <c r="WQC85" s="2"/>
      <c r="WQD85" s="2"/>
      <c r="WQE85" s="2"/>
      <c r="WQF85" s="2"/>
      <c r="WQG85" s="2"/>
      <c r="WQH85" s="2"/>
      <c r="WQI85" s="2"/>
      <c r="WQJ85" s="2"/>
      <c r="WQK85" s="2"/>
      <c r="WQL85" s="2"/>
      <c r="WQM85" s="2"/>
      <c r="WQN85" s="2"/>
      <c r="WQO85" s="2"/>
      <c r="WQP85" s="2"/>
      <c r="WQQ85" s="2"/>
      <c r="WQR85" s="2"/>
      <c r="WQS85" s="2"/>
      <c r="WQT85" s="2"/>
      <c r="WQU85" s="2"/>
      <c r="WQV85" s="2"/>
      <c r="WQW85" s="2"/>
      <c r="WQX85" s="2"/>
      <c r="WQY85" s="2"/>
      <c r="WQZ85" s="2"/>
      <c r="WRA85" s="2"/>
      <c r="WRB85" s="2"/>
      <c r="WRC85" s="2"/>
      <c r="WRD85" s="2"/>
      <c r="WRE85" s="2"/>
      <c r="WRF85" s="2"/>
      <c r="WRG85" s="2"/>
      <c r="WRH85" s="2"/>
      <c r="WRI85" s="2"/>
      <c r="WRJ85" s="2"/>
      <c r="WRK85" s="2"/>
      <c r="WRL85" s="2"/>
      <c r="WRM85" s="2"/>
      <c r="WRN85" s="2"/>
      <c r="WRO85" s="2"/>
      <c r="WRP85" s="2"/>
      <c r="WRQ85" s="2"/>
      <c r="WRR85" s="2"/>
      <c r="WRS85" s="2"/>
      <c r="WRT85" s="2"/>
      <c r="WRU85" s="2"/>
      <c r="WRV85" s="2"/>
      <c r="WRW85" s="2"/>
      <c r="WRX85" s="2"/>
      <c r="WRY85" s="2"/>
      <c r="WRZ85" s="2"/>
      <c r="WSA85" s="2"/>
      <c r="WSB85" s="2"/>
      <c r="WSC85" s="2"/>
      <c r="WSD85" s="2"/>
      <c r="WSE85" s="2"/>
      <c r="WSF85" s="2"/>
      <c r="WSG85" s="2"/>
      <c r="WSH85" s="2"/>
      <c r="WSI85" s="2"/>
      <c r="WSJ85" s="2"/>
      <c r="WSK85" s="2"/>
      <c r="WSL85" s="2"/>
      <c r="WSM85" s="2"/>
      <c r="WSN85" s="2"/>
      <c r="WSO85" s="2"/>
      <c r="WSP85" s="2"/>
      <c r="WSQ85" s="2"/>
      <c r="WSR85" s="2"/>
      <c r="WSS85" s="2"/>
      <c r="WST85" s="2"/>
      <c r="WSU85" s="2"/>
      <c r="WSV85" s="2"/>
      <c r="WSW85" s="2"/>
      <c r="WSX85" s="2"/>
      <c r="WSY85" s="2"/>
      <c r="WSZ85" s="2"/>
      <c r="WTA85" s="2"/>
      <c r="WTB85" s="2"/>
      <c r="WTC85" s="2"/>
      <c r="WTD85" s="2"/>
      <c r="WTE85" s="2"/>
      <c r="WTF85" s="2"/>
      <c r="WTG85" s="2"/>
      <c r="WTH85" s="2"/>
      <c r="WTI85" s="2"/>
      <c r="WTJ85" s="2"/>
      <c r="WTK85" s="2"/>
      <c r="WTL85" s="2"/>
      <c r="WTM85" s="2"/>
      <c r="WTN85" s="2"/>
      <c r="WTO85" s="2"/>
      <c r="WTP85" s="2"/>
      <c r="WTQ85" s="2"/>
      <c r="WTR85" s="2"/>
      <c r="WTS85" s="2"/>
      <c r="WTT85" s="2"/>
      <c r="WTU85" s="2"/>
      <c r="WTV85" s="2"/>
      <c r="WTW85" s="2"/>
      <c r="WTX85" s="2"/>
      <c r="WTY85" s="2"/>
      <c r="WTZ85" s="2"/>
      <c r="WUA85" s="2"/>
      <c r="WUB85" s="2"/>
      <c r="WUC85" s="2"/>
      <c r="WUD85" s="2"/>
      <c r="WUE85" s="2"/>
      <c r="WUF85" s="2"/>
      <c r="WUG85" s="2"/>
      <c r="WUH85" s="2"/>
      <c r="WUI85" s="2"/>
      <c r="WUJ85" s="2"/>
      <c r="WUK85" s="2"/>
      <c r="WUL85" s="2"/>
      <c r="WUM85" s="2"/>
      <c r="WUN85" s="2"/>
      <c r="WUO85" s="2"/>
      <c r="WUP85" s="2"/>
      <c r="WUQ85" s="2"/>
      <c r="WUR85" s="2"/>
      <c r="WUS85" s="2"/>
      <c r="WUT85" s="2"/>
      <c r="WUU85" s="2"/>
      <c r="WUV85" s="2"/>
      <c r="WUW85" s="2"/>
      <c r="WUX85" s="2"/>
      <c r="WUY85" s="2"/>
      <c r="WUZ85" s="2"/>
      <c r="WVA85" s="2"/>
      <c r="WVB85" s="2"/>
      <c r="WVC85" s="2"/>
      <c r="WVD85" s="2"/>
      <c r="WVE85" s="2"/>
      <c r="WVF85" s="2"/>
      <c r="WVG85" s="2"/>
      <c r="WVH85" s="2"/>
      <c r="WVI85" s="2"/>
      <c r="WVJ85" s="2"/>
      <c r="WVK85" s="2"/>
      <c r="WVL85" s="2"/>
      <c r="WVM85" s="2"/>
      <c r="WVN85" s="2"/>
      <c r="WVO85" s="2"/>
      <c r="WVP85" s="2"/>
      <c r="WVQ85" s="2"/>
      <c r="WVR85" s="2"/>
      <c r="WVS85" s="2"/>
      <c r="WVT85" s="2"/>
      <c r="WVU85" s="2"/>
      <c r="WVV85" s="2"/>
      <c r="WVW85" s="2"/>
      <c r="WVX85" s="2"/>
      <c r="WVY85" s="2"/>
      <c r="WVZ85" s="2"/>
      <c r="WWA85" s="2"/>
      <c r="WWB85" s="2"/>
      <c r="WWC85" s="2"/>
      <c r="WWD85" s="2"/>
      <c r="WWE85" s="2"/>
      <c r="WWF85" s="2"/>
      <c r="WWG85" s="2"/>
      <c r="WWH85" s="2"/>
      <c r="WWI85" s="2"/>
      <c r="WWJ85" s="2"/>
      <c r="WWK85" s="2"/>
      <c r="WWL85" s="2"/>
      <c r="WWM85" s="2"/>
      <c r="WWN85" s="2"/>
      <c r="WWO85" s="2"/>
      <c r="WWP85" s="2"/>
      <c r="WWQ85" s="2"/>
      <c r="WWR85" s="2"/>
      <c r="WWS85" s="2"/>
      <c r="WWT85" s="2"/>
      <c r="WWU85" s="2"/>
      <c r="WWV85" s="2"/>
      <c r="WWW85" s="2"/>
      <c r="WWX85" s="2"/>
      <c r="WWY85" s="2"/>
      <c r="WWZ85" s="2"/>
      <c r="WXA85" s="2"/>
      <c r="WXB85" s="2"/>
      <c r="WXC85" s="2"/>
      <c r="WXD85" s="2"/>
      <c r="WXE85" s="2"/>
      <c r="WXF85" s="2"/>
      <c r="WXG85" s="2"/>
      <c r="WXH85" s="2"/>
      <c r="WXI85" s="2"/>
      <c r="WXJ85" s="2"/>
      <c r="WXK85" s="2"/>
      <c r="WXL85" s="2"/>
      <c r="WXM85" s="2"/>
      <c r="WXN85" s="2"/>
      <c r="WXO85" s="2"/>
      <c r="WXP85" s="2"/>
      <c r="WXQ85" s="2"/>
      <c r="WXR85" s="2"/>
      <c r="WXS85" s="2"/>
      <c r="WXT85" s="2"/>
      <c r="WXU85" s="2"/>
      <c r="WXV85" s="2"/>
      <c r="WXW85" s="2"/>
      <c r="WXX85" s="2"/>
      <c r="WXY85" s="2"/>
      <c r="WXZ85" s="2"/>
      <c r="WYA85" s="2"/>
      <c r="WYB85" s="2"/>
      <c r="WYC85" s="2"/>
      <c r="WYD85" s="2"/>
      <c r="WYE85" s="2"/>
      <c r="WYF85" s="2"/>
      <c r="WYG85" s="2"/>
      <c r="WYH85" s="2"/>
      <c r="WYI85" s="2"/>
      <c r="WYJ85" s="2"/>
      <c r="WYK85" s="2"/>
      <c r="WYL85" s="2"/>
      <c r="WYM85" s="2"/>
      <c r="WYN85" s="2"/>
      <c r="WYO85" s="2"/>
      <c r="WYP85" s="2"/>
      <c r="WYQ85" s="2"/>
      <c r="WYR85" s="2"/>
      <c r="WYS85" s="2"/>
      <c r="WYT85" s="2"/>
      <c r="WYU85" s="2"/>
      <c r="WYV85" s="2"/>
      <c r="WYW85" s="2"/>
      <c r="WYX85" s="2"/>
      <c r="WYY85" s="2"/>
      <c r="WYZ85" s="2"/>
      <c r="WZA85" s="2"/>
      <c r="WZB85" s="2"/>
      <c r="WZC85" s="2"/>
      <c r="WZD85" s="2"/>
      <c r="WZE85" s="2"/>
      <c r="WZF85" s="2"/>
      <c r="WZG85" s="2"/>
      <c r="WZH85" s="2"/>
      <c r="WZI85" s="2"/>
      <c r="WZJ85" s="2"/>
      <c r="WZK85" s="2"/>
      <c r="WZL85" s="2"/>
      <c r="WZM85" s="2"/>
      <c r="WZN85" s="2"/>
      <c r="WZO85" s="2"/>
      <c r="WZP85" s="2"/>
      <c r="WZQ85" s="2"/>
      <c r="WZR85" s="2"/>
      <c r="WZS85" s="2"/>
      <c r="WZT85" s="2"/>
      <c r="WZU85" s="2"/>
      <c r="WZV85" s="2"/>
      <c r="WZW85" s="2"/>
      <c r="WZX85" s="2"/>
      <c r="WZY85" s="2"/>
      <c r="WZZ85" s="2"/>
      <c r="XAA85" s="2"/>
      <c r="XAB85" s="2"/>
      <c r="XAC85" s="2"/>
      <c r="XAD85" s="2"/>
      <c r="XAE85" s="2"/>
      <c r="XAF85" s="2"/>
      <c r="XAG85" s="2"/>
      <c r="XAH85" s="2"/>
      <c r="XAI85" s="2"/>
      <c r="XAJ85" s="2"/>
      <c r="XAK85" s="2"/>
      <c r="XAL85" s="2"/>
      <c r="XAM85" s="2"/>
      <c r="XAN85" s="2"/>
      <c r="XAO85" s="2"/>
      <c r="XAP85" s="2"/>
      <c r="XAQ85" s="2"/>
      <c r="XAR85" s="2"/>
      <c r="XAS85" s="2"/>
      <c r="XAT85" s="2"/>
      <c r="XAU85" s="2"/>
      <c r="XAV85" s="2"/>
      <c r="XAW85" s="2"/>
      <c r="XAX85" s="2"/>
      <c r="XAY85" s="2"/>
      <c r="XAZ85" s="2"/>
      <c r="XBA85" s="2"/>
      <c r="XBB85" s="2"/>
      <c r="XBC85" s="2"/>
      <c r="XBD85" s="2"/>
      <c r="XBE85" s="2"/>
      <c r="XBF85" s="2"/>
      <c r="XBG85" s="2"/>
      <c r="XBH85" s="2"/>
      <c r="XBI85" s="2"/>
      <c r="XBJ85" s="2"/>
      <c r="XBK85" s="2"/>
      <c r="XBL85" s="2"/>
      <c r="XBM85" s="2"/>
      <c r="XBN85" s="2"/>
      <c r="XBO85" s="2"/>
      <c r="XBP85" s="2"/>
      <c r="XBQ85" s="2"/>
      <c r="XBR85" s="2"/>
      <c r="XBS85" s="2"/>
      <c r="XBT85" s="2"/>
      <c r="XBU85" s="2"/>
      <c r="XBV85" s="2"/>
      <c r="XBW85" s="2"/>
      <c r="XBX85" s="2"/>
      <c r="XBY85" s="2"/>
      <c r="XBZ85" s="2"/>
      <c r="XCA85" s="2"/>
      <c r="XCB85" s="2"/>
      <c r="XCC85" s="2"/>
      <c r="XCD85" s="2"/>
      <c r="XCE85" s="2"/>
      <c r="XCF85" s="2"/>
      <c r="XCG85" s="2"/>
      <c r="XCH85" s="2"/>
      <c r="XCI85" s="2"/>
      <c r="XCJ85" s="2"/>
      <c r="XCK85" s="2"/>
      <c r="XCL85" s="2"/>
      <c r="XCM85" s="2"/>
      <c r="XCN85" s="2"/>
      <c r="XCO85" s="2"/>
      <c r="XCP85" s="2"/>
      <c r="XCQ85" s="2"/>
      <c r="XCR85" s="2"/>
      <c r="XCS85" s="2"/>
      <c r="XCT85" s="2"/>
      <c r="XCU85" s="2"/>
      <c r="XCV85" s="2"/>
      <c r="XCW85" s="2"/>
      <c r="XCX85" s="2"/>
      <c r="XCY85" s="2"/>
      <c r="XCZ85" s="2"/>
      <c r="XDA85" s="2"/>
      <c r="XDB85" s="2"/>
      <c r="XDC85" s="2"/>
      <c r="XDD85" s="2"/>
      <c r="XDE85" s="2"/>
      <c r="XDF85" s="2"/>
      <c r="XDG85" s="2"/>
      <c r="XDH85" s="2"/>
      <c r="XDI85" s="2"/>
      <c r="XDJ85" s="2"/>
      <c r="XDK85" s="2"/>
      <c r="XDL85" s="2"/>
      <c r="XDM85" s="2"/>
      <c r="XDN85" s="2"/>
      <c r="XDO85" s="2"/>
      <c r="XDP85" s="2"/>
      <c r="XDQ85" s="2"/>
      <c r="XDR85" s="2"/>
      <c r="XDS85" s="2"/>
      <c r="XDT85" s="2"/>
      <c r="XDU85" s="2"/>
      <c r="XDV85" s="2"/>
      <c r="XDW85" s="2"/>
      <c r="XDX85" s="2"/>
      <c r="XDY85" s="2"/>
      <c r="XDZ85" s="2"/>
      <c r="XEA85" s="2"/>
      <c r="XEB85" s="2"/>
      <c r="XEC85" s="2"/>
      <c r="XED85" s="2"/>
      <c r="XEE85" s="2"/>
      <c r="XEF85" s="2"/>
      <c r="XEG85" s="2"/>
      <c r="XEH85" s="2"/>
      <c r="XEI85" s="2"/>
      <c r="XEJ85" s="2"/>
      <c r="XEK85" s="2"/>
      <c r="XEL85" s="2"/>
      <c r="XEM85" s="2"/>
      <c r="XEN85" s="2"/>
      <c r="XEO85" s="2"/>
      <c r="XEP85" s="2"/>
      <c r="XEQ85" s="2"/>
      <c r="XER85" s="2"/>
      <c r="XES85" s="2"/>
      <c r="XET85" s="2"/>
      <c r="XEU85" s="2"/>
      <c r="XEV85" s="2"/>
      <c r="XEW85" s="2"/>
      <c r="XEX85" s="2"/>
      <c r="XEY85" s="2"/>
      <c r="XEZ85" s="2"/>
      <c r="XFA85" s="2"/>
      <c r="XFB85" s="2"/>
    </row>
    <row r="86" spans="1:16382" s="2" customFormat="1" hidden="1">
      <c r="A86" s="85"/>
      <c r="J86" s="19"/>
      <c r="K86" s="23"/>
      <c r="L86" s="23"/>
      <c r="M86" s="23"/>
      <c r="N86" s="23"/>
      <c r="O86" s="46"/>
      <c r="P86" s="46"/>
      <c r="Q86" s="46"/>
      <c r="R86" s="47"/>
      <c r="S86" s="39"/>
      <c r="T86" s="39"/>
    </row>
    <row r="87" spans="1:16382" s="2" customFormat="1" hidden="1">
      <c r="A87" s="74"/>
      <c r="G87" s="1"/>
      <c r="H87" s="1"/>
      <c r="J87" s="19"/>
      <c r="K87" s="23"/>
      <c r="L87" s="23"/>
      <c r="M87" s="23"/>
      <c r="N87" s="23"/>
      <c r="O87" s="46"/>
      <c r="P87" s="46"/>
      <c r="Q87" s="46"/>
      <c r="R87" s="47"/>
      <c r="S87" s="39"/>
      <c r="T87" s="39"/>
    </row>
    <row r="88" spans="1:16382" s="2" customFormat="1" hidden="1">
      <c r="A88" s="74"/>
      <c r="G88" s="1"/>
      <c r="H88" s="1"/>
      <c r="J88" s="19"/>
      <c r="K88" s="23"/>
      <c r="L88" s="23"/>
      <c r="M88" s="23"/>
      <c r="N88" s="23"/>
      <c r="O88" s="46"/>
      <c r="P88" s="46"/>
      <c r="Q88" s="46"/>
      <c r="R88" s="47"/>
      <c r="S88" s="39"/>
      <c r="T88" s="39"/>
    </row>
    <row r="89" spans="1:16382" s="2" customFormat="1" hidden="1">
      <c r="A89" s="74"/>
      <c r="J89" s="19"/>
      <c r="K89" s="23"/>
      <c r="L89" s="23"/>
      <c r="M89" s="23"/>
      <c r="N89" s="23"/>
      <c r="O89" s="46"/>
      <c r="P89" s="46"/>
      <c r="Q89" s="46"/>
      <c r="R89" s="47"/>
      <c r="S89" s="39"/>
      <c r="T89" s="39"/>
    </row>
    <row r="90" spans="1:16382" s="2" customFormat="1" hidden="1">
      <c r="A90" s="74"/>
      <c r="J90" s="19"/>
      <c r="K90" s="23"/>
      <c r="L90" s="23"/>
      <c r="M90" s="23"/>
      <c r="N90" s="23"/>
      <c r="O90" s="46"/>
      <c r="P90" s="46"/>
      <c r="Q90" s="46"/>
      <c r="R90" s="47"/>
      <c r="S90" s="39"/>
      <c r="T90" s="39"/>
      <c r="U90" s="40"/>
    </row>
    <row r="91" spans="1:16382" s="2" customFormat="1" hidden="1">
      <c r="A91" s="74"/>
      <c r="J91" s="19"/>
      <c r="K91" s="23"/>
      <c r="L91" s="23"/>
      <c r="M91" s="23"/>
      <c r="N91" s="23"/>
      <c r="O91" s="46"/>
      <c r="P91" s="46"/>
      <c r="Q91" s="46"/>
      <c r="R91" s="47"/>
      <c r="S91" s="39"/>
      <c r="T91" s="39"/>
      <c r="U91" s="48"/>
    </row>
    <row r="92" spans="1:16382" s="2" customFormat="1" hidden="1">
      <c r="A92" s="74"/>
      <c r="J92" s="19"/>
      <c r="K92" s="23"/>
      <c r="L92" s="23"/>
      <c r="M92" s="23"/>
      <c r="N92" s="23"/>
      <c r="O92" s="46"/>
      <c r="P92" s="46"/>
      <c r="Q92" s="46"/>
      <c r="R92" s="47"/>
      <c r="S92" s="40"/>
      <c r="T92" s="39"/>
    </row>
    <row r="93" spans="1:16382" s="2" customFormat="1" hidden="1">
      <c r="A93" s="74"/>
      <c r="J93" s="19"/>
      <c r="K93" s="23"/>
      <c r="L93" s="23"/>
      <c r="M93" s="23"/>
      <c r="N93" s="23"/>
      <c r="O93" s="46"/>
      <c r="P93" s="46"/>
      <c r="Q93" s="46"/>
      <c r="R93" s="47"/>
      <c r="S93" s="40"/>
      <c r="T93" s="39"/>
    </row>
    <row r="94" spans="1:16382" s="2" customFormat="1" hidden="1">
      <c r="A94" s="74"/>
      <c r="J94" s="19"/>
      <c r="K94" s="23"/>
      <c r="L94" s="23"/>
      <c r="M94" s="23"/>
      <c r="N94" s="23"/>
      <c r="O94" s="46"/>
      <c r="P94" s="46"/>
      <c r="Q94" s="46"/>
      <c r="R94" s="47"/>
      <c r="S94" s="40"/>
      <c r="T94" s="39"/>
    </row>
    <row r="95" spans="1:16382" s="2" customFormat="1" ht="12.5" hidden="1">
      <c r="A95" s="74"/>
      <c r="F95" s="1"/>
      <c r="J95" s="19"/>
      <c r="K95" s="49"/>
      <c r="L95" s="50"/>
      <c r="M95" s="313"/>
      <c r="N95" s="305"/>
      <c r="O95" s="23"/>
      <c r="P95" s="51"/>
      <c r="Q95" s="23"/>
      <c r="R95" s="52"/>
      <c r="S95" s="40"/>
      <c r="T95" s="39"/>
    </row>
    <row r="96" spans="1:16382" s="2" customFormat="1" ht="12.5" hidden="1">
      <c r="A96" s="74"/>
      <c r="F96" s="1"/>
      <c r="J96" s="19"/>
      <c r="K96" s="53"/>
      <c r="L96" s="50"/>
      <c r="M96" s="307"/>
      <c r="N96" s="305"/>
      <c r="O96" s="23"/>
      <c r="P96" s="123"/>
      <c r="Q96" s="123"/>
      <c r="R96" s="54"/>
      <c r="S96" s="40"/>
      <c r="T96" s="55"/>
    </row>
    <row r="97" spans="1:16382" s="2" customFormat="1" ht="12.5" hidden="1">
      <c r="A97" s="74"/>
      <c r="B97" s="1"/>
      <c r="C97" s="1"/>
      <c r="D97" s="1"/>
      <c r="E97" s="1"/>
      <c r="F97" s="1"/>
      <c r="J97" s="19"/>
      <c r="K97" s="53"/>
      <c r="L97" s="50"/>
      <c r="M97" s="307"/>
      <c r="N97" s="305"/>
      <c r="O97" s="123"/>
      <c r="P97" s="123"/>
      <c r="Q97" s="123"/>
      <c r="R97" s="25"/>
      <c r="S97" s="48"/>
      <c r="T97" s="56"/>
    </row>
    <row r="98" spans="1:16382" s="2" customFormat="1" hidden="1">
      <c r="A98" s="74"/>
      <c r="B98" s="1"/>
      <c r="C98" s="1"/>
      <c r="D98" s="1"/>
      <c r="E98" s="1"/>
      <c r="F98" s="1"/>
      <c r="J98" s="19"/>
      <c r="K98" s="23"/>
      <c r="L98" s="23"/>
      <c r="M98" s="23"/>
      <c r="N98" s="23"/>
      <c r="O98" s="123"/>
      <c r="P98" s="123"/>
      <c r="Q98" s="123"/>
      <c r="R98" s="47"/>
      <c r="T98" s="39"/>
    </row>
    <row r="99" spans="1:16382" s="2" customFormat="1" ht="12.5" hidden="1">
      <c r="A99" s="74"/>
      <c r="B99" s="1"/>
      <c r="C99" s="1"/>
      <c r="D99" s="1"/>
      <c r="E99" s="1"/>
      <c r="F99" s="1"/>
      <c r="J99" s="19"/>
      <c r="K99" s="306"/>
      <c r="L99" s="305"/>
      <c r="M99" s="122"/>
      <c r="N99" s="123"/>
      <c r="O99" s="123"/>
      <c r="P99" s="123"/>
      <c r="Q99" s="123"/>
      <c r="R99" s="25"/>
      <c r="T99" s="56"/>
    </row>
    <row r="100" spans="1:16382" s="2" customFormat="1" hidden="1">
      <c r="A100" s="74"/>
      <c r="B100" s="1"/>
      <c r="C100" s="1"/>
      <c r="D100" s="1"/>
      <c r="E100" s="1"/>
      <c r="F100" s="1"/>
      <c r="J100" s="19"/>
      <c r="K100" s="23"/>
      <c r="L100" s="23"/>
      <c r="M100" s="23"/>
      <c r="N100" s="23"/>
      <c r="O100" s="123"/>
      <c r="P100" s="57"/>
      <c r="Q100" s="57"/>
      <c r="R100" s="58"/>
      <c r="S100" s="1"/>
      <c r="T100" s="59"/>
      <c r="U100" s="1"/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/>
      <c r="AP100" s="1"/>
      <c r="AQ100" s="1"/>
      <c r="AR100" s="1"/>
      <c r="AS100" s="1"/>
      <c r="AT100" s="1"/>
      <c r="AU100" s="1"/>
      <c r="AV100" s="1"/>
      <c r="AW100" s="1"/>
      <c r="AX100" s="1"/>
      <c r="AY100" s="1"/>
      <c r="AZ100" s="1"/>
      <c r="BA100" s="1"/>
      <c r="BB100" s="1"/>
      <c r="BC100" s="1"/>
      <c r="BD100" s="1"/>
      <c r="BE100" s="1"/>
      <c r="BF100" s="1"/>
      <c r="BG100" s="1"/>
      <c r="BH100" s="1"/>
      <c r="BI100" s="1"/>
      <c r="BJ100" s="1"/>
      <c r="BK100" s="1"/>
      <c r="BL100" s="1"/>
      <c r="BM100" s="1"/>
      <c r="BN100" s="1"/>
      <c r="BO100" s="1"/>
      <c r="BP100" s="1"/>
      <c r="BQ100" s="1"/>
      <c r="BR100" s="1"/>
      <c r="BS100" s="1"/>
      <c r="BT100" s="1"/>
      <c r="BU100" s="1"/>
      <c r="BV100" s="1"/>
      <c r="BW100" s="1"/>
      <c r="BX100" s="1"/>
      <c r="BY100" s="1"/>
      <c r="BZ100" s="1"/>
      <c r="CA100" s="1"/>
      <c r="CB100" s="1"/>
      <c r="CC100" s="1"/>
      <c r="CD100" s="1"/>
      <c r="CE100" s="1"/>
      <c r="CF100" s="1"/>
      <c r="CG100" s="1"/>
      <c r="CH100" s="1"/>
      <c r="CI100" s="1"/>
      <c r="CJ100" s="1"/>
      <c r="CK100" s="1"/>
      <c r="CL100" s="1"/>
      <c r="CM100" s="1"/>
      <c r="CN100" s="1"/>
      <c r="CO100" s="1"/>
      <c r="CP100" s="1"/>
      <c r="CQ100" s="1"/>
      <c r="CR100" s="1"/>
      <c r="CS100" s="1"/>
      <c r="CT100" s="1"/>
      <c r="CU100" s="1"/>
      <c r="CV100" s="1"/>
      <c r="CW100" s="1"/>
      <c r="CX100" s="1"/>
      <c r="CY100" s="1"/>
      <c r="CZ100" s="1"/>
      <c r="DA100" s="1"/>
      <c r="DB100" s="1"/>
      <c r="DC100" s="1"/>
      <c r="DD100" s="1"/>
      <c r="DE100" s="1"/>
      <c r="DF100" s="1"/>
      <c r="DG100" s="1"/>
      <c r="DH100" s="1"/>
      <c r="DI100" s="1"/>
      <c r="DJ100" s="1"/>
      <c r="DK100" s="1"/>
      <c r="DL100" s="1"/>
      <c r="DM100" s="1"/>
      <c r="DN100" s="1"/>
      <c r="DO100" s="1"/>
      <c r="DP100" s="1"/>
      <c r="DQ100" s="1"/>
      <c r="DR100" s="1"/>
      <c r="DS100" s="1"/>
      <c r="DT100" s="1"/>
      <c r="DU100" s="1"/>
      <c r="DV100" s="1"/>
      <c r="DW100" s="1"/>
      <c r="DX100" s="1"/>
      <c r="DY100" s="1"/>
      <c r="DZ100" s="1"/>
      <c r="EA100" s="1"/>
      <c r="EB100" s="1"/>
      <c r="EC100" s="1"/>
      <c r="ED100" s="1"/>
      <c r="EE100" s="1"/>
      <c r="EF100" s="1"/>
      <c r="EG100" s="1"/>
      <c r="EH100" s="1"/>
      <c r="EI100" s="1"/>
      <c r="EJ100" s="1"/>
      <c r="EK100" s="1"/>
      <c r="EL100" s="1"/>
      <c r="EM100" s="1"/>
      <c r="EN100" s="1"/>
      <c r="EO100" s="1"/>
      <c r="EP100" s="1"/>
      <c r="EQ100" s="1"/>
      <c r="ER100" s="1"/>
      <c r="ES100" s="1"/>
      <c r="ET100" s="1"/>
      <c r="EU100" s="1"/>
      <c r="EV100" s="1"/>
      <c r="EW100" s="1"/>
      <c r="EX100" s="1"/>
      <c r="EY100" s="1"/>
      <c r="EZ100" s="1"/>
      <c r="FA100" s="1"/>
      <c r="FB100" s="1"/>
      <c r="FC100" s="1"/>
      <c r="FD100" s="1"/>
      <c r="FE100" s="1"/>
      <c r="FF100" s="1"/>
      <c r="FG100" s="1"/>
      <c r="FH100" s="1"/>
      <c r="FI100" s="1"/>
      <c r="FJ100" s="1"/>
      <c r="FK100" s="1"/>
      <c r="FL100" s="1"/>
      <c r="FM100" s="1"/>
      <c r="FN100" s="1"/>
      <c r="FO100" s="1"/>
      <c r="FP100" s="1"/>
      <c r="FQ100" s="1"/>
      <c r="FR100" s="1"/>
      <c r="FS100" s="1"/>
      <c r="FT100" s="1"/>
      <c r="FU100" s="1"/>
      <c r="FV100" s="1"/>
      <c r="FW100" s="1"/>
      <c r="FX100" s="1"/>
      <c r="FY100" s="1"/>
      <c r="FZ100" s="1"/>
      <c r="GA100" s="1"/>
      <c r="GB100" s="1"/>
      <c r="GC100" s="1"/>
      <c r="GD100" s="1"/>
      <c r="GE100" s="1"/>
      <c r="GF100" s="1"/>
      <c r="GG100" s="1"/>
      <c r="GH100" s="1"/>
      <c r="GI100" s="1"/>
      <c r="GJ100" s="1"/>
      <c r="GK100" s="1"/>
      <c r="GL100" s="1"/>
      <c r="GM100" s="1"/>
      <c r="GN100" s="1"/>
      <c r="GO100" s="1"/>
      <c r="GP100" s="1"/>
      <c r="GQ100" s="1"/>
      <c r="GR100" s="1"/>
      <c r="GS100" s="1"/>
      <c r="GT100" s="1"/>
      <c r="GU100" s="1"/>
      <c r="GV100" s="1"/>
      <c r="GW100" s="1"/>
      <c r="GX100" s="1"/>
      <c r="GY100" s="1"/>
      <c r="GZ100" s="1"/>
      <c r="HA100" s="1"/>
      <c r="HB100" s="1"/>
      <c r="HC100" s="1"/>
      <c r="HD100" s="1"/>
      <c r="HE100" s="1"/>
      <c r="HF100" s="1"/>
      <c r="HG100" s="1"/>
      <c r="HH100" s="1"/>
      <c r="HI100" s="1"/>
      <c r="HJ100" s="1"/>
      <c r="HK100" s="1"/>
      <c r="HL100" s="1"/>
      <c r="HM100" s="1"/>
      <c r="HN100" s="1"/>
      <c r="HO100" s="1"/>
      <c r="HP100" s="1"/>
      <c r="HQ100" s="1"/>
      <c r="HR100" s="1"/>
      <c r="HS100" s="1"/>
      <c r="HT100" s="1"/>
      <c r="HU100" s="1"/>
      <c r="HV100" s="1"/>
      <c r="HW100" s="1"/>
      <c r="HX100" s="1"/>
      <c r="HY100" s="1"/>
      <c r="HZ100" s="1"/>
      <c r="IA100" s="1"/>
      <c r="IB100" s="1"/>
      <c r="IC100" s="1"/>
      <c r="ID100" s="1"/>
      <c r="IE100" s="1"/>
      <c r="IF100" s="1"/>
      <c r="IG100" s="1"/>
      <c r="IH100" s="1"/>
      <c r="II100" s="1"/>
      <c r="IJ100" s="1"/>
      <c r="IK100" s="1"/>
      <c r="IL100" s="1"/>
      <c r="IM100" s="1"/>
      <c r="IN100" s="1"/>
      <c r="IO100" s="1"/>
      <c r="IP100" s="1"/>
      <c r="IQ100" s="1"/>
      <c r="IR100" s="1"/>
      <c r="IS100" s="1"/>
      <c r="IT100" s="1"/>
      <c r="IU100" s="1"/>
      <c r="IV100" s="1"/>
      <c r="IW100" s="1"/>
      <c r="IX100" s="1"/>
      <c r="IY100" s="1"/>
      <c r="IZ100" s="1"/>
      <c r="JA100" s="1"/>
      <c r="JB100" s="1"/>
      <c r="JC100" s="1"/>
      <c r="JD100" s="1"/>
      <c r="JE100" s="1"/>
      <c r="JF100" s="1"/>
      <c r="JG100" s="1"/>
      <c r="JH100" s="1"/>
      <c r="JI100" s="1"/>
      <c r="JJ100" s="1"/>
      <c r="JK100" s="1"/>
      <c r="JL100" s="1"/>
      <c r="JM100" s="1"/>
      <c r="JN100" s="1"/>
      <c r="JO100" s="1"/>
      <c r="JP100" s="1"/>
      <c r="JQ100" s="1"/>
      <c r="JR100" s="1"/>
      <c r="JS100" s="1"/>
      <c r="JT100" s="1"/>
      <c r="JU100" s="1"/>
      <c r="JV100" s="1"/>
      <c r="JW100" s="1"/>
      <c r="JX100" s="1"/>
      <c r="JY100" s="1"/>
      <c r="JZ100" s="1"/>
      <c r="KA100" s="1"/>
      <c r="KB100" s="1"/>
      <c r="KC100" s="1"/>
      <c r="KD100" s="1"/>
      <c r="KE100" s="1"/>
      <c r="KF100" s="1"/>
      <c r="KG100" s="1"/>
      <c r="KH100" s="1"/>
      <c r="KI100" s="1"/>
      <c r="KJ100" s="1"/>
      <c r="KK100" s="1"/>
      <c r="KL100" s="1"/>
      <c r="KM100" s="1"/>
      <c r="KN100" s="1"/>
      <c r="KO100" s="1"/>
      <c r="KP100" s="1"/>
      <c r="KQ100" s="1"/>
      <c r="KR100" s="1"/>
      <c r="KS100" s="1"/>
      <c r="KT100" s="1"/>
      <c r="KU100" s="1"/>
      <c r="KV100" s="1"/>
      <c r="KW100" s="1"/>
      <c r="KX100" s="1"/>
      <c r="KY100" s="1"/>
      <c r="KZ100" s="1"/>
      <c r="LA100" s="1"/>
      <c r="LB100" s="1"/>
      <c r="LC100" s="1"/>
      <c r="LD100" s="1"/>
      <c r="LE100" s="1"/>
      <c r="LF100" s="1"/>
      <c r="LG100" s="1"/>
      <c r="LH100" s="1"/>
      <c r="LI100" s="1"/>
      <c r="LJ100" s="1"/>
      <c r="LK100" s="1"/>
      <c r="LL100" s="1"/>
      <c r="LM100" s="1"/>
      <c r="LN100" s="1"/>
      <c r="LO100" s="1"/>
      <c r="LP100" s="1"/>
      <c r="LQ100" s="1"/>
      <c r="LR100" s="1"/>
      <c r="LS100" s="1"/>
      <c r="LT100" s="1"/>
      <c r="LU100" s="1"/>
      <c r="LV100" s="1"/>
      <c r="LW100" s="1"/>
      <c r="LX100" s="1"/>
      <c r="LY100" s="1"/>
      <c r="LZ100" s="1"/>
      <c r="MA100" s="1"/>
      <c r="MB100" s="1"/>
      <c r="MC100" s="1"/>
      <c r="MD100" s="1"/>
      <c r="ME100" s="1"/>
      <c r="MF100" s="1"/>
      <c r="MG100" s="1"/>
      <c r="MH100" s="1"/>
      <c r="MI100" s="1"/>
      <c r="MJ100" s="1"/>
      <c r="MK100" s="1"/>
      <c r="ML100" s="1"/>
      <c r="MM100" s="1"/>
      <c r="MN100" s="1"/>
      <c r="MO100" s="1"/>
      <c r="MP100" s="1"/>
      <c r="MQ100" s="1"/>
      <c r="MR100" s="1"/>
      <c r="MS100" s="1"/>
      <c r="MT100" s="1"/>
      <c r="MU100" s="1"/>
      <c r="MV100" s="1"/>
      <c r="MW100" s="1"/>
      <c r="MX100" s="1"/>
      <c r="MY100" s="1"/>
      <c r="MZ100" s="1"/>
      <c r="NA100" s="1"/>
      <c r="NB100" s="1"/>
      <c r="NC100" s="1"/>
      <c r="ND100" s="1"/>
      <c r="NE100" s="1"/>
      <c r="NF100" s="1"/>
      <c r="NG100" s="1"/>
      <c r="NH100" s="1"/>
      <c r="NI100" s="1"/>
      <c r="NJ100" s="1"/>
      <c r="NK100" s="1"/>
      <c r="NL100" s="1"/>
      <c r="NM100" s="1"/>
      <c r="NN100" s="1"/>
      <c r="NO100" s="1"/>
      <c r="NP100" s="1"/>
      <c r="NQ100" s="1"/>
      <c r="NR100" s="1"/>
      <c r="NS100" s="1"/>
      <c r="NT100" s="1"/>
      <c r="NU100" s="1"/>
      <c r="NV100" s="1"/>
      <c r="NW100" s="1"/>
      <c r="NX100" s="1"/>
      <c r="NY100" s="1"/>
      <c r="NZ100" s="1"/>
      <c r="OA100" s="1"/>
      <c r="OB100" s="1"/>
      <c r="OC100" s="1"/>
      <c r="OD100" s="1"/>
      <c r="OE100" s="1"/>
      <c r="OF100" s="1"/>
      <c r="OG100" s="1"/>
      <c r="OH100" s="1"/>
      <c r="OI100" s="1"/>
      <c r="OJ100" s="1"/>
      <c r="OK100" s="1"/>
      <c r="OL100" s="1"/>
      <c r="OM100" s="1"/>
      <c r="ON100" s="1"/>
      <c r="OO100" s="1"/>
      <c r="OP100" s="1"/>
      <c r="OQ100" s="1"/>
      <c r="OR100" s="1"/>
      <c r="OS100" s="1"/>
      <c r="OT100" s="1"/>
      <c r="OU100" s="1"/>
      <c r="OV100" s="1"/>
      <c r="OW100" s="1"/>
      <c r="OX100" s="1"/>
      <c r="OY100" s="1"/>
      <c r="OZ100" s="1"/>
      <c r="PA100" s="1"/>
      <c r="PB100" s="1"/>
      <c r="PC100" s="1"/>
      <c r="PD100" s="1"/>
      <c r="PE100" s="1"/>
      <c r="PF100" s="1"/>
      <c r="PG100" s="1"/>
      <c r="PH100" s="1"/>
      <c r="PI100" s="1"/>
      <c r="PJ100" s="1"/>
      <c r="PK100" s="1"/>
      <c r="PL100" s="1"/>
      <c r="PM100" s="1"/>
      <c r="PN100" s="1"/>
      <c r="PO100" s="1"/>
      <c r="PP100" s="1"/>
      <c r="PQ100" s="1"/>
      <c r="PR100" s="1"/>
      <c r="PS100" s="1"/>
      <c r="PT100" s="1"/>
      <c r="PU100" s="1"/>
      <c r="PV100" s="1"/>
      <c r="PW100" s="1"/>
      <c r="PX100" s="1"/>
      <c r="PY100" s="1"/>
      <c r="PZ100" s="1"/>
      <c r="QA100" s="1"/>
      <c r="QB100" s="1"/>
      <c r="QC100" s="1"/>
      <c r="QD100" s="1"/>
      <c r="QE100" s="1"/>
      <c r="QF100" s="1"/>
      <c r="QG100" s="1"/>
      <c r="QH100" s="1"/>
      <c r="QI100" s="1"/>
      <c r="QJ100" s="1"/>
      <c r="QK100" s="1"/>
      <c r="QL100" s="1"/>
      <c r="QM100" s="1"/>
      <c r="QN100" s="1"/>
      <c r="QO100" s="1"/>
      <c r="QP100" s="1"/>
      <c r="QQ100" s="1"/>
      <c r="QR100" s="1"/>
      <c r="QS100" s="1"/>
      <c r="QT100" s="1"/>
      <c r="QU100" s="1"/>
      <c r="QV100" s="1"/>
      <c r="QW100" s="1"/>
      <c r="QX100" s="1"/>
      <c r="QY100" s="1"/>
      <c r="QZ100" s="1"/>
      <c r="RA100" s="1"/>
      <c r="RB100" s="1"/>
      <c r="RC100" s="1"/>
      <c r="RD100" s="1"/>
      <c r="RE100" s="1"/>
      <c r="RF100" s="1"/>
      <c r="RG100" s="1"/>
      <c r="RH100" s="1"/>
      <c r="RI100" s="1"/>
      <c r="RJ100" s="1"/>
      <c r="RK100" s="1"/>
      <c r="RL100" s="1"/>
      <c r="RM100" s="1"/>
      <c r="RN100" s="1"/>
      <c r="RO100" s="1"/>
      <c r="RP100" s="1"/>
      <c r="RQ100" s="1"/>
      <c r="RR100" s="1"/>
      <c r="RS100" s="1"/>
      <c r="RT100" s="1"/>
      <c r="RU100" s="1"/>
      <c r="RV100" s="1"/>
      <c r="RW100" s="1"/>
      <c r="RX100" s="1"/>
      <c r="RY100" s="1"/>
      <c r="RZ100" s="1"/>
      <c r="SA100" s="1"/>
      <c r="SB100" s="1"/>
      <c r="SC100" s="1"/>
      <c r="SD100" s="1"/>
      <c r="SE100" s="1"/>
      <c r="SF100" s="1"/>
      <c r="SG100" s="1"/>
      <c r="SH100" s="1"/>
      <c r="SI100" s="1"/>
      <c r="SJ100" s="1"/>
      <c r="SK100" s="1"/>
      <c r="SL100" s="1"/>
      <c r="SM100" s="1"/>
      <c r="SN100" s="1"/>
      <c r="SO100" s="1"/>
      <c r="SP100" s="1"/>
      <c r="SQ100" s="1"/>
      <c r="SR100" s="1"/>
      <c r="SS100" s="1"/>
      <c r="ST100" s="1"/>
      <c r="SU100" s="1"/>
      <c r="SV100" s="1"/>
      <c r="SW100" s="1"/>
      <c r="SX100" s="1"/>
      <c r="SY100" s="1"/>
      <c r="SZ100" s="1"/>
      <c r="TA100" s="1"/>
      <c r="TB100" s="1"/>
      <c r="TC100" s="1"/>
      <c r="TD100" s="1"/>
      <c r="TE100" s="1"/>
      <c r="TF100" s="1"/>
      <c r="TG100" s="1"/>
      <c r="TH100" s="1"/>
      <c r="TI100" s="1"/>
      <c r="TJ100" s="1"/>
      <c r="TK100" s="1"/>
      <c r="TL100" s="1"/>
      <c r="TM100" s="1"/>
      <c r="TN100" s="1"/>
      <c r="TO100" s="1"/>
      <c r="TP100" s="1"/>
      <c r="TQ100" s="1"/>
      <c r="TR100" s="1"/>
      <c r="TS100" s="1"/>
      <c r="TT100" s="1"/>
      <c r="TU100" s="1"/>
      <c r="TV100" s="1"/>
      <c r="TW100" s="1"/>
      <c r="TX100" s="1"/>
      <c r="TY100" s="1"/>
      <c r="TZ100" s="1"/>
      <c r="UA100" s="1"/>
      <c r="UB100" s="1"/>
      <c r="UC100" s="1"/>
      <c r="UD100" s="1"/>
      <c r="UE100" s="1"/>
      <c r="UF100" s="1"/>
      <c r="UG100" s="1"/>
      <c r="UH100" s="1"/>
      <c r="UI100" s="1"/>
      <c r="UJ100" s="1"/>
      <c r="UK100" s="1"/>
      <c r="UL100" s="1"/>
      <c r="UM100" s="1"/>
      <c r="UN100" s="1"/>
      <c r="UO100" s="1"/>
      <c r="UP100" s="1"/>
      <c r="UQ100" s="1"/>
      <c r="UR100" s="1"/>
      <c r="US100" s="1"/>
      <c r="UT100" s="1"/>
      <c r="UU100" s="1"/>
      <c r="UV100" s="1"/>
      <c r="UW100" s="1"/>
      <c r="UX100" s="1"/>
      <c r="UY100" s="1"/>
      <c r="UZ100" s="1"/>
      <c r="VA100" s="1"/>
      <c r="VB100" s="1"/>
      <c r="VC100" s="1"/>
      <c r="VD100" s="1"/>
      <c r="VE100" s="1"/>
      <c r="VF100" s="1"/>
      <c r="VG100" s="1"/>
      <c r="VH100" s="1"/>
      <c r="VI100" s="1"/>
      <c r="VJ100" s="1"/>
      <c r="VK100" s="1"/>
      <c r="VL100" s="1"/>
      <c r="VM100" s="1"/>
      <c r="VN100" s="1"/>
      <c r="VO100" s="1"/>
      <c r="VP100" s="1"/>
      <c r="VQ100" s="1"/>
      <c r="VR100" s="1"/>
      <c r="VS100" s="1"/>
      <c r="VT100" s="1"/>
      <c r="VU100" s="1"/>
      <c r="VV100" s="1"/>
      <c r="VW100" s="1"/>
      <c r="VX100" s="1"/>
      <c r="VY100" s="1"/>
      <c r="VZ100" s="1"/>
      <c r="WA100" s="1"/>
      <c r="WB100" s="1"/>
      <c r="WC100" s="1"/>
      <c r="WD100" s="1"/>
      <c r="WE100" s="1"/>
      <c r="WF100" s="1"/>
      <c r="WG100" s="1"/>
      <c r="WH100" s="1"/>
      <c r="WI100" s="1"/>
      <c r="WJ100" s="1"/>
      <c r="WK100" s="1"/>
      <c r="WL100" s="1"/>
      <c r="WM100" s="1"/>
      <c r="WN100" s="1"/>
      <c r="WO100" s="1"/>
      <c r="WP100" s="1"/>
      <c r="WQ100" s="1"/>
      <c r="WR100" s="1"/>
      <c r="WS100" s="1"/>
      <c r="WT100" s="1"/>
      <c r="WU100" s="1"/>
      <c r="WV100" s="1"/>
      <c r="WW100" s="1"/>
      <c r="WX100" s="1"/>
      <c r="WY100" s="1"/>
      <c r="WZ100" s="1"/>
      <c r="XA100" s="1"/>
      <c r="XB100" s="1"/>
      <c r="XC100" s="1"/>
      <c r="XD100" s="1"/>
      <c r="XE100" s="1"/>
      <c r="XF100" s="1"/>
      <c r="XG100" s="1"/>
      <c r="XH100" s="1"/>
      <c r="XI100" s="1"/>
      <c r="XJ100" s="1"/>
      <c r="XK100" s="1"/>
      <c r="XL100" s="1"/>
      <c r="XM100" s="1"/>
      <c r="XN100" s="1"/>
      <c r="XO100" s="1"/>
      <c r="XP100" s="1"/>
      <c r="XQ100" s="1"/>
      <c r="XR100" s="1"/>
      <c r="XS100" s="1"/>
      <c r="XT100" s="1"/>
      <c r="XU100" s="1"/>
      <c r="XV100" s="1"/>
      <c r="XW100" s="1"/>
      <c r="XX100" s="1"/>
      <c r="XY100" s="1"/>
      <c r="XZ100" s="1"/>
      <c r="YA100" s="1"/>
      <c r="YB100" s="1"/>
      <c r="YC100" s="1"/>
      <c r="YD100" s="1"/>
      <c r="YE100" s="1"/>
      <c r="YF100" s="1"/>
      <c r="YG100" s="1"/>
      <c r="YH100" s="1"/>
      <c r="YI100" s="1"/>
      <c r="YJ100" s="1"/>
      <c r="YK100" s="1"/>
      <c r="YL100" s="1"/>
      <c r="YM100" s="1"/>
      <c r="YN100" s="1"/>
      <c r="YO100" s="1"/>
      <c r="YP100" s="1"/>
      <c r="YQ100" s="1"/>
      <c r="YR100" s="1"/>
      <c r="YS100" s="1"/>
      <c r="YT100" s="1"/>
      <c r="YU100" s="1"/>
      <c r="YV100" s="1"/>
      <c r="YW100" s="1"/>
      <c r="YX100" s="1"/>
      <c r="YY100" s="1"/>
      <c r="YZ100" s="1"/>
      <c r="ZA100" s="1"/>
      <c r="ZB100" s="1"/>
      <c r="ZC100" s="1"/>
      <c r="ZD100" s="1"/>
      <c r="ZE100" s="1"/>
      <c r="ZF100" s="1"/>
      <c r="ZG100" s="1"/>
      <c r="ZH100" s="1"/>
      <c r="ZI100" s="1"/>
      <c r="ZJ100" s="1"/>
      <c r="ZK100" s="1"/>
      <c r="ZL100" s="1"/>
      <c r="ZM100" s="1"/>
      <c r="ZN100" s="1"/>
      <c r="ZO100" s="1"/>
      <c r="ZP100" s="1"/>
      <c r="ZQ100" s="1"/>
      <c r="ZR100" s="1"/>
      <c r="ZS100" s="1"/>
      <c r="ZT100" s="1"/>
      <c r="ZU100" s="1"/>
      <c r="ZV100" s="1"/>
      <c r="ZW100" s="1"/>
      <c r="ZX100" s="1"/>
      <c r="ZY100" s="1"/>
      <c r="ZZ100" s="1"/>
      <c r="AAA100" s="1"/>
      <c r="AAB100" s="1"/>
      <c r="AAC100" s="1"/>
      <c r="AAD100" s="1"/>
      <c r="AAE100" s="1"/>
      <c r="AAF100" s="1"/>
      <c r="AAG100" s="1"/>
      <c r="AAH100" s="1"/>
      <c r="AAI100" s="1"/>
      <c r="AAJ100" s="1"/>
      <c r="AAK100" s="1"/>
      <c r="AAL100" s="1"/>
      <c r="AAM100" s="1"/>
      <c r="AAN100" s="1"/>
      <c r="AAO100" s="1"/>
      <c r="AAP100" s="1"/>
      <c r="AAQ100" s="1"/>
      <c r="AAR100" s="1"/>
      <c r="AAS100" s="1"/>
      <c r="AAT100" s="1"/>
      <c r="AAU100" s="1"/>
      <c r="AAV100" s="1"/>
      <c r="AAW100" s="1"/>
      <c r="AAX100" s="1"/>
      <c r="AAY100" s="1"/>
      <c r="AAZ100" s="1"/>
      <c r="ABA100" s="1"/>
      <c r="ABB100" s="1"/>
      <c r="ABC100" s="1"/>
      <c r="ABD100" s="1"/>
      <c r="ABE100" s="1"/>
      <c r="ABF100" s="1"/>
      <c r="ABG100" s="1"/>
      <c r="ABH100" s="1"/>
      <c r="ABI100" s="1"/>
      <c r="ABJ100" s="1"/>
      <c r="ABK100" s="1"/>
      <c r="ABL100" s="1"/>
      <c r="ABM100" s="1"/>
      <c r="ABN100" s="1"/>
      <c r="ABO100" s="1"/>
      <c r="ABP100" s="1"/>
      <c r="ABQ100" s="1"/>
      <c r="ABR100" s="1"/>
      <c r="ABS100" s="1"/>
      <c r="ABT100" s="1"/>
      <c r="ABU100" s="1"/>
      <c r="ABV100" s="1"/>
      <c r="ABW100" s="1"/>
      <c r="ABX100" s="1"/>
      <c r="ABY100" s="1"/>
      <c r="ABZ100" s="1"/>
      <c r="ACA100" s="1"/>
      <c r="ACB100" s="1"/>
      <c r="ACC100" s="1"/>
      <c r="ACD100" s="1"/>
      <c r="ACE100" s="1"/>
      <c r="ACF100" s="1"/>
      <c r="ACG100" s="1"/>
      <c r="ACH100" s="1"/>
      <c r="ACI100" s="1"/>
      <c r="ACJ100" s="1"/>
      <c r="ACK100" s="1"/>
      <c r="ACL100" s="1"/>
      <c r="ACM100" s="1"/>
      <c r="ACN100" s="1"/>
      <c r="ACO100" s="1"/>
      <c r="ACP100" s="1"/>
      <c r="ACQ100" s="1"/>
      <c r="ACR100" s="1"/>
      <c r="ACS100" s="1"/>
      <c r="ACT100" s="1"/>
      <c r="ACU100" s="1"/>
      <c r="ACV100" s="1"/>
      <c r="ACW100" s="1"/>
      <c r="ACX100" s="1"/>
      <c r="ACY100" s="1"/>
      <c r="ACZ100" s="1"/>
      <c r="ADA100" s="1"/>
      <c r="ADB100" s="1"/>
      <c r="ADC100" s="1"/>
      <c r="ADD100" s="1"/>
      <c r="ADE100" s="1"/>
      <c r="ADF100" s="1"/>
      <c r="ADG100" s="1"/>
      <c r="ADH100" s="1"/>
      <c r="ADI100" s="1"/>
      <c r="ADJ100" s="1"/>
      <c r="ADK100" s="1"/>
      <c r="ADL100" s="1"/>
      <c r="ADM100" s="1"/>
      <c r="ADN100" s="1"/>
      <c r="ADO100" s="1"/>
      <c r="ADP100" s="1"/>
      <c r="ADQ100" s="1"/>
      <c r="ADR100" s="1"/>
      <c r="ADS100" s="1"/>
      <c r="ADT100" s="1"/>
      <c r="ADU100" s="1"/>
      <c r="ADV100" s="1"/>
      <c r="ADW100" s="1"/>
      <c r="ADX100" s="1"/>
      <c r="ADY100" s="1"/>
      <c r="ADZ100" s="1"/>
      <c r="AEA100" s="1"/>
      <c r="AEB100" s="1"/>
      <c r="AEC100" s="1"/>
      <c r="AED100" s="1"/>
      <c r="AEE100" s="1"/>
      <c r="AEF100" s="1"/>
      <c r="AEG100" s="1"/>
      <c r="AEH100" s="1"/>
      <c r="AEI100" s="1"/>
      <c r="AEJ100" s="1"/>
      <c r="AEK100" s="1"/>
      <c r="AEL100" s="1"/>
      <c r="AEM100" s="1"/>
      <c r="AEN100" s="1"/>
      <c r="AEO100" s="1"/>
      <c r="AEP100" s="1"/>
      <c r="AEQ100" s="1"/>
      <c r="AER100" s="1"/>
      <c r="AES100" s="1"/>
      <c r="AET100" s="1"/>
      <c r="AEU100" s="1"/>
      <c r="AEV100" s="1"/>
      <c r="AEW100" s="1"/>
      <c r="AEX100" s="1"/>
      <c r="AEY100" s="1"/>
      <c r="AEZ100" s="1"/>
      <c r="AFA100" s="1"/>
      <c r="AFB100" s="1"/>
      <c r="AFC100" s="1"/>
      <c r="AFD100" s="1"/>
      <c r="AFE100" s="1"/>
      <c r="AFF100" s="1"/>
      <c r="AFG100" s="1"/>
      <c r="AFH100" s="1"/>
      <c r="AFI100" s="1"/>
      <c r="AFJ100" s="1"/>
      <c r="AFK100" s="1"/>
      <c r="AFL100" s="1"/>
      <c r="AFM100" s="1"/>
      <c r="AFN100" s="1"/>
      <c r="AFO100" s="1"/>
      <c r="AFP100" s="1"/>
      <c r="AFQ100" s="1"/>
      <c r="AFR100" s="1"/>
      <c r="AFS100" s="1"/>
      <c r="AFT100" s="1"/>
      <c r="AFU100" s="1"/>
      <c r="AFV100" s="1"/>
      <c r="AFW100" s="1"/>
      <c r="AFX100" s="1"/>
      <c r="AFY100" s="1"/>
      <c r="AFZ100" s="1"/>
      <c r="AGA100" s="1"/>
      <c r="AGB100" s="1"/>
      <c r="AGC100" s="1"/>
      <c r="AGD100" s="1"/>
      <c r="AGE100" s="1"/>
      <c r="AGF100" s="1"/>
      <c r="AGG100" s="1"/>
      <c r="AGH100" s="1"/>
      <c r="AGI100" s="1"/>
      <c r="AGJ100" s="1"/>
      <c r="AGK100" s="1"/>
      <c r="AGL100" s="1"/>
      <c r="AGM100" s="1"/>
      <c r="AGN100" s="1"/>
      <c r="AGO100" s="1"/>
      <c r="AGP100" s="1"/>
      <c r="AGQ100" s="1"/>
      <c r="AGR100" s="1"/>
      <c r="AGS100" s="1"/>
      <c r="AGT100" s="1"/>
      <c r="AGU100" s="1"/>
      <c r="AGV100" s="1"/>
      <c r="AGW100" s="1"/>
      <c r="AGX100" s="1"/>
      <c r="AGY100" s="1"/>
      <c r="AGZ100" s="1"/>
      <c r="AHA100" s="1"/>
      <c r="AHB100" s="1"/>
      <c r="AHC100" s="1"/>
      <c r="AHD100" s="1"/>
      <c r="AHE100" s="1"/>
      <c r="AHF100" s="1"/>
      <c r="AHG100" s="1"/>
      <c r="AHH100" s="1"/>
      <c r="AHI100" s="1"/>
      <c r="AHJ100" s="1"/>
      <c r="AHK100" s="1"/>
      <c r="AHL100" s="1"/>
      <c r="AHM100" s="1"/>
      <c r="AHN100" s="1"/>
      <c r="AHO100" s="1"/>
      <c r="AHP100" s="1"/>
      <c r="AHQ100" s="1"/>
      <c r="AHR100" s="1"/>
      <c r="AHS100" s="1"/>
      <c r="AHT100" s="1"/>
      <c r="AHU100" s="1"/>
      <c r="AHV100" s="1"/>
      <c r="AHW100" s="1"/>
      <c r="AHX100" s="1"/>
      <c r="AHY100" s="1"/>
      <c r="AHZ100" s="1"/>
      <c r="AIA100" s="1"/>
      <c r="AIB100" s="1"/>
      <c r="AIC100" s="1"/>
      <c r="AID100" s="1"/>
      <c r="AIE100" s="1"/>
      <c r="AIF100" s="1"/>
      <c r="AIG100" s="1"/>
      <c r="AIH100" s="1"/>
      <c r="AII100" s="1"/>
      <c r="AIJ100" s="1"/>
      <c r="AIK100" s="1"/>
      <c r="AIL100" s="1"/>
      <c r="AIM100" s="1"/>
      <c r="AIN100" s="1"/>
      <c r="AIO100" s="1"/>
      <c r="AIP100" s="1"/>
      <c r="AIQ100" s="1"/>
      <c r="AIR100" s="1"/>
      <c r="AIS100" s="1"/>
      <c r="AIT100" s="1"/>
      <c r="AIU100" s="1"/>
      <c r="AIV100" s="1"/>
      <c r="AIW100" s="1"/>
      <c r="AIX100" s="1"/>
      <c r="AIY100" s="1"/>
      <c r="AIZ100" s="1"/>
      <c r="AJA100" s="1"/>
      <c r="AJB100" s="1"/>
      <c r="AJC100" s="1"/>
      <c r="AJD100" s="1"/>
      <c r="AJE100" s="1"/>
      <c r="AJF100" s="1"/>
      <c r="AJG100" s="1"/>
      <c r="AJH100" s="1"/>
      <c r="AJI100" s="1"/>
      <c r="AJJ100" s="1"/>
      <c r="AJK100" s="1"/>
      <c r="AJL100" s="1"/>
      <c r="AJM100" s="1"/>
      <c r="AJN100" s="1"/>
      <c r="AJO100" s="1"/>
      <c r="AJP100" s="1"/>
      <c r="AJQ100" s="1"/>
      <c r="AJR100" s="1"/>
      <c r="AJS100" s="1"/>
      <c r="AJT100" s="1"/>
      <c r="AJU100" s="1"/>
      <c r="AJV100" s="1"/>
      <c r="AJW100" s="1"/>
      <c r="AJX100" s="1"/>
      <c r="AJY100" s="1"/>
      <c r="AJZ100" s="1"/>
      <c r="AKA100" s="1"/>
      <c r="AKB100" s="1"/>
      <c r="AKC100" s="1"/>
      <c r="AKD100" s="1"/>
      <c r="AKE100" s="1"/>
      <c r="AKF100" s="1"/>
      <c r="AKG100" s="1"/>
      <c r="AKH100" s="1"/>
      <c r="AKI100" s="1"/>
      <c r="AKJ100" s="1"/>
      <c r="AKK100" s="1"/>
      <c r="AKL100" s="1"/>
      <c r="AKM100" s="1"/>
      <c r="AKN100" s="1"/>
      <c r="AKO100" s="1"/>
      <c r="AKP100" s="1"/>
      <c r="AKQ100" s="1"/>
      <c r="AKR100" s="1"/>
      <c r="AKS100" s="1"/>
      <c r="AKT100" s="1"/>
      <c r="AKU100" s="1"/>
      <c r="AKV100" s="1"/>
      <c r="AKW100" s="1"/>
      <c r="AKX100" s="1"/>
      <c r="AKY100" s="1"/>
      <c r="AKZ100" s="1"/>
      <c r="ALA100" s="1"/>
      <c r="ALB100" s="1"/>
      <c r="ALC100" s="1"/>
      <c r="ALD100" s="1"/>
      <c r="ALE100" s="1"/>
      <c r="ALF100" s="1"/>
      <c r="ALG100" s="1"/>
      <c r="ALH100" s="1"/>
      <c r="ALI100" s="1"/>
      <c r="ALJ100" s="1"/>
      <c r="ALK100" s="1"/>
      <c r="ALL100" s="1"/>
      <c r="ALM100" s="1"/>
      <c r="ALN100" s="1"/>
      <c r="ALO100" s="1"/>
      <c r="ALP100" s="1"/>
      <c r="ALQ100" s="1"/>
      <c r="ALR100" s="1"/>
      <c r="ALS100" s="1"/>
      <c r="ALT100" s="1"/>
      <c r="ALU100" s="1"/>
      <c r="ALV100" s="1"/>
      <c r="ALW100" s="1"/>
      <c r="ALX100" s="1"/>
      <c r="ALY100" s="1"/>
      <c r="ALZ100" s="1"/>
      <c r="AMA100" s="1"/>
      <c r="AMB100" s="1"/>
      <c r="AMC100" s="1"/>
      <c r="AMD100" s="1"/>
      <c r="AME100" s="1"/>
      <c r="AMF100" s="1"/>
      <c r="AMG100" s="1"/>
      <c r="AMH100" s="1"/>
      <c r="AMI100" s="1"/>
      <c r="AMJ100" s="1"/>
      <c r="AMK100" s="1"/>
      <c r="AML100" s="1"/>
      <c r="AMM100" s="1"/>
      <c r="AMN100" s="1"/>
      <c r="AMO100" s="1"/>
      <c r="AMP100" s="1"/>
      <c r="AMQ100" s="1"/>
      <c r="AMR100" s="1"/>
      <c r="AMS100" s="1"/>
      <c r="AMT100" s="1"/>
      <c r="AMU100" s="1"/>
      <c r="AMV100" s="1"/>
      <c r="AMW100" s="1"/>
      <c r="AMX100" s="1"/>
      <c r="AMY100" s="1"/>
      <c r="AMZ100" s="1"/>
      <c r="ANA100" s="1"/>
      <c r="ANB100" s="1"/>
      <c r="ANC100" s="1"/>
      <c r="AND100" s="1"/>
      <c r="ANE100" s="1"/>
      <c r="ANF100" s="1"/>
      <c r="ANG100" s="1"/>
      <c r="ANH100" s="1"/>
      <c r="ANI100" s="1"/>
      <c r="ANJ100" s="1"/>
      <c r="ANK100" s="1"/>
      <c r="ANL100" s="1"/>
      <c r="ANM100" s="1"/>
      <c r="ANN100" s="1"/>
      <c r="ANO100" s="1"/>
      <c r="ANP100" s="1"/>
      <c r="ANQ100" s="1"/>
      <c r="ANR100" s="1"/>
      <c r="ANS100" s="1"/>
      <c r="ANT100" s="1"/>
      <c r="ANU100" s="1"/>
      <c r="ANV100" s="1"/>
      <c r="ANW100" s="1"/>
      <c r="ANX100" s="1"/>
      <c r="ANY100" s="1"/>
      <c r="ANZ100" s="1"/>
      <c r="AOA100" s="1"/>
      <c r="AOB100" s="1"/>
      <c r="AOC100" s="1"/>
      <c r="AOD100" s="1"/>
      <c r="AOE100" s="1"/>
      <c r="AOF100" s="1"/>
      <c r="AOG100" s="1"/>
      <c r="AOH100" s="1"/>
      <c r="AOI100" s="1"/>
      <c r="AOJ100" s="1"/>
      <c r="AOK100" s="1"/>
      <c r="AOL100" s="1"/>
      <c r="AOM100" s="1"/>
      <c r="AON100" s="1"/>
      <c r="AOO100" s="1"/>
      <c r="AOP100" s="1"/>
      <c r="AOQ100" s="1"/>
      <c r="AOR100" s="1"/>
      <c r="AOS100" s="1"/>
      <c r="AOT100" s="1"/>
      <c r="AOU100" s="1"/>
      <c r="AOV100" s="1"/>
      <c r="AOW100" s="1"/>
      <c r="AOX100" s="1"/>
      <c r="AOY100" s="1"/>
      <c r="AOZ100" s="1"/>
      <c r="APA100" s="1"/>
      <c r="APB100" s="1"/>
      <c r="APC100" s="1"/>
      <c r="APD100" s="1"/>
      <c r="APE100" s="1"/>
      <c r="APF100" s="1"/>
      <c r="APG100" s="1"/>
      <c r="APH100" s="1"/>
      <c r="API100" s="1"/>
      <c r="APJ100" s="1"/>
      <c r="APK100" s="1"/>
      <c r="APL100" s="1"/>
      <c r="APM100" s="1"/>
      <c r="APN100" s="1"/>
      <c r="APO100" s="1"/>
      <c r="APP100" s="1"/>
      <c r="APQ100" s="1"/>
      <c r="APR100" s="1"/>
      <c r="APS100" s="1"/>
      <c r="APT100" s="1"/>
      <c r="APU100" s="1"/>
      <c r="APV100" s="1"/>
      <c r="APW100" s="1"/>
      <c r="APX100" s="1"/>
      <c r="APY100" s="1"/>
      <c r="APZ100" s="1"/>
      <c r="AQA100" s="1"/>
      <c r="AQB100" s="1"/>
      <c r="AQC100" s="1"/>
      <c r="AQD100" s="1"/>
      <c r="AQE100" s="1"/>
      <c r="AQF100" s="1"/>
      <c r="AQG100" s="1"/>
      <c r="AQH100" s="1"/>
      <c r="AQI100" s="1"/>
      <c r="AQJ100" s="1"/>
      <c r="AQK100" s="1"/>
      <c r="AQL100" s="1"/>
      <c r="AQM100" s="1"/>
      <c r="AQN100" s="1"/>
      <c r="AQO100" s="1"/>
      <c r="AQP100" s="1"/>
      <c r="AQQ100" s="1"/>
      <c r="AQR100" s="1"/>
      <c r="AQS100" s="1"/>
      <c r="AQT100" s="1"/>
      <c r="AQU100" s="1"/>
      <c r="AQV100" s="1"/>
      <c r="AQW100" s="1"/>
      <c r="AQX100" s="1"/>
      <c r="AQY100" s="1"/>
      <c r="AQZ100" s="1"/>
      <c r="ARA100" s="1"/>
      <c r="ARB100" s="1"/>
      <c r="ARC100" s="1"/>
      <c r="ARD100" s="1"/>
      <c r="ARE100" s="1"/>
      <c r="ARF100" s="1"/>
      <c r="ARG100" s="1"/>
      <c r="ARH100" s="1"/>
      <c r="ARI100" s="1"/>
      <c r="ARJ100" s="1"/>
      <c r="ARK100" s="1"/>
      <c r="ARL100" s="1"/>
      <c r="ARM100" s="1"/>
      <c r="ARN100" s="1"/>
      <c r="ARO100" s="1"/>
      <c r="ARP100" s="1"/>
      <c r="ARQ100" s="1"/>
      <c r="ARR100" s="1"/>
      <c r="ARS100" s="1"/>
      <c r="ART100" s="1"/>
      <c r="ARU100" s="1"/>
      <c r="ARV100" s="1"/>
      <c r="ARW100" s="1"/>
      <c r="ARX100" s="1"/>
      <c r="ARY100" s="1"/>
      <c r="ARZ100" s="1"/>
      <c r="ASA100" s="1"/>
      <c r="ASB100" s="1"/>
      <c r="ASC100" s="1"/>
      <c r="ASD100" s="1"/>
      <c r="ASE100" s="1"/>
      <c r="ASF100" s="1"/>
      <c r="ASG100" s="1"/>
      <c r="ASH100" s="1"/>
      <c r="ASI100" s="1"/>
      <c r="ASJ100" s="1"/>
      <c r="ASK100" s="1"/>
      <c r="ASL100" s="1"/>
      <c r="ASM100" s="1"/>
      <c r="ASN100" s="1"/>
      <c r="ASO100" s="1"/>
      <c r="ASP100" s="1"/>
      <c r="ASQ100" s="1"/>
      <c r="ASR100" s="1"/>
      <c r="ASS100" s="1"/>
      <c r="AST100" s="1"/>
      <c r="ASU100" s="1"/>
      <c r="ASV100" s="1"/>
      <c r="ASW100" s="1"/>
      <c r="ASX100" s="1"/>
      <c r="ASY100" s="1"/>
      <c r="ASZ100" s="1"/>
      <c r="ATA100" s="1"/>
      <c r="ATB100" s="1"/>
      <c r="ATC100" s="1"/>
      <c r="ATD100" s="1"/>
      <c r="ATE100" s="1"/>
      <c r="ATF100" s="1"/>
      <c r="ATG100" s="1"/>
      <c r="ATH100" s="1"/>
      <c r="ATI100" s="1"/>
      <c r="ATJ100" s="1"/>
      <c r="ATK100" s="1"/>
      <c r="ATL100" s="1"/>
      <c r="ATM100" s="1"/>
      <c r="ATN100" s="1"/>
      <c r="ATO100" s="1"/>
      <c r="ATP100" s="1"/>
      <c r="ATQ100" s="1"/>
      <c r="ATR100" s="1"/>
      <c r="ATS100" s="1"/>
      <c r="ATT100" s="1"/>
      <c r="ATU100" s="1"/>
      <c r="ATV100" s="1"/>
      <c r="ATW100" s="1"/>
      <c r="ATX100" s="1"/>
      <c r="ATY100" s="1"/>
      <c r="ATZ100" s="1"/>
      <c r="AUA100" s="1"/>
      <c r="AUB100" s="1"/>
      <c r="AUC100" s="1"/>
      <c r="AUD100" s="1"/>
      <c r="AUE100" s="1"/>
      <c r="AUF100" s="1"/>
      <c r="AUG100" s="1"/>
      <c r="AUH100" s="1"/>
      <c r="AUI100" s="1"/>
      <c r="AUJ100" s="1"/>
      <c r="AUK100" s="1"/>
      <c r="AUL100" s="1"/>
      <c r="AUM100" s="1"/>
      <c r="AUN100" s="1"/>
      <c r="AUO100" s="1"/>
      <c r="AUP100" s="1"/>
      <c r="AUQ100" s="1"/>
      <c r="AUR100" s="1"/>
      <c r="AUS100" s="1"/>
      <c r="AUT100" s="1"/>
      <c r="AUU100" s="1"/>
      <c r="AUV100" s="1"/>
      <c r="AUW100" s="1"/>
      <c r="AUX100" s="1"/>
      <c r="AUY100" s="1"/>
      <c r="AUZ100" s="1"/>
      <c r="AVA100" s="1"/>
      <c r="AVB100" s="1"/>
      <c r="AVC100" s="1"/>
      <c r="AVD100" s="1"/>
      <c r="AVE100" s="1"/>
      <c r="AVF100" s="1"/>
      <c r="AVG100" s="1"/>
      <c r="AVH100" s="1"/>
      <c r="AVI100" s="1"/>
      <c r="AVJ100" s="1"/>
      <c r="AVK100" s="1"/>
      <c r="AVL100" s="1"/>
      <c r="AVM100" s="1"/>
      <c r="AVN100" s="1"/>
      <c r="AVO100" s="1"/>
      <c r="AVP100" s="1"/>
      <c r="AVQ100" s="1"/>
      <c r="AVR100" s="1"/>
      <c r="AVS100" s="1"/>
      <c r="AVT100" s="1"/>
      <c r="AVU100" s="1"/>
      <c r="AVV100" s="1"/>
      <c r="AVW100" s="1"/>
      <c r="AVX100" s="1"/>
      <c r="AVY100" s="1"/>
      <c r="AVZ100" s="1"/>
      <c r="AWA100" s="1"/>
      <c r="AWB100" s="1"/>
      <c r="AWC100" s="1"/>
      <c r="AWD100" s="1"/>
      <c r="AWE100" s="1"/>
      <c r="AWF100" s="1"/>
      <c r="AWG100" s="1"/>
      <c r="AWH100" s="1"/>
      <c r="AWI100" s="1"/>
      <c r="AWJ100" s="1"/>
      <c r="AWK100" s="1"/>
      <c r="AWL100" s="1"/>
      <c r="AWM100" s="1"/>
      <c r="AWN100" s="1"/>
      <c r="AWO100" s="1"/>
      <c r="AWP100" s="1"/>
      <c r="AWQ100" s="1"/>
      <c r="AWR100" s="1"/>
      <c r="AWS100" s="1"/>
      <c r="AWT100" s="1"/>
      <c r="AWU100" s="1"/>
      <c r="AWV100" s="1"/>
      <c r="AWW100" s="1"/>
      <c r="AWX100" s="1"/>
      <c r="AWY100" s="1"/>
      <c r="AWZ100" s="1"/>
      <c r="AXA100" s="1"/>
      <c r="AXB100" s="1"/>
      <c r="AXC100" s="1"/>
      <c r="AXD100" s="1"/>
      <c r="AXE100" s="1"/>
      <c r="AXF100" s="1"/>
      <c r="AXG100" s="1"/>
      <c r="AXH100" s="1"/>
      <c r="AXI100" s="1"/>
      <c r="AXJ100" s="1"/>
      <c r="AXK100" s="1"/>
      <c r="AXL100" s="1"/>
      <c r="AXM100" s="1"/>
      <c r="AXN100" s="1"/>
      <c r="AXO100" s="1"/>
      <c r="AXP100" s="1"/>
      <c r="AXQ100" s="1"/>
      <c r="AXR100" s="1"/>
      <c r="AXS100" s="1"/>
      <c r="AXT100" s="1"/>
      <c r="AXU100" s="1"/>
      <c r="AXV100" s="1"/>
      <c r="AXW100" s="1"/>
      <c r="AXX100" s="1"/>
      <c r="AXY100" s="1"/>
      <c r="AXZ100" s="1"/>
      <c r="AYA100" s="1"/>
      <c r="AYB100" s="1"/>
      <c r="AYC100" s="1"/>
      <c r="AYD100" s="1"/>
      <c r="AYE100" s="1"/>
      <c r="AYF100" s="1"/>
      <c r="AYG100" s="1"/>
      <c r="AYH100" s="1"/>
      <c r="AYI100" s="1"/>
      <c r="AYJ100" s="1"/>
      <c r="AYK100" s="1"/>
      <c r="AYL100" s="1"/>
      <c r="AYM100" s="1"/>
      <c r="AYN100" s="1"/>
      <c r="AYO100" s="1"/>
      <c r="AYP100" s="1"/>
      <c r="AYQ100" s="1"/>
      <c r="AYR100" s="1"/>
      <c r="AYS100" s="1"/>
      <c r="AYT100" s="1"/>
      <c r="AYU100" s="1"/>
      <c r="AYV100" s="1"/>
      <c r="AYW100" s="1"/>
      <c r="AYX100" s="1"/>
      <c r="AYY100" s="1"/>
      <c r="AYZ100" s="1"/>
      <c r="AZA100" s="1"/>
      <c r="AZB100" s="1"/>
      <c r="AZC100" s="1"/>
      <c r="AZD100" s="1"/>
      <c r="AZE100" s="1"/>
      <c r="AZF100" s="1"/>
      <c r="AZG100" s="1"/>
      <c r="AZH100" s="1"/>
      <c r="AZI100" s="1"/>
      <c r="AZJ100" s="1"/>
      <c r="AZK100" s="1"/>
      <c r="AZL100" s="1"/>
      <c r="AZM100" s="1"/>
      <c r="AZN100" s="1"/>
      <c r="AZO100" s="1"/>
      <c r="AZP100" s="1"/>
      <c r="AZQ100" s="1"/>
      <c r="AZR100" s="1"/>
      <c r="AZS100" s="1"/>
      <c r="AZT100" s="1"/>
      <c r="AZU100" s="1"/>
      <c r="AZV100" s="1"/>
      <c r="AZW100" s="1"/>
      <c r="AZX100" s="1"/>
      <c r="AZY100" s="1"/>
      <c r="AZZ100" s="1"/>
      <c r="BAA100" s="1"/>
      <c r="BAB100" s="1"/>
      <c r="BAC100" s="1"/>
      <c r="BAD100" s="1"/>
      <c r="BAE100" s="1"/>
      <c r="BAF100" s="1"/>
      <c r="BAG100" s="1"/>
      <c r="BAH100" s="1"/>
      <c r="BAI100" s="1"/>
      <c r="BAJ100" s="1"/>
      <c r="BAK100" s="1"/>
      <c r="BAL100" s="1"/>
      <c r="BAM100" s="1"/>
      <c r="BAN100" s="1"/>
      <c r="BAO100" s="1"/>
      <c r="BAP100" s="1"/>
      <c r="BAQ100" s="1"/>
      <c r="BAR100" s="1"/>
      <c r="BAS100" s="1"/>
      <c r="BAT100" s="1"/>
      <c r="BAU100" s="1"/>
      <c r="BAV100" s="1"/>
      <c r="BAW100" s="1"/>
      <c r="BAX100" s="1"/>
      <c r="BAY100" s="1"/>
      <c r="BAZ100" s="1"/>
      <c r="BBA100" s="1"/>
      <c r="BBB100" s="1"/>
      <c r="BBC100" s="1"/>
      <c r="BBD100" s="1"/>
      <c r="BBE100" s="1"/>
      <c r="BBF100" s="1"/>
      <c r="BBG100" s="1"/>
      <c r="BBH100" s="1"/>
      <c r="BBI100" s="1"/>
      <c r="BBJ100" s="1"/>
      <c r="BBK100" s="1"/>
      <c r="BBL100" s="1"/>
      <c r="BBM100" s="1"/>
      <c r="BBN100" s="1"/>
      <c r="BBO100" s="1"/>
      <c r="BBP100" s="1"/>
      <c r="BBQ100" s="1"/>
      <c r="BBR100" s="1"/>
      <c r="BBS100" s="1"/>
      <c r="BBT100" s="1"/>
      <c r="BBU100" s="1"/>
      <c r="BBV100" s="1"/>
      <c r="BBW100" s="1"/>
      <c r="BBX100" s="1"/>
      <c r="BBY100" s="1"/>
      <c r="BBZ100" s="1"/>
      <c r="BCA100" s="1"/>
      <c r="BCB100" s="1"/>
      <c r="BCC100" s="1"/>
      <c r="BCD100" s="1"/>
      <c r="BCE100" s="1"/>
      <c r="BCF100" s="1"/>
      <c r="BCG100" s="1"/>
      <c r="BCH100" s="1"/>
      <c r="BCI100" s="1"/>
      <c r="BCJ100" s="1"/>
      <c r="BCK100" s="1"/>
      <c r="BCL100" s="1"/>
      <c r="BCM100" s="1"/>
      <c r="BCN100" s="1"/>
      <c r="BCO100" s="1"/>
      <c r="BCP100" s="1"/>
      <c r="BCQ100" s="1"/>
      <c r="BCR100" s="1"/>
      <c r="BCS100" s="1"/>
      <c r="BCT100" s="1"/>
      <c r="BCU100" s="1"/>
      <c r="BCV100" s="1"/>
      <c r="BCW100" s="1"/>
      <c r="BCX100" s="1"/>
      <c r="BCY100" s="1"/>
      <c r="BCZ100" s="1"/>
      <c r="BDA100" s="1"/>
      <c r="BDB100" s="1"/>
      <c r="BDC100" s="1"/>
      <c r="BDD100" s="1"/>
      <c r="BDE100" s="1"/>
      <c r="BDF100" s="1"/>
      <c r="BDG100" s="1"/>
      <c r="BDH100" s="1"/>
      <c r="BDI100" s="1"/>
      <c r="BDJ100" s="1"/>
      <c r="BDK100" s="1"/>
      <c r="BDL100" s="1"/>
      <c r="BDM100" s="1"/>
      <c r="BDN100" s="1"/>
      <c r="BDO100" s="1"/>
      <c r="BDP100" s="1"/>
      <c r="BDQ100" s="1"/>
      <c r="BDR100" s="1"/>
      <c r="BDS100" s="1"/>
      <c r="BDT100" s="1"/>
      <c r="BDU100" s="1"/>
      <c r="BDV100" s="1"/>
      <c r="BDW100" s="1"/>
      <c r="BDX100" s="1"/>
      <c r="BDY100" s="1"/>
      <c r="BDZ100" s="1"/>
      <c r="BEA100" s="1"/>
      <c r="BEB100" s="1"/>
      <c r="BEC100" s="1"/>
      <c r="BED100" s="1"/>
      <c r="BEE100" s="1"/>
      <c r="BEF100" s="1"/>
      <c r="BEG100" s="1"/>
      <c r="BEH100" s="1"/>
      <c r="BEI100" s="1"/>
      <c r="BEJ100" s="1"/>
      <c r="BEK100" s="1"/>
      <c r="BEL100" s="1"/>
      <c r="BEM100" s="1"/>
      <c r="BEN100" s="1"/>
      <c r="BEO100" s="1"/>
      <c r="BEP100" s="1"/>
      <c r="BEQ100" s="1"/>
      <c r="BER100" s="1"/>
      <c r="BES100" s="1"/>
      <c r="BET100" s="1"/>
      <c r="BEU100" s="1"/>
      <c r="BEV100" s="1"/>
      <c r="BEW100" s="1"/>
      <c r="BEX100" s="1"/>
      <c r="BEY100" s="1"/>
      <c r="BEZ100" s="1"/>
      <c r="BFA100" s="1"/>
      <c r="BFB100" s="1"/>
      <c r="BFC100" s="1"/>
      <c r="BFD100" s="1"/>
      <c r="BFE100" s="1"/>
      <c r="BFF100" s="1"/>
      <c r="BFG100" s="1"/>
      <c r="BFH100" s="1"/>
      <c r="BFI100" s="1"/>
      <c r="BFJ100" s="1"/>
      <c r="BFK100" s="1"/>
      <c r="BFL100" s="1"/>
      <c r="BFM100" s="1"/>
      <c r="BFN100" s="1"/>
      <c r="BFO100" s="1"/>
      <c r="BFP100" s="1"/>
      <c r="BFQ100" s="1"/>
      <c r="BFR100" s="1"/>
      <c r="BFS100" s="1"/>
      <c r="BFT100" s="1"/>
      <c r="BFU100" s="1"/>
      <c r="BFV100" s="1"/>
      <c r="BFW100" s="1"/>
      <c r="BFX100" s="1"/>
      <c r="BFY100" s="1"/>
      <c r="BFZ100" s="1"/>
      <c r="BGA100" s="1"/>
      <c r="BGB100" s="1"/>
      <c r="BGC100" s="1"/>
      <c r="BGD100" s="1"/>
      <c r="BGE100" s="1"/>
      <c r="BGF100" s="1"/>
      <c r="BGG100" s="1"/>
      <c r="BGH100" s="1"/>
      <c r="BGI100" s="1"/>
      <c r="BGJ100" s="1"/>
      <c r="BGK100" s="1"/>
      <c r="BGL100" s="1"/>
      <c r="BGM100" s="1"/>
      <c r="BGN100" s="1"/>
      <c r="BGO100" s="1"/>
      <c r="BGP100" s="1"/>
      <c r="BGQ100" s="1"/>
      <c r="BGR100" s="1"/>
      <c r="BGS100" s="1"/>
      <c r="BGT100" s="1"/>
      <c r="BGU100" s="1"/>
      <c r="BGV100" s="1"/>
      <c r="BGW100" s="1"/>
      <c r="BGX100" s="1"/>
      <c r="BGY100" s="1"/>
      <c r="BGZ100" s="1"/>
      <c r="BHA100" s="1"/>
      <c r="BHB100" s="1"/>
      <c r="BHC100" s="1"/>
      <c r="BHD100" s="1"/>
      <c r="BHE100" s="1"/>
      <c r="BHF100" s="1"/>
      <c r="BHG100" s="1"/>
      <c r="BHH100" s="1"/>
      <c r="BHI100" s="1"/>
      <c r="BHJ100" s="1"/>
      <c r="BHK100" s="1"/>
      <c r="BHL100" s="1"/>
      <c r="BHM100" s="1"/>
      <c r="BHN100" s="1"/>
      <c r="BHO100" s="1"/>
      <c r="BHP100" s="1"/>
      <c r="BHQ100" s="1"/>
      <c r="BHR100" s="1"/>
      <c r="BHS100" s="1"/>
      <c r="BHT100" s="1"/>
      <c r="BHU100" s="1"/>
      <c r="BHV100" s="1"/>
      <c r="BHW100" s="1"/>
      <c r="BHX100" s="1"/>
      <c r="BHY100" s="1"/>
      <c r="BHZ100" s="1"/>
      <c r="BIA100" s="1"/>
      <c r="BIB100" s="1"/>
      <c r="BIC100" s="1"/>
      <c r="BID100" s="1"/>
      <c r="BIE100" s="1"/>
      <c r="BIF100" s="1"/>
      <c r="BIG100" s="1"/>
      <c r="BIH100" s="1"/>
      <c r="BII100" s="1"/>
      <c r="BIJ100" s="1"/>
      <c r="BIK100" s="1"/>
      <c r="BIL100" s="1"/>
      <c r="BIM100" s="1"/>
      <c r="BIN100" s="1"/>
      <c r="BIO100" s="1"/>
      <c r="BIP100" s="1"/>
      <c r="BIQ100" s="1"/>
      <c r="BIR100" s="1"/>
      <c r="BIS100" s="1"/>
      <c r="BIT100" s="1"/>
      <c r="BIU100" s="1"/>
      <c r="BIV100" s="1"/>
      <c r="BIW100" s="1"/>
      <c r="BIX100" s="1"/>
      <c r="BIY100" s="1"/>
      <c r="BIZ100" s="1"/>
      <c r="BJA100" s="1"/>
      <c r="BJB100" s="1"/>
      <c r="BJC100" s="1"/>
      <c r="BJD100" s="1"/>
      <c r="BJE100" s="1"/>
      <c r="BJF100" s="1"/>
      <c r="BJG100" s="1"/>
      <c r="BJH100" s="1"/>
      <c r="BJI100" s="1"/>
      <c r="BJJ100" s="1"/>
      <c r="BJK100" s="1"/>
      <c r="BJL100" s="1"/>
      <c r="BJM100" s="1"/>
      <c r="BJN100" s="1"/>
      <c r="BJO100" s="1"/>
      <c r="BJP100" s="1"/>
      <c r="BJQ100" s="1"/>
      <c r="BJR100" s="1"/>
      <c r="BJS100" s="1"/>
      <c r="BJT100" s="1"/>
      <c r="BJU100" s="1"/>
      <c r="BJV100" s="1"/>
      <c r="BJW100" s="1"/>
      <c r="BJX100" s="1"/>
      <c r="BJY100" s="1"/>
      <c r="BJZ100" s="1"/>
      <c r="BKA100" s="1"/>
      <c r="BKB100" s="1"/>
      <c r="BKC100" s="1"/>
      <c r="BKD100" s="1"/>
      <c r="BKE100" s="1"/>
      <c r="BKF100" s="1"/>
      <c r="BKG100" s="1"/>
      <c r="BKH100" s="1"/>
      <c r="BKI100" s="1"/>
      <c r="BKJ100" s="1"/>
      <c r="BKK100" s="1"/>
      <c r="BKL100" s="1"/>
      <c r="BKM100" s="1"/>
      <c r="BKN100" s="1"/>
      <c r="BKO100" s="1"/>
      <c r="BKP100" s="1"/>
      <c r="BKQ100" s="1"/>
      <c r="BKR100" s="1"/>
      <c r="BKS100" s="1"/>
      <c r="BKT100" s="1"/>
      <c r="BKU100" s="1"/>
      <c r="BKV100" s="1"/>
      <c r="BKW100" s="1"/>
      <c r="BKX100" s="1"/>
      <c r="BKY100" s="1"/>
      <c r="BKZ100" s="1"/>
      <c r="BLA100" s="1"/>
      <c r="BLB100" s="1"/>
      <c r="BLC100" s="1"/>
      <c r="BLD100" s="1"/>
      <c r="BLE100" s="1"/>
      <c r="BLF100" s="1"/>
      <c r="BLG100" s="1"/>
      <c r="BLH100" s="1"/>
      <c r="BLI100" s="1"/>
      <c r="BLJ100" s="1"/>
      <c r="BLK100" s="1"/>
      <c r="BLL100" s="1"/>
      <c r="BLM100" s="1"/>
      <c r="BLN100" s="1"/>
      <c r="BLO100" s="1"/>
      <c r="BLP100" s="1"/>
      <c r="BLQ100" s="1"/>
      <c r="BLR100" s="1"/>
      <c r="BLS100" s="1"/>
      <c r="BLT100" s="1"/>
      <c r="BLU100" s="1"/>
      <c r="BLV100" s="1"/>
      <c r="BLW100" s="1"/>
      <c r="BLX100" s="1"/>
      <c r="BLY100" s="1"/>
      <c r="BLZ100" s="1"/>
      <c r="BMA100" s="1"/>
      <c r="BMB100" s="1"/>
      <c r="BMC100" s="1"/>
      <c r="BMD100" s="1"/>
      <c r="BME100" s="1"/>
      <c r="BMF100" s="1"/>
      <c r="BMG100" s="1"/>
      <c r="BMH100" s="1"/>
      <c r="BMI100" s="1"/>
      <c r="BMJ100" s="1"/>
      <c r="BMK100" s="1"/>
      <c r="BML100" s="1"/>
      <c r="BMM100" s="1"/>
      <c r="BMN100" s="1"/>
      <c r="BMO100" s="1"/>
      <c r="BMP100" s="1"/>
      <c r="BMQ100" s="1"/>
      <c r="BMR100" s="1"/>
      <c r="BMS100" s="1"/>
      <c r="BMT100" s="1"/>
      <c r="BMU100" s="1"/>
      <c r="BMV100" s="1"/>
      <c r="BMW100" s="1"/>
      <c r="BMX100" s="1"/>
      <c r="BMY100" s="1"/>
      <c r="BMZ100" s="1"/>
      <c r="BNA100" s="1"/>
      <c r="BNB100" s="1"/>
      <c r="BNC100" s="1"/>
      <c r="BND100" s="1"/>
      <c r="BNE100" s="1"/>
      <c r="BNF100" s="1"/>
      <c r="BNG100" s="1"/>
      <c r="BNH100" s="1"/>
      <c r="BNI100" s="1"/>
      <c r="BNJ100" s="1"/>
      <c r="BNK100" s="1"/>
      <c r="BNL100" s="1"/>
      <c r="BNM100" s="1"/>
      <c r="BNN100" s="1"/>
      <c r="BNO100" s="1"/>
      <c r="BNP100" s="1"/>
      <c r="BNQ100" s="1"/>
      <c r="BNR100" s="1"/>
      <c r="BNS100" s="1"/>
      <c r="BNT100" s="1"/>
      <c r="BNU100" s="1"/>
      <c r="BNV100" s="1"/>
      <c r="BNW100" s="1"/>
      <c r="BNX100" s="1"/>
      <c r="BNY100" s="1"/>
      <c r="BNZ100" s="1"/>
      <c r="BOA100" s="1"/>
      <c r="BOB100" s="1"/>
      <c r="BOC100" s="1"/>
      <c r="BOD100" s="1"/>
      <c r="BOE100" s="1"/>
      <c r="BOF100" s="1"/>
      <c r="BOG100" s="1"/>
      <c r="BOH100" s="1"/>
      <c r="BOI100" s="1"/>
      <c r="BOJ100" s="1"/>
      <c r="BOK100" s="1"/>
      <c r="BOL100" s="1"/>
      <c r="BOM100" s="1"/>
      <c r="BON100" s="1"/>
      <c r="BOO100" s="1"/>
      <c r="BOP100" s="1"/>
      <c r="BOQ100" s="1"/>
      <c r="BOR100" s="1"/>
      <c r="BOS100" s="1"/>
      <c r="BOT100" s="1"/>
      <c r="BOU100" s="1"/>
      <c r="BOV100" s="1"/>
      <c r="BOW100" s="1"/>
      <c r="BOX100" s="1"/>
      <c r="BOY100" s="1"/>
      <c r="BOZ100" s="1"/>
      <c r="BPA100" s="1"/>
      <c r="BPB100" s="1"/>
      <c r="BPC100" s="1"/>
      <c r="BPD100" s="1"/>
      <c r="BPE100" s="1"/>
      <c r="BPF100" s="1"/>
      <c r="BPG100" s="1"/>
      <c r="BPH100" s="1"/>
      <c r="BPI100" s="1"/>
      <c r="BPJ100" s="1"/>
      <c r="BPK100" s="1"/>
      <c r="BPL100" s="1"/>
      <c r="BPM100" s="1"/>
      <c r="BPN100" s="1"/>
      <c r="BPO100" s="1"/>
      <c r="BPP100" s="1"/>
      <c r="BPQ100" s="1"/>
      <c r="BPR100" s="1"/>
      <c r="BPS100" s="1"/>
      <c r="BPT100" s="1"/>
      <c r="BPU100" s="1"/>
      <c r="BPV100" s="1"/>
      <c r="BPW100" s="1"/>
      <c r="BPX100" s="1"/>
      <c r="BPY100" s="1"/>
      <c r="BPZ100" s="1"/>
      <c r="BQA100" s="1"/>
      <c r="BQB100" s="1"/>
      <c r="BQC100" s="1"/>
      <c r="BQD100" s="1"/>
      <c r="BQE100" s="1"/>
      <c r="BQF100" s="1"/>
      <c r="BQG100" s="1"/>
      <c r="BQH100" s="1"/>
      <c r="BQI100" s="1"/>
      <c r="BQJ100" s="1"/>
      <c r="BQK100" s="1"/>
      <c r="BQL100" s="1"/>
      <c r="BQM100" s="1"/>
      <c r="BQN100" s="1"/>
      <c r="BQO100" s="1"/>
      <c r="BQP100" s="1"/>
      <c r="BQQ100" s="1"/>
      <c r="BQR100" s="1"/>
      <c r="BQS100" s="1"/>
      <c r="BQT100" s="1"/>
      <c r="BQU100" s="1"/>
      <c r="BQV100" s="1"/>
      <c r="BQW100" s="1"/>
      <c r="BQX100" s="1"/>
      <c r="BQY100" s="1"/>
      <c r="BQZ100" s="1"/>
      <c r="BRA100" s="1"/>
      <c r="BRB100" s="1"/>
      <c r="BRC100" s="1"/>
      <c r="BRD100" s="1"/>
      <c r="BRE100" s="1"/>
      <c r="BRF100" s="1"/>
      <c r="BRG100" s="1"/>
      <c r="BRH100" s="1"/>
      <c r="BRI100" s="1"/>
      <c r="BRJ100" s="1"/>
      <c r="BRK100" s="1"/>
      <c r="BRL100" s="1"/>
      <c r="BRM100" s="1"/>
      <c r="BRN100" s="1"/>
      <c r="BRO100" s="1"/>
      <c r="BRP100" s="1"/>
      <c r="BRQ100" s="1"/>
      <c r="BRR100" s="1"/>
      <c r="BRS100" s="1"/>
      <c r="BRT100" s="1"/>
      <c r="BRU100" s="1"/>
      <c r="BRV100" s="1"/>
      <c r="BRW100" s="1"/>
      <c r="BRX100" s="1"/>
      <c r="BRY100" s="1"/>
      <c r="BRZ100" s="1"/>
      <c r="BSA100" s="1"/>
      <c r="BSB100" s="1"/>
      <c r="BSC100" s="1"/>
      <c r="BSD100" s="1"/>
      <c r="BSE100" s="1"/>
      <c r="BSF100" s="1"/>
      <c r="BSG100" s="1"/>
      <c r="BSH100" s="1"/>
      <c r="BSI100" s="1"/>
      <c r="BSJ100" s="1"/>
      <c r="BSK100" s="1"/>
      <c r="BSL100" s="1"/>
      <c r="BSM100" s="1"/>
      <c r="BSN100" s="1"/>
      <c r="BSO100" s="1"/>
      <c r="BSP100" s="1"/>
      <c r="BSQ100" s="1"/>
      <c r="BSR100" s="1"/>
      <c r="BSS100" s="1"/>
      <c r="BST100" s="1"/>
      <c r="BSU100" s="1"/>
      <c r="BSV100" s="1"/>
      <c r="BSW100" s="1"/>
      <c r="BSX100" s="1"/>
      <c r="BSY100" s="1"/>
      <c r="BSZ100" s="1"/>
      <c r="BTA100" s="1"/>
      <c r="BTB100" s="1"/>
      <c r="BTC100" s="1"/>
      <c r="BTD100" s="1"/>
      <c r="BTE100" s="1"/>
      <c r="BTF100" s="1"/>
      <c r="BTG100" s="1"/>
      <c r="BTH100" s="1"/>
      <c r="BTI100" s="1"/>
      <c r="BTJ100" s="1"/>
      <c r="BTK100" s="1"/>
      <c r="BTL100" s="1"/>
      <c r="BTM100" s="1"/>
      <c r="BTN100" s="1"/>
      <c r="BTO100" s="1"/>
      <c r="BTP100" s="1"/>
      <c r="BTQ100" s="1"/>
      <c r="BTR100" s="1"/>
      <c r="BTS100" s="1"/>
      <c r="BTT100" s="1"/>
      <c r="BTU100" s="1"/>
      <c r="BTV100" s="1"/>
      <c r="BTW100" s="1"/>
      <c r="BTX100" s="1"/>
      <c r="BTY100" s="1"/>
      <c r="BTZ100" s="1"/>
      <c r="BUA100" s="1"/>
      <c r="BUB100" s="1"/>
      <c r="BUC100" s="1"/>
      <c r="BUD100" s="1"/>
      <c r="BUE100" s="1"/>
      <c r="BUF100" s="1"/>
      <c r="BUG100" s="1"/>
      <c r="BUH100" s="1"/>
      <c r="BUI100" s="1"/>
      <c r="BUJ100" s="1"/>
      <c r="BUK100" s="1"/>
      <c r="BUL100" s="1"/>
      <c r="BUM100" s="1"/>
      <c r="BUN100" s="1"/>
      <c r="BUO100" s="1"/>
      <c r="BUP100" s="1"/>
      <c r="BUQ100" s="1"/>
      <c r="BUR100" s="1"/>
      <c r="BUS100" s="1"/>
      <c r="BUT100" s="1"/>
      <c r="BUU100" s="1"/>
      <c r="BUV100" s="1"/>
      <c r="BUW100" s="1"/>
      <c r="BUX100" s="1"/>
      <c r="BUY100" s="1"/>
      <c r="BUZ100" s="1"/>
      <c r="BVA100" s="1"/>
      <c r="BVB100" s="1"/>
      <c r="BVC100" s="1"/>
      <c r="BVD100" s="1"/>
      <c r="BVE100" s="1"/>
      <c r="BVF100" s="1"/>
      <c r="BVG100" s="1"/>
      <c r="BVH100" s="1"/>
      <c r="BVI100" s="1"/>
      <c r="BVJ100" s="1"/>
      <c r="BVK100" s="1"/>
      <c r="BVL100" s="1"/>
      <c r="BVM100" s="1"/>
      <c r="BVN100" s="1"/>
      <c r="BVO100" s="1"/>
      <c r="BVP100" s="1"/>
      <c r="BVQ100" s="1"/>
      <c r="BVR100" s="1"/>
      <c r="BVS100" s="1"/>
      <c r="BVT100" s="1"/>
      <c r="BVU100" s="1"/>
      <c r="BVV100" s="1"/>
      <c r="BVW100" s="1"/>
      <c r="BVX100" s="1"/>
      <c r="BVY100" s="1"/>
      <c r="BVZ100" s="1"/>
      <c r="BWA100" s="1"/>
      <c r="BWB100" s="1"/>
      <c r="BWC100" s="1"/>
      <c r="BWD100" s="1"/>
      <c r="BWE100" s="1"/>
      <c r="BWF100" s="1"/>
      <c r="BWG100" s="1"/>
      <c r="BWH100" s="1"/>
      <c r="BWI100" s="1"/>
      <c r="BWJ100" s="1"/>
      <c r="BWK100" s="1"/>
      <c r="BWL100" s="1"/>
      <c r="BWM100" s="1"/>
      <c r="BWN100" s="1"/>
      <c r="BWO100" s="1"/>
      <c r="BWP100" s="1"/>
      <c r="BWQ100" s="1"/>
      <c r="BWR100" s="1"/>
      <c r="BWS100" s="1"/>
      <c r="BWT100" s="1"/>
      <c r="BWU100" s="1"/>
      <c r="BWV100" s="1"/>
      <c r="BWW100" s="1"/>
      <c r="BWX100" s="1"/>
      <c r="BWY100" s="1"/>
      <c r="BWZ100" s="1"/>
      <c r="BXA100" s="1"/>
      <c r="BXB100" s="1"/>
      <c r="BXC100" s="1"/>
      <c r="BXD100" s="1"/>
      <c r="BXE100" s="1"/>
      <c r="BXF100" s="1"/>
      <c r="BXG100" s="1"/>
      <c r="BXH100" s="1"/>
      <c r="BXI100" s="1"/>
      <c r="BXJ100" s="1"/>
      <c r="BXK100" s="1"/>
      <c r="BXL100" s="1"/>
      <c r="BXM100" s="1"/>
      <c r="BXN100" s="1"/>
      <c r="BXO100" s="1"/>
      <c r="BXP100" s="1"/>
      <c r="BXQ100" s="1"/>
      <c r="BXR100" s="1"/>
      <c r="BXS100" s="1"/>
      <c r="BXT100" s="1"/>
      <c r="BXU100" s="1"/>
      <c r="BXV100" s="1"/>
      <c r="BXW100" s="1"/>
      <c r="BXX100" s="1"/>
      <c r="BXY100" s="1"/>
      <c r="BXZ100" s="1"/>
      <c r="BYA100" s="1"/>
      <c r="BYB100" s="1"/>
      <c r="BYC100" s="1"/>
      <c r="BYD100" s="1"/>
      <c r="BYE100" s="1"/>
      <c r="BYF100" s="1"/>
      <c r="BYG100" s="1"/>
      <c r="BYH100" s="1"/>
      <c r="BYI100" s="1"/>
      <c r="BYJ100" s="1"/>
      <c r="BYK100" s="1"/>
      <c r="BYL100" s="1"/>
      <c r="BYM100" s="1"/>
      <c r="BYN100" s="1"/>
      <c r="BYO100" s="1"/>
      <c r="BYP100" s="1"/>
      <c r="BYQ100" s="1"/>
      <c r="BYR100" s="1"/>
      <c r="BYS100" s="1"/>
      <c r="BYT100" s="1"/>
      <c r="BYU100" s="1"/>
      <c r="BYV100" s="1"/>
      <c r="BYW100" s="1"/>
      <c r="BYX100" s="1"/>
      <c r="BYY100" s="1"/>
      <c r="BYZ100" s="1"/>
      <c r="BZA100" s="1"/>
      <c r="BZB100" s="1"/>
      <c r="BZC100" s="1"/>
      <c r="BZD100" s="1"/>
      <c r="BZE100" s="1"/>
      <c r="BZF100" s="1"/>
      <c r="BZG100" s="1"/>
      <c r="BZH100" s="1"/>
      <c r="BZI100" s="1"/>
      <c r="BZJ100" s="1"/>
      <c r="BZK100" s="1"/>
      <c r="BZL100" s="1"/>
      <c r="BZM100" s="1"/>
      <c r="BZN100" s="1"/>
      <c r="BZO100" s="1"/>
      <c r="BZP100" s="1"/>
      <c r="BZQ100" s="1"/>
      <c r="BZR100" s="1"/>
      <c r="BZS100" s="1"/>
      <c r="BZT100" s="1"/>
      <c r="BZU100" s="1"/>
      <c r="BZV100" s="1"/>
      <c r="BZW100" s="1"/>
      <c r="BZX100" s="1"/>
      <c r="BZY100" s="1"/>
      <c r="BZZ100" s="1"/>
      <c r="CAA100" s="1"/>
      <c r="CAB100" s="1"/>
      <c r="CAC100" s="1"/>
      <c r="CAD100" s="1"/>
      <c r="CAE100" s="1"/>
      <c r="CAF100" s="1"/>
      <c r="CAG100" s="1"/>
      <c r="CAH100" s="1"/>
      <c r="CAI100" s="1"/>
      <c r="CAJ100" s="1"/>
      <c r="CAK100" s="1"/>
      <c r="CAL100" s="1"/>
      <c r="CAM100" s="1"/>
      <c r="CAN100" s="1"/>
      <c r="CAO100" s="1"/>
      <c r="CAP100" s="1"/>
      <c r="CAQ100" s="1"/>
      <c r="CAR100" s="1"/>
      <c r="CAS100" s="1"/>
      <c r="CAT100" s="1"/>
      <c r="CAU100" s="1"/>
      <c r="CAV100" s="1"/>
      <c r="CAW100" s="1"/>
      <c r="CAX100" s="1"/>
      <c r="CAY100" s="1"/>
      <c r="CAZ100" s="1"/>
      <c r="CBA100" s="1"/>
      <c r="CBB100" s="1"/>
      <c r="CBC100" s="1"/>
      <c r="CBD100" s="1"/>
      <c r="CBE100" s="1"/>
      <c r="CBF100" s="1"/>
      <c r="CBG100" s="1"/>
      <c r="CBH100" s="1"/>
      <c r="CBI100" s="1"/>
      <c r="CBJ100" s="1"/>
      <c r="CBK100" s="1"/>
      <c r="CBL100" s="1"/>
      <c r="CBM100" s="1"/>
      <c r="CBN100" s="1"/>
      <c r="CBO100" s="1"/>
      <c r="CBP100" s="1"/>
      <c r="CBQ100" s="1"/>
      <c r="CBR100" s="1"/>
      <c r="CBS100" s="1"/>
      <c r="CBT100" s="1"/>
      <c r="CBU100" s="1"/>
      <c r="CBV100" s="1"/>
      <c r="CBW100" s="1"/>
      <c r="CBX100" s="1"/>
      <c r="CBY100" s="1"/>
      <c r="CBZ100" s="1"/>
      <c r="CCA100" s="1"/>
      <c r="CCB100" s="1"/>
      <c r="CCC100" s="1"/>
      <c r="CCD100" s="1"/>
      <c r="CCE100" s="1"/>
      <c r="CCF100" s="1"/>
      <c r="CCG100" s="1"/>
      <c r="CCH100" s="1"/>
      <c r="CCI100" s="1"/>
      <c r="CCJ100" s="1"/>
      <c r="CCK100" s="1"/>
      <c r="CCL100" s="1"/>
      <c r="CCM100" s="1"/>
      <c r="CCN100" s="1"/>
      <c r="CCO100" s="1"/>
      <c r="CCP100" s="1"/>
      <c r="CCQ100" s="1"/>
      <c r="CCR100" s="1"/>
      <c r="CCS100" s="1"/>
      <c r="CCT100" s="1"/>
      <c r="CCU100" s="1"/>
      <c r="CCV100" s="1"/>
      <c r="CCW100" s="1"/>
      <c r="CCX100" s="1"/>
      <c r="CCY100" s="1"/>
      <c r="CCZ100" s="1"/>
      <c r="CDA100" s="1"/>
      <c r="CDB100" s="1"/>
      <c r="CDC100" s="1"/>
      <c r="CDD100" s="1"/>
      <c r="CDE100" s="1"/>
      <c r="CDF100" s="1"/>
      <c r="CDG100" s="1"/>
      <c r="CDH100" s="1"/>
      <c r="CDI100" s="1"/>
      <c r="CDJ100" s="1"/>
      <c r="CDK100" s="1"/>
      <c r="CDL100" s="1"/>
      <c r="CDM100" s="1"/>
      <c r="CDN100" s="1"/>
      <c r="CDO100" s="1"/>
      <c r="CDP100" s="1"/>
      <c r="CDQ100" s="1"/>
      <c r="CDR100" s="1"/>
      <c r="CDS100" s="1"/>
      <c r="CDT100" s="1"/>
      <c r="CDU100" s="1"/>
      <c r="CDV100" s="1"/>
      <c r="CDW100" s="1"/>
      <c r="CDX100" s="1"/>
      <c r="CDY100" s="1"/>
      <c r="CDZ100" s="1"/>
      <c r="CEA100" s="1"/>
      <c r="CEB100" s="1"/>
      <c r="CEC100" s="1"/>
      <c r="CED100" s="1"/>
      <c r="CEE100" s="1"/>
      <c r="CEF100" s="1"/>
      <c r="CEG100" s="1"/>
      <c r="CEH100" s="1"/>
      <c r="CEI100" s="1"/>
      <c r="CEJ100" s="1"/>
      <c r="CEK100" s="1"/>
      <c r="CEL100" s="1"/>
      <c r="CEM100" s="1"/>
      <c r="CEN100" s="1"/>
      <c r="CEO100" s="1"/>
      <c r="CEP100" s="1"/>
      <c r="CEQ100" s="1"/>
      <c r="CER100" s="1"/>
      <c r="CES100" s="1"/>
      <c r="CET100" s="1"/>
      <c r="CEU100" s="1"/>
      <c r="CEV100" s="1"/>
      <c r="CEW100" s="1"/>
      <c r="CEX100" s="1"/>
      <c r="CEY100" s="1"/>
      <c r="CEZ100" s="1"/>
      <c r="CFA100" s="1"/>
      <c r="CFB100" s="1"/>
      <c r="CFC100" s="1"/>
      <c r="CFD100" s="1"/>
      <c r="CFE100" s="1"/>
      <c r="CFF100" s="1"/>
      <c r="CFG100" s="1"/>
      <c r="CFH100" s="1"/>
      <c r="CFI100" s="1"/>
      <c r="CFJ100" s="1"/>
      <c r="CFK100" s="1"/>
      <c r="CFL100" s="1"/>
      <c r="CFM100" s="1"/>
      <c r="CFN100" s="1"/>
      <c r="CFO100" s="1"/>
      <c r="CFP100" s="1"/>
      <c r="CFQ100" s="1"/>
      <c r="CFR100" s="1"/>
      <c r="CFS100" s="1"/>
      <c r="CFT100" s="1"/>
      <c r="CFU100" s="1"/>
      <c r="CFV100" s="1"/>
      <c r="CFW100" s="1"/>
      <c r="CFX100" s="1"/>
      <c r="CFY100" s="1"/>
      <c r="CFZ100" s="1"/>
      <c r="CGA100" s="1"/>
      <c r="CGB100" s="1"/>
      <c r="CGC100" s="1"/>
      <c r="CGD100" s="1"/>
      <c r="CGE100" s="1"/>
      <c r="CGF100" s="1"/>
      <c r="CGG100" s="1"/>
      <c r="CGH100" s="1"/>
      <c r="CGI100" s="1"/>
      <c r="CGJ100" s="1"/>
      <c r="CGK100" s="1"/>
      <c r="CGL100" s="1"/>
      <c r="CGM100" s="1"/>
      <c r="CGN100" s="1"/>
      <c r="CGO100" s="1"/>
      <c r="CGP100" s="1"/>
      <c r="CGQ100" s="1"/>
      <c r="CGR100" s="1"/>
      <c r="CGS100" s="1"/>
      <c r="CGT100" s="1"/>
      <c r="CGU100" s="1"/>
      <c r="CGV100" s="1"/>
      <c r="CGW100" s="1"/>
      <c r="CGX100" s="1"/>
      <c r="CGY100" s="1"/>
      <c r="CGZ100" s="1"/>
      <c r="CHA100" s="1"/>
      <c r="CHB100" s="1"/>
      <c r="CHC100" s="1"/>
      <c r="CHD100" s="1"/>
      <c r="CHE100" s="1"/>
      <c r="CHF100" s="1"/>
      <c r="CHG100" s="1"/>
      <c r="CHH100" s="1"/>
      <c r="CHI100" s="1"/>
      <c r="CHJ100" s="1"/>
      <c r="CHK100" s="1"/>
      <c r="CHL100" s="1"/>
      <c r="CHM100" s="1"/>
      <c r="CHN100" s="1"/>
      <c r="CHO100" s="1"/>
      <c r="CHP100" s="1"/>
      <c r="CHQ100" s="1"/>
      <c r="CHR100" s="1"/>
      <c r="CHS100" s="1"/>
      <c r="CHT100" s="1"/>
      <c r="CHU100" s="1"/>
      <c r="CHV100" s="1"/>
      <c r="CHW100" s="1"/>
      <c r="CHX100" s="1"/>
      <c r="CHY100" s="1"/>
      <c r="CHZ100" s="1"/>
      <c r="CIA100" s="1"/>
      <c r="CIB100" s="1"/>
      <c r="CIC100" s="1"/>
      <c r="CID100" s="1"/>
      <c r="CIE100" s="1"/>
      <c r="CIF100" s="1"/>
      <c r="CIG100" s="1"/>
      <c r="CIH100" s="1"/>
      <c r="CII100" s="1"/>
      <c r="CIJ100" s="1"/>
      <c r="CIK100" s="1"/>
      <c r="CIL100" s="1"/>
      <c r="CIM100" s="1"/>
      <c r="CIN100" s="1"/>
      <c r="CIO100" s="1"/>
      <c r="CIP100" s="1"/>
      <c r="CIQ100" s="1"/>
      <c r="CIR100" s="1"/>
      <c r="CIS100" s="1"/>
      <c r="CIT100" s="1"/>
      <c r="CIU100" s="1"/>
      <c r="CIV100" s="1"/>
      <c r="CIW100" s="1"/>
      <c r="CIX100" s="1"/>
      <c r="CIY100" s="1"/>
      <c r="CIZ100" s="1"/>
      <c r="CJA100" s="1"/>
      <c r="CJB100" s="1"/>
      <c r="CJC100" s="1"/>
      <c r="CJD100" s="1"/>
      <c r="CJE100" s="1"/>
      <c r="CJF100" s="1"/>
      <c r="CJG100" s="1"/>
      <c r="CJH100" s="1"/>
      <c r="CJI100" s="1"/>
      <c r="CJJ100" s="1"/>
      <c r="CJK100" s="1"/>
      <c r="CJL100" s="1"/>
      <c r="CJM100" s="1"/>
      <c r="CJN100" s="1"/>
      <c r="CJO100" s="1"/>
      <c r="CJP100" s="1"/>
      <c r="CJQ100" s="1"/>
      <c r="CJR100" s="1"/>
      <c r="CJS100" s="1"/>
      <c r="CJT100" s="1"/>
      <c r="CJU100" s="1"/>
      <c r="CJV100" s="1"/>
      <c r="CJW100" s="1"/>
      <c r="CJX100" s="1"/>
      <c r="CJY100" s="1"/>
      <c r="CJZ100" s="1"/>
      <c r="CKA100" s="1"/>
      <c r="CKB100" s="1"/>
      <c r="CKC100" s="1"/>
      <c r="CKD100" s="1"/>
      <c r="CKE100" s="1"/>
      <c r="CKF100" s="1"/>
      <c r="CKG100" s="1"/>
      <c r="CKH100" s="1"/>
      <c r="CKI100" s="1"/>
      <c r="CKJ100" s="1"/>
      <c r="CKK100" s="1"/>
      <c r="CKL100" s="1"/>
      <c r="CKM100" s="1"/>
      <c r="CKN100" s="1"/>
      <c r="CKO100" s="1"/>
      <c r="CKP100" s="1"/>
      <c r="CKQ100" s="1"/>
      <c r="CKR100" s="1"/>
      <c r="CKS100" s="1"/>
      <c r="CKT100" s="1"/>
      <c r="CKU100" s="1"/>
      <c r="CKV100" s="1"/>
      <c r="CKW100" s="1"/>
      <c r="CKX100" s="1"/>
      <c r="CKY100" s="1"/>
      <c r="CKZ100" s="1"/>
      <c r="CLA100" s="1"/>
      <c r="CLB100" s="1"/>
      <c r="CLC100" s="1"/>
      <c r="CLD100" s="1"/>
      <c r="CLE100" s="1"/>
      <c r="CLF100" s="1"/>
      <c r="CLG100" s="1"/>
      <c r="CLH100" s="1"/>
      <c r="CLI100" s="1"/>
      <c r="CLJ100" s="1"/>
      <c r="CLK100" s="1"/>
      <c r="CLL100" s="1"/>
      <c r="CLM100" s="1"/>
      <c r="CLN100" s="1"/>
      <c r="CLO100" s="1"/>
      <c r="CLP100" s="1"/>
      <c r="CLQ100" s="1"/>
      <c r="CLR100" s="1"/>
      <c r="CLS100" s="1"/>
      <c r="CLT100" s="1"/>
      <c r="CLU100" s="1"/>
      <c r="CLV100" s="1"/>
      <c r="CLW100" s="1"/>
      <c r="CLX100" s="1"/>
      <c r="CLY100" s="1"/>
      <c r="CLZ100" s="1"/>
      <c r="CMA100" s="1"/>
      <c r="CMB100" s="1"/>
      <c r="CMC100" s="1"/>
      <c r="CMD100" s="1"/>
      <c r="CME100" s="1"/>
      <c r="CMF100" s="1"/>
      <c r="CMG100" s="1"/>
      <c r="CMH100" s="1"/>
      <c r="CMI100" s="1"/>
      <c r="CMJ100" s="1"/>
      <c r="CMK100" s="1"/>
      <c r="CML100" s="1"/>
      <c r="CMM100" s="1"/>
      <c r="CMN100" s="1"/>
      <c r="CMO100" s="1"/>
      <c r="CMP100" s="1"/>
      <c r="CMQ100" s="1"/>
      <c r="CMR100" s="1"/>
      <c r="CMS100" s="1"/>
      <c r="CMT100" s="1"/>
      <c r="CMU100" s="1"/>
      <c r="CMV100" s="1"/>
      <c r="CMW100" s="1"/>
      <c r="CMX100" s="1"/>
      <c r="CMY100" s="1"/>
      <c r="CMZ100" s="1"/>
      <c r="CNA100" s="1"/>
      <c r="CNB100" s="1"/>
      <c r="CNC100" s="1"/>
      <c r="CND100" s="1"/>
      <c r="CNE100" s="1"/>
      <c r="CNF100" s="1"/>
      <c r="CNG100" s="1"/>
      <c r="CNH100" s="1"/>
      <c r="CNI100" s="1"/>
      <c r="CNJ100" s="1"/>
      <c r="CNK100" s="1"/>
      <c r="CNL100" s="1"/>
      <c r="CNM100" s="1"/>
      <c r="CNN100" s="1"/>
      <c r="CNO100" s="1"/>
      <c r="CNP100" s="1"/>
      <c r="CNQ100" s="1"/>
      <c r="CNR100" s="1"/>
      <c r="CNS100" s="1"/>
      <c r="CNT100" s="1"/>
      <c r="CNU100" s="1"/>
      <c r="CNV100" s="1"/>
      <c r="CNW100" s="1"/>
      <c r="CNX100" s="1"/>
      <c r="CNY100" s="1"/>
      <c r="CNZ100" s="1"/>
      <c r="COA100" s="1"/>
      <c r="COB100" s="1"/>
      <c r="COC100" s="1"/>
      <c r="COD100" s="1"/>
      <c r="COE100" s="1"/>
      <c r="COF100" s="1"/>
      <c r="COG100" s="1"/>
      <c r="COH100" s="1"/>
      <c r="COI100" s="1"/>
      <c r="COJ100" s="1"/>
      <c r="COK100" s="1"/>
      <c r="COL100" s="1"/>
      <c r="COM100" s="1"/>
      <c r="CON100" s="1"/>
      <c r="COO100" s="1"/>
      <c r="COP100" s="1"/>
      <c r="COQ100" s="1"/>
      <c r="COR100" s="1"/>
      <c r="COS100" s="1"/>
      <c r="COT100" s="1"/>
      <c r="COU100" s="1"/>
      <c r="COV100" s="1"/>
      <c r="COW100" s="1"/>
      <c r="COX100" s="1"/>
      <c r="COY100" s="1"/>
      <c r="COZ100" s="1"/>
      <c r="CPA100" s="1"/>
      <c r="CPB100" s="1"/>
      <c r="CPC100" s="1"/>
      <c r="CPD100" s="1"/>
      <c r="CPE100" s="1"/>
      <c r="CPF100" s="1"/>
      <c r="CPG100" s="1"/>
      <c r="CPH100" s="1"/>
      <c r="CPI100" s="1"/>
      <c r="CPJ100" s="1"/>
      <c r="CPK100" s="1"/>
      <c r="CPL100" s="1"/>
      <c r="CPM100" s="1"/>
      <c r="CPN100" s="1"/>
      <c r="CPO100" s="1"/>
      <c r="CPP100" s="1"/>
      <c r="CPQ100" s="1"/>
      <c r="CPR100" s="1"/>
      <c r="CPS100" s="1"/>
      <c r="CPT100" s="1"/>
      <c r="CPU100" s="1"/>
      <c r="CPV100" s="1"/>
      <c r="CPW100" s="1"/>
      <c r="CPX100" s="1"/>
      <c r="CPY100" s="1"/>
      <c r="CPZ100" s="1"/>
      <c r="CQA100" s="1"/>
      <c r="CQB100" s="1"/>
      <c r="CQC100" s="1"/>
      <c r="CQD100" s="1"/>
      <c r="CQE100" s="1"/>
      <c r="CQF100" s="1"/>
      <c r="CQG100" s="1"/>
      <c r="CQH100" s="1"/>
      <c r="CQI100" s="1"/>
      <c r="CQJ100" s="1"/>
      <c r="CQK100" s="1"/>
      <c r="CQL100" s="1"/>
      <c r="CQM100" s="1"/>
      <c r="CQN100" s="1"/>
      <c r="CQO100" s="1"/>
      <c r="CQP100" s="1"/>
      <c r="CQQ100" s="1"/>
      <c r="CQR100" s="1"/>
      <c r="CQS100" s="1"/>
      <c r="CQT100" s="1"/>
      <c r="CQU100" s="1"/>
      <c r="CQV100" s="1"/>
      <c r="CQW100" s="1"/>
      <c r="CQX100" s="1"/>
      <c r="CQY100" s="1"/>
      <c r="CQZ100" s="1"/>
      <c r="CRA100" s="1"/>
      <c r="CRB100" s="1"/>
      <c r="CRC100" s="1"/>
      <c r="CRD100" s="1"/>
      <c r="CRE100" s="1"/>
      <c r="CRF100" s="1"/>
      <c r="CRG100" s="1"/>
      <c r="CRH100" s="1"/>
      <c r="CRI100" s="1"/>
      <c r="CRJ100" s="1"/>
      <c r="CRK100" s="1"/>
      <c r="CRL100" s="1"/>
      <c r="CRM100" s="1"/>
      <c r="CRN100" s="1"/>
      <c r="CRO100" s="1"/>
      <c r="CRP100" s="1"/>
      <c r="CRQ100" s="1"/>
      <c r="CRR100" s="1"/>
      <c r="CRS100" s="1"/>
      <c r="CRT100" s="1"/>
      <c r="CRU100" s="1"/>
      <c r="CRV100" s="1"/>
      <c r="CRW100" s="1"/>
      <c r="CRX100" s="1"/>
      <c r="CRY100" s="1"/>
      <c r="CRZ100" s="1"/>
      <c r="CSA100" s="1"/>
      <c r="CSB100" s="1"/>
      <c r="CSC100" s="1"/>
      <c r="CSD100" s="1"/>
      <c r="CSE100" s="1"/>
      <c r="CSF100" s="1"/>
      <c r="CSG100" s="1"/>
      <c r="CSH100" s="1"/>
      <c r="CSI100" s="1"/>
      <c r="CSJ100" s="1"/>
      <c r="CSK100" s="1"/>
      <c r="CSL100" s="1"/>
      <c r="CSM100" s="1"/>
      <c r="CSN100" s="1"/>
      <c r="CSO100" s="1"/>
      <c r="CSP100" s="1"/>
      <c r="CSQ100" s="1"/>
      <c r="CSR100" s="1"/>
      <c r="CSS100" s="1"/>
      <c r="CST100" s="1"/>
      <c r="CSU100" s="1"/>
      <c r="CSV100" s="1"/>
      <c r="CSW100" s="1"/>
      <c r="CSX100" s="1"/>
      <c r="CSY100" s="1"/>
      <c r="CSZ100" s="1"/>
      <c r="CTA100" s="1"/>
      <c r="CTB100" s="1"/>
      <c r="CTC100" s="1"/>
      <c r="CTD100" s="1"/>
      <c r="CTE100" s="1"/>
      <c r="CTF100" s="1"/>
      <c r="CTG100" s="1"/>
      <c r="CTH100" s="1"/>
      <c r="CTI100" s="1"/>
      <c r="CTJ100" s="1"/>
      <c r="CTK100" s="1"/>
      <c r="CTL100" s="1"/>
      <c r="CTM100" s="1"/>
      <c r="CTN100" s="1"/>
      <c r="CTO100" s="1"/>
      <c r="CTP100" s="1"/>
      <c r="CTQ100" s="1"/>
      <c r="CTR100" s="1"/>
      <c r="CTS100" s="1"/>
      <c r="CTT100" s="1"/>
      <c r="CTU100" s="1"/>
      <c r="CTV100" s="1"/>
      <c r="CTW100" s="1"/>
      <c r="CTX100" s="1"/>
      <c r="CTY100" s="1"/>
      <c r="CTZ100" s="1"/>
      <c r="CUA100" s="1"/>
      <c r="CUB100" s="1"/>
      <c r="CUC100" s="1"/>
      <c r="CUD100" s="1"/>
      <c r="CUE100" s="1"/>
      <c r="CUF100" s="1"/>
      <c r="CUG100" s="1"/>
      <c r="CUH100" s="1"/>
      <c r="CUI100" s="1"/>
      <c r="CUJ100" s="1"/>
      <c r="CUK100" s="1"/>
      <c r="CUL100" s="1"/>
      <c r="CUM100" s="1"/>
      <c r="CUN100" s="1"/>
      <c r="CUO100" s="1"/>
      <c r="CUP100" s="1"/>
      <c r="CUQ100" s="1"/>
      <c r="CUR100" s="1"/>
      <c r="CUS100" s="1"/>
      <c r="CUT100" s="1"/>
      <c r="CUU100" s="1"/>
      <c r="CUV100" s="1"/>
      <c r="CUW100" s="1"/>
      <c r="CUX100" s="1"/>
      <c r="CUY100" s="1"/>
      <c r="CUZ100" s="1"/>
      <c r="CVA100" s="1"/>
      <c r="CVB100" s="1"/>
      <c r="CVC100" s="1"/>
      <c r="CVD100" s="1"/>
      <c r="CVE100" s="1"/>
      <c r="CVF100" s="1"/>
      <c r="CVG100" s="1"/>
      <c r="CVH100" s="1"/>
      <c r="CVI100" s="1"/>
      <c r="CVJ100" s="1"/>
      <c r="CVK100" s="1"/>
      <c r="CVL100" s="1"/>
      <c r="CVM100" s="1"/>
      <c r="CVN100" s="1"/>
      <c r="CVO100" s="1"/>
      <c r="CVP100" s="1"/>
      <c r="CVQ100" s="1"/>
      <c r="CVR100" s="1"/>
      <c r="CVS100" s="1"/>
      <c r="CVT100" s="1"/>
      <c r="CVU100" s="1"/>
      <c r="CVV100" s="1"/>
      <c r="CVW100" s="1"/>
      <c r="CVX100" s="1"/>
      <c r="CVY100" s="1"/>
      <c r="CVZ100" s="1"/>
      <c r="CWA100" s="1"/>
      <c r="CWB100" s="1"/>
      <c r="CWC100" s="1"/>
      <c r="CWD100" s="1"/>
      <c r="CWE100" s="1"/>
      <c r="CWF100" s="1"/>
      <c r="CWG100" s="1"/>
      <c r="CWH100" s="1"/>
      <c r="CWI100" s="1"/>
      <c r="CWJ100" s="1"/>
      <c r="CWK100" s="1"/>
      <c r="CWL100" s="1"/>
      <c r="CWM100" s="1"/>
      <c r="CWN100" s="1"/>
      <c r="CWO100" s="1"/>
      <c r="CWP100" s="1"/>
      <c r="CWQ100" s="1"/>
      <c r="CWR100" s="1"/>
      <c r="CWS100" s="1"/>
      <c r="CWT100" s="1"/>
      <c r="CWU100" s="1"/>
      <c r="CWV100" s="1"/>
      <c r="CWW100" s="1"/>
      <c r="CWX100" s="1"/>
      <c r="CWY100" s="1"/>
      <c r="CWZ100" s="1"/>
      <c r="CXA100" s="1"/>
      <c r="CXB100" s="1"/>
      <c r="CXC100" s="1"/>
      <c r="CXD100" s="1"/>
      <c r="CXE100" s="1"/>
      <c r="CXF100" s="1"/>
      <c r="CXG100" s="1"/>
      <c r="CXH100" s="1"/>
      <c r="CXI100" s="1"/>
      <c r="CXJ100" s="1"/>
      <c r="CXK100" s="1"/>
      <c r="CXL100" s="1"/>
      <c r="CXM100" s="1"/>
      <c r="CXN100" s="1"/>
      <c r="CXO100" s="1"/>
      <c r="CXP100" s="1"/>
      <c r="CXQ100" s="1"/>
      <c r="CXR100" s="1"/>
      <c r="CXS100" s="1"/>
      <c r="CXT100" s="1"/>
      <c r="CXU100" s="1"/>
      <c r="CXV100" s="1"/>
      <c r="CXW100" s="1"/>
      <c r="CXX100" s="1"/>
      <c r="CXY100" s="1"/>
      <c r="CXZ100" s="1"/>
      <c r="CYA100" s="1"/>
      <c r="CYB100" s="1"/>
      <c r="CYC100" s="1"/>
      <c r="CYD100" s="1"/>
      <c r="CYE100" s="1"/>
      <c r="CYF100" s="1"/>
      <c r="CYG100" s="1"/>
      <c r="CYH100" s="1"/>
      <c r="CYI100" s="1"/>
      <c r="CYJ100" s="1"/>
      <c r="CYK100" s="1"/>
      <c r="CYL100" s="1"/>
      <c r="CYM100" s="1"/>
      <c r="CYN100" s="1"/>
      <c r="CYO100" s="1"/>
      <c r="CYP100" s="1"/>
      <c r="CYQ100" s="1"/>
      <c r="CYR100" s="1"/>
      <c r="CYS100" s="1"/>
      <c r="CYT100" s="1"/>
      <c r="CYU100" s="1"/>
      <c r="CYV100" s="1"/>
      <c r="CYW100" s="1"/>
      <c r="CYX100" s="1"/>
      <c r="CYY100" s="1"/>
      <c r="CYZ100" s="1"/>
      <c r="CZA100" s="1"/>
      <c r="CZB100" s="1"/>
      <c r="CZC100" s="1"/>
      <c r="CZD100" s="1"/>
      <c r="CZE100" s="1"/>
      <c r="CZF100" s="1"/>
      <c r="CZG100" s="1"/>
      <c r="CZH100" s="1"/>
      <c r="CZI100" s="1"/>
      <c r="CZJ100" s="1"/>
      <c r="CZK100" s="1"/>
      <c r="CZL100" s="1"/>
      <c r="CZM100" s="1"/>
      <c r="CZN100" s="1"/>
      <c r="CZO100" s="1"/>
      <c r="CZP100" s="1"/>
      <c r="CZQ100" s="1"/>
      <c r="CZR100" s="1"/>
      <c r="CZS100" s="1"/>
      <c r="CZT100" s="1"/>
      <c r="CZU100" s="1"/>
      <c r="CZV100" s="1"/>
      <c r="CZW100" s="1"/>
      <c r="CZX100" s="1"/>
      <c r="CZY100" s="1"/>
      <c r="CZZ100" s="1"/>
      <c r="DAA100" s="1"/>
      <c r="DAB100" s="1"/>
      <c r="DAC100" s="1"/>
      <c r="DAD100" s="1"/>
      <c r="DAE100" s="1"/>
      <c r="DAF100" s="1"/>
      <c r="DAG100" s="1"/>
      <c r="DAH100" s="1"/>
      <c r="DAI100" s="1"/>
      <c r="DAJ100" s="1"/>
      <c r="DAK100" s="1"/>
      <c r="DAL100" s="1"/>
      <c r="DAM100" s="1"/>
      <c r="DAN100" s="1"/>
      <c r="DAO100" s="1"/>
      <c r="DAP100" s="1"/>
      <c r="DAQ100" s="1"/>
      <c r="DAR100" s="1"/>
      <c r="DAS100" s="1"/>
      <c r="DAT100" s="1"/>
      <c r="DAU100" s="1"/>
      <c r="DAV100" s="1"/>
      <c r="DAW100" s="1"/>
      <c r="DAX100" s="1"/>
      <c r="DAY100" s="1"/>
      <c r="DAZ100" s="1"/>
      <c r="DBA100" s="1"/>
      <c r="DBB100" s="1"/>
      <c r="DBC100" s="1"/>
      <c r="DBD100" s="1"/>
      <c r="DBE100" s="1"/>
      <c r="DBF100" s="1"/>
      <c r="DBG100" s="1"/>
      <c r="DBH100" s="1"/>
      <c r="DBI100" s="1"/>
      <c r="DBJ100" s="1"/>
      <c r="DBK100" s="1"/>
      <c r="DBL100" s="1"/>
      <c r="DBM100" s="1"/>
      <c r="DBN100" s="1"/>
      <c r="DBO100" s="1"/>
      <c r="DBP100" s="1"/>
      <c r="DBQ100" s="1"/>
      <c r="DBR100" s="1"/>
      <c r="DBS100" s="1"/>
      <c r="DBT100" s="1"/>
      <c r="DBU100" s="1"/>
      <c r="DBV100" s="1"/>
      <c r="DBW100" s="1"/>
      <c r="DBX100" s="1"/>
      <c r="DBY100" s="1"/>
      <c r="DBZ100" s="1"/>
      <c r="DCA100" s="1"/>
      <c r="DCB100" s="1"/>
      <c r="DCC100" s="1"/>
      <c r="DCD100" s="1"/>
      <c r="DCE100" s="1"/>
      <c r="DCF100" s="1"/>
      <c r="DCG100" s="1"/>
      <c r="DCH100" s="1"/>
      <c r="DCI100" s="1"/>
      <c r="DCJ100" s="1"/>
      <c r="DCK100" s="1"/>
      <c r="DCL100" s="1"/>
      <c r="DCM100" s="1"/>
      <c r="DCN100" s="1"/>
      <c r="DCO100" s="1"/>
      <c r="DCP100" s="1"/>
      <c r="DCQ100" s="1"/>
      <c r="DCR100" s="1"/>
      <c r="DCS100" s="1"/>
      <c r="DCT100" s="1"/>
      <c r="DCU100" s="1"/>
      <c r="DCV100" s="1"/>
      <c r="DCW100" s="1"/>
      <c r="DCX100" s="1"/>
      <c r="DCY100" s="1"/>
      <c r="DCZ100" s="1"/>
      <c r="DDA100" s="1"/>
      <c r="DDB100" s="1"/>
      <c r="DDC100" s="1"/>
      <c r="DDD100" s="1"/>
      <c r="DDE100" s="1"/>
      <c r="DDF100" s="1"/>
      <c r="DDG100" s="1"/>
      <c r="DDH100" s="1"/>
      <c r="DDI100" s="1"/>
      <c r="DDJ100" s="1"/>
      <c r="DDK100" s="1"/>
      <c r="DDL100" s="1"/>
      <c r="DDM100" s="1"/>
      <c r="DDN100" s="1"/>
      <c r="DDO100" s="1"/>
      <c r="DDP100" s="1"/>
      <c r="DDQ100" s="1"/>
      <c r="DDR100" s="1"/>
      <c r="DDS100" s="1"/>
      <c r="DDT100" s="1"/>
      <c r="DDU100" s="1"/>
      <c r="DDV100" s="1"/>
      <c r="DDW100" s="1"/>
      <c r="DDX100" s="1"/>
      <c r="DDY100" s="1"/>
      <c r="DDZ100" s="1"/>
      <c r="DEA100" s="1"/>
      <c r="DEB100" s="1"/>
      <c r="DEC100" s="1"/>
      <c r="DED100" s="1"/>
      <c r="DEE100" s="1"/>
      <c r="DEF100" s="1"/>
      <c r="DEG100" s="1"/>
      <c r="DEH100" s="1"/>
      <c r="DEI100" s="1"/>
      <c r="DEJ100" s="1"/>
      <c r="DEK100" s="1"/>
      <c r="DEL100" s="1"/>
      <c r="DEM100" s="1"/>
      <c r="DEN100" s="1"/>
      <c r="DEO100" s="1"/>
      <c r="DEP100" s="1"/>
      <c r="DEQ100" s="1"/>
      <c r="DER100" s="1"/>
      <c r="DES100" s="1"/>
      <c r="DET100" s="1"/>
      <c r="DEU100" s="1"/>
      <c r="DEV100" s="1"/>
      <c r="DEW100" s="1"/>
      <c r="DEX100" s="1"/>
      <c r="DEY100" s="1"/>
      <c r="DEZ100" s="1"/>
      <c r="DFA100" s="1"/>
      <c r="DFB100" s="1"/>
      <c r="DFC100" s="1"/>
      <c r="DFD100" s="1"/>
      <c r="DFE100" s="1"/>
      <c r="DFF100" s="1"/>
      <c r="DFG100" s="1"/>
      <c r="DFH100" s="1"/>
      <c r="DFI100" s="1"/>
      <c r="DFJ100" s="1"/>
      <c r="DFK100" s="1"/>
      <c r="DFL100" s="1"/>
      <c r="DFM100" s="1"/>
      <c r="DFN100" s="1"/>
      <c r="DFO100" s="1"/>
      <c r="DFP100" s="1"/>
      <c r="DFQ100" s="1"/>
      <c r="DFR100" s="1"/>
      <c r="DFS100" s="1"/>
      <c r="DFT100" s="1"/>
      <c r="DFU100" s="1"/>
      <c r="DFV100" s="1"/>
      <c r="DFW100" s="1"/>
      <c r="DFX100" s="1"/>
      <c r="DFY100" s="1"/>
      <c r="DFZ100" s="1"/>
      <c r="DGA100" s="1"/>
      <c r="DGB100" s="1"/>
      <c r="DGC100" s="1"/>
      <c r="DGD100" s="1"/>
      <c r="DGE100" s="1"/>
      <c r="DGF100" s="1"/>
      <c r="DGG100" s="1"/>
      <c r="DGH100" s="1"/>
      <c r="DGI100" s="1"/>
      <c r="DGJ100" s="1"/>
      <c r="DGK100" s="1"/>
      <c r="DGL100" s="1"/>
      <c r="DGM100" s="1"/>
      <c r="DGN100" s="1"/>
      <c r="DGO100" s="1"/>
      <c r="DGP100" s="1"/>
      <c r="DGQ100" s="1"/>
      <c r="DGR100" s="1"/>
      <c r="DGS100" s="1"/>
      <c r="DGT100" s="1"/>
      <c r="DGU100" s="1"/>
      <c r="DGV100" s="1"/>
      <c r="DGW100" s="1"/>
      <c r="DGX100" s="1"/>
      <c r="DGY100" s="1"/>
      <c r="DGZ100" s="1"/>
      <c r="DHA100" s="1"/>
      <c r="DHB100" s="1"/>
      <c r="DHC100" s="1"/>
      <c r="DHD100" s="1"/>
      <c r="DHE100" s="1"/>
      <c r="DHF100" s="1"/>
      <c r="DHG100" s="1"/>
      <c r="DHH100" s="1"/>
      <c r="DHI100" s="1"/>
      <c r="DHJ100" s="1"/>
      <c r="DHK100" s="1"/>
      <c r="DHL100" s="1"/>
      <c r="DHM100" s="1"/>
      <c r="DHN100" s="1"/>
      <c r="DHO100" s="1"/>
      <c r="DHP100" s="1"/>
      <c r="DHQ100" s="1"/>
      <c r="DHR100" s="1"/>
      <c r="DHS100" s="1"/>
      <c r="DHT100" s="1"/>
      <c r="DHU100" s="1"/>
      <c r="DHV100" s="1"/>
      <c r="DHW100" s="1"/>
      <c r="DHX100" s="1"/>
      <c r="DHY100" s="1"/>
      <c r="DHZ100" s="1"/>
      <c r="DIA100" s="1"/>
      <c r="DIB100" s="1"/>
      <c r="DIC100" s="1"/>
      <c r="DID100" s="1"/>
      <c r="DIE100" s="1"/>
      <c r="DIF100" s="1"/>
      <c r="DIG100" s="1"/>
      <c r="DIH100" s="1"/>
      <c r="DII100" s="1"/>
      <c r="DIJ100" s="1"/>
      <c r="DIK100" s="1"/>
      <c r="DIL100" s="1"/>
      <c r="DIM100" s="1"/>
      <c r="DIN100" s="1"/>
      <c r="DIO100" s="1"/>
      <c r="DIP100" s="1"/>
      <c r="DIQ100" s="1"/>
      <c r="DIR100" s="1"/>
      <c r="DIS100" s="1"/>
      <c r="DIT100" s="1"/>
      <c r="DIU100" s="1"/>
      <c r="DIV100" s="1"/>
      <c r="DIW100" s="1"/>
      <c r="DIX100" s="1"/>
      <c r="DIY100" s="1"/>
      <c r="DIZ100" s="1"/>
      <c r="DJA100" s="1"/>
      <c r="DJB100" s="1"/>
      <c r="DJC100" s="1"/>
      <c r="DJD100" s="1"/>
      <c r="DJE100" s="1"/>
      <c r="DJF100" s="1"/>
      <c r="DJG100" s="1"/>
      <c r="DJH100" s="1"/>
      <c r="DJI100" s="1"/>
      <c r="DJJ100" s="1"/>
      <c r="DJK100" s="1"/>
      <c r="DJL100" s="1"/>
      <c r="DJM100" s="1"/>
      <c r="DJN100" s="1"/>
      <c r="DJO100" s="1"/>
      <c r="DJP100" s="1"/>
      <c r="DJQ100" s="1"/>
      <c r="DJR100" s="1"/>
      <c r="DJS100" s="1"/>
      <c r="DJT100" s="1"/>
      <c r="DJU100" s="1"/>
      <c r="DJV100" s="1"/>
      <c r="DJW100" s="1"/>
      <c r="DJX100" s="1"/>
      <c r="DJY100" s="1"/>
      <c r="DJZ100" s="1"/>
      <c r="DKA100" s="1"/>
      <c r="DKB100" s="1"/>
      <c r="DKC100" s="1"/>
      <c r="DKD100" s="1"/>
      <c r="DKE100" s="1"/>
      <c r="DKF100" s="1"/>
      <c r="DKG100" s="1"/>
      <c r="DKH100" s="1"/>
      <c r="DKI100" s="1"/>
      <c r="DKJ100" s="1"/>
      <c r="DKK100" s="1"/>
      <c r="DKL100" s="1"/>
      <c r="DKM100" s="1"/>
      <c r="DKN100" s="1"/>
      <c r="DKO100" s="1"/>
      <c r="DKP100" s="1"/>
      <c r="DKQ100" s="1"/>
      <c r="DKR100" s="1"/>
      <c r="DKS100" s="1"/>
      <c r="DKT100" s="1"/>
      <c r="DKU100" s="1"/>
      <c r="DKV100" s="1"/>
      <c r="DKW100" s="1"/>
      <c r="DKX100" s="1"/>
      <c r="DKY100" s="1"/>
      <c r="DKZ100" s="1"/>
      <c r="DLA100" s="1"/>
      <c r="DLB100" s="1"/>
      <c r="DLC100" s="1"/>
      <c r="DLD100" s="1"/>
      <c r="DLE100" s="1"/>
      <c r="DLF100" s="1"/>
      <c r="DLG100" s="1"/>
      <c r="DLH100" s="1"/>
      <c r="DLI100" s="1"/>
      <c r="DLJ100" s="1"/>
      <c r="DLK100" s="1"/>
      <c r="DLL100" s="1"/>
      <c r="DLM100" s="1"/>
      <c r="DLN100" s="1"/>
      <c r="DLO100" s="1"/>
      <c r="DLP100" s="1"/>
      <c r="DLQ100" s="1"/>
      <c r="DLR100" s="1"/>
      <c r="DLS100" s="1"/>
      <c r="DLT100" s="1"/>
      <c r="DLU100" s="1"/>
      <c r="DLV100" s="1"/>
      <c r="DLW100" s="1"/>
      <c r="DLX100" s="1"/>
      <c r="DLY100" s="1"/>
      <c r="DLZ100" s="1"/>
      <c r="DMA100" s="1"/>
      <c r="DMB100" s="1"/>
      <c r="DMC100" s="1"/>
      <c r="DMD100" s="1"/>
      <c r="DME100" s="1"/>
      <c r="DMF100" s="1"/>
      <c r="DMG100" s="1"/>
      <c r="DMH100" s="1"/>
      <c r="DMI100" s="1"/>
      <c r="DMJ100" s="1"/>
      <c r="DMK100" s="1"/>
      <c r="DML100" s="1"/>
      <c r="DMM100" s="1"/>
      <c r="DMN100" s="1"/>
      <c r="DMO100" s="1"/>
      <c r="DMP100" s="1"/>
      <c r="DMQ100" s="1"/>
      <c r="DMR100" s="1"/>
      <c r="DMS100" s="1"/>
      <c r="DMT100" s="1"/>
      <c r="DMU100" s="1"/>
      <c r="DMV100" s="1"/>
      <c r="DMW100" s="1"/>
      <c r="DMX100" s="1"/>
      <c r="DMY100" s="1"/>
      <c r="DMZ100" s="1"/>
      <c r="DNA100" s="1"/>
      <c r="DNB100" s="1"/>
      <c r="DNC100" s="1"/>
      <c r="DND100" s="1"/>
      <c r="DNE100" s="1"/>
      <c r="DNF100" s="1"/>
      <c r="DNG100" s="1"/>
      <c r="DNH100" s="1"/>
      <c r="DNI100" s="1"/>
      <c r="DNJ100" s="1"/>
      <c r="DNK100" s="1"/>
      <c r="DNL100" s="1"/>
      <c r="DNM100" s="1"/>
      <c r="DNN100" s="1"/>
      <c r="DNO100" s="1"/>
      <c r="DNP100" s="1"/>
      <c r="DNQ100" s="1"/>
      <c r="DNR100" s="1"/>
      <c r="DNS100" s="1"/>
      <c r="DNT100" s="1"/>
      <c r="DNU100" s="1"/>
      <c r="DNV100" s="1"/>
      <c r="DNW100" s="1"/>
      <c r="DNX100" s="1"/>
      <c r="DNY100" s="1"/>
      <c r="DNZ100" s="1"/>
      <c r="DOA100" s="1"/>
      <c r="DOB100" s="1"/>
      <c r="DOC100" s="1"/>
      <c r="DOD100" s="1"/>
      <c r="DOE100" s="1"/>
      <c r="DOF100" s="1"/>
      <c r="DOG100" s="1"/>
      <c r="DOH100" s="1"/>
      <c r="DOI100" s="1"/>
      <c r="DOJ100" s="1"/>
      <c r="DOK100" s="1"/>
      <c r="DOL100" s="1"/>
      <c r="DOM100" s="1"/>
      <c r="DON100" s="1"/>
      <c r="DOO100" s="1"/>
      <c r="DOP100" s="1"/>
      <c r="DOQ100" s="1"/>
      <c r="DOR100" s="1"/>
      <c r="DOS100" s="1"/>
      <c r="DOT100" s="1"/>
      <c r="DOU100" s="1"/>
      <c r="DOV100" s="1"/>
      <c r="DOW100" s="1"/>
      <c r="DOX100" s="1"/>
      <c r="DOY100" s="1"/>
      <c r="DOZ100" s="1"/>
      <c r="DPA100" s="1"/>
      <c r="DPB100" s="1"/>
      <c r="DPC100" s="1"/>
      <c r="DPD100" s="1"/>
      <c r="DPE100" s="1"/>
      <c r="DPF100" s="1"/>
      <c r="DPG100" s="1"/>
      <c r="DPH100" s="1"/>
      <c r="DPI100" s="1"/>
      <c r="DPJ100" s="1"/>
      <c r="DPK100" s="1"/>
      <c r="DPL100" s="1"/>
      <c r="DPM100" s="1"/>
      <c r="DPN100" s="1"/>
      <c r="DPO100" s="1"/>
      <c r="DPP100" s="1"/>
      <c r="DPQ100" s="1"/>
      <c r="DPR100" s="1"/>
      <c r="DPS100" s="1"/>
      <c r="DPT100" s="1"/>
      <c r="DPU100" s="1"/>
      <c r="DPV100" s="1"/>
      <c r="DPW100" s="1"/>
      <c r="DPX100" s="1"/>
      <c r="DPY100" s="1"/>
      <c r="DPZ100" s="1"/>
      <c r="DQA100" s="1"/>
      <c r="DQB100" s="1"/>
      <c r="DQC100" s="1"/>
      <c r="DQD100" s="1"/>
      <c r="DQE100" s="1"/>
      <c r="DQF100" s="1"/>
      <c r="DQG100" s="1"/>
      <c r="DQH100" s="1"/>
      <c r="DQI100" s="1"/>
      <c r="DQJ100" s="1"/>
      <c r="DQK100" s="1"/>
      <c r="DQL100" s="1"/>
      <c r="DQM100" s="1"/>
      <c r="DQN100" s="1"/>
      <c r="DQO100" s="1"/>
      <c r="DQP100" s="1"/>
      <c r="DQQ100" s="1"/>
      <c r="DQR100" s="1"/>
      <c r="DQS100" s="1"/>
      <c r="DQT100" s="1"/>
      <c r="DQU100" s="1"/>
      <c r="DQV100" s="1"/>
      <c r="DQW100" s="1"/>
      <c r="DQX100" s="1"/>
      <c r="DQY100" s="1"/>
      <c r="DQZ100" s="1"/>
      <c r="DRA100" s="1"/>
      <c r="DRB100" s="1"/>
      <c r="DRC100" s="1"/>
      <c r="DRD100" s="1"/>
      <c r="DRE100" s="1"/>
      <c r="DRF100" s="1"/>
      <c r="DRG100" s="1"/>
      <c r="DRH100" s="1"/>
      <c r="DRI100" s="1"/>
      <c r="DRJ100" s="1"/>
      <c r="DRK100" s="1"/>
      <c r="DRL100" s="1"/>
      <c r="DRM100" s="1"/>
      <c r="DRN100" s="1"/>
      <c r="DRO100" s="1"/>
      <c r="DRP100" s="1"/>
      <c r="DRQ100" s="1"/>
      <c r="DRR100" s="1"/>
      <c r="DRS100" s="1"/>
      <c r="DRT100" s="1"/>
      <c r="DRU100" s="1"/>
      <c r="DRV100" s="1"/>
      <c r="DRW100" s="1"/>
      <c r="DRX100" s="1"/>
      <c r="DRY100" s="1"/>
      <c r="DRZ100" s="1"/>
      <c r="DSA100" s="1"/>
      <c r="DSB100" s="1"/>
      <c r="DSC100" s="1"/>
      <c r="DSD100" s="1"/>
      <c r="DSE100" s="1"/>
      <c r="DSF100" s="1"/>
      <c r="DSG100" s="1"/>
      <c r="DSH100" s="1"/>
      <c r="DSI100" s="1"/>
      <c r="DSJ100" s="1"/>
      <c r="DSK100" s="1"/>
      <c r="DSL100" s="1"/>
      <c r="DSM100" s="1"/>
      <c r="DSN100" s="1"/>
      <c r="DSO100" s="1"/>
      <c r="DSP100" s="1"/>
      <c r="DSQ100" s="1"/>
      <c r="DSR100" s="1"/>
      <c r="DSS100" s="1"/>
      <c r="DST100" s="1"/>
      <c r="DSU100" s="1"/>
      <c r="DSV100" s="1"/>
      <c r="DSW100" s="1"/>
      <c r="DSX100" s="1"/>
      <c r="DSY100" s="1"/>
      <c r="DSZ100" s="1"/>
      <c r="DTA100" s="1"/>
      <c r="DTB100" s="1"/>
      <c r="DTC100" s="1"/>
      <c r="DTD100" s="1"/>
      <c r="DTE100" s="1"/>
      <c r="DTF100" s="1"/>
      <c r="DTG100" s="1"/>
      <c r="DTH100" s="1"/>
      <c r="DTI100" s="1"/>
      <c r="DTJ100" s="1"/>
      <c r="DTK100" s="1"/>
      <c r="DTL100" s="1"/>
      <c r="DTM100" s="1"/>
      <c r="DTN100" s="1"/>
      <c r="DTO100" s="1"/>
      <c r="DTP100" s="1"/>
      <c r="DTQ100" s="1"/>
      <c r="DTR100" s="1"/>
      <c r="DTS100" s="1"/>
      <c r="DTT100" s="1"/>
      <c r="DTU100" s="1"/>
      <c r="DTV100" s="1"/>
      <c r="DTW100" s="1"/>
      <c r="DTX100" s="1"/>
      <c r="DTY100" s="1"/>
      <c r="DTZ100" s="1"/>
      <c r="DUA100" s="1"/>
      <c r="DUB100" s="1"/>
      <c r="DUC100" s="1"/>
      <c r="DUD100" s="1"/>
      <c r="DUE100" s="1"/>
      <c r="DUF100" s="1"/>
      <c r="DUG100" s="1"/>
      <c r="DUH100" s="1"/>
      <c r="DUI100" s="1"/>
      <c r="DUJ100" s="1"/>
      <c r="DUK100" s="1"/>
      <c r="DUL100" s="1"/>
      <c r="DUM100" s="1"/>
      <c r="DUN100" s="1"/>
      <c r="DUO100" s="1"/>
      <c r="DUP100" s="1"/>
      <c r="DUQ100" s="1"/>
      <c r="DUR100" s="1"/>
      <c r="DUS100" s="1"/>
      <c r="DUT100" s="1"/>
      <c r="DUU100" s="1"/>
      <c r="DUV100" s="1"/>
      <c r="DUW100" s="1"/>
      <c r="DUX100" s="1"/>
      <c r="DUY100" s="1"/>
      <c r="DUZ100" s="1"/>
      <c r="DVA100" s="1"/>
      <c r="DVB100" s="1"/>
      <c r="DVC100" s="1"/>
      <c r="DVD100" s="1"/>
      <c r="DVE100" s="1"/>
      <c r="DVF100" s="1"/>
      <c r="DVG100" s="1"/>
      <c r="DVH100" s="1"/>
      <c r="DVI100" s="1"/>
      <c r="DVJ100" s="1"/>
      <c r="DVK100" s="1"/>
      <c r="DVL100" s="1"/>
      <c r="DVM100" s="1"/>
      <c r="DVN100" s="1"/>
      <c r="DVO100" s="1"/>
      <c r="DVP100" s="1"/>
      <c r="DVQ100" s="1"/>
      <c r="DVR100" s="1"/>
      <c r="DVS100" s="1"/>
      <c r="DVT100" s="1"/>
      <c r="DVU100" s="1"/>
      <c r="DVV100" s="1"/>
      <c r="DVW100" s="1"/>
      <c r="DVX100" s="1"/>
      <c r="DVY100" s="1"/>
      <c r="DVZ100" s="1"/>
      <c r="DWA100" s="1"/>
      <c r="DWB100" s="1"/>
      <c r="DWC100" s="1"/>
      <c r="DWD100" s="1"/>
      <c r="DWE100" s="1"/>
      <c r="DWF100" s="1"/>
      <c r="DWG100" s="1"/>
      <c r="DWH100" s="1"/>
      <c r="DWI100" s="1"/>
      <c r="DWJ100" s="1"/>
      <c r="DWK100" s="1"/>
      <c r="DWL100" s="1"/>
      <c r="DWM100" s="1"/>
      <c r="DWN100" s="1"/>
      <c r="DWO100" s="1"/>
      <c r="DWP100" s="1"/>
      <c r="DWQ100" s="1"/>
      <c r="DWR100" s="1"/>
      <c r="DWS100" s="1"/>
      <c r="DWT100" s="1"/>
      <c r="DWU100" s="1"/>
      <c r="DWV100" s="1"/>
      <c r="DWW100" s="1"/>
      <c r="DWX100" s="1"/>
      <c r="DWY100" s="1"/>
      <c r="DWZ100" s="1"/>
      <c r="DXA100" s="1"/>
      <c r="DXB100" s="1"/>
      <c r="DXC100" s="1"/>
      <c r="DXD100" s="1"/>
      <c r="DXE100" s="1"/>
      <c r="DXF100" s="1"/>
      <c r="DXG100" s="1"/>
      <c r="DXH100" s="1"/>
      <c r="DXI100" s="1"/>
      <c r="DXJ100" s="1"/>
      <c r="DXK100" s="1"/>
      <c r="DXL100" s="1"/>
      <c r="DXM100" s="1"/>
      <c r="DXN100" s="1"/>
      <c r="DXO100" s="1"/>
      <c r="DXP100" s="1"/>
      <c r="DXQ100" s="1"/>
      <c r="DXR100" s="1"/>
      <c r="DXS100" s="1"/>
      <c r="DXT100" s="1"/>
      <c r="DXU100" s="1"/>
      <c r="DXV100" s="1"/>
      <c r="DXW100" s="1"/>
      <c r="DXX100" s="1"/>
      <c r="DXY100" s="1"/>
      <c r="DXZ100" s="1"/>
      <c r="DYA100" s="1"/>
      <c r="DYB100" s="1"/>
      <c r="DYC100" s="1"/>
      <c r="DYD100" s="1"/>
      <c r="DYE100" s="1"/>
      <c r="DYF100" s="1"/>
      <c r="DYG100" s="1"/>
      <c r="DYH100" s="1"/>
      <c r="DYI100" s="1"/>
      <c r="DYJ100" s="1"/>
      <c r="DYK100" s="1"/>
      <c r="DYL100" s="1"/>
      <c r="DYM100" s="1"/>
      <c r="DYN100" s="1"/>
      <c r="DYO100" s="1"/>
      <c r="DYP100" s="1"/>
      <c r="DYQ100" s="1"/>
      <c r="DYR100" s="1"/>
      <c r="DYS100" s="1"/>
      <c r="DYT100" s="1"/>
      <c r="DYU100" s="1"/>
      <c r="DYV100" s="1"/>
      <c r="DYW100" s="1"/>
      <c r="DYX100" s="1"/>
      <c r="DYY100" s="1"/>
      <c r="DYZ100" s="1"/>
      <c r="DZA100" s="1"/>
      <c r="DZB100" s="1"/>
      <c r="DZC100" s="1"/>
      <c r="DZD100" s="1"/>
      <c r="DZE100" s="1"/>
      <c r="DZF100" s="1"/>
      <c r="DZG100" s="1"/>
      <c r="DZH100" s="1"/>
      <c r="DZI100" s="1"/>
      <c r="DZJ100" s="1"/>
      <c r="DZK100" s="1"/>
      <c r="DZL100" s="1"/>
      <c r="DZM100" s="1"/>
      <c r="DZN100" s="1"/>
      <c r="DZO100" s="1"/>
      <c r="DZP100" s="1"/>
      <c r="DZQ100" s="1"/>
      <c r="DZR100" s="1"/>
      <c r="DZS100" s="1"/>
      <c r="DZT100" s="1"/>
      <c r="DZU100" s="1"/>
      <c r="DZV100" s="1"/>
      <c r="DZW100" s="1"/>
      <c r="DZX100" s="1"/>
      <c r="DZY100" s="1"/>
      <c r="DZZ100" s="1"/>
      <c r="EAA100" s="1"/>
      <c r="EAB100" s="1"/>
      <c r="EAC100" s="1"/>
      <c r="EAD100" s="1"/>
      <c r="EAE100" s="1"/>
      <c r="EAF100" s="1"/>
      <c r="EAG100" s="1"/>
      <c r="EAH100" s="1"/>
      <c r="EAI100" s="1"/>
      <c r="EAJ100" s="1"/>
      <c r="EAK100" s="1"/>
      <c r="EAL100" s="1"/>
      <c r="EAM100" s="1"/>
      <c r="EAN100" s="1"/>
      <c r="EAO100" s="1"/>
      <c r="EAP100" s="1"/>
      <c r="EAQ100" s="1"/>
      <c r="EAR100" s="1"/>
      <c r="EAS100" s="1"/>
      <c r="EAT100" s="1"/>
      <c r="EAU100" s="1"/>
      <c r="EAV100" s="1"/>
      <c r="EAW100" s="1"/>
      <c r="EAX100" s="1"/>
      <c r="EAY100" s="1"/>
      <c r="EAZ100" s="1"/>
      <c r="EBA100" s="1"/>
      <c r="EBB100" s="1"/>
      <c r="EBC100" s="1"/>
      <c r="EBD100" s="1"/>
      <c r="EBE100" s="1"/>
      <c r="EBF100" s="1"/>
      <c r="EBG100" s="1"/>
      <c r="EBH100" s="1"/>
      <c r="EBI100" s="1"/>
      <c r="EBJ100" s="1"/>
      <c r="EBK100" s="1"/>
      <c r="EBL100" s="1"/>
      <c r="EBM100" s="1"/>
      <c r="EBN100" s="1"/>
      <c r="EBO100" s="1"/>
      <c r="EBP100" s="1"/>
      <c r="EBQ100" s="1"/>
      <c r="EBR100" s="1"/>
      <c r="EBS100" s="1"/>
      <c r="EBT100" s="1"/>
      <c r="EBU100" s="1"/>
      <c r="EBV100" s="1"/>
      <c r="EBW100" s="1"/>
      <c r="EBX100" s="1"/>
      <c r="EBY100" s="1"/>
      <c r="EBZ100" s="1"/>
      <c r="ECA100" s="1"/>
      <c r="ECB100" s="1"/>
      <c r="ECC100" s="1"/>
      <c r="ECD100" s="1"/>
      <c r="ECE100" s="1"/>
      <c r="ECF100" s="1"/>
      <c r="ECG100" s="1"/>
      <c r="ECH100" s="1"/>
      <c r="ECI100" s="1"/>
      <c r="ECJ100" s="1"/>
      <c r="ECK100" s="1"/>
      <c r="ECL100" s="1"/>
      <c r="ECM100" s="1"/>
      <c r="ECN100" s="1"/>
      <c r="ECO100" s="1"/>
      <c r="ECP100" s="1"/>
      <c r="ECQ100" s="1"/>
      <c r="ECR100" s="1"/>
      <c r="ECS100" s="1"/>
      <c r="ECT100" s="1"/>
      <c r="ECU100" s="1"/>
      <c r="ECV100" s="1"/>
      <c r="ECW100" s="1"/>
      <c r="ECX100" s="1"/>
      <c r="ECY100" s="1"/>
      <c r="ECZ100" s="1"/>
      <c r="EDA100" s="1"/>
      <c r="EDB100" s="1"/>
      <c r="EDC100" s="1"/>
      <c r="EDD100" s="1"/>
      <c r="EDE100" s="1"/>
      <c r="EDF100" s="1"/>
      <c r="EDG100" s="1"/>
      <c r="EDH100" s="1"/>
      <c r="EDI100" s="1"/>
      <c r="EDJ100" s="1"/>
      <c r="EDK100" s="1"/>
      <c r="EDL100" s="1"/>
      <c r="EDM100" s="1"/>
      <c r="EDN100" s="1"/>
      <c r="EDO100" s="1"/>
      <c r="EDP100" s="1"/>
      <c r="EDQ100" s="1"/>
      <c r="EDR100" s="1"/>
      <c r="EDS100" s="1"/>
      <c r="EDT100" s="1"/>
      <c r="EDU100" s="1"/>
      <c r="EDV100" s="1"/>
      <c r="EDW100" s="1"/>
      <c r="EDX100" s="1"/>
      <c r="EDY100" s="1"/>
      <c r="EDZ100" s="1"/>
      <c r="EEA100" s="1"/>
      <c r="EEB100" s="1"/>
      <c r="EEC100" s="1"/>
      <c r="EED100" s="1"/>
      <c r="EEE100" s="1"/>
      <c r="EEF100" s="1"/>
      <c r="EEG100" s="1"/>
      <c r="EEH100" s="1"/>
      <c r="EEI100" s="1"/>
      <c r="EEJ100" s="1"/>
      <c r="EEK100" s="1"/>
      <c r="EEL100" s="1"/>
      <c r="EEM100" s="1"/>
      <c r="EEN100" s="1"/>
      <c r="EEO100" s="1"/>
      <c r="EEP100" s="1"/>
      <c r="EEQ100" s="1"/>
      <c r="EER100" s="1"/>
      <c r="EES100" s="1"/>
      <c r="EET100" s="1"/>
      <c r="EEU100" s="1"/>
      <c r="EEV100" s="1"/>
      <c r="EEW100" s="1"/>
      <c r="EEX100" s="1"/>
      <c r="EEY100" s="1"/>
      <c r="EEZ100" s="1"/>
      <c r="EFA100" s="1"/>
      <c r="EFB100" s="1"/>
      <c r="EFC100" s="1"/>
      <c r="EFD100" s="1"/>
      <c r="EFE100" s="1"/>
      <c r="EFF100" s="1"/>
      <c r="EFG100" s="1"/>
      <c r="EFH100" s="1"/>
      <c r="EFI100" s="1"/>
      <c r="EFJ100" s="1"/>
      <c r="EFK100" s="1"/>
      <c r="EFL100" s="1"/>
      <c r="EFM100" s="1"/>
      <c r="EFN100" s="1"/>
      <c r="EFO100" s="1"/>
      <c r="EFP100" s="1"/>
      <c r="EFQ100" s="1"/>
      <c r="EFR100" s="1"/>
      <c r="EFS100" s="1"/>
      <c r="EFT100" s="1"/>
      <c r="EFU100" s="1"/>
      <c r="EFV100" s="1"/>
      <c r="EFW100" s="1"/>
      <c r="EFX100" s="1"/>
      <c r="EFY100" s="1"/>
      <c r="EFZ100" s="1"/>
      <c r="EGA100" s="1"/>
      <c r="EGB100" s="1"/>
      <c r="EGC100" s="1"/>
      <c r="EGD100" s="1"/>
      <c r="EGE100" s="1"/>
      <c r="EGF100" s="1"/>
      <c r="EGG100" s="1"/>
      <c r="EGH100" s="1"/>
      <c r="EGI100" s="1"/>
      <c r="EGJ100" s="1"/>
      <c r="EGK100" s="1"/>
      <c r="EGL100" s="1"/>
      <c r="EGM100" s="1"/>
      <c r="EGN100" s="1"/>
      <c r="EGO100" s="1"/>
      <c r="EGP100" s="1"/>
      <c r="EGQ100" s="1"/>
      <c r="EGR100" s="1"/>
      <c r="EGS100" s="1"/>
      <c r="EGT100" s="1"/>
      <c r="EGU100" s="1"/>
      <c r="EGV100" s="1"/>
      <c r="EGW100" s="1"/>
      <c r="EGX100" s="1"/>
      <c r="EGY100" s="1"/>
      <c r="EGZ100" s="1"/>
      <c r="EHA100" s="1"/>
      <c r="EHB100" s="1"/>
      <c r="EHC100" s="1"/>
      <c r="EHD100" s="1"/>
      <c r="EHE100" s="1"/>
      <c r="EHF100" s="1"/>
      <c r="EHG100" s="1"/>
      <c r="EHH100" s="1"/>
      <c r="EHI100" s="1"/>
      <c r="EHJ100" s="1"/>
      <c r="EHK100" s="1"/>
      <c r="EHL100" s="1"/>
      <c r="EHM100" s="1"/>
      <c r="EHN100" s="1"/>
      <c r="EHO100" s="1"/>
      <c r="EHP100" s="1"/>
      <c r="EHQ100" s="1"/>
      <c r="EHR100" s="1"/>
      <c r="EHS100" s="1"/>
      <c r="EHT100" s="1"/>
      <c r="EHU100" s="1"/>
      <c r="EHV100" s="1"/>
      <c r="EHW100" s="1"/>
      <c r="EHX100" s="1"/>
      <c r="EHY100" s="1"/>
      <c r="EHZ100" s="1"/>
      <c r="EIA100" s="1"/>
      <c r="EIB100" s="1"/>
      <c r="EIC100" s="1"/>
      <c r="EID100" s="1"/>
      <c r="EIE100" s="1"/>
      <c r="EIF100" s="1"/>
      <c r="EIG100" s="1"/>
      <c r="EIH100" s="1"/>
      <c r="EII100" s="1"/>
      <c r="EIJ100" s="1"/>
      <c r="EIK100" s="1"/>
      <c r="EIL100" s="1"/>
      <c r="EIM100" s="1"/>
      <c r="EIN100" s="1"/>
      <c r="EIO100" s="1"/>
      <c r="EIP100" s="1"/>
      <c r="EIQ100" s="1"/>
      <c r="EIR100" s="1"/>
      <c r="EIS100" s="1"/>
      <c r="EIT100" s="1"/>
      <c r="EIU100" s="1"/>
      <c r="EIV100" s="1"/>
      <c r="EIW100" s="1"/>
      <c r="EIX100" s="1"/>
      <c r="EIY100" s="1"/>
      <c r="EIZ100" s="1"/>
      <c r="EJA100" s="1"/>
      <c r="EJB100" s="1"/>
      <c r="EJC100" s="1"/>
      <c r="EJD100" s="1"/>
      <c r="EJE100" s="1"/>
      <c r="EJF100" s="1"/>
      <c r="EJG100" s="1"/>
      <c r="EJH100" s="1"/>
      <c r="EJI100" s="1"/>
      <c r="EJJ100" s="1"/>
      <c r="EJK100" s="1"/>
      <c r="EJL100" s="1"/>
      <c r="EJM100" s="1"/>
      <c r="EJN100" s="1"/>
      <c r="EJO100" s="1"/>
      <c r="EJP100" s="1"/>
      <c r="EJQ100" s="1"/>
      <c r="EJR100" s="1"/>
      <c r="EJS100" s="1"/>
      <c r="EJT100" s="1"/>
      <c r="EJU100" s="1"/>
      <c r="EJV100" s="1"/>
      <c r="EJW100" s="1"/>
      <c r="EJX100" s="1"/>
      <c r="EJY100" s="1"/>
      <c r="EJZ100" s="1"/>
      <c r="EKA100" s="1"/>
      <c r="EKB100" s="1"/>
      <c r="EKC100" s="1"/>
      <c r="EKD100" s="1"/>
      <c r="EKE100" s="1"/>
      <c r="EKF100" s="1"/>
      <c r="EKG100" s="1"/>
      <c r="EKH100" s="1"/>
      <c r="EKI100" s="1"/>
      <c r="EKJ100" s="1"/>
      <c r="EKK100" s="1"/>
      <c r="EKL100" s="1"/>
      <c r="EKM100" s="1"/>
      <c r="EKN100" s="1"/>
      <c r="EKO100" s="1"/>
      <c r="EKP100" s="1"/>
      <c r="EKQ100" s="1"/>
      <c r="EKR100" s="1"/>
      <c r="EKS100" s="1"/>
      <c r="EKT100" s="1"/>
      <c r="EKU100" s="1"/>
      <c r="EKV100" s="1"/>
      <c r="EKW100" s="1"/>
      <c r="EKX100" s="1"/>
      <c r="EKY100" s="1"/>
      <c r="EKZ100" s="1"/>
      <c r="ELA100" s="1"/>
      <c r="ELB100" s="1"/>
      <c r="ELC100" s="1"/>
      <c r="ELD100" s="1"/>
      <c r="ELE100" s="1"/>
      <c r="ELF100" s="1"/>
      <c r="ELG100" s="1"/>
      <c r="ELH100" s="1"/>
      <c r="ELI100" s="1"/>
      <c r="ELJ100" s="1"/>
      <c r="ELK100" s="1"/>
      <c r="ELL100" s="1"/>
      <c r="ELM100" s="1"/>
      <c r="ELN100" s="1"/>
      <c r="ELO100" s="1"/>
      <c r="ELP100" s="1"/>
      <c r="ELQ100" s="1"/>
      <c r="ELR100" s="1"/>
      <c r="ELS100" s="1"/>
      <c r="ELT100" s="1"/>
      <c r="ELU100" s="1"/>
      <c r="ELV100" s="1"/>
      <c r="ELW100" s="1"/>
      <c r="ELX100" s="1"/>
      <c r="ELY100" s="1"/>
      <c r="ELZ100" s="1"/>
      <c r="EMA100" s="1"/>
      <c r="EMB100" s="1"/>
      <c r="EMC100" s="1"/>
      <c r="EMD100" s="1"/>
      <c r="EME100" s="1"/>
      <c r="EMF100" s="1"/>
      <c r="EMG100" s="1"/>
      <c r="EMH100" s="1"/>
      <c r="EMI100" s="1"/>
      <c r="EMJ100" s="1"/>
      <c r="EMK100" s="1"/>
      <c r="EML100" s="1"/>
      <c r="EMM100" s="1"/>
      <c r="EMN100" s="1"/>
      <c r="EMO100" s="1"/>
      <c r="EMP100" s="1"/>
      <c r="EMQ100" s="1"/>
      <c r="EMR100" s="1"/>
      <c r="EMS100" s="1"/>
      <c r="EMT100" s="1"/>
      <c r="EMU100" s="1"/>
      <c r="EMV100" s="1"/>
      <c r="EMW100" s="1"/>
      <c r="EMX100" s="1"/>
      <c r="EMY100" s="1"/>
      <c r="EMZ100" s="1"/>
      <c r="ENA100" s="1"/>
      <c r="ENB100" s="1"/>
      <c r="ENC100" s="1"/>
      <c r="END100" s="1"/>
      <c r="ENE100" s="1"/>
      <c r="ENF100" s="1"/>
      <c r="ENG100" s="1"/>
      <c r="ENH100" s="1"/>
      <c r="ENI100" s="1"/>
      <c r="ENJ100" s="1"/>
      <c r="ENK100" s="1"/>
      <c r="ENL100" s="1"/>
      <c r="ENM100" s="1"/>
      <c r="ENN100" s="1"/>
      <c r="ENO100" s="1"/>
      <c r="ENP100" s="1"/>
      <c r="ENQ100" s="1"/>
      <c r="ENR100" s="1"/>
      <c r="ENS100" s="1"/>
      <c r="ENT100" s="1"/>
      <c r="ENU100" s="1"/>
      <c r="ENV100" s="1"/>
      <c r="ENW100" s="1"/>
      <c r="ENX100" s="1"/>
      <c r="ENY100" s="1"/>
      <c r="ENZ100" s="1"/>
      <c r="EOA100" s="1"/>
      <c r="EOB100" s="1"/>
      <c r="EOC100" s="1"/>
      <c r="EOD100" s="1"/>
      <c r="EOE100" s="1"/>
      <c r="EOF100" s="1"/>
      <c r="EOG100" s="1"/>
      <c r="EOH100" s="1"/>
      <c r="EOI100" s="1"/>
      <c r="EOJ100" s="1"/>
      <c r="EOK100" s="1"/>
      <c r="EOL100" s="1"/>
      <c r="EOM100" s="1"/>
      <c r="EON100" s="1"/>
      <c r="EOO100" s="1"/>
      <c r="EOP100" s="1"/>
      <c r="EOQ100" s="1"/>
      <c r="EOR100" s="1"/>
      <c r="EOS100" s="1"/>
      <c r="EOT100" s="1"/>
      <c r="EOU100" s="1"/>
      <c r="EOV100" s="1"/>
      <c r="EOW100" s="1"/>
      <c r="EOX100" s="1"/>
      <c r="EOY100" s="1"/>
      <c r="EOZ100" s="1"/>
      <c r="EPA100" s="1"/>
      <c r="EPB100" s="1"/>
      <c r="EPC100" s="1"/>
      <c r="EPD100" s="1"/>
      <c r="EPE100" s="1"/>
      <c r="EPF100" s="1"/>
      <c r="EPG100" s="1"/>
      <c r="EPH100" s="1"/>
      <c r="EPI100" s="1"/>
      <c r="EPJ100" s="1"/>
      <c r="EPK100" s="1"/>
      <c r="EPL100" s="1"/>
      <c r="EPM100" s="1"/>
      <c r="EPN100" s="1"/>
      <c r="EPO100" s="1"/>
      <c r="EPP100" s="1"/>
      <c r="EPQ100" s="1"/>
      <c r="EPR100" s="1"/>
      <c r="EPS100" s="1"/>
      <c r="EPT100" s="1"/>
      <c r="EPU100" s="1"/>
      <c r="EPV100" s="1"/>
      <c r="EPW100" s="1"/>
      <c r="EPX100" s="1"/>
      <c r="EPY100" s="1"/>
      <c r="EPZ100" s="1"/>
      <c r="EQA100" s="1"/>
      <c r="EQB100" s="1"/>
      <c r="EQC100" s="1"/>
      <c r="EQD100" s="1"/>
      <c r="EQE100" s="1"/>
      <c r="EQF100" s="1"/>
      <c r="EQG100" s="1"/>
      <c r="EQH100" s="1"/>
      <c r="EQI100" s="1"/>
      <c r="EQJ100" s="1"/>
      <c r="EQK100" s="1"/>
      <c r="EQL100" s="1"/>
      <c r="EQM100" s="1"/>
      <c r="EQN100" s="1"/>
      <c r="EQO100" s="1"/>
      <c r="EQP100" s="1"/>
      <c r="EQQ100" s="1"/>
      <c r="EQR100" s="1"/>
      <c r="EQS100" s="1"/>
      <c r="EQT100" s="1"/>
      <c r="EQU100" s="1"/>
      <c r="EQV100" s="1"/>
      <c r="EQW100" s="1"/>
      <c r="EQX100" s="1"/>
      <c r="EQY100" s="1"/>
      <c r="EQZ100" s="1"/>
      <c r="ERA100" s="1"/>
      <c r="ERB100" s="1"/>
      <c r="ERC100" s="1"/>
      <c r="ERD100" s="1"/>
      <c r="ERE100" s="1"/>
      <c r="ERF100" s="1"/>
      <c r="ERG100" s="1"/>
      <c r="ERH100" s="1"/>
      <c r="ERI100" s="1"/>
      <c r="ERJ100" s="1"/>
      <c r="ERK100" s="1"/>
      <c r="ERL100" s="1"/>
      <c r="ERM100" s="1"/>
      <c r="ERN100" s="1"/>
      <c r="ERO100" s="1"/>
      <c r="ERP100" s="1"/>
      <c r="ERQ100" s="1"/>
      <c r="ERR100" s="1"/>
      <c r="ERS100" s="1"/>
      <c r="ERT100" s="1"/>
      <c r="ERU100" s="1"/>
      <c r="ERV100" s="1"/>
      <c r="ERW100" s="1"/>
      <c r="ERX100" s="1"/>
      <c r="ERY100" s="1"/>
      <c r="ERZ100" s="1"/>
      <c r="ESA100" s="1"/>
      <c r="ESB100" s="1"/>
      <c r="ESC100" s="1"/>
      <c r="ESD100" s="1"/>
      <c r="ESE100" s="1"/>
      <c r="ESF100" s="1"/>
      <c r="ESG100" s="1"/>
      <c r="ESH100" s="1"/>
      <c r="ESI100" s="1"/>
      <c r="ESJ100" s="1"/>
      <c r="ESK100" s="1"/>
      <c r="ESL100" s="1"/>
      <c r="ESM100" s="1"/>
      <c r="ESN100" s="1"/>
      <c r="ESO100" s="1"/>
      <c r="ESP100" s="1"/>
      <c r="ESQ100" s="1"/>
      <c r="ESR100" s="1"/>
      <c r="ESS100" s="1"/>
      <c r="EST100" s="1"/>
      <c r="ESU100" s="1"/>
      <c r="ESV100" s="1"/>
      <c r="ESW100" s="1"/>
      <c r="ESX100" s="1"/>
      <c r="ESY100" s="1"/>
      <c r="ESZ100" s="1"/>
      <c r="ETA100" s="1"/>
      <c r="ETB100" s="1"/>
      <c r="ETC100" s="1"/>
      <c r="ETD100" s="1"/>
      <c r="ETE100" s="1"/>
      <c r="ETF100" s="1"/>
      <c r="ETG100" s="1"/>
      <c r="ETH100" s="1"/>
      <c r="ETI100" s="1"/>
      <c r="ETJ100" s="1"/>
      <c r="ETK100" s="1"/>
      <c r="ETL100" s="1"/>
      <c r="ETM100" s="1"/>
      <c r="ETN100" s="1"/>
      <c r="ETO100" s="1"/>
      <c r="ETP100" s="1"/>
      <c r="ETQ100" s="1"/>
      <c r="ETR100" s="1"/>
      <c r="ETS100" s="1"/>
      <c r="ETT100" s="1"/>
      <c r="ETU100" s="1"/>
      <c r="ETV100" s="1"/>
      <c r="ETW100" s="1"/>
      <c r="ETX100" s="1"/>
      <c r="ETY100" s="1"/>
      <c r="ETZ100" s="1"/>
      <c r="EUA100" s="1"/>
      <c r="EUB100" s="1"/>
      <c r="EUC100" s="1"/>
      <c r="EUD100" s="1"/>
      <c r="EUE100" s="1"/>
      <c r="EUF100" s="1"/>
      <c r="EUG100" s="1"/>
      <c r="EUH100" s="1"/>
      <c r="EUI100" s="1"/>
      <c r="EUJ100" s="1"/>
      <c r="EUK100" s="1"/>
      <c r="EUL100" s="1"/>
      <c r="EUM100" s="1"/>
      <c r="EUN100" s="1"/>
      <c r="EUO100" s="1"/>
      <c r="EUP100" s="1"/>
      <c r="EUQ100" s="1"/>
      <c r="EUR100" s="1"/>
      <c r="EUS100" s="1"/>
      <c r="EUT100" s="1"/>
      <c r="EUU100" s="1"/>
      <c r="EUV100" s="1"/>
      <c r="EUW100" s="1"/>
      <c r="EUX100" s="1"/>
      <c r="EUY100" s="1"/>
      <c r="EUZ100" s="1"/>
      <c r="EVA100" s="1"/>
      <c r="EVB100" s="1"/>
      <c r="EVC100" s="1"/>
      <c r="EVD100" s="1"/>
      <c r="EVE100" s="1"/>
      <c r="EVF100" s="1"/>
      <c r="EVG100" s="1"/>
      <c r="EVH100" s="1"/>
      <c r="EVI100" s="1"/>
      <c r="EVJ100" s="1"/>
      <c r="EVK100" s="1"/>
      <c r="EVL100" s="1"/>
      <c r="EVM100" s="1"/>
      <c r="EVN100" s="1"/>
      <c r="EVO100" s="1"/>
      <c r="EVP100" s="1"/>
      <c r="EVQ100" s="1"/>
      <c r="EVR100" s="1"/>
      <c r="EVS100" s="1"/>
      <c r="EVT100" s="1"/>
      <c r="EVU100" s="1"/>
      <c r="EVV100" s="1"/>
      <c r="EVW100" s="1"/>
      <c r="EVX100" s="1"/>
      <c r="EVY100" s="1"/>
      <c r="EVZ100" s="1"/>
      <c r="EWA100" s="1"/>
      <c r="EWB100" s="1"/>
      <c r="EWC100" s="1"/>
      <c r="EWD100" s="1"/>
      <c r="EWE100" s="1"/>
      <c r="EWF100" s="1"/>
      <c r="EWG100" s="1"/>
      <c r="EWH100" s="1"/>
      <c r="EWI100" s="1"/>
      <c r="EWJ100" s="1"/>
      <c r="EWK100" s="1"/>
      <c r="EWL100" s="1"/>
      <c r="EWM100" s="1"/>
      <c r="EWN100" s="1"/>
      <c r="EWO100" s="1"/>
      <c r="EWP100" s="1"/>
      <c r="EWQ100" s="1"/>
      <c r="EWR100" s="1"/>
      <c r="EWS100" s="1"/>
      <c r="EWT100" s="1"/>
      <c r="EWU100" s="1"/>
      <c r="EWV100" s="1"/>
      <c r="EWW100" s="1"/>
      <c r="EWX100" s="1"/>
      <c r="EWY100" s="1"/>
      <c r="EWZ100" s="1"/>
      <c r="EXA100" s="1"/>
      <c r="EXB100" s="1"/>
      <c r="EXC100" s="1"/>
      <c r="EXD100" s="1"/>
      <c r="EXE100" s="1"/>
      <c r="EXF100" s="1"/>
      <c r="EXG100" s="1"/>
      <c r="EXH100" s="1"/>
      <c r="EXI100" s="1"/>
      <c r="EXJ100" s="1"/>
      <c r="EXK100" s="1"/>
      <c r="EXL100" s="1"/>
      <c r="EXM100" s="1"/>
      <c r="EXN100" s="1"/>
      <c r="EXO100" s="1"/>
      <c r="EXP100" s="1"/>
      <c r="EXQ100" s="1"/>
      <c r="EXR100" s="1"/>
      <c r="EXS100" s="1"/>
      <c r="EXT100" s="1"/>
      <c r="EXU100" s="1"/>
      <c r="EXV100" s="1"/>
      <c r="EXW100" s="1"/>
      <c r="EXX100" s="1"/>
      <c r="EXY100" s="1"/>
      <c r="EXZ100" s="1"/>
      <c r="EYA100" s="1"/>
      <c r="EYB100" s="1"/>
      <c r="EYC100" s="1"/>
      <c r="EYD100" s="1"/>
      <c r="EYE100" s="1"/>
      <c r="EYF100" s="1"/>
      <c r="EYG100" s="1"/>
      <c r="EYH100" s="1"/>
      <c r="EYI100" s="1"/>
      <c r="EYJ100" s="1"/>
      <c r="EYK100" s="1"/>
      <c r="EYL100" s="1"/>
      <c r="EYM100" s="1"/>
      <c r="EYN100" s="1"/>
      <c r="EYO100" s="1"/>
      <c r="EYP100" s="1"/>
      <c r="EYQ100" s="1"/>
      <c r="EYR100" s="1"/>
      <c r="EYS100" s="1"/>
      <c r="EYT100" s="1"/>
      <c r="EYU100" s="1"/>
      <c r="EYV100" s="1"/>
      <c r="EYW100" s="1"/>
      <c r="EYX100" s="1"/>
      <c r="EYY100" s="1"/>
      <c r="EYZ100" s="1"/>
      <c r="EZA100" s="1"/>
      <c r="EZB100" s="1"/>
      <c r="EZC100" s="1"/>
      <c r="EZD100" s="1"/>
      <c r="EZE100" s="1"/>
      <c r="EZF100" s="1"/>
      <c r="EZG100" s="1"/>
      <c r="EZH100" s="1"/>
      <c r="EZI100" s="1"/>
      <c r="EZJ100" s="1"/>
      <c r="EZK100" s="1"/>
      <c r="EZL100" s="1"/>
      <c r="EZM100" s="1"/>
      <c r="EZN100" s="1"/>
      <c r="EZO100" s="1"/>
      <c r="EZP100" s="1"/>
      <c r="EZQ100" s="1"/>
      <c r="EZR100" s="1"/>
      <c r="EZS100" s="1"/>
      <c r="EZT100" s="1"/>
      <c r="EZU100" s="1"/>
      <c r="EZV100" s="1"/>
      <c r="EZW100" s="1"/>
      <c r="EZX100" s="1"/>
      <c r="EZY100" s="1"/>
      <c r="EZZ100" s="1"/>
      <c r="FAA100" s="1"/>
      <c r="FAB100" s="1"/>
      <c r="FAC100" s="1"/>
      <c r="FAD100" s="1"/>
      <c r="FAE100" s="1"/>
      <c r="FAF100" s="1"/>
      <c r="FAG100" s="1"/>
      <c r="FAH100" s="1"/>
      <c r="FAI100" s="1"/>
      <c r="FAJ100" s="1"/>
      <c r="FAK100" s="1"/>
      <c r="FAL100" s="1"/>
      <c r="FAM100" s="1"/>
      <c r="FAN100" s="1"/>
      <c r="FAO100" s="1"/>
      <c r="FAP100" s="1"/>
      <c r="FAQ100" s="1"/>
      <c r="FAR100" s="1"/>
      <c r="FAS100" s="1"/>
      <c r="FAT100" s="1"/>
      <c r="FAU100" s="1"/>
      <c r="FAV100" s="1"/>
      <c r="FAW100" s="1"/>
      <c r="FAX100" s="1"/>
      <c r="FAY100" s="1"/>
      <c r="FAZ100" s="1"/>
      <c r="FBA100" s="1"/>
      <c r="FBB100" s="1"/>
      <c r="FBC100" s="1"/>
      <c r="FBD100" s="1"/>
      <c r="FBE100" s="1"/>
      <c r="FBF100" s="1"/>
      <c r="FBG100" s="1"/>
      <c r="FBH100" s="1"/>
      <c r="FBI100" s="1"/>
      <c r="FBJ100" s="1"/>
      <c r="FBK100" s="1"/>
      <c r="FBL100" s="1"/>
      <c r="FBM100" s="1"/>
      <c r="FBN100" s="1"/>
      <c r="FBO100" s="1"/>
      <c r="FBP100" s="1"/>
      <c r="FBQ100" s="1"/>
      <c r="FBR100" s="1"/>
      <c r="FBS100" s="1"/>
      <c r="FBT100" s="1"/>
      <c r="FBU100" s="1"/>
      <c r="FBV100" s="1"/>
      <c r="FBW100" s="1"/>
      <c r="FBX100" s="1"/>
      <c r="FBY100" s="1"/>
      <c r="FBZ100" s="1"/>
      <c r="FCA100" s="1"/>
      <c r="FCB100" s="1"/>
      <c r="FCC100" s="1"/>
      <c r="FCD100" s="1"/>
      <c r="FCE100" s="1"/>
      <c r="FCF100" s="1"/>
      <c r="FCG100" s="1"/>
      <c r="FCH100" s="1"/>
      <c r="FCI100" s="1"/>
      <c r="FCJ100" s="1"/>
      <c r="FCK100" s="1"/>
      <c r="FCL100" s="1"/>
      <c r="FCM100" s="1"/>
      <c r="FCN100" s="1"/>
      <c r="FCO100" s="1"/>
      <c r="FCP100" s="1"/>
      <c r="FCQ100" s="1"/>
      <c r="FCR100" s="1"/>
      <c r="FCS100" s="1"/>
      <c r="FCT100" s="1"/>
      <c r="FCU100" s="1"/>
      <c r="FCV100" s="1"/>
      <c r="FCW100" s="1"/>
      <c r="FCX100" s="1"/>
      <c r="FCY100" s="1"/>
      <c r="FCZ100" s="1"/>
      <c r="FDA100" s="1"/>
      <c r="FDB100" s="1"/>
      <c r="FDC100" s="1"/>
      <c r="FDD100" s="1"/>
      <c r="FDE100" s="1"/>
      <c r="FDF100" s="1"/>
      <c r="FDG100" s="1"/>
      <c r="FDH100" s="1"/>
      <c r="FDI100" s="1"/>
      <c r="FDJ100" s="1"/>
      <c r="FDK100" s="1"/>
      <c r="FDL100" s="1"/>
      <c r="FDM100" s="1"/>
      <c r="FDN100" s="1"/>
      <c r="FDO100" s="1"/>
      <c r="FDP100" s="1"/>
      <c r="FDQ100" s="1"/>
      <c r="FDR100" s="1"/>
      <c r="FDS100" s="1"/>
      <c r="FDT100" s="1"/>
      <c r="FDU100" s="1"/>
      <c r="FDV100" s="1"/>
      <c r="FDW100" s="1"/>
      <c r="FDX100" s="1"/>
      <c r="FDY100" s="1"/>
      <c r="FDZ100" s="1"/>
      <c r="FEA100" s="1"/>
      <c r="FEB100" s="1"/>
      <c r="FEC100" s="1"/>
      <c r="FED100" s="1"/>
      <c r="FEE100" s="1"/>
      <c r="FEF100" s="1"/>
      <c r="FEG100" s="1"/>
      <c r="FEH100" s="1"/>
      <c r="FEI100" s="1"/>
      <c r="FEJ100" s="1"/>
      <c r="FEK100" s="1"/>
      <c r="FEL100" s="1"/>
      <c r="FEM100" s="1"/>
      <c r="FEN100" s="1"/>
      <c r="FEO100" s="1"/>
      <c r="FEP100" s="1"/>
      <c r="FEQ100" s="1"/>
      <c r="FER100" s="1"/>
      <c r="FES100" s="1"/>
      <c r="FET100" s="1"/>
      <c r="FEU100" s="1"/>
      <c r="FEV100" s="1"/>
      <c r="FEW100" s="1"/>
      <c r="FEX100" s="1"/>
      <c r="FEY100" s="1"/>
      <c r="FEZ100" s="1"/>
      <c r="FFA100" s="1"/>
      <c r="FFB100" s="1"/>
      <c r="FFC100" s="1"/>
      <c r="FFD100" s="1"/>
      <c r="FFE100" s="1"/>
      <c r="FFF100" s="1"/>
      <c r="FFG100" s="1"/>
      <c r="FFH100" s="1"/>
      <c r="FFI100" s="1"/>
      <c r="FFJ100" s="1"/>
      <c r="FFK100" s="1"/>
      <c r="FFL100" s="1"/>
      <c r="FFM100" s="1"/>
      <c r="FFN100" s="1"/>
      <c r="FFO100" s="1"/>
      <c r="FFP100" s="1"/>
      <c r="FFQ100" s="1"/>
      <c r="FFR100" s="1"/>
      <c r="FFS100" s="1"/>
      <c r="FFT100" s="1"/>
      <c r="FFU100" s="1"/>
      <c r="FFV100" s="1"/>
      <c r="FFW100" s="1"/>
      <c r="FFX100" s="1"/>
      <c r="FFY100" s="1"/>
      <c r="FFZ100" s="1"/>
      <c r="FGA100" s="1"/>
      <c r="FGB100" s="1"/>
      <c r="FGC100" s="1"/>
      <c r="FGD100" s="1"/>
      <c r="FGE100" s="1"/>
      <c r="FGF100" s="1"/>
      <c r="FGG100" s="1"/>
      <c r="FGH100" s="1"/>
      <c r="FGI100" s="1"/>
      <c r="FGJ100" s="1"/>
      <c r="FGK100" s="1"/>
      <c r="FGL100" s="1"/>
      <c r="FGM100" s="1"/>
      <c r="FGN100" s="1"/>
      <c r="FGO100" s="1"/>
      <c r="FGP100" s="1"/>
      <c r="FGQ100" s="1"/>
      <c r="FGR100" s="1"/>
      <c r="FGS100" s="1"/>
      <c r="FGT100" s="1"/>
      <c r="FGU100" s="1"/>
      <c r="FGV100" s="1"/>
      <c r="FGW100" s="1"/>
      <c r="FGX100" s="1"/>
      <c r="FGY100" s="1"/>
      <c r="FGZ100" s="1"/>
      <c r="FHA100" s="1"/>
      <c r="FHB100" s="1"/>
      <c r="FHC100" s="1"/>
      <c r="FHD100" s="1"/>
      <c r="FHE100" s="1"/>
      <c r="FHF100" s="1"/>
      <c r="FHG100" s="1"/>
      <c r="FHH100" s="1"/>
      <c r="FHI100" s="1"/>
      <c r="FHJ100" s="1"/>
      <c r="FHK100" s="1"/>
      <c r="FHL100" s="1"/>
      <c r="FHM100" s="1"/>
      <c r="FHN100" s="1"/>
      <c r="FHO100" s="1"/>
      <c r="FHP100" s="1"/>
      <c r="FHQ100" s="1"/>
      <c r="FHR100" s="1"/>
      <c r="FHS100" s="1"/>
      <c r="FHT100" s="1"/>
      <c r="FHU100" s="1"/>
      <c r="FHV100" s="1"/>
      <c r="FHW100" s="1"/>
      <c r="FHX100" s="1"/>
      <c r="FHY100" s="1"/>
      <c r="FHZ100" s="1"/>
      <c r="FIA100" s="1"/>
      <c r="FIB100" s="1"/>
      <c r="FIC100" s="1"/>
      <c r="FID100" s="1"/>
      <c r="FIE100" s="1"/>
      <c r="FIF100" s="1"/>
      <c r="FIG100" s="1"/>
      <c r="FIH100" s="1"/>
      <c r="FII100" s="1"/>
      <c r="FIJ100" s="1"/>
      <c r="FIK100" s="1"/>
      <c r="FIL100" s="1"/>
      <c r="FIM100" s="1"/>
      <c r="FIN100" s="1"/>
      <c r="FIO100" s="1"/>
      <c r="FIP100" s="1"/>
      <c r="FIQ100" s="1"/>
      <c r="FIR100" s="1"/>
      <c r="FIS100" s="1"/>
      <c r="FIT100" s="1"/>
      <c r="FIU100" s="1"/>
      <c r="FIV100" s="1"/>
      <c r="FIW100" s="1"/>
      <c r="FIX100" s="1"/>
      <c r="FIY100" s="1"/>
      <c r="FIZ100" s="1"/>
      <c r="FJA100" s="1"/>
      <c r="FJB100" s="1"/>
      <c r="FJC100" s="1"/>
      <c r="FJD100" s="1"/>
      <c r="FJE100" s="1"/>
      <c r="FJF100" s="1"/>
      <c r="FJG100" s="1"/>
      <c r="FJH100" s="1"/>
      <c r="FJI100" s="1"/>
      <c r="FJJ100" s="1"/>
      <c r="FJK100" s="1"/>
      <c r="FJL100" s="1"/>
      <c r="FJM100" s="1"/>
      <c r="FJN100" s="1"/>
      <c r="FJO100" s="1"/>
      <c r="FJP100" s="1"/>
      <c r="FJQ100" s="1"/>
      <c r="FJR100" s="1"/>
      <c r="FJS100" s="1"/>
      <c r="FJT100" s="1"/>
      <c r="FJU100" s="1"/>
      <c r="FJV100" s="1"/>
      <c r="FJW100" s="1"/>
      <c r="FJX100" s="1"/>
      <c r="FJY100" s="1"/>
      <c r="FJZ100" s="1"/>
      <c r="FKA100" s="1"/>
      <c r="FKB100" s="1"/>
      <c r="FKC100" s="1"/>
      <c r="FKD100" s="1"/>
      <c r="FKE100" s="1"/>
      <c r="FKF100" s="1"/>
      <c r="FKG100" s="1"/>
      <c r="FKH100" s="1"/>
      <c r="FKI100" s="1"/>
      <c r="FKJ100" s="1"/>
      <c r="FKK100" s="1"/>
      <c r="FKL100" s="1"/>
      <c r="FKM100" s="1"/>
      <c r="FKN100" s="1"/>
      <c r="FKO100" s="1"/>
      <c r="FKP100" s="1"/>
      <c r="FKQ100" s="1"/>
      <c r="FKR100" s="1"/>
      <c r="FKS100" s="1"/>
      <c r="FKT100" s="1"/>
      <c r="FKU100" s="1"/>
      <c r="FKV100" s="1"/>
      <c r="FKW100" s="1"/>
      <c r="FKX100" s="1"/>
      <c r="FKY100" s="1"/>
      <c r="FKZ100" s="1"/>
      <c r="FLA100" s="1"/>
      <c r="FLB100" s="1"/>
      <c r="FLC100" s="1"/>
      <c r="FLD100" s="1"/>
      <c r="FLE100" s="1"/>
      <c r="FLF100" s="1"/>
      <c r="FLG100" s="1"/>
      <c r="FLH100" s="1"/>
      <c r="FLI100" s="1"/>
      <c r="FLJ100" s="1"/>
      <c r="FLK100" s="1"/>
      <c r="FLL100" s="1"/>
      <c r="FLM100" s="1"/>
      <c r="FLN100" s="1"/>
      <c r="FLO100" s="1"/>
      <c r="FLP100" s="1"/>
      <c r="FLQ100" s="1"/>
      <c r="FLR100" s="1"/>
      <c r="FLS100" s="1"/>
      <c r="FLT100" s="1"/>
      <c r="FLU100" s="1"/>
      <c r="FLV100" s="1"/>
      <c r="FLW100" s="1"/>
      <c r="FLX100" s="1"/>
      <c r="FLY100" s="1"/>
      <c r="FLZ100" s="1"/>
      <c r="FMA100" s="1"/>
      <c r="FMB100" s="1"/>
      <c r="FMC100" s="1"/>
      <c r="FMD100" s="1"/>
      <c r="FME100" s="1"/>
      <c r="FMF100" s="1"/>
      <c r="FMG100" s="1"/>
      <c r="FMH100" s="1"/>
      <c r="FMI100" s="1"/>
      <c r="FMJ100" s="1"/>
      <c r="FMK100" s="1"/>
      <c r="FML100" s="1"/>
      <c r="FMM100" s="1"/>
      <c r="FMN100" s="1"/>
      <c r="FMO100" s="1"/>
      <c r="FMP100" s="1"/>
      <c r="FMQ100" s="1"/>
      <c r="FMR100" s="1"/>
      <c r="FMS100" s="1"/>
      <c r="FMT100" s="1"/>
      <c r="FMU100" s="1"/>
      <c r="FMV100" s="1"/>
      <c r="FMW100" s="1"/>
      <c r="FMX100" s="1"/>
      <c r="FMY100" s="1"/>
      <c r="FMZ100" s="1"/>
      <c r="FNA100" s="1"/>
      <c r="FNB100" s="1"/>
      <c r="FNC100" s="1"/>
      <c r="FND100" s="1"/>
      <c r="FNE100" s="1"/>
      <c r="FNF100" s="1"/>
      <c r="FNG100" s="1"/>
      <c r="FNH100" s="1"/>
      <c r="FNI100" s="1"/>
      <c r="FNJ100" s="1"/>
      <c r="FNK100" s="1"/>
      <c r="FNL100" s="1"/>
      <c r="FNM100" s="1"/>
      <c r="FNN100" s="1"/>
      <c r="FNO100" s="1"/>
      <c r="FNP100" s="1"/>
      <c r="FNQ100" s="1"/>
      <c r="FNR100" s="1"/>
      <c r="FNS100" s="1"/>
      <c r="FNT100" s="1"/>
      <c r="FNU100" s="1"/>
      <c r="FNV100" s="1"/>
      <c r="FNW100" s="1"/>
      <c r="FNX100" s="1"/>
      <c r="FNY100" s="1"/>
      <c r="FNZ100" s="1"/>
      <c r="FOA100" s="1"/>
      <c r="FOB100" s="1"/>
      <c r="FOC100" s="1"/>
      <c r="FOD100" s="1"/>
      <c r="FOE100" s="1"/>
      <c r="FOF100" s="1"/>
      <c r="FOG100" s="1"/>
      <c r="FOH100" s="1"/>
      <c r="FOI100" s="1"/>
      <c r="FOJ100" s="1"/>
      <c r="FOK100" s="1"/>
      <c r="FOL100" s="1"/>
      <c r="FOM100" s="1"/>
      <c r="FON100" s="1"/>
      <c r="FOO100" s="1"/>
      <c r="FOP100" s="1"/>
      <c r="FOQ100" s="1"/>
      <c r="FOR100" s="1"/>
      <c r="FOS100" s="1"/>
      <c r="FOT100" s="1"/>
      <c r="FOU100" s="1"/>
      <c r="FOV100" s="1"/>
      <c r="FOW100" s="1"/>
      <c r="FOX100" s="1"/>
      <c r="FOY100" s="1"/>
      <c r="FOZ100" s="1"/>
      <c r="FPA100" s="1"/>
      <c r="FPB100" s="1"/>
      <c r="FPC100" s="1"/>
      <c r="FPD100" s="1"/>
      <c r="FPE100" s="1"/>
      <c r="FPF100" s="1"/>
      <c r="FPG100" s="1"/>
      <c r="FPH100" s="1"/>
      <c r="FPI100" s="1"/>
      <c r="FPJ100" s="1"/>
      <c r="FPK100" s="1"/>
      <c r="FPL100" s="1"/>
      <c r="FPM100" s="1"/>
      <c r="FPN100" s="1"/>
      <c r="FPO100" s="1"/>
      <c r="FPP100" s="1"/>
      <c r="FPQ100" s="1"/>
      <c r="FPR100" s="1"/>
      <c r="FPS100" s="1"/>
      <c r="FPT100" s="1"/>
      <c r="FPU100" s="1"/>
      <c r="FPV100" s="1"/>
      <c r="FPW100" s="1"/>
      <c r="FPX100" s="1"/>
      <c r="FPY100" s="1"/>
      <c r="FPZ100" s="1"/>
      <c r="FQA100" s="1"/>
      <c r="FQB100" s="1"/>
      <c r="FQC100" s="1"/>
      <c r="FQD100" s="1"/>
      <c r="FQE100" s="1"/>
      <c r="FQF100" s="1"/>
      <c r="FQG100" s="1"/>
      <c r="FQH100" s="1"/>
      <c r="FQI100" s="1"/>
      <c r="FQJ100" s="1"/>
      <c r="FQK100" s="1"/>
      <c r="FQL100" s="1"/>
      <c r="FQM100" s="1"/>
      <c r="FQN100" s="1"/>
      <c r="FQO100" s="1"/>
      <c r="FQP100" s="1"/>
      <c r="FQQ100" s="1"/>
      <c r="FQR100" s="1"/>
      <c r="FQS100" s="1"/>
      <c r="FQT100" s="1"/>
      <c r="FQU100" s="1"/>
      <c r="FQV100" s="1"/>
      <c r="FQW100" s="1"/>
      <c r="FQX100" s="1"/>
      <c r="FQY100" s="1"/>
      <c r="FQZ100" s="1"/>
      <c r="FRA100" s="1"/>
      <c r="FRB100" s="1"/>
      <c r="FRC100" s="1"/>
      <c r="FRD100" s="1"/>
      <c r="FRE100" s="1"/>
      <c r="FRF100" s="1"/>
      <c r="FRG100" s="1"/>
      <c r="FRH100" s="1"/>
      <c r="FRI100" s="1"/>
      <c r="FRJ100" s="1"/>
      <c r="FRK100" s="1"/>
      <c r="FRL100" s="1"/>
      <c r="FRM100" s="1"/>
      <c r="FRN100" s="1"/>
      <c r="FRO100" s="1"/>
      <c r="FRP100" s="1"/>
      <c r="FRQ100" s="1"/>
      <c r="FRR100" s="1"/>
      <c r="FRS100" s="1"/>
      <c r="FRT100" s="1"/>
      <c r="FRU100" s="1"/>
      <c r="FRV100" s="1"/>
      <c r="FRW100" s="1"/>
      <c r="FRX100" s="1"/>
      <c r="FRY100" s="1"/>
      <c r="FRZ100" s="1"/>
      <c r="FSA100" s="1"/>
      <c r="FSB100" s="1"/>
      <c r="FSC100" s="1"/>
      <c r="FSD100" s="1"/>
      <c r="FSE100" s="1"/>
      <c r="FSF100" s="1"/>
      <c r="FSG100" s="1"/>
      <c r="FSH100" s="1"/>
      <c r="FSI100" s="1"/>
      <c r="FSJ100" s="1"/>
      <c r="FSK100" s="1"/>
      <c r="FSL100" s="1"/>
      <c r="FSM100" s="1"/>
      <c r="FSN100" s="1"/>
      <c r="FSO100" s="1"/>
      <c r="FSP100" s="1"/>
      <c r="FSQ100" s="1"/>
      <c r="FSR100" s="1"/>
      <c r="FSS100" s="1"/>
      <c r="FST100" s="1"/>
      <c r="FSU100" s="1"/>
      <c r="FSV100" s="1"/>
      <c r="FSW100" s="1"/>
      <c r="FSX100" s="1"/>
      <c r="FSY100" s="1"/>
      <c r="FSZ100" s="1"/>
      <c r="FTA100" s="1"/>
      <c r="FTB100" s="1"/>
      <c r="FTC100" s="1"/>
      <c r="FTD100" s="1"/>
      <c r="FTE100" s="1"/>
      <c r="FTF100" s="1"/>
      <c r="FTG100" s="1"/>
      <c r="FTH100" s="1"/>
      <c r="FTI100" s="1"/>
      <c r="FTJ100" s="1"/>
      <c r="FTK100" s="1"/>
      <c r="FTL100" s="1"/>
      <c r="FTM100" s="1"/>
      <c r="FTN100" s="1"/>
      <c r="FTO100" s="1"/>
      <c r="FTP100" s="1"/>
      <c r="FTQ100" s="1"/>
      <c r="FTR100" s="1"/>
      <c r="FTS100" s="1"/>
      <c r="FTT100" s="1"/>
      <c r="FTU100" s="1"/>
      <c r="FTV100" s="1"/>
      <c r="FTW100" s="1"/>
      <c r="FTX100" s="1"/>
      <c r="FTY100" s="1"/>
      <c r="FTZ100" s="1"/>
      <c r="FUA100" s="1"/>
      <c r="FUB100" s="1"/>
      <c r="FUC100" s="1"/>
      <c r="FUD100" s="1"/>
      <c r="FUE100" s="1"/>
      <c r="FUF100" s="1"/>
      <c r="FUG100" s="1"/>
      <c r="FUH100" s="1"/>
      <c r="FUI100" s="1"/>
      <c r="FUJ100" s="1"/>
      <c r="FUK100" s="1"/>
      <c r="FUL100" s="1"/>
      <c r="FUM100" s="1"/>
      <c r="FUN100" s="1"/>
      <c r="FUO100" s="1"/>
      <c r="FUP100" s="1"/>
      <c r="FUQ100" s="1"/>
      <c r="FUR100" s="1"/>
      <c r="FUS100" s="1"/>
      <c r="FUT100" s="1"/>
      <c r="FUU100" s="1"/>
      <c r="FUV100" s="1"/>
      <c r="FUW100" s="1"/>
      <c r="FUX100" s="1"/>
      <c r="FUY100" s="1"/>
      <c r="FUZ100" s="1"/>
      <c r="FVA100" s="1"/>
      <c r="FVB100" s="1"/>
      <c r="FVC100" s="1"/>
      <c r="FVD100" s="1"/>
      <c r="FVE100" s="1"/>
      <c r="FVF100" s="1"/>
      <c r="FVG100" s="1"/>
      <c r="FVH100" s="1"/>
      <c r="FVI100" s="1"/>
      <c r="FVJ100" s="1"/>
      <c r="FVK100" s="1"/>
      <c r="FVL100" s="1"/>
      <c r="FVM100" s="1"/>
      <c r="FVN100" s="1"/>
      <c r="FVO100" s="1"/>
      <c r="FVP100" s="1"/>
      <c r="FVQ100" s="1"/>
      <c r="FVR100" s="1"/>
      <c r="FVS100" s="1"/>
      <c r="FVT100" s="1"/>
      <c r="FVU100" s="1"/>
      <c r="FVV100" s="1"/>
      <c r="FVW100" s="1"/>
      <c r="FVX100" s="1"/>
      <c r="FVY100" s="1"/>
      <c r="FVZ100" s="1"/>
      <c r="FWA100" s="1"/>
      <c r="FWB100" s="1"/>
      <c r="FWC100" s="1"/>
      <c r="FWD100" s="1"/>
      <c r="FWE100" s="1"/>
      <c r="FWF100" s="1"/>
      <c r="FWG100" s="1"/>
      <c r="FWH100" s="1"/>
      <c r="FWI100" s="1"/>
      <c r="FWJ100" s="1"/>
      <c r="FWK100" s="1"/>
      <c r="FWL100" s="1"/>
      <c r="FWM100" s="1"/>
      <c r="FWN100" s="1"/>
      <c r="FWO100" s="1"/>
      <c r="FWP100" s="1"/>
      <c r="FWQ100" s="1"/>
      <c r="FWR100" s="1"/>
      <c r="FWS100" s="1"/>
      <c r="FWT100" s="1"/>
      <c r="FWU100" s="1"/>
      <c r="FWV100" s="1"/>
      <c r="FWW100" s="1"/>
      <c r="FWX100" s="1"/>
      <c r="FWY100" s="1"/>
      <c r="FWZ100" s="1"/>
      <c r="FXA100" s="1"/>
      <c r="FXB100" s="1"/>
      <c r="FXC100" s="1"/>
      <c r="FXD100" s="1"/>
      <c r="FXE100" s="1"/>
      <c r="FXF100" s="1"/>
      <c r="FXG100" s="1"/>
      <c r="FXH100" s="1"/>
      <c r="FXI100" s="1"/>
      <c r="FXJ100" s="1"/>
      <c r="FXK100" s="1"/>
      <c r="FXL100" s="1"/>
      <c r="FXM100" s="1"/>
      <c r="FXN100" s="1"/>
      <c r="FXO100" s="1"/>
      <c r="FXP100" s="1"/>
      <c r="FXQ100" s="1"/>
      <c r="FXR100" s="1"/>
      <c r="FXS100" s="1"/>
      <c r="FXT100" s="1"/>
      <c r="FXU100" s="1"/>
      <c r="FXV100" s="1"/>
      <c r="FXW100" s="1"/>
      <c r="FXX100" s="1"/>
      <c r="FXY100" s="1"/>
      <c r="FXZ100" s="1"/>
      <c r="FYA100" s="1"/>
      <c r="FYB100" s="1"/>
      <c r="FYC100" s="1"/>
      <c r="FYD100" s="1"/>
      <c r="FYE100" s="1"/>
      <c r="FYF100" s="1"/>
      <c r="FYG100" s="1"/>
      <c r="FYH100" s="1"/>
      <c r="FYI100" s="1"/>
      <c r="FYJ100" s="1"/>
      <c r="FYK100" s="1"/>
      <c r="FYL100" s="1"/>
      <c r="FYM100" s="1"/>
      <c r="FYN100" s="1"/>
      <c r="FYO100" s="1"/>
      <c r="FYP100" s="1"/>
      <c r="FYQ100" s="1"/>
      <c r="FYR100" s="1"/>
      <c r="FYS100" s="1"/>
      <c r="FYT100" s="1"/>
      <c r="FYU100" s="1"/>
      <c r="FYV100" s="1"/>
      <c r="FYW100" s="1"/>
      <c r="FYX100" s="1"/>
      <c r="FYY100" s="1"/>
      <c r="FYZ100" s="1"/>
      <c r="FZA100" s="1"/>
      <c r="FZB100" s="1"/>
      <c r="FZC100" s="1"/>
      <c r="FZD100" s="1"/>
      <c r="FZE100" s="1"/>
      <c r="FZF100" s="1"/>
      <c r="FZG100" s="1"/>
      <c r="FZH100" s="1"/>
      <c r="FZI100" s="1"/>
      <c r="FZJ100" s="1"/>
      <c r="FZK100" s="1"/>
      <c r="FZL100" s="1"/>
      <c r="FZM100" s="1"/>
      <c r="FZN100" s="1"/>
      <c r="FZO100" s="1"/>
      <c r="FZP100" s="1"/>
      <c r="FZQ100" s="1"/>
      <c r="FZR100" s="1"/>
      <c r="FZS100" s="1"/>
      <c r="FZT100" s="1"/>
      <c r="FZU100" s="1"/>
      <c r="FZV100" s="1"/>
      <c r="FZW100" s="1"/>
      <c r="FZX100" s="1"/>
      <c r="FZY100" s="1"/>
      <c r="FZZ100" s="1"/>
      <c r="GAA100" s="1"/>
      <c r="GAB100" s="1"/>
      <c r="GAC100" s="1"/>
      <c r="GAD100" s="1"/>
      <c r="GAE100" s="1"/>
      <c r="GAF100" s="1"/>
      <c r="GAG100" s="1"/>
      <c r="GAH100" s="1"/>
      <c r="GAI100" s="1"/>
      <c r="GAJ100" s="1"/>
      <c r="GAK100" s="1"/>
      <c r="GAL100" s="1"/>
      <c r="GAM100" s="1"/>
      <c r="GAN100" s="1"/>
      <c r="GAO100" s="1"/>
      <c r="GAP100" s="1"/>
      <c r="GAQ100" s="1"/>
      <c r="GAR100" s="1"/>
      <c r="GAS100" s="1"/>
      <c r="GAT100" s="1"/>
      <c r="GAU100" s="1"/>
      <c r="GAV100" s="1"/>
      <c r="GAW100" s="1"/>
      <c r="GAX100" s="1"/>
      <c r="GAY100" s="1"/>
      <c r="GAZ100" s="1"/>
      <c r="GBA100" s="1"/>
      <c r="GBB100" s="1"/>
      <c r="GBC100" s="1"/>
      <c r="GBD100" s="1"/>
      <c r="GBE100" s="1"/>
      <c r="GBF100" s="1"/>
      <c r="GBG100" s="1"/>
      <c r="GBH100" s="1"/>
      <c r="GBI100" s="1"/>
      <c r="GBJ100" s="1"/>
      <c r="GBK100" s="1"/>
      <c r="GBL100" s="1"/>
      <c r="GBM100" s="1"/>
      <c r="GBN100" s="1"/>
      <c r="GBO100" s="1"/>
      <c r="GBP100" s="1"/>
      <c r="GBQ100" s="1"/>
      <c r="GBR100" s="1"/>
      <c r="GBS100" s="1"/>
      <c r="GBT100" s="1"/>
      <c r="GBU100" s="1"/>
      <c r="GBV100" s="1"/>
      <c r="GBW100" s="1"/>
      <c r="GBX100" s="1"/>
      <c r="GBY100" s="1"/>
      <c r="GBZ100" s="1"/>
      <c r="GCA100" s="1"/>
      <c r="GCB100" s="1"/>
      <c r="GCC100" s="1"/>
      <c r="GCD100" s="1"/>
      <c r="GCE100" s="1"/>
      <c r="GCF100" s="1"/>
      <c r="GCG100" s="1"/>
      <c r="GCH100" s="1"/>
      <c r="GCI100" s="1"/>
      <c r="GCJ100" s="1"/>
      <c r="GCK100" s="1"/>
      <c r="GCL100" s="1"/>
      <c r="GCM100" s="1"/>
      <c r="GCN100" s="1"/>
      <c r="GCO100" s="1"/>
      <c r="GCP100" s="1"/>
      <c r="GCQ100" s="1"/>
      <c r="GCR100" s="1"/>
      <c r="GCS100" s="1"/>
      <c r="GCT100" s="1"/>
      <c r="GCU100" s="1"/>
      <c r="GCV100" s="1"/>
      <c r="GCW100" s="1"/>
      <c r="GCX100" s="1"/>
      <c r="GCY100" s="1"/>
      <c r="GCZ100" s="1"/>
      <c r="GDA100" s="1"/>
      <c r="GDB100" s="1"/>
      <c r="GDC100" s="1"/>
      <c r="GDD100" s="1"/>
      <c r="GDE100" s="1"/>
      <c r="GDF100" s="1"/>
      <c r="GDG100" s="1"/>
      <c r="GDH100" s="1"/>
      <c r="GDI100" s="1"/>
      <c r="GDJ100" s="1"/>
      <c r="GDK100" s="1"/>
      <c r="GDL100" s="1"/>
      <c r="GDM100" s="1"/>
      <c r="GDN100" s="1"/>
      <c r="GDO100" s="1"/>
      <c r="GDP100" s="1"/>
      <c r="GDQ100" s="1"/>
      <c r="GDR100" s="1"/>
      <c r="GDS100" s="1"/>
      <c r="GDT100" s="1"/>
      <c r="GDU100" s="1"/>
      <c r="GDV100" s="1"/>
      <c r="GDW100" s="1"/>
      <c r="GDX100" s="1"/>
      <c r="GDY100" s="1"/>
      <c r="GDZ100" s="1"/>
      <c r="GEA100" s="1"/>
      <c r="GEB100" s="1"/>
      <c r="GEC100" s="1"/>
      <c r="GED100" s="1"/>
      <c r="GEE100" s="1"/>
      <c r="GEF100" s="1"/>
      <c r="GEG100" s="1"/>
      <c r="GEH100" s="1"/>
      <c r="GEI100" s="1"/>
      <c r="GEJ100" s="1"/>
      <c r="GEK100" s="1"/>
      <c r="GEL100" s="1"/>
      <c r="GEM100" s="1"/>
      <c r="GEN100" s="1"/>
      <c r="GEO100" s="1"/>
      <c r="GEP100" s="1"/>
      <c r="GEQ100" s="1"/>
      <c r="GER100" s="1"/>
      <c r="GES100" s="1"/>
      <c r="GET100" s="1"/>
      <c r="GEU100" s="1"/>
      <c r="GEV100" s="1"/>
      <c r="GEW100" s="1"/>
      <c r="GEX100" s="1"/>
      <c r="GEY100" s="1"/>
      <c r="GEZ100" s="1"/>
      <c r="GFA100" s="1"/>
      <c r="GFB100" s="1"/>
      <c r="GFC100" s="1"/>
      <c r="GFD100" s="1"/>
      <c r="GFE100" s="1"/>
      <c r="GFF100" s="1"/>
      <c r="GFG100" s="1"/>
      <c r="GFH100" s="1"/>
      <c r="GFI100" s="1"/>
      <c r="GFJ100" s="1"/>
      <c r="GFK100" s="1"/>
      <c r="GFL100" s="1"/>
      <c r="GFM100" s="1"/>
      <c r="GFN100" s="1"/>
      <c r="GFO100" s="1"/>
      <c r="GFP100" s="1"/>
      <c r="GFQ100" s="1"/>
      <c r="GFR100" s="1"/>
      <c r="GFS100" s="1"/>
      <c r="GFT100" s="1"/>
      <c r="GFU100" s="1"/>
      <c r="GFV100" s="1"/>
      <c r="GFW100" s="1"/>
      <c r="GFX100" s="1"/>
      <c r="GFY100" s="1"/>
      <c r="GFZ100" s="1"/>
      <c r="GGA100" s="1"/>
      <c r="GGB100" s="1"/>
      <c r="GGC100" s="1"/>
      <c r="GGD100" s="1"/>
      <c r="GGE100" s="1"/>
      <c r="GGF100" s="1"/>
      <c r="GGG100" s="1"/>
      <c r="GGH100" s="1"/>
      <c r="GGI100" s="1"/>
      <c r="GGJ100" s="1"/>
      <c r="GGK100" s="1"/>
      <c r="GGL100" s="1"/>
      <c r="GGM100" s="1"/>
      <c r="GGN100" s="1"/>
      <c r="GGO100" s="1"/>
      <c r="GGP100" s="1"/>
      <c r="GGQ100" s="1"/>
      <c r="GGR100" s="1"/>
      <c r="GGS100" s="1"/>
      <c r="GGT100" s="1"/>
      <c r="GGU100" s="1"/>
      <c r="GGV100" s="1"/>
      <c r="GGW100" s="1"/>
      <c r="GGX100" s="1"/>
      <c r="GGY100" s="1"/>
      <c r="GGZ100" s="1"/>
      <c r="GHA100" s="1"/>
      <c r="GHB100" s="1"/>
      <c r="GHC100" s="1"/>
      <c r="GHD100" s="1"/>
      <c r="GHE100" s="1"/>
      <c r="GHF100" s="1"/>
      <c r="GHG100" s="1"/>
      <c r="GHH100" s="1"/>
      <c r="GHI100" s="1"/>
      <c r="GHJ100" s="1"/>
      <c r="GHK100" s="1"/>
      <c r="GHL100" s="1"/>
      <c r="GHM100" s="1"/>
      <c r="GHN100" s="1"/>
      <c r="GHO100" s="1"/>
      <c r="GHP100" s="1"/>
      <c r="GHQ100" s="1"/>
      <c r="GHR100" s="1"/>
      <c r="GHS100" s="1"/>
      <c r="GHT100" s="1"/>
      <c r="GHU100" s="1"/>
      <c r="GHV100" s="1"/>
      <c r="GHW100" s="1"/>
      <c r="GHX100" s="1"/>
      <c r="GHY100" s="1"/>
      <c r="GHZ100" s="1"/>
      <c r="GIA100" s="1"/>
      <c r="GIB100" s="1"/>
      <c r="GIC100" s="1"/>
      <c r="GID100" s="1"/>
      <c r="GIE100" s="1"/>
      <c r="GIF100" s="1"/>
      <c r="GIG100" s="1"/>
      <c r="GIH100" s="1"/>
      <c r="GII100" s="1"/>
      <c r="GIJ100" s="1"/>
      <c r="GIK100" s="1"/>
      <c r="GIL100" s="1"/>
      <c r="GIM100" s="1"/>
      <c r="GIN100" s="1"/>
      <c r="GIO100" s="1"/>
      <c r="GIP100" s="1"/>
      <c r="GIQ100" s="1"/>
      <c r="GIR100" s="1"/>
      <c r="GIS100" s="1"/>
      <c r="GIT100" s="1"/>
      <c r="GIU100" s="1"/>
      <c r="GIV100" s="1"/>
      <c r="GIW100" s="1"/>
      <c r="GIX100" s="1"/>
      <c r="GIY100" s="1"/>
      <c r="GIZ100" s="1"/>
      <c r="GJA100" s="1"/>
      <c r="GJB100" s="1"/>
      <c r="GJC100" s="1"/>
      <c r="GJD100" s="1"/>
      <c r="GJE100" s="1"/>
      <c r="GJF100" s="1"/>
      <c r="GJG100" s="1"/>
      <c r="GJH100" s="1"/>
      <c r="GJI100" s="1"/>
      <c r="GJJ100" s="1"/>
      <c r="GJK100" s="1"/>
      <c r="GJL100" s="1"/>
      <c r="GJM100" s="1"/>
      <c r="GJN100" s="1"/>
      <c r="GJO100" s="1"/>
      <c r="GJP100" s="1"/>
      <c r="GJQ100" s="1"/>
      <c r="GJR100" s="1"/>
      <c r="GJS100" s="1"/>
      <c r="GJT100" s="1"/>
      <c r="GJU100" s="1"/>
      <c r="GJV100" s="1"/>
      <c r="GJW100" s="1"/>
      <c r="GJX100" s="1"/>
      <c r="GJY100" s="1"/>
      <c r="GJZ100" s="1"/>
      <c r="GKA100" s="1"/>
      <c r="GKB100" s="1"/>
      <c r="GKC100" s="1"/>
      <c r="GKD100" s="1"/>
      <c r="GKE100" s="1"/>
      <c r="GKF100" s="1"/>
      <c r="GKG100" s="1"/>
      <c r="GKH100" s="1"/>
      <c r="GKI100" s="1"/>
      <c r="GKJ100" s="1"/>
      <c r="GKK100" s="1"/>
      <c r="GKL100" s="1"/>
      <c r="GKM100" s="1"/>
      <c r="GKN100" s="1"/>
      <c r="GKO100" s="1"/>
      <c r="GKP100" s="1"/>
      <c r="GKQ100" s="1"/>
      <c r="GKR100" s="1"/>
      <c r="GKS100" s="1"/>
      <c r="GKT100" s="1"/>
      <c r="GKU100" s="1"/>
      <c r="GKV100" s="1"/>
      <c r="GKW100" s="1"/>
      <c r="GKX100" s="1"/>
      <c r="GKY100" s="1"/>
      <c r="GKZ100" s="1"/>
      <c r="GLA100" s="1"/>
      <c r="GLB100" s="1"/>
      <c r="GLC100" s="1"/>
      <c r="GLD100" s="1"/>
      <c r="GLE100" s="1"/>
      <c r="GLF100" s="1"/>
      <c r="GLG100" s="1"/>
      <c r="GLH100" s="1"/>
      <c r="GLI100" s="1"/>
      <c r="GLJ100" s="1"/>
      <c r="GLK100" s="1"/>
      <c r="GLL100" s="1"/>
      <c r="GLM100" s="1"/>
      <c r="GLN100" s="1"/>
      <c r="GLO100" s="1"/>
      <c r="GLP100" s="1"/>
      <c r="GLQ100" s="1"/>
      <c r="GLR100" s="1"/>
      <c r="GLS100" s="1"/>
      <c r="GLT100" s="1"/>
      <c r="GLU100" s="1"/>
      <c r="GLV100" s="1"/>
      <c r="GLW100" s="1"/>
      <c r="GLX100" s="1"/>
      <c r="GLY100" s="1"/>
      <c r="GLZ100" s="1"/>
      <c r="GMA100" s="1"/>
      <c r="GMB100" s="1"/>
      <c r="GMC100" s="1"/>
      <c r="GMD100" s="1"/>
      <c r="GME100" s="1"/>
      <c r="GMF100" s="1"/>
      <c r="GMG100" s="1"/>
      <c r="GMH100" s="1"/>
      <c r="GMI100" s="1"/>
      <c r="GMJ100" s="1"/>
      <c r="GMK100" s="1"/>
      <c r="GML100" s="1"/>
      <c r="GMM100" s="1"/>
      <c r="GMN100" s="1"/>
      <c r="GMO100" s="1"/>
      <c r="GMP100" s="1"/>
      <c r="GMQ100" s="1"/>
      <c r="GMR100" s="1"/>
      <c r="GMS100" s="1"/>
      <c r="GMT100" s="1"/>
      <c r="GMU100" s="1"/>
      <c r="GMV100" s="1"/>
      <c r="GMW100" s="1"/>
      <c r="GMX100" s="1"/>
      <c r="GMY100" s="1"/>
      <c r="GMZ100" s="1"/>
      <c r="GNA100" s="1"/>
      <c r="GNB100" s="1"/>
      <c r="GNC100" s="1"/>
      <c r="GND100" s="1"/>
      <c r="GNE100" s="1"/>
      <c r="GNF100" s="1"/>
      <c r="GNG100" s="1"/>
      <c r="GNH100" s="1"/>
      <c r="GNI100" s="1"/>
      <c r="GNJ100" s="1"/>
      <c r="GNK100" s="1"/>
      <c r="GNL100" s="1"/>
      <c r="GNM100" s="1"/>
      <c r="GNN100" s="1"/>
      <c r="GNO100" s="1"/>
      <c r="GNP100" s="1"/>
      <c r="GNQ100" s="1"/>
      <c r="GNR100" s="1"/>
      <c r="GNS100" s="1"/>
      <c r="GNT100" s="1"/>
      <c r="GNU100" s="1"/>
      <c r="GNV100" s="1"/>
      <c r="GNW100" s="1"/>
      <c r="GNX100" s="1"/>
      <c r="GNY100" s="1"/>
      <c r="GNZ100" s="1"/>
      <c r="GOA100" s="1"/>
      <c r="GOB100" s="1"/>
      <c r="GOC100" s="1"/>
      <c r="GOD100" s="1"/>
      <c r="GOE100" s="1"/>
      <c r="GOF100" s="1"/>
      <c r="GOG100" s="1"/>
      <c r="GOH100" s="1"/>
      <c r="GOI100" s="1"/>
      <c r="GOJ100" s="1"/>
      <c r="GOK100" s="1"/>
      <c r="GOL100" s="1"/>
      <c r="GOM100" s="1"/>
      <c r="GON100" s="1"/>
      <c r="GOO100" s="1"/>
      <c r="GOP100" s="1"/>
      <c r="GOQ100" s="1"/>
      <c r="GOR100" s="1"/>
      <c r="GOS100" s="1"/>
      <c r="GOT100" s="1"/>
      <c r="GOU100" s="1"/>
      <c r="GOV100" s="1"/>
      <c r="GOW100" s="1"/>
      <c r="GOX100" s="1"/>
      <c r="GOY100" s="1"/>
      <c r="GOZ100" s="1"/>
      <c r="GPA100" s="1"/>
      <c r="GPB100" s="1"/>
      <c r="GPC100" s="1"/>
      <c r="GPD100" s="1"/>
      <c r="GPE100" s="1"/>
      <c r="GPF100" s="1"/>
      <c r="GPG100" s="1"/>
      <c r="GPH100" s="1"/>
      <c r="GPI100" s="1"/>
      <c r="GPJ100" s="1"/>
      <c r="GPK100" s="1"/>
      <c r="GPL100" s="1"/>
      <c r="GPM100" s="1"/>
      <c r="GPN100" s="1"/>
      <c r="GPO100" s="1"/>
      <c r="GPP100" s="1"/>
      <c r="GPQ100" s="1"/>
      <c r="GPR100" s="1"/>
      <c r="GPS100" s="1"/>
      <c r="GPT100" s="1"/>
      <c r="GPU100" s="1"/>
      <c r="GPV100" s="1"/>
      <c r="GPW100" s="1"/>
      <c r="GPX100" s="1"/>
      <c r="GPY100" s="1"/>
      <c r="GPZ100" s="1"/>
      <c r="GQA100" s="1"/>
      <c r="GQB100" s="1"/>
      <c r="GQC100" s="1"/>
      <c r="GQD100" s="1"/>
      <c r="GQE100" s="1"/>
      <c r="GQF100" s="1"/>
      <c r="GQG100" s="1"/>
      <c r="GQH100" s="1"/>
      <c r="GQI100" s="1"/>
      <c r="GQJ100" s="1"/>
      <c r="GQK100" s="1"/>
      <c r="GQL100" s="1"/>
      <c r="GQM100" s="1"/>
      <c r="GQN100" s="1"/>
      <c r="GQO100" s="1"/>
      <c r="GQP100" s="1"/>
      <c r="GQQ100" s="1"/>
      <c r="GQR100" s="1"/>
      <c r="GQS100" s="1"/>
      <c r="GQT100" s="1"/>
      <c r="GQU100" s="1"/>
      <c r="GQV100" s="1"/>
      <c r="GQW100" s="1"/>
      <c r="GQX100" s="1"/>
      <c r="GQY100" s="1"/>
      <c r="GQZ100" s="1"/>
      <c r="GRA100" s="1"/>
      <c r="GRB100" s="1"/>
      <c r="GRC100" s="1"/>
      <c r="GRD100" s="1"/>
      <c r="GRE100" s="1"/>
      <c r="GRF100" s="1"/>
      <c r="GRG100" s="1"/>
      <c r="GRH100" s="1"/>
      <c r="GRI100" s="1"/>
      <c r="GRJ100" s="1"/>
      <c r="GRK100" s="1"/>
      <c r="GRL100" s="1"/>
      <c r="GRM100" s="1"/>
      <c r="GRN100" s="1"/>
      <c r="GRO100" s="1"/>
      <c r="GRP100" s="1"/>
      <c r="GRQ100" s="1"/>
      <c r="GRR100" s="1"/>
      <c r="GRS100" s="1"/>
      <c r="GRT100" s="1"/>
      <c r="GRU100" s="1"/>
      <c r="GRV100" s="1"/>
      <c r="GRW100" s="1"/>
      <c r="GRX100" s="1"/>
      <c r="GRY100" s="1"/>
      <c r="GRZ100" s="1"/>
      <c r="GSA100" s="1"/>
      <c r="GSB100" s="1"/>
      <c r="GSC100" s="1"/>
      <c r="GSD100" s="1"/>
      <c r="GSE100" s="1"/>
      <c r="GSF100" s="1"/>
      <c r="GSG100" s="1"/>
      <c r="GSH100" s="1"/>
      <c r="GSI100" s="1"/>
      <c r="GSJ100" s="1"/>
      <c r="GSK100" s="1"/>
      <c r="GSL100" s="1"/>
      <c r="GSM100" s="1"/>
      <c r="GSN100" s="1"/>
      <c r="GSO100" s="1"/>
      <c r="GSP100" s="1"/>
      <c r="GSQ100" s="1"/>
      <c r="GSR100" s="1"/>
      <c r="GSS100" s="1"/>
      <c r="GST100" s="1"/>
      <c r="GSU100" s="1"/>
      <c r="GSV100" s="1"/>
      <c r="GSW100" s="1"/>
      <c r="GSX100" s="1"/>
      <c r="GSY100" s="1"/>
      <c r="GSZ100" s="1"/>
      <c r="GTA100" s="1"/>
      <c r="GTB100" s="1"/>
      <c r="GTC100" s="1"/>
      <c r="GTD100" s="1"/>
      <c r="GTE100" s="1"/>
      <c r="GTF100" s="1"/>
      <c r="GTG100" s="1"/>
      <c r="GTH100" s="1"/>
      <c r="GTI100" s="1"/>
      <c r="GTJ100" s="1"/>
      <c r="GTK100" s="1"/>
      <c r="GTL100" s="1"/>
      <c r="GTM100" s="1"/>
      <c r="GTN100" s="1"/>
      <c r="GTO100" s="1"/>
      <c r="GTP100" s="1"/>
      <c r="GTQ100" s="1"/>
      <c r="GTR100" s="1"/>
      <c r="GTS100" s="1"/>
      <c r="GTT100" s="1"/>
      <c r="GTU100" s="1"/>
      <c r="GTV100" s="1"/>
      <c r="GTW100" s="1"/>
      <c r="GTX100" s="1"/>
      <c r="GTY100" s="1"/>
      <c r="GTZ100" s="1"/>
      <c r="GUA100" s="1"/>
      <c r="GUB100" s="1"/>
      <c r="GUC100" s="1"/>
      <c r="GUD100" s="1"/>
      <c r="GUE100" s="1"/>
      <c r="GUF100" s="1"/>
      <c r="GUG100" s="1"/>
      <c r="GUH100" s="1"/>
      <c r="GUI100" s="1"/>
      <c r="GUJ100" s="1"/>
      <c r="GUK100" s="1"/>
      <c r="GUL100" s="1"/>
      <c r="GUM100" s="1"/>
      <c r="GUN100" s="1"/>
      <c r="GUO100" s="1"/>
      <c r="GUP100" s="1"/>
      <c r="GUQ100" s="1"/>
      <c r="GUR100" s="1"/>
      <c r="GUS100" s="1"/>
      <c r="GUT100" s="1"/>
      <c r="GUU100" s="1"/>
      <c r="GUV100" s="1"/>
      <c r="GUW100" s="1"/>
      <c r="GUX100" s="1"/>
      <c r="GUY100" s="1"/>
      <c r="GUZ100" s="1"/>
      <c r="GVA100" s="1"/>
      <c r="GVB100" s="1"/>
      <c r="GVC100" s="1"/>
      <c r="GVD100" s="1"/>
      <c r="GVE100" s="1"/>
      <c r="GVF100" s="1"/>
      <c r="GVG100" s="1"/>
      <c r="GVH100" s="1"/>
      <c r="GVI100" s="1"/>
      <c r="GVJ100" s="1"/>
      <c r="GVK100" s="1"/>
      <c r="GVL100" s="1"/>
      <c r="GVM100" s="1"/>
      <c r="GVN100" s="1"/>
      <c r="GVO100" s="1"/>
      <c r="GVP100" s="1"/>
      <c r="GVQ100" s="1"/>
      <c r="GVR100" s="1"/>
      <c r="GVS100" s="1"/>
      <c r="GVT100" s="1"/>
      <c r="GVU100" s="1"/>
      <c r="GVV100" s="1"/>
      <c r="GVW100" s="1"/>
      <c r="GVX100" s="1"/>
      <c r="GVY100" s="1"/>
      <c r="GVZ100" s="1"/>
      <c r="GWA100" s="1"/>
      <c r="GWB100" s="1"/>
      <c r="GWC100" s="1"/>
      <c r="GWD100" s="1"/>
      <c r="GWE100" s="1"/>
      <c r="GWF100" s="1"/>
      <c r="GWG100" s="1"/>
      <c r="GWH100" s="1"/>
      <c r="GWI100" s="1"/>
      <c r="GWJ100" s="1"/>
      <c r="GWK100" s="1"/>
      <c r="GWL100" s="1"/>
      <c r="GWM100" s="1"/>
      <c r="GWN100" s="1"/>
      <c r="GWO100" s="1"/>
      <c r="GWP100" s="1"/>
      <c r="GWQ100" s="1"/>
      <c r="GWR100" s="1"/>
      <c r="GWS100" s="1"/>
      <c r="GWT100" s="1"/>
      <c r="GWU100" s="1"/>
      <c r="GWV100" s="1"/>
      <c r="GWW100" s="1"/>
      <c r="GWX100" s="1"/>
      <c r="GWY100" s="1"/>
      <c r="GWZ100" s="1"/>
      <c r="GXA100" s="1"/>
      <c r="GXB100" s="1"/>
      <c r="GXC100" s="1"/>
      <c r="GXD100" s="1"/>
      <c r="GXE100" s="1"/>
      <c r="GXF100" s="1"/>
      <c r="GXG100" s="1"/>
      <c r="GXH100" s="1"/>
      <c r="GXI100" s="1"/>
      <c r="GXJ100" s="1"/>
      <c r="GXK100" s="1"/>
      <c r="GXL100" s="1"/>
      <c r="GXM100" s="1"/>
      <c r="GXN100" s="1"/>
      <c r="GXO100" s="1"/>
      <c r="GXP100" s="1"/>
      <c r="GXQ100" s="1"/>
      <c r="GXR100" s="1"/>
      <c r="GXS100" s="1"/>
      <c r="GXT100" s="1"/>
      <c r="GXU100" s="1"/>
      <c r="GXV100" s="1"/>
      <c r="GXW100" s="1"/>
      <c r="GXX100" s="1"/>
      <c r="GXY100" s="1"/>
      <c r="GXZ100" s="1"/>
      <c r="GYA100" s="1"/>
      <c r="GYB100" s="1"/>
      <c r="GYC100" s="1"/>
      <c r="GYD100" s="1"/>
      <c r="GYE100" s="1"/>
      <c r="GYF100" s="1"/>
      <c r="GYG100" s="1"/>
      <c r="GYH100" s="1"/>
      <c r="GYI100" s="1"/>
      <c r="GYJ100" s="1"/>
      <c r="GYK100" s="1"/>
      <c r="GYL100" s="1"/>
      <c r="GYM100" s="1"/>
      <c r="GYN100" s="1"/>
      <c r="GYO100" s="1"/>
      <c r="GYP100" s="1"/>
      <c r="GYQ100" s="1"/>
      <c r="GYR100" s="1"/>
      <c r="GYS100" s="1"/>
      <c r="GYT100" s="1"/>
      <c r="GYU100" s="1"/>
      <c r="GYV100" s="1"/>
      <c r="GYW100" s="1"/>
      <c r="GYX100" s="1"/>
      <c r="GYY100" s="1"/>
      <c r="GYZ100" s="1"/>
      <c r="GZA100" s="1"/>
      <c r="GZB100" s="1"/>
      <c r="GZC100" s="1"/>
      <c r="GZD100" s="1"/>
      <c r="GZE100" s="1"/>
      <c r="GZF100" s="1"/>
      <c r="GZG100" s="1"/>
      <c r="GZH100" s="1"/>
      <c r="GZI100" s="1"/>
      <c r="GZJ100" s="1"/>
      <c r="GZK100" s="1"/>
      <c r="GZL100" s="1"/>
      <c r="GZM100" s="1"/>
      <c r="GZN100" s="1"/>
      <c r="GZO100" s="1"/>
      <c r="GZP100" s="1"/>
      <c r="GZQ100" s="1"/>
      <c r="GZR100" s="1"/>
      <c r="GZS100" s="1"/>
      <c r="GZT100" s="1"/>
      <c r="GZU100" s="1"/>
      <c r="GZV100" s="1"/>
      <c r="GZW100" s="1"/>
      <c r="GZX100" s="1"/>
      <c r="GZY100" s="1"/>
      <c r="GZZ100" s="1"/>
      <c r="HAA100" s="1"/>
      <c r="HAB100" s="1"/>
      <c r="HAC100" s="1"/>
      <c r="HAD100" s="1"/>
      <c r="HAE100" s="1"/>
      <c r="HAF100" s="1"/>
      <c r="HAG100" s="1"/>
      <c r="HAH100" s="1"/>
      <c r="HAI100" s="1"/>
      <c r="HAJ100" s="1"/>
      <c r="HAK100" s="1"/>
      <c r="HAL100" s="1"/>
      <c r="HAM100" s="1"/>
      <c r="HAN100" s="1"/>
      <c r="HAO100" s="1"/>
      <c r="HAP100" s="1"/>
      <c r="HAQ100" s="1"/>
      <c r="HAR100" s="1"/>
      <c r="HAS100" s="1"/>
      <c r="HAT100" s="1"/>
      <c r="HAU100" s="1"/>
      <c r="HAV100" s="1"/>
      <c r="HAW100" s="1"/>
      <c r="HAX100" s="1"/>
      <c r="HAY100" s="1"/>
      <c r="HAZ100" s="1"/>
      <c r="HBA100" s="1"/>
      <c r="HBB100" s="1"/>
      <c r="HBC100" s="1"/>
      <c r="HBD100" s="1"/>
      <c r="HBE100" s="1"/>
      <c r="HBF100" s="1"/>
      <c r="HBG100" s="1"/>
      <c r="HBH100" s="1"/>
      <c r="HBI100" s="1"/>
      <c r="HBJ100" s="1"/>
      <c r="HBK100" s="1"/>
      <c r="HBL100" s="1"/>
      <c r="HBM100" s="1"/>
      <c r="HBN100" s="1"/>
      <c r="HBO100" s="1"/>
      <c r="HBP100" s="1"/>
      <c r="HBQ100" s="1"/>
      <c r="HBR100" s="1"/>
      <c r="HBS100" s="1"/>
      <c r="HBT100" s="1"/>
      <c r="HBU100" s="1"/>
      <c r="HBV100" s="1"/>
      <c r="HBW100" s="1"/>
      <c r="HBX100" s="1"/>
      <c r="HBY100" s="1"/>
      <c r="HBZ100" s="1"/>
      <c r="HCA100" s="1"/>
      <c r="HCB100" s="1"/>
      <c r="HCC100" s="1"/>
      <c r="HCD100" s="1"/>
      <c r="HCE100" s="1"/>
      <c r="HCF100" s="1"/>
      <c r="HCG100" s="1"/>
      <c r="HCH100" s="1"/>
      <c r="HCI100" s="1"/>
      <c r="HCJ100" s="1"/>
      <c r="HCK100" s="1"/>
      <c r="HCL100" s="1"/>
      <c r="HCM100" s="1"/>
      <c r="HCN100" s="1"/>
      <c r="HCO100" s="1"/>
      <c r="HCP100" s="1"/>
      <c r="HCQ100" s="1"/>
      <c r="HCR100" s="1"/>
      <c r="HCS100" s="1"/>
      <c r="HCT100" s="1"/>
      <c r="HCU100" s="1"/>
      <c r="HCV100" s="1"/>
      <c r="HCW100" s="1"/>
      <c r="HCX100" s="1"/>
      <c r="HCY100" s="1"/>
      <c r="HCZ100" s="1"/>
      <c r="HDA100" s="1"/>
      <c r="HDB100" s="1"/>
      <c r="HDC100" s="1"/>
      <c r="HDD100" s="1"/>
      <c r="HDE100" s="1"/>
      <c r="HDF100" s="1"/>
      <c r="HDG100" s="1"/>
      <c r="HDH100" s="1"/>
      <c r="HDI100" s="1"/>
      <c r="HDJ100" s="1"/>
      <c r="HDK100" s="1"/>
      <c r="HDL100" s="1"/>
      <c r="HDM100" s="1"/>
      <c r="HDN100" s="1"/>
      <c r="HDO100" s="1"/>
      <c r="HDP100" s="1"/>
      <c r="HDQ100" s="1"/>
      <c r="HDR100" s="1"/>
      <c r="HDS100" s="1"/>
      <c r="HDT100" s="1"/>
      <c r="HDU100" s="1"/>
      <c r="HDV100" s="1"/>
      <c r="HDW100" s="1"/>
      <c r="HDX100" s="1"/>
      <c r="HDY100" s="1"/>
      <c r="HDZ100" s="1"/>
      <c r="HEA100" s="1"/>
      <c r="HEB100" s="1"/>
      <c r="HEC100" s="1"/>
      <c r="HED100" s="1"/>
      <c r="HEE100" s="1"/>
      <c r="HEF100" s="1"/>
      <c r="HEG100" s="1"/>
      <c r="HEH100" s="1"/>
      <c r="HEI100" s="1"/>
      <c r="HEJ100" s="1"/>
      <c r="HEK100" s="1"/>
      <c r="HEL100" s="1"/>
      <c r="HEM100" s="1"/>
      <c r="HEN100" s="1"/>
      <c r="HEO100" s="1"/>
      <c r="HEP100" s="1"/>
      <c r="HEQ100" s="1"/>
      <c r="HER100" s="1"/>
      <c r="HES100" s="1"/>
      <c r="HET100" s="1"/>
      <c r="HEU100" s="1"/>
      <c r="HEV100" s="1"/>
      <c r="HEW100" s="1"/>
      <c r="HEX100" s="1"/>
      <c r="HEY100" s="1"/>
      <c r="HEZ100" s="1"/>
      <c r="HFA100" s="1"/>
      <c r="HFB100" s="1"/>
      <c r="HFC100" s="1"/>
      <c r="HFD100" s="1"/>
      <c r="HFE100" s="1"/>
      <c r="HFF100" s="1"/>
      <c r="HFG100" s="1"/>
      <c r="HFH100" s="1"/>
      <c r="HFI100" s="1"/>
      <c r="HFJ100" s="1"/>
      <c r="HFK100" s="1"/>
      <c r="HFL100" s="1"/>
      <c r="HFM100" s="1"/>
      <c r="HFN100" s="1"/>
      <c r="HFO100" s="1"/>
      <c r="HFP100" s="1"/>
      <c r="HFQ100" s="1"/>
      <c r="HFR100" s="1"/>
      <c r="HFS100" s="1"/>
      <c r="HFT100" s="1"/>
      <c r="HFU100" s="1"/>
      <c r="HFV100" s="1"/>
      <c r="HFW100" s="1"/>
      <c r="HFX100" s="1"/>
      <c r="HFY100" s="1"/>
      <c r="HFZ100" s="1"/>
      <c r="HGA100" s="1"/>
      <c r="HGB100" s="1"/>
      <c r="HGC100" s="1"/>
      <c r="HGD100" s="1"/>
      <c r="HGE100" s="1"/>
      <c r="HGF100" s="1"/>
      <c r="HGG100" s="1"/>
      <c r="HGH100" s="1"/>
      <c r="HGI100" s="1"/>
      <c r="HGJ100" s="1"/>
      <c r="HGK100" s="1"/>
      <c r="HGL100" s="1"/>
      <c r="HGM100" s="1"/>
      <c r="HGN100" s="1"/>
      <c r="HGO100" s="1"/>
      <c r="HGP100" s="1"/>
      <c r="HGQ100" s="1"/>
      <c r="HGR100" s="1"/>
      <c r="HGS100" s="1"/>
      <c r="HGT100" s="1"/>
      <c r="HGU100" s="1"/>
      <c r="HGV100" s="1"/>
      <c r="HGW100" s="1"/>
      <c r="HGX100" s="1"/>
      <c r="HGY100" s="1"/>
      <c r="HGZ100" s="1"/>
      <c r="HHA100" s="1"/>
      <c r="HHB100" s="1"/>
      <c r="HHC100" s="1"/>
      <c r="HHD100" s="1"/>
      <c r="HHE100" s="1"/>
      <c r="HHF100" s="1"/>
      <c r="HHG100" s="1"/>
      <c r="HHH100" s="1"/>
      <c r="HHI100" s="1"/>
      <c r="HHJ100" s="1"/>
      <c r="HHK100" s="1"/>
      <c r="HHL100" s="1"/>
      <c r="HHM100" s="1"/>
      <c r="HHN100" s="1"/>
      <c r="HHO100" s="1"/>
      <c r="HHP100" s="1"/>
      <c r="HHQ100" s="1"/>
      <c r="HHR100" s="1"/>
      <c r="HHS100" s="1"/>
      <c r="HHT100" s="1"/>
      <c r="HHU100" s="1"/>
      <c r="HHV100" s="1"/>
      <c r="HHW100" s="1"/>
      <c r="HHX100" s="1"/>
      <c r="HHY100" s="1"/>
      <c r="HHZ100" s="1"/>
      <c r="HIA100" s="1"/>
      <c r="HIB100" s="1"/>
      <c r="HIC100" s="1"/>
      <c r="HID100" s="1"/>
      <c r="HIE100" s="1"/>
      <c r="HIF100" s="1"/>
      <c r="HIG100" s="1"/>
      <c r="HIH100" s="1"/>
      <c r="HII100" s="1"/>
      <c r="HIJ100" s="1"/>
      <c r="HIK100" s="1"/>
      <c r="HIL100" s="1"/>
      <c r="HIM100" s="1"/>
      <c r="HIN100" s="1"/>
      <c r="HIO100" s="1"/>
      <c r="HIP100" s="1"/>
      <c r="HIQ100" s="1"/>
      <c r="HIR100" s="1"/>
      <c r="HIS100" s="1"/>
      <c r="HIT100" s="1"/>
      <c r="HIU100" s="1"/>
      <c r="HIV100" s="1"/>
      <c r="HIW100" s="1"/>
      <c r="HIX100" s="1"/>
      <c r="HIY100" s="1"/>
      <c r="HIZ100" s="1"/>
      <c r="HJA100" s="1"/>
      <c r="HJB100" s="1"/>
      <c r="HJC100" s="1"/>
      <c r="HJD100" s="1"/>
      <c r="HJE100" s="1"/>
      <c r="HJF100" s="1"/>
      <c r="HJG100" s="1"/>
      <c r="HJH100" s="1"/>
      <c r="HJI100" s="1"/>
      <c r="HJJ100" s="1"/>
      <c r="HJK100" s="1"/>
      <c r="HJL100" s="1"/>
      <c r="HJM100" s="1"/>
      <c r="HJN100" s="1"/>
      <c r="HJO100" s="1"/>
      <c r="HJP100" s="1"/>
      <c r="HJQ100" s="1"/>
      <c r="HJR100" s="1"/>
      <c r="HJS100" s="1"/>
      <c r="HJT100" s="1"/>
      <c r="HJU100" s="1"/>
      <c r="HJV100" s="1"/>
      <c r="HJW100" s="1"/>
      <c r="HJX100" s="1"/>
      <c r="HJY100" s="1"/>
      <c r="HJZ100" s="1"/>
      <c r="HKA100" s="1"/>
      <c r="HKB100" s="1"/>
      <c r="HKC100" s="1"/>
      <c r="HKD100" s="1"/>
      <c r="HKE100" s="1"/>
      <c r="HKF100" s="1"/>
      <c r="HKG100" s="1"/>
      <c r="HKH100" s="1"/>
      <c r="HKI100" s="1"/>
      <c r="HKJ100" s="1"/>
      <c r="HKK100" s="1"/>
      <c r="HKL100" s="1"/>
      <c r="HKM100" s="1"/>
      <c r="HKN100" s="1"/>
      <c r="HKO100" s="1"/>
      <c r="HKP100" s="1"/>
      <c r="HKQ100" s="1"/>
      <c r="HKR100" s="1"/>
      <c r="HKS100" s="1"/>
      <c r="HKT100" s="1"/>
      <c r="HKU100" s="1"/>
      <c r="HKV100" s="1"/>
      <c r="HKW100" s="1"/>
      <c r="HKX100" s="1"/>
      <c r="HKY100" s="1"/>
      <c r="HKZ100" s="1"/>
      <c r="HLA100" s="1"/>
      <c r="HLB100" s="1"/>
      <c r="HLC100" s="1"/>
      <c r="HLD100" s="1"/>
      <c r="HLE100" s="1"/>
      <c r="HLF100" s="1"/>
      <c r="HLG100" s="1"/>
      <c r="HLH100" s="1"/>
      <c r="HLI100" s="1"/>
      <c r="HLJ100" s="1"/>
      <c r="HLK100" s="1"/>
      <c r="HLL100" s="1"/>
      <c r="HLM100" s="1"/>
      <c r="HLN100" s="1"/>
      <c r="HLO100" s="1"/>
      <c r="HLP100" s="1"/>
      <c r="HLQ100" s="1"/>
      <c r="HLR100" s="1"/>
      <c r="HLS100" s="1"/>
      <c r="HLT100" s="1"/>
      <c r="HLU100" s="1"/>
      <c r="HLV100" s="1"/>
      <c r="HLW100" s="1"/>
      <c r="HLX100" s="1"/>
      <c r="HLY100" s="1"/>
      <c r="HLZ100" s="1"/>
      <c r="HMA100" s="1"/>
      <c r="HMB100" s="1"/>
      <c r="HMC100" s="1"/>
      <c r="HMD100" s="1"/>
      <c r="HME100" s="1"/>
      <c r="HMF100" s="1"/>
      <c r="HMG100" s="1"/>
      <c r="HMH100" s="1"/>
      <c r="HMI100" s="1"/>
      <c r="HMJ100" s="1"/>
      <c r="HMK100" s="1"/>
      <c r="HML100" s="1"/>
      <c r="HMM100" s="1"/>
      <c r="HMN100" s="1"/>
      <c r="HMO100" s="1"/>
      <c r="HMP100" s="1"/>
      <c r="HMQ100" s="1"/>
      <c r="HMR100" s="1"/>
      <c r="HMS100" s="1"/>
      <c r="HMT100" s="1"/>
      <c r="HMU100" s="1"/>
      <c r="HMV100" s="1"/>
      <c r="HMW100" s="1"/>
      <c r="HMX100" s="1"/>
      <c r="HMY100" s="1"/>
      <c r="HMZ100" s="1"/>
      <c r="HNA100" s="1"/>
      <c r="HNB100" s="1"/>
      <c r="HNC100" s="1"/>
      <c r="HND100" s="1"/>
      <c r="HNE100" s="1"/>
      <c r="HNF100" s="1"/>
      <c r="HNG100" s="1"/>
      <c r="HNH100" s="1"/>
      <c r="HNI100" s="1"/>
      <c r="HNJ100" s="1"/>
      <c r="HNK100" s="1"/>
      <c r="HNL100" s="1"/>
      <c r="HNM100" s="1"/>
      <c r="HNN100" s="1"/>
      <c r="HNO100" s="1"/>
      <c r="HNP100" s="1"/>
      <c r="HNQ100" s="1"/>
      <c r="HNR100" s="1"/>
      <c r="HNS100" s="1"/>
      <c r="HNT100" s="1"/>
      <c r="HNU100" s="1"/>
      <c r="HNV100" s="1"/>
      <c r="HNW100" s="1"/>
      <c r="HNX100" s="1"/>
      <c r="HNY100" s="1"/>
      <c r="HNZ100" s="1"/>
      <c r="HOA100" s="1"/>
      <c r="HOB100" s="1"/>
      <c r="HOC100" s="1"/>
      <c r="HOD100" s="1"/>
      <c r="HOE100" s="1"/>
      <c r="HOF100" s="1"/>
      <c r="HOG100" s="1"/>
      <c r="HOH100" s="1"/>
      <c r="HOI100" s="1"/>
      <c r="HOJ100" s="1"/>
      <c r="HOK100" s="1"/>
      <c r="HOL100" s="1"/>
      <c r="HOM100" s="1"/>
      <c r="HON100" s="1"/>
      <c r="HOO100" s="1"/>
      <c r="HOP100" s="1"/>
      <c r="HOQ100" s="1"/>
      <c r="HOR100" s="1"/>
      <c r="HOS100" s="1"/>
      <c r="HOT100" s="1"/>
      <c r="HOU100" s="1"/>
      <c r="HOV100" s="1"/>
      <c r="HOW100" s="1"/>
      <c r="HOX100" s="1"/>
      <c r="HOY100" s="1"/>
      <c r="HOZ100" s="1"/>
      <c r="HPA100" s="1"/>
      <c r="HPB100" s="1"/>
      <c r="HPC100" s="1"/>
      <c r="HPD100" s="1"/>
      <c r="HPE100" s="1"/>
      <c r="HPF100" s="1"/>
      <c r="HPG100" s="1"/>
      <c r="HPH100" s="1"/>
      <c r="HPI100" s="1"/>
      <c r="HPJ100" s="1"/>
      <c r="HPK100" s="1"/>
      <c r="HPL100" s="1"/>
      <c r="HPM100" s="1"/>
      <c r="HPN100" s="1"/>
      <c r="HPO100" s="1"/>
      <c r="HPP100" s="1"/>
      <c r="HPQ100" s="1"/>
      <c r="HPR100" s="1"/>
      <c r="HPS100" s="1"/>
      <c r="HPT100" s="1"/>
      <c r="HPU100" s="1"/>
      <c r="HPV100" s="1"/>
      <c r="HPW100" s="1"/>
      <c r="HPX100" s="1"/>
      <c r="HPY100" s="1"/>
      <c r="HPZ100" s="1"/>
      <c r="HQA100" s="1"/>
      <c r="HQB100" s="1"/>
      <c r="HQC100" s="1"/>
      <c r="HQD100" s="1"/>
      <c r="HQE100" s="1"/>
      <c r="HQF100" s="1"/>
      <c r="HQG100" s="1"/>
      <c r="HQH100" s="1"/>
      <c r="HQI100" s="1"/>
      <c r="HQJ100" s="1"/>
      <c r="HQK100" s="1"/>
      <c r="HQL100" s="1"/>
      <c r="HQM100" s="1"/>
      <c r="HQN100" s="1"/>
      <c r="HQO100" s="1"/>
      <c r="HQP100" s="1"/>
      <c r="HQQ100" s="1"/>
      <c r="HQR100" s="1"/>
      <c r="HQS100" s="1"/>
      <c r="HQT100" s="1"/>
      <c r="HQU100" s="1"/>
      <c r="HQV100" s="1"/>
      <c r="HQW100" s="1"/>
      <c r="HQX100" s="1"/>
      <c r="HQY100" s="1"/>
      <c r="HQZ100" s="1"/>
      <c r="HRA100" s="1"/>
      <c r="HRB100" s="1"/>
      <c r="HRC100" s="1"/>
      <c r="HRD100" s="1"/>
      <c r="HRE100" s="1"/>
      <c r="HRF100" s="1"/>
      <c r="HRG100" s="1"/>
      <c r="HRH100" s="1"/>
      <c r="HRI100" s="1"/>
      <c r="HRJ100" s="1"/>
      <c r="HRK100" s="1"/>
      <c r="HRL100" s="1"/>
      <c r="HRM100" s="1"/>
      <c r="HRN100" s="1"/>
      <c r="HRO100" s="1"/>
      <c r="HRP100" s="1"/>
      <c r="HRQ100" s="1"/>
      <c r="HRR100" s="1"/>
      <c r="HRS100" s="1"/>
      <c r="HRT100" s="1"/>
      <c r="HRU100" s="1"/>
      <c r="HRV100" s="1"/>
      <c r="HRW100" s="1"/>
      <c r="HRX100" s="1"/>
      <c r="HRY100" s="1"/>
      <c r="HRZ100" s="1"/>
      <c r="HSA100" s="1"/>
      <c r="HSB100" s="1"/>
      <c r="HSC100" s="1"/>
      <c r="HSD100" s="1"/>
      <c r="HSE100" s="1"/>
      <c r="HSF100" s="1"/>
      <c r="HSG100" s="1"/>
      <c r="HSH100" s="1"/>
      <c r="HSI100" s="1"/>
      <c r="HSJ100" s="1"/>
      <c r="HSK100" s="1"/>
      <c r="HSL100" s="1"/>
      <c r="HSM100" s="1"/>
      <c r="HSN100" s="1"/>
      <c r="HSO100" s="1"/>
      <c r="HSP100" s="1"/>
      <c r="HSQ100" s="1"/>
      <c r="HSR100" s="1"/>
      <c r="HSS100" s="1"/>
      <c r="HST100" s="1"/>
      <c r="HSU100" s="1"/>
      <c r="HSV100" s="1"/>
      <c r="HSW100" s="1"/>
      <c r="HSX100" s="1"/>
      <c r="HSY100" s="1"/>
      <c r="HSZ100" s="1"/>
      <c r="HTA100" s="1"/>
      <c r="HTB100" s="1"/>
      <c r="HTC100" s="1"/>
      <c r="HTD100" s="1"/>
      <c r="HTE100" s="1"/>
      <c r="HTF100" s="1"/>
      <c r="HTG100" s="1"/>
      <c r="HTH100" s="1"/>
      <c r="HTI100" s="1"/>
      <c r="HTJ100" s="1"/>
      <c r="HTK100" s="1"/>
      <c r="HTL100" s="1"/>
      <c r="HTM100" s="1"/>
      <c r="HTN100" s="1"/>
      <c r="HTO100" s="1"/>
      <c r="HTP100" s="1"/>
      <c r="HTQ100" s="1"/>
      <c r="HTR100" s="1"/>
      <c r="HTS100" s="1"/>
      <c r="HTT100" s="1"/>
      <c r="HTU100" s="1"/>
      <c r="HTV100" s="1"/>
      <c r="HTW100" s="1"/>
      <c r="HTX100" s="1"/>
      <c r="HTY100" s="1"/>
      <c r="HTZ100" s="1"/>
      <c r="HUA100" s="1"/>
      <c r="HUB100" s="1"/>
      <c r="HUC100" s="1"/>
      <c r="HUD100" s="1"/>
      <c r="HUE100" s="1"/>
      <c r="HUF100" s="1"/>
      <c r="HUG100" s="1"/>
      <c r="HUH100" s="1"/>
      <c r="HUI100" s="1"/>
      <c r="HUJ100" s="1"/>
      <c r="HUK100" s="1"/>
      <c r="HUL100" s="1"/>
      <c r="HUM100" s="1"/>
      <c r="HUN100" s="1"/>
      <c r="HUO100" s="1"/>
      <c r="HUP100" s="1"/>
      <c r="HUQ100" s="1"/>
      <c r="HUR100" s="1"/>
      <c r="HUS100" s="1"/>
      <c r="HUT100" s="1"/>
      <c r="HUU100" s="1"/>
      <c r="HUV100" s="1"/>
      <c r="HUW100" s="1"/>
      <c r="HUX100" s="1"/>
      <c r="HUY100" s="1"/>
      <c r="HUZ100" s="1"/>
      <c r="HVA100" s="1"/>
      <c r="HVB100" s="1"/>
      <c r="HVC100" s="1"/>
      <c r="HVD100" s="1"/>
      <c r="HVE100" s="1"/>
      <c r="HVF100" s="1"/>
      <c r="HVG100" s="1"/>
      <c r="HVH100" s="1"/>
      <c r="HVI100" s="1"/>
      <c r="HVJ100" s="1"/>
      <c r="HVK100" s="1"/>
      <c r="HVL100" s="1"/>
      <c r="HVM100" s="1"/>
      <c r="HVN100" s="1"/>
      <c r="HVO100" s="1"/>
      <c r="HVP100" s="1"/>
      <c r="HVQ100" s="1"/>
      <c r="HVR100" s="1"/>
      <c r="HVS100" s="1"/>
      <c r="HVT100" s="1"/>
      <c r="HVU100" s="1"/>
      <c r="HVV100" s="1"/>
      <c r="HVW100" s="1"/>
      <c r="HVX100" s="1"/>
      <c r="HVY100" s="1"/>
      <c r="HVZ100" s="1"/>
      <c r="HWA100" s="1"/>
      <c r="HWB100" s="1"/>
      <c r="HWC100" s="1"/>
      <c r="HWD100" s="1"/>
      <c r="HWE100" s="1"/>
      <c r="HWF100" s="1"/>
      <c r="HWG100" s="1"/>
      <c r="HWH100" s="1"/>
      <c r="HWI100" s="1"/>
      <c r="HWJ100" s="1"/>
      <c r="HWK100" s="1"/>
      <c r="HWL100" s="1"/>
      <c r="HWM100" s="1"/>
      <c r="HWN100" s="1"/>
      <c r="HWO100" s="1"/>
      <c r="HWP100" s="1"/>
      <c r="HWQ100" s="1"/>
      <c r="HWR100" s="1"/>
      <c r="HWS100" s="1"/>
      <c r="HWT100" s="1"/>
      <c r="HWU100" s="1"/>
      <c r="HWV100" s="1"/>
      <c r="HWW100" s="1"/>
      <c r="HWX100" s="1"/>
      <c r="HWY100" s="1"/>
      <c r="HWZ100" s="1"/>
      <c r="HXA100" s="1"/>
      <c r="HXB100" s="1"/>
      <c r="HXC100" s="1"/>
      <c r="HXD100" s="1"/>
      <c r="HXE100" s="1"/>
      <c r="HXF100" s="1"/>
      <c r="HXG100" s="1"/>
      <c r="HXH100" s="1"/>
      <c r="HXI100" s="1"/>
      <c r="HXJ100" s="1"/>
      <c r="HXK100" s="1"/>
      <c r="HXL100" s="1"/>
      <c r="HXM100" s="1"/>
      <c r="HXN100" s="1"/>
      <c r="HXO100" s="1"/>
      <c r="HXP100" s="1"/>
      <c r="HXQ100" s="1"/>
      <c r="HXR100" s="1"/>
      <c r="HXS100" s="1"/>
      <c r="HXT100" s="1"/>
      <c r="HXU100" s="1"/>
      <c r="HXV100" s="1"/>
      <c r="HXW100" s="1"/>
      <c r="HXX100" s="1"/>
      <c r="HXY100" s="1"/>
      <c r="HXZ100" s="1"/>
      <c r="HYA100" s="1"/>
      <c r="HYB100" s="1"/>
      <c r="HYC100" s="1"/>
      <c r="HYD100" s="1"/>
      <c r="HYE100" s="1"/>
      <c r="HYF100" s="1"/>
      <c r="HYG100" s="1"/>
      <c r="HYH100" s="1"/>
      <c r="HYI100" s="1"/>
      <c r="HYJ100" s="1"/>
      <c r="HYK100" s="1"/>
      <c r="HYL100" s="1"/>
      <c r="HYM100" s="1"/>
      <c r="HYN100" s="1"/>
      <c r="HYO100" s="1"/>
      <c r="HYP100" s="1"/>
      <c r="HYQ100" s="1"/>
      <c r="HYR100" s="1"/>
      <c r="HYS100" s="1"/>
      <c r="HYT100" s="1"/>
      <c r="HYU100" s="1"/>
      <c r="HYV100" s="1"/>
      <c r="HYW100" s="1"/>
      <c r="HYX100" s="1"/>
      <c r="HYY100" s="1"/>
      <c r="HYZ100" s="1"/>
      <c r="HZA100" s="1"/>
      <c r="HZB100" s="1"/>
      <c r="HZC100" s="1"/>
      <c r="HZD100" s="1"/>
      <c r="HZE100" s="1"/>
      <c r="HZF100" s="1"/>
      <c r="HZG100" s="1"/>
      <c r="HZH100" s="1"/>
      <c r="HZI100" s="1"/>
      <c r="HZJ100" s="1"/>
      <c r="HZK100" s="1"/>
      <c r="HZL100" s="1"/>
      <c r="HZM100" s="1"/>
      <c r="HZN100" s="1"/>
      <c r="HZO100" s="1"/>
      <c r="HZP100" s="1"/>
      <c r="HZQ100" s="1"/>
      <c r="HZR100" s="1"/>
      <c r="HZS100" s="1"/>
      <c r="HZT100" s="1"/>
      <c r="HZU100" s="1"/>
      <c r="HZV100" s="1"/>
      <c r="HZW100" s="1"/>
      <c r="HZX100" s="1"/>
      <c r="HZY100" s="1"/>
      <c r="HZZ100" s="1"/>
      <c r="IAA100" s="1"/>
      <c r="IAB100" s="1"/>
      <c r="IAC100" s="1"/>
      <c r="IAD100" s="1"/>
      <c r="IAE100" s="1"/>
      <c r="IAF100" s="1"/>
      <c r="IAG100" s="1"/>
      <c r="IAH100" s="1"/>
      <c r="IAI100" s="1"/>
      <c r="IAJ100" s="1"/>
      <c r="IAK100" s="1"/>
      <c r="IAL100" s="1"/>
      <c r="IAM100" s="1"/>
      <c r="IAN100" s="1"/>
      <c r="IAO100" s="1"/>
      <c r="IAP100" s="1"/>
      <c r="IAQ100" s="1"/>
      <c r="IAR100" s="1"/>
      <c r="IAS100" s="1"/>
      <c r="IAT100" s="1"/>
      <c r="IAU100" s="1"/>
      <c r="IAV100" s="1"/>
      <c r="IAW100" s="1"/>
      <c r="IAX100" s="1"/>
      <c r="IAY100" s="1"/>
      <c r="IAZ100" s="1"/>
      <c r="IBA100" s="1"/>
      <c r="IBB100" s="1"/>
      <c r="IBC100" s="1"/>
      <c r="IBD100" s="1"/>
      <c r="IBE100" s="1"/>
      <c r="IBF100" s="1"/>
      <c r="IBG100" s="1"/>
      <c r="IBH100" s="1"/>
      <c r="IBI100" s="1"/>
      <c r="IBJ100" s="1"/>
      <c r="IBK100" s="1"/>
      <c r="IBL100" s="1"/>
      <c r="IBM100" s="1"/>
      <c r="IBN100" s="1"/>
      <c r="IBO100" s="1"/>
      <c r="IBP100" s="1"/>
      <c r="IBQ100" s="1"/>
      <c r="IBR100" s="1"/>
      <c r="IBS100" s="1"/>
      <c r="IBT100" s="1"/>
      <c r="IBU100" s="1"/>
      <c r="IBV100" s="1"/>
      <c r="IBW100" s="1"/>
      <c r="IBX100" s="1"/>
      <c r="IBY100" s="1"/>
      <c r="IBZ100" s="1"/>
      <c r="ICA100" s="1"/>
      <c r="ICB100" s="1"/>
      <c r="ICC100" s="1"/>
      <c r="ICD100" s="1"/>
      <c r="ICE100" s="1"/>
      <c r="ICF100" s="1"/>
      <c r="ICG100" s="1"/>
      <c r="ICH100" s="1"/>
      <c r="ICI100" s="1"/>
      <c r="ICJ100" s="1"/>
      <c r="ICK100" s="1"/>
      <c r="ICL100" s="1"/>
      <c r="ICM100" s="1"/>
      <c r="ICN100" s="1"/>
      <c r="ICO100" s="1"/>
      <c r="ICP100" s="1"/>
      <c r="ICQ100" s="1"/>
      <c r="ICR100" s="1"/>
      <c r="ICS100" s="1"/>
      <c r="ICT100" s="1"/>
      <c r="ICU100" s="1"/>
      <c r="ICV100" s="1"/>
      <c r="ICW100" s="1"/>
      <c r="ICX100" s="1"/>
      <c r="ICY100" s="1"/>
      <c r="ICZ100" s="1"/>
      <c r="IDA100" s="1"/>
      <c r="IDB100" s="1"/>
      <c r="IDC100" s="1"/>
      <c r="IDD100" s="1"/>
      <c r="IDE100" s="1"/>
      <c r="IDF100" s="1"/>
      <c r="IDG100" s="1"/>
      <c r="IDH100" s="1"/>
      <c r="IDI100" s="1"/>
      <c r="IDJ100" s="1"/>
      <c r="IDK100" s="1"/>
      <c r="IDL100" s="1"/>
      <c r="IDM100" s="1"/>
      <c r="IDN100" s="1"/>
      <c r="IDO100" s="1"/>
      <c r="IDP100" s="1"/>
      <c r="IDQ100" s="1"/>
      <c r="IDR100" s="1"/>
      <c r="IDS100" s="1"/>
      <c r="IDT100" s="1"/>
      <c r="IDU100" s="1"/>
      <c r="IDV100" s="1"/>
      <c r="IDW100" s="1"/>
      <c r="IDX100" s="1"/>
      <c r="IDY100" s="1"/>
      <c r="IDZ100" s="1"/>
      <c r="IEA100" s="1"/>
      <c r="IEB100" s="1"/>
      <c r="IEC100" s="1"/>
      <c r="IED100" s="1"/>
      <c r="IEE100" s="1"/>
      <c r="IEF100" s="1"/>
      <c r="IEG100" s="1"/>
      <c r="IEH100" s="1"/>
      <c r="IEI100" s="1"/>
      <c r="IEJ100" s="1"/>
      <c r="IEK100" s="1"/>
      <c r="IEL100" s="1"/>
      <c r="IEM100" s="1"/>
      <c r="IEN100" s="1"/>
      <c r="IEO100" s="1"/>
      <c r="IEP100" s="1"/>
      <c r="IEQ100" s="1"/>
      <c r="IER100" s="1"/>
      <c r="IES100" s="1"/>
      <c r="IET100" s="1"/>
      <c r="IEU100" s="1"/>
      <c r="IEV100" s="1"/>
      <c r="IEW100" s="1"/>
      <c r="IEX100" s="1"/>
      <c r="IEY100" s="1"/>
      <c r="IEZ100" s="1"/>
      <c r="IFA100" s="1"/>
      <c r="IFB100" s="1"/>
      <c r="IFC100" s="1"/>
      <c r="IFD100" s="1"/>
      <c r="IFE100" s="1"/>
      <c r="IFF100" s="1"/>
      <c r="IFG100" s="1"/>
      <c r="IFH100" s="1"/>
      <c r="IFI100" s="1"/>
      <c r="IFJ100" s="1"/>
      <c r="IFK100" s="1"/>
      <c r="IFL100" s="1"/>
      <c r="IFM100" s="1"/>
      <c r="IFN100" s="1"/>
      <c r="IFO100" s="1"/>
      <c r="IFP100" s="1"/>
      <c r="IFQ100" s="1"/>
      <c r="IFR100" s="1"/>
      <c r="IFS100" s="1"/>
      <c r="IFT100" s="1"/>
      <c r="IFU100" s="1"/>
      <c r="IFV100" s="1"/>
      <c r="IFW100" s="1"/>
      <c r="IFX100" s="1"/>
      <c r="IFY100" s="1"/>
      <c r="IFZ100" s="1"/>
      <c r="IGA100" s="1"/>
      <c r="IGB100" s="1"/>
      <c r="IGC100" s="1"/>
      <c r="IGD100" s="1"/>
      <c r="IGE100" s="1"/>
      <c r="IGF100" s="1"/>
      <c r="IGG100" s="1"/>
      <c r="IGH100" s="1"/>
      <c r="IGI100" s="1"/>
      <c r="IGJ100" s="1"/>
      <c r="IGK100" s="1"/>
      <c r="IGL100" s="1"/>
      <c r="IGM100" s="1"/>
      <c r="IGN100" s="1"/>
      <c r="IGO100" s="1"/>
      <c r="IGP100" s="1"/>
      <c r="IGQ100" s="1"/>
      <c r="IGR100" s="1"/>
      <c r="IGS100" s="1"/>
      <c r="IGT100" s="1"/>
      <c r="IGU100" s="1"/>
      <c r="IGV100" s="1"/>
      <c r="IGW100" s="1"/>
      <c r="IGX100" s="1"/>
      <c r="IGY100" s="1"/>
      <c r="IGZ100" s="1"/>
      <c r="IHA100" s="1"/>
      <c r="IHB100" s="1"/>
      <c r="IHC100" s="1"/>
      <c r="IHD100" s="1"/>
      <c r="IHE100" s="1"/>
      <c r="IHF100" s="1"/>
      <c r="IHG100" s="1"/>
      <c r="IHH100" s="1"/>
      <c r="IHI100" s="1"/>
      <c r="IHJ100" s="1"/>
      <c r="IHK100" s="1"/>
      <c r="IHL100" s="1"/>
      <c r="IHM100" s="1"/>
      <c r="IHN100" s="1"/>
      <c r="IHO100" s="1"/>
      <c r="IHP100" s="1"/>
      <c r="IHQ100" s="1"/>
      <c r="IHR100" s="1"/>
      <c r="IHS100" s="1"/>
      <c r="IHT100" s="1"/>
      <c r="IHU100" s="1"/>
      <c r="IHV100" s="1"/>
      <c r="IHW100" s="1"/>
      <c r="IHX100" s="1"/>
      <c r="IHY100" s="1"/>
      <c r="IHZ100" s="1"/>
      <c r="IIA100" s="1"/>
      <c r="IIB100" s="1"/>
      <c r="IIC100" s="1"/>
      <c r="IID100" s="1"/>
      <c r="IIE100" s="1"/>
      <c r="IIF100" s="1"/>
      <c r="IIG100" s="1"/>
      <c r="IIH100" s="1"/>
      <c r="III100" s="1"/>
      <c r="IIJ100" s="1"/>
      <c r="IIK100" s="1"/>
      <c r="IIL100" s="1"/>
      <c r="IIM100" s="1"/>
      <c r="IIN100" s="1"/>
      <c r="IIO100" s="1"/>
      <c r="IIP100" s="1"/>
      <c r="IIQ100" s="1"/>
      <c r="IIR100" s="1"/>
      <c r="IIS100" s="1"/>
      <c r="IIT100" s="1"/>
      <c r="IIU100" s="1"/>
      <c r="IIV100" s="1"/>
      <c r="IIW100" s="1"/>
      <c r="IIX100" s="1"/>
      <c r="IIY100" s="1"/>
      <c r="IIZ100" s="1"/>
      <c r="IJA100" s="1"/>
      <c r="IJB100" s="1"/>
      <c r="IJC100" s="1"/>
      <c r="IJD100" s="1"/>
      <c r="IJE100" s="1"/>
      <c r="IJF100" s="1"/>
      <c r="IJG100" s="1"/>
      <c r="IJH100" s="1"/>
      <c r="IJI100" s="1"/>
      <c r="IJJ100" s="1"/>
      <c r="IJK100" s="1"/>
      <c r="IJL100" s="1"/>
      <c r="IJM100" s="1"/>
      <c r="IJN100" s="1"/>
      <c r="IJO100" s="1"/>
      <c r="IJP100" s="1"/>
      <c r="IJQ100" s="1"/>
      <c r="IJR100" s="1"/>
      <c r="IJS100" s="1"/>
      <c r="IJT100" s="1"/>
      <c r="IJU100" s="1"/>
      <c r="IJV100" s="1"/>
      <c r="IJW100" s="1"/>
      <c r="IJX100" s="1"/>
      <c r="IJY100" s="1"/>
      <c r="IJZ100" s="1"/>
      <c r="IKA100" s="1"/>
      <c r="IKB100" s="1"/>
      <c r="IKC100" s="1"/>
      <c r="IKD100" s="1"/>
      <c r="IKE100" s="1"/>
      <c r="IKF100" s="1"/>
      <c r="IKG100" s="1"/>
      <c r="IKH100" s="1"/>
      <c r="IKI100" s="1"/>
      <c r="IKJ100" s="1"/>
      <c r="IKK100" s="1"/>
      <c r="IKL100" s="1"/>
      <c r="IKM100" s="1"/>
      <c r="IKN100" s="1"/>
      <c r="IKO100" s="1"/>
      <c r="IKP100" s="1"/>
      <c r="IKQ100" s="1"/>
      <c r="IKR100" s="1"/>
      <c r="IKS100" s="1"/>
      <c r="IKT100" s="1"/>
      <c r="IKU100" s="1"/>
      <c r="IKV100" s="1"/>
      <c r="IKW100" s="1"/>
      <c r="IKX100" s="1"/>
      <c r="IKY100" s="1"/>
      <c r="IKZ100" s="1"/>
      <c r="ILA100" s="1"/>
      <c r="ILB100" s="1"/>
      <c r="ILC100" s="1"/>
      <c r="ILD100" s="1"/>
      <c r="ILE100" s="1"/>
      <c r="ILF100" s="1"/>
      <c r="ILG100" s="1"/>
      <c r="ILH100" s="1"/>
      <c r="ILI100" s="1"/>
      <c r="ILJ100" s="1"/>
      <c r="ILK100" s="1"/>
      <c r="ILL100" s="1"/>
      <c r="ILM100" s="1"/>
      <c r="ILN100" s="1"/>
      <c r="ILO100" s="1"/>
      <c r="ILP100" s="1"/>
      <c r="ILQ100" s="1"/>
      <c r="ILR100" s="1"/>
      <c r="ILS100" s="1"/>
      <c r="ILT100" s="1"/>
      <c r="ILU100" s="1"/>
      <c r="ILV100" s="1"/>
      <c r="ILW100" s="1"/>
      <c r="ILX100" s="1"/>
      <c r="ILY100" s="1"/>
      <c r="ILZ100" s="1"/>
      <c r="IMA100" s="1"/>
      <c r="IMB100" s="1"/>
      <c r="IMC100" s="1"/>
      <c r="IMD100" s="1"/>
      <c r="IME100" s="1"/>
      <c r="IMF100" s="1"/>
      <c r="IMG100" s="1"/>
      <c r="IMH100" s="1"/>
      <c r="IMI100" s="1"/>
      <c r="IMJ100" s="1"/>
      <c r="IMK100" s="1"/>
      <c r="IML100" s="1"/>
      <c r="IMM100" s="1"/>
      <c r="IMN100" s="1"/>
      <c r="IMO100" s="1"/>
      <c r="IMP100" s="1"/>
      <c r="IMQ100" s="1"/>
      <c r="IMR100" s="1"/>
      <c r="IMS100" s="1"/>
      <c r="IMT100" s="1"/>
      <c r="IMU100" s="1"/>
      <c r="IMV100" s="1"/>
      <c r="IMW100" s="1"/>
      <c r="IMX100" s="1"/>
      <c r="IMY100" s="1"/>
      <c r="IMZ100" s="1"/>
      <c r="INA100" s="1"/>
      <c r="INB100" s="1"/>
      <c r="INC100" s="1"/>
      <c r="IND100" s="1"/>
      <c r="INE100" s="1"/>
      <c r="INF100" s="1"/>
      <c r="ING100" s="1"/>
      <c r="INH100" s="1"/>
      <c r="INI100" s="1"/>
      <c r="INJ100" s="1"/>
      <c r="INK100" s="1"/>
      <c r="INL100" s="1"/>
      <c r="INM100" s="1"/>
      <c r="INN100" s="1"/>
      <c r="INO100" s="1"/>
      <c r="INP100" s="1"/>
      <c r="INQ100" s="1"/>
      <c r="INR100" s="1"/>
      <c r="INS100" s="1"/>
      <c r="INT100" s="1"/>
      <c r="INU100" s="1"/>
      <c r="INV100" s="1"/>
      <c r="INW100" s="1"/>
      <c r="INX100" s="1"/>
      <c r="INY100" s="1"/>
      <c r="INZ100" s="1"/>
      <c r="IOA100" s="1"/>
      <c r="IOB100" s="1"/>
      <c r="IOC100" s="1"/>
      <c r="IOD100" s="1"/>
      <c r="IOE100" s="1"/>
      <c r="IOF100" s="1"/>
      <c r="IOG100" s="1"/>
      <c r="IOH100" s="1"/>
      <c r="IOI100" s="1"/>
      <c r="IOJ100" s="1"/>
      <c r="IOK100" s="1"/>
      <c r="IOL100" s="1"/>
      <c r="IOM100" s="1"/>
      <c r="ION100" s="1"/>
      <c r="IOO100" s="1"/>
      <c r="IOP100" s="1"/>
      <c r="IOQ100" s="1"/>
      <c r="IOR100" s="1"/>
      <c r="IOS100" s="1"/>
      <c r="IOT100" s="1"/>
      <c r="IOU100" s="1"/>
      <c r="IOV100" s="1"/>
      <c r="IOW100" s="1"/>
      <c r="IOX100" s="1"/>
      <c r="IOY100" s="1"/>
      <c r="IOZ100" s="1"/>
      <c r="IPA100" s="1"/>
      <c r="IPB100" s="1"/>
      <c r="IPC100" s="1"/>
      <c r="IPD100" s="1"/>
      <c r="IPE100" s="1"/>
      <c r="IPF100" s="1"/>
      <c r="IPG100" s="1"/>
      <c r="IPH100" s="1"/>
      <c r="IPI100" s="1"/>
      <c r="IPJ100" s="1"/>
      <c r="IPK100" s="1"/>
      <c r="IPL100" s="1"/>
      <c r="IPM100" s="1"/>
      <c r="IPN100" s="1"/>
      <c r="IPO100" s="1"/>
      <c r="IPP100" s="1"/>
      <c r="IPQ100" s="1"/>
      <c r="IPR100" s="1"/>
      <c r="IPS100" s="1"/>
      <c r="IPT100" s="1"/>
      <c r="IPU100" s="1"/>
      <c r="IPV100" s="1"/>
      <c r="IPW100" s="1"/>
      <c r="IPX100" s="1"/>
      <c r="IPY100" s="1"/>
      <c r="IPZ100" s="1"/>
      <c r="IQA100" s="1"/>
      <c r="IQB100" s="1"/>
      <c r="IQC100" s="1"/>
      <c r="IQD100" s="1"/>
      <c r="IQE100" s="1"/>
      <c r="IQF100" s="1"/>
      <c r="IQG100" s="1"/>
      <c r="IQH100" s="1"/>
      <c r="IQI100" s="1"/>
      <c r="IQJ100" s="1"/>
      <c r="IQK100" s="1"/>
      <c r="IQL100" s="1"/>
      <c r="IQM100" s="1"/>
      <c r="IQN100" s="1"/>
      <c r="IQO100" s="1"/>
      <c r="IQP100" s="1"/>
      <c r="IQQ100" s="1"/>
      <c r="IQR100" s="1"/>
      <c r="IQS100" s="1"/>
      <c r="IQT100" s="1"/>
      <c r="IQU100" s="1"/>
      <c r="IQV100" s="1"/>
      <c r="IQW100" s="1"/>
      <c r="IQX100" s="1"/>
      <c r="IQY100" s="1"/>
      <c r="IQZ100" s="1"/>
      <c r="IRA100" s="1"/>
      <c r="IRB100" s="1"/>
      <c r="IRC100" s="1"/>
      <c r="IRD100" s="1"/>
      <c r="IRE100" s="1"/>
      <c r="IRF100" s="1"/>
      <c r="IRG100" s="1"/>
      <c r="IRH100" s="1"/>
      <c r="IRI100" s="1"/>
      <c r="IRJ100" s="1"/>
      <c r="IRK100" s="1"/>
      <c r="IRL100" s="1"/>
      <c r="IRM100" s="1"/>
      <c r="IRN100" s="1"/>
      <c r="IRO100" s="1"/>
      <c r="IRP100" s="1"/>
      <c r="IRQ100" s="1"/>
      <c r="IRR100" s="1"/>
      <c r="IRS100" s="1"/>
      <c r="IRT100" s="1"/>
      <c r="IRU100" s="1"/>
      <c r="IRV100" s="1"/>
      <c r="IRW100" s="1"/>
      <c r="IRX100" s="1"/>
      <c r="IRY100" s="1"/>
      <c r="IRZ100" s="1"/>
      <c r="ISA100" s="1"/>
      <c r="ISB100" s="1"/>
      <c r="ISC100" s="1"/>
      <c r="ISD100" s="1"/>
      <c r="ISE100" s="1"/>
      <c r="ISF100" s="1"/>
      <c r="ISG100" s="1"/>
      <c r="ISH100" s="1"/>
      <c r="ISI100" s="1"/>
      <c r="ISJ100" s="1"/>
      <c r="ISK100" s="1"/>
      <c r="ISL100" s="1"/>
      <c r="ISM100" s="1"/>
      <c r="ISN100" s="1"/>
      <c r="ISO100" s="1"/>
      <c r="ISP100" s="1"/>
      <c r="ISQ100" s="1"/>
      <c r="ISR100" s="1"/>
      <c r="ISS100" s="1"/>
      <c r="IST100" s="1"/>
      <c r="ISU100" s="1"/>
      <c r="ISV100" s="1"/>
      <c r="ISW100" s="1"/>
      <c r="ISX100" s="1"/>
      <c r="ISY100" s="1"/>
      <c r="ISZ100" s="1"/>
      <c r="ITA100" s="1"/>
      <c r="ITB100" s="1"/>
      <c r="ITC100" s="1"/>
      <c r="ITD100" s="1"/>
      <c r="ITE100" s="1"/>
      <c r="ITF100" s="1"/>
      <c r="ITG100" s="1"/>
      <c r="ITH100" s="1"/>
      <c r="ITI100" s="1"/>
      <c r="ITJ100" s="1"/>
      <c r="ITK100" s="1"/>
      <c r="ITL100" s="1"/>
      <c r="ITM100" s="1"/>
      <c r="ITN100" s="1"/>
      <c r="ITO100" s="1"/>
      <c r="ITP100" s="1"/>
      <c r="ITQ100" s="1"/>
      <c r="ITR100" s="1"/>
      <c r="ITS100" s="1"/>
      <c r="ITT100" s="1"/>
      <c r="ITU100" s="1"/>
      <c r="ITV100" s="1"/>
      <c r="ITW100" s="1"/>
      <c r="ITX100" s="1"/>
      <c r="ITY100" s="1"/>
      <c r="ITZ100" s="1"/>
      <c r="IUA100" s="1"/>
      <c r="IUB100" s="1"/>
      <c r="IUC100" s="1"/>
      <c r="IUD100" s="1"/>
      <c r="IUE100" s="1"/>
      <c r="IUF100" s="1"/>
      <c r="IUG100" s="1"/>
      <c r="IUH100" s="1"/>
      <c r="IUI100" s="1"/>
      <c r="IUJ100" s="1"/>
      <c r="IUK100" s="1"/>
      <c r="IUL100" s="1"/>
      <c r="IUM100" s="1"/>
      <c r="IUN100" s="1"/>
      <c r="IUO100" s="1"/>
      <c r="IUP100" s="1"/>
      <c r="IUQ100" s="1"/>
      <c r="IUR100" s="1"/>
      <c r="IUS100" s="1"/>
      <c r="IUT100" s="1"/>
      <c r="IUU100" s="1"/>
      <c r="IUV100" s="1"/>
      <c r="IUW100" s="1"/>
      <c r="IUX100" s="1"/>
      <c r="IUY100" s="1"/>
      <c r="IUZ100" s="1"/>
      <c r="IVA100" s="1"/>
      <c r="IVB100" s="1"/>
      <c r="IVC100" s="1"/>
      <c r="IVD100" s="1"/>
      <c r="IVE100" s="1"/>
      <c r="IVF100" s="1"/>
      <c r="IVG100" s="1"/>
      <c r="IVH100" s="1"/>
      <c r="IVI100" s="1"/>
      <c r="IVJ100" s="1"/>
      <c r="IVK100" s="1"/>
      <c r="IVL100" s="1"/>
      <c r="IVM100" s="1"/>
      <c r="IVN100" s="1"/>
      <c r="IVO100" s="1"/>
      <c r="IVP100" s="1"/>
      <c r="IVQ100" s="1"/>
      <c r="IVR100" s="1"/>
      <c r="IVS100" s="1"/>
      <c r="IVT100" s="1"/>
      <c r="IVU100" s="1"/>
      <c r="IVV100" s="1"/>
      <c r="IVW100" s="1"/>
      <c r="IVX100" s="1"/>
      <c r="IVY100" s="1"/>
      <c r="IVZ100" s="1"/>
      <c r="IWA100" s="1"/>
      <c r="IWB100" s="1"/>
      <c r="IWC100" s="1"/>
      <c r="IWD100" s="1"/>
      <c r="IWE100" s="1"/>
      <c r="IWF100" s="1"/>
      <c r="IWG100" s="1"/>
      <c r="IWH100" s="1"/>
      <c r="IWI100" s="1"/>
      <c r="IWJ100" s="1"/>
      <c r="IWK100" s="1"/>
      <c r="IWL100" s="1"/>
      <c r="IWM100" s="1"/>
      <c r="IWN100" s="1"/>
      <c r="IWO100" s="1"/>
      <c r="IWP100" s="1"/>
      <c r="IWQ100" s="1"/>
      <c r="IWR100" s="1"/>
      <c r="IWS100" s="1"/>
      <c r="IWT100" s="1"/>
      <c r="IWU100" s="1"/>
      <c r="IWV100" s="1"/>
      <c r="IWW100" s="1"/>
      <c r="IWX100" s="1"/>
      <c r="IWY100" s="1"/>
      <c r="IWZ100" s="1"/>
      <c r="IXA100" s="1"/>
      <c r="IXB100" s="1"/>
      <c r="IXC100" s="1"/>
      <c r="IXD100" s="1"/>
      <c r="IXE100" s="1"/>
      <c r="IXF100" s="1"/>
      <c r="IXG100" s="1"/>
      <c r="IXH100" s="1"/>
      <c r="IXI100" s="1"/>
      <c r="IXJ100" s="1"/>
      <c r="IXK100" s="1"/>
      <c r="IXL100" s="1"/>
      <c r="IXM100" s="1"/>
      <c r="IXN100" s="1"/>
      <c r="IXO100" s="1"/>
      <c r="IXP100" s="1"/>
      <c r="IXQ100" s="1"/>
      <c r="IXR100" s="1"/>
      <c r="IXS100" s="1"/>
      <c r="IXT100" s="1"/>
      <c r="IXU100" s="1"/>
      <c r="IXV100" s="1"/>
      <c r="IXW100" s="1"/>
      <c r="IXX100" s="1"/>
      <c r="IXY100" s="1"/>
      <c r="IXZ100" s="1"/>
      <c r="IYA100" s="1"/>
      <c r="IYB100" s="1"/>
      <c r="IYC100" s="1"/>
      <c r="IYD100" s="1"/>
      <c r="IYE100" s="1"/>
      <c r="IYF100" s="1"/>
      <c r="IYG100" s="1"/>
      <c r="IYH100" s="1"/>
      <c r="IYI100" s="1"/>
      <c r="IYJ100" s="1"/>
      <c r="IYK100" s="1"/>
      <c r="IYL100" s="1"/>
      <c r="IYM100" s="1"/>
      <c r="IYN100" s="1"/>
      <c r="IYO100" s="1"/>
      <c r="IYP100" s="1"/>
      <c r="IYQ100" s="1"/>
      <c r="IYR100" s="1"/>
      <c r="IYS100" s="1"/>
      <c r="IYT100" s="1"/>
      <c r="IYU100" s="1"/>
      <c r="IYV100" s="1"/>
      <c r="IYW100" s="1"/>
      <c r="IYX100" s="1"/>
      <c r="IYY100" s="1"/>
      <c r="IYZ100" s="1"/>
      <c r="IZA100" s="1"/>
      <c r="IZB100" s="1"/>
      <c r="IZC100" s="1"/>
      <c r="IZD100" s="1"/>
      <c r="IZE100" s="1"/>
      <c r="IZF100" s="1"/>
      <c r="IZG100" s="1"/>
      <c r="IZH100" s="1"/>
      <c r="IZI100" s="1"/>
      <c r="IZJ100" s="1"/>
      <c r="IZK100" s="1"/>
      <c r="IZL100" s="1"/>
      <c r="IZM100" s="1"/>
      <c r="IZN100" s="1"/>
      <c r="IZO100" s="1"/>
      <c r="IZP100" s="1"/>
      <c r="IZQ100" s="1"/>
      <c r="IZR100" s="1"/>
      <c r="IZS100" s="1"/>
      <c r="IZT100" s="1"/>
      <c r="IZU100" s="1"/>
      <c r="IZV100" s="1"/>
      <c r="IZW100" s="1"/>
      <c r="IZX100" s="1"/>
      <c r="IZY100" s="1"/>
      <c r="IZZ100" s="1"/>
      <c r="JAA100" s="1"/>
      <c r="JAB100" s="1"/>
      <c r="JAC100" s="1"/>
      <c r="JAD100" s="1"/>
      <c r="JAE100" s="1"/>
      <c r="JAF100" s="1"/>
      <c r="JAG100" s="1"/>
      <c r="JAH100" s="1"/>
      <c r="JAI100" s="1"/>
      <c r="JAJ100" s="1"/>
      <c r="JAK100" s="1"/>
      <c r="JAL100" s="1"/>
      <c r="JAM100" s="1"/>
      <c r="JAN100" s="1"/>
      <c r="JAO100" s="1"/>
      <c r="JAP100" s="1"/>
      <c r="JAQ100" s="1"/>
      <c r="JAR100" s="1"/>
      <c r="JAS100" s="1"/>
      <c r="JAT100" s="1"/>
      <c r="JAU100" s="1"/>
      <c r="JAV100" s="1"/>
      <c r="JAW100" s="1"/>
      <c r="JAX100" s="1"/>
      <c r="JAY100" s="1"/>
      <c r="JAZ100" s="1"/>
      <c r="JBA100" s="1"/>
      <c r="JBB100" s="1"/>
      <c r="JBC100" s="1"/>
      <c r="JBD100" s="1"/>
      <c r="JBE100" s="1"/>
      <c r="JBF100" s="1"/>
      <c r="JBG100" s="1"/>
      <c r="JBH100" s="1"/>
      <c r="JBI100" s="1"/>
      <c r="JBJ100" s="1"/>
      <c r="JBK100" s="1"/>
      <c r="JBL100" s="1"/>
      <c r="JBM100" s="1"/>
      <c r="JBN100" s="1"/>
      <c r="JBO100" s="1"/>
      <c r="JBP100" s="1"/>
      <c r="JBQ100" s="1"/>
      <c r="JBR100" s="1"/>
      <c r="JBS100" s="1"/>
      <c r="JBT100" s="1"/>
      <c r="JBU100" s="1"/>
      <c r="JBV100" s="1"/>
      <c r="JBW100" s="1"/>
      <c r="JBX100" s="1"/>
      <c r="JBY100" s="1"/>
      <c r="JBZ100" s="1"/>
      <c r="JCA100" s="1"/>
      <c r="JCB100" s="1"/>
      <c r="JCC100" s="1"/>
      <c r="JCD100" s="1"/>
      <c r="JCE100" s="1"/>
      <c r="JCF100" s="1"/>
      <c r="JCG100" s="1"/>
      <c r="JCH100" s="1"/>
      <c r="JCI100" s="1"/>
      <c r="JCJ100" s="1"/>
      <c r="JCK100" s="1"/>
      <c r="JCL100" s="1"/>
      <c r="JCM100" s="1"/>
      <c r="JCN100" s="1"/>
      <c r="JCO100" s="1"/>
      <c r="JCP100" s="1"/>
      <c r="JCQ100" s="1"/>
      <c r="JCR100" s="1"/>
      <c r="JCS100" s="1"/>
      <c r="JCT100" s="1"/>
      <c r="JCU100" s="1"/>
      <c r="JCV100" s="1"/>
      <c r="JCW100" s="1"/>
      <c r="JCX100" s="1"/>
      <c r="JCY100" s="1"/>
      <c r="JCZ100" s="1"/>
      <c r="JDA100" s="1"/>
      <c r="JDB100" s="1"/>
      <c r="JDC100" s="1"/>
      <c r="JDD100" s="1"/>
      <c r="JDE100" s="1"/>
      <c r="JDF100" s="1"/>
      <c r="JDG100" s="1"/>
      <c r="JDH100" s="1"/>
      <c r="JDI100" s="1"/>
      <c r="JDJ100" s="1"/>
      <c r="JDK100" s="1"/>
      <c r="JDL100" s="1"/>
      <c r="JDM100" s="1"/>
      <c r="JDN100" s="1"/>
      <c r="JDO100" s="1"/>
      <c r="JDP100" s="1"/>
      <c r="JDQ100" s="1"/>
      <c r="JDR100" s="1"/>
      <c r="JDS100" s="1"/>
      <c r="JDT100" s="1"/>
      <c r="JDU100" s="1"/>
      <c r="JDV100" s="1"/>
      <c r="JDW100" s="1"/>
      <c r="JDX100" s="1"/>
      <c r="JDY100" s="1"/>
      <c r="JDZ100" s="1"/>
      <c r="JEA100" s="1"/>
      <c r="JEB100" s="1"/>
      <c r="JEC100" s="1"/>
      <c r="JED100" s="1"/>
      <c r="JEE100" s="1"/>
      <c r="JEF100" s="1"/>
      <c r="JEG100" s="1"/>
      <c r="JEH100" s="1"/>
      <c r="JEI100" s="1"/>
      <c r="JEJ100" s="1"/>
      <c r="JEK100" s="1"/>
      <c r="JEL100" s="1"/>
      <c r="JEM100" s="1"/>
      <c r="JEN100" s="1"/>
      <c r="JEO100" s="1"/>
      <c r="JEP100" s="1"/>
      <c r="JEQ100" s="1"/>
      <c r="JER100" s="1"/>
      <c r="JES100" s="1"/>
      <c r="JET100" s="1"/>
      <c r="JEU100" s="1"/>
      <c r="JEV100" s="1"/>
      <c r="JEW100" s="1"/>
      <c r="JEX100" s="1"/>
      <c r="JEY100" s="1"/>
      <c r="JEZ100" s="1"/>
      <c r="JFA100" s="1"/>
      <c r="JFB100" s="1"/>
      <c r="JFC100" s="1"/>
      <c r="JFD100" s="1"/>
      <c r="JFE100" s="1"/>
      <c r="JFF100" s="1"/>
      <c r="JFG100" s="1"/>
      <c r="JFH100" s="1"/>
      <c r="JFI100" s="1"/>
      <c r="JFJ100" s="1"/>
      <c r="JFK100" s="1"/>
      <c r="JFL100" s="1"/>
      <c r="JFM100" s="1"/>
      <c r="JFN100" s="1"/>
      <c r="JFO100" s="1"/>
      <c r="JFP100" s="1"/>
      <c r="JFQ100" s="1"/>
      <c r="JFR100" s="1"/>
      <c r="JFS100" s="1"/>
      <c r="JFT100" s="1"/>
      <c r="JFU100" s="1"/>
      <c r="JFV100" s="1"/>
      <c r="JFW100" s="1"/>
      <c r="JFX100" s="1"/>
      <c r="JFY100" s="1"/>
      <c r="JFZ100" s="1"/>
      <c r="JGA100" s="1"/>
      <c r="JGB100" s="1"/>
      <c r="JGC100" s="1"/>
      <c r="JGD100" s="1"/>
      <c r="JGE100" s="1"/>
      <c r="JGF100" s="1"/>
      <c r="JGG100" s="1"/>
      <c r="JGH100" s="1"/>
      <c r="JGI100" s="1"/>
      <c r="JGJ100" s="1"/>
      <c r="JGK100" s="1"/>
      <c r="JGL100" s="1"/>
      <c r="JGM100" s="1"/>
      <c r="JGN100" s="1"/>
      <c r="JGO100" s="1"/>
      <c r="JGP100" s="1"/>
      <c r="JGQ100" s="1"/>
      <c r="JGR100" s="1"/>
      <c r="JGS100" s="1"/>
      <c r="JGT100" s="1"/>
      <c r="JGU100" s="1"/>
      <c r="JGV100" s="1"/>
      <c r="JGW100" s="1"/>
      <c r="JGX100" s="1"/>
      <c r="JGY100" s="1"/>
      <c r="JGZ100" s="1"/>
      <c r="JHA100" s="1"/>
      <c r="JHB100" s="1"/>
      <c r="JHC100" s="1"/>
      <c r="JHD100" s="1"/>
      <c r="JHE100" s="1"/>
      <c r="JHF100" s="1"/>
      <c r="JHG100" s="1"/>
      <c r="JHH100" s="1"/>
      <c r="JHI100" s="1"/>
      <c r="JHJ100" s="1"/>
      <c r="JHK100" s="1"/>
      <c r="JHL100" s="1"/>
      <c r="JHM100" s="1"/>
      <c r="JHN100" s="1"/>
      <c r="JHO100" s="1"/>
      <c r="JHP100" s="1"/>
      <c r="JHQ100" s="1"/>
      <c r="JHR100" s="1"/>
      <c r="JHS100" s="1"/>
      <c r="JHT100" s="1"/>
      <c r="JHU100" s="1"/>
      <c r="JHV100" s="1"/>
      <c r="JHW100" s="1"/>
      <c r="JHX100" s="1"/>
      <c r="JHY100" s="1"/>
      <c r="JHZ100" s="1"/>
      <c r="JIA100" s="1"/>
      <c r="JIB100" s="1"/>
      <c r="JIC100" s="1"/>
      <c r="JID100" s="1"/>
      <c r="JIE100" s="1"/>
      <c r="JIF100" s="1"/>
      <c r="JIG100" s="1"/>
      <c r="JIH100" s="1"/>
      <c r="JII100" s="1"/>
      <c r="JIJ100" s="1"/>
      <c r="JIK100" s="1"/>
      <c r="JIL100" s="1"/>
      <c r="JIM100" s="1"/>
      <c r="JIN100" s="1"/>
      <c r="JIO100" s="1"/>
      <c r="JIP100" s="1"/>
      <c r="JIQ100" s="1"/>
      <c r="JIR100" s="1"/>
      <c r="JIS100" s="1"/>
      <c r="JIT100" s="1"/>
      <c r="JIU100" s="1"/>
      <c r="JIV100" s="1"/>
      <c r="JIW100" s="1"/>
      <c r="JIX100" s="1"/>
      <c r="JIY100" s="1"/>
      <c r="JIZ100" s="1"/>
      <c r="JJA100" s="1"/>
      <c r="JJB100" s="1"/>
      <c r="JJC100" s="1"/>
      <c r="JJD100" s="1"/>
      <c r="JJE100" s="1"/>
      <c r="JJF100" s="1"/>
      <c r="JJG100" s="1"/>
      <c r="JJH100" s="1"/>
      <c r="JJI100" s="1"/>
      <c r="JJJ100" s="1"/>
      <c r="JJK100" s="1"/>
      <c r="JJL100" s="1"/>
      <c r="JJM100" s="1"/>
      <c r="JJN100" s="1"/>
      <c r="JJO100" s="1"/>
      <c r="JJP100" s="1"/>
      <c r="JJQ100" s="1"/>
      <c r="JJR100" s="1"/>
      <c r="JJS100" s="1"/>
      <c r="JJT100" s="1"/>
      <c r="JJU100" s="1"/>
      <c r="JJV100" s="1"/>
      <c r="JJW100" s="1"/>
      <c r="JJX100" s="1"/>
      <c r="JJY100" s="1"/>
      <c r="JJZ100" s="1"/>
      <c r="JKA100" s="1"/>
      <c r="JKB100" s="1"/>
      <c r="JKC100" s="1"/>
      <c r="JKD100" s="1"/>
      <c r="JKE100" s="1"/>
      <c r="JKF100" s="1"/>
      <c r="JKG100" s="1"/>
      <c r="JKH100" s="1"/>
      <c r="JKI100" s="1"/>
      <c r="JKJ100" s="1"/>
      <c r="JKK100" s="1"/>
      <c r="JKL100" s="1"/>
      <c r="JKM100" s="1"/>
      <c r="JKN100" s="1"/>
      <c r="JKO100" s="1"/>
      <c r="JKP100" s="1"/>
      <c r="JKQ100" s="1"/>
      <c r="JKR100" s="1"/>
      <c r="JKS100" s="1"/>
      <c r="JKT100" s="1"/>
      <c r="JKU100" s="1"/>
      <c r="JKV100" s="1"/>
      <c r="JKW100" s="1"/>
      <c r="JKX100" s="1"/>
      <c r="JKY100" s="1"/>
      <c r="JKZ100" s="1"/>
      <c r="JLA100" s="1"/>
      <c r="JLB100" s="1"/>
      <c r="JLC100" s="1"/>
      <c r="JLD100" s="1"/>
      <c r="JLE100" s="1"/>
      <c r="JLF100" s="1"/>
      <c r="JLG100" s="1"/>
      <c r="JLH100" s="1"/>
      <c r="JLI100" s="1"/>
      <c r="JLJ100" s="1"/>
      <c r="JLK100" s="1"/>
      <c r="JLL100" s="1"/>
      <c r="JLM100" s="1"/>
      <c r="JLN100" s="1"/>
      <c r="JLO100" s="1"/>
      <c r="JLP100" s="1"/>
      <c r="JLQ100" s="1"/>
      <c r="JLR100" s="1"/>
      <c r="JLS100" s="1"/>
      <c r="JLT100" s="1"/>
      <c r="JLU100" s="1"/>
      <c r="JLV100" s="1"/>
      <c r="JLW100" s="1"/>
      <c r="JLX100" s="1"/>
      <c r="JLY100" s="1"/>
      <c r="JLZ100" s="1"/>
      <c r="JMA100" s="1"/>
      <c r="JMB100" s="1"/>
      <c r="JMC100" s="1"/>
      <c r="JMD100" s="1"/>
      <c r="JME100" s="1"/>
      <c r="JMF100" s="1"/>
      <c r="JMG100" s="1"/>
      <c r="JMH100" s="1"/>
      <c r="JMI100" s="1"/>
      <c r="JMJ100" s="1"/>
      <c r="JMK100" s="1"/>
      <c r="JML100" s="1"/>
      <c r="JMM100" s="1"/>
      <c r="JMN100" s="1"/>
      <c r="JMO100" s="1"/>
      <c r="JMP100" s="1"/>
      <c r="JMQ100" s="1"/>
      <c r="JMR100" s="1"/>
      <c r="JMS100" s="1"/>
      <c r="JMT100" s="1"/>
      <c r="JMU100" s="1"/>
      <c r="JMV100" s="1"/>
      <c r="JMW100" s="1"/>
      <c r="JMX100" s="1"/>
      <c r="JMY100" s="1"/>
      <c r="JMZ100" s="1"/>
      <c r="JNA100" s="1"/>
      <c r="JNB100" s="1"/>
      <c r="JNC100" s="1"/>
      <c r="JND100" s="1"/>
      <c r="JNE100" s="1"/>
      <c r="JNF100" s="1"/>
      <c r="JNG100" s="1"/>
      <c r="JNH100" s="1"/>
      <c r="JNI100" s="1"/>
      <c r="JNJ100" s="1"/>
      <c r="JNK100" s="1"/>
      <c r="JNL100" s="1"/>
      <c r="JNM100" s="1"/>
      <c r="JNN100" s="1"/>
      <c r="JNO100" s="1"/>
      <c r="JNP100" s="1"/>
      <c r="JNQ100" s="1"/>
      <c r="JNR100" s="1"/>
      <c r="JNS100" s="1"/>
      <c r="JNT100" s="1"/>
      <c r="JNU100" s="1"/>
      <c r="JNV100" s="1"/>
      <c r="JNW100" s="1"/>
      <c r="JNX100" s="1"/>
      <c r="JNY100" s="1"/>
      <c r="JNZ100" s="1"/>
      <c r="JOA100" s="1"/>
      <c r="JOB100" s="1"/>
      <c r="JOC100" s="1"/>
      <c r="JOD100" s="1"/>
      <c r="JOE100" s="1"/>
      <c r="JOF100" s="1"/>
      <c r="JOG100" s="1"/>
      <c r="JOH100" s="1"/>
      <c r="JOI100" s="1"/>
      <c r="JOJ100" s="1"/>
      <c r="JOK100" s="1"/>
      <c r="JOL100" s="1"/>
      <c r="JOM100" s="1"/>
      <c r="JON100" s="1"/>
      <c r="JOO100" s="1"/>
      <c r="JOP100" s="1"/>
      <c r="JOQ100" s="1"/>
      <c r="JOR100" s="1"/>
      <c r="JOS100" s="1"/>
      <c r="JOT100" s="1"/>
      <c r="JOU100" s="1"/>
      <c r="JOV100" s="1"/>
      <c r="JOW100" s="1"/>
      <c r="JOX100" s="1"/>
      <c r="JOY100" s="1"/>
      <c r="JOZ100" s="1"/>
      <c r="JPA100" s="1"/>
      <c r="JPB100" s="1"/>
      <c r="JPC100" s="1"/>
      <c r="JPD100" s="1"/>
      <c r="JPE100" s="1"/>
      <c r="JPF100" s="1"/>
      <c r="JPG100" s="1"/>
      <c r="JPH100" s="1"/>
      <c r="JPI100" s="1"/>
      <c r="JPJ100" s="1"/>
      <c r="JPK100" s="1"/>
      <c r="JPL100" s="1"/>
      <c r="JPM100" s="1"/>
      <c r="JPN100" s="1"/>
      <c r="JPO100" s="1"/>
      <c r="JPP100" s="1"/>
      <c r="JPQ100" s="1"/>
      <c r="JPR100" s="1"/>
      <c r="JPS100" s="1"/>
      <c r="JPT100" s="1"/>
      <c r="JPU100" s="1"/>
      <c r="JPV100" s="1"/>
      <c r="JPW100" s="1"/>
      <c r="JPX100" s="1"/>
      <c r="JPY100" s="1"/>
      <c r="JPZ100" s="1"/>
      <c r="JQA100" s="1"/>
      <c r="JQB100" s="1"/>
      <c r="JQC100" s="1"/>
      <c r="JQD100" s="1"/>
      <c r="JQE100" s="1"/>
      <c r="JQF100" s="1"/>
      <c r="JQG100" s="1"/>
      <c r="JQH100" s="1"/>
      <c r="JQI100" s="1"/>
      <c r="JQJ100" s="1"/>
      <c r="JQK100" s="1"/>
      <c r="JQL100" s="1"/>
      <c r="JQM100" s="1"/>
      <c r="JQN100" s="1"/>
      <c r="JQO100" s="1"/>
      <c r="JQP100" s="1"/>
      <c r="JQQ100" s="1"/>
      <c r="JQR100" s="1"/>
      <c r="JQS100" s="1"/>
      <c r="JQT100" s="1"/>
      <c r="JQU100" s="1"/>
      <c r="JQV100" s="1"/>
      <c r="JQW100" s="1"/>
      <c r="JQX100" s="1"/>
      <c r="JQY100" s="1"/>
      <c r="JQZ100" s="1"/>
      <c r="JRA100" s="1"/>
      <c r="JRB100" s="1"/>
      <c r="JRC100" s="1"/>
      <c r="JRD100" s="1"/>
      <c r="JRE100" s="1"/>
      <c r="JRF100" s="1"/>
      <c r="JRG100" s="1"/>
      <c r="JRH100" s="1"/>
      <c r="JRI100" s="1"/>
      <c r="JRJ100" s="1"/>
      <c r="JRK100" s="1"/>
      <c r="JRL100" s="1"/>
      <c r="JRM100" s="1"/>
      <c r="JRN100" s="1"/>
      <c r="JRO100" s="1"/>
      <c r="JRP100" s="1"/>
      <c r="JRQ100" s="1"/>
      <c r="JRR100" s="1"/>
      <c r="JRS100" s="1"/>
      <c r="JRT100" s="1"/>
      <c r="JRU100" s="1"/>
      <c r="JRV100" s="1"/>
      <c r="JRW100" s="1"/>
      <c r="JRX100" s="1"/>
      <c r="JRY100" s="1"/>
      <c r="JRZ100" s="1"/>
      <c r="JSA100" s="1"/>
      <c r="JSB100" s="1"/>
      <c r="JSC100" s="1"/>
      <c r="JSD100" s="1"/>
      <c r="JSE100" s="1"/>
      <c r="JSF100" s="1"/>
      <c r="JSG100" s="1"/>
      <c r="JSH100" s="1"/>
      <c r="JSI100" s="1"/>
      <c r="JSJ100" s="1"/>
      <c r="JSK100" s="1"/>
      <c r="JSL100" s="1"/>
      <c r="JSM100" s="1"/>
      <c r="JSN100" s="1"/>
      <c r="JSO100" s="1"/>
      <c r="JSP100" s="1"/>
      <c r="JSQ100" s="1"/>
      <c r="JSR100" s="1"/>
      <c r="JSS100" s="1"/>
      <c r="JST100" s="1"/>
      <c r="JSU100" s="1"/>
      <c r="JSV100" s="1"/>
      <c r="JSW100" s="1"/>
      <c r="JSX100" s="1"/>
      <c r="JSY100" s="1"/>
      <c r="JSZ100" s="1"/>
      <c r="JTA100" s="1"/>
      <c r="JTB100" s="1"/>
      <c r="JTC100" s="1"/>
      <c r="JTD100" s="1"/>
      <c r="JTE100" s="1"/>
      <c r="JTF100" s="1"/>
      <c r="JTG100" s="1"/>
      <c r="JTH100" s="1"/>
      <c r="JTI100" s="1"/>
      <c r="JTJ100" s="1"/>
      <c r="JTK100" s="1"/>
      <c r="JTL100" s="1"/>
      <c r="JTM100" s="1"/>
      <c r="JTN100" s="1"/>
      <c r="JTO100" s="1"/>
      <c r="JTP100" s="1"/>
      <c r="JTQ100" s="1"/>
      <c r="JTR100" s="1"/>
      <c r="JTS100" s="1"/>
      <c r="JTT100" s="1"/>
      <c r="JTU100" s="1"/>
      <c r="JTV100" s="1"/>
      <c r="JTW100" s="1"/>
      <c r="JTX100" s="1"/>
      <c r="JTY100" s="1"/>
      <c r="JTZ100" s="1"/>
      <c r="JUA100" s="1"/>
      <c r="JUB100" s="1"/>
      <c r="JUC100" s="1"/>
      <c r="JUD100" s="1"/>
      <c r="JUE100" s="1"/>
      <c r="JUF100" s="1"/>
      <c r="JUG100" s="1"/>
      <c r="JUH100" s="1"/>
      <c r="JUI100" s="1"/>
      <c r="JUJ100" s="1"/>
      <c r="JUK100" s="1"/>
      <c r="JUL100" s="1"/>
      <c r="JUM100" s="1"/>
      <c r="JUN100" s="1"/>
      <c r="JUO100" s="1"/>
      <c r="JUP100" s="1"/>
      <c r="JUQ100" s="1"/>
      <c r="JUR100" s="1"/>
      <c r="JUS100" s="1"/>
      <c r="JUT100" s="1"/>
      <c r="JUU100" s="1"/>
      <c r="JUV100" s="1"/>
      <c r="JUW100" s="1"/>
      <c r="JUX100" s="1"/>
      <c r="JUY100" s="1"/>
      <c r="JUZ100" s="1"/>
      <c r="JVA100" s="1"/>
      <c r="JVB100" s="1"/>
      <c r="JVC100" s="1"/>
      <c r="JVD100" s="1"/>
      <c r="JVE100" s="1"/>
      <c r="JVF100" s="1"/>
      <c r="JVG100" s="1"/>
      <c r="JVH100" s="1"/>
      <c r="JVI100" s="1"/>
      <c r="JVJ100" s="1"/>
      <c r="JVK100" s="1"/>
      <c r="JVL100" s="1"/>
      <c r="JVM100" s="1"/>
      <c r="JVN100" s="1"/>
      <c r="JVO100" s="1"/>
      <c r="JVP100" s="1"/>
      <c r="JVQ100" s="1"/>
      <c r="JVR100" s="1"/>
      <c r="JVS100" s="1"/>
      <c r="JVT100" s="1"/>
      <c r="JVU100" s="1"/>
      <c r="JVV100" s="1"/>
      <c r="JVW100" s="1"/>
      <c r="JVX100" s="1"/>
      <c r="JVY100" s="1"/>
      <c r="JVZ100" s="1"/>
      <c r="JWA100" s="1"/>
      <c r="JWB100" s="1"/>
      <c r="JWC100" s="1"/>
      <c r="JWD100" s="1"/>
      <c r="JWE100" s="1"/>
      <c r="JWF100" s="1"/>
      <c r="JWG100" s="1"/>
      <c r="JWH100" s="1"/>
      <c r="JWI100" s="1"/>
      <c r="JWJ100" s="1"/>
      <c r="JWK100" s="1"/>
      <c r="JWL100" s="1"/>
      <c r="JWM100" s="1"/>
      <c r="JWN100" s="1"/>
      <c r="JWO100" s="1"/>
      <c r="JWP100" s="1"/>
      <c r="JWQ100" s="1"/>
      <c r="JWR100" s="1"/>
      <c r="JWS100" s="1"/>
      <c r="JWT100" s="1"/>
      <c r="JWU100" s="1"/>
      <c r="JWV100" s="1"/>
      <c r="JWW100" s="1"/>
      <c r="JWX100" s="1"/>
      <c r="JWY100" s="1"/>
      <c r="JWZ100" s="1"/>
      <c r="JXA100" s="1"/>
      <c r="JXB100" s="1"/>
      <c r="JXC100" s="1"/>
      <c r="JXD100" s="1"/>
      <c r="JXE100" s="1"/>
      <c r="JXF100" s="1"/>
      <c r="JXG100" s="1"/>
      <c r="JXH100" s="1"/>
      <c r="JXI100" s="1"/>
      <c r="JXJ100" s="1"/>
      <c r="JXK100" s="1"/>
      <c r="JXL100" s="1"/>
      <c r="JXM100" s="1"/>
      <c r="JXN100" s="1"/>
      <c r="JXO100" s="1"/>
      <c r="JXP100" s="1"/>
      <c r="JXQ100" s="1"/>
      <c r="JXR100" s="1"/>
      <c r="JXS100" s="1"/>
      <c r="JXT100" s="1"/>
      <c r="JXU100" s="1"/>
      <c r="JXV100" s="1"/>
      <c r="JXW100" s="1"/>
      <c r="JXX100" s="1"/>
      <c r="JXY100" s="1"/>
      <c r="JXZ100" s="1"/>
      <c r="JYA100" s="1"/>
      <c r="JYB100" s="1"/>
      <c r="JYC100" s="1"/>
      <c r="JYD100" s="1"/>
      <c r="JYE100" s="1"/>
      <c r="JYF100" s="1"/>
      <c r="JYG100" s="1"/>
      <c r="JYH100" s="1"/>
      <c r="JYI100" s="1"/>
      <c r="JYJ100" s="1"/>
      <c r="JYK100" s="1"/>
      <c r="JYL100" s="1"/>
      <c r="JYM100" s="1"/>
      <c r="JYN100" s="1"/>
      <c r="JYO100" s="1"/>
      <c r="JYP100" s="1"/>
      <c r="JYQ100" s="1"/>
      <c r="JYR100" s="1"/>
      <c r="JYS100" s="1"/>
      <c r="JYT100" s="1"/>
      <c r="JYU100" s="1"/>
      <c r="JYV100" s="1"/>
      <c r="JYW100" s="1"/>
      <c r="JYX100" s="1"/>
      <c r="JYY100" s="1"/>
      <c r="JYZ100" s="1"/>
      <c r="JZA100" s="1"/>
      <c r="JZB100" s="1"/>
      <c r="JZC100" s="1"/>
      <c r="JZD100" s="1"/>
      <c r="JZE100" s="1"/>
      <c r="JZF100" s="1"/>
      <c r="JZG100" s="1"/>
      <c r="JZH100" s="1"/>
      <c r="JZI100" s="1"/>
      <c r="JZJ100" s="1"/>
      <c r="JZK100" s="1"/>
      <c r="JZL100" s="1"/>
      <c r="JZM100" s="1"/>
      <c r="JZN100" s="1"/>
      <c r="JZO100" s="1"/>
      <c r="JZP100" s="1"/>
      <c r="JZQ100" s="1"/>
      <c r="JZR100" s="1"/>
      <c r="JZS100" s="1"/>
      <c r="JZT100" s="1"/>
      <c r="JZU100" s="1"/>
      <c r="JZV100" s="1"/>
      <c r="JZW100" s="1"/>
      <c r="JZX100" s="1"/>
      <c r="JZY100" s="1"/>
      <c r="JZZ100" s="1"/>
      <c r="KAA100" s="1"/>
      <c r="KAB100" s="1"/>
      <c r="KAC100" s="1"/>
      <c r="KAD100" s="1"/>
      <c r="KAE100" s="1"/>
      <c r="KAF100" s="1"/>
      <c r="KAG100" s="1"/>
      <c r="KAH100" s="1"/>
      <c r="KAI100" s="1"/>
      <c r="KAJ100" s="1"/>
      <c r="KAK100" s="1"/>
      <c r="KAL100" s="1"/>
      <c r="KAM100" s="1"/>
      <c r="KAN100" s="1"/>
      <c r="KAO100" s="1"/>
      <c r="KAP100" s="1"/>
      <c r="KAQ100" s="1"/>
      <c r="KAR100" s="1"/>
      <c r="KAS100" s="1"/>
      <c r="KAT100" s="1"/>
      <c r="KAU100" s="1"/>
      <c r="KAV100" s="1"/>
      <c r="KAW100" s="1"/>
      <c r="KAX100" s="1"/>
      <c r="KAY100" s="1"/>
      <c r="KAZ100" s="1"/>
      <c r="KBA100" s="1"/>
      <c r="KBB100" s="1"/>
      <c r="KBC100" s="1"/>
      <c r="KBD100" s="1"/>
      <c r="KBE100" s="1"/>
      <c r="KBF100" s="1"/>
      <c r="KBG100" s="1"/>
      <c r="KBH100" s="1"/>
      <c r="KBI100" s="1"/>
      <c r="KBJ100" s="1"/>
      <c r="KBK100" s="1"/>
      <c r="KBL100" s="1"/>
      <c r="KBM100" s="1"/>
      <c r="KBN100" s="1"/>
      <c r="KBO100" s="1"/>
      <c r="KBP100" s="1"/>
      <c r="KBQ100" s="1"/>
      <c r="KBR100" s="1"/>
      <c r="KBS100" s="1"/>
      <c r="KBT100" s="1"/>
      <c r="KBU100" s="1"/>
      <c r="KBV100" s="1"/>
      <c r="KBW100" s="1"/>
      <c r="KBX100" s="1"/>
      <c r="KBY100" s="1"/>
      <c r="KBZ100" s="1"/>
      <c r="KCA100" s="1"/>
      <c r="KCB100" s="1"/>
      <c r="KCC100" s="1"/>
      <c r="KCD100" s="1"/>
      <c r="KCE100" s="1"/>
      <c r="KCF100" s="1"/>
      <c r="KCG100" s="1"/>
      <c r="KCH100" s="1"/>
      <c r="KCI100" s="1"/>
      <c r="KCJ100" s="1"/>
      <c r="KCK100" s="1"/>
      <c r="KCL100" s="1"/>
      <c r="KCM100" s="1"/>
      <c r="KCN100" s="1"/>
      <c r="KCO100" s="1"/>
      <c r="KCP100" s="1"/>
      <c r="KCQ100" s="1"/>
      <c r="KCR100" s="1"/>
      <c r="KCS100" s="1"/>
      <c r="KCT100" s="1"/>
      <c r="KCU100" s="1"/>
      <c r="KCV100" s="1"/>
      <c r="KCW100" s="1"/>
      <c r="KCX100" s="1"/>
      <c r="KCY100" s="1"/>
      <c r="KCZ100" s="1"/>
      <c r="KDA100" s="1"/>
      <c r="KDB100" s="1"/>
      <c r="KDC100" s="1"/>
      <c r="KDD100" s="1"/>
      <c r="KDE100" s="1"/>
      <c r="KDF100" s="1"/>
      <c r="KDG100" s="1"/>
      <c r="KDH100" s="1"/>
      <c r="KDI100" s="1"/>
      <c r="KDJ100" s="1"/>
      <c r="KDK100" s="1"/>
      <c r="KDL100" s="1"/>
      <c r="KDM100" s="1"/>
      <c r="KDN100" s="1"/>
      <c r="KDO100" s="1"/>
      <c r="KDP100" s="1"/>
      <c r="KDQ100" s="1"/>
      <c r="KDR100" s="1"/>
      <c r="KDS100" s="1"/>
      <c r="KDT100" s="1"/>
      <c r="KDU100" s="1"/>
      <c r="KDV100" s="1"/>
      <c r="KDW100" s="1"/>
      <c r="KDX100" s="1"/>
      <c r="KDY100" s="1"/>
      <c r="KDZ100" s="1"/>
      <c r="KEA100" s="1"/>
      <c r="KEB100" s="1"/>
      <c r="KEC100" s="1"/>
      <c r="KED100" s="1"/>
      <c r="KEE100" s="1"/>
      <c r="KEF100" s="1"/>
      <c r="KEG100" s="1"/>
      <c r="KEH100" s="1"/>
      <c r="KEI100" s="1"/>
      <c r="KEJ100" s="1"/>
      <c r="KEK100" s="1"/>
      <c r="KEL100" s="1"/>
      <c r="KEM100" s="1"/>
      <c r="KEN100" s="1"/>
      <c r="KEO100" s="1"/>
      <c r="KEP100" s="1"/>
      <c r="KEQ100" s="1"/>
      <c r="KER100" s="1"/>
      <c r="KES100" s="1"/>
      <c r="KET100" s="1"/>
      <c r="KEU100" s="1"/>
      <c r="KEV100" s="1"/>
      <c r="KEW100" s="1"/>
      <c r="KEX100" s="1"/>
      <c r="KEY100" s="1"/>
      <c r="KEZ100" s="1"/>
      <c r="KFA100" s="1"/>
      <c r="KFB100" s="1"/>
      <c r="KFC100" s="1"/>
      <c r="KFD100" s="1"/>
      <c r="KFE100" s="1"/>
      <c r="KFF100" s="1"/>
      <c r="KFG100" s="1"/>
      <c r="KFH100" s="1"/>
      <c r="KFI100" s="1"/>
      <c r="KFJ100" s="1"/>
      <c r="KFK100" s="1"/>
      <c r="KFL100" s="1"/>
      <c r="KFM100" s="1"/>
      <c r="KFN100" s="1"/>
      <c r="KFO100" s="1"/>
      <c r="KFP100" s="1"/>
      <c r="KFQ100" s="1"/>
      <c r="KFR100" s="1"/>
      <c r="KFS100" s="1"/>
      <c r="KFT100" s="1"/>
      <c r="KFU100" s="1"/>
      <c r="KFV100" s="1"/>
      <c r="KFW100" s="1"/>
      <c r="KFX100" s="1"/>
      <c r="KFY100" s="1"/>
      <c r="KFZ100" s="1"/>
      <c r="KGA100" s="1"/>
      <c r="KGB100" s="1"/>
      <c r="KGC100" s="1"/>
      <c r="KGD100" s="1"/>
      <c r="KGE100" s="1"/>
      <c r="KGF100" s="1"/>
      <c r="KGG100" s="1"/>
      <c r="KGH100" s="1"/>
      <c r="KGI100" s="1"/>
      <c r="KGJ100" s="1"/>
      <c r="KGK100" s="1"/>
      <c r="KGL100" s="1"/>
      <c r="KGM100" s="1"/>
      <c r="KGN100" s="1"/>
      <c r="KGO100" s="1"/>
      <c r="KGP100" s="1"/>
      <c r="KGQ100" s="1"/>
      <c r="KGR100" s="1"/>
      <c r="KGS100" s="1"/>
      <c r="KGT100" s="1"/>
      <c r="KGU100" s="1"/>
      <c r="KGV100" s="1"/>
      <c r="KGW100" s="1"/>
      <c r="KGX100" s="1"/>
      <c r="KGY100" s="1"/>
      <c r="KGZ100" s="1"/>
      <c r="KHA100" s="1"/>
      <c r="KHB100" s="1"/>
      <c r="KHC100" s="1"/>
      <c r="KHD100" s="1"/>
      <c r="KHE100" s="1"/>
      <c r="KHF100" s="1"/>
      <c r="KHG100" s="1"/>
      <c r="KHH100" s="1"/>
      <c r="KHI100" s="1"/>
      <c r="KHJ100" s="1"/>
      <c r="KHK100" s="1"/>
      <c r="KHL100" s="1"/>
      <c r="KHM100" s="1"/>
      <c r="KHN100" s="1"/>
      <c r="KHO100" s="1"/>
      <c r="KHP100" s="1"/>
      <c r="KHQ100" s="1"/>
      <c r="KHR100" s="1"/>
      <c r="KHS100" s="1"/>
      <c r="KHT100" s="1"/>
      <c r="KHU100" s="1"/>
      <c r="KHV100" s="1"/>
      <c r="KHW100" s="1"/>
      <c r="KHX100" s="1"/>
      <c r="KHY100" s="1"/>
      <c r="KHZ100" s="1"/>
      <c r="KIA100" s="1"/>
      <c r="KIB100" s="1"/>
      <c r="KIC100" s="1"/>
      <c r="KID100" s="1"/>
      <c r="KIE100" s="1"/>
      <c r="KIF100" s="1"/>
      <c r="KIG100" s="1"/>
      <c r="KIH100" s="1"/>
      <c r="KII100" s="1"/>
      <c r="KIJ100" s="1"/>
      <c r="KIK100" s="1"/>
      <c r="KIL100" s="1"/>
      <c r="KIM100" s="1"/>
      <c r="KIN100" s="1"/>
      <c r="KIO100" s="1"/>
      <c r="KIP100" s="1"/>
      <c r="KIQ100" s="1"/>
      <c r="KIR100" s="1"/>
      <c r="KIS100" s="1"/>
      <c r="KIT100" s="1"/>
      <c r="KIU100" s="1"/>
      <c r="KIV100" s="1"/>
      <c r="KIW100" s="1"/>
      <c r="KIX100" s="1"/>
      <c r="KIY100" s="1"/>
      <c r="KIZ100" s="1"/>
      <c r="KJA100" s="1"/>
      <c r="KJB100" s="1"/>
      <c r="KJC100" s="1"/>
      <c r="KJD100" s="1"/>
      <c r="KJE100" s="1"/>
      <c r="KJF100" s="1"/>
      <c r="KJG100" s="1"/>
      <c r="KJH100" s="1"/>
      <c r="KJI100" s="1"/>
      <c r="KJJ100" s="1"/>
      <c r="KJK100" s="1"/>
      <c r="KJL100" s="1"/>
      <c r="KJM100" s="1"/>
      <c r="KJN100" s="1"/>
      <c r="KJO100" s="1"/>
      <c r="KJP100" s="1"/>
      <c r="KJQ100" s="1"/>
      <c r="KJR100" s="1"/>
      <c r="KJS100" s="1"/>
      <c r="KJT100" s="1"/>
      <c r="KJU100" s="1"/>
      <c r="KJV100" s="1"/>
      <c r="KJW100" s="1"/>
      <c r="KJX100" s="1"/>
      <c r="KJY100" s="1"/>
      <c r="KJZ100" s="1"/>
      <c r="KKA100" s="1"/>
      <c r="KKB100" s="1"/>
      <c r="KKC100" s="1"/>
      <c r="KKD100" s="1"/>
      <c r="KKE100" s="1"/>
      <c r="KKF100" s="1"/>
      <c r="KKG100" s="1"/>
      <c r="KKH100" s="1"/>
      <c r="KKI100" s="1"/>
      <c r="KKJ100" s="1"/>
      <c r="KKK100" s="1"/>
      <c r="KKL100" s="1"/>
      <c r="KKM100" s="1"/>
      <c r="KKN100" s="1"/>
      <c r="KKO100" s="1"/>
      <c r="KKP100" s="1"/>
      <c r="KKQ100" s="1"/>
      <c r="KKR100" s="1"/>
      <c r="KKS100" s="1"/>
      <c r="KKT100" s="1"/>
      <c r="KKU100" s="1"/>
      <c r="KKV100" s="1"/>
      <c r="KKW100" s="1"/>
      <c r="KKX100" s="1"/>
      <c r="KKY100" s="1"/>
      <c r="KKZ100" s="1"/>
      <c r="KLA100" s="1"/>
      <c r="KLB100" s="1"/>
      <c r="KLC100" s="1"/>
      <c r="KLD100" s="1"/>
      <c r="KLE100" s="1"/>
      <c r="KLF100" s="1"/>
      <c r="KLG100" s="1"/>
      <c r="KLH100" s="1"/>
      <c r="KLI100" s="1"/>
      <c r="KLJ100" s="1"/>
      <c r="KLK100" s="1"/>
      <c r="KLL100" s="1"/>
      <c r="KLM100" s="1"/>
      <c r="KLN100" s="1"/>
      <c r="KLO100" s="1"/>
      <c r="KLP100" s="1"/>
      <c r="KLQ100" s="1"/>
      <c r="KLR100" s="1"/>
      <c r="KLS100" s="1"/>
      <c r="KLT100" s="1"/>
      <c r="KLU100" s="1"/>
      <c r="KLV100" s="1"/>
      <c r="KLW100" s="1"/>
      <c r="KLX100" s="1"/>
      <c r="KLY100" s="1"/>
      <c r="KLZ100" s="1"/>
      <c r="KMA100" s="1"/>
      <c r="KMB100" s="1"/>
      <c r="KMC100" s="1"/>
      <c r="KMD100" s="1"/>
      <c r="KME100" s="1"/>
      <c r="KMF100" s="1"/>
      <c r="KMG100" s="1"/>
      <c r="KMH100" s="1"/>
      <c r="KMI100" s="1"/>
      <c r="KMJ100" s="1"/>
      <c r="KMK100" s="1"/>
      <c r="KML100" s="1"/>
      <c r="KMM100" s="1"/>
      <c r="KMN100" s="1"/>
      <c r="KMO100" s="1"/>
      <c r="KMP100" s="1"/>
      <c r="KMQ100" s="1"/>
      <c r="KMR100" s="1"/>
      <c r="KMS100" s="1"/>
      <c r="KMT100" s="1"/>
      <c r="KMU100" s="1"/>
      <c r="KMV100" s="1"/>
      <c r="KMW100" s="1"/>
      <c r="KMX100" s="1"/>
      <c r="KMY100" s="1"/>
      <c r="KMZ100" s="1"/>
      <c r="KNA100" s="1"/>
      <c r="KNB100" s="1"/>
      <c r="KNC100" s="1"/>
      <c r="KND100" s="1"/>
      <c r="KNE100" s="1"/>
      <c r="KNF100" s="1"/>
      <c r="KNG100" s="1"/>
      <c r="KNH100" s="1"/>
      <c r="KNI100" s="1"/>
      <c r="KNJ100" s="1"/>
      <c r="KNK100" s="1"/>
      <c r="KNL100" s="1"/>
      <c r="KNM100" s="1"/>
      <c r="KNN100" s="1"/>
      <c r="KNO100" s="1"/>
      <c r="KNP100" s="1"/>
      <c r="KNQ100" s="1"/>
      <c r="KNR100" s="1"/>
      <c r="KNS100" s="1"/>
      <c r="KNT100" s="1"/>
      <c r="KNU100" s="1"/>
      <c r="KNV100" s="1"/>
      <c r="KNW100" s="1"/>
      <c r="KNX100" s="1"/>
      <c r="KNY100" s="1"/>
      <c r="KNZ100" s="1"/>
      <c r="KOA100" s="1"/>
      <c r="KOB100" s="1"/>
      <c r="KOC100" s="1"/>
      <c r="KOD100" s="1"/>
      <c r="KOE100" s="1"/>
      <c r="KOF100" s="1"/>
      <c r="KOG100" s="1"/>
      <c r="KOH100" s="1"/>
      <c r="KOI100" s="1"/>
      <c r="KOJ100" s="1"/>
      <c r="KOK100" s="1"/>
      <c r="KOL100" s="1"/>
      <c r="KOM100" s="1"/>
      <c r="KON100" s="1"/>
      <c r="KOO100" s="1"/>
      <c r="KOP100" s="1"/>
      <c r="KOQ100" s="1"/>
      <c r="KOR100" s="1"/>
      <c r="KOS100" s="1"/>
      <c r="KOT100" s="1"/>
      <c r="KOU100" s="1"/>
      <c r="KOV100" s="1"/>
      <c r="KOW100" s="1"/>
      <c r="KOX100" s="1"/>
      <c r="KOY100" s="1"/>
      <c r="KOZ100" s="1"/>
      <c r="KPA100" s="1"/>
      <c r="KPB100" s="1"/>
      <c r="KPC100" s="1"/>
      <c r="KPD100" s="1"/>
      <c r="KPE100" s="1"/>
      <c r="KPF100" s="1"/>
      <c r="KPG100" s="1"/>
      <c r="KPH100" s="1"/>
      <c r="KPI100" s="1"/>
      <c r="KPJ100" s="1"/>
      <c r="KPK100" s="1"/>
      <c r="KPL100" s="1"/>
      <c r="KPM100" s="1"/>
      <c r="KPN100" s="1"/>
      <c r="KPO100" s="1"/>
      <c r="KPP100" s="1"/>
      <c r="KPQ100" s="1"/>
      <c r="KPR100" s="1"/>
      <c r="KPS100" s="1"/>
      <c r="KPT100" s="1"/>
      <c r="KPU100" s="1"/>
      <c r="KPV100" s="1"/>
      <c r="KPW100" s="1"/>
      <c r="KPX100" s="1"/>
      <c r="KPY100" s="1"/>
      <c r="KPZ100" s="1"/>
      <c r="KQA100" s="1"/>
      <c r="KQB100" s="1"/>
      <c r="KQC100" s="1"/>
      <c r="KQD100" s="1"/>
      <c r="KQE100" s="1"/>
      <c r="KQF100" s="1"/>
      <c r="KQG100" s="1"/>
      <c r="KQH100" s="1"/>
      <c r="KQI100" s="1"/>
      <c r="KQJ100" s="1"/>
      <c r="KQK100" s="1"/>
      <c r="KQL100" s="1"/>
      <c r="KQM100" s="1"/>
      <c r="KQN100" s="1"/>
      <c r="KQO100" s="1"/>
      <c r="KQP100" s="1"/>
      <c r="KQQ100" s="1"/>
      <c r="KQR100" s="1"/>
      <c r="KQS100" s="1"/>
      <c r="KQT100" s="1"/>
      <c r="KQU100" s="1"/>
      <c r="KQV100" s="1"/>
      <c r="KQW100" s="1"/>
      <c r="KQX100" s="1"/>
      <c r="KQY100" s="1"/>
      <c r="KQZ100" s="1"/>
      <c r="KRA100" s="1"/>
      <c r="KRB100" s="1"/>
      <c r="KRC100" s="1"/>
      <c r="KRD100" s="1"/>
      <c r="KRE100" s="1"/>
      <c r="KRF100" s="1"/>
      <c r="KRG100" s="1"/>
      <c r="KRH100" s="1"/>
      <c r="KRI100" s="1"/>
      <c r="KRJ100" s="1"/>
      <c r="KRK100" s="1"/>
      <c r="KRL100" s="1"/>
      <c r="KRM100" s="1"/>
      <c r="KRN100" s="1"/>
      <c r="KRO100" s="1"/>
      <c r="KRP100" s="1"/>
      <c r="KRQ100" s="1"/>
      <c r="KRR100" s="1"/>
      <c r="KRS100" s="1"/>
      <c r="KRT100" s="1"/>
      <c r="KRU100" s="1"/>
      <c r="KRV100" s="1"/>
      <c r="KRW100" s="1"/>
      <c r="KRX100" s="1"/>
      <c r="KRY100" s="1"/>
      <c r="KRZ100" s="1"/>
      <c r="KSA100" s="1"/>
      <c r="KSB100" s="1"/>
      <c r="KSC100" s="1"/>
      <c r="KSD100" s="1"/>
      <c r="KSE100" s="1"/>
      <c r="KSF100" s="1"/>
      <c r="KSG100" s="1"/>
      <c r="KSH100" s="1"/>
      <c r="KSI100" s="1"/>
      <c r="KSJ100" s="1"/>
      <c r="KSK100" s="1"/>
      <c r="KSL100" s="1"/>
      <c r="KSM100" s="1"/>
      <c r="KSN100" s="1"/>
      <c r="KSO100" s="1"/>
      <c r="KSP100" s="1"/>
      <c r="KSQ100" s="1"/>
      <c r="KSR100" s="1"/>
      <c r="KSS100" s="1"/>
      <c r="KST100" s="1"/>
      <c r="KSU100" s="1"/>
      <c r="KSV100" s="1"/>
      <c r="KSW100" s="1"/>
      <c r="KSX100" s="1"/>
      <c r="KSY100" s="1"/>
      <c r="KSZ100" s="1"/>
      <c r="KTA100" s="1"/>
      <c r="KTB100" s="1"/>
      <c r="KTC100" s="1"/>
      <c r="KTD100" s="1"/>
      <c r="KTE100" s="1"/>
      <c r="KTF100" s="1"/>
      <c r="KTG100" s="1"/>
      <c r="KTH100" s="1"/>
      <c r="KTI100" s="1"/>
      <c r="KTJ100" s="1"/>
      <c r="KTK100" s="1"/>
      <c r="KTL100" s="1"/>
      <c r="KTM100" s="1"/>
      <c r="KTN100" s="1"/>
      <c r="KTO100" s="1"/>
      <c r="KTP100" s="1"/>
      <c r="KTQ100" s="1"/>
      <c r="KTR100" s="1"/>
      <c r="KTS100" s="1"/>
      <c r="KTT100" s="1"/>
      <c r="KTU100" s="1"/>
      <c r="KTV100" s="1"/>
      <c r="KTW100" s="1"/>
      <c r="KTX100" s="1"/>
      <c r="KTY100" s="1"/>
      <c r="KTZ100" s="1"/>
      <c r="KUA100" s="1"/>
      <c r="KUB100" s="1"/>
      <c r="KUC100" s="1"/>
      <c r="KUD100" s="1"/>
      <c r="KUE100" s="1"/>
      <c r="KUF100" s="1"/>
      <c r="KUG100" s="1"/>
      <c r="KUH100" s="1"/>
      <c r="KUI100" s="1"/>
      <c r="KUJ100" s="1"/>
      <c r="KUK100" s="1"/>
      <c r="KUL100" s="1"/>
      <c r="KUM100" s="1"/>
      <c r="KUN100" s="1"/>
      <c r="KUO100" s="1"/>
      <c r="KUP100" s="1"/>
      <c r="KUQ100" s="1"/>
      <c r="KUR100" s="1"/>
      <c r="KUS100" s="1"/>
      <c r="KUT100" s="1"/>
      <c r="KUU100" s="1"/>
      <c r="KUV100" s="1"/>
      <c r="KUW100" s="1"/>
      <c r="KUX100" s="1"/>
      <c r="KUY100" s="1"/>
      <c r="KUZ100" s="1"/>
      <c r="KVA100" s="1"/>
      <c r="KVB100" s="1"/>
      <c r="KVC100" s="1"/>
      <c r="KVD100" s="1"/>
      <c r="KVE100" s="1"/>
      <c r="KVF100" s="1"/>
      <c r="KVG100" s="1"/>
      <c r="KVH100" s="1"/>
      <c r="KVI100" s="1"/>
      <c r="KVJ100" s="1"/>
      <c r="KVK100" s="1"/>
      <c r="KVL100" s="1"/>
      <c r="KVM100" s="1"/>
      <c r="KVN100" s="1"/>
      <c r="KVO100" s="1"/>
      <c r="KVP100" s="1"/>
      <c r="KVQ100" s="1"/>
      <c r="KVR100" s="1"/>
      <c r="KVS100" s="1"/>
      <c r="KVT100" s="1"/>
      <c r="KVU100" s="1"/>
      <c r="KVV100" s="1"/>
      <c r="KVW100" s="1"/>
      <c r="KVX100" s="1"/>
      <c r="KVY100" s="1"/>
      <c r="KVZ100" s="1"/>
      <c r="KWA100" s="1"/>
      <c r="KWB100" s="1"/>
      <c r="KWC100" s="1"/>
      <c r="KWD100" s="1"/>
      <c r="KWE100" s="1"/>
      <c r="KWF100" s="1"/>
      <c r="KWG100" s="1"/>
      <c r="KWH100" s="1"/>
      <c r="KWI100" s="1"/>
      <c r="KWJ100" s="1"/>
      <c r="KWK100" s="1"/>
      <c r="KWL100" s="1"/>
      <c r="KWM100" s="1"/>
      <c r="KWN100" s="1"/>
      <c r="KWO100" s="1"/>
      <c r="KWP100" s="1"/>
      <c r="KWQ100" s="1"/>
      <c r="KWR100" s="1"/>
      <c r="KWS100" s="1"/>
      <c r="KWT100" s="1"/>
      <c r="KWU100" s="1"/>
      <c r="KWV100" s="1"/>
      <c r="KWW100" s="1"/>
      <c r="KWX100" s="1"/>
      <c r="KWY100" s="1"/>
      <c r="KWZ100" s="1"/>
      <c r="KXA100" s="1"/>
      <c r="KXB100" s="1"/>
      <c r="KXC100" s="1"/>
      <c r="KXD100" s="1"/>
      <c r="KXE100" s="1"/>
      <c r="KXF100" s="1"/>
      <c r="KXG100" s="1"/>
      <c r="KXH100" s="1"/>
      <c r="KXI100" s="1"/>
      <c r="KXJ100" s="1"/>
      <c r="KXK100" s="1"/>
      <c r="KXL100" s="1"/>
      <c r="KXM100" s="1"/>
      <c r="KXN100" s="1"/>
      <c r="KXO100" s="1"/>
      <c r="KXP100" s="1"/>
      <c r="KXQ100" s="1"/>
      <c r="KXR100" s="1"/>
      <c r="KXS100" s="1"/>
      <c r="KXT100" s="1"/>
      <c r="KXU100" s="1"/>
      <c r="KXV100" s="1"/>
      <c r="KXW100" s="1"/>
      <c r="KXX100" s="1"/>
      <c r="KXY100" s="1"/>
      <c r="KXZ100" s="1"/>
      <c r="KYA100" s="1"/>
      <c r="KYB100" s="1"/>
      <c r="KYC100" s="1"/>
      <c r="KYD100" s="1"/>
      <c r="KYE100" s="1"/>
      <c r="KYF100" s="1"/>
      <c r="KYG100" s="1"/>
      <c r="KYH100" s="1"/>
      <c r="KYI100" s="1"/>
      <c r="KYJ100" s="1"/>
      <c r="KYK100" s="1"/>
      <c r="KYL100" s="1"/>
      <c r="KYM100" s="1"/>
      <c r="KYN100" s="1"/>
      <c r="KYO100" s="1"/>
      <c r="KYP100" s="1"/>
      <c r="KYQ100" s="1"/>
      <c r="KYR100" s="1"/>
      <c r="KYS100" s="1"/>
      <c r="KYT100" s="1"/>
      <c r="KYU100" s="1"/>
      <c r="KYV100" s="1"/>
      <c r="KYW100" s="1"/>
      <c r="KYX100" s="1"/>
      <c r="KYY100" s="1"/>
      <c r="KYZ100" s="1"/>
      <c r="KZA100" s="1"/>
      <c r="KZB100" s="1"/>
      <c r="KZC100" s="1"/>
      <c r="KZD100" s="1"/>
      <c r="KZE100" s="1"/>
      <c r="KZF100" s="1"/>
      <c r="KZG100" s="1"/>
      <c r="KZH100" s="1"/>
      <c r="KZI100" s="1"/>
      <c r="KZJ100" s="1"/>
      <c r="KZK100" s="1"/>
      <c r="KZL100" s="1"/>
      <c r="KZM100" s="1"/>
      <c r="KZN100" s="1"/>
      <c r="KZO100" s="1"/>
      <c r="KZP100" s="1"/>
      <c r="KZQ100" s="1"/>
      <c r="KZR100" s="1"/>
      <c r="KZS100" s="1"/>
      <c r="KZT100" s="1"/>
      <c r="KZU100" s="1"/>
      <c r="KZV100" s="1"/>
      <c r="KZW100" s="1"/>
      <c r="KZX100" s="1"/>
      <c r="KZY100" s="1"/>
      <c r="KZZ100" s="1"/>
      <c r="LAA100" s="1"/>
      <c r="LAB100" s="1"/>
      <c r="LAC100" s="1"/>
      <c r="LAD100" s="1"/>
      <c r="LAE100" s="1"/>
      <c r="LAF100" s="1"/>
      <c r="LAG100" s="1"/>
      <c r="LAH100" s="1"/>
      <c r="LAI100" s="1"/>
      <c r="LAJ100" s="1"/>
      <c r="LAK100" s="1"/>
      <c r="LAL100" s="1"/>
      <c r="LAM100" s="1"/>
      <c r="LAN100" s="1"/>
      <c r="LAO100" s="1"/>
      <c r="LAP100" s="1"/>
      <c r="LAQ100" s="1"/>
      <c r="LAR100" s="1"/>
      <c r="LAS100" s="1"/>
      <c r="LAT100" s="1"/>
      <c r="LAU100" s="1"/>
      <c r="LAV100" s="1"/>
      <c r="LAW100" s="1"/>
      <c r="LAX100" s="1"/>
      <c r="LAY100" s="1"/>
      <c r="LAZ100" s="1"/>
      <c r="LBA100" s="1"/>
      <c r="LBB100" s="1"/>
      <c r="LBC100" s="1"/>
      <c r="LBD100" s="1"/>
      <c r="LBE100" s="1"/>
      <c r="LBF100" s="1"/>
      <c r="LBG100" s="1"/>
      <c r="LBH100" s="1"/>
      <c r="LBI100" s="1"/>
      <c r="LBJ100" s="1"/>
      <c r="LBK100" s="1"/>
      <c r="LBL100" s="1"/>
      <c r="LBM100" s="1"/>
      <c r="LBN100" s="1"/>
      <c r="LBO100" s="1"/>
      <c r="LBP100" s="1"/>
      <c r="LBQ100" s="1"/>
      <c r="LBR100" s="1"/>
      <c r="LBS100" s="1"/>
      <c r="LBT100" s="1"/>
      <c r="LBU100" s="1"/>
      <c r="LBV100" s="1"/>
      <c r="LBW100" s="1"/>
      <c r="LBX100" s="1"/>
      <c r="LBY100" s="1"/>
      <c r="LBZ100" s="1"/>
      <c r="LCA100" s="1"/>
      <c r="LCB100" s="1"/>
      <c r="LCC100" s="1"/>
      <c r="LCD100" s="1"/>
      <c r="LCE100" s="1"/>
      <c r="LCF100" s="1"/>
      <c r="LCG100" s="1"/>
      <c r="LCH100" s="1"/>
      <c r="LCI100" s="1"/>
      <c r="LCJ100" s="1"/>
      <c r="LCK100" s="1"/>
      <c r="LCL100" s="1"/>
      <c r="LCM100" s="1"/>
      <c r="LCN100" s="1"/>
      <c r="LCO100" s="1"/>
      <c r="LCP100" s="1"/>
      <c r="LCQ100" s="1"/>
      <c r="LCR100" s="1"/>
      <c r="LCS100" s="1"/>
      <c r="LCT100" s="1"/>
      <c r="LCU100" s="1"/>
      <c r="LCV100" s="1"/>
      <c r="LCW100" s="1"/>
      <c r="LCX100" s="1"/>
      <c r="LCY100" s="1"/>
      <c r="LCZ100" s="1"/>
      <c r="LDA100" s="1"/>
      <c r="LDB100" s="1"/>
      <c r="LDC100" s="1"/>
      <c r="LDD100" s="1"/>
      <c r="LDE100" s="1"/>
      <c r="LDF100" s="1"/>
      <c r="LDG100" s="1"/>
      <c r="LDH100" s="1"/>
      <c r="LDI100" s="1"/>
      <c r="LDJ100" s="1"/>
      <c r="LDK100" s="1"/>
      <c r="LDL100" s="1"/>
      <c r="LDM100" s="1"/>
      <c r="LDN100" s="1"/>
      <c r="LDO100" s="1"/>
      <c r="LDP100" s="1"/>
      <c r="LDQ100" s="1"/>
      <c r="LDR100" s="1"/>
      <c r="LDS100" s="1"/>
      <c r="LDT100" s="1"/>
      <c r="LDU100" s="1"/>
      <c r="LDV100" s="1"/>
      <c r="LDW100" s="1"/>
      <c r="LDX100" s="1"/>
      <c r="LDY100" s="1"/>
      <c r="LDZ100" s="1"/>
      <c r="LEA100" s="1"/>
      <c r="LEB100" s="1"/>
      <c r="LEC100" s="1"/>
      <c r="LED100" s="1"/>
      <c r="LEE100" s="1"/>
      <c r="LEF100" s="1"/>
      <c r="LEG100" s="1"/>
      <c r="LEH100" s="1"/>
      <c r="LEI100" s="1"/>
      <c r="LEJ100" s="1"/>
      <c r="LEK100" s="1"/>
      <c r="LEL100" s="1"/>
      <c r="LEM100" s="1"/>
      <c r="LEN100" s="1"/>
      <c r="LEO100" s="1"/>
      <c r="LEP100" s="1"/>
      <c r="LEQ100" s="1"/>
      <c r="LER100" s="1"/>
      <c r="LES100" s="1"/>
      <c r="LET100" s="1"/>
      <c r="LEU100" s="1"/>
      <c r="LEV100" s="1"/>
      <c r="LEW100" s="1"/>
      <c r="LEX100" s="1"/>
      <c r="LEY100" s="1"/>
      <c r="LEZ100" s="1"/>
      <c r="LFA100" s="1"/>
      <c r="LFB100" s="1"/>
      <c r="LFC100" s="1"/>
      <c r="LFD100" s="1"/>
      <c r="LFE100" s="1"/>
      <c r="LFF100" s="1"/>
      <c r="LFG100" s="1"/>
      <c r="LFH100" s="1"/>
      <c r="LFI100" s="1"/>
      <c r="LFJ100" s="1"/>
      <c r="LFK100" s="1"/>
      <c r="LFL100" s="1"/>
      <c r="LFM100" s="1"/>
      <c r="LFN100" s="1"/>
      <c r="LFO100" s="1"/>
      <c r="LFP100" s="1"/>
      <c r="LFQ100" s="1"/>
      <c r="LFR100" s="1"/>
      <c r="LFS100" s="1"/>
      <c r="LFT100" s="1"/>
      <c r="LFU100" s="1"/>
      <c r="LFV100" s="1"/>
      <c r="LFW100" s="1"/>
      <c r="LFX100" s="1"/>
      <c r="LFY100" s="1"/>
      <c r="LFZ100" s="1"/>
      <c r="LGA100" s="1"/>
      <c r="LGB100" s="1"/>
      <c r="LGC100" s="1"/>
      <c r="LGD100" s="1"/>
      <c r="LGE100" s="1"/>
      <c r="LGF100" s="1"/>
      <c r="LGG100" s="1"/>
      <c r="LGH100" s="1"/>
      <c r="LGI100" s="1"/>
      <c r="LGJ100" s="1"/>
      <c r="LGK100" s="1"/>
      <c r="LGL100" s="1"/>
      <c r="LGM100" s="1"/>
      <c r="LGN100" s="1"/>
      <c r="LGO100" s="1"/>
      <c r="LGP100" s="1"/>
      <c r="LGQ100" s="1"/>
      <c r="LGR100" s="1"/>
      <c r="LGS100" s="1"/>
      <c r="LGT100" s="1"/>
      <c r="LGU100" s="1"/>
      <c r="LGV100" s="1"/>
      <c r="LGW100" s="1"/>
      <c r="LGX100" s="1"/>
      <c r="LGY100" s="1"/>
      <c r="LGZ100" s="1"/>
      <c r="LHA100" s="1"/>
      <c r="LHB100" s="1"/>
      <c r="LHC100" s="1"/>
      <c r="LHD100" s="1"/>
      <c r="LHE100" s="1"/>
      <c r="LHF100" s="1"/>
      <c r="LHG100" s="1"/>
      <c r="LHH100" s="1"/>
      <c r="LHI100" s="1"/>
      <c r="LHJ100" s="1"/>
      <c r="LHK100" s="1"/>
      <c r="LHL100" s="1"/>
      <c r="LHM100" s="1"/>
      <c r="LHN100" s="1"/>
      <c r="LHO100" s="1"/>
      <c r="LHP100" s="1"/>
      <c r="LHQ100" s="1"/>
      <c r="LHR100" s="1"/>
      <c r="LHS100" s="1"/>
      <c r="LHT100" s="1"/>
      <c r="LHU100" s="1"/>
      <c r="LHV100" s="1"/>
      <c r="LHW100" s="1"/>
      <c r="LHX100" s="1"/>
      <c r="LHY100" s="1"/>
      <c r="LHZ100" s="1"/>
      <c r="LIA100" s="1"/>
      <c r="LIB100" s="1"/>
      <c r="LIC100" s="1"/>
      <c r="LID100" s="1"/>
      <c r="LIE100" s="1"/>
      <c r="LIF100" s="1"/>
      <c r="LIG100" s="1"/>
      <c r="LIH100" s="1"/>
      <c r="LII100" s="1"/>
      <c r="LIJ100" s="1"/>
      <c r="LIK100" s="1"/>
      <c r="LIL100" s="1"/>
      <c r="LIM100" s="1"/>
      <c r="LIN100" s="1"/>
      <c r="LIO100" s="1"/>
      <c r="LIP100" s="1"/>
      <c r="LIQ100" s="1"/>
      <c r="LIR100" s="1"/>
      <c r="LIS100" s="1"/>
      <c r="LIT100" s="1"/>
      <c r="LIU100" s="1"/>
      <c r="LIV100" s="1"/>
      <c r="LIW100" s="1"/>
      <c r="LIX100" s="1"/>
      <c r="LIY100" s="1"/>
      <c r="LIZ100" s="1"/>
      <c r="LJA100" s="1"/>
      <c r="LJB100" s="1"/>
      <c r="LJC100" s="1"/>
      <c r="LJD100" s="1"/>
      <c r="LJE100" s="1"/>
      <c r="LJF100" s="1"/>
      <c r="LJG100" s="1"/>
      <c r="LJH100" s="1"/>
      <c r="LJI100" s="1"/>
      <c r="LJJ100" s="1"/>
      <c r="LJK100" s="1"/>
      <c r="LJL100" s="1"/>
      <c r="LJM100" s="1"/>
      <c r="LJN100" s="1"/>
      <c r="LJO100" s="1"/>
      <c r="LJP100" s="1"/>
      <c r="LJQ100" s="1"/>
      <c r="LJR100" s="1"/>
      <c r="LJS100" s="1"/>
      <c r="LJT100" s="1"/>
      <c r="LJU100" s="1"/>
      <c r="LJV100" s="1"/>
      <c r="LJW100" s="1"/>
      <c r="LJX100" s="1"/>
      <c r="LJY100" s="1"/>
      <c r="LJZ100" s="1"/>
      <c r="LKA100" s="1"/>
      <c r="LKB100" s="1"/>
      <c r="LKC100" s="1"/>
      <c r="LKD100" s="1"/>
      <c r="LKE100" s="1"/>
      <c r="LKF100" s="1"/>
      <c r="LKG100" s="1"/>
      <c r="LKH100" s="1"/>
      <c r="LKI100" s="1"/>
      <c r="LKJ100" s="1"/>
      <c r="LKK100" s="1"/>
      <c r="LKL100" s="1"/>
      <c r="LKM100" s="1"/>
      <c r="LKN100" s="1"/>
      <c r="LKO100" s="1"/>
      <c r="LKP100" s="1"/>
      <c r="LKQ100" s="1"/>
      <c r="LKR100" s="1"/>
      <c r="LKS100" s="1"/>
      <c r="LKT100" s="1"/>
      <c r="LKU100" s="1"/>
      <c r="LKV100" s="1"/>
      <c r="LKW100" s="1"/>
      <c r="LKX100" s="1"/>
      <c r="LKY100" s="1"/>
      <c r="LKZ100" s="1"/>
      <c r="LLA100" s="1"/>
      <c r="LLB100" s="1"/>
      <c r="LLC100" s="1"/>
      <c r="LLD100" s="1"/>
      <c r="LLE100" s="1"/>
      <c r="LLF100" s="1"/>
      <c r="LLG100" s="1"/>
      <c r="LLH100" s="1"/>
      <c r="LLI100" s="1"/>
      <c r="LLJ100" s="1"/>
      <c r="LLK100" s="1"/>
      <c r="LLL100" s="1"/>
      <c r="LLM100" s="1"/>
      <c r="LLN100" s="1"/>
      <c r="LLO100" s="1"/>
      <c r="LLP100" s="1"/>
      <c r="LLQ100" s="1"/>
      <c r="LLR100" s="1"/>
      <c r="LLS100" s="1"/>
      <c r="LLT100" s="1"/>
      <c r="LLU100" s="1"/>
      <c r="LLV100" s="1"/>
      <c r="LLW100" s="1"/>
      <c r="LLX100" s="1"/>
      <c r="LLY100" s="1"/>
      <c r="LLZ100" s="1"/>
      <c r="LMA100" s="1"/>
      <c r="LMB100" s="1"/>
      <c r="LMC100" s="1"/>
      <c r="LMD100" s="1"/>
      <c r="LME100" s="1"/>
      <c r="LMF100" s="1"/>
      <c r="LMG100" s="1"/>
      <c r="LMH100" s="1"/>
      <c r="LMI100" s="1"/>
      <c r="LMJ100" s="1"/>
      <c r="LMK100" s="1"/>
      <c r="LML100" s="1"/>
      <c r="LMM100" s="1"/>
      <c r="LMN100" s="1"/>
      <c r="LMO100" s="1"/>
      <c r="LMP100" s="1"/>
      <c r="LMQ100" s="1"/>
      <c r="LMR100" s="1"/>
      <c r="LMS100" s="1"/>
      <c r="LMT100" s="1"/>
      <c r="LMU100" s="1"/>
      <c r="LMV100" s="1"/>
      <c r="LMW100" s="1"/>
      <c r="LMX100" s="1"/>
      <c r="LMY100" s="1"/>
      <c r="LMZ100" s="1"/>
      <c r="LNA100" s="1"/>
      <c r="LNB100" s="1"/>
      <c r="LNC100" s="1"/>
      <c r="LND100" s="1"/>
      <c r="LNE100" s="1"/>
      <c r="LNF100" s="1"/>
      <c r="LNG100" s="1"/>
      <c r="LNH100" s="1"/>
      <c r="LNI100" s="1"/>
      <c r="LNJ100" s="1"/>
      <c r="LNK100" s="1"/>
      <c r="LNL100" s="1"/>
      <c r="LNM100" s="1"/>
      <c r="LNN100" s="1"/>
      <c r="LNO100" s="1"/>
      <c r="LNP100" s="1"/>
      <c r="LNQ100" s="1"/>
      <c r="LNR100" s="1"/>
      <c r="LNS100" s="1"/>
      <c r="LNT100" s="1"/>
      <c r="LNU100" s="1"/>
      <c r="LNV100" s="1"/>
      <c r="LNW100" s="1"/>
      <c r="LNX100" s="1"/>
      <c r="LNY100" s="1"/>
      <c r="LNZ100" s="1"/>
      <c r="LOA100" s="1"/>
      <c r="LOB100" s="1"/>
      <c r="LOC100" s="1"/>
      <c r="LOD100" s="1"/>
      <c r="LOE100" s="1"/>
      <c r="LOF100" s="1"/>
      <c r="LOG100" s="1"/>
      <c r="LOH100" s="1"/>
      <c r="LOI100" s="1"/>
      <c r="LOJ100" s="1"/>
      <c r="LOK100" s="1"/>
      <c r="LOL100" s="1"/>
      <c r="LOM100" s="1"/>
      <c r="LON100" s="1"/>
      <c r="LOO100" s="1"/>
      <c r="LOP100" s="1"/>
      <c r="LOQ100" s="1"/>
      <c r="LOR100" s="1"/>
      <c r="LOS100" s="1"/>
      <c r="LOT100" s="1"/>
      <c r="LOU100" s="1"/>
      <c r="LOV100" s="1"/>
      <c r="LOW100" s="1"/>
      <c r="LOX100" s="1"/>
      <c r="LOY100" s="1"/>
      <c r="LOZ100" s="1"/>
      <c r="LPA100" s="1"/>
      <c r="LPB100" s="1"/>
      <c r="LPC100" s="1"/>
      <c r="LPD100" s="1"/>
      <c r="LPE100" s="1"/>
      <c r="LPF100" s="1"/>
      <c r="LPG100" s="1"/>
      <c r="LPH100" s="1"/>
      <c r="LPI100" s="1"/>
      <c r="LPJ100" s="1"/>
      <c r="LPK100" s="1"/>
      <c r="LPL100" s="1"/>
      <c r="LPM100" s="1"/>
      <c r="LPN100" s="1"/>
      <c r="LPO100" s="1"/>
      <c r="LPP100" s="1"/>
      <c r="LPQ100" s="1"/>
      <c r="LPR100" s="1"/>
      <c r="LPS100" s="1"/>
      <c r="LPT100" s="1"/>
      <c r="LPU100" s="1"/>
      <c r="LPV100" s="1"/>
      <c r="LPW100" s="1"/>
      <c r="LPX100" s="1"/>
      <c r="LPY100" s="1"/>
      <c r="LPZ100" s="1"/>
      <c r="LQA100" s="1"/>
      <c r="LQB100" s="1"/>
      <c r="LQC100" s="1"/>
      <c r="LQD100" s="1"/>
      <c r="LQE100" s="1"/>
      <c r="LQF100" s="1"/>
      <c r="LQG100" s="1"/>
      <c r="LQH100" s="1"/>
      <c r="LQI100" s="1"/>
      <c r="LQJ100" s="1"/>
      <c r="LQK100" s="1"/>
      <c r="LQL100" s="1"/>
      <c r="LQM100" s="1"/>
      <c r="LQN100" s="1"/>
      <c r="LQO100" s="1"/>
      <c r="LQP100" s="1"/>
      <c r="LQQ100" s="1"/>
      <c r="LQR100" s="1"/>
      <c r="LQS100" s="1"/>
      <c r="LQT100" s="1"/>
      <c r="LQU100" s="1"/>
      <c r="LQV100" s="1"/>
      <c r="LQW100" s="1"/>
      <c r="LQX100" s="1"/>
      <c r="LQY100" s="1"/>
      <c r="LQZ100" s="1"/>
      <c r="LRA100" s="1"/>
      <c r="LRB100" s="1"/>
      <c r="LRC100" s="1"/>
      <c r="LRD100" s="1"/>
      <c r="LRE100" s="1"/>
      <c r="LRF100" s="1"/>
      <c r="LRG100" s="1"/>
      <c r="LRH100" s="1"/>
      <c r="LRI100" s="1"/>
      <c r="LRJ100" s="1"/>
      <c r="LRK100" s="1"/>
      <c r="LRL100" s="1"/>
      <c r="LRM100" s="1"/>
      <c r="LRN100" s="1"/>
      <c r="LRO100" s="1"/>
      <c r="LRP100" s="1"/>
      <c r="LRQ100" s="1"/>
      <c r="LRR100" s="1"/>
      <c r="LRS100" s="1"/>
      <c r="LRT100" s="1"/>
      <c r="LRU100" s="1"/>
      <c r="LRV100" s="1"/>
      <c r="LRW100" s="1"/>
      <c r="LRX100" s="1"/>
      <c r="LRY100" s="1"/>
      <c r="LRZ100" s="1"/>
      <c r="LSA100" s="1"/>
      <c r="LSB100" s="1"/>
      <c r="LSC100" s="1"/>
      <c r="LSD100" s="1"/>
      <c r="LSE100" s="1"/>
      <c r="LSF100" s="1"/>
      <c r="LSG100" s="1"/>
      <c r="LSH100" s="1"/>
      <c r="LSI100" s="1"/>
      <c r="LSJ100" s="1"/>
      <c r="LSK100" s="1"/>
      <c r="LSL100" s="1"/>
      <c r="LSM100" s="1"/>
      <c r="LSN100" s="1"/>
      <c r="LSO100" s="1"/>
      <c r="LSP100" s="1"/>
      <c r="LSQ100" s="1"/>
      <c r="LSR100" s="1"/>
      <c r="LSS100" s="1"/>
      <c r="LST100" s="1"/>
      <c r="LSU100" s="1"/>
      <c r="LSV100" s="1"/>
      <c r="LSW100" s="1"/>
      <c r="LSX100" s="1"/>
      <c r="LSY100" s="1"/>
      <c r="LSZ100" s="1"/>
      <c r="LTA100" s="1"/>
      <c r="LTB100" s="1"/>
      <c r="LTC100" s="1"/>
      <c r="LTD100" s="1"/>
      <c r="LTE100" s="1"/>
      <c r="LTF100" s="1"/>
      <c r="LTG100" s="1"/>
      <c r="LTH100" s="1"/>
      <c r="LTI100" s="1"/>
      <c r="LTJ100" s="1"/>
      <c r="LTK100" s="1"/>
      <c r="LTL100" s="1"/>
      <c r="LTM100" s="1"/>
      <c r="LTN100" s="1"/>
      <c r="LTO100" s="1"/>
      <c r="LTP100" s="1"/>
      <c r="LTQ100" s="1"/>
      <c r="LTR100" s="1"/>
      <c r="LTS100" s="1"/>
      <c r="LTT100" s="1"/>
      <c r="LTU100" s="1"/>
      <c r="LTV100" s="1"/>
      <c r="LTW100" s="1"/>
      <c r="LTX100" s="1"/>
      <c r="LTY100" s="1"/>
      <c r="LTZ100" s="1"/>
      <c r="LUA100" s="1"/>
      <c r="LUB100" s="1"/>
      <c r="LUC100" s="1"/>
      <c r="LUD100" s="1"/>
      <c r="LUE100" s="1"/>
      <c r="LUF100" s="1"/>
      <c r="LUG100" s="1"/>
      <c r="LUH100" s="1"/>
      <c r="LUI100" s="1"/>
      <c r="LUJ100" s="1"/>
      <c r="LUK100" s="1"/>
      <c r="LUL100" s="1"/>
      <c r="LUM100" s="1"/>
      <c r="LUN100" s="1"/>
      <c r="LUO100" s="1"/>
      <c r="LUP100" s="1"/>
      <c r="LUQ100" s="1"/>
      <c r="LUR100" s="1"/>
      <c r="LUS100" s="1"/>
      <c r="LUT100" s="1"/>
      <c r="LUU100" s="1"/>
      <c r="LUV100" s="1"/>
      <c r="LUW100" s="1"/>
      <c r="LUX100" s="1"/>
      <c r="LUY100" s="1"/>
      <c r="LUZ100" s="1"/>
      <c r="LVA100" s="1"/>
      <c r="LVB100" s="1"/>
      <c r="LVC100" s="1"/>
      <c r="LVD100" s="1"/>
      <c r="LVE100" s="1"/>
      <c r="LVF100" s="1"/>
      <c r="LVG100" s="1"/>
      <c r="LVH100" s="1"/>
      <c r="LVI100" s="1"/>
      <c r="LVJ100" s="1"/>
      <c r="LVK100" s="1"/>
      <c r="LVL100" s="1"/>
      <c r="LVM100" s="1"/>
      <c r="LVN100" s="1"/>
      <c r="LVO100" s="1"/>
      <c r="LVP100" s="1"/>
      <c r="LVQ100" s="1"/>
      <c r="LVR100" s="1"/>
      <c r="LVS100" s="1"/>
      <c r="LVT100" s="1"/>
      <c r="LVU100" s="1"/>
      <c r="LVV100" s="1"/>
      <c r="LVW100" s="1"/>
      <c r="LVX100" s="1"/>
      <c r="LVY100" s="1"/>
      <c r="LVZ100" s="1"/>
      <c r="LWA100" s="1"/>
      <c r="LWB100" s="1"/>
      <c r="LWC100" s="1"/>
      <c r="LWD100" s="1"/>
      <c r="LWE100" s="1"/>
      <c r="LWF100" s="1"/>
      <c r="LWG100" s="1"/>
      <c r="LWH100" s="1"/>
      <c r="LWI100" s="1"/>
      <c r="LWJ100" s="1"/>
      <c r="LWK100" s="1"/>
      <c r="LWL100" s="1"/>
      <c r="LWM100" s="1"/>
      <c r="LWN100" s="1"/>
      <c r="LWO100" s="1"/>
      <c r="LWP100" s="1"/>
      <c r="LWQ100" s="1"/>
      <c r="LWR100" s="1"/>
      <c r="LWS100" s="1"/>
      <c r="LWT100" s="1"/>
      <c r="LWU100" s="1"/>
      <c r="LWV100" s="1"/>
      <c r="LWW100" s="1"/>
      <c r="LWX100" s="1"/>
      <c r="LWY100" s="1"/>
      <c r="LWZ100" s="1"/>
      <c r="LXA100" s="1"/>
      <c r="LXB100" s="1"/>
      <c r="LXC100" s="1"/>
      <c r="LXD100" s="1"/>
      <c r="LXE100" s="1"/>
      <c r="LXF100" s="1"/>
      <c r="LXG100" s="1"/>
      <c r="LXH100" s="1"/>
      <c r="LXI100" s="1"/>
      <c r="LXJ100" s="1"/>
      <c r="LXK100" s="1"/>
      <c r="LXL100" s="1"/>
      <c r="LXM100" s="1"/>
      <c r="LXN100" s="1"/>
      <c r="LXO100" s="1"/>
      <c r="LXP100" s="1"/>
      <c r="LXQ100" s="1"/>
      <c r="LXR100" s="1"/>
      <c r="LXS100" s="1"/>
      <c r="LXT100" s="1"/>
      <c r="LXU100" s="1"/>
      <c r="LXV100" s="1"/>
      <c r="LXW100" s="1"/>
      <c r="LXX100" s="1"/>
      <c r="LXY100" s="1"/>
      <c r="LXZ100" s="1"/>
      <c r="LYA100" s="1"/>
      <c r="LYB100" s="1"/>
      <c r="LYC100" s="1"/>
      <c r="LYD100" s="1"/>
      <c r="LYE100" s="1"/>
      <c r="LYF100" s="1"/>
      <c r="LYG100" s="1"/>
      <c r="LYH100" s="1"/>
      <c r="LYI100" s="1"/>
      <c r="LYJ100" s="1"/>
      <c r="LYK100" s="1"/>
      <c r="LYL100" s="1"/>
      <c r="LYM100" s="1"/>
      <c r="LYN100" s="1"/>
      <c r="LYO100" s="1"/>
      <c r="LYP100" s="1"/>
      <c r="LYQ100" s="1"/>
      <c r="LYR100" s="1"/>
      <c r="LYS100" s="1"/>
      <c r="LYT100" s="1"/>
      <c r="LYU100" s="1"/>
      <c r="LYV100" s="1"/>
      <c r="LYW100" s="1"/>
      <c r="LYX100" s="1"/>
      <c r="LYY100" s="1"/>
      <c r="LYZ100" s="1"/>
      <c r="LZA100" s="1"/>
      <c r="LZB100" s="1"/>
      <c r="LZC100" s="1"/>
      <c r="LZD100" s="1"/>
      <c r="LZE100" s="1"/>
      <c r="LZF100" s="1"/>
      <c r="LZG100" s="1"/>
      <c r="LZH100" s="1"/>
      <c r="LZI100" s="1"/>
      <c r="LZJ100" s="1"/>
      <c r="LZK100" s="1"/>
      <c r="LZL100" s="1"/>
      <c r="LZM100" s="1"/>
      <c r="LZN100" s="1"/>
      <c r="LZO100" s="1"/>
      <c r="LZP100" s="1"/>
      <c r="LZQ100" s="1"/>
      <c r="LZR100" s="1"/>
      <c r="LZS100" s="1"/>
      <c r="LZT100" s="1"/>
      <c r="LZU100" s="1"/>
      <c r="LZV100" s="1"/>
      <c r="LZW100" s="1"/>
      <c r="LZX100" s="1"/>
      <c r="LZY100" s="1"/>
      <c r="LZZ100" s="1"/>
      <c r="MAA100" s="1"/>
      <c r="MAB100" s="1"/>
      <c r="MAC100" s="1"/>
      <c r="MAD100" s="1"/>
      <c r="MAE100" s="1"/>
      <c r="MAF100" s="1"/>
      <c r="MAG100" s="1"/>
      <c r="MAH100" s="1"/>
      <c r="MAI100" s="1"/>
      <c r="MAJ100" s="1"/>
      <c r="MAK100" s="1"/>
      <c r="MAL100" s="1"/>
      <c r="MAM100" s="1"/>
      <c r="MAN100" s="1"/>
      <c r="MAO100" s="1"/>
      <c r="MAP100" s="1"/>
      <c r="MAQ100" s="1"/>
      <c r="MAR100" s="1"/>
      <c r="MAS100" s="1"/>
      <c r="MAT100" s="1"/>
      <c r="MAU100" s="1"/>
      <c r="MAV100" s="1"/>
      <c r="MAW100" s="1"/>
      <c r="MAX100" s="1"/>
      <c r="MAY100" s="1"/>
      <c r="MAZ100" s="1"/>
      <c r="MBA100" s="1"/>
      <c r="MBB100" s="1"/>
      <c r="MBC100" s="1"/>
      <c r="MBD100" s="1"/>
      <c r="MBE100" s="1"/>
      <c r="MBF100" s="1"/>
      <c r="MBG100" s="1"/>
      <c r="MBH100" s="1"/>
      <c r="MBI100" s="1"/>
      <c r="MBJ100" s="1"/>
      <c r="MBK100" s="1"/>
      <c r="MBL100" s="1"/>
      <c r="MBM100" s="1"/>
      <c r="MBN100" s="1"/>
      <c r="MBO100" s="1"/>
      <c r="MBP100" s="1"/>
      <c r="MBQ100" s="1"/>
      <c r="MBR100" s="1"/>
      <c r="MBS100" s="1"/>
      <c r="MBT100" s="1"/>
      <c r="MBU100" s="1"/>
      <c r="MBV100" s="1"/>
      <c r="MBW100" s="1"/>
      <c r="MBX100" s="1"/>
      <c r="MBY100" s="1"/>
      <c r="MBZ100" s="1"/>
      <c r="MCA100" s="1"/>
      <c r="MCB100" s="1"/>
      <c r="MCC100" s="1"/>
      <c r="MCD100" s="1"/>
      <c r="MCE100" s="1"/>
      <c r="MCF100" s="1"/>
      <c r="MCG100" s="1"/>
      <c r="MCH100" s="1"/>
      <c r="MCI100" s="1"/>
      <c r="MCJ100" s="1"/>
      <c r="MCK100" s="1"/>
      <c r="MCL100" s="1"/>
      <c r="MCM100" s="1"/>
      <c r="MCN100" s="1"/>
      <c r="MCO100" s="1"/>
      <c r="MCP100" s="1"/>
      <c r="MCQ100" s="1"/>
      <c r="MCR100" s="1"/>
      <c r="MCS100" s="1"/>
      <c r="MCT100" s="1"/>
      <c r="MCU100" s="1"/>
      <c r="MCV100" s="1"/>
      <c r="MCW100" s="1"/>
      <c r="MCX100" s="1"/>
      <c r="MCY100" s="1"/>
      <c r="MCZ100" s="1"/>
      <c r="MDA100" s="1"/>
      <c r="MDB100" s="1"/>
      <c r="MDC100" s="1"/>
      <c r="MDD100" s="1"/>
      <c r="MDE100" s="1"/>
      <c r="MDF100" s="1"/>
      <c r="MDG100" s="1"/>
      <c r="MDH100" s="1"/>
      <c r="MDI100" s="1"/>
      <c r="MDJ100" s="1"/>
      <c r="MDK100" s="1"/>
      <c r="MDL100" s="1"/>
      <c r="MDM100" s="1"/>
      <c r="MDN100" s="1"/>
      <c r="MDO100" s="1"/>
      <c r="MDP100" s="1"/>
      <c r="MDQ100" s="1"/>
      <c r="MDR100" s="1"/>
      <c r="MDS100" s="1"/>
      <c r="MDT100" s="1"/>
      <c r="MDU100" s="1"/>
      <c r="MDV100" s="1"/>
      <c r="MDW100" s="1"/>
      <c r="MDX100" s="1"/>
      <c r="MDY100" s="1"/>
      <c r="MDZ100" s="1"/>
      <c r="MEA100" s="1"/>
      <c r="MEB100" s="1"/>
      <c r="MEC100" s="1"/>
      <c r="MED100" s="1"/>
      <c r="MEE100" s="1"/>
      <c r="MEF100" s="1"/>
      <c r="MEG100" s="1"/>
      <c r="MEH100" s="1"/>
      <c r="MEI100" s="1"/>
      <c r="MEJ100" s="1"/>
      <c r="MEK100" s="1"/>
      <c r="MEL100" s="1"/>
      <c r="MEM100" s="1"/>
      <c r="MEN100" s="1"/>
      <c r="MEO100" s="1"/>
      <c r="MEP100" s="1"/>
      <c r="MEQ100" s="1"/>
      <c r="MER100" s="1"/>
      <c r="MES100" s="1"/>
      <c r="MET100" s="1"/>
      <c r="MEU100" s="1"/>
      <c r="MEV100" s="1"/>
      <c r="MEW100" s="1"/>
      <c r="MEX100" s="1"/>
      <c r="MEY100" s="1"/>
      <c r="MEZ100" s="1"/>
      <c r="MFA100" s="1"/>
      <c r="MFB100" s="1"/>
      <c r="MFC100" s="1"/>
      <c r="MFD100" s="1"/>
      <c r="MFE100" s="1"/>
      <c r="MFF100" s="1"/>
      <c r="MFG100" s="1"/>
      <c r="MFH100" s="1"/>
      <c r="MFI100" s="1"/>
      <c r="MFJ100" s="1"/>
      <c r="MFK100" s="1"/>
      <c r="MFL100" s="1"/>
      <c r="MFM100" s="1"/>
      <c r="MFN100" s="1"/>
      <c r="MFO100" s="1"/>
      <c r="MFP100" s="1"/>
      <c r="MFQ100" s="1"/>
      <c r="MFR100" s="1"/>
      <c r="MFS100" s="1"/>
      <c r="MFT100" s="1"/>
      <c r="MFU100" s="1"/>
      <c r="MFV100" s="1"/>
      <c r="MFW100" s="1"/>
      <c r="MFX100" s="1"/>
      <c r="MFY100" s="1"/>
      <c r="MFZ100" s="1"/>
      <c r="MGA100" s="1"/>
      <c r="MGB100" s="1"/>
      <c r="MGC100" s="1"/>
      <c r="MGD100" s="1"/>
      <c r="MGE100" s="1"/>
      <c r="MGF100" s="1"/>
      <c r="MGG100" s="1"/>
      <c r="MGH100" s="1"/>
      <c r="MGI100" s="1"/>
      <c r="MGJ100" s="1"/>
      <c r="MGK100" s="1"/>
      <c r="MGL100" s="1"/>
      <c r="MGM100" s="1"/>
      <c r="MGN100" s="1"/>
      <c r="MGO100" s="1"/>
      <c r="MGP100" s="1"/>
      <c r="MGQ100" s="1"/>
      <c r="MGR100" s="1"/>
      <c r="MGS100" s="1"/>
      <c r="MGT100" s="1"/>
      <c r="MGU100" s="1"/>
      <c r="MGV100" s="1"/>
      <c r="MGW100" s="1"/>
      <c r="MGX100" s="1"/>
      <c r="MGY100" s="1"/>
      <c r="MGZ100" s="1"/>
      <c r="MHA100" s="1"/>
      <c r="MHB100" s="1"/>
      <c r="MHC100" s="1"/>
      <c r="MHD100" s="1"/>
      <c r="MHE100" s="1"/>
      <c r="MHF100" s="1"/>
      <c r="MHG100" s="1"/>
      <c r="MHH100" s="1"/>
      <c r="MHI100" s="1"/>
      <c r="MHJ100" s="1"/>
      <c r="MHK100" s="1"/>
      <c r="MHL100" s="1"/>
      <c r="MHM100" s="1"/>
      <c r="MHN100" s="1"/>
      <c r="MHO100" s="1"/>
      <c r="MHP100" s="1"/>
      <c r="MHQ100" s="1"/>
      <c r="MHR100" s="1"/>
      <c r="MHS100" s="1"/>
      <c r="MHT100" s="1"/>
      <c r="MHU100" s="1"/>
      <c r="MHV100" s="1"/>
      <c r="MHW100" s="1"/>
      <c r="MHX100" s="1"/>
      <c r="MHY100" s="1"/>
      <c r="MHZ100" s="1"/>
      <c r="MIA100" s="1"/>
      <c r="MIB100" s="1"/>
      <c r="MIC100" s="1"/>
      <c r="MID100" s="1"/>
      <c r="MIE100" s="1"/>
      <c r="MIF100" s="1"/>
      <c r="MIG100" s="1"/>
      <c r="MIH100" s="1"/>
      <c r="MII100" s="1"/>
      <c r="MIJ100" s="1"/>
      <c r="MIK100" s="1"/>
      <c r="MIL100" s="1"/>
      <c r="MIM100" s="1"/>
      <c r="MIN100" s="1"/>
      <c r="MIO100" s="1"/>
      <c r="MIP100" s="1"/>
      <c r="MIQ100" s="1"/>
      <c r="MIR100" s="1"/>
      <c r="MIS100" s="1"/>
      <c r="MIT100" s="1"/>
      <c r="MIU100" s="1"/>
      <c r="MIV100" s="1"/>
      <c r="MIW100" s="1"/>
      <c r="MIX100" s="1"/>
      <c r="MIY100" s="1"/>
      <c r="MIZ100" s="1"/>
      <c r="MJA100" s="1"/>
      <c r="MJB100" s="1"/>
      <c r="MJC100" s="1"/>
      <c r="MJD100" s="1"/>
      <c r="MJE100" s="1"/>
      <c r="MJF100" s="1"/>
      <c r="MJG100" s="1"/>
      <c r="MJH100" s="1"/>
      <c r="MJI100" s="1"/>
      <c r="MJJ100" s="1"/>
      <c r="MJK100" s="1"/>
      <c r="MJL100" s="1"/>
      <c r="MJM100" s="1"/>
      <c r="MJN100" s="1"/>
      <c r="MJO100" s="1"/>
      <c r="MJP100" s="1"/>
      <c r="MJQ100" s="1"/>
      <c r="MJR100" s="1"/>
      <c r="MJS100" s="1"/>
      <c r="MJT100" s="1"/>
      <c r="MJU100" s="1"/>
      <c r="MJV100" s="1"/>
      <c r="MJW100" s="1"/>
      <c r="MJX100" s="1"/>
      <c r="MJY100" s="1"/>
      <c r="MJZ100" s="1"/>
      <c r="MKA100" s="1"/>
      <c r="MKB100" s="1"/>
      <c r="MKC100" s="1"/>
      <c r="MKD100" s="1"/>
      <c r="MKE100" s="1"/>
      <c r="MKF100" s="1"/>
      <c r="MKG100" s="1"/>
      <c r="MKH100" s="1"/>
      <c r="MKI100" s="1"/>
      <c r="MKJ100" s="1"/>
      <c r="MKK100" s="1"/>
      <c r="MKL100" s="1"/>
      <c r="MKM100" s="1"/>
      <c r="MKN100" s="1"/>
      <c r="MKO100" s="1"/>
      <c r="MKP100" s="1"/>
      <c r="MKQ100" s="1"/>
      <c r="MKR100" s="1"/>
      <c r="MKS100" s="1"/>
      <c r="MKT100" s="1"/>
      <c r="MKU100" s="1"/>
      <c r="MKV100" s="1"/>
      <c r="MKW100" s="1"/>
      <c r="MKX100" s="1"/>
      <c r="MKY100" s="1"/>
      <c r="MKZ100" s="1"/>
      <c r="MLA100" s="1"/>
      <c r="MLB100" s="1"/>
      <c r="MLC100" s="1"/>
      <c r="MLD100" s="1"/>
      <c r="MLE100" s="1"/>
      <c r="MLF100" s="1"/>
      <c r="MLG100" s="1"/>
      <c r="MLH100" s="1"/>
      <c r="MLI100" s="1"/>
      <c r="MLJ100" s="1"/>
      <c r="MLK100" s="1"/>
      <c r="MLL100" s="1"/>
      <c r="MLM100" s="1"/>
      <c r="MLN100" s="1"/>
      <c r="MLO100" s="1"/>
      <c r="MLP100" s="1"/>
      <c r="MLQ100" s="1"/>
      <c r="MLR100" s="1"/>
      <c r="MLS100" s="1"/>
      <c r="MLT100" s="1"/>
      <c r="MLU100" s="1"/>
      <c r="MLV100" s="1"/>
      <c r="MLW100" s="1"/>
      <c r="MLX100" s="1"/>
      <c r="MLY100" s="1"/>
      <c r="MLZ100" s="1"/>
      <c r="MMA100" s="1"/>
      <c r="MMB100" s="1"/>
      <c r="MMC100" s="1"/>
      <c r="MMD100" s="1"/>
      <c r="MME100" s="1"/>
      <c r="MMF100" s="1"/>
      <c r="MMG100" s="1"/>
      <c r="MMH100" s="1"/>
      <c r="MMI100" s="1"/>
      <c r="MMJ100" s="1"/>
      <c r="MMK100" s="1"/>
      <c r="MML100" s="1"/>
      <c r="MMM100" s="1"/>
      <c r="MMN100" s="1"/>
      <c r="MMO100" s="1"/>
      <c r="MMP100" s="1"/>
      <c r="MMQ100" s="1"/>
      <c r="MMR100" s="1"/>
      <c r="MMS100" s="1"/>
      <c r="MMT100" s="1"/>
      <c r="MMU100" s="1"/>
      <c r="MMV100" s="1"/>
      <c r="MMW100" s="1"/>
      <c r="MMX100" s="1"/>
      <c r="MMY100" s="1"/>
      <c r="MMZ100" s="1"/>
      <c r="MNA100" s="1"/>
      <c r="MNB100" s="1"/>
      <c r="MNC100" s="1"/>
      <c r="MND100" s="1"/>
      <c r="MNE100" s="1"/>
      <c r="MNF100" s="1"/>
      <c r="MNG100" s="1"/>
      <c r="MNH100" s="1"/>
      <c r="MNI100" s="1"/>
      <c r="MNJ100" s="1"/>
      <c r="MNK100" s="1"/>
      <c r="MNL100" s="1"/>
      <c r="MNM100" s="1"/>
      <c r="MNN100" s="1"/>
      <c r="MNO100" s="1"/>
      <c r="MNP100" s="1"/>
      <c r="MNQ100" s="1"/>
      <c r="MNR100" s="1"/>
      <c r="MNS100" s="1"/>
      <c r="MNT100" s="1"/>
      <c r="MNU100" s="1"/>
      <c r="MNV100" s="1"/>
      <c r="MNW100" s="1"/>
      <c r="MNX100" s="1"/>
      <c r="MNY100" s="1"/>
      <c r="MNZ100" s="1"/>
      <c r="MOA100" s="1"/>
      <c r="MOB100" s="1"/>
      <c r="MOC100" s="1"/>
      <c r="MOD100" s="1"/>
      <c r="MOE100" s="1"/>
      <c r="MOF100" s="1"/>
      <c r="MOG100" s="1"/>
      <c r="MOH100" s="1"/>
      <c r="MOI100" s="1"/>
      <c r="MOJ100" s="1"/>
      <c r="MOK100" s="1"/>
      <c r="MOL100" s="1"/>
      <c r="MOM100" s="1"/>
      <c r="MON100" s="1"/>
      <c r="MOO100" s="1"/>
      <c r="MOP100" s="1"/>
      <c r="MOQ100" s="1"/>
      <c r="MOR100" s="1"/>
      <c r="MOS100" s="1"/>
      <c r="MOT100" s="1"/>
      <c r="MOU100" s="1"/>
      <c r="MOV100" s="1"/>
      <c r="MOW100" s="1"/>
      <c r="MOX100" s="1"/>
      <c r="MOY100" s="1"/>
      <c r="MOZ100" s="1"/>
      <c r="MPA100" s="1"/>
      <c r="MPB100" s="1"/>
      <c r="MPC100" s="1"/>
      <c r="MPD100" s="1"/>
      <c r="MPE100" s="1"/>
      <c r="MPF100" s="1"/>
      <c r="MPG100" s="1"/>
      <c r="MPH100" s="1"/>
      <c r="MPI100" s="1"/>
      <c r="MPJ100" s="1"/>
      <c r="MPK100" s="1"/>
      <c r="MPL100" s="1"/>
      <c r="MPM100" s="1"/>
      <c r="MPN100" s="1"/>
      <c r="MPO100" s="1"/>
      <c r="MPP100" s="1"/>
      <c r="MPQ100" s="1"/>
      <c r="MPR100" s="1"/>
      <c r="MPS100" s="1"/>
      <c r="MPT100" s="1"/>
      <c r="MPU100" s="1"/>
      <c r="MPV100" s="1"/>
      <c r="MPW100" s="1"/>
      <c r="MPX100" s="1"/>
      <c r="MPY100" s="1"/>
      <c r="MPZ100" s="1"/>
      <c r="MQA100" s="1"/>
      <c r="MQB100" s="1"/>
      <c r="MQC100" s="1"/>
      <c r="MQD100" s="1"/>
      <c r="MQE100" s="1"/>
      <c r="MQF100" s="1"/>
      <c r="MQG100" s="1"/>
      <c r="MQH100" s="1"/>
      <c r="MQI100" s="1"/>
      <c r="MQJ100" s="1"/>
      <c r="MQK100" s="1"/>
      <c r="MQL100" s="1"/>
      <c r="MQM100" s="1"/>
      <c r="MQN100" s="1"/>
      <c r="MQO100" s="1"/>
      <c r="MQP100" s="1"/>
      <c r="MQQ100" s="1"/>
      <c r="MQR100" s="1"/>
      <c r="MQS100" s="1"/>
      <c r="MQT100" s="1"/>
      <c r="MQU100" s="1"/>
      <c r="MQV100" s="1"/>
      <c r="MQW100" s="1"/>
      <c r="MQX100" s="1"/>
      <c r="MQY100" s="1"/>
      <c r="MQZ100" s="1"/>
      <c r="MRA100" s="1"/>
      <c r="MRB100" s="1"/>
      <c r="MRC100" s="1"/>
      <c r="MRD100" s="1"/>
      <c r="MRE100" s="1"/>
      <c r="MRF100" s="1"/>
      <c r="MRG100" s="1"/>
      <c r="MRH100" s="1"/>
      <c r="MRI100" s="1"/>
      <c r="MRJ100" s="1"/>
      <c r="MRK100" s="1"/>
      <c r="MRL100" s="1"/>
      <c r="MRM100" s="1"/>
      <c r="MRN100" s="1"/>
      <c r="MRO100" s="1"/>
      <c r="MRP100" s="1"/>
      <c r="MRQ100" s="1"/>
      <c r="MRR100" s="1"/>
      <c r="MRS100" s="1"/>
      <c r="MRT100" s="1"/>
      <c r="MRU100" s="1"/>
      <c r="MRV100" s="1"/>
      <c r="MRW100" s="1"/>
      <c r="MRX100" s="1"/>
      <c r="MRY100" s="1"/>
      <c r="MRZ100" s="1"/>
      <c r="MSA100" s="1"/>
      <c r="MSB100" s="1"/>
      <c r="MSC100" s="1"/>
      <c r="MSD100" s="1"/>
      <c r="MSE100" s="1"/>
      <c r="MSF100" s="1"/>
      <c r="MSG100" s="1"/>
      <c r="MSH100" s="1"/>
      <c r="MSI100" s="1"/>
      <c r="MSJ100" s="1"/>
      <c r="MSK100" s="1"/>
      <c r="MSL100" s="1"/>
      <c r="MSM100" s="1"/>
      <c r="MSN100" s="1"/>
      <c r="MSO100" s="1"/>
      <c r="MSP100" s="1"/>
      <c r="MSQ100" s="1"/>
      <c r="MSR100" s="1"/>
      <c r="MSS100" s="1"/>
      <c r="MST100" s="1"/>
      <c r="MSU100" s="1"/>
      <c r="MSV100" s="1"/>
      <c r="MSW100" s="1"/>
      <c r="MSX100" s="1"/>
      <c r="MSY100" s="1"/>
      <c r="MSZ100" s="1"/>
      <c r="MTA100" s="1"/>
      <c r="MTB100" s="1"/>
      <c r="MTC100" s="1"/>
      <c r="MTD100" s="1"/>
      <c r="MTE100" s="1"/>
      <c r="MTF100" s="1"/>
      <c r="MTG100" s="1"/>
      <c r="MTH100" s="1"/>
      <c r="MTI100" s="1"/>
      <c r="MTJ100" s="1"/>
      <c r="MTK100" s="1"/>
      <c r="MTL100" s="1"/>
      <c r="MTM100" s="1"/>
      <c r="MTN100" s="1"/>
      <c r="MTO100" s="1"/>
      <c r="MTP100" s="1"/>
      <c r="MTQ100" s="1"/>
      <c r="MTR100" s="1"/>
      <c r="MTS100" s="1"/>
      <c r="MTT100" s="1"/>
      <c r="MTU100" s="1"/>
      <c r="MTV100" s="1"/>
      <c r="MTW100" s="1"/>
      <c r="MTX100" s="1"/>
      <c r="MTY100" s="1"/>
      <c r="MTZ100" s="1"/>
      <c r="MUA100" s="1"/>
      <c r="MUB100" s="1"/>
      <c r="MUC100" s="1"/>
      <c r="MUD100" s="1"/>
      <c r="MUE100" s="1"/>
      <c r="MUF100" s="1"/>
      <c r="MUG100" s="1"/>
      <c r="MUH100" s="1"/>
      <c r="MUI100" s="1"/>
      <c r="MUJ100" s="1"/>
      <c r="MUK100" s="1"/>
      <c r="MUL100" s="1"/>
      <c r="MUM100" s="1"/>
      <c r="MUN100" s="1"/>
      <c r="MUO100" s="1"/>
      <c r="MUP100" s="1"/>
      <c r="MUQ100" s="1"/>
      <c r="MUR100" s="1"/>
      <c r="MUS100" s="1"/>
      <c r="MUT100" s="1"/>
      <c r="MUU100" s="1"/>
      <c r="MUV100" s="1"/>
      <c r="MUW100" s="1"/>
      <c r="MUX100" s="1"/>
      <c r="MUY100" s="1"/>
      <c r="MUZ100" s="1"/>
      <c r="MVA100" s="1"/>
      <c r="MVB100" s="1"/>
      <c r="MVC100" s="1"/>
      <c r="MVD100" s="1"/>
      <c r="MVE100" s="1"/>
      <c r="MVF100" s="1"/>
      <c r="MVG100" s="1"/>
      <c r="MVH100" s="1"/>
      <c r="MVI100" s="1"/>
      <c r="MVJ100" s="1"/>
      <c r="MVK100" s="1"/>
      <c r="MVL100" s="1"/>
      <c r="MVM100" s="1"/>
      <c r="MVN100" s="1"/>
      <c r="MVO100" s="1"/>
      <c r="MVP100" s="1"/>
      <c r="MVQ100" s="1"/>
      <c r="MVR100" s="1"/>
      <c r="MVS100" s="1"/>
      <c r="MVT100" s="1"/>
      <c r="MVU100" s="1"/>
      <c r="MVV100" s="1"/>
      <c r="MVW100" s="1"/>
      <c r="MVX100" s="1"/>
      <c r="MVY100" s="1"/>
      <c r="MVZ100" s="1"/>
      <c r="MWA100" s="1"/>
      <c r="MWB100" s="1"/>
      <c r="MWC100" s="1"/>
      <c r="MWD100" s="1"/>
      <c r="MWE100" s="1"/>
      <c r="MWF100" s="1"/>
      <c r="MWG100" s="1"/>
      <c r="MWH100" s="1"/>
      <c r="MWI100" s="1"/>
      <c r="MWJ100" s="1"/>
      <c r="MWK100" s="1"/>
      <c r="MWL100" s="1"/>
      <c r="MWM100" s="1"/>
      <c r="MWN100" s="1"/>
      <c r="MWO100" s="1"/>
      <c r="MWP100" s="1"/>
      <c r="MWQ100" s="1"/>
      <c r="MWR100" s="1"/>
      <c r="MWS100" s="1"/>
      <c r="MWT100" s="1"/>
      <c r="MWU100" s="1"/>
      <c r="MWV100" s="1"/>
      <c r="MWW100" s="1"/>
      <c r="MWX100" s="1"/>
      <c r="MWY100" s="1"/>
      <c r="MWZ100" s="1"/>
      <c r="MXA100" s="1"/>
      <c r="MXB100" s="1"/>
      <c r="MXC100" s="1"/>
      <c r="MXD100" s="1"/>
      <c r="MXE100" s="1"/>
      <c r="MXF100" s="1"/>
      <c r="MXG100" s="1"/>
      <c r="MXH100" s="1"/>
      <c r="MXI100" s="1"/>
      <c r="MXJ100" s="1"/>
      <c r="MXK100" s="1"/>
      <c r="MXL100" s="1"/>
      <c r="MXM100" s="1"/>
      <c r="MXN100" s="1"/>
      <c r="MXO100" s="1"/>
      <c r="MXP100" s="1"/>
      <c r="MXQ100" s="1"/>
      <c r="MXR100" s="1"/>
      <c r="MXS100" s="1"/>
      <c r="MXT100" s="1"/>
      <c r="MXU100" s="1"/>
      <c r="MXV100" s="1"/>
      <c r="MXW100" s="1"/>
      <c r="MXX100" s="1"/>
      <c r="MXY100" s="1"/>
      <c r="MXZ100" s="1"/>
      <c r="MYA100" s="1"/>
      <c r="MYB100" s="1"/>
      <c r="MYC100" s="1"/>
      <c r="MYD100" s="1"/>
      <c r="MYE100" s="1"/>
      <c r="MYF100" s="1"/>
      <c r="MYG100" s="1"/>
      <c r="MYH100" s="1"/>
      <c r="MYI100" s="1"/>
      <c r="MYJ100" s="1"/>
      <c r="MYK100" s="1"/>
      <c r="MYL100" s="1"/>
      <c r="MYM100" s="1"/>
      <c r="MYN100" s="1"/>
      <c r="MYO100" s="1"/>
      <c r="MYP100" s="1"/>
      <c r="MYQ100" s="1"/>
      <c r="MYR100" s="1"/>
      <c r="MYS100" s="1"/>
      <c r="MYT100" s="1"/>
      <c r="MYU100" s="1"/>
      <c r="MYV100" s="1"/>
      <c r="MYW100" s="1"/>
      <c r="MYX100" s="1"/>
      <c r="MYY100" s="1"/>
      <c r="MYZ100" s="1"/>
      <c r="MZA100" s="1"/>
      <c r="MZB100" s="1"/>
      <c r="MZC100" s="1"/>
      <c r="MZD100" s="1"/>
      <c r="MZE100" s="1"/>
      <c r="MZF100" s="1"/>
      <c r="MZG100" s="1"/>
      <c r="MZH100" s="1"/>
      <c r="MZI100" s="1"/>
      <c r="MZJ100" s="1"/>
      <c r="MZK100" s="1"/>
      <c r="MZL100" s="1"/>
      <c r="MZM100" s="1"/>
      <c r="MZN100" s="1"/>
      <c r="MZO100" s="1"/>
      <c r="MZP100" s="1"/>
      <c r="MZQ100" s="1"/>
      <c r="MZR100" s="1"/>
      <c r="MZS100" s="1"/>
      <c r="MZT100" s="1"/>
      <c r="MZU100" s="1"/>
      <c r="MZV100" s="1"/>
      <c r="MZW100" s="1"/>
      <c r="MZX100" s="1"/>
      <c r="MZY100" s="1"/>
      <c r="MZZ100" s="1"/>
      <c r="NAA100" s="1"/>
      <c r="NAB100" s="1"/>
      <c r="NAC100" s="1"/>
      <c r="NAD100" s="1"/>
      <c r="NAE100" s="1"/>
      <c r="NAF100" s="1"/>
      <c r="NAG100" s="1"/>
      <c r="NAH100" s="1"/>
      <c r="NAI100" s="1"/>
      <c r="NAJ100" s="1"/>
      <c r="NAK100" s="1"/>
      <c r="NAL100" s="1"/>
      <c r="NAM100" s="1"/>
      <c r="NAN100" s="1"/>
      <c r="NAO100" s="1"/>
      <c r="NAP100" s="1"/>
      <c r="NAQ100" s="1"/>
      <c r="NAR100" s="1"/>
      <c r="NAS100" s="1"/>
      <c r="NAT100" s="1"/>
      <c r="NAU100" s="1"/>
      <c r="NAV100" s="1"/>
      <c r="NAW100" s="1"/>
      <c r="NAX100" s="1"/>
      <c r="NAY100" s="1"/>
      <c r="NAZ100" s="1"/>
      <c r="NBA100" s="1"/>
      <c r="NBB100" s="1"/>
      <c r="NBC100" s="1"/>
      <c r="NBD100" s="1"/>
      <c r="NBE100" s="1"/>
      <c r="NBF100" s="1"/>
      <c r="NBG100" s="1"/>
      <c r="NBH100" s="1"/>
      <c r="NBI100" s="1"/>
      <c r="NBJ100" s="1"/>
      <c r="NBK100" s="1"/>
      <c r="NBL100" s="1"/>
      <c r="NBM100" s="1"/>
      <c r="NBN100" s="1"/>
      <c r="NBO100" s="1"/>
      <c r="NBP100" s="1"/>
      <c r="NBQ100" s="1"/>
      <c r="NBR100" s="1"/>
      <c r="NBS100" s="1"/>
      <c r="NBT100" s="1"/>
      <c r="NBU100" s="1"/>
      <c r="NBV100" s="1"/>
      <c r="NBW100" s="1"/>
      <c r="NBX100" s="1"/>
      <c r="NBY100" s="1"/>
      <c r="NBZ100" s="1"/>
      <c r="NCA100" s="1"/>
      <c r="NCB100" s="1"/>
      <c r="NCC100" s="1"/>
      <c r="NCD100" s="1"/>
      <c r="NCE100" s="1"/>
      <c r="NCF100" s="1"/>
      <c r="NCG100" s="1"/>
      <c r="NCH100" s="1"/>
      <c r="NCI100" s="1"/>
      <c r="NCJ100" s="1"/>
      <c r="NCK100" s="1"/>
      <c r="NCL100" s="1"/>
      <c r="NCM100" s="1"/>
      <c r="NCN100" s="1"/>
      <c r="NCO100" s="1"/>
      <c r="NCP100" s="1"/>
      <c r="NCQ100" s="1"/>
      <c r="NCR100" s="1"/>
      <c r="NCS100" s="1"/>
      <c r="NCT100" s="1"/>
      <c r="NCU100" s="1"/>
      <c r="NCV100" s="1"/>
      <c r="NCW100" s="1"/>
      <c r="NCX100" s="1"/>
      <c r="NCY100" s="1"/>
      <c r="NCZ100" s="1"/>
      <c r="NDA100" s="1"/>
      <c r="NDB100" s="1"/>
      <c r="NDC100" s="1"/>
      <c r="NDD100" s="1"/>
      <c r="NDE100" s="1"/>
      <c r="NDF100" s="1"/>
      <c r="NDG100" s="1"/>
      <c r="NDH100" s="1"/>
      <c r="NDI100" s="1"/>
      <c r="NDJ100" s="1"/>
      <c r="NDK100" s="1"/>
      <c r="NDL100" s="1"/>
      <c r="NDM100" s="1"/>
      <c r="NDN100" s="1"/>
      <c r="NDO100" s="1"/>
      <c r="NDP100" s="1"/>
      <c r="NDQ100" s="1"/>
      <c r="NDR100" s="1"/>
      <c r="NDS100" s="1"/>
      <c r="NDT100" s="1"/>
      <c r="NDU100" s="1"/>
      <c r="NDV100" s="1"/>
      <c r="NDW100" s="1"/>
      <c r="NDX100" s="1"/>
      <c r="NDY100" s="1"/>
      <c r="NDZ100" s="1"/>
      <c r="NEA100" s="1"/>
      <c r="NEB100" s="1"/>
      <c r="NEC100" s="1"/>
      <c r="NED100" s="1"/>
      <c r="NEE100" s="1"/>
      <c r="NEF100" s="1"/>
      <c r="NEG100" s="1"/>
      <c r="NEH100" s="1"/>
      <c r="NEI100" s="1"/>
      <c r="NEJ100" s="1"/>
      <c r="NEK100" s="1"/>
      <c r="NEL100" s="1"/>
      <c r="NEM100" s="1"/>
      <c r="NEN100" s="1"/>
      <c r="NEO100" s="1"/>
      <c r="NEP100" s="1"/>
      <c r="NEQ100" s="1"/>
      <c r="NER100" s="1"/>
      <c r="NES100" s="1"/>
      <c r="NET100" s="1"/>
      <c r="NEU100" s="1"/>
      <c r="NEV100" s="1"/>
      <c r="NEW100" s="1"/>
      <c r="NEX100" s="1"/>
      <c r="NEY100" s="1"/>
      <c r="NEZ100" s="1"/>
      <c r="NFA100" s="1"/>
      <c r="NFB100" s="1"/>
      <c r="NFC100" s="1"/>
      <c r="NFD100" s="1"/>
      <c r="NFE100" s="1"/>
      <c r="NFF100" s="1"/>
      <c r="NFG100" s="1"/>
      <c r="NFH100" s="1"/>
      <c r="NFI100" s="1"/>
      <c r="NFJ100" s="1"/>
      <c r="NFK100" s="1"/>
      <c r="NFL100" s="1"/>
      <c r="NFM100" s="1"/>
      <c r="NFN100" s="1"/>
      <c r="NFO100" s="1"/>
      <c r="NFP100" s="1"/>
      <c r="NFQ100" s="1"/>
      <c r="NFR100" s="1"/>
      <c r="NFS100" s="1"/>
      <c r="NFT100" s="1"/>
      <c r="NFU100" s="1"/>
      <c r="NFV100" s="1"/>
      <c r="NFW100" s="1"/>
      <c r="NFX100" s="1"/>
      <c r="NFY100" s="1"/>
      <c r="NFZ100" s="1"/>
      <c r="NGA100" s="1"/>
      <c r="NGB100" s="1"/>
      <c r="NGC100" s="1"/>
      <c r="NGD100" s="1"/>
      <c r="NGE100" s="1"/>
      <c r="NGF100" s="1"/>
      <c r="NGG100" s="1"/>
      <c r="NGH100" s="1"/>
      <c r="NGI100" s="1"/>
      <c r="NGJ100" s="1"/>
      <c r="NGK100" s="1"/>
      <c r="NGL100" s="1"/>
      <c r="NGM100" s="1"/>
      <c r="NGN100" s="1"/>
      <c r="NGO100" s="1"/>
      <c r="NGP100" s="1"/>
      <c r="NGQ100" s="1"/>
      <c r="NGR100" s="1"/>
      <c r="NGS100" s="1"/>
      <c r="NGT100" s="1"/>
      <c r="NGU100" s="1"/>
      <c r="NGV100" s="1"/>
      <c r="NGW100" s="1"/>
      <c r="NGX100" s="1"/>
      <c r="NGY100" s="1"/>
      <c r="NGZ100" s="1"/>
      <c r="NHA100" s="1"/>
      <c r="NHB100" s="1"/>
      <c r="NHC100" s="1"/>
      <c r="NHD100" s="1"/>
      <c r="NHE100" s="1"/>
      <c r="NHF100" s="1"/>
      <c r="NHG100" s="1"/>
      <c r="NHH100" s="1"/>
      <c r="NHI100" s="1"/>
      <c r="NHJ100" s="1"/>
      <c r="NHK100" s="1"/>
      <c r="NHL100" s="1"/>
      <c r="NHM100" s="1"/>
      <c r="NHN100" s="1"/>
      <c r="NHO100" s="1"/>
      <c r="NHP100" s="1"/>
      <c r="NHQ100" s="1"/>
      <c r="NHR100" s="1"/>
      <c r="NHS100" s="1"/>
      <c r="NHT100" s="1"/>
      <c r="NHU100" s="1"/>
      <c r="NHV100" s="1"/>
      <c r="NHW100" s="1"/>
      <c r="NHX100" s="1"/>
      <c r="NHY100" s="1"/>
      <c r="NHZ100" s="1"/>
      <c r="NIA100" s="1"/>
      <c r="NIB100" s="1"/>
      <c r="NIC100" s="1"/>
      <c r="NID100" s="1"/>
      <c r="NIE100" s="1"/>
      <c r="NIF100" s="1"/>
      <c r="NIG100" s="1"/>
      <c r="NIH100" s="1"/>
      <c r="NII100" s="1"/>
      <c r="NIJ100" s="1"/>
      <c r="NIK100" s="1"/>
      <c r="NIL100" s="1"/>
      <c r="NIM100" s="1"/>
      <c r="NIN100" s="1"/>
      <c r="NIO100" s="1"/>
      <c r="NIP100" s="1"/>
      <c r="NIQ100" s="1"/>
      <c r="NIR100" s="1"/>
      <c r="NIS100" s="1"/>
      <c r="NIT100" s="1"/>
      <c r="NIU100" s="1"/>
      <c r="NIV100" s="1"/>
      <c r="NIW100" s="1"/>
      <c r="NIX100" s="1"/>
      <c r="NIY100" s="1"/>
      <c r="NIZ100" s="1"/>
      <c r="NJA100" s="1"/>
      <c r="NJB100" s="1"/>
      <c r="NJC100" s="1"/>
      <c r="NJD100" s="1"/>
      <c r="NJE100" s="1"/>
      <c r="NJF100" s="1"/>
      <c r="NJG100" s="1"/>
      <c r="NJH100" s="1"/>
      <c r="NJI100" s="1"/>
      <c r="NJJ100" s="1"/>
      <c r="NJK100" s="1"/>
      <c r="NJL100" s="1"/>
      <c r="NJM100" s="1"/>
      <c r="NJN100" s="1"/>
      <c r="NJO100" s="1"/>
      <c r="NJP100" s="1"/>
      <c r="NJQ100" s="1"/>
      <c r="NJR100" s="1"/>
      <c r="NJS100" s="1"/>
      <c r="NJT100" s="1"/>
      <c r="NJU100" s="1"/>
      <c r="NJV100" s="1"/>
      <c r="NJW100" s="1"/>
      <c r="NJX100" s="1"/>
      <c r="NJY100" s="1"/>
      <c r="NJZ100" s="1"/>
      <c r="NKA100" s="1"/>
      <c r="NKB100" s="1"/>
      <c r="NKC100" s="1"/>
      <c r="NKD100" s="1"/>
      <c r="NKE100" s="1"/>
      <c r="NKF100" s="1"/>
      <c r="NKG100" s="1"/>
      <c r="NKH100" s="1"/>
      <c r="NKI100" s="1"/>
      <c r="NKJ100" s="1"/>
      <c r="NKK100" s="1"/>
      <c r="NKL100" s="1"/>
      <c r="NKM100" s="1"/>
      <c r="NKN100" s="1"/>
      <c r="NKO100" s="1"/>
      <c r="NKP100" s="1"/>
      <c r="NKQ100" s="1"/>
      <c r="NKR100" s="1"/>
      <c r="NKS100" s="1"/>
      <c r="NKT100" s="1"/>
      <c r="NKU100" s="1"/>
      <c r="NKV100" s="1"/>
      <c r="NKW100" s="1"/>
      <c r="NKX100" s="1"/>
      <c r="NKY100" s="1"/>
      <c r="NKZ100" s="1"/>
      <c r="NLA100" s="1"/>
      <c r="NLB100" s="1"/>
      <c r="NLC100" s="1"/>
      <c r="NLD100" s="1"/>
      <c r="NLE100" s="1"/>
      <c r="NLF100" s="1"/>
      <c r="NLG100" s="1"/>
      <c r="NLH100" s="1"/>
      <c r="NLI100" s="1"/>
      <c r="NLJ100" s="1"/>
      <c r="NLK100" s="1"/>
      <c r="NLL100" s="1"/>
      <c r="NLM100" s="1"/>
      <c r="NLN100" s="1"/>
      <c r="NLO100" s="1"/>
      <c r="NLP100" s="1"/>
      <c r="NLQ100" s="1"/>
      <c r="NLR100" s="1"/>
      <c r="NLS100" s="1"/>
      <c r="NLT100" s="1"/>
      <c r="NLU100" s="1"/>
      <c r="NLV100" s="1"/>
      <c r="NLW100" s="1"/>
      <c r="NLX100" s="1"/>
      <c r="NLY100" s="1"/>
      <c r="NLZ100" s="1"/>
      <c r="NMA100" s="1"/>
      <c r="NMB100" s="1"/>
      <c r="NMC100" s="1"/>
      <c r="NMD100" s="1"/>
      <c r="NME100" s="1"/>
      <c r="NMF100" s="1"/>
      <c r="NMG100" s="1"/>
      <c r="NMH100" s="1"/>
      <c r="NMI100" s="1"/>
      <c r="NMJ100" s="1"/>
      <c r="NMK100" s="1"/>
      <c r="NML100" s="1"/>
      <c r="NMM100" s="1"/>
      <c r="NMN100" s="1"/>
      <c r="NMO100" s="1"/>
      <c r="NMP100" s="1"/>
      <c r="NMQ100" s="1"/>
      <c r="NMR100" s="1"/>
      <c r="NMS100" s="1"/>
      <c r="NMT100" s="1"/>
      <c r="NMU100" s="1"/>
      <c r="NMV100" s="1"/>
      <c r="NMW100" s="1"/>
      <c r="NMX100" s="1"/>
      <c r="NMY100" s="1"/>
      <c r="NMZ100" s="1"/>
      <c r="NNA100" s="1"/>
      <c r="NNB100" s="1"/>
      <c r="NNC100" s="1"/>
      <c r="NND100" s="1"/>
      <c r="NNE100" s="1"/>
      <c r="NNF100" s="1"/>
      <c r="NNG100" s="1"/>
      <c r="NNH100" s="1"/>
      <c r="NNI100" s="1"/>
      <c r="NNJ100" s="1"/>
      <c r="NNK100" s="1"/>
      <c r="NNL100" s="1"/>
      <c r="NNM100" s="1"/>
      <c r="NNN100" s="1"/>
      <c r="NNO100" s="1"/>
      <c r="NNP100" s="1"/>
      <c r="NNQ100" s="1"/>
      <c r="NNR100" s="1"/>
      <c r="NNS100" s="1"/>
      <c r="NNT100" s="1"/>
      <c r="NNU100" s="1"/>
      <c r="NNV100" s="1"/>
      <c r="NNW100" s="1"/>
      <c r="NNX100" s="1"/>
      <c r="NNY100" s="1"/>
      <c r="NNZ100" s="1"/>
      <c r="NOA100" s="1"/>
      <c r="NOB100" s="1"/>
      <c r="NOC100" s="1"/>
      <c r="NOD100" s="1"/>
      <c r="NOE100" s="1"/>
      <c r="NOF100" s="1"/>
      <c r="NOG100" s="1"/>
      <c r="NOH100" s="1"/>
      <c r="NOI100" s="1"/>
      <c r="NOJ100" s="1"/>
      <c r="NOK100" s="1"/>
      <c r="NOL100" s="1"/>
      <c r="NOM100" s="1"/>
      <c r="NON100" s="1"/>
      <c r="NOO100" s="1"/>
      <c r="NOP100" s="1"/>
      <c r="NOQ100" s="1"/>
      <c r="NOR100" s="1"/>
      <c r="NOS100" s="1"/>
      <c r="NOT100" s="1"/>
      <c r="NOU100" s="1"/>
      <c r="NOV100" s="1"/>
      <c r="NOW100" s="1"/>
      <c r="NOX100" s="1"/>
      <c r="NOY100" s="1"/>
      <c r="NOZ100" s="1"/>
      <c r="NPA100" s="1"/>
      <c r="NPB100" s="1"/>
      <c r="NPC100" s="1"/>
      <c r="NPD100" s="1"/>
      <c r="NPE100" s="1"/>
      <c r="NPF100" s="1"/>
      <c r="NPG100" s="1"/>
      <c r="NPH100" s="1"/>
      <c r="NPI100" s="1"/>
      <c r="NPJ100" s="1"/>
      <c r="NPK100" s="1"/>
      <c r="NPL100" s="1"/>
      <c r="NPM100" s="1"/>
      <c r="NPN100" s="1"/>
      <c r="NPO100" s="1"/>
      <c r="NPP100" s="1"/>
      <c r="NPQ100" s="1"/>
      <c r="NPR100" s="1"/>
      <c r="NPS100" s="1"/>
      <c r="NPT100" s="1"/>
      <c r="NPU100" s="1"/>
      <c r="NPV100" s="1"/>
      <c r="NPW100" s="1"/>
      <c r="NPX100" s="1"/>
      <c r="NPY100" s="1"/>
      <c r="NPZ100" s="1"/>
      <c r="NQA100" s="1"/>
      <c r="NQB100" s="1"/>
      <c r="NQC100" s="1"/>
      <c r="NQD100" s="1"/>
      <c r="NQE100" s="1"/>
      <c r="NQF100" s="1"/>
      <c r="NQG100" s="1"/>
      <c r="NQH100" s="1"/>
      <c r="NQI100" s="1"/>
      <c r="NQJ100" s="1"/>
      <c r="NQK100" s="1"/>
      <c r="NQL100" s="1"/>
      <c r="NQM100" s="1"/>
      <c r="NQN100" s="1"/>
      <c r="NQO100" s="1"/>
      <c r="NQP100" s="1"/>
      <c r="NQQ100" s="1"/>
      <c r="NQR100" s="1"/>
      <c r="NQS100" s="1"/>
      <c r="NQT100" s="1"/>
      <c r="NQU100" s="1"/>
      <c r="NQV100" s="1"/>
      <c r="NQW100" s="1"/>
      <c r="NQX100" s="1"/>
      <c r="NQY100" s="1"/>
      <c r="NQZ100" s="1"/>
      <c r="NRA100" s="1"/>
      <c r="NRB100" s="1"/>
      <c r="NRC100" s="1"/>
      <c r="NRD100" s="1"/>
      <c r="NRE100" s="1"/>
      <c r="NRF100" s="1"/>
      <c r="NRG100" s="1"/>
      <c r="NRH100" s="1"/>
      <c r="NRI100" s="1"/>
      <c r="NRJ100" s="1"/>
      <c r="NRK100" s="1"/>
      <c r="NRL100" s="1"/>
      <c r="NRM100" s="1"/>
      <c r="NRN100" s="1"/>
      <c r="NRO100" s="1"/>
      <c r="NRP100" s="1"/>
      <c r="NRQ100" s="1"/>
      <c r="NRR100" s="1"/>
      <c r="NRS100" s="1"/>
      <c r="NRT100" s="1"/>
      <c r="NRU100" s="1"/>
      <c r="NRV100" s="1"/>
      <c r="NRW100" s="1"/>
      <c r="NRX100" s="1"/>
      <c r="NRY100" s="1"/>
      <c r="NRZ100" s="1"/>
      <c r="NSA100" s="1"/>
      <c r="NSB100" s="1"/>
      <c r="NSC100" s="1"/>
      <c r="NSD100" s="1"/>
      <c r="NSE100" s="1"/>
      <c r="NSF100" s="1"/>
      <c r="NSG100" s="1"/>
      <c r="NSH100" s="1"/>
      <c r="NSI100" s="1"/>
      <c r="NSJ100" s="1"/>
      <c r="NSK100" s="1"/>
      <c r="NSL100" s="1"/>
      <c r="NSM100" s="1"/>
      <c r="NSN100" s="1"/>
      <c r="NSO100" s="1"/>
      <c r="NSP100" s="1"/>
      <c r="NSQ100" s="1"/>
      <c r="NSR100" s="1"/>
      <c r="NSS100" s="1"/>
      <c r="NST100" s="1"/>
      <c r="NSU100" s="1"/>
      <c r="NSV100" s="1"/>
      <c r="NSW100" s="1"/>
      <c r="NSX100" s="1"/>
      <c r="NSY100" s="1"/>
      <c r="NSZ100" s="1"/>
      <c r="NTA100" s="1"/>
      <c r="NTB100" s="1"/>
      <c r="NTC100" s="1"/>
      <c r="NTD100" s="1"/>
      <c r="NTE100" s="1"/>
      <c r="NTF100" s="1"/>
      <c r="NTG100" s="1"/>
      <c r="NTH100" s="1"/>
      <c r="NTI100" s="1"/>
      <c r="NTJ100" s="1"/>
      <c r="NTK100" s="1"/>
      <c r="NTL100" s="1"/>
      <c r="NTM100" s="1"/>
      <c r="NTN100" s="1"/>
      <c r="NTO100" s="1"/>
      <c r="NTP100" s="1"/>
      <c r="NTQ100" s="1"/>
      <c r="NTR100" s="1"/>
      <c r="NTS100" s="1"/>
      <c r="NTT100" s="1"/>
      <c r="NTU100" s="1"/>
      <c r="NTV100" s="1"/>
      <c r="NTW100" s="1"/>
      <c r="NTX100" s="1"/>
      <c r="NTY100" s="1"/>
      <c r="NTZ100" s="1"/>
      <c r="NUA100" s="1"/>
      <c r="NUB100" s="1"/>
      <c r="NUC100" s="1"/>
      <c r="NUD100" s="1"/>
      <c r="NUE100" s="1"/>
      <c r="NUF100" s="1"/>
      <c r="NUG100" s="1"/>
      <c r="NUH100" s="1"/>
      <c r="NUI100" s="1"/>
      <c r="NUJ100" s="1"/>
      <c r="NUK100" s="1"/>
      <c r="NUL100" s="1"/>
      <c r="NUM100" s="1"/>
      <c r="NUN100" s="1"/>
      <c r="NUO100" s="1"/>
      <c r="NUP100" s="1"/>
      <c r="NUQ100" s="1"/>
      <c r="NUR100" s="1"/>
      <c r="NUS100" s="1"/>
      <c r="NUT100" s="1"/>
      <c r="NUU100" s="1"/>
      <c r="NUV100" s="1"/>
      <c r="NUW100" s="1"/>
      <c r="NUX100" s="1"/>
      <c r="NUY100" s="1"/>
      <c r="NUZ100" s="1"/>
      <c r="NVA100" s="1"/>
      <c r="NVB100" s="1"/>
      <c r="NVC100" s="1"/>
      <c r="NVD100" s="1"/>
      <c r="NVE100" s="1"/>
      <c r="NVF100" s="1"/>
      <c r="NVG100" s="1"/>
      <c r="NVH100" s="1"/>
      <c r="NVI100" s="1"/>
      <c r="NVJ100" s="1"/>
      <c r="NVK100" s="1"/>
      <c r="NVL100" s="1"/>
      <c r="NVM100" s="1"/>
      <c r="NVN100" s="1"/>
      <c r="NVO100" s="1"/>
      <c r="NVP100" s="1"/>
      <c r="NVQ100" s="1"/>
      <c r="NVR100" s="1"/>
      <c r="NVS100" s="1"/>
      <c r="NVT100" s="1"/>
      <c r="NVU100" s="1"/>
      <c r="NVV100" s="1"/>
      <c r="NVW100" s="1"/>
      <c r="NVX100" s="1"/>
      <c r="NVY100" s="1"/>
      <c r="NVZ100" s="1"/>
      <c r="NWA100" s="1"/>
      <c r="NWB100" s="1"/>
      <c r="NWC100" s="1"/>
      <c r="NWD100" s="1"/>
      <c r="NWE100" s="1"/>
      <c r="NWF100" s="1"/>
      <c r="NWG100" s="1"/>
      <c r="NWH100" s="1"/>
      <c r="NWI100" s="1"/>
      <c r="NWJ100" s="1"/>
      <c r="NWK100" s="1"/>
      <c r="NWL100" s="1"/>
      <c r="NWM100" s="1"/>
      <c r="NWN100" s="1"/>
      <c r="NWO100" s="1"/>
      <c r="NWP100" s="1"/>
      <c r="NWQ100" s="1"/>
      <c r="NWR100" s="1"/>
      <c r="NWS100" s="1"/>
      <c r="NWT100" s="1"/>
      <c r="NWU100" s="1"/>
      <c r="NWV100" s="1"/>
      <c r="NWW100" s="1"/>
      <c r="NWX100" s="1"/>
      <c r="NWY100" s="1"/>
      <c r="NWZ100" s="1"/>
      <c r="NXA100" s="1"/>
      <c r="NXB100" s="1"/>
      <c r="NXC100" s="1"/>
      <c r="NXD100" s="1"/>
      <c r="NXE100" s="1"/>
      <c r="NXF100" s="1"/>
      <c r="NXG100" s="1"/>
      <c r="NXH100" s="1"/>
      <c r="NXI100" s="1"/>
      <c r="NXJ100" s="1"/>
      <c r="NXK100" s="1"/>
      <c r="NXL100" s="1"/>
      <c r="NXM100" s="1"/>
      <c r="NXN100" s="1"/>
      <c r="NXO100" s="1"/>
      <c r="NXP100" s="1"/>
      <c r="NXQ100" s="1"/>
      <c r="NXR100" s="1"/>
      <c r="NXS100" s="1"/>
      <c r="NXT100" s="1"/>
      <c r="NXU100" s="1"/>
      <c r="NXV100" s="1"/>
      <c r="NXW100" s="1"/>
      <c r="NXX100" s="1"/>
      <c r="NXY100" s="1"/>
      <c r="NXZ100" s="1"/>
      <c r="NYA100" s="1"/>
      <c r="NYB100" s="1"/>
      <c r="NYC100" s="1"/>
      <c r="NYD100" s="1"/>
      <c r="NYE100" s="1"/>
      <c r="NYF100" s="1"/>
      <c r="NYG100" s="1"/>
      <c r="NYH100" s="1"/>
      <c r="NYI100" s="1"/>
      <c r="NYJ100" s="1"/>
      <c r="NYK100" s="1"/>
      <c r="NYL100" s="1"/>
      <c r="NYM100" s="1"/>
      <c r="NYN100" s="1"/>
      <c r="NYO100" s="1"/>
      <c r="NYP100" s="1"/>
      <c r="NYQ100" s="1"/>
      <c r="NYR100" s="1"/>
      <c r="NYS100" s="1"/>
      <c r="NYT100" s="1"/>
      <c r="NYU100" s="1"/>
      <c r="NYV100" s="1"/>
      <c r="NYW100" s="1"/>
      <c r="NYX100" s="1"/>
      <c r="NYY100" s="1"/>
      <c r="NYZ100" s="1"/>
      <c r="NZA100" s="1"/>
      <c r="NZB100" s="1"/>
      <c r="NZC100" s="1"/>
      <c r="NZD100" s="1"/>
      <c r="NZE100" s="1"/>
      <c r="NZF100" s="1"/>
      <c r="NZG100" s="1"/>
      <c r="NZH100" s="1"/>
      <c r="NZI100" s="1"/>
      <c r="NZJ100" s="1"/>
      <c r="NZK100" s="1"/>
      <c r="NZL100" s="1"/>
      <c r="NZM100" s="1"/>
      <c r="NZN100" s="1"/>
      <c r="NZO100" s="1"/>
      <c r="NZP100" s="1"/>
      <c r="NZQ100" s="1"/>
      <c r="NZR100" s="1"/>
      <c r="NZS100" s="1"/>
      <c r="NZT100" s="1"/>
      <c r="NZU100" s="1"/>
      <c r="NZV100" s="1"/>
      <c r="NZW100" s="1"/>
      <c r="NZX100" s="1"/>
      <c r="NZY100" s="1"/>
      <c r="NZZ100" s="1"/>
      <c r="OAA100" s="1"/>
      <c r="OAB100" s="1"/>
      <c r="OAC100" s="1"/>
      <c r="OAD100" s="1"/>
      <c r="OAE100" s="1"/>
      <c r="OAF100" s="1"/>
      <c r="OAG100" s="1"/>
      <c r="OAH100" s="1"/>
      <c r="OAI100" s="1"/>
      <c r="OAJ100" s="1"/>
      <c r="OAK100" s="1"/>
      <c r="OAL100" s="1"/>
      <c r="OAM100" s="1"/>
      <c r="OAN100" s="1"/>
      <c r="OAO100" s="1"/>
      <c r="OAP100" s="1"/>
      <c r="OAQ100" s="1"/>
      <c r="OAR100" s="1"/>
      <c r="OAS100" s="1"/>
      <c r="OAT100" s="1"/>
      <c r="OAU100" s="1"/>
      <c r="OAV100" s="1"/>
      <c r="OAW100" s="1"/>
      <c r="OAX100" s="1"/>
      <c r="OAY100" s="1"/>
      <c r="OAZ100" s="1"/>
      <c r="OBA100" s="1"/>
      <c r="OBB100" s="1"/>
      <c r="OBC100" s="1"/>
      <c r="OBD100" s="1"/>
      <c r="OBE100" s="1"/>
      <c r="OBF100" s="1"/>
      <c r="OBG100" s="1"/>
      <c r="OBH100" s="1"/>
      <c r="OBI100" s="1"/>
      <c r="OBJ100" s="1"/>
      <c r="OBK100" s="1"/>
      <c r="OBL100" s="1"/>
      <c r="OBM100" s="1"/>
      <c r="OBN100" s="1"/>
      <c r="OBO100" s="1"/>
      <c r="OBP100" s="1"/>
      <c r="OBQ100" s="1"/>
      <c r="OBR100" s="1"/>
      <c r="OBS100" s="1"/>
      <c r="OBT100" s="1"/>
      <c r="OBU100" s="1"/>
      <c r="OBV100" s="1"/>
      <c r="OBW100" s="1"/>
      <c r="OBX100" s="1"/>
      <c r="OBY100" s="1"/>
      <c r="OBZ100" s="1"/>
      <c r="OCA100" s="1"/>
      <c r="OCB100" s="1"/>
      <c r="OCC100" s="1"/>
      <c r="OCD100" s="1"/>
      <c r="OCE100" s="1"/>
      <c r="OCF100" s="1"/>
      <c r="OCG100" s="1"/>
      <c r="OCH100" s="1"/>
      <c r="OCI100" s="1"/>
      <c r="OCJ100" s="1"/>
      <c r="OCK100" s="1"/>
      <c r="OCL100" s="1"/>
      <c r="OCM100" s="1"/>
      <c r="OCN100" s="1"/>
      <c r="OCO100" s="1"/>
      <c r="OCP100" s="1"/>
      <c r="OCQ100" s="1"/>
      <c r="OCR100" s="1"/>
      <c r="OCS100" s="1"/>
      <c r="OCT100" s="1"/>
      <c r="OCU100" s="1"/>
      <c r="OCV100" s="1"/>
      <c r="OCW100" s="1"/>
      <c r="OCX100" s="1"/>
      <c r="OCY100" s="1"/>
      <c r="OCZ100" s="1"/>
      <c r="ODA100" s="1"/>
      <c r="ODB100" s="1"/>
      <c r="ODC100" s="1"/>
      <c r="ODD100" s="1"/>
      <c r="ODE100" s="1"/>
      <c r="ODF100" s="1"/>
      <c r="ODG100" s="1"/>
      <c r="ODH100" s="1"/>
      <c r="ODI100" s="1"/>
      <c r="ODJ100" s="1"/>
      <c r="ODK100" s="1"/>
      <c r="ODL100" s="1"/>
      <c r="ODM100" s="1"/>
      <c r="ODN100" s="1"/>
      <c r="ODO100" s="1"/>
      <c r="ODP100" s="1"/>
      <c r="ODQ100" s="1"/>
      <c r="ODR100" s="1"/>
      <c r="ODS100" s="1"/>
      <c r="ODT100" s="1"/>
      <c r="ODU100" s="1"/>
      <c r="ODV100" s="1"/>
      <c r="ODW100" s="1"/>
      <c r="ODX100" s="1"/>
      <c r="ODY100" s="1"/>
      <c r="ODZ100" s="1"/>
      <c r="OEA100" s="1"/>
      <c r="OEB100" s="1"/>
      <c r="OEC100" s="1"/>
      <c r="OED100" s="1"/>
      <c r="OEE100" s="1"/>
      <c r="OEF100" s="1"/>
      <c r="OEG100" s="1"/>
      <c r="OEH100" s="1"/>
      <c r="OEI100" s="1"/>
      <c r="OEJ100" s="1"/>
      <c r="OEK100" s="1"/>
      <c r="OEL100" s="1"/>
      <c r="OEM100" s="1"/>
      <c r="OEN100" s="1"/>
      <c r="OEO100" s="1"/>
      <c r="OEP100" s="1"/>
      <c r="OEQ100" s="1"/>
      <c r="OER100" s="1"/>
      <c r="OES100" s="1"/>
      <c r="OET100" s="1"/>
      <c r="OEU100" s="1"/>
      <c r="OEV100" s="1"/>
      <c r="OEW100" s="1"/>
      <c r="OEX100" s="1"/>
      <c r="OEY100" s="1"/>
      <c r="OEZ100" s="1"/>
      <c r="OFA100" s="1"/>
      <c r="OFB100" s="1"/>
      <c r="OFC100" s="1"/>
      <c r="OFD100" s="1"/>
      <c r="OFE100" s="1"/>
      <c r="OFF100" s="1"/>
      <c r="OFG100" s="1"/>
      <c r="OFH100" s="1"/>
      <c r="OFI100" s="1"/>
      <c r="OFJ100" s="1"/>
      <c r="OFK100" s="1"/>
      <c r="OFL100" s="1"/>
      <c r="OFM100" s="1"/>
      <c r="OFN100" s="1"/>
      <c r="OFO100" s="1"/>
      <c r="OFP100" s="1"/>
      <c r="OFQ100" s="1"/>
      <c r="OFR100" s="1"/>
      <c r="OFS100" s="1"/>
      <c r="OFT100" s="1"/>
      <c r="OFU100" s="1"/>
      <c r="OFV100" s="1"/>
      <c r="OFW100" s="1"/>
      <c r="OFX100" s="1"/>
      <c r="OFY100" s="1"/>
      <c r="OFZ100" s="1"/>
      <c r="OGA100" s="1"/>
      <c r="OGB100" s="1"/>
      <c r="OGC100" s="1"/>
      <c r="OGD100" s="1"/>
      <c r="OGE100" s="1"/>
      <c r="OGF100" s="1"/>
      <c r="OGG100" s="1"/>
      <c r="OGH100" s="1"/>
      <c r="OGI100" s="1"/>
      <c r="OGJ100" s="1"/>
      <c r="OGK100" s="1"/>
      <c r="OGL100" s="1"/>
      <c r="OGM100" s="1"/>
      <c r="OGN100" s="1"/>
      <c r="OGO100" s="1"/>
      <c r="OGP100" s="1"/>
      <c r="OGQ100" s="1"/>
      <c r="OGR100" s="1"/>
      <c r="OGS100" s="1"/>
      <c r="OGT100" s="1"/>
      <c r="OGU100" s="1"/>
      <c r="OGV100" s="1"/>
      <c r="OGW100" s="1"/>
      <c r="OGX100" s="1"/>
      <c r="OGY100" s="1"/>
      <c r="OGZ100" s="1"/>
      <c r="OHA100" s="1"/>
      <c r="OHB100" s="1"/>
      <c r="OHC100" s="1"/>
      <c r="OHD100" s="1"/>
      <c r="OHE100" s="1"/>
      <c r="OHF100" s="1"/>
      <c r="OHG100" s="1"/>
      <c r="OHH100" s="1"/>
      <c r="OHI100" s="1"/>
      <c r="OHJ100" s="1"/>
      <c r="OHK100" s="1"/>
      <c r="OHL100" s="1"/>
      <c r="OHM100" s="1"/>
      <c r="OHN100" s="1"/>
      <c r="OHO100" s="1"/>
      <c r="OHP100" s="1"/>
      <c r="OHQ100" s="1"/>
      <c r="OHR100" s="1"/>
      <c r="OHS100" s="1"/>
      <c r="OHT100" s="1"/>
      <c r="OHU100" s="1"/>
      <c r="OHV100" s="1"/>
      <c r="OHW100" s="1"/>
      <c r="OHX100" s="1"/>
      <c r="OHY100" s="1"/>
      <c r="OHZ100" s="1"/>
      <c r="OIA100" s="1"/>
      <c r="OIB100" s="1"/>
      <c r="OIC100" s="1"/>
      <c r="OID100" s="1"/>
      <c r="OIE100" s="1"/>
      <c r="OIF100" s="1"/>
      <c r="OIG100" s="1"/>
      <c r="OIH100" s="1"/>
      <c r="OII100" s="1"/>
      <c r="OIJ100" s="1"/>
      <c r="OIK100" s="1"/>
      <c r="OIL100" s="1"/>
      <c r="OIM100" s="1"/>
      <c r="OIN100" s="1"/>
      <c r="OIO100" s="1"/>
      <c r="OIP100" s="1"/>
      <c r="OIQ100" s="1"/>
      <c r="OIR100" s="1"/>
      <c r="OIS100" s="1"/>
      <c r="OIT100" s="1"/>
      <c r="OIU100" s="1"/>
      <c r="OIV100" s="1"/>
      <c r="OIW100" s="1"/>
      <c r="OIX100" s="1"/>
      <c r="OIY100" s="1"/>
      <c r="OIZ100" s="1"/>
      <c r="OJA100" s="1"/>
      <c r="OJB100" s="1"/>
      <c r="OJC100" s="1"/>
      <c r="OJD100" s="1"/>
      <c r="OJE100" s="1"/>
      <c r="OJF100" s="1"/>
      <c r="OJG100" s="1"/>
      <c r="OJH100" s="1"/>
      <c r="OJI100" s="1"/>
      <c r="OJJ100" s="1"/>
      <c r="OJK100" s="1"/>
      <c r="OJL100" s="1"/>
      <c r="OJM100" s="1"/>
      <c r="OJN100" s="1"/>
      <c r="OJO100" s="1"/>
      <c r="OJP100" s="1"/>
      <c r="OJQ100" s="1"/>
      <c r="OJR100" s="1"/>
      <c r="OJS100" s="1"/>
      <c r="OJT100" s="1"/>
      <c r="OJU100" s="1"/>
      <c r="OJV100" s="1"/>
      <c r="OJW100" s="1"/>
      <c r="OJX100" s="1"/>
      <c r="OJY100" s="1"/>
      <c r="OJZ100" s="1"/>
      <c r="OKA100" s="1"/>
      <c r="OKB100" s="1"/>
      <c r="OKC100" s="1"/>
      <c r="OKD100" s="1"/>
      <c r="OKE100" s="1"/>
      <c r="OKF100" s="1"/>
      <c r="OKG100" s="1"/>
      <c r="OKH100" s="1"/>
      <c r="OKI100" s="1"/>
      <c r="OKJ100" s="1"/>
      <c r="OKK100" s="1"/>
      <c r="OKL100" s="1"/>
      <c r="OKM100" s="1"/>
      <c r="OKN100" s="1"/>
      <c r="OKO100" s="1"/>
      <c r="OKP100" s="1"/>
      <c r="OKQ100" s="1"/>
      <c r="OKR100" s="1"/>
      <c r="OKS100" s="1"/>
      <c r="OKT100" s="1"/>
      <c r="OKU100" s="1"/>
      <c r="OKV100" s="1"/>
      <c r="OKW100" s="1"/>
      <c r="OKX100" s="1"/>
      <c r="OKY100" s="1"/>
      <c r="OKZ100" s="1"/>
      <c r="OLA100" s="1"/>
      <c r="OLB100" s="1"/>
      <c r="OLC100" s="1"/>
      <c r="OLD100" s="1"/>
      <c r="OLE100" s="1"/>
      <c r="OLF100" s="1"/>
      <c r="OLG100" s="1"/>
      <c r="OLH100" s="1"/>
      <c r="OLI100" s="1"/>
      <c r="OLJ100" s="1"/>
      <c r="OLK100" s="1"/>
      <c r="OLL100" s="1"/>
      <c r="OLM100" s="1"/>
      <c r="OLN100" s="1"/>
      <c r="OLO100" s="1"/>
      <c r="OLP100" s="1"/>
      <c r="OLQ100" s="1"/>
      <c r="OLR100" s="1"/>
      <c r="OLS100" s="1"/>
      <c r="OLT100" s="1"/>
      <c r="OLU100" s="1"/>
      <c r="OLV100" s="1"/>
      <c r="OLW100" s="1"/>
      <c r="OLX100" s="1"/>
      <c r="OLY100" s="1"/>
      <c r="OLZ100" s="1"/>
      <c r="OMA100" s="1"/>
      <c r="OMB100" s="1"/>
      <c r="OMC100" s="1"/>
      <c r="OMD100" s="1"/>
      <c r="OME100" s="1"/>
      <c r="OMF100" s="1"/>
      <c r="OMG100" s="1"/>
      <c r="OMH100" s="1"/>
      <c r="OMI100" s="1"/>
      <c r="OMJ100" s="1"/>
      <c r="OMK100" s="1"/>
      <c r="OML100" s="1"/>
      <c r="OMM100" s="1"/>
      <c r="OMN100" s="1"/>
      <c r="OMO100" s="1"/>
      <c r="OMP100" s="1"/>
      <c r="OMQ100" s="1"/>
      <c r="OMR100" s="1"/>
      <c r="OMS100" s="1"/>
      <c r="OMT100" s="1"/>
      <c r="OMU100" s="1"/>
      <c r="OMV100" s="1"/>
      <c r="OMW100" s="1"/>
      <c r="OMX100" s="1"/>
      <c r="OMY100" s="1"/>
      <c r="OMZ100" s="1"/>
      <c r="ONA100" s="1"/>
      <c r="ONB100" s="1"/>
      <c r="ONC100" s="1"/>
      <c r="OND100" s="1"/>
      <c r="ONE100" s="1"/>
      <c r="ONF100" s="1"/>
      <c r="ONG100" s="1"/>
      <c r="ONH100" s="1"/>
      <c r="ONI100" s="1"/>
      <c r="ONJ100" s="1"/>
      <c r="ONK100" s="1"/>
      <c r="ONL100" s="1"/>
      <c r="ONM100" s="1"/>
      <c r="ONN100" s="1"/>
      <c r="ONO100" s="1"/>
      <c r="ONP100" s="1"/>
      <c r="ONQ100" s="1"/>
      <c r="ONR100" s="1"/>
      <c r="ONS100" s="1"/>
      <c r="ONT100" s="1"/>
      <c r="ONU100" s="1"/>
      <c r="ONV100" s="1"/>
      <c r="ONW100" s="1"/>
      <c r="ONX100" s="1"/>
      <c r="ONY100" s="1"/>
      <c r="ONZ100" s="1"/>
      <c r="OOA100" s="1"/>
      <c r="OOB100" s="1"/>
      <c r="OOC100" s="1"/>
      <c r="OOD100" s="1"/>
      <c r="OOE100" s="1"/>
      <c r="OOF100" s="1"/>
      <c r="OOG100" s="1"/>
      <c r="OOH100" s="1"/>
      <c r="OOI100" s="1"/>
      <c r="OOJ100" s="1"/>
      <c r="OOK100" s="1"/>
      <c r="OOL100" s="1"/>
      <c r="OOM100" s="1"/>
      <c r="OON100" s="1"/>
      <c r="OOO100" s="1"/>
      <c r="OOP100" s="1"/>
      <c r="OOQ100" s="1"/>
      <c r="OOR100" s="1"/>
      <c r="OOS100" s="1"/>
      <c r="OOT100" s="1"/>
      <c r="OOU100" s="1"/>
      <c r="OOV100" s="1"/>
      <c r="OOW100" s="1"/>
      <c r="OOX100" s="1"/>
      <c r="OOY100" s="1"/>
      <c r="OOZ100" s="1"/>
      <c r="OPA100" s="1"/>
      <c r="OPB100" s="1"/>
      <c r="OPC100" s="1"/>
      <c r="OPD100" s="1"/>
      <c r="OPE100" s="1"/>
      <c r="OPF100" s="1"/>
      <c r="OPG100" s="1"/>
      <c r="OPH100" s="1"/>
      <c r="OPI100" s="1"/>
      <c r="OPJ100" s="1"/>
      <c r="OPK100" s="1"/>
      <c r="OPL100" s="1"/>
      <c r="OPM100" s="1"/>
      <c r="OPN100" s="1"/>
      <c r="OPO100" s="1"/>
      <c r="OPP100" s="1"/>
      <c r="OPQ100" s="1"/>
      <c r="OPR100" s="1"/>
      <c r="OPS100" s="1"/>
      <c r="OPT100" s="1"/>
      <c r="OPU100" s="1"/>
      <c r="OPV100" s="1"/>
      <c r="OPW100" s="1"/>
      <c r="OPX100" s="1"/>
      <c r="OPY100" s="1"/>
      <c r="OPZ100" s="1"/>
      <c r="OQA100" s="1"/>
      <c r="OQB100" s="1"/>
      <c r="OQC100" s="1"/>
      <c r="OQD100" s="1"/>
      <c r="OQE100" s="1"/>
      <c r="OQF100" s="1"/>
      <c r="OQG100" s="1"/>
      <c r="OQH100" s="1"/>
      <c r="OQI100" s="1"/>
      <c r="OQJ100" s="1"/>
      <c r="OQK100" s="1"/>
      <c r="OQL100" s="1"/>
      <c r="OQM100" s="1"/>
      <c r="OQN100" s="1"/>
      <c r="OQO100" s="1"/>
      <c r="OQP100" s="1"/>
      <c r="OQQ100" s="1"/>
      <c r="OQR100" s="1"/>
      <c r="OQS100" s="1"/>
      <c r="OQT100" s="1"/>
      <c r="OQU100" s="1"/>
      <c r="OQV100" s="1"/>
      <c r="OQW100" s="1"/>
      <c r="OQX100" s="1"/>
      <c r="OQY100" s="1"/>
      <c r="OQZ100" s="1"/>
      <c r="ORA100" s="1"/>
      <c r="ORB100" s="1"/>
      <c r="ORC100" s="1"/>
      <c r="ORD100" s="1"/>
      <c r="ORE100" s="1"/>
      <c r="ORF100" s="1"/>
      <c r="ORG100" s="1"/>
      <c r="ORH100" s="1"/>
      <c r="ORI100" s="1"/>
      <c r="ORJ100" s="1"/>
      <c r="ORK100" s="1"/>
      <c r="ORL100" s="1"/>
      <c r="ORM100" s="1"/>
      <c r="ORN100" s="1"/>
      <c r="ORO100" s="1"/>
      <c r="ORP100" s="1"/>
      <c r="ORQ100" s="1"/>
      <c r="ORR100" s="1"/>
      <c r="ORS100" s="1"/>
      <c r="ORT100" s="1"/>
      <c r="ORU100" s="1"/>
      <c r="ORV100" s="1"/>
      <c r="ORW100" s="1"/>
      <c r="ORX100" s="1"/>
      <c r="ORY100" s="1"/>
      <c r="ORZ100" s="1"/>
      <c r="OSA100" s="1"/>
      <c r="OSB100" s="1"/>
      <c r="OSC100" s="1"/>
      <c r="OSD100" s="1"/>
      <c r="OSE100" s="1"/>
      <c r="OSF100" s="1"/>
      <c r="OSG100" s="1"/>
      <c r="OSH100" s="1"/>
      <c r="OSI100" s="1"/>
      <c r="OSJ100" s="1"/>
      <c r="OSK100" s="1"/>
      <c r="OSL100" s="1"/>
      <c r="OSM100" s="1"/>
      <c r="OSN100" s="1"/>
      <c r="OSO100" s="1"/>
      <c r="OSP100" s="1"/>
      <c r="OSQ100" s="1"/>
      <c r="OSR100" s="1"/>
      <c r="OSS100" s="1"/>
      <c r="OST100" s="1"/>
      <c r="OSU100" s="1"/>
      <c r="OSV100" s="1"/>
      <c r="OSW100" s="1"/>
      <c r="OSX100" s="1"/>
      <c r="OSY100" s="1"/>
      <c r="OSZ100" s="1"/>
      <c r="OTA100" s="1"/>
      <c r="OTB100" s="1"/>
      <c r="OTC100" s="1"/>
      <c r="OTD100" s="1"/>
      <c r="OTE100" s="1"/>
      <c r="OTF100" s="1"/>
      <c r="OTG100" s="1"/>
      <c r="OTH100" s="1"/>
      <c r="OTI100" s="1"/>
      <c r="OTJ100" s="1"/>
      <c r="OTK100" s="1"/>
      <c r="OTL100" s="1"/>
      <c r="OTM100" s="1"/>
      <c r="OTN100" s="1"/>
      <c r="OTO100" s="1"/>
      <c r="OTP100" s="1"/>
      <c r="OTQ100" s="1"/>
      <c r="OTR100" s="1"/>
      <c r="OTS100" s="1"/>
      <c r="OTT100" s="1"/>
      <c r="OTU100" s="1"/>
      <c r="OTV100" s="1"/>
      <c r="OTW100" s="1"/>
      <c r="OTX100" s="1"/>
      <c r="OTY100" s="1"/>
      <c r="OTZ100" s="1"/>
      <c r="OUA100" s="1"/>
      <c r="OUB100" s="1"/>
      <c r="OUC100" s="1"/>
      <c r="OUD100" s="1"/>
      <c r="OUE100" s="1"/>
      <c r="OUF100" s="1"/>
      <c r="OUG100" s="1"/>
      <c r="OUH100" s="1"/>
      <c r="OUI100" s="1"/>
      <c r="OUJ100" s="1"/>
      <c r="OUK100" s="1"/>
      <c r="OUL100" s="1"/>
      <c r="OUM100" s="1"/>
      <c r="OUN100" s="1"/>
      <c r="OUO100" s="1"/>
      <c r="OUP100" s="1"/>
      <c r="OUQ100" s="1"/>
      <c r="OUR100" s="1"/>
      <c r="OUS100" s="1"/>
      <c r="OUT100" s="1"/>
      <c r="OUU100" s="1"/>
      <c r="OUV100" s="1"/>
      <c r="OUW100" s="1"/>
      <c r="OUX100" s="1"/>
      <c r="OUY100" s="1"/>
      <c r="OUZ100" s="1"/>
      <c r="OVA100" s="1"/>
      <c r="OVB100" s="1"/>
      <c r="OVC100" s="1"/>
      <c r="OVD100" s="1"/>
      <c r="OVE100" s="1"/>
      <c r="OVF100" s="1"/>
      <c r="OVG100" s="1"/>
      <c r="OVH100" s="1"/>
      <c r="OVI100" s="1"/>
      <c r="OVJ100" s="1"/>
      <c r="OVK100" s="1"/>
      <c r="OVL100" s="1"/>
      <c r="OVM100" s="1"/>
      <c r="OVN100" s="1"/>
      <c r="OVO100" s="1"/>
      <c r="OVP100" s="1"/>
      <c r="OVQ100" s="1"/>
      <c r="OVR100" s="1"/>
      <c r="OVS100" s="1"/>
      <c r="OVT100" s="1"/>
      <c r="OVU100" s="1"/>
      <c r="OVV100" s="1"/>
      <c r="OVW100" s="1"/>
      <c r="OVX100" s="1"/>
      <c r="OVY100" s="1"/>
      <c r="OVZ100" s="1"/>
      <c r="OWA100" s="1"/>
      <c r="OWB100" s="1"/>
      <c r="OWC100" s="1"/>
      <c r="OWD100" s="1"/>
      <c r="OWE100" s="1"/>
      <c r="OWF100" s="1"/>
      <c r="OWG100" s="1"/>
      <c r="OWH100" s="1"/>
      <c r="OWI100" s="1"/>
      <c r="OWJ100" s="1"/>
      <c r="OWK100" s="1"/>
      <c r="OWL100" s="1"/>
      <c r="OWM100" s="1"/>
      <c r="OWN100" s="1"/>
      <c r="OWO100" s="1"/>
      <c r="OWP100" s="1"/>
      <c r="OWQ100" s="1"/>
      <c r="OWR100" s="1"/>
      <c r="OWS100" s="1"/>
      <c r="OWT100" s="1"/>
      <c r="OWU100" s="1"/>
      <c r="OWV100" s="1"/>
      <c r="OWW100" s="1"/>
      <c r="OWX100" s="1"/>
      <c r="OWY100" s="1"/>
      <c r="OWZ100" s="1"/>
      <c r="OXA100" s="1"/>
      <c r="OXB100" s="1"/>
      <c r="OXC100" s="1"/>
      <c r="OXD100" s="1"/>
      <c r="OXE100" s="1"/>
      <c r="OXF100" s="1"/>
      <c r="OXG100" s="1"/>
      <c r="OXH100" s="1"/>
      <c r="OXI100" s="1"/>
      <c r="OXJ100" s="1"/>
      <c r="OXK100" s="1"/>
      <c r="OXL100" s="1"/>
      <c r="OXM100" s="1"/>
      <c r="OXN100" s="1"/>
      <c r="OXO100" s="1"/>
      <c r="OXP100" s="1"/>
      <c r="OXQ100" s="1"/>
      <c r="OXR100" s="1"/>
      <c r="OXS100" s="1"/>
      <c r="OXT100" s="1"/>
      <c r="OXU100" s="1"/>
      <c r="OXV100" s="1"/>
      <c r="OXW100" s="1"/>
      <c r="OXX100" s="1"/>
      <c r="OXY100" s="1"/>
      <c r="OXZ100" s="1"/>
      <c r="OYA100" s="1"/>
      <c r="OYB100" s="1"/>
      <c r="OYC100" s="1"/>
      <c r="OYD100" s="1"/>
      <c r="OYE100" s="1"/>
      <c r="OYF100" s="1"/>
      <c r="OYG100" s="1"/>
      <c r="OYH100" s="1"/>
      <c r="OYI100" s="1"/>
      <c r="OYJ100" s="1"/>
      <c r="OYK100" s="1"/>
      <c r="OYL100" s="1"/>
      <c r="OYM100" s="1"/>
      <c r="OYN100" s="1"/>
      <c r="OYO100" s="1"/>
      <c r="OYP100" s="1"/>
      <c r="OYQ100" s="1"/>
      <c r="OYR100" s="1"/>
      <c r="OYS100" s="1"/>
      <c r="OYT100" s="1"/>
      <c r="OYU100" s="1"/>
      <c r="OYV100" s="1"/>
      <c r="OYW100" s="1"/>
      <c r="OYX100" s="1"/>
      <c r="OYY100" s="1"/>
      <c r="OYZ100" s="1"/>
      <c r="OZA100" s="1"/>
      <c r="OZB100" s="1"/>
      <c r="OZC100" s="1"/>
      <c r="OZD100" s="1"/>
      <c r="OZE100" s="1"/>
      <c r="OZF100" s="1"/>
      <c r="OZG100" s="1"/>
      <c r="OZH100" s="1"/>
      <c r="OZI100" s="1"/>
      <c r="OZJ100" s="1"/>
      <c r="OZK100" s="1"/>
      <c r="OZL100" s="1"/>
      <c r="OZM100" s="1"/>
      <c r="OZN100" s="1"/>
      <c r="OZO100" s="1"/>
      <c r="OZP100" s="1"/>
      <c r="OZQ100" s="1"/>
      <c r="OZR100" s="1"/>
      <c r="OZS100" s="1"/>
      <c r="OZT100" s="1"/>
      <c r="OZU100" s="1"/>
      <c r="OZV100" s="1"/>
      <c r="OZW100" s="1"/>
      <c r="OZX100" s="1"/>
      <c r="OZY100" s="1"/>
      <c r="OZZ100" s="1"/>
      <c r="PAA100" s="1"/>
      <c r="PAB100" s="1"/>
      <c r="PAC100" s="1"/>
      <c r="PAD100" s="1"/>
      <c r="PAE100" s="1"/>
      <c r="PAF100" s="1"/>
      <c r="PAG100" s="1"/>
      <c r="PAH100" s="1"/>
      <c r="PAI100" s="1"/>
      <c r="PAJ100" s="1"/>
      <c r="PAK100" s="1"/>
      <c r="PAL100" s="1"/>
      <c r="PAM100" s="1"/>
      <c r="PAN100" s="1"/>
      <c r="PAO100" s="1"/>
      <c r="PAP100" s="1"/>
      <c r="PAQ100" s="1"/>
      <c r="PAR100" s="1"/>
      <c r="PAS100" s="1"/>
      <c r="PAT100" s="1"/>
      <c r="PAU100" s="1"/>
      <c r="PAV100" s="1"/>
      <c r="PAW100" s="1"/>
      <c r="PAX100" s="1"/>
      <c r="PAY100" s="1"/>
      <c r="PAZ100" s="1"/>
      <c r="PBA100" s="1"/>
      <c r="PBB100" s="1"/>
      <c r="PBC100" s="1"/>
      <c r="PBD100" s="1"/>
      <c r="PBE100" s="1"/>
      <c r="PBF100" s="1"/>
      <c r="PBG100" s="1"/>
      <c r="PBH100" s="1"/>
      <c r="PBI100" s="1"/>
      <c r="PBJ100" s="1"/>
      <c r="PBK100" s="1"/>
      <c r="PBL100" s="1"/>
      <c r="PBM100" s="1"/>
      <c r="PBN100" s="1"/>
      <c r="PBO100" s="1"/>
      <c r="PBP100" s="1"/>
      <c r="PBQ100" s="1"/>
      <c r="PBR100" s="1"/>
      <c r="PBS100" s="1"/>
      <c r="PBT100" s="1"/>
      <c r="PBU100" s="1"/>
      <c r="PBV100" s="1"/>
      <c r="PBW100" s="1"/>
      <c r="PBX100" s="1"/>
      <c r="PBY100" s="1"/>
      <c r="PBZ100" s="1"/>
      <c r="PCA100" s="1"/>
      <c r="PCB100" s="1"/>
      <c r="PCC100" s="1"/>
      <c r="PCD100" s="1"/>
      <c r="PCE100" s="1"/>
      <c r="PCF100" s="1"/>
      <c r="PCG100" s="1"/>
      <c r="PCH100" s="1"/>
      <c r="PCI100" s="1"/>
      <c r="PCJ100" s="1"/>
      <c r="PCK100" s="1"/>
      <c r="PCL100" s="1"/>
      <c r="PCM100" s="1"/>
      <c r="PCN100" s="1"/>
      <c r="PCO100" s="1"/>
      <c r="PCP100" s="1"/>
      <c r="PCQ100" s="1"/>
      <c r="PCR100" s="1"/>
      <c r="PCS100" s="1"/>
      <c r="PCT100" s="1"/>
      <c r="PCU100" s="1"/>
      <c r="PCV100" s="1"/>
      <c r="PCW100" s="1"/>
      <c r="PCX100" s="1"/>
      <c r="PCY100" s="1"/>
      <c r="PCZ100" s="1"/>
      <c r="PDA100" s="1"/>
      <c r="PDB100" s="1"/>
      <c r="PDC100" s="1"/>
      <c r="PDD100" s="1"/>
      <c r="PDE100" s="1"/>
      <c r="PDF100" s="1"/>
      <c r="PDG100" s="1"/>
      <c r="PDH100" s="1"/>
      <c r="PDI100" s="1"/>
      <c r="PDJ100" s="1"/>
      <c r="PDK100" s="1"/>
      <c r="PDL100" s="1"/>
      <c r="PDM100" s="1"/>
      <c r="PDN100" s="1"/>
      <c r="PDO100" s="1"/>
      <c r="PDP100" s="1"/>
      <c r="PDQ100" s="1"/>
      <c r="PDR100" s="1"/>
      <c r="PDS100" s="1"/>
      <c r="PDT100" s="1"/>
      <c r="PDU100" s="1"/>
      <c r="PDV100" s="1"/>
      <c r="PDW100" s="1"/>
      <c r="PDX100" s="1"/>
      <c r="PDY100" s="1"/>
      <c r="PDZ100" s="1"/>
      <c r="PEA100" s="1"/>
      <c r="PEB100" s="1"/>
      <c r="PEC100" s="1"/>
      <c r="PED100" s="1"/>
      <c r="PEE100" s="1"/>
      <c r="PEF100" s="1"/>
      <c r="PEG100" s="1"/>
      <c r="PEH100" s="1"/>
      <c r="PEI100" s="1"/>
      <c r="PEJ100" s="1"/>
      <c r="PEK100" s="1"/>
      <c r="PEL100" s="1"/>
      <c r="PEM100" s="1"/>
      <c r="PEN100" s="1"/>
      <c r="PEO100" s="1"/>
      <c r="PEP100" s="1"/>
      <c r="PEQ100" s="1"/>
      <c r="PER100" s="1"/>
      <c r="PES100" s="1"/>
      <c r="PET100" s="1"/>
      <c r="PEU100" s="1"/>
      <c r="PEV100" s="1"/>
      <c r="PEW100" s="1"/>
      <c r="PEX100" s="1"/>
      <c r="PEY100" s="1"/>
      <c r="PEZ100" s="1"/>
      <c r="PFA100" s="1"/>
      <c r="PFB100" s="1"/>
      <c r="PFC100" s="1"/>
      <c r="PFD100" s="1"/>
      <c r="PFE100" s="1"/>
      <c r="PFF100" s="1"/>
      <c r="PFG100" s="1"/>
      <c r="PFH100" s="1"/>
      <c r="PFI100" s="1"/>
      <c r="PFJ100" s="1"/>
      <c r="PFK100" s="1"/>
      <c r="PFL100" s="1"/>
      <c r="PFM100" s="1"/>
      <c r="PFN100" s="1"/>
      <c r="PFO100" s="1"/>
      <c r="PFP100" s="1"/>
      <c r="PFQ100" s="1"/>
      <c r="PFR100" s="1"/>
      <c r="PFS100" s="1"/>
      <c r="PFT100" s="1"/>
      <c r="PFU100" s="1"/>
      <c r="PFV100" s="1"/>
      <c r="PFW100" s="1"/>
      <c r="PFX100" s="1"/>
      <c r="PFY100" s="1"/>
      <c r="PFZ100" s="1"/>
      <c r="PGA100" s="1"/>
      <c r="PGB100" s="1"/>
      <c r="PGC100" s="1"/>
      <c r="PGD100" s="1"/>
      <c r="PGE100" s="1"/>
      <c r="PGF100" s="1"/>
      <c r="PGG100" s="1"/>
      <c r="PGH100" s="1"/>
      <c r="PGI100" s="1"/>
      <c r="PGJ100" s="1"/>
      <c r="PGK100" s="1"/>
      <c r="PGL100" s="1"/>
      <c r="PGM100" s="1"/>
      <c r="PGN100" s="1"/>
      <c r="PGO100" s="1"/>
      <c r="PGP100" s="1"/>
      <c r="PGQ100" s="1"/>
      <c r="PGR100" s="1"/>
      <c r="PGS100" s="1"/>
      <c r="PGT100" s="1"/>
      <c r="PGU100" s="1"/>
      <c r="PGV100" s="1"/>
      <c r="PGW100" s="1"/>
      <c r="PGX100" s="1"/>
      <c r="PGY100" s="1"/>
      <c r="PGZ100" s="1"/>
      <c r="PHA100" s="1"/>
      <c r="PHB100" s="1"/>
      <c r="PHC100" s="1"/>
      <c r="PHD100" s="1"/>
      <c r="PHE100" s="1"/>
      <c r="PHF100" s="1"/>
      <c r="PHG100" s="1"/>
      <c r="PHH100" s="1"/>
      <c r="PHI100" s="1"/>
      <c r="PHJ100" s="1"/>
      <c r="PHK100" s="1"/>
      <c r="PHL100" s="1"/>
      <c r="PHM100" s="1"/>
      <c r="PHN100" s="1"/>
      <c r="PHO100" s="1"/>
      <c r="PHP100" s="1"/>
      <c r="PHQ100" s="1"/>
      <c r="PHR100" s="1"/>
      <c r="PHS100" s="1"/>
      <c r="PHT100" s="1"/>
      <c r="PHU100" s="1"/>
      <c r="PHV100" s="1"/>
      <c r="PHW100" s="1"/>
      <c r="PHX100" s="1"/>
      <c r="PHY100" s="1"/>
      <c r="PHZ100" s="1"/>
      <c r="PIA100" s="1"/>
      <c r="PIB100" s="1"/>
      <c r="PIC100" s="1"/>
      <c r="PID100" s="1"/>
      <c r="PIE100" s="1"/>
      <c r="PIF100" s="1"/>
      <c r="PIG100" s="1"/>
      <c r="PIH100" s="1"/>
      <c r="PII100" s="1"/>
      <c r="PIJ100" s="1"/>
      <c r="PIK100" s="1"/>
      <c r="PIL100" s="1"/>
      <c r="PIM100" s="1"/>
      <c r="PIN100" s="1"/>
      <c r="PIO100" s="1"/>
      <c r="PIP100" s="1"/>
      <c r="PIQ100" s="1"/>
      <c r="PIR100" s="1"/>
      <c r="PIS100" s="1"/>
      <c r="PIT100" s="1"/>
      <c r="PIU100" s="1"/>
      <c r="PIV100" s="1"/>
      <c r="PIW100" s="1"/>
      <c r="PIX100" s="1"/>
      <c r="PIY100" s="1"/>
      <c r="PIZ100" s="1"/>
      <c r="PJA100" s="1"/>
      <c r="PJB100" s="1"/>
      <c r="PJC100" s="1"/>
      <c r="PJD100" s="1"/>
      <c r="PJE100" s="1"/>
      <c r="PJF100" s="1"/>
      <c r="PJG100" s="1"/>
      <c r="PJH100" s="1"/>
      <c r="PJI100" s="1"/>
      <c r="PJJ100" s="1"/>
      <c r="PJK100" s="1"/>
      <c r="PJL100" s="1"/>
      <c r="PJM100" s="1"/>
      <c r="PJN100" s="1"/>
      <c r="PJO100" s="1"/>
      <c r="PJP100" s="1"/>
      <c r="PJQ100" s="1"/>
      <c r="PJR100" s="1"/>
      <c r="PJS100" s="1"/>
      <c r="PJT100" s="1"/>
      <c r="PJU100" s="1"/>
      <c r="PJV100" s="1"/>
      <c r="PJW100" s="1"/>
      <c r="PJX100" s="1"/>
      <c r="PJY100" s="1"/>
      <c r="PJZ100" s="1"/>
      <c r="PKA100" s="1"/>
      <c r="PKB100" s="1"/>
      <c r="PKC100" s="1"/>
      <c r="PKD100" s="1"/>
      <c r="PKE100" s="1"/>
      <c r="PKF100" s="1"/>
      <c r="PKG100" s="1"/>
      <c r="PKH100" s="1"/>
      <c r="PKI100" s="1"/>
      <c r="PKJ100" s="1"/>
      <c r="PKK100" s="1"/>
      <c r="PKL100" s="1"/>
      <c r="PKM100" s="1"/>
      <c r="PKN100" s="1"/>
      <c r="PKO100" s="1"/>
      <c r="PKP100" s="1"/>
      <c r="PKQ100" s="1"/>
      <c r="PKR100" s="1"/>
      <c r="PKS100" s="1"/>
      <c r="PKT100" s="1"/>
      <c r="PKU100" s="1"/>
      <c r="PKV100" s="1"/>
      <c r="PKW100" s="1"/>
      <c r="PKX100" s="1"/>
      <c r="PKY100" s="1"/>
      <c r="PKZ100" s="1"/>
      <c r="PLA100" s="1"/>
      <c r="PLB100" s="1"/>
      <c r="PLC100" s="1"/>
      <c r="PLD100" s="1"/>
      <c r="PLE100" s="1"/>
      <c r="PLF100" s="1"/>
      <c r="PLG100" s="1"/>
      <c r="PLH100" s="1"/>
      <c r="PLI100" s="1"/>
      <c r="PLJ100" s="1"/>
      <c r="PLK100" s="1"/>
      <c r="PLL100" s="1"/>
      <c r="PLM100" s="1"/>
      <c r="PLN100" s="1"/>
      <c r="PLO100" s="1"/>
      <c r="PLP100" s="1"/>
      <c r="PLQ100" s="1"/>
      <c r="PLR100" s="1"/>
      <c r="PLS100" s="1"/>
      <c r="PLT100" s="1"/>
      <c r="PLU100" s="1"/>
      <c r="PLV100" s="1"/>
      <c r="PLW100" s="1"/>
      <c r="PLX100" s="1"/>
      <c r="PLY100" s="1"/>
      <c r="PLZ100" s="1"/>
      <c r="PMA100" s="1"/>
      <c r="PMB100" s="1"/>
      <c r="PMC100" s="1"/>
      <c r="PMD100" s="1"/>
      <c r="PME100" s="1"/>
      <c r="PMF100" s="1"/>
      <c r="PMG100" s="1"/>
      <c r="PMH100" s="1"/>
      <c r="PMI100" s="1"/>
      <c r="PMJ100" s="1"/>
      <c r="PMK100" s="1"/>
      <c r="PML100" s="1"/>
      <c r="PMM100" s="1"/>
      <c r="PMN100" s="1"/>
      <c r="PMO100" s="1"/>
      <c r="PMP100" s="1"/>
      <c r="PMQ100" s="1"/>
      <c r="PMR100" s="1"/>
      <c r="PMS100" s="1"/>
      <c r="PMT100" s="1"/>
      <c r="PMU100" s="1"/>
      <c r="PMV100" s="1"/>
      <c r="PMW100" s="1"/>
      <c r="PMX100" s="1"/>
      <c r="PMY100" s="1"/>
      <c r="PMZ100" s="1"/>
      <c r="PNA100" s="1"/>
      <c r="PNB100" s="1"/>
      <c r="PNC100" s="1"/>
      <c r="PND100" s="1"/>
      <c r="PNE100" s="1"/>
      <c r="PNF100" s="1"/>
      <c r="PNG100" s="1"/>
      <c r="PNH100" s="1"/>
      <c r="PNI100" s="1"/>
      <c r="PNJ100" s="1"/>
      <c r="PNK100" s="1"/>
      <c r="PNL100" s="1"/>
      <c r="PNM100" s="1"/>
      <c r="PNN100" s="1"/>
      <c r="PNO100" s="1"/>
      <c r="PNP100" s="1"/>
      <c r="PNQ100" s="1"/>
      <c r="PNR100" s="1"/>
      <c r="PNS100" s="1"/>
      <c r="PNT100" s="1"/>
      <c r="PNU100" s="1"/>
      <c r="PNV100" s="1"/>
      <c r="PNW100" s="1"/>
      <c r="PNX100" s="1"/>
      <c r="PNY100" s="1"/>
      <c r="PNZ100" s="1"/>
      <c r="POA100" s="1"/>
      <c r="POB100" s="1"/>
      <c r="POC100" s="1"/>
      <c r="POD100" s="1"/>
      <c r="POE100" s="1"/>
      <c r="POF100" s="1"/>
      <c r="POG100" s="1"/>
      <c r="POH100" s="1"/>
      <c r="POI100" s="1"/>
      <c r="POJ100" s="1"/>
      <c r="POK100" s="1"/>
      <c r="POL100" s="1"/>
      <c r="POM100" s="1"/>
      <c r="PON100" s="1"/>
      <c r="POO100" s="1"/>
      <c r="POP100" s="1"/>
      <c r="POQ100" s="1"/>
      <c r="POR100" s="1"/>
      <c r="POS100" s="1"/>
      <c r="POT100" s="1"/>
      <c r="POU100" s="1"/>
      <c r="POV100" s="1"/>
      <c r="POW100" s="1"/>
      <c r="POX100" s="1"/>
      <c r="POY100" s="1"/>
      <c r="POZ100" s="1"/>
      <c r="PPA100" s="1"/>
      <c r="PPB100" s="1"/>
      <c r="PPC100" s="1"/>
      <c r="PPD100" s="1"/>
      <c r="PPE100" s="1"/>
      <c r="PPF100" s="1"/>
      <c r="PPG100" s="1"/>
      <c r="PPH100" s="1"/>
      <c r="PPI100" s="1"/>
      <c r="PPJ100" s="1"/>
      <c r="PPK100" s="1"/>
      <c r="PPL100" s="1"/>
      <c r="PPM100" s="1"/>
      <c r="PPN100" s="1"/>
      <c r="PPO100" s="1"/>
      <c r="PPP100" s="1"/>
      <c r="PPQ100" s="1"/>
      <c r="PPR100" s="1"/>
      <c r="PPS100" s="1"/>
      <c r="PPT100" s="1"/>
      <c r="PPU100" s="1"/>
      <c r="PPV100" s="1"/>
      <c r="PPW100" s="1"/>
      <c r="PPX100" s="1"/>
      <c r="PPY100" s="1"/>
      <c r="PPZ100" s="1"/>
      <c r="PQA100" s="1"/>
      <c r="PQB100" s="1"/>
      <c r="PQC100" s="1"/>
      <c r="PQD100" s="1"/>
      <c r="PQE100" s="1"/>
      <c r="PQF100" s="1"/>
      <c r="PQG100" s="1"/>
      <c r="PQH100" s="1"/>
      <c r="PQI100" s="1"/>
      <c r="PQJ100" s="1"/>
      <c r="PQK100" s="1"/>
      <c r="PQL100" s="1"/>
      <c r="PQM100" s="1"/>
      <c r="PQN100" s="1"/>
      <c r="PQO100" s="1"/>
      <c r="PQP100" s="1"/>
      <c r="PQQ100" s="1"/>
      <c r="PQR100" s="1"/>
      <c r="PQS100" s="1"/>
      <c r="PQT100" s="1"/>
      <c r="PQU100" s="1"/>
      <c r="PQV100" s="1"/>
      <c r="PQW100" s="1"/>
      <c r="PQX100" s="1"/>
      <c r="PQY100" s="1"/>
      <c r="PQZ100" s="1"/>
      <c r="PRA100" s="1"/>
      <c r="PRB100" s="1"/>
      <c r="PRC100" s="1"/>
      <c r="PRD100" s="1"/>
      <c r="PRE100" s="1"/>
      <c r="PRF100" s="1"/>
      <c r="PRG100" s="1"/>
      <c r="PRH100" s="1"/>
      <c r="PRI100" s="1"/>
      <c r="PRJ100" s="1"/>
      <c r="PRK100" s="1"/>
      <c r="PRL100" s="1"/>
      <c r="PRM100" s="1"/>
      <c r="PRN100" s="1"/>
      <c r="PRO100" s="1"/>
      <c r="PRP100" s="1"/>
      <c r="PRQ100" s="1"/>
      <c r="PRR100" s="1"/>
      <c r="PRS100" s="1"/>
      <c r="PRT100" s="1"/>
      <c r="PRU100" s="1"/>
      <c r="PRV100" s="1"/>
      <c r="PRW100" s="1"/>
      <c r="PRX100" s="1"/>
      <c r="PRY100" s="1"/>
      <c r="PRZ100" s="1"/>
      <c r="PSA100" s="1"/>
      <c r="PSB100" s="1"/>
      <c r="PSC100" s="1"/>
      <c r="PSD100" s="1"/>
      <c r="PSE100" s="1"/>
      <c r="PSF100" s="1"/>
      <c r="PSG100" s="1"/>
      <c r="PSH100" s="1"/>
      <c r="PSI100" s="1"/>
      <c r="PSJ100" s="1"/>
      <c r="PSK100" s="1"/>
      <c r="PSL100" s="1"/>
      <c r="PSM100" s="1"/>
      <c r="PSN100" s="1"/>
      <c r="PSO100" s="1"/>
      <c r="PSP100" s="1"/>
      <c r="PSQ100" s="1"/>
      <c r="PSR100" s="1"/>
      <c r="PSS100" s="1"/>
      <c r="PST100" s="1"/>
      <c r="PSU100" s="1"/>
      <c r="PSV100" s="1"/>
      <c r="PSW100" s="1"/>
      <c r="PSX100" s="1"/>
      <c r="PSY100" s="1"/>
      <c r="PSZ100" s="1"/>
      <c r="PTA100" s="1"/>
      <c r="PTB100" s="1"/>
      <c r="PTC100" s="1"/>
      <c r="PTD100" s="1"/>
      <c r="PTE100" s="1"/>
      <c r="PTF100" s="1"/>
      <c r="PTG100" s="1"/>
      <c r="PTH100" s="1"/>
      <c r="PTI100" s="1"/>
      <c r="PTJ100" s="1"/>
      <c r="PTK100" s="1"/>
      <c r="PTL100" s="1"/>
      <c r="PTM100" s="1"/>
      <c r="PTN100" s="1"/>
      <c r="PTO100" s="1"/>
      <c r="PTP100" s="1"/>
      <c r="PTQ100" s="1"/>
      <c r="PTR100" s="1"/>
      <c r="PTS100" s="1"/>
      <c r="PTT100" s="1"/>
      <c r="PTU100" s="1"/>
      <c r="PTV100" s="1"/>
      <c r="PTW100" s="1"/>
      <c r="PTX100" s="1"/>
      <c r="PTY100" s="1"/>
      <c r="PTZ100" s="1"/>
      <c r="PUA100" s="1"/>
      <c r="PUB100" s="1"/>
      <c r="PUC100" s="1"/>
      <c r="PUD100" s="1"/>
      <c r="PUE100" s="1"/>
      <c r="PUF100" s="1"/>
      <c r="PUG100" s="1"/>
      <c r="PUH100" s="1"/>
      <c r="PUI100" s="1"/>
      <c r="PUJ100" s="1"/>
      <c r="PUK100" s="1"/>
      <c r="PUL100" s="1"/>
      <c r="PUM100" s="1"/>
      <c r="PUN100" s="1"/>
      <c r="PUO100" s="1"/>
      <c r="PUP100" s="1"/>
      <c r="PUQ100" s="1"/>
      <c r="PUR100" s="1"/>
      <c r="PUS100" s="1"/>
      <c r="PUT100" s="1"/>
      <c r="PUU100" s="1"/>
      <c r="PUV100" s="1"/>
      <c r="PUW100" s="1"/>
      <c r="PUX100" s="1"/>
      <c r="PUY100" s="1"/>
      <c r="PUZ100" s="1"/>
      <c r="PVA100" s="1"/>
      <c r="PVB100" s="1"/>
      <c r="PVC100" s="1"/>
      <c r="PVD100" s="1"/>
      <c r="PVE100" s="1"/>
      <c r="PVF100" s="1"/>
      <c r="PVG100" s="1"/>
      <c r="PVH100" s="1"/>
      <c r="PVI100" s="1"/>
      <c r="PVJ100" s="1"/>
      <c r="PVK100" s="1"/>
      <c r="PVL100" s="1"/>
      <c r="PVM100" s="1"/>
      <c r="PVN100" s="1"/>
      <c r="PVO100" s="1"/>
      <c r="PVP100" s="1"/>
      <c r="PVQ100" s="1"/>
      <c r="PVR100" s="1"/>
      <c r="PVS100" s="1"/>
      <c r="PVT100" s="1"/>
      <c r="PVU100" s="1"/>
      <c r="PVV100" s="1"/>
      <c r="PVW100" s="1"/>
      <c r="PVX100" s="1"/>
      <c r="PVY100" s="1"/>
      <c r="PVZ100" s="1"/>
      <c r="PWA100" s="1"/>
      <c r="PWB100" s="1"/>
      <c r="PWC100" s="1"/>
      <c r="PWD100" s="1"/>
      <c r="PWE100" s="1"/>
      <c r="PWF100" s="1"/>
      <c r="PWG100" s="1"/>
      <c r="PWH100" s="1"/>
      <c r="PWI100" s="1"/>
      <c r="PWJ100" s="1"/>
      <c r="PWK100" s="1"/>
      <c r="PWL100" s="1"/>
      <c r="PWM100" s="1"/>
      <c r="PWN100" s="1"/>
      <c r="PWO100" s="1"/>
      <c r="PWP100" s="1"/>
      <c r="PWQ100" s="1"/>
      <c r="PWR100" s="1"/>
      <c r="PWS100" s="1"/>
      <c r="PWT100" s="1"/>
      <c r="PWU100" s="1"/>
      <c r="PWV100" s="1"/>
      <c r="PWW100" s="1"/>
      <c r="PWX100" s="1"/>
      <c r="PWY100" s="1"/>
      <c r="PWZ100" s="1"/>
      <c r="PXA100" s="1"/>
      <c r="PXB100" s="1"/>
      <c r="PXC100" s="1"/>
      <c r="PXD100" s="1"/>
      <c r="PXE100" s="1"/>
      <c r="PXF100" s="1"/>
      <c r="PXG100" s="1"/>
      <c r="PXH100" s="1"/>
      <c r="PXI100" s="1"/>
      <c r="PXJ100" s="1"/>
      <c r="PXK100" s="1"/>
      <c r="PXL100" s="1"/>
      <c r="PXM100" s="1"/>
      <c r="PXN100" s="1"/>
      <c r="PXO100" s="1"/>
      <c r="PXP100" s="1"/>
      <c r="PXQ100" s="1"/>
      <c r="PXR100" s="1"/>
      <c r="PXS100" s="1"/>
      <c r="PXT100" s="1"/>
      <c r="PXU100" s="1"/>
      <c r="PXV100" s="1"/>
      <c r="PXW100" s="1"/>
      <c r="PXX100" s="1"/>
      <c r="PXY100" s="1"/>
      <c r="PXZ100" s="1"/>
      <c r="PYA100" s="1"/>
      <c r="PYB100" s="1"/>
      <c r="PYC100" s="1"/>
      <c r="PYD100" s="1"/>
      <c r="PYE100" s="1"/>
      <c r="PYF100" s="1"/>
      <c r="PYG100" s="1"/>
      <c r="PYH100" s="1"/>
      <c r="PYI100" s="1"/>
      <c r="PYJ100" s="1"/>
      <c r="PYK100" s="1"/>
      <c r="PYL100" s="1"/>
      <c r="PYM100" s="1"/>
      <c r="PYN100" s="1"/>
      <c r="PYO100" s="1"/>
      <c r="PYP100" s="1"/>
      <c r="PYQ100" s="1"/>
      <c r="PYR100" s="1"/>
      <c r="PYS100" s="1"/>
      <c r="PYT100" s="1"/>
      <c r="PYU100" s="1"/>
      <c r="PYV100" s="1"/>
      <c r="PYW100" s="1"/>
      <c r="PYX100" s="1"/>
      <c r="PYY100" s="1"/>
      <c r="PYZ100" s="1"/>
      <c r="PZA100" s="1"/>
      <c r="PZB100" s="1"/>
      <c r="PZC100" s="1"/>
      <c r="PZD100" s="1"/>
      <c r="PZE100" s="1"/>
      <c r="PZF100" s="1"/>
      <c r="PZG100" s="1"/>
      <c r="PZH100" s="1"/>
      <c r="PZI100" s="1"/>
      <c r="PZJ100" s="1"/>
      <c r="PZK100" s="1"/>
      <c r="PZL100" s="1"/>
      <c r="PZM100" s="1"/>
      <c r="PZN100" s="1"/>
      <c r="PZO100" s="1"/>
      <c r="PZP100" s="1"/>
      <c r="PZQ100" s="1"/>
      <c r="PZR100" s="1"/>
      <c r="PZS100" s="1"/>
      <c r="PZT100" s="1"/>
      <c r="PZU100" s="1"/>
      <c r="PZV100" s="1"/>
      <c r="PZW100" s="1"/>
      <c r="PZX100" s="1"/>
      <c r="PZY100" s="1"/>
      <c r="PZZ100" s="1"/>
      <c r="QAA100" s="1"/>
      <c r="QAB100" s="1"/>
      <c r="QAC100" s="1"/>
      <c r="QAD100" s="1"/>
      <c r="QAE100" s="1"/>
      <c r="QAF100" s="1"/>
      <c r="QAG100" s="1"/>
      <c r="QAH100" s="1"/>
      <c r="QAI100" s="1"/>
      <c r="QAJ100" s="1"/>
      <c r="QAK100" s="1"/>
      <c r="QAL100" s="1"/>
      <c r="QAM100" s="1"/>
      <c r="QAN100" s="1"/>
      <c r="QAO100" s="1"/>
      <c r="QAP100" s="1"/>
      <c r="QAQ100" s="1"/>
      <c r="QAR100" s="1"/>
      <c r="QAS100" s="1"/>
      <c r="QAT100" s="1"/>
      <c r="QAU100" s="1"/>
      <c r="QAV100" s="1"/>
      <c r="QAW100" s="1"/>
      <c r="QAX100" s="1"/>
      <c r="QAY100" s="1"/>
      <c r="QAZ100" s="1"/>
      <c r="QBA100" s="1"/>
      <c r="QBB100" s="1"/>
      <c r="QBC100" s="1"/>
      <c r="QBD100" s="1"/>
      <c r="QBE100" s="1"/>
      <c r="QBF100" s="1"/>
      <c r="QBG100" s="1"/>
      <c r="QBH100" s="1"/>
      <c r="QBI100" s="1"/>
      <c r="QBJ100" s="1"/>
      <c r="QBK100" s="1"/>
      <c r="QBL100" s="1"/>
      <c r="QBM100" s="1"/>
      <c r="QBN100" s="1"/>
      <c r="QBO100" s="1"/>
      <c r="QBP100" s="1"/>
      <c r="QBQ100" s="1"/>
      <c r="QBR100" s="1"/>
      <c r="QBS100" s="1"/>
      <c r="QBT100" s="1"/>
      <c r="QBU100" s="1"/>
      <c r="QBV100" s="1"/>
      <c r="QBW100" s="1"/>
      <c r="QBX100" s="1"/>
      <c r="QBY100" s="1"/>
      <c r="QBZ100" s="1"/>
      <c r="QCA100" s="1"/>
      <c r="QCB100" s="1"/>
      <c r="QCC100" s="1"/>
      <c r="QCD100" s="1"/>
      <c r="QCE100" s="1"/>
      <c r="QCF100" s="1"/>
      <c r="QCG100" s="1"/>
      <c r="QCH100" s="1"/>
      <c r="QCI100" s="1"/>
      <c r="QCJ100" s="1"/>
      <c r="QCK100" s="1"/>
      <c r="QCL100" s="1"/>
      <c r="QCM100" s="1"/>
      <c r="QCN100" s="1"/>
      <c r="QCO100" s="1"/>
      <c r="QCP100" s="1"/>
      <c r="QCQ100" s="1"/>
      <c r="QCR100" s="1"/>
      <c r="QCS100" s="1"/>
      <c r="QCT100" s="1"/>
      <c r="QCU100" s="1"/>
      <c r="QCV100" s="1"/>
      <c r="QCW100" s="1"/>
      <c r="QCX100" s="1"/>
      <c r="QCY100" s="1"/>
      <c r="QCZ100" s="1"/>
      <c r="QDA100" s="1"/>
      <c r="QDB100" s="1"/>
      <c r="QDC100" s="1"/>
      <c r="QDD100" s="1"/>
      <c r="QDE100" s="1"/>
      <c r="QDF100" s="1"/>
      <c r="QDG100" s="1"/>
      <c r="QDH100" s="1"/>
      <c r="QDI100" s="1"/>
      <c r="QDJ100" s="1"/>
      <c r="QDK100" s="1"/>
      <c r="QDL100" s="1"/>
      <c r="QDM100" s="1"/>
      <c r="QDN100" s="1"/>
      <c r="QDO100" s="1"/>
      <c r="QDP100" s="1"/>
      <c r="QDQ100" s="1"/>
      <c r="QDR100" s="1"/>
      <c r="QDS100" s="1"/>
      <c r="QDT100" s="1"/>
      <c r="QDU100" s="1"/>
      <c r="QDV100" s="1"/>
      <c r="QDW100" s="1"/>
      <c r="QDX100" s="1"/>
      <c r="QDY100" s="1"/>
      <c r="QDZ100" s="1"/>
      <c r="QEA100" s="1"/>
      <c r="QEB100" s="1"/>
      <c r="QEC100" s="1"/>
      <c r="QED100" s="1"/>
      <c r="QEE100" s="1"/>
      <c r="QEF100" s="1"/>
      <c r="QEG100" s="1"/>
      <c r="QEH100" s="1"/>
      <c r="QEI100" s="1"/>
      <c r="QEJ100" s="1"/>
      <c r="QEK100" s="1"/>
      <c r="QEL100" s="1"/>
      <c r="QEM100" s="1"/>
      <c r="QEN100" s="1"/>
      <c r="QEO100" s="1"/>
      <c r="QEP100" s="1"/>
      <c r="QEQ100" s="1"/>
      <c r="QER100" s="1"/>
      <c r="QES100" s="1"/>
      <c r="QET100" s="1"/>
      <c r="QEU100" s="1"/>
      <c r="QEV100" s="1"/>
      <c r="QEW100" s="1"/>
      <c r="QEX100" s="1"/>
      <c r="QEY100" s="1"/>
      <c r="QEZ100" s="1"/>
      <c r="QFA100" s="1"/>
      <c r="QFB100" s="1"/>
      <c r="QFC100" s="1"/>
      <c r="QFD100" s="1"/>
      <c r="QFE100" s="1"/>
      <c r="QFF100" s="1"/>
      <c r="QFG100" s="1"/>
      <c r="QFH100" s="1"/>
      <c r="QFI100" s="1"/>
      <c r="QFJ100" s="1"/>
      <c r="QFK100" s="1"/>
      <c r="QFL100" s="1"/>
      <c r="QFM100" s="1"/>
      <c r="QFN100" s="1"/>
      <c r="QFO100" s="1"/>
      <c r="QFP100" s="1"/>
      <c r="QFQ100" s="1"/>
      <c r="QFR100" s="1"/>
      <c r="QFS100" s="1"/>
      <c r="QFT100" s="1"/>
      <c r="QFU100" s="1"/>
      <c r="QFV100" s="1"/>
      <c r="QFW100" s="1"/>
      <c r="QFX100" s="1"/>
      <c r="QFY100" s="1"/>
      <c r="QFZ100" s="1"/>
      <c r="QGA100" s="1"/>
      <c r="QGB100" s="1"/>
      <c r="QGC100" s="1"/>
      <c r="QGD100" s="1"/>
      <c r="QGE100" s="1"/>
      <c r="QGF100" s="1"/>
      <c r="QGG100" s="1"/>
      <c r="QGH100" s="1"/>
      <c r="QGI100" s="1"/>
      <c r="QGJ100" s="1"/>
      <c r="QGK100" s="1"/>
      <c r="QGL100" s="1"/>
      <c r="QGM100" s="1"/>
      <c r="QGN100" s="1"/>
      <c r="QGO100" s="1"/>
      <c r="QGP100" s="1"/>
      <c r="QGQ100" s="1"/>
      <c r="QGR100" s="1"/>
      <c r="QGS100" s="1"/>
      <c r="QGT100" s="1"/>
      <c r="QGU100" s="1"/>
      <c r="QGV100" s="1"/>
      <c r="QGW100" s="1"/>
      <c r="QGX100" s="1"/>
      <c r="QGY100" s="1"/>
      <c r="QGZ100" s="1"/>
      <c r="QHA100" s="1"/>
      <c r="QHB100" s="1"/>
      <c r="QHC100" s="1"/>
      <c r="QHD100" s="1"/>
      <c r="QHE100" s="1"/>
      <c r="QHF100" s="1"/>
      <c r="QHG100" s="1"/>
      <c r="QHH100" s="1"/>
      <c r="QHI100" s="1"/>
      <c r="QHJ100" s="1"/>
      <c r="QHK100" s="1"/>
      <c r="QHL100" s="1"/>
      <c r="QHM100" s="1"/>
      <c r="QHN100" s="1"/>
      <c r="QHO100" s="1"/>
      <c r="QHP100" s="1"/>
      <c r="QHQ100" s="1"/>
      <c r="QHR100" s="1"/>
      <c r="QHS100" s="1"/>
      <c r="QHT100" s="1"/>
      <c r="QHU100" s="1"/>
      <c r="QHV100" s="1"/>
      <c r="QHW100" s="1"/>
      <c r="QHX100" s="1"/>
      <c r="QHY100" s="1"/>
      <c r="QHZ100" s="1"/>
      <c r="QIA100" s="1"/>
      <c r="QIB100" s="1"/>
      <c r="QIC100" s="1"/>
      <c r="QID100" s="1"/>
      <c r="QIE100" s="1"/>
      <c r="QIF100" s="1"/>
      <c r="QIG100" s="1"/>
      <c r="QIH100" s="1"/>
      <c r="QII100" s="1"/>
      <c r="QIJ100" s="1"/>
      <c r="QIK100" s="1"/>
      <c r="QIL100" s="1"/>
      <c r="QIM100" s="1"/>
      <c r="QIN100" s="1"/>
      <c r="QIO100" s="1"/>
      <c r="QIP100" s="1"/>
      <c r="QIQ100" s="1"/>
      <c r="QIR100" s="1"/>
      <c r="QIS100" s="1"/>
      <c r="QIT100" s="1"/>
      <c r="QIU100" s="1"/>
      <c r="QIV100" s="1"/>
      <c r="QIW100" s="1"/>
      <c r="QIX100" s="1"/>
      <c r="QIY100" s="1"/>
      <c r="QIZ100" s="1"/>
      <c r="QJA100" s="1"/>
      <c r="QJB100" s="1"/>
      <c r="QJC100" s="1"/>
      <c r="QJD100" s="1"/>
      <c r="QJE100" s="1"/>
      <c r="QJF100" s="1"/>
      <c r="QJG100" s="1"/>
      <c r="QJH100" s="1"/>
      <c r="QJI100" s="1"/>
      <c r="QJJ100" s="1"/>
      <c r="QJK100" s="1"/>
      <c r="QJL100" s="1"/>
      <c r="QJM100" s="1"/>
      <c r="QJN100" s="1"/>
      <c r="QJO100" s="1"/>
      <c r="QJP100" s="1"/>
      <c r="QJQ100" s="1"/>
      <c r="QJR100" s="1"/>
      <c r="QJS100" s="1"/>
      <c r="QJT100" s="1"/>
      <c r="QJU100" s="1"/>
      <c r="QJV100" s="1"/>
      <c r="QJW100" s="1"/>
      <c r="QJX100" s="1"/>
      <c r="QJY100" s="1"/>
      <c r="QJZ100" s="1"/>
      <c r="QKA100" s="1"/>
      <c r="QKB100" s="1"/>
      <c r="QKC100" s="1"/>
      <c r="QKD100" s="1"/>
      <c r="QKE100" s="1"/>
      <c r="QKF100" s="1"/>
      <c r="QKG100" s="1"/>
      <c r="QKH100" s="1"/>
      <c r="QKI100" s="1"/>
      <c r="QKJ100" s="1"/>
      <c r="QKK100" s="1"/>
      <c r="QKL100" s="1"/>
      <c r="QKM100" s="1"/>
      <c r="QKN100" s="1"/>
      <c r="QKO100" s="1"/>
      <c r="QKP100" s="1"/>
      <c r="QKQ100" s="1"/>
      <c r="QKR100" s="1"/>
      <c r="QKS100" s="1"/>
      <c r="QKT100" s="1"/>
      <c r="QKU100" s="1"/>
      <c r="QKV100" s="1"/>
      <c r="QKW100" s="1"/>
      <c r="QKX100" s="1"/>
      <c r="QKY100" s="1"/>
      <c r="QKZ100" s="1"/>
      <c r="QLA100" s="1"/>
      <c r="QLB100" s="1"/>
      <c r="QLC100" s="1"/>
      <c r="QLD100" s="1"/>
      <c r="QLE100" s="1"/>
      <c r="QLF100" s="1"/>
      <c r="QLG100" s="1"/>
      <c r="QLH100" s="1"/>
      <c r="QLI100" s="1"/>
      <c r="QLJ100" s="1"/>
      <c r="QLK100" s="1"/>
      <c r="QLL100" s="1"/>
      <c r="QLM100" s="1"/>
      <c r="QLN100" s="1"/>
      <c r="QLO100" s="1"/>
      <c r="QLP100" s="1"/>
      <c r="QLQ100" s="1"/>
      <c r="QLR100" s="1"/>
      <c r="QLS100" s="1"/>
      <c r="QLT100" s="1"/>
      <c r="QLU100" s="1"/>
      <c r="QLV100" s="1"/>
      <c r="QLW100" s="1"/>
      <c r="QLX100" s="1"/>
      <c r="QLY100" s="1"/>
      <c r="QLZ100" s="1"/>
      <c r="QMA100" s="1"/>
      <c r="QMB100" s="1"/>
      <c r="QMC100" s="1"/>
      <c r="QMD100" s="1"/>
      <c r="QME100" s="1"/>
      <c r="QMF100" s="1"/>
      <c r="QMG100" s="1"/>
      <c r="QMH100" s="1"/>
      <c r="QMI100" s="1"/>
      <c r="QMJ100" s="1"/>
      <c r="QMK100" s="1"/>
      <c r="QML100" s="1"/>
      <c r="QMM100" s="1"/>
      <c r="QMN100" s="1"/>
      <c r="QMO100" s="1"/>
      <c r="QMP100" s="1"/>
      <c r="QMQ100" s="1"/>
      <c r="QMR100" s="1"/>
      <c r="QMS100" s="1"/>
      <c r="QMT100" s="1"/>
      <c r="QMU100" s="1"/>
      <c r="QMV100" s="1"/>
      <c r="QMW100" s="1"/>
      <c r="QMX100" s="1"/>
      <c r="QMY100" s="1"/>
      <c r="QMZ100" s="1"/>
      <c r="QNA100" s="1"/>
      <c r="QNB100" s="1"/>
      <c r="QNC100" s="1"/>
      <c r="QND100" s="1"/>
      <c r="QNE100" s="1"/>
      <c r="QNF100" s="1"/>
      <c r="QNG100" s="1"/>
      <c r="QNH100" s="1"/>
      <c r="QNI100" s="1"/>
      <c r="QNJ100" s="1"/>
      <c r="QNK100" s="1"/>
      <c r="QNL100" s="1"/>
      <c r="QNM100" s="1"/>
      <c r="QNN100" s="1"/>
      <c r="QNO100" s="1"/>
      <c r="QNP100" s="1"/>
      <c r="QNQ100" s="1"/>
      <c r="QNR100" s="1"/>
      <c r="QNS100" s="1"/>
      <c r="QNT100" s="1"/>
      <c r="QNU100" s="1"/>
      <c r="QNV100" s="1"/>
      <c r="QNW100" s="1"/>
      <c r="QNX100" s="1"/>
      <c r="QNY100" s="1"/>
      <c r="QNZ100" s="1"/>
      <c r="QOA100" s="1"/>
      <c r="QOB100" s="1"/>
      <c r="QOC100" s="1"/>
      <c r="QOD100" s="1"/>
      <c r="QOE100" s="1"/>
      <c r="QOF100" s="1"/>
      <c r="QOG100" s="1"/>
      <c r="QOH100" s="1"/>
      <c r="QOI100" s="1"/>
      <c r="QOJ100" s="1"/>
      <c r="QOK100" s="1"/>
      <c r="QOL100" s="1"/>
      <c r="QOM100" s="1"/>
      <c r="QON100" s="1"/>
      <c r="QOO100" s="1"/>
      <c r="QOP100" s="1"/>
      <c r="QOQ100" s="1"/>
      <c r="QOR100" s="1"/>
      <c r="QOS100" s="1"/>
      <c r="QOT100" s="1"/>
      <c r="QOU100" s="1"/>
      <c r="QOV100" s="1"/>
      <c r="QOW100" s="1"/>
      <c r="QOX100" s="1"/>
      <c r="QOY100" s="1"/>
      <c r="QOZ100" s="1"/>
      <c r="QPA100" s="1"/>
      <c r="QPB100" s="1"/>
      <c r="QPC100" s="1"/>
      <c r="QPD100" s="1"/>
      <c r="QPE100" s="1"/>
      <c r="QPF100" s="1"/>
      <c r="QPG100" s="1"/>
      <c r="QPH100" s="1"/>
      <c r="QPI100" s="1"/>
      <c r="QPJ100" s="1"/>
      <c r="QPK100" s="1"/>
      <c r="QPL100" s="1"/>
      <c r="QPM100" s="1"/>
      <c r="QPN100" s="1"/>
      <c r="QPO100" s="1"/>
      <c r="QPP100" s="1"/>
      <c r="QPQ100" s="1"/>
      <c r="QPR100" s="1"/>
      <c r="QPS100" s="1"/>
      <c r="QPT100" s="1"/>
      <c r="QPU100" s="1"/>
      <c r="QPV100" s="1"/>
      <c r="QPW100" s="1"/>
      <c r="QPX100" s="1"/>
      <c r="QPY100" s="1"/>
      <c r="QPZ100" s="1"/>
      <c r="QQA100" s="1"/>
      <c r="QQB100" s="1"/>
      <c r="QQC100" s="1"/>
      <c r="QQD100" s="1"/>
      <c r="QQE100" s="1"/>
      <c r="QQF100" s="1"/>
      <c r="QQG100" s="1"/>
      <c r="QQH100" s="1"/>
      <c r="QQI100" s="1"/>
      <c r="QQJ100" s="1"/>
      <c r="QQK100" s="1"/>
      <c r="QQL100" s="1"/>
      <c r="QQM100" s="1"/>
      <c r="QQN100" s="1"/>
      <c r="QQO100" s="1"/>
      <c r="QQP100" s="1"/>
      <c r="QQQ100" s="1"/>
      <c r="QQR100" s="1"/>
      <c r="QQS100" s="1"/>
      <c r="QQT100" s="1"/>
      <c r="QQU100" s="1"/>
      <c r="QQV100" s="1"/>
      <c r="QQW100" s="1"/>
      <c r="QQX100" s="1"/>
      <c r="QQY100" s="1"/>
      <c r="QQZ100" s="1"/>
      <c r="QRA100" s="1"/>
      <c r="QRB100" s="1"/>
      <c r="QRC100" s="1"/>
      <c r="QRD100" s="1"/>
      <c r="QRE100" s="1"/>
      <c r="QRF100" s="1"/>
      <c r="QRG100" s="1"/>
      <c r="QRH100" s="1"/>
      <c r="QRI100" s="1"/>
      <c r="QRJ100" s="1"/>
      <c r="QRK100" s="1"/>
      <c r="QRL100" s="1"/>
      <c r="QRM100" s="1"/>
      <c r="QRN100" s="1"/>
      <c r="QRO100" s="1"/>
      <c r="QRP100" s="1"/>
      <c r="QRQ100" s="1"/>
      <c r="QRR100" s="1"/>
      <c r="QRS100" s="1"/>
      <c r="QRT100" s="1"/>
      <c r="QRU100" s="1"/>
      <c r="QRV100" s="1"/>
      <c r="QRW100" s="1"/>
      <c r="QRX100" s="1"/>
      <c r="QRY100" s="1"/>
      <c r="QRZ100" s="1"/>
      <c r="QSA100" s="1"/>
      <c r="QSB100" s="1"/>
      <c r="QSC100" s="1"/>
      <c r="QSD100" s="1"/>
      <c r="QSE100" s="1"/>
      <c r="QSF100" s="1"/>
      <c r="QSG100" s="1"/>
      <c r="QSH100" s="1"/>
      <c r="QSI100" s="1"/>
      <c r="QSJ100" s="1"/>
      <c r="QSK100" s="1"/>
      <c r="QSL100" s="1"/>
      <c r="QSM100" s="1"/>
      <c r="QSN100" s="1"/>
      <c r="QSO100" s="1"/>
      <c r="QSP100" s="1"/>
      <c r="QSQ100" s="1"/>
      <c r="QSR100" s="1"/>
      <c r="QSS100" s="1"/>
      <c r="QST100" s="1"/>
      <c r="QSU100" s="1"/>
      <c r="QSV100" s="1"/>
      <c r="QSW100" s="1"/>
      <c r="QSX100" s="1"/>
      <c r="QSY100" s="1"/>
      <c r="QSZ100" s="1"/>
      <c r="QTA100" s="1"/>
      <c r="QTB100" s="1"/>
      <c r="QTC100" s="1"/>
      <c r="QTD100" s="1"/>
      <c r="QTE100" s="1"/>
      <c r="QTF100" s="1"/>
      <c r="QTG100" s="1"/>
      <c r="QTH100" s="1"/>
      <c r="QTI100" s="1"/>
      <c r="QTJ100" s="1"/>
      <c r="QTK100" s="1"/>
      <c r="QTL100" s="1"/>
      <c r="QTM100" s="1"/>
      <c r="QTN100" s="1"/>
      <c r="QTO100" s="1"/>
      <c r="QTP100" s="1"/>
      <c r="QTQ100" s="1"/>
      <c r="QTR100" s="1"/>
      <c r="QTS100" s="1"/>
      <c r="QTT100" s="1"/>
      <c r="QTU100" s="1"/>
      <c r="QTV100" s="1"/>
      <c r="QTW100" s="1"/>
      <c r="QTX100" s="1"/>
      <c r="QTY100" s="1"/>
      <c r="QTZ100" s="1"/>
      <c r="QUA100" s="1"/>
      <c r="QUB100" s="1"/>
      <c r="QUC100" s="1"/>
      <c r="QUD100" s="1"/>
      <c r="QUE100" s="1"/>
      <c r="QUF100" s="1"/>
      <c r="QUG100" s="1"/>
      <c r="QUH100" s="1"/>
      <c r="QUI100" s="1"/>
      <c r="QUJ100" s="1"/>
      <c r="QUK100" s="1"/>
      <c r="QUL100" s="1"/>
      <c r="QUM100" s="1"/>
      <c r="QUN100" s="1"/>
      <c r="QUO100" s="1"/>
      <c r="QUP100" s="1"/>
      <c r="QUQ100" s="1"/>
      <c r="QUR100" s="1"/>
      <c r="QUS100" s="1"/>
      <c r="QUT100" s="1"/>
      <c r="QUU100" s="1"/>
      <c r="QUV100" s="1"/>
      <c r="QUW100" s="1"/>
      <c r="QUX100" s="1"/>
      <c r="QUY100" s="1"/>
      <c r="QUZ100" s="1"/>
      <c r="QVA100" s="1"/>
      <c r="QVB100" s="1"/>
      <c r="QVC100" s="1"/>
      <c r="QVD100" s="1"/>
      <c r="QVE100" s="1"/>
      <c r="QVF100" s="1"/>
      <c r="QVG100" s="1"/>
      <c r="QVH100" s="1"/>
      <c r="QVI100" s="1"/>
      <c r="QVJ100" s="1"/>
      <c r="QVK100" s="1"/>
      <c r="QVL100" s="1"/>
      <c r="QVM100" s="1"/>
      <c r="QVN100" s="1"/>
      <c r="QVO100" s="1"/>
      <c r="QVP100" s="1"/>
      <c r="QVQ100" s="1"/>
      <c r="QVR100" s="1"/>
      <c r="QVS100" s="1"/>
      <c r="QVT100" s="1"/>
      <c r="QVU100" s="1"/>
      <c r="QVV100" s="1"/>
      <c r="QVW100" s="1"/>
      <c r="QVX100" s="1"/>
      <c r="QVY100" s="1"/>
      <c r="QVZ100" s="1"/>
      <c r="QWA100" s="1"/>
      <c r="QWB100" s="1"/>
      <c r="QWC100" s="1"/>
      <c r="QWD100" s="1"/>
      <c r="QWE100" s="1"/>
      <c r="QWF100" s="1"/>
      <c r="QWG100" s="1"/>
      <c r="QWH100" s="1"/>
      <c r="QWI100" s="1"/>
      <c r="QWJ100" s="1"/>
      <c r="QWK100" s="1"/>
      <c r="QWL100" s="1"/>
      <c r="QWM100" s="1"/>
      <c r="QWN100" s="1"/>
      <c r="QWO100" s="1"/>
      <c r="QWP100" s="1"/>
      <c r="QWQ100" s="1"/>
      <c r="QWR100" s="1"/>
      <c r="QWS100" s="1"/>
      <c r="QWT100" s="1"/>
      <c r="QWU100" s="1"/>
      <c r="QWV100" s="1"/>
      <c r="QWW100" s="1"/>
      <c r="QWX100" s="1"/>
      <c r="QWY100" s="1"/>
      <c r="QWZ100" s="1"/>
      <c r="QXA100" s="1"/>
      <c r="QXB100" s="1"/>
      <c r="QXC100" s="1"/>
      <c r="QXD100" s="1"/>
      <c r="QXE100" s="1"/>
      <c r="QXF100" s="1"/>
      <c r="QXG100" s="1"/>
      <c r="QXH100" s="1"/>
      <c r="QXI100" s="1"/>
      <c r="QXJ100" s="1"/>
      <c r="QXK100" s="1"/>
      <c r="QXL100" s="1"/>
      <c r="QXM100" s="1"/>
      <c r="QXN100" s="1"/>
      <c r="QXO100" s="1"/>
      <c r="QXP100" s="1"/>
      <c r="QXQ100" s="1"/>
      <c r="QXR100" s="1"/>
      <c r="QXS100" s="1"/>
      <c r="QXT100" s="1"/>
      <c r="QXU100" s="1"/>
      <c r="QXV100" s="1"/>
      <c r="QXW100" s="1"/>
      <c r="QXX100" s="1"/>
      <c r="QXY100" s="1"/>
      <c r="QXZ100" s="1"/>
      <c r="QYA100" s="1"/>
      <c r="QYB100" s="1"/>
      <c r="QYC100" s="1"/>
      <c r="QYD100" s="1"/>
      <c r="QYE100" s="1"/>
      <c r="QYF100" s="1"/>
      <c r="QYG100" s="1"/>
      <c r="QYH100" s="1"/>
      <c r="QYI100" s="1"/>
      <c r="QYJ100" s="1"/>
      <c r="QYK100" s="1"/>
      <c r="QYL100" s="1"/>
      <c r="QYM100" s="1"/>
      <c r="QYN100" s="1"/>
      <c r="QYO100" s="1"/>
      <c r="QYP100" s="1"/>
      <c r="QYQ100" s="1"/>
      <c r="QYR100" s="1"/>
      <c r="QYS100" s="1"/>
      <c r="QYT100" s="1"/>
      <c r="QYU100" s="1"/>
      <c r="QYV100" s="1"/>
      <c r="QYW100" s="1"/>
      <c r="QYX100" s="1"/>
      <c r="QYY100" s="1"/>
      <c r="QYZ100" s="1"/>
      <c r="QZA100" s="1"/>
      <c r="QZB100" s="1"/>
      <c r="QZC100" s="1"/>
      <c r="QZD100" s="1"/>
      <c r="QZE100" s="1"/>
      <c r="QZF100" s="1"/>
      <c r="QZG100" s="1"/>
      <c r="QZH100" s="1"/>
      <c r="QZI100" s="1"/>
      <c r="QZJ100" s="1"/>
      <c r="QZK100" s="1"/>
      <c r="QZL100" s="1"/>
      <c r="QZM100" s="1"/>
      <c r="QZN100" s="1"/>
      <c r="QZO100" s="1"/>
      <c r="QZP100" s="1"/>
      <c r="QZQ100" s="1"/>
      <c r="QZR100" s="1"/>
      <c r="QZS100" s="1"/>
      <c r="QZT100" s="1"/>
      <c r="QZU100" s="1"/>
      <c r="QZV100" s="1"/>
      <c r="QZW100" s="1"/>
      <c r="QZX100" s="1"/>
      <c r="QZY100" s="1"/>
      <c r="QZZ100" s="1"/>
      <c r="RAA100" s="1"/>
      <c r="RAB100" s="1"/>
      <c r="RAC100" s="1"/>
      <c r="RAD100" s="1"/>
      <c r="RAE100" s="1"/>
      <c r="RAF100" s="1"/>
      <c r="RAG100" s="1"/>
      <c r="RAH100" s="1"/>
      <c r="RAI100" s="1"/>
      <c r="RAJ100" s="1"/>
      <c r="RAK100" s="1"/>
      <c r="RAL100" s="1"/>
      <c r="RAM100" s="1"/>
      <c r="RAN100" s="1"/>
      <c r="RAO100" s="1"/>
      <c r="RAP100" s="1"/>
      <c r="RAQ100" s="1"/>
      <c r="RAR100" s="1"/>
      <c r="RAS100" s="1"/>
      <c r="RAT100" s="1"/>
      <c r="RAU100" s="1"/>
      <c r="RAV100" s="1"/>
      <c r="RAW100" s="1"/>
      <c r="RAX100" s="1"/>
      <c r="RAY100" s="1"/>
      <c r="RAZ100" s="1"/>
      <c r="RBA100" s="1"/>
      <c r="RBB100" s="1"/>
      <c r="RBC100" s="1"/>
      <c r="RBD100" s="1"/>
      <c r="RBE100" s="1"/>
      <c r="RBF100" s="1"/>
      <c r="RBG100" s="1"/>
      <c r="RBH100" s="1"/>
      <c r="RBI100" s="1"/>
      <c r="RBJ100" s="1"/>
      <c r="RBK100" s="1"/>
      <c r="RBL100" s="1"/>
      <c r="RBM100" s="1"/>
      <c r="RBN100" s="1"/>
      <c r="RBO100" s="1"/>
      <c r="RBP100" s="1"/>
      <c r="RBQ100" s="1"/>
      <c r="RBR100" s="1"/>
      <c r="RBS100" s="1"/>
      <c r="RBT100" s="1"/>
      <c r="RBU100" s="1"/>
      <c r="RBV100" s="1"/>
      <c r="RBW100" s="1"/>
      <c r="RBX100" s="1"/>
      <c r="RBY100" s="1"/>
      <c r="RBZ100" s="1"/>
      <c r="RCA100" s="1"/>
      <c r="RCB100" s="1"/>
      <c r="RCC100" s="1"/>
      <c r="RCD100" s="1"/>
      <c r="RCE100" s="1"/>
      <c r="RCF100" s="1"/>
      <c r="RCG100" s="1"/>
      <c r="RCH100" s="1"/>
      <c r="RCI100" s="1"/>
      <c r="RCJ100" s="1"/>
      <c r="RCK100" s="1"/>
      <c r="RCL100" s="1"/>
      <c r="RCM100" s="1"/>
      <c r="RCN100" s="1"/>
      <c r="RCO100" s="1"/>
      <c r="RCP100" s="1"/>
      <c r="RCQ100" s="1"/>
      <c r="RCR100" s="1"/>
      <c r="RCS100" s="1"/>
      <c r="RCT100" s="1"/>
      <c r="RCU100" s="1"/>
      <c r="RCV100" s="1"/>
      <c r="RCW100" s="1"/>
      <c r="RCX100" s="1"/>
      <c r="RCY100" s="1"/>
      <c r="RCZ100" s="1"/>
      <c r="RDA100" s="1"/>
      <c r="RDB100" s="1"/>
      <c r="RDC100" s="1"/>
      <c r="RDD100" s="1"/>
      <c r="RDE100" s="1"/>
      <c r="RDF100" s="1"/>
      <c r="RDG100" s="1"/>
      <c r="RDH100" s="1"/>
      <c r="RDI100" s="1"/>
      <c r="RDJ100" s="1"/>
      <c r="RDK100" s="1"/>
      <c r="RDL100" s="1"/>
      <c r="RDM100" s="1"/>
      <c r="RDN100" s="1"/>
      <c r="RDO100" s="1"/>
      <c r="RDP100" s="1"/>
      <c r="RDQ100" s="1"/>
      <c r="RDR100" s="1"/>
      <c r="RDS100" s="1"/>
      <c r="RDT100" s="1"/>
      <c r="RDU100" s="1"/>
      <c r="RDV100" s="1"/>
      <c r="RDW100" s="1"/>
      <c r="RDX100" s="1"/>
      <c r="RDY100" s="1"/>
      <c r="RDZ100" s="1"/>
      <c r="REA100" s="1"/>
      <c r="REB100" s="1"/>
      <c r="REC100" s="1"/>
      <c r="RED100" s="1"/>
      <c r="REE100" s="1"/>
      <c r="REF100" s="1"/>
      <c r="REG100" s="1"/>
      <c r="REH100" s="1"/>
      <c r="REI100" s="1"/>
      <c r="REJ100" s="1"/>
      <c r="REK100" s="1"/>
      <c r="REL100" s="1"/>
      <c r="REM100" s="1"/>
      <c r="REN100" s="1"/>
      <c r="REO100" s="1"/>
      <c r="REP100" s="1"/>
      <c r="REQ100" s="1"/>
      <c r="RER100" s="1"/>
      <c r="RES100" s="1"/>
      <c r="RET100" s="1"/>
      <c r="REU100" s="1"/>
      <c r="REV100" s="1"/>
      <c r="REW100" s="1"/>
      <c r="REX100" s="1"/>
      <c r="REY100" s="1"/>
      <c r="REZ100" s="1"/>
      <c r="RFA100" s="1"/>
      <c r="RFB100" s="1"/>
      <c r="RFC100" s="1"/>
      <c r="RFD100" s="1"/>
      <c r="RFE100" s="1"/>
      <c r="RFF100" s="1"/>
      <c r="RFG100" s="1"/>
      <c r="RFH100" s="1"/>
      <c r="RFI100" s="1"/>
      <c r="RFJ100" s="1"/>
      <c r="RFK100" s="1"/>
      <c r="RFL100" s="1"/>
      <c r="RFM100" s="1"/>
      <c r="RFN100" s="1"/>
      <c r="RFO100" s="1"/>
      <c r="RFP100" s="1"/>
      <c r="RFQ100" s="1"/>
      <c r="RFR100" s="1"/>
      <c r="RFS100" s="1"/>
      <c r="RFT100" s="1"/>
      <c r="RFU100" s="1"/>
      <c r="RFV100" s="1"/>
      <c r="RFW100" s="1"/>
      <c r="RFX100" s="1"/>
      <c r="RFY100" s="1"/>
      <c r="RFZ100" s="1"/>
      <c r="RGA100" s="1"/>
      <c r="RGB100" s="1"/>
      <c r="RGC100" s="1"/>
      <c r="RGD100" s="1"/>
      <c r="RGE100" s="1"/>
      <c r="RGF100" s="1"/>
      <c r="RGG100" s="1"/>
      <c r="RGH100" s="1"/>
      <c r="RGI100" s="1"/>
      <c r="RGJ100" s="1"/>
      <c r="RGK100" s="1"/>
      <c r="RGL100" s="1"/>
      <c r="RGM100" s="1"/>
      <c r="RGN100" s="1"/>
      <c r="RGO100" s="1"/>
      <c r="RGP100" s="1"/>
      <c r="RGQ100" s="1"/>
      <c r="RGR100" s="1"/>
      <c r="RGS100" s="1"/>
      <c r="RGT100" s="1"/>
      <c r="RGU100" s="1"/>
      <c r="RGV100" s="1"/>
      <c r="RGW100" s="1"/>
      <c r="RGX100" s="1"/>
      <c r="RGY100" s="1"/>
      <c r="RGZ100" s="1"/>
      <c r="RHA100" s="1"/>
      <c r="RHB100" s="1"/>
      <c r="RHC100" s="1"/>
      <c r="RHD100" s="1"/>
      <c r="RHE100" s="1"/>
      <c r="RHF100" s="1"/>
      <c r="RHG100" s="1"/>
      <c r="RHH100" s="1"/>
      <c r="RHI100" s="1"/>
      <c r="RHJ100" s="1"/>
      <c r="RHK100" s="1"/>
      <c r="RHL100" s="1"/>
      <c r="RHM100" s="1"/>
      <c r="RHN100" s="1"/>
      <c r="RHO100" s="1"/>
      <c r="RHP100" s="1"/>
      <c r="RHQ100" s="1"/>
      <c r="RHR100" s="1"/>
      <c r="RHS100" s="1"/>
      <c r="RHT100" s="1"/>
      <c r="RHU100" s="1"/>
      <c r="RHV100" s="1"/>
      <c r="RHW100" s="1"/>
      <c r="RHX100" s="1"/>
      <c r="RHY100" s="1"/>
      <c r="RHZ100" s="1"/>
      <c r="RIA100" s="1"/>
      <c r="RIB100" s="1"/>
      <c r="RIC100" s="1"/>
      <c r="RID100" s="1"/>
      <c r="RIE100" s="1"/>
      <c r="RIF100" s="1"/>
      <c r="RIG100" s="1"/>
      <c r="RIH100" s="1"/>
      <c r="RII100" s="1"/>
      <c r="RIJ100" s="1"/>
      <c r="RIK100" s="1"/>
      <c r="RIL100" s="1"/>
      <c r="RIM100" s="1"/>
      <c r="RIN100" s="1"/>
      <c r="RIO100" s="1"/>
      <c r="RIP100" s="1"/>
      <c r="RIQ100" s="1"/>
      <c r="RIR100" s="1"/>
      <c r="RIS100" s="1"/>
      <c r="RIT100" s="1"/>
      <c r="RIU100" s="1"/>
      <c r="RIV100" s="1"/>
      <c r="RIW100" s="1"/>
      <c r="RIX100" s="1"/>
      <c r="RIY100" s="1"/>
      <c r="RIZ100" s="1"/>
      <c r="RJA100" s="1"/>
      <c r="RJB100" s="1"/>
      <c r="RJC100" s="1"/>
      <c r="RJD100" s="1"/>
      <c r="RJE100" s="1"/>
      <c r="RJF100" s="1"/>
      <c r="RJG100" s="1"/>
      <c r="RJH100" s="1"/>
      <c r="RJI100" s="1"/>
      <c r="RJJ100" s="1"/>
      <c r="RJK100" s="1"/>
      <c r="RJL100" s="1"/>
      <c r="RJM100" s="1"/>
      <c r="RJN100" s="1"/>
      <c r="RJO100" s="1"/>
      <c r="RJP100" s="1"/>
      <c r="RJQ100" s="1"/>
      <c r="RJR100" s="1"/>
      <c r="RJS100" s="1"/>
      <c r="RJT100" s="1"/>
      <c r="RJU100" s="1"/>
      <c r="RJV100" s="1"/>
      <c r="RJW100" s="1"/>
      <c r="RJX100" s="1"/>
      <c r="RJY100" s="1"/>
      <c r="RJZ100" s="1"/>
      <c r="RKA100" s="1"/>
      <c r="RKB100" s="1"/>
      <c r="RKC100" s="1"/>
      <c r="RKD100" s="1"/>
      <c r="RKE100" s="1"/>
      <c r="RKF100" s="1"/>
      <c r="RKG100" s="1"/>
      <c r="RKH100" s="1"/>
      <c r="RKI100" s="1"/>
      <c r="RKJ100" s="1"/>
      <c r="RKK100" s="1"/>
      <c r="RKL100" s="1"/>
      <c r="RKM100" s="1"/>
      <c r="RKN100" s="1"/>
      <c r="RKO100" s="1"/>
      <c r="RKP100" s="1"/>
      <c r="RKQ100" s="1"/>
      <c r="RKR100" s="1"/>
      <c r="RKS100" s="1"/>
      <c r="RKT100" s="1"/>
      <c r="RKU100" s="1"/>
      <c r="RKV100" s="1"/>
      <c r="RKW100" s="1"/>
      <c r="RKX100" s="1"/>
      <c r="RKY100" s="1"/>
      <c r="RKZ100" s="1"/>
      <c r="RLA100" s="1"/>
      <c r="RLB100" s="1"/>
      <c r="RLC100" s="1"/>
      <c r="RLD100" s="1"/>
      <c r="RLE100" s="1"/>
      <c r="RLF100" s="1"/>
      <c r="RLG100" s="1"/>
      <c r="RLH100" s="1"/>
      <c r="RLI100" s="1"/>
      <c r="RLJ100" s="1"/>
      <c r="RLK100" s="1"/>
      <c r="RLL100" s="1"/>
      <c r="RLM100" s="1"/>
      <c r="RLN100" s="1"/>
      <c r="RLO100" s="1"/>
      <c r="RLP100" s="1"/>
      <c r="RLQ100" s="1"/>
      <c r="RLR100" s="1"/>
      <c r="RLS100" s="1"/>
      <c r="RLT100" s="1"/>
      <c r="RLU100" s="1"/>
      <c r="RLV100" s="1"/>
      <c r="RLW100" s="1"/>
      <c r="RLX100" s="1"/>
      <c r="RLY100" s="1"/>
      <c r="RLZ100" s="1"/>
      <c r="RMA100" s="1"/>
      <c r="RMB100" s="1"/>
      <c r="RMC100" s="1"/>
      <c r="RMD100" s="1"/>
      <c r="RME100" s="1"/>
      <c r="RMF100" s="1"/>
      <c r="RMG100" s="1"/>
      <c r="RMH100" s="1"/>
      <c r="RMI100" s="1"/>
      <c r="RMJ100" s="1"/>
      <c r="RMK100" s="1"/>
      <c r="RML100" s="1"/>
      <c r="RMM100" s="1"/>
      <c r="RMN100" s="1"/>
      <c r="RMO100" s="1"/>
      <c r="RMP100" s="1"/>
      <c r="RMQ100" s="1"/>
      <c r="RMR100" s="1"/>
      <c r="RMS100" s="1"/>
      <c r="RMT100" s="1"/>
      <c r="RMU100" s="1"/>
      <c r="RMV100" s="1"/>
      <c r="RMW100" s="1"/>
      <c r="RMX100" s="1"/>
      <c r="RMY100" s="1"/>
      <c r="RMZ100" s="1"/>
      <c r="RNA100" s="1"/>
      <c r="RNB100" s="1"/>
      <c r="RNC100" s="1"/>
      <c r="RND100" s="1"/>
      <c r="RNE100" s="1"/>
      <c r="RNF100" s="1"/>
      <c r="RNG100" s="1"/>
      <c r="RNH100" s="1"/>
      <c r="RNI100" s="1"/>
      <c r="RNJ100" s="1"/>
      <c r="RNK100" s="1"/>
      <c r="RNL100" s="1"/>
      <c r="RNM100" s="1"/>
      <c r="RNN100" s="1"/>
      <c r="RNO100" s="1"/>
      <c r="RNP100" s="1"/>
      <c r="RNQ100" s="1"/>
      <c r="RNR100" s="1"/>
      <c r="RNS100" s="1"/>
      <c r="RNT100" s="1"/>
      <c r="RNU100" s="1"/>
      <c r="RNV100" s="1"/>
      <c r="RNW100" s="1"/>
      <c r="RNX100" s="1"/>
      <c r="RNY100" s="1"/>
      <c r="RNZ100" s="1"/>
      <c r="ROA100" s="1"/>
      <c r="ROB100" s="1"/>
      <c r="ROC100" s="1"/>
      <c r="ROD100" s="1"/>
      <c r="ROE100" s="1"/>
      <c r="ROF100" s="1"/>
      <c r="ROG100" s="1"/>
      <c r="ROH100" s="1"/>
      <c r="ROI100" s="1"/>
      <c r="ROJ100" s="1"/>
      <c r="ROK100" s="1"/>
      <c r="ROL100" s="1"/>
      <c r="ROM100" s="1"/>
      <c r="RON100" s="1"/>
      <c r="ROO100" s="1"/>
      <c r="ROP100" s="1"/>
      <c r="ROQ100" s="1"/>
      <c r="ROR100" s="1"/>
      <c r="ROS100" s="1"/>
      <c r="ROT100" s="1"/>
      <c r="ROU100" s="1"/>
      <c r="ROV100" s="1"/>
      <c r="ROW100" s="1"/>
      <c r="ROX100" s="1"/>
      <c r="ROY100" s="1"/>
      <c r="ROZ100" s="1"/>
      <c r="RPA100" s="1"/>
      <c r="RPB100" s="1"/>
      <c r="RPC100" s="1"/>
      <c r="RPD100" s="1"/>
      <c r="RPE100" s="1"/>
      <c r="RPF100" s="1"/>
      <c r="RPG100" s="1"/>
      <c r="RPH100" s="1"/>
      <c r="RPI100" s="1"/>
      <c r="RPJ100" s="1"/>
      <c r="RPK100" s="1"/>
      <c r="RPL100" s="1"/>
      <c r="RPM100" s="1"/>
      <c r="RPN100" s="1"/>
      <c r="RPO100" s="1"/>
      <c r="RPP100" s="1"/>
      <c r="RPQ100" s="1"/>
      <c r="RPR100" s="1"/>
      <c r="RPS100" s="1"/>
      <c r="RPT100" s="1"/>
      <c r="RPU100" s="1"/>
      <c r="RPV100" s="1"/>
      <c r="RPW100" s="1"/>
      <c r="RPX100" s="1"/>
      <c r="RPY100" s="1"/>
      <c r="RPZ100" s="1"/>
      <c r="RQA100" s="1"/>
      <c r="RQB100" s="1"/>
      <c r="RQC100" s="1"/>
      <c r="RQD100" s="1"/>
      <c r="RQE100" s="1"/>
      <c r="RQF100" s="1"/>
      <c r="RQG100" s="1"/>
      <c r="RQH100" s="1"/>
      <c r="RQI100" s="1"/>
      <c r="RQJ100" s="1"/>
      <c r="RQK100" s="1"/>
      <c r="RQL100" s="1"/>
      <c r="RQM100" s="1"/>
      <c r="RQN100" s="1"/>
      <c r="RQO100" s="1"/>
      <c r="RQP100" s="1"/>
      <c r="RQQ100" s="1"/>
      <c r="RQR100" s="1"/>
      <c r="RQS100" s="1"/>
      <c r="RQT100" s="1"/>
      <c r="RQU100" s="1"/>
      <c r="RQV100" s="1"/>
      <c r="RQW100" s="1"/>
      <c r="RQX100" s="1"/>
      <c r="RQY100" s="1"/>
      <c r="RQZ100" s="1"/>
      <c r="RRA100" s="1"/>
      <c r="RRB100" s="1"/>
      <c r="RRC100" s="1"/>
      <c r="RRD100" s="1"/>
      <c r="RRE100" s="1"/>
      <c r="RRF100" s="1"/>
      <c r="RRG100" s="1"/>
      <c r="RRH100" s="1"/>
      <c r="RRI100" s="1"/>
      <c r="RRJ100" s="1"/>
      <c r="RRK100" s="1"/>
      <c r="RRL100" s="1"/>
      <c r="RRM100" s="1"/>
      <c r="RRN100" s="1"/>
      <c r="RRO100" s="1"/>
      <c r="RRP100" s="1"/>
      <c r="RRQ100" s="1"/>
      <c r="RRR100" s="1"/>
      <c r="RRS100" s="1"/>
      <c r="RRT100" s="1"/>
      <c r="RRU100" s="1"/>
      <c r="RRV100" s="1"/>
      <c r="RRW100" s="1"/>
      <c r="RRX100" s="1"/>
      <c r="RRY100" s="1"/>
      <c r="RRZ100" s="1"/>
      <c r="RSA100" s="1"/>
      <c r="RSB100" s="1"/>
      <c r="RSC100" s="1"/>
      <c r="RSD100" s="1"/>
      <c r="RSE100" s="1"/>
      <c r="RSF100" s="1"/>
      <c r="RSG100" s="1"/>
      <c r="RSH100" s="1"/>
      <c r="RSI100" s="1"/>
      <c r="RSJ100" s="1"/>
      <c r="RSK100" s="1"/>
      <c r="RSL100" s="1"/>
      <c r="RSM100" s="1"/>
      <c r="RSN100" s="1"/>
      <c r="RSO100" s="1"/>
      <c r="RSP100" s="1"/>
      <c r="RSQ100" s="1"/>
      <c r="RSR100" s="1"/>
      <c r="RSS100" s="1"/>
      <c r="RST100" s="1"/>
      <c r="RSU100" s="1"/>
      <c r="RSV100" s="1"/>
      <c r="RSW100" s="1"/>
      <c r="RSX100" s="1"/>
      <c r="RSY100" s="1"/>
      <c r="RSZ100" s="1"/>
      <c r="RTA100" s="1"/>
      <c r="RTB100" s="1"/>
      <c r="RTC100" s="1"/>
      <c r="RTD100" s="1"/>
      <c r="RTE100" s="1"/>
      <c r="RTF100" s="1"/>
      <c r="RTG100" s="1"/>
      <c r="RTH100" s="1"/>
      <c r="RTI100" s="1"/>
      <c r="RTJ100" s="1"/>
      <c r="RTK100" s="1"/>
      <c r="RTL100" s="1"/>
      <c r="RTM100" s="1"/>
      <c r="RTN100" s="1"/>
      <c r="RTO100" s="1"/>
      <c r="RTP100" s="1"/>
      <c r="RTQ100" s="1"/>
      <c r="RTR100" s="1"/>
      <c r="RTS100" s="1"/>
      <c r="RTT100" s="1"/>
      <c r="RTU100" s="1"/>
      <c r="RTV100" s="1"/>
      <c r="RTW100" s="1"/>
      <c r="RTX100" s="1"/>
      <c r="RTY100" s="1"/>
      <c r="RTZ100" s="1"/>
      <c r="RUA100" s="1"/>
      <c r="RUB100" s="1"/>
      <c r="RUC100" s="1"/>
      <c r="RUD100" s="1"/>
      <c r="RUE100" s="1"/>
      <c r="RUF100" s="1"/>
      <c r="RUG100" s="1"/>
      <c r="RUH100" s="1"/>
      <c r="RUI100" s="1"/>
      <c r="RUJ100" s="1"/>
      <c r="RUK100" s="1"/>
      <c r="RUL100" s="1"/>
      <c r="RUM100" s="1"/>
      <c r="RUN100" s="1"/>
      <c r="RUO100" s="1"/>
      <c r="RUP100" s="1"/>
      <c r="RUQ100" s="1"/>
      <c r="RUR100" s="1"/>
      <c r="RUS100" s="1"/>
      <c r="RUT100" s="1"/>
      <c r="RUU100" s="1"/>
      <c r="RUV100" s="1"/>
      <c r="RUW100" s="1"/>
      <c r="RUX100" s="1"/>
      <c r="RUY100" s="1"/>
      <c r="RUZ100" s="1"/>
      <c r="RVA100" s="1"/>
      <c r="RVB100" s="1"/>
      <c r="RVC100" s="1"/>
      <c r="RVD100" s="1"/>
      <c r="RVE100" s="1"/>
      <c r="RVF100" s="1"/>
      <c r="RVG100" s="1"/>
      <c r="RVH100" s="1"/>
      <c r="RVI100" s="1"/>
      <c r="RVJ100" s="1"/>
      <c r="RVK100" s="1"/>
      <c r="RVL100" s="1"/>
      <c r="RVM100" s="1"/>
      <c r="RVN100" s="1"/>
      <c r="RVO100" s="1"/>
      <c r="RVP100" s="1"/>
      <c r="RVQ100" s="1"/>
      <c r="RVR100" s="1"/>
      <c r="RVS100" s="1"/>
      <c r="RVT100" s="1"/>
      <c r="RVU100" s="1"/>
      <c r="RVV100" s="1"/>
      <c r="RVW100" s="1"/>
      <c r="RVX100" s="1"/>
      <c r="RVY100" s="1"/>
      <c r="RVZ100" s="1"/>
      <c r="RWA100" s="1"/>
      <c r="RWB100" s="1"/>
      <c r="RWC100" s="1"/>
      <c r="RWD100" s="1"/>
      <c r="RWE100" s="1"/>
      <c r="RWF100" s="1"/>
      <c r="RWG100" s="1"/>
      <c r="RWH100" s="1"/>
      <c r="RWI100" s="1"/>
      <c r="RWJ100" s="1"/>
      <c r="RWK100" s="1"/>
      <c r="RWL100" s="1"/>
      <c r="RWM100" s="1"/>
      <c r="RWN100" s="1"/>
      <c r="RWO100" s="1"/>
      <c r="RWP100" s="1"/>
      <c r="RWQ100" s="1"/>
      <c r="RWR100" s="1"/>
      <c r="RWS100" s="1"/>
      <c r="RWT100" s="1"/>
      <c r="RWU100" s="1"/>
      <c r="RWV100" s="1"/>
      <c r="RWW100" s="1"/>
      <c r="RWX100" s="1"/>
      <c r="RWY100" s="1"/>
      <c r="RWZ100" s="1"/>
      <c r="RXA100" s="1"/>
      <c r="RXB100" s="1"/>
      <c r="RXC100" s="1"/>
      <c r="RXD100" s="1"/>
      <c r="RXE100" s="1"/>
      <c r="RXF100" s="1"/>
      <c r="RXG100" s="1"/>
      <c r="RXH100" s="1"/>
      <c r="RXI100" s="1"/>
      <c r="RXJ100" s="1"/>
      <c r="RXK100" s="1"/>
      <c r="RXL100" s="1"/>
      <c r="RXM100" s="1"/>
      <c r="RXN100" s="1"/>
      <c r="RXO100" s="1"/>
      <c r="RXP100" s="1"/>
      <c r="RXQ100" s="1"/>
      <c r="RXR100" s="1"/>
      <c r="RXS100" s="1"/>
      <c r="RXT100" s="1"/>
      <c r="RXU100" s="1"/>
      <c r="RXV100" s="1"/>
      <c r="RXW100" s="1"/>
      <c r="RXX100" s="1"/>
      <c r="RXY100" s="1"/>
      <c r="RXZ100" s="1"/>
      <c r="RYA100" s="1"/>
      <c r="RYB100" s="1"/>
      <c r="RYC100" s="1"/>
      <c r="RYD100" s="1"/>
      <c r="RYE100" s="1"/>
      <c r="RYF100" s="1"/>
      <c r="RYG100" s="1"/>
      <c r="RYH100" s="1"/>
      <c r="RYI100" s="1"/>
      <c r="RYJ100" s="1"/>
      <c r="RYK100" s="1"/>
      <c r="RYL100" s="1"/>
      <c r="RYM100" s="1"/>
      <c r="RYN100" s="1"/>
      <c r="RYO100" s="1"/>
      <c r="RYP100" s="1"/>
      <c r="RYQ100" s="1"/>
      <c r="RYR100" s="1"/>
      <c r="RYS100" s="1"/>
      <c r="RYT100" s="1"/>
      <c r="RYU100" s="1"/>
      <c r="RYV100" s="1"/>
      <c r="RYW100" s="1"/>
      <c r="RYX100" s="1"/>
      <c r="RYY100" s="1"/>
      <c r="RYZ100" s="1"/>
      <c r="RZA100" s="1"/>
      <c r="RZB100" s="1"/>
      <c r="RZC100" s="1"/>
      <c r="RZD100" s="1"/>
      <c r="RZE100" s="1"/>
      <c r="RZF100" s="1"/>
      <c r="RZG100" s="1"/>
      <c r="RZH100" s="1"/>
      <c r="RZI100" s="1"/>
      <c r="RZJ100" s="1"/>
      <c r="RZK100" s="1"/>
      <c r="RZL100" s="1"/>
      <c r="RZM100" s="1"/>
      <c r="RZN100" s="1"/>
      <c r="RZO100" s="1"/>
      <c r="RZP100" s="1"/>
      <c r="RZQ100" s="1"/>
      <c r="RZR100" s="1"/>
      <c r="RZS100" s="1"/>
      <c r="RZT100" s="1"/>
      <c r="RZU100" s="1"/>
      <c r="RZV100" s="1"/>
      <c r="RZW100" s="1"/>
      <c r="RZX100" s="1"/>
      <c r="RZY100" s="1"/>
      <c r="RZZ100" s="1"/>
      <c r="SAA100" s="1"/>
      <c r="SAB100" s="1"/>
      <c r="SAC100" s="1"/>
      <c r="SAD100" s="1"/>
      <c r="SAE100" s="1"/>
      <c r="SAF100" s="1"/>
      <c r="SAG100" s="1"/>
      <c r="SAH100" s="1"/>
      <c r="SAI100" s="1"/>
      <c r="SAJ100" s="1"/>
      <c r="SAK100" s="1"/>
      <c r="SAL100" s="1"/>
      <c r="SAM100" s="1"/>
      <c r="SAN100" s="1"/>
      <c r="SAO100" s="1"/>
      <c r="SAP100" s="1"/>
      <c r="SAQ100" s="1"/>
      <c r="SAR100" s="1"/>
      <c r="SAS100" s="1"/>
      <c r="SAT100" s="1"/>
      <c r="SAU100" s="1"/>
      <c r="SAV100" s="1"/>
      <c r="SAW100" s="1"/>
      <c r="SAX100" s="1"/>
      <c r="SAY100" s="1"/>
      <c r="SAZ100" s="1"/>
      <c r="SBA100" s="1"/>
      <c r="SBB100" s="1"/>
      <c r="SBC100" s="1"/>
      <c r="SBD100" s="1"/>
      <c r="SBE100" s="1"/>
      <c r="SBF100" s="1"/>
      <c r="SBG100" s="1"/>
      <c r="SBH100" s="1"/>
      <c r="SBI100" s="1"/>
      <c r="SBJ100" s="1"/>
      <c r="SBK100" s="1"/>
      <c r="SBL100" s="1"/>
      <c r="SBM100" s="1"/>
      <c r="SBN100" s="1"/>
      <c r="SBO100" s="1"/>
      <c r="SBP100" s="1"/>
      <c r="SBQ100" s="1"/>
      <c r="SBR100" s="1"/>
      <c r="SBS100" s="1"/>
      <c r="SBT100" s="1"/>
      <c r="SBU100" s="1"/>
      <c r="SBV100" s="1"/>
      <c r="SBW100" s="1"/>
      <c r="SBX100" s="1"/>
      <c r="SBY100" s="1"/>
      <c r="SBZ100" s="1"/>
      <c r="SCA100" s="1"/>
      <c r="SCB100" s="1"/>
      <c r="SCC100" s="1"/>
      <c r="SCD100" s="1"/>
      <c r="SCE100" s="1"/>
      <c r="SCF100" s="1"/>
      <c r="SCG100" s="1"/>
      <c r="SCH100" s="1"/>
      <c r="SCI100" s="1"/>
      <c r="SCJ100" s="1"/>
      <c r="SCK100" s="1"/>
      <c r="SCL100" s="1"/>
      <c r="SCM100" s="1"/>
      <c r="SCN100" s="1"/>
      <c r="SCO100" s="1"/>
      <c r="SCP100" s="1"/>
      <c r="SCQ100" s="1"/>
      <c r="SCR100" s="1"/>
      <c r="SCS100" s="1"/>
      <c r="SCT100" s="1"/>
      <c r="SCU100" s="1"/>
      <c r="SCV100" s="1"/>
      <c r="SCW100" s="1"/>
      <c r="SCX100" s="1"/>
      <c r="SCY100" s="1"/>
      <c r="SCZ100" s="1"/>
      <c r="SDA100" s="1"/>
      <c r="SDB100" s="1"/>
      <c r="SDC100" s="1"/>
      <c r="SDD100" s="1"/>
      <c r="SDE100" s="1"/>
      <c r="SDF100" s="1"/>
      <c r="SDG100" s="1"/>
      <c r="SDH100" s="1"/>
      <c r="SDI100" s="1"/>
      <c r="SDJ100" s="1"/>
      <c r="SDK100" s="1"/>
      <c r="SDL100" s="1"/>
      <c r="SDM100" s="1"/>
      <c r="SDN100" s="1"/>
      <c r="SDO100" s="1"/>
      <c r="SDP100" s="1"/>
      <c r="SDQ100" s="1"/>
      <c r="SDR100" s="1"/>
      <c r="SDS100" s="1"/>
      <c r="SDT100" s="1"/>
      <c r="SDU100" s="1"/>
      <c r="SDV100" s="1"/>
      <c r="SDW100" s="1"/>
      <c r="SDX100" s="1"/>
      <c r="SDY100" s="1"/>
      <c r="SDZ100" s="1"/>
      <c r="SEA100" s="1"/>
      <c r="SEB100" s="1"/>
      <c r="SEC100" s="1"/>
      <c r="SED100" s="1"/>
      <c r="SEE100" s="1"/>
      <c r="SEF100" s="1"/>
      <c r="SEG100" s="1"/>
      <c r="SEH100" s="1"/>
      <c r="SEI100" s="1"/>
      <c r="SEJ100" s="1"/>
      <c r="SEK100" s="1"/>
      <c r="SEL100" s="1"/>
      <c r="SEM100" s="1"/>
      <c r="SEN100" s="1"/>
      <c r="SEO100" s="1"/>
      <c r="SEP100" s="1"/>
      <c r="SEQ100" s="1"/>
      <c r="SER100" s="1"/>
      <c r="SES100" s="1"/>
      <c r="SET100" s="1"/>
      <c r="SEU100" s="1"/>
      <c r="SEV100" s="1"/>
      <c r="SEW100" s="1"/>
      <c r="SEX100" s="1"/>
      <c r="SEY100" s="1"/>
      <c r="SEZ100" s="1"/>
      <c r="SFA100" s="1"/>
      <c r="SFB100" s="1"/>
      <c r="SFC100" s="1"/>
      <c r="SFD100" s="1"/>
      <c r="SFE100" s="1"/>
      <c r="SFF100" s="1"/>
      <c r="SFG100" s="1"/>
      <c r="SFH100" s="1"/>
      <c r="SFI100" s="1"/>
      <c r="SFJ100" s="1"/>
      <c r="SFK100" s="1"/>
      <c r="SFL100" s="1"/>
      <c r="SFM100" s="1"/>
      <c r="SFN100" s="1"/>
      <c r="SFO100" s="1"/>
      <c r="SFP100" s="1"/>
      <c r="SFQ100" s="1"/>
      <c r="SFR100" s="1"/>
      <c r="SFS100" s="1"/>
      <c r="SFT100" s="1"/>
      <c r="SFU100" s="1"/>
      <c r="SFV100" s="1"/>
      <c r="SFW100" s="1"/>
      <c r="SFX100" s="1"/>
      <c r="SFY100" s="1"/>
      <c r="SFZ100" s="1"/>
      <c r="SGA100" s="1"/>
      <c r="SGB100" s="1"/>
      <c r="SGC100" s="1"/>
      <c r="SGD100" s="1"/>
      <c r="SGE100" s="1"/>
      <c r="SGF100" s="1"/>
      <c r="SGG100" s="1"/>
      <c r="SGH100" s="1"/>
      <c r="SGI100" s="1"/>
      <c r="SGJ100" s="1"/>
      <c r="SGK100" s="1"/>
      <c r="SGL100" s="1"/>
      <c r="SGM100" s="1"/>
      <c r="SGN100" s="1"/>
      <c r="SGO100" s="1"/>
      <c r="SGP100" s="1"/>
      <c r="SGQ100" s="1"/>
      <c r="SGR100" s="1"/>
      <c r="SGS100" s="1"/>
      <c r="SGT100" s="1"/>
      <c r="SGU100" s="1"/>
      <c r="SGV100" s="1"/>
      <c r="SGW100" s="1"/>
      <c r="SGX100" s="1"/>
      <c r="SGY100" s="1"/>
      <c r="SGZ100" s="1"/>
      <c r="SHA100" s="1"/>
      <c r="SHB100" s="1"/>
      <c r="SHC100" s="1"/>
      <c r="SHD100" s="1"/>
      <c r="SHE100" s="1"/>
      <c r="SHF100" s="1"/>
      <c r="SHG100" s="1"/>
      <c r="SHH100" s="1"/>
      <c r="SHI100" s="1"/>
      <c r="SHJ100" s="1"/>
      <c r="SHK100" s="1"/>
      <c r="SHL100" s="1"/>
      <c r="SHM100" s="1"/>
      <c r="SHN100" s="1"/>
      <c r="SHO100" s="1"/>
      <c r="SHP100" s="1"/>
      <c r="SHQ100" s="1"/>
      <c r="SHR100" s="1"/>
      <c r="SHS100" s="1"/>
      <c r="SHT100" s="1"/>
      <c r="SHU100" s="1"/>
      <c r="SHV100" s="1"/>
      <c r="SHW100" s="1"/>
      <c r="SHX100" s="1"/>
      <c r="SHY100" s="1"/>
      <c r="SHZ100" s="1"/>
      <c r="SIA100" s="1"/>
      <c r="SIB100" s="1"/>
      <c r="SIC100" s="1"/>
      <c r="SID100" s="1"/>
      <c r="SIE100" s="1"/>
      <c r="SIF100" s="1"/>
      <c r="SIG100" s="1"/>
      <c r="SIH100" s="1"/>
      <c r="SII100" s="1"/>
      <c r="SIJ100" s="1"/>
      <c r="SIK100" s="1"/>
      <c r="SIL100" s="1"/>
      <c r="SIM100" s="1"/>
      <c r="SIN100" s="1"/>
      <c r="SIO100" s="1"/>
      <c r="SIP100" s="1"/>
      <c r="SIQ100" s="1"/>
      <c r="SIR100" s="1"/>
      <c r="SIS100" s="1"/>
      <c r="SIT100" s="1"/>
      <c r="SIU100" s="1"/>
      <c r="SIV100" s="1"/>
      <c r="SIW100" s="1"/>
      <c r="SIX100" s="1"/>
      <c r="SIY100" s="1"/>
      <c r="SIZ100" s="1"/>
      <c r="SJA100" s="1"/>
      <c r="SJB100" s="1"/>
      <c r="SJC100" s="1"/>
      <c r="SJD100" s="1"/>
      <c r="SJE100" s="1"/>
      <c r="SJF100" s="1"/>
      <c r="SJG100" s="1"/>
      <c r="SJH100" s="1"/>
      <c r="SJI100" s="1"/>
      <c r="SJJ100" s="1"/>
      <c r="SJK100" s="1"/>
      <c r="SJL100" s="1"/>
      <c r="SJM100" s="1"/>
      <c r="SJN100" s="1"/>
      <c r="SJO100" s="1"/>
      <c r="SJP100" s="1"/>
      <c r="SJQ100" s="1"/>
      <c r="SJR100" s="1"/>
      <c r="SJS100" s="1"/>
      <c r="SJT100" s="1"/>
      <c r="SJU100" s="1"/>
      <c r="SJV100" s="1"/>
      <c r="SJW100" s="1"/>
      <c r="SJX100" s="1"/>
      <c r="SJY100" s="1"/>
      <c r="SJZ100" s="1"/>
      <c r="SKA100" s="1"/>
      <c r="SKB100" s="1"/>
      <c r="SKC100" s="1"/>
      <c r="SKD100" s="1"/>
      <c r="SKE100" s="1"/>
      <c r="SKF100" s="1"/>
      <c r="SKG100" s="1"/>
      <c r="SKH100" s="1"/>
      <c r="SKI100" s="1"/>
      <c r="SKJ100" s="1"/>
      <c r="SKK100" s="1"/>
      <c r="SKL100" s="1"/>
      <c r="SKM100" s="1"/>
      <c r="SKN100" s="1"/>
      <c r="SKO100" s="1"/>
      <c r="SKP100" s="1"/>
      <c r="SKQ100" s="1"/>
      <c r="SKR100" s="1"/>
      <c r="SKS100" s="1"/>
      <c r="SKT100" s="1"/>
      <c r="SKU100" s="1"/>
      <c r="SKV100" s="1"/>
      <c r="SKW100" s="1"/>
      <c r="SKX100" s="1"/>
      <c r="SKY100" s="1"/>
      <c r="SKZ100" s="1"/>
      <c r="SLA100" s="1"/>
      <c r="SLB100" s="1"/>
      <c r="SLC100" s="1"/>
      <c r="SLD100" s="1"/>
      <c r="SLE100" s="1"/>
      <c r="SLF100" s="1"/>
      <c r="SLG100" s="1"/>
      <c r="SLH100" s="1"/>
      <c r="SLI100" s="1"/>
      <c r="SLJ100" s="1"/>
      <c r="SLK100" s="1"/>
      <c r="SLL100" s="1"/>
      <c r="SLM100" s="1"/>
      <c r="SLN100" s="1"/>
      <c r="SLO100" s="1"/>
      <c r="SLP100" s="1"/>
      <c r="SLQ100" s="1"/>
      <c r="SLR100" s="1"/>
      <c r="SLS100" s="1"/>
      <c r="SLT100" s="1"/>
      <c r="SLU100" s="1"/>
      <c r="SLV100" s="1"/>
      <c r="SLW100" s="1"/>
      <c r="SLX100" s="1"/>
      <c r="SLY100" s="1"/>
      <c r="SLZ100" s="1"/>
      <c r="SMA100" s="1"/>
      <c r="SMB100" s="1"/>
      <c r="SMC100" s="1"/>
      <c r="SMD100" s="1"/>
      <c r="SME100" s="1"/>
      <c r="SMF100" s="1"/>
      <c r="SMG100" s="1"/>
      <c r="SMH100" s="1"/>
      <c r="SMI100" s="1"/>
      <c r="SMJ100" s="1"/>
      <c r="SMK100" s="1"/>
      <c r="SML100" s="1"/>
      <c r="SMM100" s="1"/>
      <c r="SMN100" s="1"/>
      <c r="SMO100" s="1"/>
      <c r="SMP100" s="1"/>
      <c r="SMQ100" s="1"/>
      <c r="SMR100" s="1"/>
      <c r="SMS100" s="1"/>
      <c r="SMT100" s="1"/>
      <c r="SMU100" s="1"/>
      <c r="SMV100" s="1"/>
      <c r="SMW100" s="1"/>
      <c r="SMX100" s="1"/>
      <c r="SMY100" s="1"/>
      <c r="SMZ100" s="1"/>
      <c r="SNA100" s="1"/>
      <c r="SNB100" s="1"/>
      <c r="SNC100" s="1"/>
      <c r="SND100" s="1"/>
      <c r="SNE100" s="1"/>
      <c r="SNF100" s="1"/>
      <c r="SNG100" s="1"/>
      <c r="SNH100" s="1"/>
      <c r="SNI100" s="1"/>
      <c r="SNJ100" s="1"/>
      <c r="SNK100" s="1"/>
      <c r="SNL100" s="1"/>
      <c r="SNM100" s="1"/>
      <c r="SNN100" s="1"/>
      <c r="SNO100" s="1"/>
      <c r="SNP100" s="1"/>
      <c r="SNQ100" s="1"/>
      <c r="SNR100" s="1"/>
      <c r="SNS100" s="1"/>
      <c r="SNT100" s="1"/>
      <c r="SNU100" s="1"/>
      <c r="SNV100" s="1"/>
      <c r="SNW100" s="1"/>
      <c r="SNX100" s="1"/>
      <c r="SNY100" s="1"/>
      <c r="SNZ100" s="1"/>
      <c r="SOA100" s="1"/>
      <c r="SOB100" s="1"/>
      <c r="SOC100" s="1"/>
      <c r="SOD100" s="1"/>
      <c r="SOE100" s="1"/>
      <c r="SOF100" s="1"/>
      <c r="SOG100" s="1"/>
      <c r="SOH100" s="1"/>
      <c r="SOI100" s="1"/>
      <c r="SOJ100" s="1"/>
      <c r="SOK100" s="1"/>
      <c r="SOL100" s="1"/>
      <c r="SOM100" s="1"/>
      <c r="SON100" s="1"/>
      <c r="SOO100" s="1"/>
      <c r="SOP100" s="1"/>
      <c r="SOQ100" s="1"/>
      <c r="SOR100" s="1"/>
      <c r="SOS100" s="1"/>
      <c r="SOT100" s="1"/>
      <c r="SOU100" s="1"/>
      <c r="SOV100" s="1"/>
      <c r="SOW100" s="1"/>
      <c r="SOX100" s="1"/>
      <c r="SOY100" s="1"/>
      <c r="SOZ100" s="1"/>
      <c r="SPA100" s="1"/>
      <c r="SPB100" s="1"/>
      <c r="SPC100" s="1"/>
      <c r="SPD100" s="1"/>
      <c r="SPE100" s="1"/>
      <c r="SPF100" s="1"/>
      <c r="SPG100" s="1"/>
      <c r="SPH100" s="1"/>
      <c r="SPI100" s="1"/>
      <c r="SPJ100" s="1"/>
      <c r="SPK100" s="1"/>
      <c r="SPL100" s="1"/>
      <c r="SPM100" s="1"/>
      <c r="SPN100" s="1"/>
      <c r="SPO100" s="1"/>
      <c r="SPP100" s="1"/>
      <c r="SPQ100" s="1"/>
      <c r="SPR100" s="1"/>
      <c r="SPS100" s="1"/>
      <c r="SPT100" s="1"/>
      <c r="SPU100" s="1"/>
      <c r="SPV100" s="1"/>
      <c r="SPW100" s="1"/>
      <c r="SPX100" s="1"/>
      <c r="SPY100" s="1"/>
      <c r="SPZ100" s="1"/>
      <c r="SQA100" s="1"/>
      <c r="SQB100" s="1"/>
      <c r="SQC100" s="1"/>
      <c r="SQD100" s="1"/>
      <c r="SQE100" s="1"/>
      <c r="SQF100" s="1"/>
      <c r="SQG100" s="1"/>
      <c r="SQH100" s="1"/>
      <c r="SQI100" s="1"/>
      <c r="SQJ100" s="1"/>
      <c r="SQK100" s="1"/>
      <c r="SQL100" s="1"/>
      <c r="SQM100" s="1"/>
      <c r="SQN100" s="1"/>
      <c r="SQO100" s="1"/>
      <c r="SQP100" s="1"/>
      <c r="SQQ100" s="1"/>
      <c r="SQR100" s="1"/>
      <c r="SQS100" s="1"/>
      <c r="SQT100" s="1"/>
      <c r="SQU100" s="1"/>
      <c r="SQV100" s="1"/>
      <c r="SQW100" s="1"/>
      <c r="SQX100" s="1"/>
      <c r="SQY100" s="1"/>
      <c r="SQZ100" s="1"/>
      <c r="SRA100" s="1"/>
      <c r="SRB100" s="1"/>
      <c r="SRC100" s="1"/>
      <c r="SRD100" s="1"/>
      <c r="SRE100" s="1"/>
      <c r="SRF100" s="1"/>
      <c r="SRG100" s="1"/>
      <c r="SRH100" s="1"/>
      <c r="SRI100" s="1"/>
      <c r="SRJ100" s="1"/>
      <c r="SRK100" s="1"/>
      <c r="SRL100" s="1"/>
      <c r="SRM100" s="1"/>
      <c r="SRN100" s="1"/>
      <c r="SRO100" s="1"/>
      <c r="SRP100" s="1"/>
      <c r="SRQ100" s="1"/>
      <c r="SRR100" s="1"/>
      <c r="SRS100" s="1"/>
      <c r="SRT100" s="1"/>
      <c r="SRU100" s="1"/>
      <c r="SRV100" s="1"/>
      <c r="SRW100" s="1"/>
      <c r="SRX100" s="1"/>
      <c r="SRY100" s="1"/>
      <c r="SRZ100" s="1"/>
      <c r="SSA100" s="1"/>
      <c r="SSB100" s="1"/>
      <c r="SSC100" s="1"/>
      <c r="SSD100" s="1"/>
      <c r="SSE100" s="1"/>
      <c r="SSF100" s="1"/>
      <c r="SSG100" s="1"/>
      <c r="SSH100" s="1"/>
      <c r="SSI100" s="1"/>
      <c r="SSJ100" s="1"/>
      <c r="SSK100" s="1"/>
      <c r="SSL100" s="1"/>
      <c r="SSM100" s="1"/>
      <c r="SSN100" s="1"/>
      <c r="SSO100" s="1"/>
      <c r="SSP100" s="1"/>
      <c r="SSQ100" s="1"/>
      <c r="SSR100" s="1"/>
      <c r="SSS100" s="1"/>
      <c r="SST100" s="1"/>
      <c r="SSU100" s="1"/>
      <c r="SSV100" s="1"/>
      <c r="SSW100" s="1"/>
      <c r="SSX100" s="1"/>
      <c r="SSY100" s="1"/>
      <c r="SSZ100" s="1"/>
      <c r="STA100" s="1"/>
      <c r="STB100" s="1"/>
      <c r="STC100" s="1"/>
      <c r="STD100" s="1"/>
      <c r="STE100" s="1"/>
      <c r="STF100" s="1"/>
      <c r="STG100" s="1"/>
      <c r="STH100" s="1"/>
      <c r="STI100" s="1"/>
      <c r="STJ100" s="1"/>
      <c r="STK100" s="1"/>
      <c r="STL100" s="1"/>
      <c r="STM100" s="1"/>
      <c r="STN100" s="1"/>
      <c r="STO100" s="1"/>
      <c r="STP100" s="1"/>
      <c r="STQ100" s="1"/>
      <c r="STR100" s="1"/>
      <c r="STS100" s="1"/>
      <c r="STT100" s="1"/>
      <c r="STU100" s="1"/>
      <c r="STV100" s="1"/>
      <c r="STW100" s="1"/>
      <c r="STX100" s="1"/>
      <c r="STY100" s="1"/>
      <c r="STZ100" s="1"/>
      <c r="SUA100" s="1"/>
      <c r="SUB100" s="1"/>
      <c r="SUC100" s="1"/>
      <c r="SUD100" s="1"/>
      <c r="SUE100" s="1"/>
      <c r="SUF100" s="1"/>
      <c r="SUG100" s="1"/>
      <c r="SUH100" s="1"/>
      <c r="SUI100" s="1"/>
      <c r="SUJ100" s="1"/>
      <c r="SUK100" s="1"/>
      <c r="SUL100" s="1"/>
      <c r="SUM100" s="1"/>
      <c r="SUN100" s="1"/>
      <c r="SUO100" s="1"/>
      <c r="SUP100" s="1"/>
      <c r="SUQ100" s="1"/>
      <c r="SUR100" s="1"/>
      <c r="SUS100" s="1"/>
      <c r="SUT100" s="1"/>
      <c r="SUU100" s="1"/>
      <c r="SUV100" s="1"/>
      <c r="SUW100" s="1"/>
      <c r="SUX100" s="1"/>
      <c r="SUY100" s="1"/>
      <c r="SUZ100" s="1"/>
      <c r="SVA100" s="1"/>
      <c r="SVB100" s="1"/>
      <c r="SVC100" s="1"/>
      <c r="SVD100" s="1"/>
      <c r="SVE100" s="1"/>
      <c r="SVF100" s="1"/>
      <c r="SVG100" s="1"/>
      <c r="SVH100" s="1"/>
      <c r="SVI100" s="1"/>
      <c r="SVJ100" s="1"/>
      <c r="SVK100" s="1"/>
      <c r="SVL100" s="1"/>
      <c r="SVM100" s="1"/>
      <c r="SVN100" s="1"/>
      <c r="SVO100" s="1"/>
      <c r="SVP100" s="1"/>
      <c r="SVQ100" s="1"/>
      <c r="SVR100" s="1"/>
      <c r="SVS100" s="1"/>
      <c r="SVT100" s="1"/>
      <c r="SVU100" s="1"/>
      <c r="SVV100" s="1"/>
      <c r="SVW100" s="1"/>
      <c r="SVX100" s="1"/>
      <c r="SVY100" s="1"/>
      <c r="SVZ100" s="1"/>
      <c r="SWA100" s="1"/>
      <c r="SWB100" s="1"/>
      <c r="SWC100" s="1"/>
      <c r="SWD100" s="1"/>
      <c r="SWE100" s="1"/>
      <c r="SWF100" s="1"/>
      <c r="SWG100" s="1"/>
      <c r="SWH100" s="1"/>
      <c r="SWI100" s="1"/>
      <c r="SWJ100" s="1"/>
      <c r="SWK100" s="1"/>
      <c r="SWL100" s="1"/>
      <c r="SWM100" s="1"/>
      <c r="SWN100" s="1"/>
      <c r="SWO100" s="1"/>
      <c r="SWP100" s="1"/>
      <c r="SWQ100" s="1"/>
      <c r="SWR100" s="1"/>
      <c r="SWS100" s="1"/>
      <c r="SWT100" s="1"/>
      <c r="SWU100" s="1"/>
      <c r="SWV100" s="1"/>
      <c r="SWW100" s="1"/>
      <c r="SWX100" s="1"/>
      <c r="SWY100" s="1"/>
      <c r="SWZ100" s="1"/>
      <c r="SXA100" s="1"/>
      <c r="SXB100" s="1"/>
      <c r="SXC100" s="1"/>
      <c r="SXD100" s="1"/>
      <c r="SXE100" s="1"/>
      <c r="SXF100" s="1"/>
      <c r="SXG100" s="1"/>
      <c r="SXH100" s="1"/>
      <c r="SXI100" s="1"/>
      <c r="SXJ100" s="1"/>
      <c r="SXK100" s="1"/>
      <c r="SXL100" s="1"/>
      <c r="SXM100" s="1"/>
      <c r="SXN100" s="1"/>
      <c r="SXO100" s="1"/>
      <c r="SXP100" s="1"/>
      <c r="SXQ100" s="1"/>
      <c r="SXR100" s="1"/>
      <c r="SXS100" s="1"/>
      <c r="SXT100" s="1"/>
      <c r="SXU100" s="1"/>
      <c r="SXV100" s="1"/>
      <c r="SXW100" s="1"/>
      <c r="SXX100" s="1"/>
      <c r="SXY100" s="1"/>
      <c r="SXZ100" s="1"/>
      <c r="SYA100" s="1"/>
      <c r="SYB100" s="1"/>
      <c r="SYC100" s="1"/>
      <c r="SYD100" s="1"/>
      <c r="SYE100" s="1"/>
      <c r="SYF100" s="1"/>
      <c r="SYG100" s="1"/>
      <c r="SYH100" s="1"/>
      <c r="SYI100" s="1"/>
      <c r="SYJ100" s="1"/>
      <c r="SYK100" s="1"/>
      <c r="SYL100" s="1"/>
      <c r="SYM100" s="1"/>
      <c r="SYN100" s="1"/>
      <c r="SYO100" s="1"/>
      <c r="SYP100" s="1"/>
      <c r="SYQ100" s="1"/>
      <c r="SYR100" s="1"/>
      <c r="SYS100" s="1"/>
      <c r="SYT100" s="1"/>
      <c r="SYU100" s="1"/>
      <c r="SYV100" s="1"/>
      <c r="SYW100" s="1"/>
      <c r="SYX100" s="1"/>
      <c r="SYY100" s="1"/>
      <c r="SYZ100" s="1"/>
      <c r="SZA100" s="1"/>
      <c r="SZB100" s="1"/>
      <c r="SZC100" s="1"/>
      <c r="SZD100" s="1"/>
      <c r="SZE100" s="1"/>
      <c r="SZF100" s="1"/>
      <c r="SZG100" s="1"/>
      <c r="SZH100" s="1"/>
      <c r="SZI100" s="1"/>
      <c r="SZJ100" s="1"/>
      <c r="SZK100" s="1"/>
      <c r="SZL100" s="1"/>
      <c r="SZM100" s="1"/>
      <c r="SZN100" s="1"/>
      <c r="SZO100" s="1"/>
      <c r="SZP100" s="1"/>
      <c r="SZQ100" s="1"/>
      <c r="SZR100" s="1"/>
      <c r="SZS100" s="1"/>
      <c r="SZT100" s="1"/>
      <c r="SZU100" s="1"/>
      <c r="SZV100" s="1"/>
      <c r="SZW100" s="1"/>
      <c r="SZX100" s="1"/>
      <c r="SZY100" s="1"/>
      <c r="SZZ100" s="1"/>
      <c r="TAA100" s="1"/>
      <c r="TAB100" s="1"/>
      <c r="TAC100" s="1"/>
      <c r="TAD100" s="1"/>
      <c r="TAE100" s="1"/>
      <c r="TAF100" s="1"/>
      <c r="TAG100" s="1"/>
      <c r="TAH100" s="1"/>
      <c r="TAI100" s="1"/>
      <c r="TAJ100" s="1"/>
      <c r="TAK100" s="1"/>
      <c r="TAL100" s="1"/>
      <c r="TAM100" s="1"/>
      <c r="TAN100" s="1"/>
      <c r="TAO100" s="1"/>
      <c r="TAP100" s="1"/>
      <c r="TAQ100" s="1"/>
      <c r="TAR100" s="1"/>
      <c r="TAS100" s="1"/>
      <c r="TAT100" s="1"/>
      <c r="TAU100" s="1"/>
      <c r="TAV100" s="1"/>
      <c r="TAW100" s="1"/>
      <c r="TAX100" s="1"/>
      <c r="TAY100" s="1"/>
      <c r="TAZ100" s="1"/>
      <c r="TBA100" s="1"/>
      <c r="TBB100" s="1"/>
      <c r="TBC100" s="1"/>
      <c r="TBD100" s="1"/>
      <c r="TBE100" s="1"/>
      <c r="TBF100" s="1"/>
      <c r="TBG100" s="1"/>
      <c r="TBH100" s="1"/>
      <c r="TBI100" s="1"/>
      <c r="TBJ100" s="1"/>
      <c r="TBK100" s="1"/>
      <c r="TBL100" s="1"/>
      <c r="TBM100" s="1"/>
      <c r="TBN100" s="1"/>
      <c r="TBO100" s="1"/>
      <c r="TBP100" s="1"/>
      <c r="TBQ100" s="1"/>
      <c r="TBR100" s="1"/>
      <c r="TBS100" s="1"/>
      <c r="TBT100" s="1"/>
      <c r="TBU100" s="1"/>
      <c r="TBV100" s="1"/>
      <c r="TBW100" s="1"/>
      <c r="TBX100" s="1"/>
      <c r="TBY100" s="1"/>
      <c r="TBZ100" s="1"/>
      <c r="TCA100" s="1"/>
      <c r="TCB100" s="1"/>
      <c r="TCC100" s="1"/>
      <c r="TCD100" s="1"/>
      <c r="TCE100" s="1"/>
      <c r="TCF100" s="1"/>
      <c r="TCG100" s="1"/>
      <c r="TCH100" s="1"/>
      <c r="TCI100" s="1"/>
      <c r="TCJ100" s="1"/>
      <c r="TCK100" s="1"/>
      <c r="TCL100" s="1"/>
      <c r="TCM100" s="1"/>
      <c r="TCN100" s="1"/>
      <c r="TCO100" s="1"/>
      <c r="TCP100" s="1"/>
      <c r="TCQ100" s="1"/>
      <c r="TCR100" s="1"/>
      <c r="TCS100" s="1"/>
      <c r="TCT100" s="1"/>
      <c r="TCU100" s="1"/>
      <c r="TCV100" s="1"/>
      <c r="TCW100" s="1"/>
      <c r="TCX100" s="1"/>
      <c r="TCY100" s="1"/>
      <c r="TCZ100" s="1"/>
      <c r="TDA100" s="1"/>
      <c r="TDB100" s="1"/>
      <c r="TDC100" s="1"/>
      <c r="TDD100" s="1"/>
      <c r="TDE100" s="1"/>
      <c r="TDF100" s="1"/>
      <c r="TDG100" s="1"/>
      <c r="TDH100" s="1"/>
      <c r="TDI100" s="1"/>
      <c r="TDJ100" s="1"/>
      <c r="TDK100" s="1"/>
      <c r="TDL100" s="1"/>
      <c r="TDM100" s="1"/>
      <c r="TDN100" s="1"/>
      <c r="TDO100" s="1"/>
      <c r="TDP100" s="1"/>
      <c r="TDQ100" s="1"/>
      <c r="TDR100" s="1"/>
      <c r="TDS100" s="1"/>
      <c r="TDT100" s="1"/>
      <c r="TDU100" s="1"/>
      <c r="TDV100" s="1"/>
      <c r="TDW100" s="1"/>
      <c r="TDX100" s="1"/>
      <c r="TDY100" s="1"/>
      <c r="TDZ100" s="1"/>
      <c r="TEA100" s="1"/>
      <c r="TEB100" s="1"/>
      <c r="TEC100" s="1"/>
      <c r="TED100" s="1"/>
      <c r="TEE100" s="1"/>
      <c r="TEF100" s="1"/>
      <c r="TEG100" s="1"/>
      <c r="TEH100" s="1"/>
      <c r="TEI100" s="1"/>
      <c r="TEJ100" s="1"/>
      <c r="TEK100" s="1"/>
      <c r="TEL100" s="1"/>
      <c r="TEM100" s="1"/>
      <c r="TEN100" s="1"/>
      <c r="TEO100" s="1"/>
      <c r="TEP100" s="1"/>
      <c r="TEQ100" s="1"/>
      <c r="TER100" s="1"/>
      <c r="TES100" s="1"/>
      <c r="TET100" s="1"/>
      <c r="TEU100" s="1"/>
      <c r="TEV100" s="1"/>
      <c r="TEW100" s="1"/>
      <c r="TEX100" s="1"/>
      <c r="TEY100" s="1"/>
      <c r="TEZ100" s="1"/>
      <c r="TFA100" s="1"/>
      <c r="TFB100" s="1"/>
      <c r="TFC100" s="1"/>
      <c r="TFD100" s="1"/>
      <c r="TFE100" s="1"/>
      <c r="TFF100" s="1"/>
      <c r="TFG100" s="1"/>
      <c r="TFH100" s="1"/>
      <c r="TFI100" s="1"/>
      <c r="TFJ100" s="1"/>
      <c r="TFK100" s="1"/>
      <c r="TFL100" s="1"/>
      <c r="TFM100" s="1"/>
      <c r="TFN100" s="1"/>
      <c r="TFO100" s="1"/>
      <c r="TFP100" s="1"/>
      <c r="TFQ100" s="1"/>
      <c r="TFR100" s="1"/>
      <c r="TFS100" s="1"/>
      <c r="TFT100" s="1"/>
      <c r="TFU100" s="1"/>
      <c r="TFV100" s="1"/>
      <c r="TFW100" s="1"/>
      <c r="TFX100" s="1"/>
      <c r="TFY100" s="1"/>
      <c r="TFZ100" s="1"/>
      <c r="TGA100" s="1"/>
      <c r="TGB100" s="1"/>
      <c r="TGC100" s="1"/>
      <c r="TGD100" s="1"/>
      <c r="TGE100" s="1"/>
      <c r="TGF100" s="1"/>
      <c r="TGG100" s="1"/>
      <c r="TGH100" s="1"/>
      <c r="TGI100" s="1"/>
      <c r="TGJ100" s="1"/>
      <c r="TGK100" s="1"/>
      <c r="TGL100" s="1"/>
      <c r="TGM100" s="1"/>
      <c r="TGN100" s="1"/>
      <c r="TGO100" s="1"/>
      <c r="TGP100" s="1"/>
      <c r="TGQ100" s="1"/>
      <c r="TGR100" s="1"/>
      <c r="TGS100" s="1"/>
      <c r="TGT100" s="1"/>
      <c r="TGU100" s="1"/>
      <c r="TGV100" s="1"/>
      <c r="TGW100" s="1"/>
      <c r="TGX100" s="1"/>
      <c r="TGY100" s="1"/>
      <c r="TGZ100" s="1"/>
      <c r="THA100" s="1"/>
      <c r="THB100" s="1"/>
      <c r="THC100" s="1"/>
      <c r="THD100" s="1"/>
      <c r="THE100" s="1"/>
      <c r="THF100" s="1"/>
      <c r="THG100" s="1"/>
      <c r="THH100" s="1"/>
      <c r="THI100" s="1"/>
      <c r="THJ100" s="1"/>
      <c r="THK100" s="1"/>
      <c r="THL100" s="1"/>
      <c r="THM100" s="1"/>
      <c r="THN100" s="1"/>
      <c r="THO100" s="1"/>
      <c r="THP100" s="1"/>
      <c r="THQ100" s="1"/>
      <c r="THR100" s="1"/>
      <c r="THS100" s="1"/>
      <c r="THT100" s="1"/>
      <c r="THU100" s="1"/>
      <c r="THV100" s="1"/>
      <c r="THW100" s="1"/>
      <c r="THX100" s="1"/>
      <c r="THY100" s="1"/>
      <c r="THZ100" s="1"/>
      <c r="TIA100" s="1"/>
      <c r="TIB100" s="1"/>
      <c r="TIC100" s="1"/>
      <c r="TID100" s="1"/>
      <c r="TIE100" s="1"/>
      <c r="TIF100" s="1"/>
      <c r="TIG100" s="1"/>
      <c r="TIH100" s="1"/>
      <c r="TII100" s="1"/>
      <c r="TIJ100" s="1"/>
      <c r="TIK100" s="1"/>
      <c r="TIL100" s="1"/>
      <c r="TIM100" s="1"/>
      <c r="TIN100" s="1"/>
      <c r="TIO100" s="1"/>
      <c r="TIP100" s="1"/>
      <c r="TIQ100" s="1"/>
      <c r="TIR100" s="1"/>
      <c r="TIS100" s="1"/>
      <c r="TIT100" s="1"/>
      <c r="TIU100" s="1"/>
      <c r="TIV100" s="1"/>
      <c r="TIW100" s="1"/>
      <c r="TIX100" s="1"/>
      <c r="TIY100" s="1"/>
      <c r="TIZ100" s="1"/>
      <c r="TJA100" s="1"/>
      <c r="TJB100" s="1"/>
      <c r="TJC100" s="1"/>
      <c r="TJD100" s="1"/>
      <c r="TJE100" s="1"/>
      <c r="TJF100" s="1"/>
      <c r="TJG100" s="1"/>
      <c r="TJH100" s="1"/>
      <c r="TJI100" s="1"/>
      <c r="TJJ100" s="1"/>
      <c r="TJK100" s="1"/>
      <c r="TJL100" s="1"/>
      <c r="TJM100" s="1"/>
      <c r="TJN100" s="1"/>
      <c r="TJO100" s="1"/>
      <c r="TJP100" s="1"/>
      <c r="TJQ100" s="1"/>
      <c r="TJR100" s="1"/>
      <c r="TJS100" s="1"/>
      <c r="TJT100" s="1"/>
      <c r="TJU100" s="1"/>
      <c r="TJV100" s="1"/>
      <c r="TJW100" s="1"/>
      <c r="TJX100" s="1"/>
      <c r="TJY100" s="1"/>
      <c r="TJZ100" s="1"/>
      <c r="TKA100" s="1"/>
      <c r="TKB100" s="1"/>
      <c r="TKC100" s="1"/>
      <c r="TKD100" s="1"/>
      <c r="TKE100" s="1"/>
      <c r="TKF100" s="1"/>
      <c r="TKG100" s="1"/>
      <c r="TKH100" s="1"/>
      <c r="TKI100" s="1"/>
      <c r="TKJ100" s="1"/>
      <c r="TKK100" s="1"/>
      <c r="TKL100" s="1"/>
      <c r="TKM100" s="1"/>
      <c r="TKN100" s="1"/>
      <c r="TKO100" s="1"/>
      <c r="TKP100" s="1"/>
      <c r="TKQ100" s="1"/>
      <c r="TKR100" s="1"/>
      <c r="TKS100" s="1"/>
      <c r="TKT100" s="1"/>
      <c r="TKU100" s="1"/>
      <c r="TKV100" s="1"/>
      <c r="TKW100" s="1"/>
      <c r="TKX100" s="1"/>
      <c r="TKY100" s="1"/>
      <c r="TKZ100" s="1"/>
      <c r="TLA100" s="1"/>
      <c r="TLB100" s="1"/>
      <c r="TLC100" s="1"/>
      <c r="TLD100" s="1"/>
      <c r="TLE100" s="1"/>
      <c r="TLF100" s="1"/>
      <c r="TLG100" s="1"/>
      <c r="TLH100" s="1"/>
      <c r="TLI100" s="1"/>
      <c r="TLJ100" s="1"/>
      <c r="TLK100" s="1"/>
      <c r="TLL100" s="1"/>
      <c r="TLM100" s="1"/>
      <c r="TLN100" s="1"/>
      <c r="TLO100" s="1"/>
      <c r="TLP100" s="1"/>
      <c r="TLQ100" s="1"/>
      <c r="TLR100" s="1"/>
      <c r="TLS100" s="1"/>
      <c r="TLT100" s="1"/>
      <c r="TLU100" s="1"/>
      <c r="TLV100" s="1"/>
      <c r="TLW100" s="1"/>
      <c r="TLX100" s="1"/>
      <c r="TLY100" s="1"/>
      <c r="TLZ100" s="1"/>
      <c r="TMA100" s="1"/>
      <c r="TMB100" s="1"/>
      <c r="TMC100" s="1"/>
      <c r="TMD100" s="1"/>
      <c r="TME100" s="1"/>
      <c r="TMF100" s="1"/>
      <c r="TMG100" s="1"/>
      <c r="TMH100" s="1"/>
      <c r="TMI100" s="1"/>
      <c r="TMJ100" s="1"/>
      <c r="TMK100" s="1"/>
      <c r="TML100" s="1"/>
      <c r="TMM100" s="1"/>
      <c r="TMN100" s="1"/>
      <c r="TMO100" s="1"/>
      <c r="TMP100" s="1"/>
      <c r="TMQ100" s="1"/>
      <c r="TMR100" s="1"/>
      <c r="TMS100" s="1"/>
      <c r="TMT100" s="1"/>
      <c r="TMU100" s="1"/>
      <c r="TMV100" s="1"/>
      <c r="TMW100" s="1"/>
      <c r="TMX100" s="1"/>
      <c r="TMY100" s="1"/>
      <c r="TMZ100" s="1"/>
      <c r="TNA100" s="1"/>
      <c r="TNB100" s="1"/>
      <c r="TNC100" s="1"/>
      <c r="TND100" s="1"/>
      <c r="TNE100" s="1"/>
      <c r="TNF100" s="1"/>
      <c r="TNG100" s="1"/>
      <c r="TNH100" s="1"/>
      <c r="TNI100" s="1"/>
      <c r="TNJ100" s="1"/>
      <c r="TNK100" s="1"/>
      <c r="TNL100" s="1"/>
      <c r="TNM100" s="1"/>
      <c r="TNN100" s="1"/>
      <c r="TNO100" s="1"/>
      <c r="TNP100" s="1"/>
      <c r="TNQ100" s="1"/>
      <c r="TNR100" s="1"/>
      <c r="TNS100" s="1"/>
      <c r="TNT100" s="1"/>
      <c r="TNU100" s="1"/>
      <c r="TNV100" s="1"/>
      <c r="TNW100" s="1"/>
      <c r="TNX100" s="1"/>
      <c r="TNY100" s="1"/>
      <c r="TNZ100" s="1"/>
      <c r="TOA100" s="1"/>
      <c r="TOB100" s="1"/>
      <c r="TOC100" s="1"/>
      <c r="TOD100" s="1"/>
      <c r="TOE100" s="1"/>
      <c r="TOF100" s="1"/>
      <c r="TOG100" s="1"/>
      <c r="TOH100" s="1"/>
      <c r="TOI100" s="1"/>
      <c r="TOJ100" s="1"/>
      <c r="TOK100" s="1"/>
      <c r="TOL100" s="1"/>
      <c r="TOM100" s="1"/>
      <c r="TON100" s="1"/>
      <c r="TOO100" s="1"/>
      <c r="TOP100" s="1"/>
      <c r="TOQ100" s="1"/>
      <c r="TOR100" s="1"/>
      <c r="TOS100" s="1"/>
      <c r="TOT100" s="1"/>
      <c r="TOU100" s="1"/>
      <c r="TOV100" s="1"/>
      <c r="TOW100" s="1"/>
      <c r="TOX100" s="1"/>
      <c r="TOY100" s="1"/>
      <c r="TOZ100" s="1"/>
      <c r="TPA100" s="1"/>
      <c r="TPB100" s="1"/>
      <c r="TPC100" s="1"/>
      <c r="TPD100" s="1"/>
      <c r="TPE100" s="1"/>
      <c r="TPF100" s="1"/>
      <c r="TPG100" s="1"/>
      <c r="TPH100" s="1"/>
      <c r="TPI100" s="1"/>
      <c r="TPJ100" s="1"/>
      <c r="TPK100" s="1"/>
      <c r="TPL100" s="1"/>
      <c r="TPM100" s="1"/>
      <c r="TPN100" s="1"/>
      <c r="TPO100" s="1"/>
      <c r="TPP100" s="1"/>
      <c r="TPQ100" s="1"/>
      <c r="TPR100" s="1"/>
      <c r="TPS100" s="1"/>
      <c r="TPT100" s="1"/>
      <c r="TPU100" s="1"/>
      <c r="TPV100" s="1"/>
      <c r="TPW100" s="1"/>
      <c r="TPX100" s="1"/>
      <c r="TPY100" s="1"/>
      <c r="TPZ100" s="1"/>
      <c r="TQA100" s="1"/>
      <c r="TQB100" s="1"/>
      <c r="TQC100" s="1"/>
      <c r="TQD100" s="1"/>
      <c r="TQE100" s="1"/>
      <c r="TQF100" s="1"/>
      <c r="TQG100" s="1"/>
      <c r="TQH100" s="1"/>
      <c r="TQI100" s="1"/>
      <c r="TQJ100" s="1"/>
      <c r="TQK100" s="1"/>
      <c r="TQL100" s="1"/>
      <c r="TQM100" s="1"/>
      <c r="TQN100" s="1"/>
      <c r="TQO100" s="1"/>
      <c r="TQP100" s="1"/>
      <c r="TQQ100" s="1"/>
      <c r="TQR100" s="1"/>
      <c r="TQS100" s="1"/>
      <c r="TQT100" s="1"/>
      <c r="TQU100" s="1"/>
      <c r="TQV100" s="1"/>
      <c r="TQW100" s="1"/>
      <c r="TQX100" s="1"/>
      <c r="TQY100" s="1"/>
      <c r="TQZ100" s="1"/>
      <c r="TRA100" s="1"/>
      <c r="TRB100" s="1"/>
      <c r="TRC100" s="1"/>
      <c r="TRD100" s="1"/>
      <c r="TRE100" s="1"/>
      <c r="TRF100" s="1"/>
      <c r="TRG100" s="1"/>
      <c r="TRH100" s="1"/>
      <c r="TRI100" s="1"/>
      <c r="TRJ100" s="1"/>
      <c r="TRK100" s="1"/>
      <c r="TRL100" s="1"/>
      <c r="TRM100" s="1"/>
      <c r="TRN100" s="1"/>
      <c r="TRO100" s="1"/>
      <c r="TRP100" s="1"/>
      <c r="TRQ100" s="1"/>
      <c r="TRR100" s="1"/>
      <c r="TRS100" s="1"/>
      <c r="TRT100" s="1"/>
      <c r="TRU100" s="1"/>
      <c r="TRV100" s="1"/>
      <c r="TRW100" s="1"/>
      <c r="TRX100" s="1"/>
      <c r="TRY100" s="1"/>
      <c r="TRZ100" s="1"/>
      <c r="TSA100" s="1"/>
      <c r="TSB100" s="1"/>
      <c r="TSC100" s="1"/>
      <c r="TSD100" s="1"/>
      <c r="TSE100" s="1"/>
      <c r="TSF100" s="1"/>
      <c r="TSG100" s="1"/>
      <c r="TSH100" s="1"/>
      <c r="TSI100" s="1"/>
      <c r="TSJ100" s="1"/>
      <c r="TSK100" s="1"/>
      <c r="TSL100" s="1"/>
      <c r="TSM100" s="1"/>
      <c r="TSN100" s="1"/>
      <c r="TSO100" s="1"/>
      <c r="TSP100" s="1"/>
      <c r="TSQ100" s="1"/>
      <c r="TSR100" s="1"/>
      <c r="TSS100" s="1"/>
      <c r="TST100" s="1"/>
      <c r="TSU100" s="1"/>
      <c r="TSV100" s="1"/>
      <c r="TSW100" s="1"/>
      <c r="TSX100" s="1"/>
      <c r="TSY100" s="1"/>
      <c r="TSZ100" s="1"/>
      <c r="TTA100" s="1"/>
      <c r="TTB100" s="1"/>
      <c r="TTC100" s="1"/>
      <c r="TTD100" s="1"/>
      <c r="TTE100" s="1"/>
      <c r="TTF100" s="1"/>
      <c r="TTG100" s="1"/>
      <c r="TTH100" s="1"/>
      <c r="TTI100" s="1"/>
      <c r="TTJ100" s="1"/>
      <c r="TTK100" s="1"/>
      <c r="TTL100" s="1"/>
      <c r="TTM100" s="1"/>
      <c r="TTN100" s="1"/>
      <c r="TTO100" s="1"/>
      <c r="TTP100" s="1"/>
      <c r="TTQ100" s="1"/>
      <c r="TTR100" s="1"/>
      <c r="TTS100" s="1"/>
      <c r="TTT100" s="1"/>
      <c r="TTU100" s="1"/>
      <c r="TTV100" s="1"/>
      <c r="TTW100" s="1"/>
      <c r="TTX100" s="1"/>
      <c r="TTY100" s="1"/>
      <c r="TTZ100" s="1"/>
      <c r="TUA100" s="1"/>
      <c r="TUB100" s="1"/>
      <c r="TUC100" s="1"/>
      <c r="TUD100" s="1"/>
      <c r="TUE100" s="1"/>
      <c r="TUF100" s="1"/>
      <c r="TUG100" s="1"/>
      <c r="TUH100" s="1"/>
      <c r="TUI100" s="1"/>
      <c r="TUJ100" s="1"/>
      <c r="TUK100" s="1"/>
      <c r="TUL100" s="1"/>
      <c r="TUM100" s="1"/>
      <c r="TUN100" s="1"/>
      <c r="TUO100" s="1"/>
      <c r="TUP100" s="1"/>
      <c r="TUQ100" s="1"/>
      <c r="TUR100" s="1"/>
      <c r="TUS100" s="1"/>
      <c r="TUT100" s="1"/>
      <c r="TUU100" s="1"/>
      <c r="TUV100" s="1"/>
      <c r="TUW100" s="1"/>
      <c r="TUX100" s="1"/>
      <c r="TUY100" s="1"/>
      <c r="TUZ100" s="1"/>
      <c r="TVA100" s="1"/>
      <c r="TVB100" s="1"/>
      <c r="TVC100" s="1"/>
      <c r="TVD100" s="1"/>
      <c r="TVE100" s="1"/>
      <c r="TVF100" s="1"/>
      <c r="TVG100" s="1"/>
      <c r="TVH100" s="1"/>
      <c r="TVI100" s="1"/>
      <c r="TVJ100" s="1"/>
      <c r="TVK100" s="1"/>
      <c r="TVL100" s="1"/>
      <c r="TVM100" s="1"/>
      <c r="TVN100" s="1"/>
      <c r="TVO100" s="1"/>
      <c r="TVP100" s="1"/>
      <c r="TVQ100" s="1"/>
      <c r="TVR100" s="1"/>
      <c r="TVS100" s="1"/>
      <c r="TVT100" s="1"/>
      <c r="TVU100" s="1"/>
      <c r="TVV100" s="1"/>
      <c r="TVW100" s="1"/>
      <c r="TVX100" s="1"/>
      <c r="TVY100" s="1"/>
      <c r="TVZ100" s="1"/>
      <c r="TWA100" s="1"/>
      <c r="TWB100" s="1"/>
      <c r="TWC100" s="1"/>
      <c r="TWD100" s="1"/>
      <c r="TWE100" s="1"/>
      <c r="TWF100" s="1"/>
      <c r="TWG100" s="1"/>
      <c r="TWH100" s="1"/>
      <c r="TWI100" s="1"/>
      <c r="TWJ100" s="1"/>
      <c r="TWK100" s="1"/>
      <c r="TWL100" s="1"/>
      <c r="TWM100" s="1"/>
      <c r="TWN100" s="1"/>
      <c r="TWO100" s="1"/>
      <c r="TWP100" s="1"/>
      <c r="TWQ100" s="1"/>
      <c r="TWR100" s="1"/>
      <c r="TWS100" s="1"/>
      <c r="TWT100" s="1"/>
      <c r="TWU100" s="1"/>
      <c r="TWV100" s="1"/>
      <c r="TWW100" s="1"/>
      <c r="TWX100" s="1"/>
      <c r="TWY100" s="1"/>
      <c r="TWZ100" s="1"/>
      <c r="TXA100" s="1"/>
      <c r="TXB100" s="1"/>
      <c r="TXC100" s="1"/>
      <c r="TXD100" s="1"/>
      <c r="TXE100" s="1"/>
      <c r="TXF100" s="1"/>
      <c r="TXG100" s="1"/>
      <c r="TXH100" s="1"/>
      <c r="TXI100" s="1"/>
      <c r="TXJ100" s="1"/>
      <c r="TXK100" s="1"/>
      <c r="TXL100" s="1"/>
      <c r="TXM100" s="1"/>
      <c r="TXN100" s="1"/>
      <c r="TXO100" s="1"/>
      <c r="TXP100" s="1"/>
      <c r="TXQ100" s="1"/>
      <c r="TXR100" s="1"/>
      <c r="TXS100" s="1"/>
      <c r="TXT100" s="1"/>
      <c r="TXU100" s="1"/>
      <c r="TXV100" s="1"/>
      <c r="TXW100" s="1"/>
      <c r="TXX100" s="1"/>
      <c r="TXY100" s="1"/>
      <c r="TXZ100" s="1"/>
      <c r="TYA100" s="1"/>
      <c r="TYB100" s="1"/>
      <c r="TYC100" s="1"/>
      <c r="TYD100" s="1"/>
      <c r="TYE100" s="1"/>
      <c r="TYF100" s="1"/>
      <c r="TYG100" s="1"/>
      <c r="TYH100" s="1"/>
      <c r="TYI100" s="1"/>
      <c r="TYJ100" s="1"/>
      <c r="TYK100" s="1"/>
      <c r="TYL100" s="1"/>
      <c r="TYM100" s="1"/>
      <c r="TYN100" s="1"/>
      <c r="TYO100" s="1"/>
      <c r="TYP100" s="1"/>
      <c r="TYQ100" s="1"/>
      <c r="TYR100" s="1"/>
      <c r="TYS100" s="1"/>
      <c r="TYT100" s="1"/>
      <c r="TYU100" s="1"/>
      <c r="TYV100" s="1"/>
      <c r="TYW100" s="1"/>
      <c r="TYX100" s="1"/>
      <c r="TYY100" s="1"/>
      <c r="TYZ100" s="1"/>
      <c r="TZA100" s="1"/>
      <c r="TZB100" s="1"/>
      <c r="TZC100" s="1"/>
      <c r="TZD100" s="1"/>
      <c r="TZE100" s="1"/>
      <c r="TZF100" s="1"/>
      <c r="TZG100" s="1"/>
      <c r="TZH100" s="1"/>
      <c r="TZI100" s="1"/>
      <c r="TZJ100" s="1"/>
      <c r="TZK100" s="1"/>
      <c r="TZL100" s="1"/>
      <c r="TZM100" s="1"/>
      <c r="TZN100" s="1"/>
      <c r="TZO100" s="1"/>
      <c r="TZP100" s="1"/>
      <c r="TZQ100" s="1"/>
      <c r="TZR100" s="1"/>
      <c r="TZS100" s="1"/>
      <c r="TZT100" s="1"/>
      <c r="TZU100" s="1"/>
      <c r="TZV100" s="1"/>
      <c r="TZW100" s="1"/>
      <c r="TZX100" s="1"/>
      <c r="TZY100" s="1"/>
      <c r="TZZ100" s="1"/>
      <c r="UAA100" s="1"/>
      <c r="UAB100" s="1"/>
      <c r="UAC100" s="1"/>
      <c r="UAD100" s="1"/>
      <c r="UAE100" s="1"/>
      <c r="UAF100" s="1"/>
      <c r="UAG100" s="1"/>
      <c r="UAH100" s="1"/>
      <c r="UAI100" s="1"/>
      <c r="UAJ100" s="1"/>
      <c r="UAK100" s="1"/>
      <c r="UAL100" s="1"/>
      <c r="UAM100" s="1"/>
      <c r="UAN100" s="1"/>
      <c r="UAO100" s="1"/>
      <c r="UAP100" s="1"/>
      <c r="UAQ100" s="1"/>
      <c r="UAR100" s="1"/>
      <c r="UAS100" s="1"/>
      <c r="UAT100" s="1"/>
      <c r="UAU100" s="1"/>
      <c r="UAV100" s="1"/>
      <c r="UAW100" s="1"/>
      <c r="UAX100" s="1"/>
      <c r="UAY100" s="1"/>
      <c r="UAZ100" s="1"/>
      <c r="UBA100" s="1"/>
      <c r="UBB100" s="1"/>
      <c r="UBC100" s="1"/>
      <c r="UBD100" s="1"/>
      <c r="UBE100" s="1"/>
      <c r="UBF100" s="1"/>
      <c r="UBG100" s="1"/>
      <c r="UBH100" s="1"/>
      <c r="UBI100" s="1"/>
      <c r="UBJ100" s="1"/>
      <c r="UBK100" s="1"/>
      <c r="UBL100" s="1"/>
      <c r="UBM100" s="1"/>
      <c r="UBN100" s="1"/>
      <c r="UBO100" s="1"/>
      <c r="UBP100" s="1"/>
      <c r="UBQ100" s="1"/>
      <c r="UBR100" s="1"/>
      <c r="UBS100" s="1"/>
      <c r="UBT100" s="1"/>
      <c r="UBU100" s="1"/>
      <c r="UBV100" s="1"/>
      <c r="UBW100" s="1"/>
      <c r="UBX100" s="1"/>
      <c r="UBY100" s="1"/>
      <c r="UBZ100" s="1"/>
      <c r="UCA100" s="1"/>
      <c r="UCB100" s="1"/>
      <c r="UCC100" s="1"/>
      <c r="UCD100" s="1"/>
      <c r="UCE100" s="1"/>
      <c r="UCF100" s="1"/>
      <c r="UCG100" s="1"/>
      <c r="UCH100" s="1"/>
      <c r="UCI100" s="1"/>
      <c r="UCJ100" s="1"/>
      <c r="UCK100" s="1"/>
      <c r="UCL100" s="1"/>
      <c r="UCM100" s="1"/>
      <c r="UCN100" s="1"/>
      <c r="UCO100" s="1"/>
      <c r="UCP100" s="1"/>
      <c r="UCQ100" s="1"/>
      <c r="UCR100" s="1"/>
      <c r="UCS100" s="1"/>
      <c r="UCT100" s="1"/>
      <c r="UCU100" s="1"/>
      <c r="UCV100" s="1"/>
      <c r="UCW100" s="1"/>
      <c r="UCX100" s="1"/>
      <c r="UCY100" s="1"/>
      <c r="UCZ100" s="1"/>
      <c r="UDA100" s="1"/>
      <c r="UDB100" s="1"/>
      <c r="UDC100" s="1"/>
      <c r="UDD100" s="1"/>
      <c r="UDE100" s="1"/>
      <c r="UDF100" s="1"/>
      <c r="UDG100" s="1"/>
      <c r="UDH100" s="1"/>
      <c r="UDI100" s="1"/>
      <c r="UDJ100" s="1"/>
      <c r="UDK100" s="1"/>
      <c r="UDL100" s="1"/>
      <c r="UDM100" s="1"/>
      <c r="UDN100" s="1"/>
      <c r="UDO100" s="1"/>
      <c r="UDP100" s="1"/>
      <c r="UDQ100" s="1"/>
      <c r="UDR100" s="1"/>
      <c r="UDS100" s="1"/>
      <c r="UDT100" s="1"/>
      <c r="UDU100" s="1"/>
      <c r="UDV100" s="1"/>
      <c r="UDW100" s="1"/>
      <c r="UDX100" s="1"/>
      <c r="UDY100" s="1"/>
      <c r="UDZ100" s="1"/>
      <c r="UEA100" s="1"/>
      <c r="UEB100" s="1"/>
      <c r="UEC100" s="1"/>
      <c r="UED100" s="1"/>
      <c r="UEE100" s="1"/>
      <c r="UEF100" s="1"/>
      <c r="UEG100" s="1"/>
      <c r="UEH100" s="1"/>
      <c r="UEI100" s="1"/>
      <c r="UEJ100" s="1"/>
      <c r="UEK100" s="1"/>
      <c r="UEL100" s="1"/>
      <c r="UEM100" s="1"/>
      <c r="UEN100" s="1"/>
      <c r="UEO100" s="1"/>
      <c r="UEP100" s="1"/>
      <c r="UEQ100" s="1"/>
      <c r="UER100" s="1"/>
      <c r="UES100" s="1"/>
      <c r="UET100" s="1"/>
      <c r="UEU100" s="1"/>
      <c r="UEV100" s="1"/>
      <c r="UEW100" s="1"/>
      <c r="UEX100" s="1"/>
      <c r="UEY100" s="1"/>
      <c r="UEZ100" s="1"/>
      <c r="UFA100" s="1"/>
      <c r="UFB100" s="1"/>
      <c r="UFC100" s="1"/>
      <c r="UFD100" s="1"/>
      <c r="UFE100" s="1"/>
      <c r="UFF100" s="1"/>
      <c r="UFG100" s="1"/>
      <c r="UFH100" s="1"/>
      <c r="UFI100" s="1"/>
      <c r="UFJ100" s="1"/>
      <c r="UFK100" s="1"/>
      <c r="UFL100" s="1"/>
      <c r="UFM100" s="1"/>
      <c r="UFN100" s="1"/>
      <c r="UFO100" s="1"/>
      <c r="UFP100" s="1"/>
      <c r="UFQ100" s="1"/>
      <c r="UFR100" s="1"/>
      <c r="UFS100" s="1"/>
      <c r="UFT100" s="1"/>
      <c r="UFU100" s="1"/>
      <c r="UFV100" s="1"/>
      <c r="UFW100" s="1"/>
      <c r="UFX100" s="1"/>
      <c r="UFY100" s="1"/>
      <c r="UFZ100" s="1"/>
      <c r="UGA100" s="1"/>
      <c r="UGB100" s="1"/>
      <c r="UGC100" s="1"/>
      <c r="UGD100" s="1"/>
      <c r="UGE100" s="1"/>
      <c r="UGF100" s="1"/>
      <c r="UGG100" s="1"/>
      <c r="UGH100" s="1"/>
      <c r="UGI100" s="1"/>
      <c r="UGJ100" s="1"/>
      <c r="UGK100" s="1"/>
      <c r="UGL100" s="1"/>
      <c r="UGM100" s="1"/>
      <c r="UGN100" s="1"/>
      <c r="UGO100" s="1"/>
      <c r="UGP100" s="1"/>
      <c r="UGQ100" s="1"/>
      <c r="UGR100" s="1"/>
      <c r="UGS100" s="1"/>
      <c r="UGT100" s="1"/>
      <c r="UGU100" s="1"/>
      <c r="UGV100" s="1"/>
      <c r="UGW100" s="1"/>
      <c r="UGX100" s="1"/>
      <c r="UGY100" s="1"/>
      <c r="UGZ100" s="1"/>
      <c r="UHA100" s="1"/>
      <c r="UHB100" s="1"/>
      <c r="UHC100" s="1"/>
      <c r="UHD100" s="1"/>
      <c r="UHE100" s="1"/>
      <c r="UHF100" s="1"/>
      <c r="UHG100" s="1"/>
      <c r="UHH100" s="1"/>
      <c r="UHI100" s="1"/>
      <c r="UHJ100" s="1"/>
      <c r="UHK100" s="1"/>
      <c r="UHL100" s="1"/>
      <c r="UHM100" s="1"/>
      <c r="UHN100" s="1"/>
      <c r="UHO100" s="1"/>
      <c r="UHP100" s="1"/>
      <c r="UHQ100" s="1"/>
      <c r="UHR100" s="1"/>
      <c r="UHS100" s="1"/>
      <c r="UHT100" s="1"/>
      <c r="UHU100" s="1"/>
      <c r="UHV100" s="1"/>
      <c r="UHW100" s="1"/>
      <c r="UHX100" s="1"/>
      <c r="UHY100" s="1"/>
      <c r="UHZ100" s="1"/>
      <c r="UIA100" s="1"/>
      <c r="UIB100" s="1"/>
      <c r="UIC100" s="1"/>
      <c r="UID100" s="1"/>
      <c r="UIE100" s="1"/>
      <c r="UIF100" s="1"/>
      <c r="UIG100" s="1"/>
      <c r="UIH100" s="1"/>
      <c r="UII100" s="1"/>
      <c r="UIJ100" s="1"/>
      <c r="UIK100" s="1"/>
      <c r="UIL100" s="1"/>
      <c r="UIM100" s="1"/>
      <c r="UIN100" s="1"/>
      <c r="UIO100" s="1"/>
      <c r="UIP100" s="1"/>
      <c r="UIQ100" s="1"/>
      <c r="UIR100" s="1"/>
      <c r="UIS100" s="1"/>
      <c r="UIT100" s="1"/>
      <c r="UIU100" s="1"/>
      <c r="UIV100" s="1"/>
      <c r="UIW100" s="1"/>
      <c r="UIX100" s="1"/>
      <c r="UIY100" s="1"/>
      <c r="UIZ100" s="1"/>
      <c r="UJA100" s="1"/>
      <c r="UJB100" s="1"/>
      <c r="UJC100" s="1"/>
      <c r="UJD100" s="1"/>
      <c r="UJE100" s="1"/>
      <c r="UJF100" s="1"/>
      <c r="UJG100" s="1"/>
      <c r="UJH100" s="1"/>
      <c r="UJI100" s="1"/>
      <c r="UJJ100" s="1"/>
      <c r="UJK100" s="1"/>
      <c r="UJL100" s="1"/>
      <c r="UJM100" s="1"/>
      <c r="UJN100" s="1"/>
      <c r="UJO100" s="1"/>
      <c r="UJP100" s="1"/>
      <c r="UJQ100" s="1"/>
      <c r="UJR100" s="1"/>
      <c r="UJS100" s="1"/>
      <c r="UJT100" s="1"/>
      <c r="UJU100" s="1"/>
      <c r="UJV100" s="1"/>
      <c r="UJW100" s="1"/>
      <c r="UJX100" s="1"/>
      <c r="UJY100" s="1"/>
      <c r="UJZ100" s="1"/>
      <c r="UKA100" s="1"/>
      <c r="UKB100" s="1"/>
      <c r="UKC100" s="1"/>
      <c r="UKD100" s="1"/>
      <c r="UKE100" s="1"/>
      <c r="UKF100" s="1"/>
      <c r="UKG100" s="1"/>
      <c r="UKH100" s="1"/>
      <c r="UKI100" s="1"/>
      <c r="UKJ100" s="1"/>
      <c r="UKK100" s="1"/>
      <c r="UKL100" s="1"/>
      <c r="UKM100" s="1"/>
      <c r="UKN100" s="1"/>
      <c r="UKO100" s="1"/>
      <c r="UKP100" s="1"/>
      <c r="UKQ100" s="1"/>
      <c r="UKR100" s="1"/>
      <c r="UKS100" s="1"/>
      <c r="UKT100" s="1"/>
      <c r="UKU100" s="1"/>
      <c r="UKV100" s="1"/>
      <c r="UKW100" s="1"/>
      <c r="UKX100" s="1"/>
      <c r="UKY100" s="1"/>
      <c r="UKZ100" s="1"/>
      <c r="ULA100" s="1"/>
      <c r="ULB100" s="1"/>
      <c r="ULC100" s="1"/>
      <c r="ULD100" s="1"/>
      <c r="ULE100" s="1"/>
      <c r="ULF100" s="1"/>
      <c r="ULG100" s="1"/>
      <c r="ULH100" s="1"/>
      <c r="ULI100" s="1"/>
      <c r="ULJ100" s="1"/>
      <c r="ULK100" s="1"/>
      <c r="ULL100" s="1"/>
      <c r="ULM100" s="1"/>
      <c r="ULN100" s="1"/>
      <c r="ULO100" s="1"/>
      <c r="ULP100" s="1"/>
      <c r="ULQ100" s="1"/>
      <c r="ULR100" s="1"/>
      <c r="ULS100" s="1"/>
      <c r="ULT100" s="1"/>
      <c r="ULU100" s="1"/>
      <c r="ULV100" s="1"/>
      <c r="ULW100" s="1"/>
      <c r="ULX100" s="1"/>
      <c r="ULY100" s="1"/>
      <c r="ULZ100" s="1"/>
      <c r="UMA100" s="1"/>
      <c r="UMB100" s="1"/>
      <c r="UMC100" s="1"/>
      <c r="UMD100" s="1"/>
      <c r="UME100" s="1"/>
      <c r="UMF100" s="1"/>
      <c r="UMG100" s="1"/>
      <c r="UMH100" s="1"/>
      <c r="UMI100" s="1"/>
      <c r="UMJ100" s="1"/>
      <c r="UMK100" s="1"/>
      <c r="UML100" s="1"/>
      <c r="UMM100" s="1"/>
      <c r="UMN100" s="1"/>
      <c r="UMO100" s="1"/>
      <c r="UMP100" s="1"/>
      <c r="UMQ100" s="1"/>
      <c r="UMR100" s="1"/>
      <c r="UMS100" s="1"/>
      <c r="UMT100" s="1"/>
      <c r="UMU100" s="1"/>
      <c r="UMV100" s="1"/>
      <c r="UMW100" s="1"/>
      <c r="UMX100" s="1"/>
      <c r="UMY100" s="1"/>
      <c r="UMZ100" s="1"/>
      <c r="UNA100" s="1"/>
      <c r="UNB100" s="1"/>
      <c r="UNC100" s="1"/>
      <c r="UND100" s="1"/>
      <c r="UNE100" s="1"/>
      <c r="UNF100" s="1"/>
      <c r="UNG100" s="1"/>
      <c r="UNH100" s="1"/>
      <c r="UNI100" s="1"/>
      <c r="UNJ100" s="1"/>
      <c r="UNK100" s="1"/>
      <c r="UNL100" s="1"/>
      <c r="UNM100" s="1"/>
      <c r="UNN100" s="1"/>
      <c r="UNO100" s="1"/>
      <c r="UNP100" s="1"/>
      <c r="UNQ100" s="1"/>
      <c r="UNR100" s="1"/>
      <c r="UNS100" s="1"/>
      <c r="UNT100" s="1"/>
      <c r="UNU100" s="1"/>
      <c r="UNV100" s="1"/>
      <c r="UNW100" s="1"/>
      <c r="UNX100" s="1"/>
      <c r="UNY100" s="1"/>
      <c r="UNZ100" s="1"/>
      <c r="UOA100" s="1"/>
      <c r="UOB100" s="1"/>
      <c r="UOC100" s="1"/>
      <c r="UOD100" s="1"/>
      <c r="UOE100" s="1"/>
      <c r="UOF100" s="1"/>
      <c r="UOG100" s="1"/>
      <c r="UOH100" s="1"/>
      <c r="UOI100" s="1"/>
      <c r="UOJ100" s="1"/>
      <c r="UOK100" s="1"/>
      <c r="UOL100" s="1"/>
      <c r="UOM100" s="1"/>
      <c r="UON100" s="1"/>
      <c r="UOO100" s="1"/>
      <c r="UOP100" s="1"/>
      <c r="UOQ100" s="1"/>
      <c r="UOR100" s="1"/>
      <c r="UOS100" s="1"/>
      <c r="UOT100" s="1"/>
      <c r="UOU100" s="1"/>
      <c r="UOV100" s="1"/>
      <c r="UOW100" s="1"/>
      <c r="UOX100" s="1"/>
      <c r="UOY100" s="1"/>
      <c r="UOZ100" s="1"/>
      <c r="UPA100" s="1"/>
      <c r="UPB100" s="1"/>
      <c r="UPC100" s="1"/>
      <c r="UPD100" s="1"/>
      <c r="UPE100" s="1"/>
      <c r="UPF100" s="1"/>
      <c r="UPG100" s="1"/>
      <c r="UPH100" s="1"/>
      <c r="UPI100" s="1"/>
      <c r="UPJ100" s="1"/>
      <c r="UPK100" s="1"/>
      <c r="UPL100" s="1"/>
      <c r="UPM100" s="1"/>
      <c r="UPN100" s="1"/>
      <c r="UPO100" s="1"/>
      <c r="UPP100" s="1"/>
      <c r="UPQ100" s="1"/>
      <c r="UPR100" s="1"/>
      <c r="UPS100" s="1"/>
      <c r="UPT100" s="1"/>
      <c r="UPU100" s="1"/>
      <c r="UPV100" s="1"/>
      <c r="UPW100" s="1"/>
      <c r="UPX100" s="1"/>
      <c r="UPY100" s="1"/>
      <c r="UPZ100" s="1"/>
      <c r="UQA100" s="1"/>
      <c r="UQB100" s="1"/>
      <c r="UQC100" s="1"/>
      <c r="UQD100" s="1"/>
      <c r="UQE100" s="1"/>
      <c r="UQF100" s="1"/>
      <c r="UQG100" s="1"/>
      <c r="UQH100" s="1"/>
      <c r="UQI100" s="1"/>
      <c r="UQJ100" s="1"/>
      <c r="UQK100" s="1"/>
      <c r="UQL100" s="1"/>
      <c r="UQM100" s="1"/>
      <c r="UQN100" s="1"/>
      <c r="UQO100" s="1"/>
      <c r="UQP100" s="1"/>
      <c r="UQQ100" s="1"/>
      <c r="UQR100" s="1"/>
      <c r="UQS100" s="1"/>
      <c r="UQT100" s="1"/>
      <c r="UQU100" s="1"/>
      <c r="UQV100" s="1"/>
      <c r="UQW100" s="1"/>
      <c r="UQX100" s="1"/>
      <c r="UQY100" s="1"/>
      <c r="UQZ100" s="1"/>
      <c r="URA100" s="1"/>
      <c r="URB100" s="1"/>
      <c r="URC100" s="1"/>
      <c r="URD100" s="1"/>
      <c r="URE100" s="1"/>
      <c r="URF100" s="1"/>
      <c r="URG100" s="1"/>
      <c r="URH100" s="1"/>
      <c r="URI100" s="1"/>
      <c r="URJ100" s="1"/>
      <c r="URK100" s="1"/>
      <c r="URL100" s="1"/>
      <c r="URM100" s="1"/>
      <c r="URN100" s="1"/>
      <c r="URO100" s="1"/>
      <c r="URP100" s="1"/>
      <c r="URQ100" s="1"/>
      <c r="URR100" s="1"/>
      <c r="URS100" s="1"/>
      <c r="URT100" s="1"/>
      <c r="URU100" s="1"/>
      <c r="URV100" s="1"/>
      <c r="URW100" s="1"/>
      <c r="URX100" s="1"/>
      <c r="URY100" s="1"/>
      <c r="URZ100" s="1"/>
      <c r="USA100" s="1"/>
      <c r="USB100" s="1"/>
      <c r="USC100" s="1"/>
      <c r="USD100" s="1"/>
      <c r="USE100" s="1"/>
      <c r="USF100" s="1"/>
      <c r="USG100" s="1"/>
      <c r="USH100" s="1"/>
      <c r="USI100" s="1"/>
      <c r="USJ100" s="1"/>
      <c r="USK100" s="1"/>
      <c r="USL100" s="1"/>
      <c r="USM100" s="1"/>
      <c r="USN100" s="1"/>
      <c r="USO100" s="1"/>
      <c r="USP100" s="1"/>
      <c r="USQ100" s="1"/>
      <c r="USR100" s="1"/>
      <c r="USS100" s="1"/>
      <c r="UST100" s="1"/>
      <c r="USU100" s="1"/>
      <c r="USV100" s="1"/>
      <c r="USW100" s="1"/>
      <c r="USX100" s="1"/>
      <c r="USY100" s="1"/>
      <c r="USZ100" s="1"/>
      <c r="UTA100" s="1"/>
      <c r="UTB100" s="1"/>
      <c r="UTC100" s="1"/>
      <c r="UTD100" s="1"/>
      <c r="UTE100" s="1"/>
      <c r="UTF100" s="1"/>
      <c r="UTG100" s="1"/>
      <c r="UTH100" s="1"/>
      <c r="UTI100" s="1"/>
      <c r="UTJ100" s="1"/>
      <c r="UTK100" s="1"/>
      <c r="UTL100" s="1"/>
      <c r="UTM100" s="1"/>
      <c r="UTN100" s="1"/>
      <c r="UTO100" s="1"/>
      <c r="UTP100" s="1"/>
      <c r="UTQ100" s="1"/>
      <c r="UTR100" s="1"/>
      <c r="UTS100" s="1"/>
      <c r="UTT100" s="1"/>
      <c r="UTU100" s="1"/>
      <c r="UTV100" s="1"/>
      <c r="UTW100" s="1"/>
      <c r="UTX100" s="1"/>
      <c r="UTY100" s="1"/>
      <c r="UTZ100" s="1"/>
      <c r="UUA100" s="1"/>
      <c r="UUB100" s="1"/>
      <c r="UUC100" s="1"/>
      <c r="UUD100" s="1"/>
      <c r="UUE100" s="1"/>
      <c r="UUF100" s="1"/>
      <c r="UUG100" s="1"/>
      <c r="UUH100" s="1"/>
      <c r="UUI100" s="1"/>
      <c r="UUJ100" s="1"/>
      <c r="UUK100" s="1"/>
      <c r="UUL100" s="1"/>
      <c r="UUM100" s="1"/>
      <c r="UUN100" s="1"/>
      <c r="UUO100" s="1"/>
      <c r="UUP100" s="1"/>
      <c r="UUQ100" s="1"/>
      <c r="UUR100" s="1"/>
      <c r="UUS100" s="1"/>
      <c r="UUT100" s="1"/>
      <c r="UUU100" s="1"/>
      <c r="UUV100" s="1"/>
      <c r="UUW100" s="1"/>
      <c r="UUX100" s="1"/>
      <c r="UUY100" s="1"/>
      <c r="UUZ100" s="1"/>
      <c r="UVA100" s="1"/>
      <c r="UVB100" s="1"/>
      <c r="UVC100" s="1"/>
      <c r="UVD100" s="1"/>
      <c r="UVE100" s="1"/>
      <c r="UVF100" s="1"/>
      <c r="UVG100" s="1"/>
      <c r="UVH100" s="1"/>
      <c r="UVI100" s="1"/>
      <c r="UVJ100" s="1"/>
      <c r="UVK100" s="1"/>
      <c r="UVL100" s="1"/>
      <c r="UVM100" s="1"/>
      <c r="UVN100" s="1"/>
      <c r="UVO100" s="1"/>
      <c r="UVP100" s="1"/>
      <c r="UVQ100" s="1"/>
      <c r="UVR100" s="1"/>
      <c r="UVS100" s="1"/>
      <c r="UVT100" s="1"/>
      <c r="UVU100" s="1"/>
      <c r="UVV100" s="1"/>
      <c r="UVW100" s="1"/>
      <c r="UVX100" s="1"/>
      <c r="UVY100" s="1"/>
      <c r="UVZ100" s="1"/>
      <c r="UWA100" s="1"/>
      <c r="UWB100" s="1"/>
      <c r="UWC100" s="1"/>
      <c r="UWD100" s="1"/>
      <c r="UWE100" s="1"/>
      <c r="UWF100" s="1"/>
      <c r="UWG100" s="1"/>
      <c r="UWH100" s="1"/>
      <c r="UWI100" s="1"/>
      <c r="UWJ100" s="1"/>
      <c r="UWK100" s="1"/>
      <c r="UWL100" s="1"/>
      <c r="UWM100" s="1"/>
      <c r="UWN100" s="1"/>
      <c r="UWO100" s="1"/>
      <c r="UWP100" s="1"/>
      <c r="UWQ100" s="1"/>
      <c r="UWR100" s="1"/>
      <c r="UWS100" s="1"/>
      <c r="UWT100" s="1"/>
      <c r="UWU100" s="1"/>
      <c r="UWV100" s="1"/>
      <c r="UWW100" s="1"/>
      <c r="UWX100" s="1"/>
      <c r="UWY100" s="1"/>
      <c r="UWZ100" s="1"/>
      <c r="UXA100" s="1"/>
      <c r="UXB100" s="1"/>
      <c r="UXC100" s="1"/>
      <c r="UXD100" s="1"/>
      <c r="UXE100" s="1"/>
      <c r="UXF100" s="1"/>
      <c r="UXG100" s="1"/>
      <c r="UXH100" s="1"/>
      <c r="UXI100" s="1"/>
      <c r="UXJ100" s="1"/>
      <c r="UXK100" s="1"/>
      <c r="UXL100" s="1"/>
      <c r="UXM100" s="1"/>
      <c r="UXN100" s="1"/>
      <c r="UXO100" s="1"/>
      <c r="UXP100" s="1"/>
      <c r="UXQ100" s="1"/>
      <c r="UXR100" s="1"/>
      <c r="UXS100" s="1"/>
      <c r="UXT100" s="1"/>
      <c r="UXU100" s="1"/>
      <c r="UXV100" s="1"/>
      <c r="UXW100" s="1"/>
      <c r="UXX100" s="1"/>
      <c r="UXY100" s="1"/>
      <c r="UXZ100" s="1"/>
      <c r="UYA100" s="1"/>
      <c r="UYB100" s="1"/>
      <c r="UYC100" s="1"/>
      <c r="UYD100" s="1"/>
      <c r="UYE100" s="1"/>
      <c r="UYF100" s="1"/>
      <c r="UYG100" s="1"/>
      <c r="UYH100" s="1"/>
      <c r="UYI100" s="1"/>
      <c r="UYJ100" s="1"/>
      <c r="UYK100" s="1"/>
      <c r="UYL100" s="1"/>
      <c r="UYM100" s="1"/>
      <c r="UYN100" s="1"/>
      <c r="UYO100" s="1"/>
      <c r="UYP100" s="1"/>
      <c r="UYQ100" s="1"/>
      <c r="UYR100" s="1"/>
      <c r="UYS100" s="1"/>
      <c r="UYT100" s="1"/>
      <c r="UYU100" s="1"/>
      <c r="UYV100" s="1"/>
      <c r="UYW100" s="1"/>
      <c r="UYX100" s="1"/>
      <c r="UYY100" s="1"/>
      <c r="UYZ100" s="1"/>
      <c r="UZA100" s="1"/>
      <c r="UZB100" s="1"/>
      <c r="UZC100" s="1"/>
      <c r="UZD100" s="1"/>
      <c r="UZE100" s="1"/>
      <c r="UZF100" s="1"/>
      <c r="UZG100" s="1"/>
      <c r="UZH100" s="1"/>
      <c r="UZI100" s="1"/>
      <c r="UZJ100" s="1"/>
      <c r="UZK100" s="1"/>
      <c r="UZL100" s="1"/>
      <c r="UZM100" s="1"/>
      <c r="UZN100" s="1"/>
      <c r="UZO100" s="1"/>
      <c r="UZP100" s="1"/>
      <c r="UZQ100" s="1"/>
      <c r="UZR100" s="1"/>
      <c r="UZS100" s="1"/>
      <c r="UZT100" s="1"/>
      <c r="UZU100" s="1"/>
      <c r="UZV100" s="1"/>
      <c r="UZW100" s="1"/>
      <c r="UZX100" s="1"/>
      <c r="UZY100" s="1"/>
      <c r="UZZ100" s="1"/>
      <c r="VAA100" s="1"/>
      <c r="VAB100" s="1"/>
      <c r="VAC100" s="1"/>
      <c r="VAD100" s="1"/>
      <c r="VAE100" s="1"/>
      <c r="VAF100" s="1"/>
      <c r="VAG100" s="1"/>
      <c r="VAH100" s="1"/>
      <c r="VAI100" s="1"/>
      <c r="VAJ100" s="1"/>
      <c r="VAK100" s="1"/>
      <c r="VAL100" s="1"/>
      <c r="VAM100" s="1"/>
      <c r="VAN100" s="1"/>
      <c r="VAO100" s="1"/>
      <c r="VAP100" s="1"/>
      <c r="VAQ100" s="1"/>
      <c r="VAR100" s="1"/>
      <c r="VAS100" s="1"/>
      <c r="VAT100" s="1"/>
      <c r="VAU100" s="1"/>
      <c r="VAV100" s="1"/>
      <c r="VAW100" s="1"/>
      <c r="VAX100" s="1"/>
      <c r="VAY100" s="1"/>
      <c r="VAZ100" s="1"/>
      <c r="VBA100" s="1"/>
      <c r="VBB100" s="1"/>
      <c r="VBC100" s="1"/>
      <c r="VBD100" s="1"/>
      <c r="VBE100" s="1"/>
      <c r="VBF100" s="1"/>
      <c r="VBG100" s="1"/>
      <c r="VBH100" s="1"/>
      <c r="VBI100" s="1"/>
      <c r="VBJ100" s="1"/>
      <c r="VBK100" s="1"/>
      <c r="VBL100" s="1"/>
      <c r="VBM100" s="1"/>
      <c r="VBN100" s="1"/>
      <c r="VBO100" s="1"/>
      <c r="VBP100" s="1"/>
      <c r="VBQ100" s="1"/>
      <c r="VBR100" s="1"/>
      <c r="VBS100" s="1"/>
      <c r="VBT100" s="1"/>
      <c r="VBU100" s="1"/>
      <c r="VBV100" s="1"/>
      <c r="VBW100" s="1"/>
      <c r="VBX100" s="1"/>
      <c r="VBY100" s="1"/>
      <c r="VBZ100" s="1"/>
      <c r="VCA100" s="1"/>
      <c r="VCB100" s="1"/>
      <c r="VCC100" s="1"/>
      <c r="VCD100" s="1"/>
      <c r="VCE100" s="1"/>
      <c r="VCF100" s="1"/>
      <c r="VCG100" s="1"/>
      <c r="VCH100" s="1"/>
      <c r="VCI100" s="1"/>
      <c r="VCJ100" s="1"/>
      <c r="VCK100" s="1"/>
      <c r="VCL100" s="1"/>
      <c r="VCM100" s="1"/>
      <c r="VCN100" s="1"/>
      <c r="VCO100" s="1"/>
      <c r="VCP100" s="1"/>
      <c r="VCQ100" s="1"/>
      <c r="VCR100" s="1"/>
      <c r="VCS100" s="1"/>
      <c r="VCT100" s="1"/>
      <c r="VCU100" s="1"/>
      <c r="VCV100" s="1"/>
      <c r="VCW100" s="1"/>
      <c r="VCX100" s="1"/>
      <c r="VCY100" s="1"/>
      <c r="VCZ100" s="1"/>
      <c r="VDA100" s="1"/>
      <c r="VDB100" s="1"/>
      <c r="VDC100" s="1"/>
      <c r="VDD100" s="1"/>
      <c r="VDE100" s="1"/>
      <c r="VDF100" s="1"/>
      <c r="VDG100" s="1"/>
      <c r="VDH100" s="1"/>
      <c r="VDI100" s="1"/>
      <c r="VDJ100" s="1"/>
      <c r="VDK100" s="1"/>
      <c r="VDL100" s="1"/>
      <c r="VDM100" s="1"/>
      <c r="VDN100" s="1"/>
      <c r="VDO100" s="1"/>
      <c r="VDP100" s="1"/>
      <c r="VDQ100" s="1"/>
      <c r="VDR100" s="1"/>
      <c r="VDS100" s="1"/>
      <c r="VDT100" s="1"/>
      <c r="VDU100" s="1"/>
      <c r="VDV100" s="1"/>
      <c r="VDW100" s="1"/>
      <c r="VDX100" s="1"/>
      <c r="VDY100" s="1"/>
      <c r="VDZ100" s="1"/>
      <c r="VEA100" s="1"/>
      <c r="VEB100" s="1"/>
      <c r="VEC100" s="1"/>
      <c r="VED100" s="1"/>
      <c r="VEE100" s="1"/>
      <c r="VEF100" s="1"/>
      <c r="VEG100" s="1"/>
      <c r="VEH100" s="1"/>
      <c r="VEI100" s="1"/>
      <c r="VEJ100" s="1"/>
      <c r="VEK100" s="1"/>
      <c r="VEL100" s="1"/>
      <c r="VEM100" s="1"/>
      <c r="VEN100" s="1"/>
      <c r="VEO100" s="1"/>
      <c r="VEP100" s="1"/>
      <c r="VEQ100" s="1"/>
      <c r="VER100" s="1"/>
      <c r="VES100" s="1"/>
      <c r="VET100" s="1"/>
      <c r="VEU100" s="1"/>
      <c r="VEV100" s="1"/>
      <c r="VEW100" s="1"/>
      <c r="VEX100" s="1"/>
      <c r="VEY100" s="1"/>
      <c r="VEZ100" s="1"/>
      <c r="VFA100" s="1"/>
      <c r="VFB100" s="1"/>
      <c r="VFC100" s="1"/>
      <c r="VFD100" s="1"/>
      <c r="VFE100" s="1"/>
      <c r="VFF100" s="1"/>
      <c r="VFG100" s="1"/>
      <c r="VFH100" s="1"/>
      <c r="VFI100" s="1"/>
      <c r="VFJ100" s="1"/>
      <c r="VFK100" s="1"/>
      <c r="VFL100" s="1"/>
      <c r="VFM100" s="1"/>
      <c r="VFN100" s="1"/>
      <c r="VFO100" s="1"/>
      <c r="VFP100" s="1"/>
      <c r="VFQ100" s="1"/>
      <c r="VFR100" s="1"/>
      <c r="VFS100" s="1"/>
      <c r="VFT100" s="1"/>
      <c r="VFU100" s="1"/>
      <c r="VFV100" s="1"/>
      <c r="VFW100" s="1"/>
      <c r="VFX100" s="1"/>
      <c r="VFY100" s="1"/>
      <c r="VFZ100" s="1"/>
      <c r="VGA100" s="1"/>
      <c r="VGB100" s="1"/>
      <c r="VGC100" s="1"/>
      <c r="VGD100" s="1"/>
      <c r="VGE100" s="1"/>
      <c r="VGF100" s="1"/>
      <c r="VGG100" s="1"/>
      <c r="VGH100" s="1"/>
      <c r="VGI100" s="1"/>
      <c r="VGJ100" s="1"/>
      <c r="VGK100" s="1"/>
      <c r="VGL100" s="1"/>
      <c r="VGM100" s="1"/>
      <c r="VGN100" s="1"/>
      <c r="VGO100" s="1"/>
      <c r="VGP100" s="1"/>
      <c r="VGQ100" s="1"/>
      <c r="VGR100" s="1"/>
      <c r="VGS100" s="1"/>
      <c r="VGT100" s="1"/>
      <c r="VGU100" s="1"/>
      <c r="VGV100" s="1"/>
      <c r="VGW100" s="1"/>
      <c r="VGX100" s="1"/>
      <c r="VGY100" s="1"/>
      <c r="VGZ100" s="1"/>
      <c r="VHA100" s="1"/>
      <c r="VHB100" s="1"/>
      <c r="VHC100" s="1"/>
      <c r="VHD100" s="1"/>
      <c r="VHE100" s="1"/>
      <c r="VHF100" s="1"/>
      <c r="VHG100" s="1"/>
      <c r="VHH100" s="1"/>
      <c r="VHI100" s="1"/>
      <c r="VHJ100" s="1"/>
      <c r="VHK100" s="1"/>
      <c r="VHL100" s="1"/>
      <c r="VHM100" s="1"/>
      <c r="VHN100" s="1"/>
      <c r="VHO100" s="1"/>
      <c r="VHP100" s="1"/>
      <c r="VHQ100" s="1"/>
      <c r="VHR100" s="1"/>
      <c r="VHS100" s="1"/>
      <c r="VHT100" s="1"/>
      <c r="VHU100" s="1"/>
      <c r="VHV100" s="1"/>
      <c r="VHW100" s="1"/>
      <c r="VHX100" s="1"/>
      <c r="VHY100" s="1"/>
      <c r="VHZ100" s="1"/>
      <c r="VIA100" s="1"/>
      <c r="VIB100" s="1"/>
      <c r="VIC100" s="1"/>
      <c r="VID100" s="1"/>
      <c r="VIE100" s="1"/>
      <c r="VIF100" s="1"/>
      <c r="VIG100" s="1"/>
      <c r="VIH100" s="1"/>
      <c r="VII100" s="1"/>
      <c r="VIJ100" s="1"/>
      <c r="VIK100" s="1"/>
      <c r="VIL100" s="1"/>
      <c r="VIM100" s="1"/>
      <c r="VIN100" s="1"/>
      <c r="VIO100" s="1"/>
      <c r="VIP100" s="1"/>
      <c r="VIQ100" s="1"/>
      <c r="VIR100" s="1"/>
      <c r="VIS100" s="1"/>
      <c r="VIT100" s="1"/>
      <c r="VIU100" s="1"/>
      <c r="VIV100" s="1"/>
      <c r="VIW100" s="1"/>
      <c r="VIX100" s="1"/>
      <c r="VIY100" s="1"/>
      <c r="VIZ100" s="1"/>
      <c r="VJA100" s="1"/>
      <c r="VJB100" s="1"/>
      <c r="VJC100" s="1"/>
      <c r="VJD100" s="1"/>
      <c r="VJE100" s="1"/>
      <c r="VJF100" s="1"/>
      <c r="VJG100" s="1"/>
      <c r="VJH100" s="1"/>
      <c r="VJI100" s="1"/>
      <c r="VJJ100" s="1"/>
      <c r="VJK100" s="1"/>
      <c r="VJL100" s="1"/>
      <c r="VJM100" s="1"/>
      <c r="VJN100" s="1"/>
      <c r="VJO100" s="1"/>
      <c r="VJP100" s="1"/>
      <c r="VJQ100" s="1"/>
      <c r="VJR100" s="1"/>
      <c r="VJS100" s="1"/>
      <c r="VJT100" s="1"/>
      <c r="VJU100" s="1"/>
      <c r="VJV100" s="1"/>
      <c r="VJW100" s="1"/>
      <c r="VJX100" s="1"/>
      <c r="VJY100" s="1"/>
      <c r="VJZ100" s="1"/>
      <c r="VKA100" s="1"/>
      <c r="VKB100" s="1"/>
      <c r="VKC100" s="1"/>
      <c r="VKD100" s="1"/>
      <c r="VKE100" s="1"/>
      <c r="VKF100" s="1"/>
      <c r="VKG100" s="1"/>
      <c r="VKH100" s="1"/>
      <c r="VKI100" s="1"/>
      <c r="VKJ100" s="1"/>
      <c r="VKK100" s="1"/>
      <c r="VKL100" s="1"/>
      <c r="VKM100" s="1"/>
      <c r="VKN100" s="1"/>
      <c r="VKO100" s="1"/>
      <c r="VKP100" s="1"/>
      <c r="VKQ100" s="1"/>
      <c r="VKR100" s="1"/>
      <c r="VKS100" s="1"/>
      <c r="VKT100" s="1"/>
      <c r="VKU100" s="1"/>
      <c r="VKV100" s="1"/>
      <c r="VKW100" s="1"/>
      <c r="VKX100" s="1"/>
      <c r="VKY100" s="1"/>
      <c r="VKZ100" s="1"/>
      <c r="VLA100" s="1"/>
      <c r="VLB100" s="1"/>
      <c r="VLC100" s="1"/>
      <c r="VLD100" s="1"/>
      <c r="VLE100" s="1"/>
      <c r="VLF100" s="1"/>
      <c r="VLG100" s="1"/>
      <c r="VLH100" s="1"/>
      <c r="VLI100" s="1"/>
      <c r="VLJ100" s="1"/>
      <c r="VLK100" s="1"/>
      <c r="VLL100" s="1"/>
      <c r="VLM100" s="1"/>
      <c r="VLN100" s="1"/>
      <c r="VLO100" s="1"/>
      <c r="VLP100" s="1"/>
      <c r="VLQ100" s="1"/>
      <c r="VLR100" s="1"/>
      <c r="VLS100" s="1"/>
      <c r="VLT100" s="1"/>
      <c r="VLU100" s="1"/>
      <c r="VLV100" s="1"/>
      <c r="VLW100" s="1"/>
      <c r="VLX100" s="1"/>
      <c r="VLY100" s="1"/>
      <c r="VLZ100" s="1"/>
      <c r="VMA100" s="1"/>
      <c r="VMB100" s="1"/>
      <c r="VMC100" s="1"/>
      <c r="VMD100" s="1"/>
      <c r="VME100" s="1"/>
      <c r="VMF100" s="1"/>
      <c r="VMG100" s="1"/>
      <c r="VMH100" s="1"/>
      <c r="VMI100" s="1"/>
      <c r="VMJ100" s="1"/>
      <c r="VMK100" s="1"/>
      <c r="VML100" s="1"/>
      <c r="VMM100" s="1"/>
      <c r="VMN100" s="1"/>
      <c r="VMO100" s="1"/>
      <c r="VMP100" s="1"/>
      <c r="VMQ100" s="1"/>
      <c r="VMR100" s="1"/>
      <c r="VMS100" s="1"/>
      <c r="VMT100" s="1"/>
      <c r="VMU100" s="1"/>
      <c r="VMV100" s="1"/>
      <c r="VMW100" s="1"/>
      <c r="VMX100" s="1"/>
      <c r="VMY100" s="1"/>
      <c r="VMZ100" s="1"/>
      <c r="VNA100" s="1"/>
      <c r="VNB100" s="1"/>
      <c r="VNC100" s="1"/>
      <c r="VND100" s="1"/>
      <c r="VNE100" s="1"/>
      <c r="VNF100" s="1"/>
      <c r="VNG100" s="1"/>
      <c r="VNH100" s="1"/>
      <c r="VNI100" s="1"/>
      <c r="VNJ100" s="1"/>
      <c r="VNK100" s="1"/>
      <c r="VNL100" s="1"/>
      <c r="VNM100" s="1"/>
      <c r="VNN100" s="1"/>
      <c r="VNO100" s="1"/>
      <c r="VNP100" s="1"/>
      <c r="VNQ100" s="1"/>
      <c r="VNR100" s="1"/>
      <c r="VNS100" s="1"/>
      <c r="VNT100" s="1"/>
      <c r="VNU100" s="1"/>
      <c r="VNV100" s="1"/>
      <c r="VNW100" s="1"/>
      <c r="VNX100" s="1"/>
      <c r="VNY100" s="1"/>
      <c r="VNZ100" s="1"/>
      <c r="VOA100" s="1"/>
      <c r="VOB100" s="1"/>
      <c r="VOC100" s="1"/>
      <c r="VOD100" s="1"/>
      <c r="VOE100" s="1"/>
      <c r="VOF100" s="1"/>
      <c r="VOG100" s="1"/>
      <c r="VOH100" s="1"/>
      <c r="VOI100" s="1"/>
      <c r="VOJ100" s="1"/>
      <c r="VOK100" s="1"/>
      <c r="VOL100" s="1"/>
      <c r="VOM100" s="1"/>
      <c r="VON100" s="1"/>
      <c r="VOO100" s="1"/>
      <c r="VOP100" s="1"/>
      <c r="VOQ100" s="1"/>
      <c r="VOR100" s="1"/>
      <c r="VOS100" s="1"/>
      <c r="VOT100" s="1"/>
      <c r="VOU100" s="1"/>
      <c r="VOV100" s="1"/>
      <c r="VOW100" s="1"/>
      <c r="VOX100" s="1"/>
      <c r="VOY100" s="1"/>
      <c r="VOZ100" s="1"/>
      <c r="VPA100" s="1"/>
      <c r="VPB100" s="1"/>
      <c r="VPC100" s="1"/>
      <c r="VPD100" s="1"/>
      <c r="VPE100" s="1"/>
      <c r="VPF100" s="1"/>
      <c r="VPG100" s="1"/>
      <c r="VPH100" s="1"/>
      <c r="VPI100" s="1"/>
      <c r="VPJ100" s="1"/>
      <c r="VPK100" s="1"/>
      <c r="VPL100" s="1"/>
      <c r="VPM100" s="1"/>
      <c r="VPN100" s="1"/>
      <c r="VPO100" s="1"/>
      <c r="VPP100" s="1"/>
      <c r="VPQ100" s="1"/>
      <c r="VPR100" s="1"/>
      <c r="VPS100" s="1"/>
      <c r="VPT100" s="1"/>
      <c r="VPU100" s="1"/>
      <c r="VPV100" s="1"/>
      <c r="VPW100" s="1"/>
      <c r="VPX100" s="1"/>
      <c r="VPY100" s="1"/>
      <c r="VPZ100" s="1"/>
      <c r="VQA100" s="1"/>
      <c r="VQB100" s="1"/>
      <c r="VQC100" s="1"/>
      <c r="VQD100" s="1"/>
      <c r="VQE100" s="1"/>
      <c r="VQF100" s="1"/>
      <c r="VQG100" s="1"/>
      <c r="VQH100" s="1"/>
      <c r="VQI100" s="1"/>
      <c r="VQJ100" s="1"/>
      <c r="VQK100" s="1"/>
      <c r="VQL100" s="1"/>
      <c r="VQM100" s="1"/>
      <c r="VQN100" s="1"/>
      <c r="VQO100" s="1"/>
      <c r="VQP100" s="1"/>
      <c r="VQQ100" s="1"/>
      <c r="VQR100" s="1"/>
      <c r="VQS100" s="1"/>
      <c r="VQT100" s="1"/>
      <c r="VQU100" s="1"/>
      <c r="VQV100" s="1"/>
      <c r="VQW100" s="1"/>
      <c r="VQX100" s="1"/>
      <c r="VQY100" s="1"/>
      <c r="VQZ100" s="1"/>
      <c r="VRA100" s="1"/>
      <c r="VRB100" s="1"/>
      <c r="VRC100" s="1"/>
      <c r="VRD100" s="1"/>
      <c r="VRE100" s="1"/>
      <c r="VRF100" s="1"/>
      <c r="VRG100" s="1"/>
      <c r="VRH100" s="1"/>
      <c r="VRI100" s="1"/>
      <c r="VRJ100" s="1"/>
      <c r="VRK100" s="1"/>
      <c r="VRL100" s="1"/>
      <c r="VRM100" s="1"/>
      <c r="VRN100" s="1"/>
      <c r="VRO100" s="1"/>
      <c r="VRP100" s="1"/>
      <c r="VRQ100" s="1"/>
      <c r="VRR100" s="1"/>
      <c r="VRS100" s="1"/>
      <c r="VRT100" s="1"/>
      <c r="VRU100" s="1"/>
      <c r="VRV100" s="1"/>
      <c r="VRW100" s="1"/>
      <c r="VRX100" s="1"/>
      <c r="VRY100" s="1"/>
      <c r="VRZ100" s="1"/>
      <c r="VSA100" s="1"/>
      <c r="VSB100" s="1"/>
      <c r="VSC100" s="1"/>
      <c r="VSD100" s="1"/>
      <c r="VSE100" s="1"/>
      <c r="VSF100" s="1"/>
      <c r="VSG100" s="1"/>
      <c r="VSH100" s="1"/>
      <c r="VSI100" s="1"/>
      <c r="VSJ100" s="1"/>
      <c r="VSK100" s="1"/>
      <c r="VSL100" s="1"/>
      <c r="VSM100" s="1"/>
      <c r="VSN100" s="1"/>
      <c r="VSO100" s="1"/>
      <c r="VSP100" s="1"/>
      <c r="VSQ100" s="1"/>
      <c r="VSR100" s="1"/>
      <c r="VSS100" s="1"/>
      <c r="VST100" s="1"/>
      <c r="VSU100" s="1"/>
      <c r="VSV100" s="1"/>
      <c r="VSW100" s="1"/>
      <c r="VSX100" s="1"/>
      <c r="VSY100" s="1"/>
      <c r="VSZ100" s="1"/>
      <c r="VTA100" s="1"/>
      <c r="VTB100" s="1"/>
      <c r="VTC100" s="1"/>
      <c r="VTD100" s="1"/>
      <c r="VTE100" s="1"/>
      <c r="VTF100" s="1"/>
      <c r="VTG100" s="1"/>
      <c r="VTH100" s="1"/>
      <c r="VTI100" s="1"/>
      <c r="VTJ100" s="1"/>
      <c r="VTK100" s="1"/>
      <c r="VTL100" s="1"/>
      <c r="VTM100" s="1"/>
      <c r="VTN100" s="1"/>
      <c r="VTO100" s="1"/>
      <c r="VTP100" s="1"/>
      <c r="VTQ100" s="1"/>
      <c r="VTR100" s="1"/>
      <c r="VTS100" s="1"/>
      <c r="VTT100" s="1"/>
      <c r="VTU100" s="1"/>
      <c r="VTV100" s="1"/>
      <c r="VTW100" s="1"/>
      <c r="VTX100" s="1"/>
      <c r="VTY100" s="1"/>
      <c r="VTZ100" s="1"/>
      <c r="VUA100" s="1"/>
      <c r="VUB100" s="1"/>
      <c r="VUC100" s="1"/>
      <c r="VUD100" s="1"/>
      <c r="VUE100" s="1"/>
      <c r="VUF100" s="1"/>
      <c r="VUG100" s="1"/>
      <c r="VUH100" s="1"/>
      <c r="VUI100" s="1"/>
      <c r="VUJ100" s="1"/>
      <c r="VUK100" s="1"/>
      <c r="VUL100" s="1"/>
      <c r="VUM100" s="1"/>
      <c r="VUN100" s="1"/>
      <c r="VUO100" s="1"/>
      <c r="VUP100" s="1"/>
      <c r="VUQ100" s="1"/>
      <c r="VUR100" s="1"/>
      <c r="VUS100" s="1"/>
      <c r="VUT100" s="1"/>
      <c r="VUU100" s="1"/>
      <c r="VUV100" s="1"/>
      <c r="VUW100" s="1"/>
      <c r="VUX100" s="1"/>
      <c r="VUY100" s="1"/>
      <c r="VUZ100" s="1"/>
      <c r="VVA100" s="1"/>
      <c r="VVB100" s="1"/>
      <c r="VVC100" s="1"/>
      <c r="VVD100" s="1"/>
      <c r="VVE100" s="1"/>
      <c r="VVF100" s="1"/>
      <c r="VVG100" s="1"/>
      <c r="VVH100" s="1"/>
      <c r="VVI100" s="1"/>
      <c r="VVJ100" s="1"/>
      <c r="VVK100" s="1"/>
      <c r="VVL100" s="1"/>
      <c r="VVM100" s="1"/>
      <c r="VVN100" s="1"/>
      <c r="VVO100" s="1"/>
      <c r="VVP100" s="1"/>
      <c r="VVQ100" s="1"/>
      <c r="VVR100" s="1"/>
      <c r="VVS100" s="1"/>
      <c r="VVT100" s="1"/>
      <c r="VVU100" s="1"/>
      <c r="VVV100" s="1"/>
      <c r="VVW100" s="1"/>
      <c r="VVX100" s="1"/>
      <c r="VVY100" s="1"/>
      <c r="VVZ100" s="1"/>
      <c r="VWA100" s="1"/>
      <c r="VWB100" s="1"/>
      <c r="VWC100" s="1"/>
      <c r="VWD100" s="1"/>
      <c r="VWE100" s="1"/>
      <c r="VWF100" s="1"/>
      <c r="VWG100" s="1"/>
      <c r="VWH100" s="1"/>
      <c r="VWI100" s="1"/>
      <c r="VWJ100" s="1"/>
      <c r="VWK100" s="1"/>
      <c r="VWL100" s="1"/>
      <c r="VWM100" s="1"/>
      <c r="VWN100" s="1"/>
      <c r="VWO100" s="1"/>
      <c r="VWP100" s="1"/>
      <c r="VWQ100" s="1"/>
      <c r="VWR100" s="1"/>
      <c r="VWS100" s="1"/>
      <c r="VWT100" s="1"/>
      <c r="VWU100" s="1"/>
      <c r="VWV100" s="1"/>
      <c r="VWW100" s="1"/>
      <c r="VWX100" s="1"/>
      <c r="VWY100" s="1"/>
      <c r="VWZ100" s="1"/>
      <c r="VXA100" s="1"/>
      <c r="VXB100" s="1"/>
      <c r="VXC100" s="1"/>
      <c r="VXD100" s="1"/>
      <c r="VXE100" s="1"/>
      <c r="VXF100" s="1"/>
      <c r="VXG100" s="1"/>
      <c r="VXH100" s="1"/>
      <c r="VXI100" s="1"/>
      <c r="VXJ100" s="1"/>
      <c r="VXK100" s="1"/>
      <c r="VXL100" s="1"/>
      <c r="VXM100" s="1"/>
      <c r="VXN100" s="1"/>
      <c r="VXO100" s="1"/>
      <c r="VXP100" s="1"/>
      <c r="VXQ100" s="1"/>
      <c r="VXR100" s="1"/>
      <c r="VXS100" s="1"/>
      <c r="VXT100" s="1"/>
      <c r="VXU100" s="1"/>
      <c r="VXV100" s="1"/>
      <c r="VXW100" s="1"/>
      <c r="VXX100" s="1"/>
      <c r="VXY100" s="1"/>
      <c r="VXZ100" s="1"/>
      <c r="VYA100" s="1"/>
      <c r="VYB100" s="1"/>
      <c r="VYC100" s="1"/>
      <c r="VYD100" s="1"/>
      <c r="VYE100" s="1"/>
      <c r="VYF100" s="1"/>
      <c r="VYG100" s="1"/>
      <c r="VYH100" s="1"/>
      <c r="VYI100" s="1"/>
      <c r="VYJ100" s="1"/>
      <c r="VYK100" s="1"/>
      <c r="VYL100" s="1"/>
      <c r="VYM100" s="1"/>
      <c r="VYN100" s="1"/>
      <c r="VYO100" s="1"/>
      <c r="VYP100" s="1"/>
      <c r="VYQ100" s="1"/>
      <c r="VYR100" s="1"/>
      <c r="VYS100" s="1"/>
      <c r="VYT100" s="1"/>
      <c r="VYU100" s="1"/>
      <c r="VYV100" s="1"/>
      <c r="VYW100" s="1"/>
      <c r="VYX100" s="1"/>
      <c r="VYY100" s="1"/>
      <c r="VYZ100" s="1"/>
      <c r="VZA100" s="1"/>
      <c r="VZB100" s="1"/>
      <c r="VZC100" s="1"/>
      <c r="VZD100" s="1"/>
      <c r="VZE100" s="1"/>
      <c r="VZF100" s="1"/>
      <c r="VZG100" s="1"/>
      <c r="VZH100" s="1"/>
      <c r="VZI100" s="1"/>
      <c r="VZJ100" s="1"/>
      <c r="VZK100" s="1"/>
      <c r="VZL100" s="1"/>
      <c r="VZM100" s="1"/>
      <c r="VZN100" s="1"/>
      <c r="VZO100" s="1"/>
      <c r="VZP100" s="1"/>
      <c r="VZQ100" s="1"/>
      <c r="VZR100" s="1"/>
      <c r="VZS100" s="1"/>
      <c r="VZT100" s="1"/>
      <c r="VZU100" s="1"/>
      <c r="VZV100" s="1"/>
      <c r="VZW100" s="1"/>
      <c r="VZX100" s="1"/>
      <c r="VZY100" s="1"/>
      <c r="VZZ100" s="1"/>
      <c r="WAA100" s="1"/>
      <c r="WAB100" s="1"/>
      <c r="WAC100" s="1"/>
      <c r="WAD100" s="1"/>
      <c r="WAE100" s="1"/>
      <c r="WAF100" s="1"/>
      <c r="WAG100" s="1"/>
      <c r="WAH100" s="1"/>
      <c r="WAI100" s="1"/>
      <c r="WAJ100" s="1"/>
      <c r="WAK100" s="1"/>
      <c r="WAL100" s="1"/>
      <c r="WAM100" s="1"/>
      <c r="WAN100" s="1"/>
      <c r="WAO100" s="1"/>
      <c r="WAP100" s="1"/>
      <c r="WAQ100" s="1"/>
      <c r="WAR100" s="1"/>
      <c r="WAS100" s="1"/>
      <c r="WAT100" s="1"/>
      <c r="WAU100" s="1"/>
      <c r="WAV100" s="1"/>
      <c r="WAW100" s="1"/>
      <c r="WAX100" s="1"/>
      <c r="WAY100" s="1"/>
      <c r="WAZ100" s="1"/>
      <c r="WBA100" s="1"/>
      <c r="WBB100" s="1"/>
      <c r="WBC100" s="1"/>
      <c r="WBD100" s="1"/>
      <c r="WBE100" s="1"/>
      <c r="WBF100" s="1"/>
      <c r="WBG100" s="1"/>
      <c r="WBH100" s="1"/>
      <c r="WBI100" s="1"/>
      <c r="WBJ100" s="1"/>
      <c r="WBK100" s="1"/>
      <c r="WBL100" s="1"/>
      <c r="WBM100" s="1"/>
      <c r="WBN100" s="1"/>
      <c r="WBO100" s="1"/>
      <c r="WBP100" s="1"/>
      <c r="WBQ100" s="1"/>
      <c r="WBR100" s="1"/>
      <c r="WBS100" s="1"/>
      <c r="WBT100" s="1"/>
      <c r="WBU100" s="1"/>
      <c r="WBV100" s="1"/>
      <c r="WBW100" s="1"/>
      <c r="WBX100" s="1"/>
      <c r="WBY100" s="1"/>
      <c r="WBZ100" s="1"/>
      <c r="WCA100" s="1"/>
      <c r="WCB100" s="1"/>
      <c r="WCC100" s="1"/>
      <c r="WCD100" s="1"/>
      <c r="WCE100" s="1"/>
      <c r="WCF100" s="1"/>
      <c r="WCG100" s="1"/>
      <c r="WCH100" s="1"/>
      <c r="WCI100" s="1"/>
      <c r="WCJ100" s="1"/>
      <c r="WCK100" s="1"/>
      <c r="WCL100" s="1"/>
      <c r="WCM100" s="1"/>
      <c r="WCN100" s="1"/>
      <c r="WCO100" s="1"/>
      <c r="WCP100" s="1"/>
      <c r="WCQ100" s="1"/>
      <c r="WCR100" s="1"/>
      <c r="WCS100" s="1"/>
      <c r="WCT100" s="1"/>
      <c r="WCU100" s="1"/>
      <c r="WCV100" s="1"/>
      <c r="WCW100" s="1"/>
      <c r="WCX100" s="1"/>
      <c r="WCY100" s="1"/>
      <c r="WCZ100" s="1"/>
      <c r="WDA100" s="1"/>
      <c r="WDB100" s="1"/>
      <c r="WDC100" s="1"/>
      <c r="WDD100" s="1"/>
      <c r="WDE100" s="1"/>
      <c r="WDF100" s="1"/>
      <c r="WDG100" s="1"/>
      <c r="WDH100" s="1"/>
      <c r="WDI100" s="1"/>
      <c r="WDJ100" s="1"/>
      <c r="WDK100" s="1"/>
      <c r="WDL100" s="1"/>
      <c r="WDM100" s="1"/>
      <c r="WDN100" s="1"/>
      <c r="WDO100" s="1"/>
      <c r="WDP100" s="1"/>
      <c r="WDQ100" s="1"/>
      <c r="WDR100" s="1"/>
      <c r="WDS100" s="1"/>
      <c r="WDT100" s="1"/>
      <c r="WDU100" s="1"/>
      <c r="WDV100" s="1"/>
      <c r="WDW100" s="1"/>
      <c r="WDX100" s="1"/>
      <c r="WDY100" s="1"/>
      <c r="WDZ100" s="1"/>
      <c r="WEA100" s="1"/>
      <c r="WEB100" s="1"/>
      <c r="WEC100" s="1"/>
      <c r="WED100" s="1"/>
      <c r="WEE100" s="1"/>
      <c r="WEF100" s="1"/>
      <c r="WEG100" s="1"/>
      <c r="WEH100" s="1"/>
      <c r="WEI100" s="1"/>
      <c r="WEJ100" s="1"/>
      <c r="WEK100" s="1"/>
      <c r="WEL100" s="1"/>
      <c r="WEM100" s="1"/>
      <c r="WEN100" s="1"/>
      <c r="WEO100" s="1"/>
      <c r="WEP100" s="1"/>
      <c r="WEQ100" s="1"/>
      <c r="WER100" s="1"/>
      <c r="WES100" s="1"/>
      <c r="WET100" s="1"/>
      <c r="WEU100" s="1"/>
      <c r="WEV100" s="1"/>
      <c r="WEW100" s="1"/>
      <c r="WEX100" s="1"/>
      <c r="WEY100" s="1"/>
      <c r="WEZ100" s="1"/>
      <c r="WFA100" s="1"/>
      <c r="WFB100" s="1"/>
      <c r="WFC100" s="1"/>
      <c r="WFD100" s="1"/>
      <c r="WFE100" s="1"/>
      <c r="WFF100" s="1"/>
      <c r="WFG100" s="1"/>
      <c r="WFH100" s="1"/>
      <c r="WFI100" s="1"/>
      <c r="WFJ100" s="1"/>
      <c r="WFK100" s="1"/>
      <c r="WFL100" s="1"/>
      <c r="WFM100" s="1"/>
      <c r="WFN100" s="1"/>
      <c r="WFO100" s="1"/>
      <c r="WFP100" s="1"/>
      <c r="WFQ100" s="1"/>
      <c r="WFR100" s="1"/>
      <c r="WFS100" s="1"/>
      <c r="WFT100" s="1"/>
      <c r="WFU100" s="1"/>
      <c r="WFV100" s="1"/>
      <c r="WFW100" s="1"/>
      <c r="WFX100" s="1"/>
      <c r="WFY100" s="1"/>
      <c r="WFZ100" s="1"/>
      <c r="WGA100" s="1"/>
      <c r="WGB100" s="1"/>
      <c r="WGC100" s="1"/>
      <c r="WGD100" s="1"/>
      <c r="WGE100" s="1"/>
      <c r="WGF100" s="1"/>
      <c r="WGG100" s="1"/>
      <c r="WGH100" s="1"/>
      <c r="WGI100" s="1"/>
      <c r="WGJ100" s="1"/>
      <c r="WGK100" s="1"/>
      <c r="WGL100" s="1"/>
      <c r="WGM100" s="1"/>
      <c r="WGN100" s="1"/>
      <c r="WGO100" s="1"/>
      <c r="WGP100" s="1"/>
      <c r="WGQ100" s="1"/>
      <c r="WGR100" s="1"/>
      <c r="WGS100" s="1"/>
      <c r="WGT100" s="1"/>
      <c r="WGU100" s="1"/>
      <c r="WGV100" s="1"/>
      <c r="WGW100" s="1"/>
      <c r="WGX100" s="1"/>
      <c r="WGY100" s="1"/>
      <c r="WGZ100" s="1"/>
      <c r="WHA100" s="1"/>
      <c r="WHB100" s="1"/>
      <c r="WHC100" s="1"/>
      <c r="WHD100" s="1"/>
      <c r="WHE100" s="1"/>
      <c r="WHF100" s="1"/>
      <c r="WHG100" s="1"/>
      <c r="WHH100" s="1"/>
      <c r="WHI100" s="1"/>
      <c r="WHJ100" s="1"/>
      <c r="WHK100" s="1"/>
      <c r="WHL100" s="1"/>
      <c r="WHM100" s="1"/>
      <c r="WHN100" s="1"/>
      <c r="WHO100" s="1"/>
      <c r="WHP100" s="1"/>
      <c r="WHQ100" s="1"/>
      <c r="WHR100" s="1"/>
      <c r="WHS100" s="1"/>
      <c r="WHT100" s="1"/>
      <c r="WHU100" s="1"/>
      <c r="WHV100" s="1"/>
      <c r="WHW100" s="1"/>
      <c r="WHX100" s="1"/>
      <c r="WHY100" s="1"/>
      <c r="WHZ100" s="1"/>
      <c r="WIA100" s="1"/>
      <c r="WIB100" s="1"/>
      <c r="WIC100" s="1"/>
      <c r="WID100" s="1"/>
      <c r="WIE100" s="1"/>
      <c r="WIF100" s="1"/>
      <c r="WIG100" s="1"/>
      <c r="WIH100" s="1"/>
      <c r="WII100" s="1"/>
      <c r="WIJ100" s="1"/>
      <c r="WIK100" s="1"/>
      <c r="WIL100" s="1"/>
      <c r="WIM100" s="1"/>
      <c r="WIN100" s="1"/>
      <c r="WIO100" s="1"/>
      <c r="WIP100" s="1"/>
      <c r="WIQ100" s="1"/>
      <c r="WIR100" s="1"/>
      <c r="WIS100" s="1"/>
      <c r="WIT100" s="1"/>
      <c r="WIU100" s="1"/>
      <c r="WIV100" s="1"/>
      <c r="WIW100" s="1"/>
      <c r="WIX100" s="1"/>
      <c r="WIY100" s="1"/>
      <c r="WIZ100" s="1"/>
      <c r="WJA100" s="1"/>
      <c r="WJB100" s="1"/>
      <c r="WJC100" s="1"/>
      <c r="WJD100" s="1"/>
      <c r="WJE100" s="1"/>
      <c r="WJF100" s="1"/>
      <c r="WJG100" s="1"/>
      <c r="WJH100" s="1"/>
      <c r="WJI100" s="1"/>
      <c r="WJJ100" s="1"/>
      <c r="WJK100" s="1"/>
      <c r="WJL100" s="1"/>
      <c r="WJM100" s="1"/>
      <c r="WJN100" s="1"/>
      <c r="WJO100" s="1"/>
      <c r="WJP100" s="1"/>
      <c r="WJQ100" s="1"/>
      <c r="WJR100" s="1"/>
      <c r="WJS100" s="1"/>
      <c r="WJT100" s="1"/>
      <c r="WJU100" s="1"/>
      <c r="WJV100" s="1"/>
      <c r="WJW100" s="1"/>
      <c r="WJX100" s="1"/>
      <c r="WJY100" s="1"/>
      <c r="WJZ100" s="1"/>
      <c r="WKA100" s="1"/>
      <c r="WKB100" s="1"/>
      <c r="WKC100" s="1"/>
      <c r="WKD100" s="1"/>
      <c r="WKE100" s="1"/>
      <c r="WKF100" s="1"/>
      <c r="WKG100" s="1"/>
      <c r="WKH100" s="1"/>
      <c r="WKI100" s="1"/>
      <c r="WKJ100" s="1"/>
      <c r="WKK100" s="1"/>
      <c r="WKL100" s="1"/>
      <c r="WKM100" s="1"/>
      <c r="WKN100" s="1"/>
      <c r="WKO100" s="1"/>
      <c r="WKP100" s="1"/>
      <c r="WKQ100" s="1"/>
      <c r="WKR100" s="1"/>
      <c r="WKS100" s="1"/>
      <c r="WKT100" s="1"/>
      <c r="WKU100" s="1"/>
      <c r="WKV100" s="1"/>
      <c r="WKW100" s="1"/>
      <c r="WKX100" s="1"/>
      <c r="WKY100" s="1"/>
      <c r="WKZ100" s="1"/>
      <c r="WLA100" s="1"/>
      <c r="WLB100" s="1"/>
      <c r="WLC100" s="1"/>
      <c r="WLD100" s="1"/>
      <c r="WLE100" s="1"/>
      <c r="WLF100" s="1"/>
      <c r="WLG100" s="1"/>
      <c r="WLH100" s="1"/>
      <c r="WLI100" s="1"/>
      <c r="WLJ100" s="1"/>
      <c r="WLK100" s="1"/>
      <c r="WLL100" s="1"/>
      <c r="WLM100" s="1"/>
      <c r="WLN100" s="1"/>
      <c r="WLO100" s="1"/>
      <c r="WLP100" s="1"/>
      <c r="WLQ100" s="1"/>
      <c r="WLR100" s="1"/>
      <c r="WLS100" s="1"/>
      <c r="WLT100" s="1"/>
      <c r="WLU100" s="1"/>
      <c r="WLV100" s="1"/>
      <c r="WLW100" s="1"/>
      <c r="WLX100" s="1"/>
      <c r="WLY100" s="1"/>
      <c r="WLZ100" s="1"/>
      <c r="WMA100" s="1"/>
      <c r="WMB100" s="1"/>
      <c r="WMC100" s="1"/>
      <c r="WMD100" s="1"/>
      <c r="WME100" s="1"/>
      <c r="WMF100" s="1"/>
      <c r="WMG100" s="1"/>
      <c r="WMH100" s="1"/>
      <c r="WMI100" s="1"/>
      <c r="WMJ100" s="1"/>
      <c r="WMK100" s="1"/>
      <c r="WML100" s="1"/>
      <c r="WMM100" s="1"/>
      <c r="WMN100" s="1"/>
      <c r="WMO100" s="1"/>
      <c r="WMP100" s="1"/>
      <c r="WMQ100" s="1"/>
      <c r="WMR100" s="1"/>
      <c r="WMS100" s="1"/>
      <c r="WMT100" s="1"/>
      <c r="WMU100" s="1"/>
      <c r="WMV100" s="1"/>
      <c r="WMW100" s="1"/>
      <c r="WMX100" s="1"/>
      <c r="WMY100" s="1"/>
      <c r="WMZ100" s="1"/>
      <c r="WNA100" s="1"/>
      <c r="WNB100" s="1"/>
      <c r="WNC100" s="1"/>
      <c r="WND100" s="1"/>
      <c r="WNE100" s="1"/>
      <c r="WNF100" s="1"/>
      <c r="WNG100" s="1"/>
      <c r="WNH100" s="1"/>
      <c r="WNI100" s="1"/>
      <c r="WNJ100" s="1"/>
      <c r="WNK100" s="1"/>
      <c r="WNL100" s="1"/>
      <c r="WNM100" s="1"/>
      <c r="WNN100" s="1"/>
      <c r="WNO100" s="1"/>
      <c r="WNP100" s="1"/>
      <c r="WNQ100" s="1"/>
      <c r="WNR100" s="1"/>
      <c r="WNS100" s="1"/>
      <c r="WNT100" s="1"/>
      <c r="WNU100" s="1"/>
      <c r="WNV100" s="1"/>
      <c r="WNW100" s="1"/>
      <c r="WNX100" s="1"/>
      <c r="WNY100" s="1"/>
      <c r="WNZ100" s="1"/>
      <c r="WOA100" s="1"/>
      <c r="WOB100" s="1"/>
      <c r="WOC100" s="1"/>
      <c r="WOD100" s="1"/>
      <c r="WOE100" s="1"/>
      <c r="WOF100" s="1"/>
      <c r="WOG100" s="1"/>
      <c r="WOH100" s="1"/>
      <c r="WOI100" s="1"/>
      <c r="WOJ100" s="1"/>
      <c r="WOK100" s="1"/>
      <c r="WOL100" s="1"/>
      <c r="WOM100" s="1"/>
      <c r="WON100" s="1"/>
      <c r="WOO100" s="1"/>
      <c r="WOP100" s="1"/>
      <c r="WOQ100" s="1"/>
      <c r="WOR100" s="1"/>
      <c r="WOS100" s="1"/>
      <c r="WOT100" s="1"/>
      <c r="WOU100" s="1"/>
      <c r="WOV100" s="1"/>
      <c r="WOW100" s="1"/>
      <c r="WOX100" s="1"/>
      <c r="WOY100" s="1"/>
      <c r="WOZ100" s="1"/>
      <c r="WPA100" s="1"/>
      <c r="WPB100" s="1"/>
      <c r="WPC100" s="1"/>
      <c r="WPD100" s="1"/>
      <c r="WPE100" s="1"/>
      <c r="WPF100" s="1"/>
      <c r="WPG100" s="1"/>
      <c r="WPH100" s="1"/>
      <c r="WPI100" s="1"/>
      <c r="WPJ100" s="1"/>
      <c r="WPK100" s="1"/>
      <c r="WPL100" s="1"/>
      <c r="WPM100" s="1"/>
      <c r="WPN100" s="1"/>
      <c r="WPO100" s="1"/>
      <c r="WPP100" s="1"/>
      <c r="WPQ100" s="1"/>
      <c r="WPR100" s="1"/>
      <c r="WPS100" s="1"/>
      <c r="WPT100" s="1"/>
      <c r="WPU100" s="1"/>
      <c r="WPV100" s="1"/>
      <c r="WPW100" s="1"/>
      <c r="WPX100" s="1"/>
      <c r="WPY100" s="1"/>
      <c r="WPZ100" s="1"/>
      <c r="WQA100" s="1"/>
      <c r="WQB100" s="1"/>
      <c r="WQC100" s="1"/>
      <c r="WQD100" s="1"/>
      <c r="WQE100" s="1"/>
      <c r="WQF100" s="1"/>
      <c r="WQG100" s="1"/>
      <c r="WQH100" s="1"/>
      <c r="WQI100" s="1"/>
      <c r="WQJ100" s="1"/>
      <c r="WQK100" s="1"/>
      <c r="WQL100" s="1"/>
      <c r="WQM100" s="1"/>
      <c r="WQN100" s="1"/>
      <c r="WQO100" s="1"/>
      <c r="WQP100" s="1"/>
      <c r="WQQ100" s="1"/>
      <c r="WQR100" s="1"/>
      <c r="WQS100" s="1"/>
      <c r="WQT100" s="1"/>
      <c r="WQU100" s="1"/>
      <c r="WQV100" s="1"/>
      <c r="WQW100" s="1"/>
      <c r="WQX100" s="1"/>
      <c r="WQY100" s="1"/>
      <c r="WQZ100" s="1"/>
      <c r="WRA100" s="1"/>
      <c r="WRB100" s="1"/>
      <c r="WRC100" s="1"/>
      <c r="WRD100" s="1"/>
      <c r="WRE100" s="1"/>
      <c r="WRF100" s="1"/>
      <c r="WRG100" s="1"/>
      <c r="WRH100" s="1"/>
      <c r="WRI100" s="1"/>
      <c r="WRJ100" s="1"/>
      <c r="WRK100" s="1"/>
      <c r="WRL100" s="1"/>
      <c r="WRM100" s="1"/>
      <c r="WRN100" s="1"/>
      <c r="WRO100" s="1"/>
      <c r="WRP100" s="1"/>
      <c r="WRQ100" s="1"/>
      <c r="WRR100" s="1"/>
      <c r="WRS100" s="1"/>
      <c r="WRT100" s="1"/>
      <c r="WRU100" s="1"/>
      <c r="WRV100" s="1"/>
      <c r="WRW100" s="1"/>
      <c r="WRX100" s="1"/>
      <c r="WRY100" s="1"/>
      <c r="WRZ100" s="1"/>
      <c r="WSA100" s="1"/>
      <c r="WSB100" s="1"/>
      <c r="WSC100" s="1"/>
      <c r="WSD100" s="1"/>
      <c r="WSE100" s="1"/>
      <c r="WSF100" s="1"/>
      <c r="WSG100" s="1"/>
      <c r="WSH100" s="1"/>
      <c r="WSI100" s="1"/>
      <c r="WSJ100" s="1"/>
      <c r="WSK100" s="1"/>
      <c r="WSL100" s="1"/>
      <c r="WSM100" s="1"/>
      <c r="WSN100" s="1"/>
      <c r="WSO100" s="1"/>
      <c r="WSP100" s="1"/>
      <c r="WSQ100" s="1"/>
      <c r="WSR100" s="1"/>
      <c r="WSS100" s="1"/>
      <c r="WST100" s="1"/>
      <c r="WSU100" s="1"/>
      <c r="WSV100" s="1"/>
      <c r="WSW100" s="1"/>
      <c r="WSX100" s="1"/>
      <c r="WSY100" s="1"/>
      <c r="WSZ100" s="1"/>
      <c r="WTA100" s="1"/>
      <c r="WTB100" s="1"/>
      <c r="WTC100" s="1"/>
      <c r="WTD100" s="1"/>
      <c r="WTE100" s="1"/>
      <c r="WTF100" s="1"/>
      <c r="WTG100" s="1"/>
      <c r="WTH100" s="1"/>
      <c r="WTI100" s="1"/>
      <c r="WTJ100" s="1"/>
      <c r="WTK100" s="1"/>
      <c r="WTL100" s="1"/>
      <c r="WTM100" s="1"/>
      <c r="WTN100" s="1"/>
      <c r="WTO100" s="1"/>
      <c r="WTP100" s="1"/>
      <c r="WTQ100" s="1"/>
      <c r="WTR100" s="1"/>
      <c r="WTS100" s="1"/>
      <c r="WTT100" s="1"/>
      <c r="WTU100" s="1"/>
      <c r="WTV100" s="1"/>
      <c r="WTW100" s="1"/>
      <c r="WTX100" s="1"/>
      <c r="WTY100" s="1"/>
      <c r="WTZ100" s="1"/>
      <c r="WUA100" s="1"/>
      <c r="WUB100" s="1"/>
      <c r="WUC100" s="1"/>
      <c r="WUD100" s="1"/>
      <c r="WUE100" s="1"/>
      <c r="WUF100" s="1"/>
      <c r="WUG100" s="1"/>
      <c r="WUH100" s="1"/>
      <c r="WUI100" s="1"/>
      <c r="WUJ100" s="1"/>
      <c r="WUK100" s="1"/>
      <c r="WUL100" s="1"/>
      <c r="WUM100" s="1"/>
      <c r="WUN100" s="1"/>
      <c r="WUO100" s="1"/>
      <c r="WUP100" s="1"/>
      <c r="WUQ100" s="1"/>
      <c r="WUR100" s="1"/>
      <c r="WUS100" s="1"/>
      <c r="WUT100" s="1"/>
      <c r="WUU100" s="1"/>
      <c r="WUV100" s="1"/>
      <c r="WUW100" s="1"/>
      <c r="WUX100" s="1"/>
      <c r="WUY100" s="1"/>
      <c r="WUZ100" s="1"/>
      <c r="WVA100" s="1"/>
      <c r="WVB100" s="1"/>
      <c r="WVC100" s="1"/>
      <c r="WVD100" s="1"/>
      <c r="WVE100" s="1"/>
      <c r="WVF100" s="1"/>
      <c r="WVG100" s="1"/>
      <c r="WVH100" s="1"/>
      <c r="WVI100" s="1"/>
      <c r="WVJ100" s="1"/>
      <c r="WVK100" s="1"/>
      <c r="WVL100" s="1"/>
      <c r="WVM100" s="1"/>
      <c r="WVN100" s="1"/>
      <c r="WVO100" s="1"/>
      <c r="WVP100" s="1"/>
      <c r="WVQ100" s="1"/>
      <c r="WVR100" s="1"/>
      <c r="WVS100" s="1"/>
      <c r="WVT100" s="1"/>
      <c r="WVU100" s="1"/>
      <c r="WVV100" s="1"/>
      <c r="WVW100" s="1"/>
      <c r="WVX100" s="1"/>
      <c r="WVY100" s="1"/>
      <c r="WVZ100" s="1"/>
      <c r="WWA100" s="1"/>
      <c r="WWB100" s="1"/>
      <c r="WWC100" s="1"/>
      <c r="WWD100" s="1"/>
      <c r="WWE100" s="1"/>
      <c r="WWF100" s="1"/>
      <c r="WWG100" s="1"/>
      <c r="WWH100" s="1"/>
      <c r="WWI100" s="1"/>
      <c r="WWJ100" s="1"/>
      <c r="WWK100" s="1"/>
      <c r="WWL100" s="1"/>
      <c r="WWM100" s="1"/>
      <c r="WWN100" s="1"/>
      <c r="WWO100" s="1"/>
      <c r="WWP100" s="1"/>
      <c r="WWQ100" s="1"/>
      <c r="WWR100" s="1"/>
      <c r="WWS100" s="1"/>
      <c r="WWT100" s="1"/>
      <c r="WWU100" s="1"/>
      <c r="WWV100" s="1"/>
      <c r="WWW100" s="1"/>
      <c r="WWX100" s="1"/>
      <c r="WWY100" s="1"/>
      <c r="WWZ100" s="1"/>
      <c r="WXA100" s="1"/>
      <c r="WXB100" s="1"/>
      <c r="WXC100" s="1"/>
      <c r="WXD100" s="1"/>
      <c r="WXE100" s="1"/>
      <c r="WXF100" s="1"/>
      <c r="WXG100" s="1"/>
      <c r="WXH100" s="1"/>
      <c r="WXI100" s="1"/>
      <c r="WXJ100" s="1"/>
      <c r="WXK100" s="1"/>
      <c r="WXL100" s="1"/>
      <c r="WXM100" s="1"/>
      <c r="WXN100" s="1"/>
      <c r="WXO100" s="1"/>
      <c r="WXP100" s="1"/>
      <c r="WXQ100" s="1"/>
      <c r="WXR100" s="1"/>
      <c r="WXS100" s="1"/>
      <c r="WXT100" s="1"/>
      <c r="WXU100" s="1"/>
      <c r="WXV100" s="1"/>
      <c r="WXW100" s="1"/>
      <c r="WXX100" s="1"/>
      <c r="WXY100" s="1"/>
      <c r="WXZ100" s="1"/>
      <c r="WYA100" s="1"/>
      <c r="WYB100" s="1"/>
      <c r="WYC100" s="1"/>
      <c r="WYD100" s="1"/>
      <c r="WYE100" s="1"/>
      <c r="WYF100" s="1"/>
      <c r="WYG100" s="1"/>
      <c r="WYH100" s="1"/>
      <c r="WYI100" s="1"/>
      <c r="WYJ100" s="1"/>
      <c r="WYK100" s="1"/>
      <c r="WYL100" s="1"/>
      <c r="WYM100" s="1"/>
      <c r="WYN100" s="1"/>
      <c r="WYO100" s="1"/>
      <c r="WYP100" s="1"/>
      <c r="WYQ100" s="1"/>
      <c r="WYR100" s="1"/>
      <c r="WYS100" s="1"/>
      <c r="WYT100" s="1"/>
      <c r="WYU100" s="1"/>
      <c r="WYV100" s="1"/>
      <c r="WYW100" s="1"/>
      <c r="WYX100" s="1"/>
      <c r="WYY100" s="1"/>
      <c r="WYZ100" s="1"/>
      <c r="WZA100" s="1"/>
      <c r="WZB100" s="1"/>
      <c r="WZC100" s="1"/>
      <c r="WZD100" s="1"/>
      <c r="WZE100" s="1"/>
      <c r="WZF100" s="1"/>
      <c r="WZG100" s="1"/>
      <c r="WZH100" s="1"/>
      <c r="WZI100" s="1"/>
      <c r="WZJ100" s="1"/>
      <c r="WZK100" s="1"/>
      <c r="WZL100" s="1"/>
      <c r="WZM100" s="1"/>
      <c r="WZN100" s="1"/>
      <c r="WZO100" s="1"/>
      <c r="WZP100" s="1"/>
      <c r="WZQ100" s="1"/>
      <c r="WZR100" s="1"/>
      <c r="WZS100" s="1"/>
      <c r="WZT100" s="1"/>
      <c r="WZU100" s="1"/>
      <c r="WZV100" s="1"/>
      <c r="WZW100" s="1"/>
      <c r="WZX100" s="1"/>
      <c r="WZY100" s="1"/>
      <c r="WZZ100" s="1"/>
      <c r="XAA100" s="1"/>
      <c r="XAB100" s="1"/>
      <c r="XAC100" s="1"/>
      <c r="XAD100" s="1"/>
      <c r="XAE100" s="1"/>
      <c r="XAF100" s="1"/>
      <c r="XAG100" s="1"/>
      <c r="XAH100" s="1"/>
      <c r="XAI100" s="1"/>
      <c r="XAJ100" s="1"/>
      <c r="XAK100" s="1"/>
      <c r="XAL100" s="1"/>
      <c r="XAM100" s="1"/>
      <c r="XAN100" s="1"/>
      <c r="XAO100" s="1"/>
      <c r="XAP100" s="1"/>
      <c r="XAQ100" s="1"/>
      <c r="XAR100" s="1"/>
      <c r="XAS100" s="1"/>
      <c r="XAT100" s="1"/>
      <c r="XAU100" s="1"/>
      <c r="XAV100" s="1"/>
      <c r="XAW100" s="1"/>
      <c r="XAX100" s="1"/>
      <c r="XAY100" s="1"/>
      <c r="XAZ100" s="1"/>
      <c r="XBA100" s="1"/>
      <c r="XBB100" s="1"/>
      <c r="XBC100" s="1"/>
      <c r="XBD100" s="1"/>
      <c r="XBE100" s="1"/>
      <c r="XBF100" s="1"/>
      <c r="XBG100" s="1"/>
      <c r="XBH100" s="1"/>
      <c r="XBI100" s="1"/>
      <c r="XBJ100" s="1"/>
      <c r="XBK100" s="1"/>
      <c r="XBL100" s="1"/>
      <c r="XBM100" s="1"/>
      <c r="XBN100" s="1"/>
      <c r="XBO100" s="1"/>
      <c r="XBP100" s="1"/>
      <c r="XBQ100" s="1"/>
      <c r="XBR100" s="1"/>
      <c r="XBS100" s="1"/>
      <c r="XBT100" s="1"/>
      <c r="XBU100" s="1"/>
      <c r="XBV100" s="1"/>
      <c r="XBW100" s="1"/>
      <c r="XBX100" s="1"/>
      <c r="XBY100" s="1"/>
      <c r="XBZ100" s="1"/>
      <c r="XCA100" s="1"/>
      <c r="XCB100" s="1"/>
      <c r="XCC100" s="1"/>
      <c r="XCD100" s="1"/>
      <c r="XCE100" s="1"/>
      <c r="XCF100" s="1"/>
      <c r="XCG100" s="1"/>
      <c r="XCH100" s="1"/>
      <c r="XCI100" s="1"/>
      <c r="XCJ100" s="1"/>
      <c r="XCK100" s="1"/>
      <c r="XCL100" s="1"/>
      <c r="XCM100" s="1"/>
      <c r="XCN100" s="1"/>
      <c r="XCO100" s="1"/>
      <c r="XCP100" s="1"/>
      <c r="XCQ100" s="1"/>
      <c r="XCR100" s="1"/>
      <c r="XCS100" s="1"/>
      <c r="XCT100" s="1"/>
      <c r="XCU100" s="1"/>
      <c r="XCV100" s="1"/>
      <c r="XCW100" s="1"/>
      <c r="XCX100" s="1"/>
      <c r="XCY100" s="1"/>
      <c r="XCZ100" s="1"/>
      <c r="XDA100" s="1"/>
      <c r="XDB100" s="1"/>
      <c r="XDC100" s="1"/>
      <c r="XDD100" s="1"/>
      <c r="XDE100" s="1"/>
      <c r="XDF100" s="1"/>
      <c r="XDG100" s="1"/>
      <c r="XDH100" s="1"/>
      <c r="XDI100" s="1"/>
      <c r="XDJ100" s="1"/>
      <c r="XDK100" s="1"/>
      <c r="XDL100" s="1"/>
      <c r="XDM100" s="1"/>
      <c r="XDN100" s="1"/>
      <c r="XDO100" s="1"/>
      <c r="XDP100" s="1"/>
      <c r="XDQ100" s="1"/>
      <c r="XDR100" s="1"/>
      <c r="XDS100" s="1"/>
      <c r="XDT100" s="1"/>
      <c r="XDU100" s="1"/>
      <c r="XDV100" s="1"/>
      <c r="XDW100" s="1"/>
      <c r="XDX100" s="1"/>
      <c r="XDY100" s="1"/>
      <c r="XDZ100" s="1"/>
      <c r="XEA100" s="1"/>
      <c r="XEB100" s="1"/>
      <c r="XEC100" s="1"/>
      <c r="XED100" s="1"/>
      <c r="XEE100" s="1"/>
      <c r="XEF100" s="1"/>
      <c r="XEG100" s="1"/>
      <c r="XEH100" s="1"/>
      <c r="XEI100" s="1"/>
      <c r="XEJ100" s="1"/>
      <c r="XEK100" s="1"/>
      <c r="XEL100" s="1"/>
      <c r="XEM100" s="1"/>
      <c r="XEN100" s="1"/>
      <c r="XEO100" s="1"/>
      <c r="XEP100" s="1"/>
      <c r="XEQ100" s="1"/>
      <c r="XER100" s="1"/>
      <c r="XES100" s="1"/>
      <c r="XET100" s="1"/>
      <c r="XEU100" s="1"/>
      <c r="XEV100" s="1"/>
      <c r="XEW100" s="1"/>
      <c r="XEX100" s="1"/>
      <c r="XEY100" s="1"/>
      <c r="XEZ100" s="1"/>
      <c r="XFA100" s="1"/>
      <c r="XFB100" s="1"/>
    </row>
    <row r="101" spans="1:16382" s="2" customFormat="1" ht="12.5" hidden="1">
      <c r="A101" s="74"/>
      <c r="B101" s="1"/>
      <c r="C101" s="1"/>
      <c r="D101" s="1"/>
      <c r="E101" s="1"/>
      <c r="F101" s="1"/>
      <c r="I101" s="1"/>
      <c r="J101" s="19"/>
      <c r="K101" s="122"/>
      <c r="L101" s="304"/>
      <c r="M101" s="305"/>
      <c r="N101" s="305"/>
      <c r="O101" s="23"/>
      <c r="P101" s="23"/>
      <c r="Q101" s="23"/>
      <c r="R101" s="23"/>
      <c r="S101" s="1"/>
      <c r="T101" s="1"/>
      <c r="U101" s="1"/>
      <c r="V101" s="1"/>
      <c r="W101" s="1"/>
      <c r="X101" s="1"/>
      <c r="Y101" s="1"/>
      <c r="Z101" s="1"/>
      <c r="AA101" s="1"/>
      <c r="AB101" s="1"/>
      <c r="AC101" s="1"/>
      <c r="AD101" s="1"/>
      <c r="AE101" s="1"/>
      <c r="AF101" s="1"/>
      <c r="AG101" s="1"/>
      <c r="AH101" s="1"/>
      <c r="AI101" s="1"/>
      <c r="AJ101" s="1"/>
      <c r="AK101" s="1"/>
      <c r="AL101" s="1"/>
      <c r="AM101" s="1"/>
      <c r="AN101" s="1"/>
      <c r="AO101" s="1"/>
      <c r="AP101" s="1"/>
      <c r="AQ101" s="1"/>
      <c r="AR101" s="1"/>
      <c r="AS101" s="1"/>
      <c r="AT101" s="1"/>
      <c r="AU101" s="1"/>
      <c r="AV101" s="1"/>
      <c r="AW101" s="1"/>
      <c r="AX101" s="1"/>
      <c r="AY101" s="1"/>
      <c r="AZ101" s="1"/>
      <c r="BA101" s="1"/>
      <c r="BB101" s="1"/>
      <c r="BC101" s="1"/>
      <c r="BD101" s="1"/>
      <c r="BE101" s="1"/>
      <c r="BF101" s="1"/>
      <c r="BG101" s="1"/>
      <c r="BH101" s="1"/>
      <c r="BI101" s="1"/>
      <c r="BJ101" s="1"/>
      <c r="BK101" s="1"/>
      <c r="BL101" s="1"/>
      <c r="BM101" s="1"/>
      <c r="BN101" s="1"/>
      <c r="BO101" s="1"/>
      <c r="BP101" s="1"/>
      <c r="BQ101" s="1"/>
      <c r="BR101" s="1"/>
      <c r="BS101" s="1"/>
      <c r="BT101" s="1"/>
      <c r="BU101" s="1"/>
      <c r="BV101" s="1"/>
      <c r="BW101" s="1"/>
      <c r="BX101" s="1"/>
      <c r="BY101" s="1"/>
      <c r="BZ101" s="1"/>
      <c r="CA101" s="1"/>
      <c r="CB101" s="1"/>
      <c r="CC101" s="1"/>
      <c r="CD101" s="1"/>
      <c r="CE101" s="1"/>
      <c r="CF101" s="1"/>
      <c r="CG101" s="1"/>
      <c r="CH101" s="1"/>
      <c r="CI101" s="1"/>
      <c r="CJ101" s="1"/>
      <c r="CK101" s="1"/>
      <c r="CL101" s="1"/>
      <c r="CM101" s="1"/>
      <c r="CN101" s="1"/>
      <c r="CO101" s="1"/>
      <c r="CP101" s="1"/>
      <c r="CQ101" s="1"/>
      <c r="CR101" s="1"/>
      <c r="CS101" s="1"/>
      <c r="CT101" s="1"/>
      <c r="CU101" s="1"/>
      <c r="CV101" s="1"/>
      <c r="CW101" s="1"/>
      <c r="CX101" s="1"/>
      <c r="CY101" s="1"/>
      <c r="CZ101" s="1"/>
      <c r="DA101" s="1"/>
      <c r="DB101" s="1"/>
      <c r="DC101" s="1"/>
      <c r="DD101" s="1"/>
      <c r="DE101" s="1"/>
      <c r="DF101" s="1"/>
      <c r="DG101" s="1"/>
      <c r="DH101" s="1"/>
      <c r="DI101" s="1"/>
      <c r="DJ101" s="1"/>
      <c r="DK101" s="1"/>
      <c r="DL101" s="1"/>
      <c r="DM101" s="1"/>
      <c r="DN101" s="1"/>
      <c r="DO101" s="1"/>
      <c r="DP101" s="1"/>
      <c r="DQ101" s="1"/>
      <c r="DR101" s="1"/>
      <c r="DS101" s="1"/>
      <c r="DT101" s="1"/>
      <c r="DU101" s="1"/>
      <c r="DV101" s="1"/>
      <c r="DW101" s="1"/>
      <c r="DX101" s="1"/>
      <c r="DY101" s="1"/>
      <c r="DZ101" s="1"/>
      <c r="EA101" s="1"/>
      <c r="EB101" s="1"/>
      <c r="EC101" s="1"/>
      <c r="ED101" s="1"/>
      <c r="EE101" s="1"/>
      <c r="EF101" s="1"/>
      <c r="EG101" s="1"/>
      <c r="EH101" s="1"/>
      <c r="EI101" s="1"/>
      <c r="EJ101" s="1"/>
      <c r="EK101" s="1"/>
      <c r="EL101" s="1"/>
      <c r="EM101" s="1"/>
      <c r="EN101" s="1"/>
      <c r="EO101" s="1"/>
      <c r="EP101" s="1"/>
      <c r="EQ101" s="1"/>
      <c r="ER101" s="1"/>
      <c r="ES101" s="1"/>
      <c r="ET101" s="1"/>
      <c r="EU101" s="1"/>
      <c r="EV101" s="1"/>
      <c r="EW101" s="1"/>
      <c r="EX101" s="1"/>
      <c r="EY101" s="1"/>
      <c r="EZ101" s="1"/>
      <c r="FA101" s="1"/>
      <c r="FB101" s="1"/>
      <c r="FC101" s="1"/>
      <c r="FD101" s="1"/>
      <c r="FE101" s="1"/>
      <c r="FF101" s="1"/>
      <c r="FG101" s="1"/>
      <c r="FH101" s="1"/>
      <c r="FI101" s="1"/>
      <c r="FJ101" s="1"/>
      <c r="FK101" s="1"/>
      <c r="FL101" s="1"/>
      <c r="FM101" s="1"/>
      <c r="FN101" s="1"/>
      <c r="FO101" s="1"/>
      <c r="FP101" s="1"/>
      <c r="FQ101" s="1"/>
      <c r="FR101" s="1"/>
      <c r="FS101" s="1"/>
      <c r="FT101" s="1"/>
      <c r="FU101" s="1"/>
      <c r="FV101" s="1"/>
      <c r="FW101" s="1"/>
      <c r="FX101" s="1"/>
      <c r="FY101" s="1"/>
      <c r="FZ101" s="1"/>
      <c r="GA101" s="1"/>
      <c r="GB101" s="1"/>
      <c r="GC101" s="1"/>
      <c r="GD101" s="1"/>
      <c r="GE101" s="1"/>
      <c r="GF101" s="1"/>
      <c r="GG101" s="1"/>
      <c r="GH101" s="1"/>
      <c r="GI101" s="1"/>
      <c r="GJ101" s="1"/>
      <c r="GK101" s="1"/>
      <c r="GL101" s="1"/>
      <c r="GM101" s="1"/>
      <c r="GN101" s="1"/>
      <c r="GO101" s="1"/>
      <c r="GP101" s="1"/>
      <c r="GQ101" s="1"/>
      <c r="GR101" s="1"/>
      <c r="GS101" s="1"/>
      <c r="GT101" s="1"/>
      <c r="GU101" s="1"/>
      <c r="GV101" s="1"/>
      <c r="GW101" s="1"/>
      <c r="GX101" s="1"/>
      <c r="GY101" s="1"/>
      <c r="GZ101" s="1"/>
      <c r="HA101" s="1"/>
      <c r="HB101" s="1"/>
      <c r="HC101" s="1"/>
      <c r="HD101" s="1"/>
      <c r="HE101" s="1"/>
      <c r="HF101" s="1"/>
      <c r="HG101" s="1"/>
      <c r="HH101" s="1"/>
      <c r="HI101" s="1"/>
      <c r="HJ101" s="1"/>
      <c r="HK101" s="1"/>
      <c r="HL101" s="1"/>
      <c r="HM101" s="1"/>
      <c r="HN101" s="1"/>
      <c r="HO101" s="1"/>
      <c r="HP101" s="1"/>
      <c r="HQ101" s="1"/>
      <c r="HR101" s="1"/>
      <c r="HS101" s="1"/>
      <c r="HT101" s="1"/>
      <c r="HU101" s="1"/>
      <c r="HV101" s="1"/>
      <c r="HW101" s="1"/>
      <c r="HX101" s="1"/>
      <c r="HY101" s="1"/>
      <c r="HZ101" s="1"/>
      <c r="IA101" s="1"/>
      <c r="IB101" s="1"/>
      <c r="IC101" s="1"/>
      <c r="ID101" s="1"/>
      <c r="IE101" s="1"/>
      <c r="IF101" s="1"/>
      <c r="IG101" s="1"/>
      <c r="IH101" s="1"/>
      <c r="II101" s="1"/>
      <c r="IJ101" s="1"/>
      <c r="IK101" s="1"/>
      <c r="IL101" s="1"/>
      <c r="IM101" s="1"/>
      <c r="IN101" s="1"/>
      <c r="IO101" s="1"/>
      <c r="IP101" s="1"/>
      <c r="IQ101" s="1"/>
      <c r="IR101" s="1"/>
      <c r="IS101" s="1"/>
      <c r="IT101" s="1"/>
      <c r="IU101" s="1"/>
      <c r="IV101" s="1"/>
      <c r="IW101" s="1"/>
      <c r="IX101" s="1"/>
      <c r="IY101" s="1"/>
      <c r="IZ101" s="1"/>
      <c r="JA101" s="1"/>
      <c r="JB101" s="1"/>
      <c r="JC101" s="1"/>
      <c r="JD101" s="1"/>
      <c r="JE101" s="1"/>
      <c r="JF101" s="1"/>
      <c r="JG101" s="1"/>
      <c r="JH101" s="1"/>
      <c r="JI101" s="1"/>
      <c r="JJ101" s="1"/>
      <c r="JK101" s="1"/>
      <c r="JL101" s="1"/>
      <c r="JM101" s="1"/>
      <c r="JN101" s="1"/>
      <c r="JO101" s="1"/>
      <c r="JP101" s="1"/>
      <c r="JQ101" s="1"/>
      <c r="JR101" s="1"/>
      <c r="JS101" s="1"/>
      <c r="JT101" s="1"/>
      <c r="JU101" s="1"/>
      <c r="JV101" s="1"/>
      <c r="JW101" s="1"/>
      <c r="JX101" s="1"/>
      <c r="JY101" s="1"/>
      <c r="JZ101" s="1"/>
      <c r="KA101" s="1"/>
      <c r="KB101" s="1"/>
      <c r="KC101" s="1"/>
      <c r="KD101" s="1"/>
      <c r="KE101" s="1"/>
      <c r="KF101" s="1"/>
      <c r="KG101" s="1"/>
      <c r="KH101" s="1"/>
      <c r="KI101" s="1"/>
      <c r="KJ101" s="1"/>
      <c r="KK101" s="1"/>
      <c r="KL101" s="1"/>
      <c r="KM101" s="1"/>
      <c r="KN101" s="1"/>
      <c r="KO101" s="1"/>
      <c r="KP101" s="1"/>
      <c r="KQ101" s="1"/>
      <c r="KR101" s="1"/>
      <c r="KS101" s="1"/>
      <c r="KT101" s="1"/>
      <c r="KU101" s="1"/>
      <c r="KV101" s="1"/>
      <c r="KW101" s="1"/>
      <c r="KX101" s="1"/>
      <c r="KY101" s="1"/>
      <c r="KZ101" s="1"/>
      <c r="LA101" s="1"/>
      <c r="LB101" s="1"/>
      <c r="LC101" s="1"/>
      <c r="LD101" s="1"/>
      <c r="LE101" s="1"/>
      <c r="LF101" s="1"/>
      <c r="LG101" s="1"/>
      <c r="LH101" s="1"/>
      <c r="LI101" s="1"/>
      <c r="LJ101" s="1"/>
      <c r="LK101" s="1"/>
      <c r="LL101" s="1"/>
      <c r="LM101" s="1"/>
      <c r="LN101" s="1"/>
      <c r="LO101" s="1"/>
      <c r="LP101" s="1"/>
      <c r="LQ101" s="1"/>
      <c r="LR101" s="1"/>
      <c r="LS101" s="1"/>
      <c r="LT101" s="1"/>
      <c r="LU101" s="1"/>
      <c r="LV101" s="1"/>
      <c r="LW101" s="1"/>
      <c r="LX101" s="1"/>
      <c r="LY101" s="1"/>
      <c r="LZ101" s="1"/>
      <c r="MA101" s="1"/>
      <c r="MB101" s="1"/>
      <c r="MC101" s="1"/>
      <c r="MD101" s="1"/>
      <c r="ME101" s="1"/>
      <c r="MF101" s="1"/>
      <c r="MG101" s="1"/>
      <c r="MH101" s="1"/>
      <c r="MI101" s="1"/>
      <c r="MJ101" s="1"/>
      <c r="MK101" s="1"/>
      <c r="ML101" s="1"/>
      <c r="MM101" s="1"/>
      <c r="MN101" s="1"/>
      <c r="MO101" s="1"/>
      <c r="MP101" s="1"/>
      <c r="MQ101" s="1"/>
      <c r="MR101" s="1"/>
      <c r="MS101" s="1"/>
      <c r="MT101" s="1"/>
      <c r="MU101" s="1"/>
      <c r="MV101" s="1"/>
      <c r="MW101" s="1"/>
      <c r="MX101" s="1"/>
      <c r="MY101" s="1"/>
      <c r="MZ101" s="1"/>
      <c r="NA101" s="1"/>
      <c r="NB101" s="1"/>
      <c r="NC101" s="1"/>
      <c r="ND101" s="1"/>
      <c r="NE101" s="1"/>
      <c r="NF101" s="1"/>
      <c r="NG101" s="1"/>
      <c r="NH101" s="1"/>
      <c r="NI101" s="1"/>
      <c r="NJ101" s="1"/>
      <c r="NK101" s="1"/>
      <c r="NL101" s="1"/>
      <c r="NM101" s="1"/>
      <c r="NN101" s="1"/>
      <c r="NO101" s="1"/>
      <c r="NP101" s="1"/>
      <c r="NQ101" s="1"/>
      <c r="NR101" s="1"/>
      <c r="NS101" s="1"/>
      <c r="NT101" s="1"/>
      <c r="NU101" s="1"/>
      <c r="NV101" s="1"/>
      <c r="NW101" s="1"/>
      <c r="NX101" s="1"/>
      <c r="NY101" s="1"/>
      <c r="NZ101" s="1"/>
      <c r="OA101" s="1"/>
      <c r="OB101" s="1"/>
      <c r="OC101" s="1"/>
      <c r="OD101" s="1"/>
      <c r="OE101" s="1"/>
      <c r="OF101" s="1"/>
      <c r="OG101" s="1"/>
      <c r="OH101" s="1"/>
      <c r="OI101" s="1"/>
      <c r="OJ101" s="1"/>
      <c r="OK101" s="1"/>
      <c r="OL101" s="1"/>
      <c r="OM101" s="1"/>
      <c r="ON101" s="1"/>
      <c r="OO101" s="1"/>
      <c r="OP101" s="1"/>
      <c r="OQ101" s="1"/>
      <c r="OR101" s="1"/>
      <c r="OS101" s="1"/>
      <c r="OT101" s="1"/>
      <c r="OU101" s="1"/>
      <c r="OV101" s="1"/>
      <c r="OW101" s="1"/>
      <c r="OX101" s="1"/>
      <c r="OY101" s="1"/>
      <c r="OZ101" s="1"/>
      <c r="PA101" s="1"/>
      <c r="PB101" s="1"/>
      <c r="PC101" s="1"/>
      <c r="PD101" s="1"/>
      <c r="PE101" s="1"/>
      <c r="PF101" s="1"/>
      <c r="PG101" s="1"/>
      <c r="PH101" s="1"/>
      <c r="PI101" s="1"/>
      <c r="PJ101" s="1"/>
      <c r="PK101" s="1"/>
      <c r="PL101" s="1"/>
      <c r="PM101" s="1"/>
      <c r="PN101" s="1"/>
      <c r="PO101" s="1"/>
      <c r="PP101" s="1"/>
      <c r="PQ101" s="1"/>
      <c r="PR101" s="1"/>
      <c r="PS101" s="1"/>
      <c r="PT101" s="1"/>
      <c r="PU101" s="1"/>
      <c r="PV101" s="1"/>
      <c r="PW101" s="1"/>
      <c r="PX101" s="1"/>
      <c r="PY101" s="1"/>
      <c r="PZ101" s="1"/>
      <c r="QA101" s="1"/>
      <c r="QB101" s="1"/>
      <c r="QC101" s="1"/>
      <c r="QD101" s="1"/>
      <c r="QE101" s="1"/>
      <c r="QF101" s="1"/>
      <c r="QG101" s="1"/>
      <c r="QH101" s="1"/>
      <c r="QI101" s="1"/>
      <c r="QJ101" s="1"/>
      <c r="QK101" s="1"/>
      <c r="QL101" s="1"/>
      <c r="QM101" s="1"/>
      <c r="QN101" s="1"/>
      <c r="QO101" s="1"/>
      <c r="QP101" s="1"/>
      <c r="QQ101" s="1"/>
      <c r="QR101" s="1"/>
      <c r="QS101" s="1"/>
      <c r="QT101" s="1"/>
      <c r="QU101" s="1"/>
      <c r="QV101" s="1"/>
      <c r="QW101" s="1"/>
      <c r="QX101" s="1"/>
      <c r="QY101" s="1"/>
      <c r="QZ101" s="1"/>
      <c r="RA101" s="1"/>
      <c r="RB101" s="1"/>
      <c r="RC101" s="1"/>
      <c r="RD101" s="1"/>
      <c r="RE101" s="1"/>
      <c r="RF101" s="1"/>
      <c r="RG101" s="1"/>
      <c r="RH101" s="1"/>
      <c r="RI101" s="1"/>
      <c r="RJ101" s="1"/>
      <c r="RK101" s="1"/>
      <c r="RL101" s="1"/>
      <c r="RM101" s="1"/>
      <c r="RN101" s="1"/>
      <c r="RO101" s="1"/>
      <c r="RP101" s="1"/>
      <c r="RQ101" s="1"/>
      <c r="RR101" s="1"/>
      <c r="RS101" s="1"/>
      <c r="RT101" s="1"/>
      <c r="RU101" s="1"/>
      <c r="RV101" s="1"/>
      <c r="RW101" s="1"/>
      <c r="RX101" s="1"/>
      <c r="RY101" s="1"/>
      <c r="RZ101" s="1"/>
      <c r="SA101" s="1"/>
      <c r="SB101" s="1"/>
      <c r="SC101" s="1"/>
      <c r="SD101" s="1"/>
      <c r="SE101" s="1"/>
      <c r="SF101" s="1"/>
      <c r="SG101" s="1"/>
      <c r="SH101" s="1"/>
      <c r="SI101" s="1"/>
      <c r="SJ101" s="1"/>
      <c r="SK101" s="1"/>
      <c r="SL101" s="1"/>
      <c r="SM101" s="1"/>
      <c r="SN101" s="1"/>
      <c r="SO101" s="1"/>
      <c r="SP101" s="1"/>
      <c r="SQ101" s="1"/>
      <c r="SR101" s="1"/>
      <c r="SS101" s="1"/>
      <c r="ST101" s="1"/>
      <c r="SU101" s="1"/>
      <c r="SV101" s="1"/>
      <c r="SW101" s="1"/>
      <c r="SX101" s="1"/>
      <c r="SY101" s="1"/>
      <c r="SZ101" s="1"/>
      <c r="TA101" s="1"/>
      <c r="TB101" s="1"/>
      <c r="TC101" s="1"/>
      <c r="TD101" s="1"/>
      <c r="TE101" s="1"/>
      <c r="TF101" s="1"/>
      <c r="TG101" s="1"/>
      <c r="TH101" s="1"/>
      <c r="TI101" s="1"/>
      <c r="TJ101" s="1"/>
      <c r="TK101" s="1"/>
      <c r="TL101" s="1"/>
      <c r="TM101" s="1"/>
      <c r="TN101" s="1"/>
      <c r="TO101" s="1"/>
      <c r="TP101" s="1"/>
      <c r="TQ101" s="1"/>
      <c r="TR101" s="1"/>
      <c r="TS101" s="1"/>
      <c r="TT101" s="1"/>
      <c r="TU101" s="1"/>
      <c r="TV101" s="1"/>
      <c r="TW101" s="1"/>
      <c r="TX101" s="1"/>
      <c r="TY101" s="1"/>
      <c r="TZ101" s="1"/>
      <c r="UA101" s="1"/>
      <c r="UB101" s="1"/>
      <c r="UC101" s="1"/>
      <c r="UD101" s="1"/>
      <c r="UE101" s="1"/>
      <c r="UF101" s="1"/>
      <c r="UG101" s="1"/>
      <c r="UH101" s="1"/>
      <c r="UI101" s="1"/>
      <c r="UJ101" s="1"/>
      <c r="UK101" s="1"/>
      <c r="UL101" s="1"/>
      <c r="UM101" s="1"/>
      <c r="UN101" s="1"/>
      <c r="UO101" s="1"/>
      <c r="UP101" s="1"/>
      <c r="UQ101" s="1"/>
      <c r="UR101" s="1"/>
      <c r="US101" s="1"/>
      <c r="UT101" s="1"/>
      <c r="UU101" s="1"/>
      <c r="UV101" s="1"/>
      <c r="UW101" s="1"/>
      <c r="UX101" s="1"/>
      <c r="UY101" s="1"/>
      <c r="UZ101" s="1"/>
      <c r="VA101" s="1"/>
      <c r="VB101" s="1"/>
      <c r="VC101" s="1"/>
      <c r="VD101" s="1"/>
      <c r="VE101" s="1"/>
      <c r="VF101" s="1"/>
      <c r="VG101" s="1"/>
      <c r="VH101" s="1"/>
      <c r="VI101" s="1"/>
      <c r="VJ101" s="1"/>
      <c r="VK101" s="1"/>
      <c r="VL101" s="1"/>
      <c r="VM101" s="1"/>
      <c r="VN101" s="1"/>
      <c r="VO101" s="1"/>
      <c r="VP101" s="1"/>
      <c r="VQ101" s="1"/>
      <c r="VR101" s="1"/>
      <c r="VS101" s="1"/>
      <c r="VT101" s="1"/>
      <c r="VU101" s="1"/>
      <c r="VV101" s="1"/>
      <c r="VW101" s="1"/>
      <c r="VX101" s="1"/>
      <c r="VY101" s="1"/>
      <c r="VZ101" s="1"/>
      <c r="WA101" s="1"/>
      <c r="WB101" s="1"/>
      <c r="WC101" s="1"/>
      <c r="WD101" s="1"/>
      <c r="WE101" s="1"/>
      <c r="WF101" s="1"/>
      <c r="WG101" s="1"/>
      <c r="WH101" s="1"/>
      <c r="WI101" s="1"/>
      <c r="WJ101" s="1"/>
      <c r="WK101" s="1"/>
      <c r="WL101" s="1"/>
      <c r="WM101" s="1"/>
      <c r="WN101" s="1"/>
      <c r="WO101" s="1"/>
      <c r="WP101" s="1"/>
      <c r="WQ101" s="1"/>
      <c r="WR101" s="1"/>
      <c r="WS101" s="1"/>
      <c r="WT101" s="1"/>
      <c r="WU101" s="1"/>
      <c r="WV101" s="1"/>
      <c r="WW101" s="1"/>
      <c r="WX101" s="1"/>
      <c r="WY101" s="1"/>
      <c r="WZ101" s="1"/>
      <c r="XA101" s="1"/>
      <c r="XB101" s="1"/>
      <c r="XC101" s="1"/>
      <c r="XD101" s="1"/>
      <c r="XE101" s="1"/>
      <c r="XF101" s="1"/>
      <c r="XG101" s="1"/>
      <c r="XH101" s="1"/>
      <c r="XI101" s="1"/>
      <c r="XJ101" s="1"/>
      <c r="XK101" s="1"/>
      <c r="XL101" s="1"/>
      <c r="XM101" s="1"/>
      <c r="XN101" s="1"/>
      <c r="XO101" s="1"/>
      <c r="XP101" s="1"/>
      <c r="XQ101" s="1"/>
      <c r="XR101" s="1"/>
      <c r="XS101" s="1"/>
      <c r="XT101" s="1"/>
      <c r="XU101" s="1"/>
      <c r="XV101" s="1"/>
      <c r="XW101" s="1"/>
      <c r="XX101" s="1"/>
      <c r="XY101" s="1"/>
      <c r="XZ101" s="1"/>
      <c r="YA101" s="1"/>
      <c r="YB101" s="1"/>
      <c r="YC101" s="1"/>
      <c r="YD101" s="1"/>
      <c r="YE101" s="1"/>
      <c r="YF101" s="1"/>
      <c r="YG101" s="1"/>
      <c r="YH101" s="1"/>
      <c r="YI101" s="1"/>
      <c r="YJ101" s="1"/>
      <c r="YK101" s="1"/>
      <c r="YL101" s="1"/>
      <c r="YM101" s="1"/>
      <c r="YN101" s="1"/>
      <c r="YO101" s="1"/>
      <c r="YP101" s="1"/>
      <c r="YQ101" s="1"/>
      <c r="YR101" s="1"/>
      <c r="YS101" s="1"/>
      <c r="YT101" s="1"/>
      <c r="YU101" s="1"/>
      <c r="YV101" s="1"/>
      <c r="YW101" s="1"/>
      <c r="YX101" s="1"/>
      <c r="YY101" s="1"/>
      <c r="YZ101" s="1"/>
      <c r="ZA101" s="1"/>
      <c r="ZB101" s="1"/>
      <c r="ZC101" s="1"/>
      <c r="ZD101" s="1"/>
      <c r="ZE101" s="1"/>
      <c r="ZF101" s="1"/>
      <c r="ZG101" s="1"/>
      <c r="ZH101" s="1"/>
      <c r="ZI101" s="1"/>
      <c r="ZJ101" s="1"/>
      <c r="ZK101" s="1"/>
      <c r="ZL101" s="1"/>
      <c r="ZM101" s="1"/>
      <c r="ZN101" s="1"/>
      <c r="ZO101" s="1"/>
      <c r="ZP101" s="1"/>
      <c r="ZQ101" s="1"/>
      <c r="ZR101" s="1"/>
      <c r="ZS101" s="1"/>
      <c r="ZT101" s="1"/>
      <c r="ZU101" s="1"/>
      <c r="ZV101" s="1"/>
      <c r="ZW101" s="1"/>
      <c r="ZX101" s="1"/>
      <c r="ZY101" s="1"/>
      <c r="ZZ101" s="1"/>
      <c r="AAA101" s="1"/>
      <c r="AAB101" s="1"/>
      <c r="AAC101" s="1"/>
      <c r="AAD101" s="1"/>
      <c r="AAE101" s="1"/>
      <c r="AAF101" s="1"/>
      <c r="AAG101" s="1"/>
      <c r="AAH101" s="1"/>
      <c r="AAI101" s="1"/>
      <c r="AAJ101" s="1"/>
      <c r="AAK101" s="1"/>
      <c r="AAL101" s="1"/>
      <c r="AAM101" s="1"/>
      <c r="AAN101" s="1"/>
      <c r="AAO101" s="1"/>
      <c r="AAP101" s="1"/>
      <c r="AAQ101" s="1"/>
      <c r="AAR101" s="1"/>
      <c r="AAS101" s="1"/>
      <c r="AAT101" s="1"/>
      <c r="AAU101" s="1"/>
      <c r="AAV101" s="1"/>
      <c r="AAW101" s="1"/>
      <c r="AAX101" s="1"/>
      <c r="AAY101" s="1"/>
      <c r="AAZ101" s="1"/>
      <c r="ABA101" s="1"/>
      <c r="ABB101" s="1"/>
      <c r="ABC101" s="1"/>
      <c r="ABD101" s="1"/>
      <c r="ABE101" s="1"/>
      <c r="ABF101" s="1"/>
      <c r="ABG101" s="1"/>
      <c r="ABH101" s="1"/>
      <c r="ABI101" s="1"/>
      <c r="ABJ101" s="1"/>
      <c r="ABK101" s="1"/>
      <c r="ABL101" s="1"/>
      <c r="ABM101" s="1"/>
      <c r="ABN101" s="1"/>
      <c r="ABO101" s="1"/>
      <c r="ABP101" s="1"/>
      <c r="ABQ101" s="1"/>
      <c r="ABR101" s="1"/>
      <c r="ABS101" s="1"/>
      <c r="ABT101" s="1"/>
      <c r="ABU101" s="1"/>
      <c r="ABV101" s="1"/>
      <c r="ABW101" s="1"/>
      <c r="ABX101" s="1"/>
      <c r="ABY101" s="1"/>
      <c r="ABZ101" s="1"/>
      <c r="ACA101" s="1"/>
      <c r="ACB101" s="1"/>
      <c r="ACC101" s="1"/>
      <c r="ACD101" s="1"/>
      <c r="ACE101" s="1"/>
      <c r="ACF101" s="1"/>
      <c r="ACG101" s="1"/>
      <c r="ACH101" s="1"/>
      <c r="ACI101" s="1"/>
      <c r="ACJ101" s="1"/>
      <c r="ACK101" s="1"/>
      <c r="ACL101" s="1"/>
      <c r="ACM101" s="1"/>
      <c r="ACN101" s="1"/>
      <c r="ACO101" s="1"/>
      <c r="ACP101" s="1"/>
      <c r="ACQ101" s="1"/>
      <c r="ACR101" s="1"/>
      <c r="ACS101" s="1"/>
      <c r="ACT101" s="1"/>
      <c r="ACU101" s="1"/>
      <c r="ACV101" s="1"/>
      <c r="ACW101" s="1"/>
      <c r="ACX101" s="1"/>
      <c r="ACY101" s="1"/>
      <c r="ACZ101" s="1"/>
      <c r="ADA101" s="1"/>
      <c r="ADB101" s="1"/>
      <c r="ADC101" s="1"/>
      <c r="ADD101" s="1"/>
      <c r="ADE101" s="1"/>
      <c r="ADF101" s="1"/>
      <c r="ADG101" s="1"/>
      <c r="ADH101" s="1"/>
      <c r="ADI101" s="1"/>
      <c r="ADJ101" s="1"/>
      <c r="ADK101" s="1"/>
      <c r="ADL101" s="1"/>
      <c r="ADM101" s="1"/>
      <c r="ADN101" s="1"/>
      <c r="ADO101" s="1"/>
      <c r="ADP101" s="1"/>
      <c r="ADQ101" s="1"/>
      <c r="ADR101" s="1"/>
      <c r="ADS101" s="1"/>
      <c r="ADT101" s="1"/>
      <c r="ADU101" s="1"/>
      <c r="ADV101" s="1"/>
      <c r="ADW101" s="1"/>
      <c r="ADX101" s="1"/>
      <c r="ADY101" s="1"/>
      <c r="ADZ101" s="1"/>
      <c r="AEA101" s="1"/>
      <c r="AEB101" s="1"/>
      <c r="AEC101" s="1"/>
      <c r="AED101" s="1"/>
      <c r="AEE101" s="1"/>
      <c r="AEF101" s="1"/>
      <c r="AEG101" s="1"/>
      <c r="AEH101" s="1"/>
      <c r="AEI101" s="1"/>
      <c r="AEJ101" s="1"/>
      <c r="AEK101" s="1"/>
      <c r="AEL101" s="1"/>
      <c r="AEM101" s="1"/>
      <c r="AEN101" s="1"/>
      <c r="AEO101" s="1"/>
      <c r="AEP101" s="1"/>
      <c r="AEQ101" s="1"/>
      <c r="AER101" s="1"/>
      <c r="AES101" s="1"/>
      <c r="AET101" s="1"/>
      <c r="AEU101" s="1"/>
      <c r="AEV101" s="1"/>
      <c r="AEW101" s="1"/>
      <c r="AEX101" s="1"/>
      <c r="AEY101" s="1"/>
      <c r="AEZ101" s="1"/>
      <c r="AFA101" s="1"/>
      <c r="AFB101" s="1"/>
      <c r="AFC101" s="1"/>
      <c r="AFD101" s="1"/>
      <c r="AFE101" s="1"/>
      <c r="AFF101" s="1"/>
      <c r="AFG101" s="1"/>
      <c r="AFH101" s="1"/>
      <c r="AFI101" s="1"/>
      <c r="AFJ101" s="1"/>
      <c r="AFK101" s="1"/>
      <c r="AFL101" s="1"/>
      <c r="AFM101" s="1"/>
      <c r="AFN101" s="1"/>
      <c r="AFO101" s="1"/>
      <c r="AFP101" s="1"/>
      <c r="AFQ101" s="1"/>
      <c r="AFR101" s="1"/>
      <c r="AFS101" s="1"/>
      <c r="AFT101" s="1"/>
      <c r="AFU101" s="1"/>
      <c r="AFV101" s="1"/>
      <c r="AFW101" s="1"/>
      <c r="AFX101" s="1"/>
      <c r="AFY101" s="1"/>
      <c r="AFZ101" s="1"/>
      <c r="AGA101" s="1"/>
      <c r="AGB101" s="1"/>
      <c r="AGC101" s="1"/>
      <c r="AGD101" s="1"/>
      <c r="AGE101" s="1"/>
      <c r="AGF101" s="1"/>
      <c r="AGG101" s="1"/>
      <c r="AGH101" s="1"/>
      <c r="AGI101" s="1"/>
      <c r="AGJ101" s="1"/>
      <c r="AGK101" s="1"/>
      <c r="AGL101" s="1"/>
      <c r="AGM101" s="1"/>
      <c r="AGN101" s="1"/>
      <c r="AGO101" s="1"/>
      <c r="AGP101" s="1"/>
      <c r="AGQ101" s="1"/>
      <c r="AGR101" s="1"/>
      <c r="AGS101" s="1"/>
      <c r="AGT101" s="1"/>
      <c r="AGU101" s="1"/>
      <c r="AGV101" s="1"/>
      <c r="AGW101" s="1"/>
      <c r="AGX101" s="1"/>
      <c r="AGY101" s="1"/>
      <c r="AGZ101" s="1"/>
      <c r="AHA101" s="1"/>
      <c r="AHB101" s="1"/>
      <c r="AHC101" s="1"/>
      <c r="AHD101" s="1"/>
      <c r="AHE101" s="1"/>
      <c r="AHF101" s="1"/>
      <c r="AHG101" s="1"/>
      <c r="AHH101" s="1"/>
      <c r="AHI101" s="1"/>
      <c r="AHJ101" s="1"/>
      <c r="AHK101" s="1"/>
      <c r="AHL101" s="1"/>
      <c r="AHM101" s="1"/>
      <c r="AHN101" s="1"/>
      <c r="AHO101" s="1"/>
      <c r="AHP101" s="1"/>
      <c r="AHQ101" s="1"/>
      <c r="AHR101" s="1"/>
      <c r="AHS101" s="1"/>
      <c r="AHT101" s="1"/>
      <c r="AHU101" s="1"/>
      <c r="AHV101" s="1"/>
      <c r="AHW101" s="1"/>
      <c r="AHX101" s="1"/>
      <c r="AHY101" s="1"/>
      <c r="AHZ101" s="1"/>
      <c r="AIA101" s="1"/>
      <c r="AIB101" s="1"/>
      <c r="AIC101" s="1"/>
      <c r="AID101" s="1"/>
      <c r="AIE101" s="1"/>
      <c r="AIF101" s="1"/>
      <c r="AIG101" s="1"/>
      <c r="AIH101" s="1"/>
      <c r="AII101" s="1"/>
      <c r="AIJ101" s="1"/>
      <c r="AIK101" s="1"/>
      <c r="AIL101" s="1"/>
      <c r="AIM101" s="1"/>
      <c r="AIN101" s="1"/>
      <c r="AIO101" s="1"/>
      <c r="AIP101" s="1"/>
      <c r="AIQ101" s="1"/>
      <c r="AIR101" s="1"/>
      <c r="AIS101" s="1"/>
      <c r="AIT101" s="1"/>
      <c r="AIU101" s="1"/>
      <c r="AIV101" s="1"/>
      <c r="AIW101" s="1"/>
      <c r="AIX101" s="1"/>
      <c r="AIY101" s="1"/>
      <c r="AIZ101" s="1"/>
      <c r="AJA101" s="1"/>
      <c r="AJB101" s="1"/>
      <c r="AJC101" s="1"/>
      <c r="AJD101" s="1"/>
      <c r="AJE101" s="1"/>
      <c r="AJF101" s="1"/>
      <c r="AJG101" s="1"/>
      <c r="AJH101" s="1"/>
      <c r="AJI101" s="1"/>
      <c r="AJJ101" s="1"/>
      <c r="AJK101" s="1"/>
      <c r="AJL101" s="1"/>
      <c r="AJM101" s="1"/>
      <c r="AJN101" s="1"/>
      <c r="AJO101" s="1"/>
      <c r="AJP101" s="1"/>
      <c r="AJQ101" s="1"/>
      <c r="AJR101" s="1"/>
      <c r="AJS101" s="1"/>
      <c r="AJT101" s="1"/>
      <c r="AJU101" s="1"/>
      <c r="AJV101" s="1"/>
      <c r="AJW101" s="1"/>
      <c r="AJX101" s="1"/>
      <c r="AJY101" s="1"/>
      <c r="AJZ101" s="1"/>
      <c r="AKA101" s="1"/>
      <c r="AKB101" s="1"/>
      <c r="AKC101" s="1"/>
      <c r="AKD101" s="1"/>
      <c r="AKE101" s="1"/>
      <c r="AKF101" s="1"/>
      <c r="AKG101" s="1"/>
      <c r="AKH101" s="1"/>
      <c r="AKI101" s="1"/>
      <c r="AKJ101" s="1"/>
      <c r="AKK101" s="1"/>
      <c r="AKL101" s="1"/>
      <c r="AKM101" s="1"/>
      <c r="AKN101" s="1"/>
      <c r="AKO101" s="1"/>
      <c r="AKP101" s="1"/>
      <c r="AKQ101" s="1"/>
      <c r="AKR101" s="1"/>
      <c r="AKS101" s="1"/>
      <c r="AKT101" s="1"/>
      <c r="AKU101" s="1"/>
      <c r="AKV101" s="1"/>
      <c r="AKW101" s="1"/>
      <c r="AKX101" s="1"/>
      <c r="AKY101" s="1"/>
      <c r="AKZ101" s="1"/>
      <c r="ALA101" s="1"/>
      <c r="ALB101" s="1"/>
      <c r="ALC101" s="1"/>
      <c r="ALD101" s="1"/>
      <c r="ALE101" s="1"/>
      <c r="ALF101" s="1"/>
      <c r="ALG101" s="1"/>
      <c r="ALH101" s="1"/>
      <c r="ALI101" s="1"/>
      <c r="ALJ101" s="1"/>
      <c r="ALK101" s="1"/>
      <c r="ALL101" s="1"/>
      <c r="ALM101" s="1"/>
      <c r="ALN101" s="1"/>
      <c r="ALO101" s="1"/>
      <c r="ALP101" s="1"/>
      <c r="ALQ101" s="1"/>
      <c r="ALR101" s="1"/>
      <c r="ALS101" s="1"/>
      <c r="ALT101" s="1"/>
      <c r="ALU101" s="1"/>
      <c r="ALV101" s="1"/>
      <c r="ALW101" s="1"/>
      <c r="ALX101" s="1"/>
      <c r="ALY101" s="1"/>
      <c r="ALZ101" s="1"/>
      <c r="AMA101" s="1"/>
      <c r="AMB101" s="1"/>
      <c r="AMC101" s="1"/>
      <c r="AMD101" s="1"/>
      <c r="AME101" s="1"/>
      <c r="AMF101" s="1"/>
      <c r="AMG101" s="1"/>
      <c r="AMH101" s="1"/>
      <c r="AMI101" s="1"/>
      <c r="AMJ101" s="1"/>
      <c r="AMK101" s="1"/>
      <c r="AML101" s="1"/>
      <c r="AMM101" s="1"/>
      <c r="AMN101" s="1"/>
      <c r="AMO101" s="1"/>
      <c r="AMP101" s="1"/>
      <c r="AMQ101" s="1"/>
      <c r="AMR101" s="1"/>
      <c r="AMS101" s="1"/>
      <c r="AMT101" s="1"/>
      <c r="AMU101" s="1"/>
      <c r="AMV101" s="1"/>
      <c r="AMW101" s="1"/>
      <c r="AMX101" s="1"/>
      <c r="AMY101" s="1"/>
      <c r="AMZ101" s="1"/>
      <c r="ANA101" s="1"/>
      <c r="ANB101" s="1"/>
      <c r="ANC101" s="1"/>
      <c r="AND101" s="1"/>
      <c r="ANE101" s="1"/>
      <c r="ANF101" s="1"/>
      <c r="ANG101" s="1"/>
      <c r="ANH101" s="1"/>
      <c r="ANI101" s="1"/>
      <c r="ANJ101" s="1"/>
      <c r="ANK101" s="1"/>
      <c r="ANL101" s="1"/>
      <c r="ANM101" s="1"/>
      <c r="ANN101" s="1"/>
      <c r="ANO101" s="1"/>
      <c r="ANP101" s="1"/>
      <c r="ANQ101" s="1"/>
      <c r="ANR101" s="1"/>
      <c r="ANS101" s="1"/>
      <c r="ANT101" s="1"/>
      <c r="ANU101" s="1"/>
      <c r="ANV101" s="1"/>
      <c r="ANW101" s="1"/>
      <c r="ANX101" s="1"/>
      <c r="ANY101" s="1"/>
      <c r="ANZ101" s="1"/>
      <c r="AOA101" s="1"/>
      <c r="AOB101" s="1"/>
      <c r="AOC101" s="1"/>
      <c r="AOD101" s="1"/>
      <c r="AOE101" s="1"/>
      <c r="AOF101" s="1"/>
      <c r="AOG101" s="1"/>
      <c r="AOH101" s="1"/>
      <c r="AOI101" s="1"/>
      <c r="AOJ101" s="1"/>
      <c r="AOK101" s="1"/>
      <c r="AOL101" s="1"/>
      <c r="AOM101" s="1"/>
      <c r="AON101" s="1"/>
      <c r="AOO101" s="1"/>
      <c r="AOP101" s="1"/>
      <c r="AOQ101" s="1"/>
      <c r="AOR101" s="1"/>
      <c r="AOS101" s="1"/>
      <c r="AOT101" s="1"/>
      <c r="AOU101" s="1"/>
      <c r="AOV101" s="1"/>
      <c r="AOW101" s="1"/>
      <c r="AOX101" s="1"/>
      <c r="AOY101" s="1"/>
      <c r="AOZ101" s="1"/>
      <c r="APA101" s="1"/>
      <c r="APB101" s="1"/>
      <c r="APC101" s="1"/>
      <c r="APD101" s="1"/>
      <c r="APE101" s="1"/>
      <c r="APF101" s="1"/>
      <c r="APG101" s="1"/>
      <c r="APH101" s="1"/>
      <c r="API101" s="1"/>
      <c r="APJ101" s="1"/>
      <c r="APK101" s="1"/>
      <c r="APL101" s="1"/>
      <c r="APM101" s="1"/>
      <c r="APN101" s="1"/>
      <c r="APO101" s="1"/>
      <c r="APP101" s="1"/>
      <c r="APQ101" s="1"/>
      <c r="APR101" s="1"/>
      <c r="APS101" s="1"/>
      <c r="APT101" s="1"/>
      <c r="APU101" s="1"/>
      <c r="APV101" s="1"/>
      <c r="APW101" s="1"/>
      <c r="APX101" s="1"/>
      <c r="APY101" s="1"/>
      <c r="APZ101" s="1"/>
      <c r="AQA101" s="1"/>
      <c r="AQB101" s="1"/>
      <c r="AQC101" s="1"/>
      <c r="AQD101" s="1"/>
      <c r="AQE101" s="1"/>
      <c r="AQF101" s="1"/>
      <c r="AQG101" s="1"/>
      <c r="AQH101" s="1"/>
      <c r="AQI101" s="1"/>
      <c r="AQJ101" s="1"/>
      <c r="AQK101" s="1"/>
      <c r="AQL101" s="1"/>
      <c r="AQM101" s="1"/>
      <c r="AQN101" s="1"/>
      <c r="AQO101" s="1"/>
      <c r="AQP101" s="1"/>
      <c r="AQQ101" s="1"/>
      <c r="AQR101" s="1"/>
      <c r="AQS101" s="1"/>
      <c r="AQT101" s="1"/>
      <c r="AQU101" s="1"/>
      <c r="AQV101" s="1"/>
      <c r="AQW101" s="1"/>
      <c r="AQX101" s="1"/>
      <c r="AQY101" s="1"/>
      <c r="AQZ101" s="1"/>
      <c r="ARA101" s="1"/>
      <c r="ARB101" s="1"/>
      <c r="ARC101" s="1"/>
      <c r="ARD101" s="1"/>
      <c r="ARE101" s="1"/>
      <c r="ARF101" s="1"/>
      <c r="ARG101" s="1"/>
      <c r="ARH101" s="1"/>
      <c r="ARI101" s="1"/>
      <c r="ARJ101" s="1"/>
      <c r="ARK101" s="1"/>
      <c r="ARL101" s="1"/>
      <c r="ARM101" s="1"/>
      <c r="ARN101" s="1"/>
      <c r="ARO101" s="1"/>
      <c r="ARP101" s="1"/>
      <c r="ARQ101" s="1"/>
      <c r="ARR101" s="1"/>
      <c r="ARS101" s="1"/>
      <c r="ART101" s="1"/>
      <c r="ARU101" s="1"/>
      <c r="ARV101" s="1"/>
      <c r="ARW101" s="1"/>
      <c r="ARX101" s="1"/>
      <c r="ARY101" s="1"/>
      <c r="ARZ101" s="1"/>
      <c r="ASA101" s="1"/>
      <c r="ASB101" s="1"/>
      <c r="ASC101" s="1"/>
      <c r="ASD101" s="1"/>
      <c r="ASE101" s="1"/>
      <c r="ASF101" s="1"/>
      <c r="ASG101" s="1"/>
      <c r="ASH101" s="1"/>
      <c r="ASI101" s="1"/>
      <c r="ASJ101" s="1"/>
      <c r="ASK101" s="1"/>
      <c r="ASL101" s="1"/>
      <c r="ASM101" s="1"/>
      <c r="ASN101" s="1"/>
      <c r="ASO101" s="1"/>
      <c r="ASP101" s="1"/>
      <c r="ASQ101" s="1"/>
      <c r="ASR101" s="1"/>
      <c r="ASS101" s="1"/>
      <c r="AST101" s="1"/>
      <c r="ASU101" s="1"/>
      <c r="ASV101" s="1"/>
      <c r="ASW101" s="1"/>
      <c r="ASX101" s="1"/>
      <c r="ASY101" s="1"/>
      <c r="ASZ101" s="1"/>
      <c r="ATA101" s="1"/>
      <c r="ATB101" s="1"/>
      <c r="ATC101" s="1"/>
      <c r="ATD101" s="1"/>
      <c r="ATE101" s="1"/>
      <c r="ATF101" s="1"/>
      <c r="ATG101" s="1"/>
      <c r="ATH101" s="1"/>
      <c r="ATI101" s="1"/>
      <c r="ATJ101" s="1"/>
      <c r="ATK101" s="1"/>
      <c r="ATL101" s="1"/>
      <c r="ATM101" s="1"/>
      <c r="ATN101" s="1"/>
      <c r="ATO101" s="1"/>
      <c r="ATP101" s="1"/>
      <c r="ATQ101" s="1"/>
      <c r="ATR101" s="1"/>
      <c r="ATS101" s="1"/>
      <c r="ATT101" s="1"/>
      <c r="ATU101" s="1"/>
      <c r="ATV101" s="1"/>
      <c r="ATW101" s="1"/>
      <c r="ATX101" s="1"/>
      <c r="ATY101" s="1"/>
      <c r="ATZ101" s="1"/>
      <c r="AUA101" s="1"/>
      <c r="AUB101" s="1"/>
      <c r="AUC101" s="1"/>
      <c r="AUD101" s="1"/>
      <c r="AUE101" s="1"/>
      <c r="AUF101" s="1"/>
      <c r="AUG101" s="1"/>
      <c r="AUH101" s="1"/>
      <c r="AUI101" s="1"/>
      <c r="AUJ101" s="1"/>
      <c r="AUK101" s="1"/>
      <c r="AUL101" s="1"/>
      <c r="AUM101" s="1"/>
      <c r="AUN101" s="1"/>
      <c r="AUO101" s="1"/>
      <c r="AUP101" s="1"/>
      <c r="AUQ101" s="1"/>
      <c r="AUR101" s="1"/>
      <c r="AUS101" s="1"/>
      <c r="AUT101" s="1"/>
      <c r="AUU101" s="1"/>
      <c r="AUV101" s="1"/>
      <c r="AUW101" s="1"/>
      <c r="AUX101" s="1"/>
      <c r="AUY101" s="1"/>
      <c r="AUZ101" s="1"/>
      <c r="AVA101" s="1"/>
      <c r="AVB101" s="1"/>
      <c r="AVC101" s="1"/>
      <c r="AVD101" s="1"/>
      <c r="AVE101" s="1"/>
      <c r="AVF101" s="1"/>
      <c r="AVG101" s="1"/>
      <c r="AVH101" s="1"/>
      <c r="AVI101" s="1"/>
      <c r="AVJ101" s="1"/>
      <c r="AVK101" s="1"/>
      <c r="AVL101" s="1"/>
      <c r="AVM101" s="1"/>
      <c r="AVN101" s="1"/>
      <c r="AVO101" s="1"/>
      <c r="AVP101" s="1"/>
      <c r="AVQ101" s="1"/>
      <c r="AVR101" s="1"/>
      <c r="AVS101" s="1"/>
      <c r="AVT101" s="1"/>
      <c r="AVU101" s="1"/>
      <c r="AVV101" s="1"/>
      <c r="AVW101" s="1"/>
      <c r="AVX101" s="1"/>
      <c r="AVY101" s="1"/>
      <c r="AVZ101" s="1"/>
      <c r="AWA101" s="1"/>
      <c r="AWB101" s="1"/>
      <c r="AWC101" s="1"/>
      <c r="AWD101" s="1"/>
      <c r="AWE101" s="1"/>
      <c r="AWF101" s="1"/>
      <c r="AWG101" s="1"/>
      <c r="AWH101" s="1"/>
      <c r="AWI101" s="1"/>
      <c r="AWJ101" s="1"/>
      <c r="AWK101" s="1"/>
      <c r="AWL101" s="1"/>
      <c r="AWM101" s="1"/>
      <c r="AWN101" s="1"/>
      <c r="AWO101" s="1"/>
      <c r="AWP101" s="1"/>
      <c r="AWQ101" s="1"/>
      <c r="AWR101" s="1"/>
      <c r="AWS101" s="1"/>
      <c r="AWT101" s="1"/>
      <c r="AWU101" s="1"/>
      <c r="AWV101" s="1"/>
      <c r="AWW101" s="1"/>
      <c r="AWX101" s="1"/>
      <c r="AWY101" s="1"/>
      <c r="AWZ101" s="1"/>
      <c r="AXA101" s="1"/>
      <c r="AXB101" s="1"/>
      <c r="AXC101" s="1"/>
      <c r="AXD101" s="1"/>
      <c r="AXE101" s="1"/>
      <c r="AXF101" s="1"/>
      <c r="AXG101" s="1"/>
      <c r="AXH101" s="1"/>
      <c r="AXI101" s="1"/>
      <c r="AXJ101" s="1"/>
      <c r="AXK101" s="1"/>
      <c r="AXL101" s="1"/>
      <c r="AXM101" s="1"/>
      <c r="AXN101" s="1"/>
      <c r="AXO101" s="1"/>
      <c r="AXP101" s="1"/>
      <c r="AXQ101" s="1"/>
      <c r="AXR101" s="1"/>
      <c r="AXS101" s="1"/>
      <c r="AXT101" s="1"/>
      <c r="AXU101" s="1"/>
      <c r="AXV101" s="1"/>
      <c r="AXW101" s="1"/>
      <c r="AXX101" s="1"/>
      <c r="AXY101" s="1"/>
      <c r="AXZ101" s="1"/>
      <c r="AYA101" s="1"/>
      <c r="AYB101" s="1"/>
      <c r="AYC101" s="1"/>
      <c r="AYD101" s="1"/>
      <c r="AYE101" s="1"/>
      <c r="AYF101" s="1"/>
      <c r="AYG101" s="1"/>
      <c r="AYH101" s="1"/>
      <c r="AYI101" s="1"/>
      <c r="AYJ101" s="1"/>
      <c r="AYK101" s="1"/>
      <c r="AYL101" s="1"/>
      <c r="AYM101" s="1"/>
      <c r="AYN101" s="1"/>
      <c r="AYO101" s="1"/>
      <c r="AYP101" s="1"/>
      <c r="AYQ101" s="1"/>
      <c r="AYR101" s="1"/>
      <c r="AYS101" s="1"/>
      <c r="AYT101" s="1"/>
      <c r="AYU101" s="1"/>
      <c r="AYV101" s="1"/>
      <c r="AYW101" s="1"/>
      <c r="AYX101" s="1"/>
      <c r="AYY101" s="1"/>
      <c r="AYZ101" s="1"/>
      <c r="AZA101" s="1"/>
      <c r="AZB101" s="1"/>
      <c r="AZC101" s="1"/>
      <c r="AZD101" s="1"/>
      <c r="AZE101" s="1"/>
      <c r="AZF101" s="1"/>
      <c r="AZG101" s="1"/>
      <c r="AZH101" s="1"/>
      <c r="AZI101" s="1"/>
      <c r="AZJ101" s="1"/>
      <c r="AZK101" s="1"/>
      <c r="AZL101" s="1"/>
      <c r="AZM101" s="1"/>
      <c r="AZN101" s="1"/>
      <c r="AZO101" s="1"/>
      <c r="AZP101" s="1"/>
      <c r="AZQ101" s="1"/>
      <c r="AZR101" s="1"/>
      <c r="AZS101" s="1"/>
      <c r="AZT101" s="1"/>
      <c r="AZU101" s="1"/>
      <c r="AZV101" s="1"/>
      <c r="AZW101" s="1"/>
      <c r="AZX101" s="1"/>
      <c r="AZY101" s="1"/>
      <c r="AZZ101" s="1"/>
      <c r="BAA101" s="1"/>
      <c r="BAB101" s="1"/>
      <c r="BAC101" s="1"/>
      <c r="BAD101" s="1"/>
      <c r="BAE101" s="1"/>
      <c r="BAF101" s="1"/>
      <c r="BAG101" s="1"/>
      <c r="BAH101" s="1"/>
      <c r="BAI101" s="1"/>
      <c r="BAJ101" s="1"/>
      <c r="BAK101" s="1"/>
      <c r="BAL101" s="1"/>
      <c r="BAM101" s="1"/>
      <c r="BAN101" s="1"/>
      <c r="BAO101" s="1"/>
      <c r="BAP101" s="1"/>
      <c r="BAQ101" s="1"/>
      <c r="BAR101" s="1"/>
      <c r="BAS101" s="1"/>
      <c r="BAT101" s="1"/>
      <c r="BAU101" s="1"/>
      <c r="BAV101" s="1"/>
      <c r="BAW101" s="1"/>
      <c r="BAX101" s="1"/>
      <c r="BAY101" s="1"/>
      <c r="BAZ101" s="1"/>
      <c r="BBA101" s="1"/>
      <c r="BBB101" s="1"/>
      <c r="BBC101" s="1"/>
      <c r="BBD101" s="1"/>
      <c r="BBE101" s="1"/>
      <c r="BBF101" s="1"/>
      <c r="BBG101" s="1"/>
      <c r="BBH101" s="1"/>
      <c r="BBI101" s="1"/>
      <c r="BBJ101" s="1"/>
      <c r="BBK101" s="1"/>
      <c r="BBL101" s="1"/>
      <c r="BBM101" s="1"/>
      <c r="BBN101" s="1"/>
      <c r="BBO101" s="1"/>
      <c r="BBP101" s="1"/>
      <c r="BBQ101" s="1"/>
      <c r="BBR101" s="1"/>
      <c r="BBS101" s="1"/>
      <c r="BBT101" s="1"/>
      <c r="BBU101" s="1"/>
      <c r="BBV101" s="1"/>
      <c r="BBW101" s="1"/>
      <c r="BBX101" s="1"/>
      <c r="BBY101" s="1"/>
      <c r="BBZ101" s="1"/>
      <c r="BCA101" s="1"/>
      <c r="BCB101" s="1"/>
      <c r="BCC101" s="1"/>
      <c r="BCD101" s="1"/>
      <c r="BCE101" s="1"/>
      <c r="BCF101" s="1"/>
      <c r="BCG101" s="1"/>
      <c r="BCH101" s="1"/>
      <c r="BCI101" s="1"/>
      <c r="BCJ101" s="1"/>
      <c r="BCK101" s="1"/>
      <c r="BCL101" s="1"/>
      <c r="BCM101" s="1"/>
      <c r="BCN101" s="1"/>
      <c r="BCO101" s="1"/>
      <c r="BCP101" s="1"/>
      <c r="BCQ101" s="1"/>
      <c r="BCR101" s="1"/>
      <c r="BCS101" s="1"/>
      <c r="BCT101" s="1"/>
      <c r="BCU101" s="1"/>
      <c r="BCV101" s="1"/>
      <c r="BCW101" s="1"/>
      <c r="BCX101" s="1"/>
      <c r="BCY101" s="1"/>
      <c r="BCZ101" s="1"/>
      <c r="BDA101" s="1"/>
      <c r="BDB101" s="1"/>
      <c r="BDC101" s="1"/>
      <c r="BDD101" s="1"/>
      <c r="BDE101" s="1"/>
      <c r="BDF101" s="1"/>
      <c r="BDG101" s="1"/>
      <c r="BDH101" s="1"/>
      <c r="BDI101" s="1"/>
      <c r="BDJ101" s="1"/>
      <c r="BDK101" s="1"/>
      <c r="BDL101" s="1"/>
      <c r="BDM101" s="1"/>
      <c r="BDN101" s="1"/>
      <c r="BDO101" s="1"/>
      <c r="BDP101" s="1"/>
      <c r="BDQ101" s="1"/>
      <c r="BDR101" s="1"/>
      <c r="BDS101" s="1"/>
      <c r="BDT101" s="1"/>
      <c r="BDU101" s="1"/>
      <c r="BDV101" s="1"/>
      <c r="BDW101" s="1"/>
      <c r="BDX101" s="1"/>
      <c r="BDY101" s="1"/>
      <c r="BDZ101" s="1"/>
      <c r="BEA101" s="1"/>
      <c r="BEB101" s="1"/>
      <c r="BEC101" s="1"/>
      <c r="BED101" s="1"/>
      <c r="BEE101" s="1"/>
      <c r="BEF101" s="1"/>
      <c r="BEG101" s="1"/>
      <c r="BEH101" s="1"/>
      <c r="BEI101" s="1"/>
      <c r="BEJ101" s="1"/>
      <c r="BEK101" s="1"/>
      <c r="BEL101" s="1"/>
      <c r="BEM101" s="1"/>
      <c r="BEN101" s="1"/>
      <c r="BEO101" s="1"/>
      <c r="BEP101" s="1"/>
      <c r="BEQ101" s="1"/>
      <c r="BER101" s="1"/>
      <c r="BES101" s="1"/>
      <c r="BET101" s="1"/>
      <c r="BEU101" s="1"/>
      <c r="BEV101" s="1"/>
      <c r="BEW101" s="1"/>
      <c r="BEX101" s="1"/>
      <c r="BEY101" s="1"/>
      <c r="BEZ101" s="1"/>
      <c r="BFA101" s="1"/>
      <c r="BFB101" s="1"/>
      <c r="BFC101" s="1"/>
      <c r="BFD101" s="1"/>
      <c r="BFE101" s="1"/>
      <c r="BFF101" s="1"/>
      <c r="BFG101" s="1"/>
      <c r="BFH101" s="1"/>
      <c r="BFI101" s="1"/>
      <c r="BFJ101" s="1"/>
      <c r="BFK101" s="1"/>
      <c r="BFL101" s="1"/>
      <c r="BFM101" s="1"/>
      <c r="BFN101" s="1"/>
      <c r="BFO101" s="1"/>
      <c r="BFP101" s="1"/>
      <c r="BFQ101" s="1"/>
      <c r="BFR101" s="1"/>
      <c r="BFS101" s="1"/>
      <c r="BFT101" s="1"/>
      <c r="BFU101" s="1"/>
      <c r="BFV101" s="1"/>
      <c r="BFW101" s="1"/>
      <c r="BFX101" s="1"/>
      <c r="BFY101" s="1"/>
      <c r="BFZ101" s="1"/>
      <c r="BGA101" s="1"/>
      <c r="BGB101" s="1"/>
      <c r="BGC101" s="1"/>
      <c r="BGD101" s="1"/>
      <c r="BGE101" s="1"/>
      <c r="BGF101" s="1"/>
      <c r="BGG101" s="1"/>
      <c r="BGH101" s="1"/>
      <c r="BGI101" s="1"/>
      <c r="BGJ101" s="1"/>
      <c r="BGK101" s="1"/>
      <c r="BGL101" s="1"/>
      <c r="BGM101" s="1"/>
      <c r="BGN101" s="1"/>
      <c r="BGO101" s="1"/>
      <c r="BGP101" s="1"/>
      <c r="BGQ101" s="1"/>
      <c r="BGR101" s="1"/>
      <c r="BGS101" s="1"/>
      <c r="BGT101" s="1"/>
      <c r="BGU101" s="1"/>
      <c r="BGV101" s="1"/>
      <c r="BGW101" s="1"/>
      <c r="BGX101" s="1"/>
      <c r="BGY101" s="1"/>
      <c r="BGZ101" s="1"/>
      <c r="BHA101" s="1"/>
      <c r="BHB101" s="1"/>
      <c r="BHC101" s="1"/>
      <c r="BHD101" s="1"/>
      <c r="BHE101" s="1"/>
      <c r="BHF101" s="1"/>
      <c r="BHG101" s="1"/>
      <c r="BHH101" s="1"/>
      <c r="BHI101" s="1"/>
      <c r="BHJ101" s="1"/>
      <c r="BHK101" s="1"/>
      <c r="BHL101" s="1"/>
      <c r="BHM101" s="1"/>
      <c r="BHN101" s="1"/>
      <c r="BHO101" s="1"/>
      <c r="BHP101" s="1"/>
      <c r="BHQ101" s="1"/>
      <c r="BHR101" s="1"/>
      <c r="BHS101" s="1"/>
      <c r="BHT101" s="1"/>
      <c r="BHU101" s="1"/>
      <c r="BHV101" s="1"/>
      <c r="BHW101" s="1"/>
      <c r="BHX101" s="1"/>
      <c r="BHY101" s="1"/>
      <c r="BHZ101" s="1"/>
      <c r="BIA101" s="1"/>
      <c r="BIB101" s="1"/>
      <c r="BIC101" s="1"/>
      <c r="BID101" s="1"/>
      <c r="BIE101" s="1"/>
      <c r="BIF101" s="1"/>
      <c r="BIG101" s="1"/>
      <c r="BIH101" s="1"/>
      <c r="BII101" s="1"/>
      <c r="BIJ101" s="1"/>
      <c r="BIK101" s="1"/>
      <c r="BIL101" s="1"/>
      <c r="BIM101" s="1"/>
      <c r="BIN101" s="1"/>
      <c r="BIO101" s="1"/>
      <c r="BIP101" s="1"/>
      <c r="BIQ101" s="1"/>
      <c r="BIR101" s="1"/>
      <c r="BIS101" s="1"/>
      <c r="BIT101" s="1"/>
      <c r="BIU101" s="1"/>
      <c r="BIV101" s="1"/>
      <c r="BIW101" s="1"/>
      <c r="BIX101" s="1"/>
      <c r="BIY101" s="1"/>
      <c r="BIZ101" s="1"/>
      <c r="BJA101" s="1"/>
      <c r="BJB101" s="1"/>
      <c r="BJC101" s="1"/>
      <c r="BJD101" s="1"/>
      <c r="BJE101" s="1"/>
      <c r="BJF101" s="1"/>
      <c r="BJG101" s="1"/>
      <c r="BJH101" s="1"/>
      <c r="BJI101" s="1"/>
      <c r="BJJ101" s="1"/>
      <c r="BJK101" s="1"/>
      <c r="BJL101" s="1"/>
      <c r="BJM101" s="1"/>
      <c r="BJN101" s="1"/>
      <c r="BJO101" s="1"/>
      <c r="BJP101" s="1"/>
      <c r="BJQ101" s="1"/>
      <c r="BJR101" s="1"/>
      <c r="BJS101" s="1"/>
      <c r="BJT101" s="1"/>
      <c r="BJU101" s="1"/>
      <c r="BJV101" s="1"/>
      <c r="BJW101" s="1"/>
      <c r="BJX101" s="1"/>
      <c r="BJY101" s="1"/>
      <c r="BJZ101" s="1"/>
      <c r="BKA101" s="1"/>
      <c r="BKB101" s="1"/>
      <c r="BKC101" s="1"/>
      <c r="BKD101" s="1"/>
      <c r="BKE101" s="1"/>
      <c r="BKF101" s="1"/>
      <c r="BKG101" s="1"/>
      <c r="BKH101" s="1"/>
      <c r="BKI101" s="1"/>
      <c r="BKJ101" s="1"/>
      <c r="BKK101" s="1"/>
      <c r="BKL101" s="1"/>
      <c r="BKM101" s="1"/>
      <c r="BKN101" s="1"/>
      <c r="BKO101" s="1"/>
      <c r="BKP101" s="1"/>
      <c r="BKQ101" s="1"/>
      <c r="BKR101" s="1"/>
      <c r="BKS101" s="1"/>
      <c r="BKT101" s="1"/>
      <c r="BKU101" s="1"/>
      <c r="BKV101" s="1"/>
      <c r="BKW101" s="1"/>
      <c r="BKX101" s="1"/>
      <c r="BKY101" s="1"/>
      <c r="BKZ101" s="1"/>
      <c r="BLA101" s="1"/>
      <c r="BLB101" s="1"/>
      <c r="BLC101" s="1"/>
      <c r="BLD101" s="1"/>
      <c r="BLE101" s="1"/>
      <c r="BLF101" s="1"/>
      <c r="BLG101" s="1"/>
      <c r="BLH101" s="1"/>
      <c r="BLI101" s="1"/>
      <c r="BLJ101" s="1"/>
      <c r="BLK101" s="1"/>
      <c r="BLL101" s="1"/>
      <c r="BLM101" s="1"/>
      <c r="BLN101" s="1"/>
      <c r="BLO101" s="1"/>
      <c r="BLP101" s="1"/>
      <c r="BLQ101" s="1"/>
      <c r="BLR101" s="1"/>
      <c r="BLS101" s="1"/>
      <c r="BLT101" s="1"/>
      <c r="BLU101" s="1"/>
      <c r="BLV101" s="1"/>
      <c r="BLW101" s="1"/>
      <c r="BLX101" s="1"/>
      <c r="BLY101" s="1"/>
      <c r="BLZ101" s="1"/>
      <c r="BMA101" s="1"/>
      <c r="BMB101" s="1"/>
      <c r="BMC101" s="1"/>
      <c r="BMD101" s="1"/>
      <c r="BME101" s="1"/>
      <c r="BMF101" s="1"/>
      <c r="BMG101" s="1"/>
      <c r="BMH101" s="1"/>
      <c r="BMI101" s="1"/>
      <c r="BMJ101" s="1"/>
      <c r="BMK101" s="1"/>
      <c r="BML101" s="1"/>
      <c r="BMM101" s="1"/>
      <c r="BMN101" s="1"/>
      <c r="BMO101" s="1"/>
      <c r="BMP101" s="1"/>
      <c r="BMQ101" s="1"/>
      <c r="BMR101" s="1"/>
      <c r="BMS101" s="1"/>
      <c r="BMT101" s="1"/>
      <c r="BMU101" s="1"/>
      <c r="BMV101" s="1"/>
      <c r="BMW101" s="1"/>
      <c r="BMX101" s="1"/>
      <c r="BMY101" s="1"/>
      <c r="BMZ101" s="1"/>
      <c r="BNA101" s="1"/>
      <c r="BNB101" s="1"/>
      <c r="BNC101" s="1"/>
      <c r="BND101" s="1"/>
      <c r="BNE101" s="1"/>
      <c r="BNF101" s="1"/>
      <c r="BNG101" s="1"/>
      <c r="BNH101" s="1"/>
      <c r="BNI101" s="1"/>
      <c r="BNJ101" s="1"/>
      <c r="BNK101" s="1"/>
      <c r="BNL101" s="1"/>
      <c r="BNM101" s="1"/>
      <c r="BNN101" s="1"/>
      <c r="BNO101" s="1"/>
      <c r="BNP101" s="1"/>
      <c r="BNQ101" s="1"/>
      <c r="BNR101" s="1"/>
      <c r="BNS101" s="1"/>
      <c r="BNT101" s="1"/>
      <c r="BNU101" s="1"/>
      <c r="BNV101" s="1"/>
      <c r="BNW101" s="1"/>
      <c r="BNX101" s="1"/>
      <c r="BNY101" s="1"/>
      <c r="BNZ101" s="1"/>
      <c r="BOA101" s="1"/>
      <c r="BOB101" s="1"/>
      <c r="BOC101" s="1"/>
      <c r="BOD101" s="1"/>
      <c r="BOE101" s="1"/>
      <c r="BOF101" s="1"/>
      <c r="BOG101" s="1"/>
      <c r="BOH101" s="1"/>
      <c r="BOI101" s="1"/>
      <c r="BOJ101" s="1"/>
      <c r="BOK101" s="1"/>
      <c r="BOL101" s="1"/>
      <c r="BOM101" s="1"/>
      <c r="BON101" s="1"/>
      <c r="BOO101" s="1"/>
      <c r="BOP101" s="1"/>
      <c r="BOQ101" s="1"/>
      <c r="BOR101" s="1"/>
      <c r="BOS101" s="1"/>
      <c r="BOT101" s="1"/>
      <c r="BOU101" s="1"/>
      <c r="BOV101" s="1"/>
      <c r="BOW101" s="1"/>
      <c r="BOX101" s="1"/>
      <c r="BOY101" s="1"/>
      <c r="BOZ101" s="1"/>
      <c r="BPA101" s="1"/>
      <c r="BPB101" s="1"/>
      <c r="BPC101" s="1"/>
      <c r="BPD101" s="1"/>
      <c r="BPE101" s="1"/>
      <c r="BPF101" s="1"/>
      <c r="BPG101" s="1"/>
      <c r="BPH101" s="1"/>
      <c r="BPI101" s="1"/>
      <c r="BPJ101" s="1"/>
      <c r="BPK101" s="1"/>
      <c r="BPL101" s="1"/>
      <c r="BPM101" s="1"/>
      <c r="BPN101" s="1"/>
      <c r="BPO101" s="1"/>
      <c r="BPP101" s="1"/>
      <c r="BPQ101" s="1"/>
      <c r="BPR101" s="1"/>
      <c r="BPS101" s="1"/>
      <c r="BPT101" s="1"/>
      <c r="BPU101" s="1"/>
      <c r="BPV101" s="1"/>
      <c r="BPW101" s="1"/>
      <c r="BPX101" s="1"/>
      <c r="BPY101" s="1"/>
      <c r="BPZ101" s="1"/>
      <c r="BQA101" s="1"/>
      <c r="BQB101" s="1"/>
      <c r="BQC101" s="1"/>
      <c r="BQD101" s="1"/>
      <c r="BQE101" s="1"/>
      <c r="BQF101" s="1"/>
      <c r="BQG101" s="1"/>
      <c r="BQH101" s="1"/>
      <c r="BQI101" s="1"/>
      <c r="BQJ101" s="1"/>
      <c r="BQK101" s="1"/>
      <c r="BQL101" s="1"/>
      <c r="BQM101" s="1"/>
      <c r="BQN101" s="1"/>
      <c r="BQO101" s="1"/>
      <c r="BQP101" s="1"/>
      <c r="BQQ101" s="1"/>
      <c r="BQR101" s="1"/>
      <c r="BQS101" s="1"/>
      <c r="BQT101" s="1"/>
      <c r="BQU101" s="1"/>
      <c r="BQV101" s="1"/>
      <c r="BQW101" s="1"/>
      <c r="BQX101" s="1"/>
      <c r="BQY101" s="1"/>
      <c r="BQZ101" s="1"/>
      <c r="BRA101" s="1"/>
      <c r="BRB101" s="1"/>
      <c r="BRC101" s="1"/>
      <c r="BRD101" s="1"/>
      <c r="BRE101" s="1"/>
      <c r="BRF101" s="1"/>
      <c r="BRG101" s="1"/>
      <c r="BRH101" s="1"/>
      <c r="BRI101" s="1"/>
      <c r="BRJ101" s="1"/>
      <c r="BRK101" s="1"/>
      <c r="BRL101" s="1"/>
      <c r="BRM101" s="1"/>
      <c r="BRN101" s="1"/>
      <c r="BRO101" s="1"/>
      <c r="BRP101" s="1"/>
      <c r="BRQ101" s="1"/>
      <c r="BRR101" s="1"/>
      <c r="BRS101" s="1"/>
      <c r="BRT101" s="1"/>
      <c r="BRU101" s="1"/>
      <c r="BRV101" s="1"/>
      <c r="BRW101" s="1"/>
      <c r="BRX101" s="1"/>
      <c r="BRY101" s="1"/>
      <c r="BRZ101" s="1"/>
      <c r="BSA101" s="1"/>
      <c r="BSB101" s="1"/>
      <c r="BSC101" s="1"/>
      <c r="BSD101" s="1"/>
      <c r="BSE101" s="1"/>
      <c r="BSF101" s="1"/>
      <c r="BSG101" s="1"/>
      <c r="BSH101" s="1"/>
      <c r="BSI101" s="1"/>
      <c r="BSJ101" s="1"/>
      <c r="BSK101" s="1"/>
      <c r="BSL101" s="1"/>
      <c r="BSM101" s="1"/>
      <c r="BSN101" s="1"/>
      <c r="BSO101" s="1"/>
      <c r="BSP101" s="1"/>
      <c r="BSQ101" s="1"/>
      <c r="BSR101" s="1"/>
      <c r="BSS101" s="1"/>
      <c r="BST101" s="1"/>
      <c r="BSU101" s="1"/>
      <c r="BSV101" s="1"/>
      <c r="BSW101" s="1"/>
      <c r="BSX101" s="1"/>
      <c r="BSY101" s="1"/>
      <c r="BSZ101" s="1"/>
      <c r="BTA101" s="1"/>
      <c r="BTB101" s="1"/>
      <c r="BTC101" s="1"/>
      <c r="BTD101" s="1"/>
      <c r="BTE101" s="1"/>
      <c r="BTF101" s="1"/>
      <c r="BTG101" s="1"/>
      <c r="BTH101" s="1"/>
      <c r="BTI101" s="1"/>
      <c r="BTJ101" s="1"/>
      <c r="BTK101" s="1"/>
      <c r="BTL101" s="1"/>
      <c r="BTM101" s="1"/>
      <c r="BTN101" s="1"/>
      <c r="BTO101" s="1"/>
      <c r="BTP101" s="1"/>
      <c r="BTQ101" s="1"/>
      <c r="BTR101" s="1"/>
      <c r="BTS101" s="1"/>
      <c r="BTT101" s="1"/>
      <c r="BTU101" s="1"/>
      <c r="BTV101" s="1"/>
      <c r="BTW101" s="1"/>
      <c r="BTX101" s="1"/>
      <c r="BTY101" s="1"/>
      <c r="BTZ101" s="1"/>
      <c r="BUA101" s="1"/>
      <c r="BUB101" s="1"/>
      <c r="BUC101" s="1"/>
      <c r="BUD101" s="1"/>
      <c r="BUE101" s="1"/>
      <c r="BUF101" s="1"/>
      <c r="BUG101" s="1"/>
      <c r="BUH101" s="1"/>
      <c r="BUI101" s="1"/>
      <c r="BUJ101" s="1"/>
      <c r="BUK101" s="1"/>
      <c r="BUL101" s="1"/>
      <c r="BUM101" s="1"/>
      <c r="BUN101" s="1"/>
      <c r="BUO101" s="1"/>
      <c r="BUP101" s="1"/>
      <c r="BUQ101" s="1"/>
      <c r="BUR101" s="1"/>
      <c r="BUS101" s="1"/>
      <c r="BUT101" s="1"/>
      <c r="BUU101" s="1"/>
      <c r="BUV101" s="1"/>
      <c r="BUW101" s="1"/>
      <c r="BUX101" s="1"/>
      <c r="BUY101" s="1"/>
      <c r="BUZ101" s="1"/>
      <c r="BVA101" s="1"/>
      <c r="BVB101" s="1"/>
      <c r="BVC101" s="1"/>
      <c r="BVD101" s="1"/>
      <c r="BVE101" s="1"/>
      <c r="BVF101" s="1"/>
      <c r="BVG101" s="1"/>
      <c r="BVH101" s="1"/>
      <c r="BVI101" s="1"/>
      <c r="BVJ101" s="1"/>
      <c r="BVK101" s="1"/>
      <c r="BVL101" s="1"/>
      <c r="BVM101" s="1"/>
      <c r="BVN101" s="1"/>
      <c r="BVO101" s="1"/>
      <c r="BVP101" s="1"/>
      <c r="BVQ101" s="1"/>
      <c r="BVR101" s="1"/>
      <c r="BVS101" s="1"/>
      <c r="BVT101" s="1"/>
      <c r="BVU101" s="1"/>
      <c r="BVV101" s="1"/>
      <c r="BVW101" s="1"/>
      <c r="BVX101" s="1"/>
      <c r="BVY101" s="1"/>
      <c r="BVZ101" s="1"/>
      <c r="BWA101" s="1"/>
      <c r="BWB101" s="1"/>
      <c r="BWC101" s="1"/>
      <c r="BWD101" s="1"/>
      <c r="BWE101" s="1"/>
      <c r="BWF101" s="1"/>
      <c r="BWG101" s="1"/>
      <c r="BWH101" s="1"/>
      <c r="BWI101" s="1"/>
      <c r="BWJ101" s="1"/>
      <c r="BWK101" s="1"/>
      <c r="BWL101" s="1"/>
      <c r="BWM101" s="1"/>
      <c r="BWN101" s="1"/>
      <c r="BWO101" s="1"/>
      <c r="BWP101" s="1"/>
      <c r="BWQ101" s="1"/>
      <c r="BWR101" s="1"/>
      <c r="BWS101" s="1"/>
      <c r="BWT101" s="1"/>
      <c r="BWU101" s="1"/>
      <c r="BWV101" s="1"/>
      <c r="BWW101" s="1"/>
      <c r="BWX101" s="1"/>
      <c r="BWY101" s="1"/>
      <c r="BWZ101" s="1"/>
      <c r="BXA101" s="1"/>
      <c r="BXB101" s="1"/>
      <c r="BXC101" s="1"/>
      <c r="BXD101" s="1"/>
      <c r="BXE101" s="1"/>
      <c r="BXF101" s="1"/>
      <c r="BXG101" s="1"/>
      <c r="BXH101" s="1"/>
      <c r="BXI101" s="1"/>
      <c r="BXJ101" s="1"/>
      <c r="BXK101" s="1"/>
      <c r="BXL101" s="1"/>
      <c r="BXM101" s="1"/>
      <c r="BXN101" s="1"/>
      <c r="BXO101" s="1"/>
      <c r="BXP101" s="1"/>
      <c r="BXQ101" s="1"/>
      <c r="BXR101" s="1"/>
      <c r="BXS101" s="1"/>
      <c r="BXT101" s="1"/>
      <c r="BXU101" s="1"/>
      <c r="BXV101" s="1"/>
      <c r="BXW101" s="1"/>
      <c r="BXX101" s="1"/>
      <c r="BXY101" s="1"/>
      <c r="BXZ101" s="1"/>
      <c r="BYA101" s="1"/>
      <c r="BYB101" s="1"/>
      <c r="BYC101" s="1"/>
      <c r="BYD101" s="1"/>
      <c r="BYE101" s="1"/>
      <c r="BYF101" s="1"/>
      <c r="BYG101" s="1"/>
      <c r="BYH101" s="1"/>
      <c r="BYI101" s="1"/>
      <c r="BYJ101" s="1"/>
      <c r="BYK101" s="1"/>
      <c r="BYL101" s="1"/>
      <c r="BYM101" s="1"/>
      <c r="BYN101" s="1"/>
      <c r="BYO101" s="1"/>
      <c r="BYP101" s="1"/>
      <c r="BYQ101" s="1"/>
      <c r="BYR101" s="1"/>
      <c r="BYS101" s="1"/>
      <c r="BYT101" s="1"/>
      <c r="BYU101" s="1"/>
      <c r="BYV101" s="1"/>
      <c r="BYW101" s="1"/>
      <c r="BYX101" s="1"/>
      <c r="BYY101" s="1"/>
      <c r="BYZ101" s="1"/>
      <c r="BZA101" s="1"/>
      <c r="BZB101" s="1"/>
      <c r="BZC101" s="1"/>
      <c r="BZD101" s="1"/>
      <c r="BZE101" s="1"/>
      <c r="BZF101" s="1"/>
      <c r="BZG101" s="1"/>
      <c r="BZH101" s="1"/>
      <c r="BZI101" s="1"/>
      <c r="BZJ101" s="1"/>
      <c r="BZK101" s="1"/>
      <c r="BZL101" s="1"/>
      <c r="BZM101" s="1"/>
      <c r="BZN101" s="1"/>
      <c r="BZO101" s="1"/>
      <c r="BZP101" s="1"/>
      <c r="BZQ101" s="1"/>
      <c r="BZR101" s="1"/>
      <c r="BZS101" s="1"/>
      <c r="BZT101" s="1"/>
      <c r="BZU101" s="1"/>
      <c r="BZV101" s="1"/>
      <c r="BZW101" s="1"/>
      <c r="BZX101" s="1"/>
      <c r="BZY101" s="1"/>
      <c r="BZZ101" s="1"/>
      <c r="CAA101" s="1"/>
      <c r="CAB101" s="1"/>
      <c r="CAC101" s="1"/>
      <c r="CAD101" s="1"/>
      <c r="CAE101" s="1"/>
      <c r="CAF101" s="1"/>
      <c r="CAG101" s="1"/>
      <c r="CAH101" s="1"/>
      <c r="CAI101" s="1"/>
      <c r="CAJ101" s="1"/>
      <c r="CAK101" s="1"/>
      <c r="CAL101" s="1"/>
      <c r="CAM101" s="1"/>
      <c r="CAN101" s="1"/>
      <c r="CAO101" s="1"/>
      <c r="CAP101" s="1"/>
      <c r="CAQ101" s="1"/>
      <c r="CAR101" s="1"/>
      <c r="CAS101" s="1"/>
      <c r="CAT101" s="1"/>
      <c r="CAU101" s="1"/>
      <c r="CAV101" s="1"/>
      <c r="CAW101" s="1"/>
      <c r="CAX101" s="1"/>
      <c r="CAY101" s="1"/>
      <c r="CAZ101" s="1"/>
      <c r="CBA101" s="1"/>
      <c r="CBB101" s="1"/>
      <c r="CBC101" s="1"/>
      <c r="CBD101" s="1"/>
      <c r="CBE101" s="1"/>
      <c r="CBF101" s="1"/>
      <c r="CBG101" s="1"/>
      <c r="CBH101" s="1"/>
      <c r="CBI101" s="1"/>
      <c r="CBJ101" s="1"/>
      <c r="CBK101" s="1"/>
      <c r="CBL101" s="1"/>
      <c r="CBM101" s="1"/>
      <c r="CBN101" s="1"/>
      <c r="CBO101" s="1"/>
      <c r="CBP101" s="1"/>
      <c r="CBQ101" s="1"/>
      <c r="CBR101" s="1"/>
      <c r="CBS101" s="1"/>
      <c r="CBT101" s="1"/>
      <c r="CBU101" s="1"/>
      <c r="CBV101" s="1"/>
      <c r="CBW101" s="1"/>
      <c r="CBX101" s="1"/>
      <c r="CBY101" s="1"/>
      <c r="CBZ101" s="1"/>
      <c r="CCA101" s="1"/>
      <c r="CCB101" s="1"/>
      <c r="CCC101" s="1"/>
      <c r="CCD101" s="1"/>
      <c r="CCE101" s="1"/>
      <c r="CCF101" s="1"/>
      <c r="CCG101" s="1"/>
      <c r="CCH101" s="1"/>
      <c r="CCI101" s="1"/>
      <c r="CCJ101" s="1"/>
      <c r="CCK101" s="1"/>
      <c r="CCL101" s="1"/>
      <c r="CCM101" s="1"/>
      <c r="CCN101" s="1"/>
      <c r="CCO101" s="1"/>
      <c r="CCP101" s="1"/>
      <c r="CCQ101" s="1"/>
      <c r="CCR101" s="1"/>
      <c r="CCS101" s="1"/>
      <c r="CCT101" s="1"/>
      <c r="CCU101" s="1"/>
      <c r="CCV101" s="1"/>
      <c r="CCW101" s="1"/>
      <c r="CCX101" s="1"/>
      <c r="CCY101" s="1"/>
      <c r="CCZ101" s="1"/>
      <c r="CDA101" s="1"/>
      <c r="CDB101" s="1"/>
      <c r="CDC101" s="1"/>
      <c r="CDD101" s="1"/>
      <c r="CDE101" s="1"/>
      <c r="CDF101" s="1"/>
      <c r="CDG101" s="1"/>
      <c r="CDH101" s="1"/>
      <c r="CDI101" s="1"/>
      <c r="CDJ101" s="1"/>
      <c r="CDK101" s="1"/>
      <c r="CDL101" s="1"/>
      <c r="CDM101" s="1"/>
      <c r="CDN101" s="1"/>
      <c r="CDO101" s="1"/>
      <c r="CDP101" s="1"/>
      <c r="CDQ101" s="1"/>
      <c r="CDR101" s="1"/>
      <c r="CDS101" s="1"/>
      <c r="CDT101" s="1"/>
      <c r="CDU101" s="1"/>
      <c r="CDV101" s="1"/>
      <c r="CDW101" s="1"/>
      <c r="CDX101" s="1"/>
      <c r="CDY101" s="1"/>
      <c r="CDZ101" s="1"/>
      <c r="CEA101" s="1"/>
      <c r="CEB101" s="1"/>
      <c r="CEC101" s="1"/>
      <c r="CED101" s="1"/>
      <c r="CEE101" s="1"/>
      <c r="CEF101" s="1"/>
      <c r="CEG101" s="1"/>
      <c r="CEH101" s="1"/>
      <c r="CEI101" s="1"/>
      <c r="CEJ101" s="1"/>
      <c r="CEK101" s="1"/>
      <c r="CEL101" s="1"/>
      <c r="CEM101" s="1"/>
      <c r="CEN101" s="1"/>
      <c r="CEO101" s="1"/>
      <c r="CEP101" s="1"/>
      <c r="CEQ101" s="1"/>
      <c r="CER101" s="1"/>
      <c r="CES101" s="1"/>
      <c r="CET101" s="1"/>
      <c r="CEU101" s="1"/>
      <c r="CEV101" s="1"/>
      <c r="CEW101" s="1"/>
      <c r="CEX101" s="1"/>
      <c r="CEY101" s="1"/>
      <c r="CEZ101" s="1"/>
      <c r="CFA101" s="1"/>
      <c r="CFB101" s="1"/>
      <c r="CFC101" s="1"/>
      <c r="CFD101" s="1"/>
      <c r="CFE101" s="1"/>
      <c r="CFF101" s="1"/>
      <c r="CFG101" s="1"/>
      <c r="CFH101" s="1"/>
      <c r="CFI101" s="1"/>
      <c r="CFJ101" s="1"/>
      <c r="CFK101" s="1"/>
      <c r="CFL101" s="1"/>
      <c r="CFM101" s="1"/>
      <c r="CFN101" s="1"/>
      <c r="CFO101" s="1"/>
      <c r="CFP101" s="1"/>
      <c r="CFQ101" s="1"/>
      <c r="CFR101" s="1"/>
      <c r="CFS101" s="1"/>
      <c r="CFT101" s="1"/>
      <c r="CFU101" s="1"/>
      <c r="CFV101" s="1"/>
      <c r="CFW101" s="1"/>
      <c r="CFX101" s="1"/>
      <c r="CFY101" s="1"/>
      <c r="CFZ101" s="1"/>
      <c r="CGA101" s="1"/>
      <c r="CGB101" s="1"/>
      <c r="CGC101" s="1"/>
      <c r="CGD101" s="1"/>
      <c r="CGE101" s="1"/>
      <c r="CGF101" s="1"/>
      <c r="CGG101" s="1"/>
      <c r="CGH101" s="1"/>
      <c r="CGI101" s="1"/>
      <c r="CGJ101" s="1"/>
      <c r="CGK101" s="1"/>
      <c r="CGL101" s="1"/>
      <c r="CGM101" s="1"/>
      <c r="CGN101" s="1"/>
      <c r="CGO101" s="1"/>
      <c r="CGP101" s="1"/>
      <c r="CGQ101" s="1"/>
      <c r="CGR101" s="1"/>
      <c r="CGS101" s="1"/>
      <c r="CGT101" s="1"/>
      <c r="CGU101" s="1"/>
      <c r="CGV101" s="1"/>
      <c r="CGW101" s="1"/>
      <c r="CGX101" s="1"/>
      <c r="CGY101" s="1"/>
      <c r="CGZ101" s="1"/>
      <c r="CHA101" s="1"/>
      <c r="CHB101" s="1"/>
      <c r="CHC101" s="1"/>
      <c r="CHD101" s="1"/>
      <c r="CHE101" s="1"/>
      <c r="CHF101" s="1"/>
      <c r="CHG101" s="1"/>
      <c r="CHH101" s="1"/>
      <c r="CHI101" s="1"/>
      <c r="CHJ101" s="1"/>
      <c r="CHK101" s="1"/>
      <c r="CHL101" s="1"/>
      <c r="CHM101" s="1"/>
      <c r="CHN101" s="1"/>
      <c r="CHO101" s="1"/>
      <c r="CHP101" s="1"/>
      <c r="CHQ101" s="1"/>
      <c r="CHR101" s="1"/>
      <c r="CHS101" s="1"/>
      <c r="CHT101" s="1"/>
      <c r="CHU101" s="1"/>
      <c r="CHV101" s="1"/>
      <c r="CHW101" s="1"/>
      <c r="CHX101" s="1"/>
      <c r="CHY101" s="1"/>
      <c r="CHZ101" s="1"/>
      <c r="CIA101" s="1"/>
      <c r="CIB101" s="1"/>
      <c r="CIC101" s="1"/>
      <c r="CID101" s="1"/>
      <c r="CIE101" s="1"/>
      <c r="CIF101" s="1"/>
      <c r="CIG101" s="1"/>
      <c r="CIH101" s="1"/>
      <c r="CII101" s="1"/>
      <c r="CIJ101" s="1"/>
      <c r="CIK101" s="1"/>
      <c r="CIL101" s="1"/>
      <c r="CIM101" s="1"/>
      <c r="CIN101" s="1"/>
      <c r="CIO101" s="1"/>
      <c r="CIP101" s="1"/>
      <c r="CIQ101" s="1"/>
      <c r="CIR101" s="1"/>
      <c r="CIS101" s="1"/>
      <c r="CIT101" s="1"/>
      <c r="CIU101" s="1"/>
      <c r="CIV101" s="1"/>
      <c r="CIW101" s="1"/>
      <c r="CIX101" s="1"/>
      <c r="CIY101" s="1"/>
      <c r="CIZ101" s="1"/>
      <c r="CJA101" s="1"/>
      <c r="CJB101" s="1"/>
      <c r="CJC101" s="1"/>
      <c r="CJD101" s="1"/>
      <c r="CJE101" s="1"/>
      <c r="CJF101" s="1"/>
      <c r="CJG101" s="1"/>
      <c r="CJH101" s="1"/>
      <c r="CJI101" s="1"/>
      <c r="CJJ101" s="1"/>
      <c r="CJK101" s="1"/>
      <c r="CJL101" s="1"/>
      <c r="CJM101" s="1"/>
      <c r="CJN101" s="1"/>
      <c r="CJO101" s="1"/>
      <c r="CJP101" s="1"/>
      <c r="CJQ101" s="1"/>
      <c r="CJR101" s="1"/>
      <c r="CJS101" s="1"/>
      <c r="CJT101" s="1"/>
      <c r="CJU101" s="1"/>
      <c r="CJV101" s="1"/>
      <c r="CJW101" s="1"/>
      <c r="CJX101" s="1"/>
      <c r="CJY101" s="1"/>
      <c r="CJZ101" s="1"/>
      <c r="CKA101" s="1"/>
      <c r="CKB101" s="1"/>
      <c r="CKC101" s="1"/>
      <c r="CKD101" s="1"/>
      <c r="CKE101" s="1"/>
      <c r="CKF101" s="1"/>
      <c r="CKG101" s="1"/>
      <c r="CKH101" s="1"/>
      <c r="CKI101" s="1"/>
      <c r="CKJ101" s="1"/>
      <c r="CKK101" s="1"/>
      <c r="CKL101" s="1"/>
      <c r="CKM101" s="1"/>
      <c r="CKN101" s="1"/>
      <c r="CKO101" s="1"/>
      <c r="CKP101" s="1"/>
      <c r="CKQ101" s="1"/>
      <c r="CKR101" s="1"/>
      <c r="CKS101" s="1"/>
      <c r="CKT101" s="1"/>
      <c r="CKU101" s="1"/>
      <c r="CKV101" s="1"/>
      <c r="CKW101" s="1"/>
      <c r="CKX101" s="1"/>
      <c r="CKY101" s="1"/>
      <c r="CKZ101" s="1"/>
      <c r="CLA101" s="1"/>
      <c r="CLB101" s="1"/>
      <c r="CLC101" s="1"/>
      <c r="CLD101" s="1"/>
      <c r="CLE101" s="1"/>
      <c r="CLF101" s="1"/>
      <c r="CLG101" s="1"/>
      <c r="CLH101" s="1"/>
      <c r="CLI101" s="1"/>
      <c r="CLJ101" s="1"/>
      <c r="CLK101" s="1"/>
      <c r="CLL101" s="1"/>
      <c r="CLM101" s="1"/>
      <c r="CLN101" s="1"/>
      <c r="CLO101" s="1"/>
      <c r="CLP101" s="1"/>
      <c r="CLQ101" s="1"/>
      <c r="CLR101" s="1"/>
      <c r="CLS101" s="1"/>
      <c r="CLT101" s="1"/>
      <c r="CLU101" s="1"/>
      <c r="CLV101" s="1"/>
      <c r="CLW101" s="1"/>
      <c r="CLX101" s="1"/>
      <c r="CLY101" s="1"/>
      <c r="CLZ101" s="1"/>
      <c r="CMA101" s="1"/>
      <c r="CMB101" s="1"/>
      <c r="CMC101" s="1"/>
      <c r="CMD101" s="1"/>
      <c r="CME101" s="1"/>
      <c r="CMF101" s="1"/>
      <c r="CMG101" s="1"/>
      <c r="CMH101" s="1"/>
      <c r="CMI101" s="1"/>
      <c r="CMJ101" s="1"/>
      <c r="CMK101" s="1"/>
      <c r="CML101" s="1"/>
      <c r="CMM101" s="1"/>
      <c r="CMN101" s="1"/>
      <c r="CMO101" s="1"/>
      <c r="CMP101" s="1"/>
      <c r="CMQ101" s="1"/>
      <c r="CMR101" s="1"/>
      <c r="CMS101" s="1"/>
      <c r="CMT101" s="1"/>
      <c r="CMU101" s="1"/>
      <c r="CMV101" s="1"/>
      <c r="CMW101" s="1"/>
      <c r="CMX101" s="1"/>
      <c r="CMY101" s="1"/>
      <c r="CMZ101" s="1"/>
      <c r="CNA101" s="1"/>
      <c r="CNB101" s="1"/>
      <c r="CNC101" s="1"/>
      <c r="CND101" s="1"/>
      <c r="CNE101" s="1"/>
      <c r="CNF101" s="1"/>
      <c r="CNG101" s="1"/>
      <c r="CNH101" s="1"/>
      <c r="CNI101" s="1"/>
      <c r="CNJ101" s="1"/>
      <c r="CNK101" s="1"/>
      <c r="CNL101" s="1"/>
      <c r="CNM101" s="1"/>
      <c r="CNN101" s="1"/>
      <c r="CNO101" s="1"/>
      <c r="CNP101" s="1"/>
      <c r="CNQ101" s="1"/>
      <c r="CNR101" s="1"/>
      <c r="CNS101" s="1"/>
      <c r="CNT101" s="1"/>
      <c r="CNU101" s="1"/>
      <c r="CNV101" s="1"/>
      <c r="CNW101" s="1"/>
      <c r="CNX101" s="1"/>
      <c r="CNY101" s="1"/>
      <c r="CNZ101" s="1"/>
      <c r="COA101" s="1"/>
      <c r="COB101" s="1"/>
      <c r="COC101" s="1"/>
      <c r="COD101" s="1"/>
      <c r="COE101" s="1"/>
      <c r="COF101" s="1"/>
      <c r="COG101" s="1"/>
      <c r="COH101" s="1"/>
      <c r="COI101" s="1"/>
      <c r="COJ101" s="1"/>
      <c r="COK101" s="1"/>
      <c r="COL101" s="1"/>
      <c r="COM101" s="1"/>
      <c r="CON101" s="1"/>
      <c r="COO101" s="1"/>
      <c r="COP101" s="1"/>
      <c r="COQ101" s="1"/>
      <c r="COR101" s="1"/>
      <c r="COS101" s="1"/>
      <c r="COT101" s="1"/>
      <c r="COU101" s="1"/>
      <c r="COV101" s="1"/>
      <c r="COW101" s="1"/>
      <c r="COX101" s="1"/>
      <c r="COY101" s="1"/>
      <c r="COZ101" s="1"/>
      <c r="CPA101" s="1"/>
      <c r="CPB101" s="1"/>
      <c r="CPC101" s="1"/>
      <c r="CPD101" s="1"/>
      <c r="CPE101" s="1"/>
      <c r="CPF101" s="1"/>
      <c r="CPG101" s="1"/>
      <c r="CPH101" s="1"/>
      <c r="CPI101" s="1"/>
      <c r="CPJ101" s="1"/>
      <c r="CPK101" s="1"/>
      <c r="CPL101" s="1"/>
      <c r="CPM101" s="1"/>
      <c r="CPN101" s="1"/>
      <c r="CPO101" s="1"/>
      <c r="CPP101" s="1"/>
      <c r="CPQ101" s="1"/>
      <c r="CPR101" s="1"/>
      <c r="CPS101" s="1"/>
      <c r="CPT101" s="1"/>
      <c r="CPU101" s="1"/>
      <c r="CPV101" s="1"/>
      <c r="CPW101" s="1"/>
      <c r="CPX101" s="1"/>
      <c r="CPY101" s="1"/>
      <c r="CPZ101" s="1"/>
      <c r="CQA101" s="1"/>
      <c r="CQB101" s="1"/>
      <c r="CQC101" s="1"/>
      <c r="CQD101" s="1"/>
      <c r="CQE101" s="1"/>
      <c r="CQF101" s="1"/>
      <c r="CQG101" s="1"/>
      <c r="CQH101" s="1"/>
      <c r="CQI101" s="1"/>
      <c r="CQJ101" s="1"/>
      <c r="CQK101" s="1"/>
      <c r="CQL101" s="1"/>
      <c r="CQM101" s="1"/>
      <c r="CQN101" s="1"/>
      <c r="CQO101" s="1"/>
      <c r="CQP101" s="1"/>
      <c r="CQQ101" s="1"/>
      <c r="CQR101" s="1"/>
      <c r="CQS101" s="1"/>
      <c r="CQT101" s="1"/>
      <c r="CQU101" s="1"/>
      <c r="CQV101" s="1"/>
      <c r="CQW101" s="1"/>
      <c r="CQX101" s="1"/>
      <c r="CQY101" s="1"/>
      <c r="CQZ101" s="1"/>
      <c r="CRA101" s="1"/>
      <c r="CRB101" s="1"/>
      <c r="CRC101" s="1"/>
      <c r="CRD101" s="1"/>
      <c r="CRE101" s="1"/>
      <c r="CRF101" s="1"/>
      <c r="CRG101" s="1"/>
      <c r="CRH101" s="1"/>
      <c r="CRI101" s="1"/>
      <c r="CRJ101" s="1"/>
      <c r="CRK101" s="1"/>
      <c r="CRL101" s="1"/>
      <c r="CRM101" s="1"/>
      <c r="CRN101" s="1"/>
      <c r="CRO101" s="1"/>
      <c r="CRP101" s="1"/>
      <c r="CRQ101" s="1"/>
      <c r="CRR101" s="1"/>
      <c r="CRS101" s="1"/>
      <c r="CRT101" s="1"/>
      <c r="CRU101" s="1"/>
      <c r="CRV101" s="1"/>
      <c r="CRW101" s="1"/>
      <c r="CRX101" s="1"/>
      <c r="CRY101" s="1"/>
      <c r="CRZ101" s="1"/>
      <c r="CSA101" s="1"/>
      <c r="CSB101" s="1"/>
      <c r="CSC101" s="1"/>
      <c r="CSD101" s="1"/>
      <c r="CSE101" s="1"/>
      <c r="CSF101" s="1"/>
      <c r="CSG101" s="1"/>
      <c r="CSH101" s="1"/>
      <c r="CSI101" s="1"/>
      <c r="CSJ101" s="1"/>
      <c r="CSK101" s="1"/>
      <c r="CSL101" s="1"/>
      <c r="CSM101" s="1"/>
      <c r="CSN101" s="1"/>
      <c r="CSO101" s="1"/>
      <c r="CSP101" s="1"/>
      <c r="CSQ101" s="1"/>
      <c r="CSR101" s="1"/>
      <c r="CSS101" s="1"/>
      <c r="CST101" s="1"/>
      <c r="CSU101" s="1"/>
      <c r="CSV101" s="1"/>
      <c r="CSW101" s="1"/>
      <c r="CSX101" s="1"/>
      <c r="CSY101" s="1"/>
      <c r="CSZ101" s="1"/>
      <c r="CTA101" s="1"/>
      <c r="CTB101" s="1"/>
      <c r="CTC101" s="1"/>
      <c r="CTD101" s="1"/>
      <c r="CTE101" s="1"/>
      <c r="CTF101" s="1"/>
      <c r="CTG101" s="1"/>
      <c r="CTH101" s="1"/>
      <c r="CTI101" s="1"/>
      <c r="CTJ101" s="1"/>
      <c r="CTK101" s="1"/>
      <c r="CTL101" s="1"/>
      <c r="CTM101" s="1"/>
      <c r="CTN101" s="1"/>
      <c r="CTO101" s="1"/>
      <c r="CTP101" s="1"/>
      <c r="CTQ101" s="1"/>
      <c r="CTR101" s="1"/>
      <c r="CTS101" s="1"/>
      <c r="CTT101" s="1"/>
      <c r="CTU101" s="1"/>
      <c r="CTV101" s="1"/>
      <c r="CTW101" s="1"/>
      <c r="CTX101" s="1"/>
      <c r="CTY101" s="1"/>
      <c r="CTZ101" s="1"/>
      <c r="CUA101" s="1"/>
      <c r="CUB101" s="1"/>
      <c r="CUC101" s="1"/>
      <c r="CUD101" s="1"/>
      <c r="CUE101" s="1"/>
      <c r="CUF101" s="1"/>
      <c r="CUG101" s="1"/>
      <c r="CUH101" s="1"/>
      <c r="CUI101" s="1"/>
      <c r="CUJ101" s="1"/>
      <c r="CUK101" s="1"/>
      <c r="CUL101" s="1"/>
      <c r="CUM101" s="1"/>
      <c r="CUN101" s="1"/>
      <c r="CUO101" s="1"/>
      <c r="CUP101" s="1"/>
      <c r="CUQ101" s="1"/>
      <c r="CUR101" s="1"/>
      <c r="CUS101" s="1"/>
      <c r="CUT101" s="1"/>
      <c r="CUU101" s="1"/>
      <c r="CUV101" s="1"/>
      <c r="CUW101" s="1"/>
      <c r="CUX101" s="1"/>
      <c r="CUY101" s="1"/>
      <c r="CUZ101" s="1"/>
      <c r="CVA101" s="1"/>
      <c r="CVB101" s="1"/>
      <c r="CVC101" s="1"/>
      <c r="CVD101" s="1"/>
      <c r="CVE101" s="1"/>
      <c r="CVF101" s="1"/>
      <c r="CVG101" s="1"/>
      <c r="CVH101" s="1"/>
      <c r="CVI101" s="1"/>
      <c r="CVJ101" s="1"/>
      <c r="CVK101" s="1"/>
      <c r="CVL101" s="1"/>
      <c r="CVM101" s="1"/>
      <c r="CVN101" s="1"/>
      <c r="CVO101" s="1"/>
      <c r="CVP101" s="1"/>
      <c r="CVQ101" s="1"/>
      <c r="CVR101" s="1"/>
      <c r="CVS101" s="1"/>
      <c r="CVT101" s="1"/>
      <c r="CVU101" s="1"/>
      <c r="CVV101" s="1"/>
      <c r="CVW101" s="1"/>
      <c r="CVX101" s="1"/>
      <c r="CVY101" s="1"/>
      <c r="CVZ101" s="1"/>
      <c r="CWA101" s="1"/>
      <c r="CWB101" s="1"/>
      <c r="CWC101" s="1"/>
      <c r="CWD101" s="1"/>
      <c r="CWE101" s="1"/>
      <c r="CWF101" s="1"/>
      <c r="CWG101" s="1"/>
      <c r="CWH101" s="1"/>
      <c r="CWI101" s="1"/>
      <c r="CWJ101" s="1"/>
      <c r="CWK101" s="1"/>
      <c r="CWL101" s="1"/>
      <c r="CWM101" s="1"/>
      <c r="CWN101" s="1"/>
      <c r="CWO101" s="1"/>
      <c r="CWP101" s="1"/>
      <c r="CWQ101" s="1"/>
      <c r="CWR101" s="1"/>
      <c r="CWS101" s="1"/>
      <c r="CWT101" s="1"/>
      <c r="CWU101" s="1"/>
      <c r="CWV101" s="1"/>
      <c r="CWW101" s="1"/>
      <c r="CWX101" s="1"/>
      <c r="CWY101" s="1"/>
      <c r="CWZ101" s="1"/>
      <c r="CXA101" s="1"/>
      <c r="CXB101" s="1"/>
      <c r="CXC101" s="1"/>
      <c r="CXD101" s="1"/>
      <c r="CXE101" s="1"/>
      <c r="CXF101" s="1"/>
      <c r="CXG101" s="1"/>
      <c r="CXH101" s="1"/>
      <c r="CXI101" s="1"/>
      <c r="CXJ101" s="1"/>
      <c r="CXK101" s="1"/>
      <c r="CXL101" s="1"/>
      <c r="CXM101" s="1"/>
      <c r="CXN101" s="1"/>
      <c r="CXO101" s="1"/>
      <c r="CXP101" s="1"/>
      <c r="CXQ101" s="1"/>
      <c r="CXR101" s="1"/>
      <c r="CXS101" s="1"/>
      <c r="CXT101" s="1"/>
      <c r="CXU101" s="1"/>
      <c r="CXV101" s="1"/>
      <c r="CXW101" s="1"/>
      <c r="CXX101" s="1"/>
      <c r="CXY101" s="1"/>
      <c r="CXZ101" s="1"/>
      <c r="CYA101" s="1"/>
      <c r="CYB101" s="1"/>
      <c r="CYC101" s="1"/>
      <c r="CYD101" s="1"/>
      <c r="CYE101" s="1"/>
      <c r="CYF101" s="1"/>
      <c r="CYG101" s="1"/>
      <c r="CYH101" s="1"/>
      <c r="CYI101" s="1"/>
      <c r="CYJ101" s="1"/>
      <c r="CYK101" s="1"/>
      <c r="CYL101" s="1"/>
      <c r="CYM101" s="1"/>
      <c r="CYN101" s="1"/>
      <c r="CYO101" s="1"/>
      <c r="CYP101" s="1"/>
      <c r="CYQ101" s="1"/>
      <c r="CYR101" s="1"/>
      <c r="CYS101" s="1"/>
      <c r="CYT101" s="1"/>
      <c r="CYU101" s="1"/>
      <c r="CYV101" s="1"/>
      <c r="CYW101" s="1"/>
      <c r="CYX101" s="1"/>
      <c r="CYY101" s="1"/>
      <c r="CYZ101" s="1"/>
      <c r="CZA101" s="1"/>
      <c r="CZB101" s="1"/>
      <c r="CZC101" s="1"/>
      <c r="CZD101" s="1"/>
      <c r="CZE101" s="1"/>
      <c r="CZF101" s="1"/>
      <c r="CZG101" s="1"/>
      <c r="CZH101" s="1"/>
      <c r="CZI101" s="1"/>
      <c r="CZJ101" s="1"/>
      <c r="CZK101" s="1"/>
      <c r="CZL101" s="1"/>
      <c r="CZM101" s="1"/>
      <c r="CZN101" s="1"/>
      <c r="CZO101" s="1"/>
      <c r="CZP101" s="1"/>
      <c r="CZQ101" s="1"/>
      <c r="CZR101" s="1"/>
      <c r="CZS101" s="1"/>
      <c r="CZT101" s="1"/>
      <c r="CZU101" s="1"/>
      <c r="CZV101" s="1"/>
      <c r="CZW101" s="1"/>
      <c r="CZX101" s="1"/>
      <c r="CZY101" s="1"/>
      <c r="CZZ101" s="1"/>
      <c r="DAA101" s="1"/>
      <c r="DAB101" s="1"/>
      <c r="DAC101" s="1"/>
      <c r="DAD101" s="1"/>
      <c r="DAE101" s="1"/>
      <c r="DAF101" s="1"/>
      <c r="DAG101" s="1"/>
      <c r="DAH101" s="1"/>
      <c r="DAI101" s="1"/>
      <c r="DAJ101" s="1"/>
      <c r="DAK101" s="1"/>
      <c r="DAL101" s="1"/>
      <c r="DAM101" s="1"/>
      <c r="DAN101" s="1"/>
      <c r="DAO101" s="1"/>
      <c r="DAP101" s="1"/>
      <c r="DAQ101" s="1"/>
      <c r="DAR101" s="1"/>
      <c r="DAS101" s="1"/>
      <c r="DAT101" s="1"/>
      <c r="DAU101" s="1"/>
      <c r="DAV101" s="1"/>
      <c r="DAW101" s="1"/>
      <c r="DAX101" s="1"/>
      <c r="DAY101" s="1"/>
      <c r="DAZ101" s="1"/>
      <c r="DBA101" s="1"/>
      <c r="DBB101" s="1"/>
      <c r="DBC101" s="1"/>
      <c r="DBD101" s="1"/>
      <c r="DBE101" s="1"/>
      <c r="DBF101" s="1"/>
      <c r="DBG101" s="1"/>
      <c r="DBH101" s="1"/>
      <c r="DBI101" s="1"/>
      <c r="DBJ101" s="1"/>
      <c r="DBK101" s="1"/>
      <c r="DBL101" s="1"/>
      <c r="DBM101" s="1"/>
      <c r="DBN101" s="1"/>
      <c r="DBO101" s="1"/>
      <c r="DBP101" s="1"/>
      <c r="DBQ101" s="1"/>
      <c r="DBR101" s="1"/>
      <c r="DBS101" s="1"/>
      <c r="DBT101" s="1"/>
      <c r="DBU101" s="1"/>
      <c r="DBV101" s="1"/>
      <c r="DBW101" s="1"/>
      <c r="DBX101" s="1"/>
      <c r="DBY101" s="1"/>
      <c r="DBZ101" s="1"/>
      <c r="DCA101" s="1"/>
      <c r="DCB101" s="1"/>
      <c r="DCC101" s="1"/>
      <c r="DCD101" s="1"/>
      <c r="DCE101" s="1"/>
      <c r="DCF101" s="1"/>
      <c r="DCG101" s="1"/>
      <c r="DCH101" s="1"/>
      <c r="DCI101" s="1"/>
      <c r="DCJ101" s="1"/>
      <c r="DCK101" s="1"/>
      <c r="DCL101" s="1"/>
      <c r="DCM101" s="1"/>
      <c r="DCN101" s="1"/>
      <c r="DCO101" s="1"/>
      <c r="DCP101" s="1"/>
      <c r="DCQ101" s="1"/>
      <c r="DCR101" s="1"/>
      <c r="DCS101" s="1"/>
      <c r="DCT101" s="1"/>
      <c r="DCU101" s="1"/>
      <c r="DCV101" s="1"/>
      <c r="DCW101" s="1"/>
      <c r="DCX101" s="1"/>
      <c r="DCY101" s="1"/>
      <c r="DCZ101" s="1"/>
      <c r="DDA101" s="1"/>
      <c r="DDB101" s="1"/>
      <c r="DDC101" s="1"/>
      <c r="DDD101" s="1"/>
      <c r="DDE101" s="1"/>
      <c r="DDF101" s="1"/>
      <c r="DDG101" s="1"/>
      <c r="DDH101" s="1"/>
      <c r="DDI101" s="1"/>
      <c r="DDJ101" s="1"/>
      <c r="DDK101" s="1"/>
      <c r="DDL101" s="1"/>
      <c r="DDM101" s="1"/>
      <c r="DDN101" s="1"/>
      <c r="DDO101" s="1"/>
      <c r="DDP101" s="1"/>
      <c r="DDQ101" s="1"/>
      <c r="DDR101" s="1"/>
      <c r="DDS101" s="1"/>
      <c r="DDT101" s="1"/>
      <c r="DDU101" s="1"/>
      <c r="DDV101" s="1"/>
      <c r="DDW101" s="1"/>
      <c r="DDX101" s="1"/>
      <c r="DDY101" s="1"/>
      <c r="DDZ101" s="1"/>
      <c r="DEA101" s="1"/>
      <c r="DEB101" s="1"/>
      <c r="DEC101" s="1"/>
      <c r="DED101" s="1"/>
      <c r="DEE101" s="1"/>
      <c r="DEF101" s="1"/>
      <c r="DEG101" s="1"/>
      <c r="DEH101" s="1"/>
      <c r="DEI101" s="1"/>
      <c r="DEJ101" s="1"/>
      <c r="DEK101" s="1"/>
      <c r="DEL101" s="1"/>
      <c r="DEM101" s="1"/>
      <c r="DEN101" s="1"/>
      <c r="DEO101" s="1"/>
      <c r="DEP101" s="1"/>
      <c r="DEQ101" s="1"/>
      <c r="DER101" s="1"/>
      <c r="DES101" s="1"/>
      <c r="DET101" s="1"/>
      <c r="DEU101" s="1"/>
      <c r="DEV101" s="1"/>
      <c r="DEW101" s="1"/>
      <c r="DEX101" s="1"/>
      <c r="DEY101" s="1"/>
      <c r="DEZ101" s="1"/>
      <c r="DFA101" s="1"/>
      <c r="DFB101" s="1"/>
      <c r="DFC101" s="1"/>
      <c r="DFD101" s="1"/>
      <c r="DFE101" s="1"/>
      <c r="DFF101" s="1"/>
      <c r="DFG101" s="1"/>
      <c r="DFH101" s="1"/>
      <c r="DFI101" s="1"/>
      <c r="DFJ101" s="1"/>
      <c r="DFK101" s="1"/>
      <c r="DFL101" s="1"/>
      <c r="DFM101" s="1"/>
      <c r="DFN101" s="1"/>
      <c r="DFO101" s="1"/>
      <c r="DFP101" s="1"/>
      <c r="DFQ101" s="1"/>
      <c r="DFR101" s="1"/>
      <c r="DFS101" s="1"/>
      <c r="DFT101" s="1"/>
      <c r="DFU101" s="1"/>
      <c r="DFV101" s="1"/>
      <c r="DFW101" s="1"/>
      <c r="DFX101" s="1"/>
      <c r="DFY101" s="1"/>
      <c r="DFZ101" s="1"/>
      <c r="DGA101" s="1"/>
      <c r="DGB101" s="1"/>
      <c r="DGC101" s="1"/>
      <c r="DGD101" s="1"/>
      <c r="DGE101" s="1"/>
      <c r="DGF101" s="1"/>
      <c r="DGG101" s="1"/>
      <c r="DGH101" s="1"/>
      <c r="DGI101" s="1"/>
      <c r="DGJ101" s="1"/>
      <c r="DGK101" s="1"/>
      <c r="DGL101" s="1"/>
      <c r="DGM101" s="1"/>
      <c r="DGN101" s="1"/>
      <c r="DGO101" s="1"/>
      <c r="DGP101" s="1"/>
      <c r="DGQ101" s="1"/>
      <c r="DGR101" s="1"/>
      <c r="DGS101" s="1"/>
      <c r="DGT101" s="1"/>
      <c r="DGU101" s="1"/>
      <c r="DGV101" s="1"/>
      <c r="DGW101" s="1"/>
      <c r="DGX101" s="1"/>
      <c r="DGY101" s="1"/>
      <c r="DGZ101" s="1"/>
      <c r="DHA101" s="1"/>
      <c r="DHB101" s="1"/>
      <c r="DHC101" s="1"/>
      <c r="DHD101" s="1"/>
      <c r="DHE101" s="1"/>
      <c r="DHF101" s="1"/>
      <c r="DHG101" s="1"/>
      <c r="DHH101" s="1"/>
      <c r="DHI101" s="1"/>
      <c r="DHJ101" s="1"/>
      <c r="DHK101" s="1"/>
      <c r="DHL101" s="1"/>
      <c r="DHM101" s="1"/>
      <c r="DHN101" s="1"/>
      <c r="DHO101" s="1"/>
      <c r="DHP101" s="1"/>
      <c r="DHQ101" s="1"/>
      <c r="DHR101" s="1"/>
      <c r="DHS101" s="1"/>
      <c r="DHT101" s="1"/>
      <c r="DHU101" s="1"/>
      <c r="DHV101" s="1"/>
      <c r="DHW101" s="1"/>
      <c r="DHX101" s="1"/>
      <c r="DHY101" s="1"/>
      <c r="DHZ101" s="1"/>
      <c r="DIA101" s="1"/>
      <c r="DIB101" s="1"/>
      <c r="DIC101" s="1"/>
      <c r="DID101" s="1"/>
      <c r="DIE101" s="1"/>
      <c r="DIF101" s="1"/>
      <c r="DIG101" s="1"/>
      <c r="DIH101" s="1"/>
      <c r="DII101" s="1"/>
      <c r="DIJ101" s="1"/>
      <c r="DIK101" s="1"/>
      <c r="DIL101" s="1"/>
      <c r="DIM101" s="1"/>
      <c r="DIN101" s="1"/>
      <c r="DIO101" s="1"/>
      <c r="DIP101" s="1"/>
      <c r="DIQ101" s="1"/>
      <c r="DIR101" s="1"/>
      <c r="DIS101" s="1"/>
      <c r="DIT101" s="1"/>
      <c r="DIU101" s="1"/>
      <c r="DIV101" s="1"/>
      <c r="DIW101" s="1"/>
      <c r="DIX101" s="1"/>
      <c r="DIY101" s="1"/>
      <c r="DIZ101" s="1"/>
      <c r="DJA101" s="1"/>
      <c r="DJB101" s="1"/>
      <c r="DJC101" s="1"/>
      <c r="DJD101" s="1"/>
      <c r="DJE101" s="1"/>
      <c r="DJF101" s="1"/>
      <c r="DJG101" s="1"/>
      <c r="DJH101" s="1"/>
      <c r="DJI101" s="1"/>
      <c r="DJJ101" s="1"/>
      <c r="DJK101" s="1"/>
      <c r="DJL101" s="1"/>
      <c r="DJM101" s="1"/>
      <c r="DJN101" s="1"/>
      <c r="DJO101" s="1"/>
      <c r="DJP101" s="1"/>
      <c r="DJQ101" s="1"/>
      <c r="DJR101" s="1"/>
      <c r="DJS101" s="1"/>
      <c r="DJT101" s="1"/>
      <c r="DJU101" s="1"/>
      <c r="DJV101" s="1"/>
      <c r="DJW101" s="1"/>
      <c r="DJX101" s="1"/>
      <c r="DJY101" s="1"/>
      <c r="DJZ101" s="1"/>
      <c r="DKA101" s="1"/>
      <c r="DKB101" s="1"/>
      <c r="DKC101" s="1"/>
      <c r="DKD101" s="1"/>
      <c r="DKE101" s="1"/>
      <c r="DKF101" s="1"/>
      <c r="DKG101" s="1"/>
      <c r="DKH101" s="1"/>
      <c r="DKI101" s="1"/>
      <c r="DKJ101" s="1"/>
      <c r="DKK101" s="1"/>
      <c r="DKL101" s="1"/>
      <c r="DKM101" s="1"/>
      <c r="DKN101" s="1"/>
      <c r="DKO101" s="1"/>
      <c r="DKP101" s="1"/>
      <c r="DKQ101" s="1"/>
      <c r="DKR101" s="1"/>
      <c r="DKS101" s="1"/>
      <c r="DKT101" s="1"/>
      <c r="DKU101" s="1"/>
      <c r="DKV101" s="1"/>
      <c r="DKW101" s="1"/>
      <c r="DKX101" s="1"/>
      <c r="DKY101" s="1"/>
      <c r="DKZ101" s="1"/>
      <c r="DLA101" s="1"/>
      <c r="DLB101" s="1"/>
      <c r="DLC101" s="1"/>
      <c r="DLD101" s="1"/>
      <c r="DLE101" s="1"/>
      <c r="DLF101" s="1"/>
      <c r="DLG101" s="1"/>
      <c r="DLH101" s="1"/>
      <c r="DLI101" s="1"/>
      <c r="DLJ101" s="1"/>
      <c r="DLK101" s="1"/>
      <c r="DLL101" s="1"/>
      <c r="DLM101" s="1"/>
      <c r="DLN101" s="1"/>
      <c r="DLO101" s="1"/>
      <c r="DLP101" s="1"/>
      <c r="DLQ101" s="1"/>
      <c r="DLR101" s="1"/>
      <c r="DLS101" s="1"/>
      <c r="DLT101" s="1"/>
      <c r="DLU101" s="1"/>
      <c r="DLV101" s="1"/>
      <c r="DLW101" s="1"/>
      <c r="DLX101" s="1"/>
      <c r="DLY101" s="1"/>
      <c r="DLZ101" s="1"/>
      <c r="DMA101" s="1"/>
      <c r="DMB101" s="1"/>
      <c r="DMC101" s="1"/>
      <c r="DMD101" s="1"/>
      <c r="DME101" s="1"/>
      <c r="DMF101" s="1"/>
      <c r="DMG101" s="1"/>
      <c r="DMH101" s="1"/>
      <c r="DMI101" s="1"/>
      <c r="DMJ101" s="1"/>
      <c r="DMK101" s="1"/>
      <c r="DML101" s="1"/>
      <c r="DMM101" s="1"/>
      <c r="DMN101" s="1"/>
      <c r="DMO101" s="1"/>
      <c r="DMP101" s="1"/>
      <c r="DMQ101" s="1"/>
      <c r="DMR101" s="1"/>
      <c r="DMS101" s="1"/>
      <c r="DMT101" s="1"/>
      <c r="DMU101" s="1"/>
      <c r="DMV101" s="1"/>
      <c r="DMW101" s="1"/>
      <c r="DMX101" s="1"/>
      <c r="DMY101" s="1"/>
      <c r="DMZ101" s="1"/>
      <c r="DNA101" s="1"/>
      <c r="DNB101" s="1"/>
      <c r="DNC101" s="1"/>
      <c r="DND101" s="1"/>
      <c r="DNE101" s="1"/>
      <c r="DNF101" s="1"/>
      <c r="DNG101" s="1"/>
      <c r="DNH101" s="1"/>
      <c r="DNI101" s="1"/>
      <c r="DNJ101" s="1"/>
      <c r="DNK101" s="1"/>
      <c r="DNL101" s="1"/>
      <c r="DNM101" s="1"/>
      <c r="DNN101" s="1"/>
      <c r="DNO101" s="1"/>
      <c r="DNP101" s="1"/>
      <c r="DNQ101" s="1"/>
      <c r="DNR101" s="1"/>
      <c r="DNS101" s="1"/>
      <c r="DNT101" s="1"/>
      <c r="DNU101" s="1"/>
      <c r="DNV101" s="1"/>
      <c r="DNW101" s="1"/>
      <c r="DNX101" s="1"/>
      <c r="DNY101" s="1"/>
      <c r="DNZ101" s="1"/>
      <c r="DOA101" s="1"/>
      <c r="DOB101" s="1"/>
      <c r="DOC101" s="1"/>
      <c r="DOD101" s="1"/>
      <c r="DOE101" s="1"/>
      <c r="DOF101" s="1"/>
      <c r="DOG101" s="1"/>
      <c r="DOH101" s="1"/>
      <c r="DOI101" s="1"/>
      <c r="DOJ101" s="1"/>
      <c r="DOK101" s="1"/>
      <c r="DOL101" s="1"/>
      <c r="DOM101" s="1"/>
      <c r="DON101" s="1"/>
      <c r="DOO101" s="1"/>
      <c r="DOP101" s="1"/>
      <c r="DOQ101" s="1"/>
      <c r="DOR101" s="1"/>
      <c r="DOS101" s="1"/>
      <c r="DOT101" s="1"/>
      <c r="DOU101" s="1"/>
      <c r="DOV101" s="1"/>
      <c r="DOW101" s="1"/>
      <c r="DOX101" s="1"/>
      <c r="DOY101" s="1"/>
      <c r="DOZ101" s="1"/>
      <c r="DPA101" s="1"/>
      <c r="DPB101" s="1"/>
      <c r="DPC101" s="1"/>
      <c r="DPD101" s="1"/>
      <c r="DPE101" s="1"/>
      <c r="DPF101" s="1"/>
      <c r="DPG101" s="1"/>
      <c r="DPH101" s="1"/>
      <c r="DPI101" s="1"/>
      <c r="DPJ101" s="1"/>
      <c r="DPK101" s="1"/>
      <c r="DPL101" s="1"/>
      <c r="DPM101" s="1"/>
      <c r="DPN101" s="1"/>
      <c r="DPO101" s="1"/>
      <c r="DPP101" s="1"/>
      <c r="DPQ101" s="1"/>
      <c r="DPR101" s="1"/>
      <c r="DPS101" s="1"/>
      <c r="DPT101" s="1"/>
      <c r="DPU101" s="1"/>
      <c r="DPV101" s="1"/>
      <c r="DPW101" s="1"/>
      <c r="DPX101" s="1"/>
      <c r="DPY101" s="1"/>
      <c r="DPZ101" s="1"/>
      <c r="DQA101" s="1"/>
      <c r="DQB101" s="1"/>
      <c r="DQC101" s="1"/>
      <c r="DQD101" s="1"/>
      <c r="DQE101" s="1"/>
      <c r="DQF101" s="1"/>
      <c r="DQG101" s="1"/>
      <c r="DQH101" s="1"/>
      <c r="DQI101" s="1"/>
      <c r="DQJ101" s="1"/>
      <c r="DQK101" s="1"/>
      <c r="DQL101" s="1"/>
      <c r="DQM101" s="1"/>
      <c r="DQN101" s="1"/>
      <c r="DQO101" s="1"/>
      <c r="DQP101" s="1"/>
      <c r="DQQ101" s="1"/>
      <c r="DQR101" s="1"/>
      <c r="DQS101" s="1"/>
      <c r="DQT101" s="1"/>
      <c r="DQU101" s="1"/>
      <c r="DQV101" s="1"/>
      <c r="DQW101" s="1"/>
      <c r="DQX101" s="1"/>
      <c r="DQY101" s="1"/>
      <c r="DQZ101" s="1"/>
      <c r="DRA101" s="1"/>
      <c r="DRB101" s="1"/>
      <c r="DRC101" s="1"/>
      <c r="DRD101" s="1"/>
      <c r="DRE101" s="1"/>
      <c r="DRF101" s="1"/>
      <c r="DRG101" s="1"/>
      <c r="DRH101" s="1"/>
      <c r="DRI101" s="1"/>
      <c r="DRJ101" s="1"/>
      <c r="DRK101" s="1"/>
      <c r="DRL101" s="1"/>
      <c r="DRM101" s="1"/>
      <c r="DRN101" s="1"/>
      <c r="DRO101" s="1"/>
      <c r="DRP101" s="1"/>
      <c r="DRQ101" s="1"/>
      <c r="DRR101" s="1"/>
      <c r="DRS101" s="1"/>
      <c r="DRT101" s="1"/>
      <c r="DRU101" s="1"/>
      <c r="DRV101" s="1"/>
      <c r="DRW101" s="1"/>
      <c r="DRX101" s="1"/>
      <c r="DRY101" s="1"/>
      <c r="DRZ101" s="1"/>
      <c r="DSA101" s="1"/>
      <c r="DSB101" s="1"/>
      <c r="DSC101" s="1"/>
      <c r="DSD101" s="1"/>
      <c r="DSE101" s="1"/>
      <c r="DSF101" s="1"/>
      <c r="DSG101" s="1"/>
      <c r="DSH101" s="1"/>
      <c r="DSI101" s="1"/>
      <c r="DSJ101" s="1"/>
      <c r="DSK101" s="1"/>
      <c r="DSL101" s="1"/>
      <c r="DSM101" s="1"/>
      <c r="DSN101" s="1"/>
      <c r="DSO101" s="1"/>
      <c r="DSP101" s="1"/>
      <c r="DSQ101" s="1"/>
      <c r="DSR101" s="1"/>
      <c r="DSS101" s="1"/>
      <c r="DST101" s="1"/>
      <c r="DSU101" s="1"/>
      <c r="DSV101" s="1"/>
      <c r="DSW101" s="1"/>
      <c r="DSX101" s="1"/>
      <c r="DSY101" s="1"/>
      <c r="DSZ101" s="1"/>
      <c r="DTA101" s="1"/>
      <c r="DTB101" s="1"/>
      <c r="DTC101" s="1"/>
      <c r="DTD101" s="1"/>
      <c r="DTE101" s="1"/>
      <c r="DTF101" s="1"/>
      <c r="DTG101" s="1"/>
      <c r="DTH101" s="1"/>
      <c r="DTI101" s="1"/>
      <c r="DTJ101" s="1"/>
      <c r="DTK101" s="1"/>
      <c r="DTL101" s="1"/>
      <c r="DTM101" s="1"/>
      <c r="DTN101" s="1"/>
      <c r="DTO101" s="1"/>
      <c r="DTP101" s="1"/>
      <c r="DTQ101" s="1"/>
      <c r="DTR101" s="1"/>
      <c r="DTS101" s="1"/>
      <c r="DTT101" s="1"/>
      <c r="DTU101" s="1"/>
      <c r="DTV101" s="1"/>
      <c r="DTW101" s="1"/>
      <c r="DTX101" s="1"/>
      <c r="DTY101" s="1"/>
      <c r="DTZ101" s="1"/>
      <c r="DUA101" s="1"/>
      <c r="DUB101" s="1"/>
      <c r="DUC101" s="1"/>
      <c r="DUD101" s="1"/>
      <c r="DUE101" s="1"/>
      <c r="DUF101" s="1"/>
      <c r="DUG101" s="1"/>
      <c r="DUH101" s="1"/>
      <c r="DUI101" s="1"/>
      <c r="DUJ101" s="1"/>
      <c r="DUK101" s="1"/>
      <c r="DUL101" s="1"/>
      <c r="DUM101" s="1"/>
      <c r="DUN101" s="1"/>
      <c r="DUO101" s="1"/>
      <c r="DUP101" s="1"/>
      <c r="DUQ101" s="1"/>
      <c r="DUR101" s="1"/>
      <c r="DUS101" s="1"/>
      <c r="DUT101" s="1"/>
      <c r="DUU101" s="1"/>
      <c r="DUV101" s="1"/>
      <c r="DUW101" s="1"/>
      <c r="DUX101" s="1"/>
      <c r="DUY101" s="1"/>
      <c r="DUZ101" s="1"/>
      <c r="DVA101" s="1"/>
      <c r="DVB101" s="1"/>
      <c r="DVC101" s="1"/>
      <c r="DVD101" s="1"/>
      <c r="DVE101" s="1"/>
      <c r="DVF101" s="1"/>
      <c r="DVG101" s="1"/>
      <c r="DVH101" s="1"/>
      <c r="DVI101" s="1"/>
      <c r="DVJ101" s="1"/>
      <c r="DVK101" s="1"/>
      <c r="DVL101" s="1"/>
      <c r="DVM101" s="1"/>
      <c r="DVN101" s="1"/>
      <c r="DVO101" s="1"/>
      <c r="DVP101" s="1"/>
      <c r="DVQ101" s="1"/>
      <c r="DVR101" s="1"/>
      <c r="DVS101" s="1"/>
      <c r="DVT101" s="1"/>
      <c r="DVU101" s="1"/>
      <c r="DVV101" s="1"/>
      <c r="DVW101" s="1"/>
      <c r="DVX101" s="1"/>
      <c r="DVY101" s="1"/>
      <c r="DVZ101" s="1"/>
      <c r="DWA101" s="1"/>
      <c r="DWB101" s="1"/>
      <c r="DWC101" s="1"/>
      <c r="DWD101" s="1"/>
      <c r="DWE101" s="1"/>
      <c r="DWF101" s="1"/>
      <c r="DWG101" s="1"/>
      <c r="DWH101" s="1"/>
      <c r="DWI101" s="1"/>
      <c r="DWJ101" s="1"/>
      <c r="DWK101" s="1"/>
      <c r="DWL101" s="1"/>
      <c r="DWM101" s="1"/>
      <c r="DWN101" s="1"/>
      <c r="DWO101" s="1"/>
      <c r="DWP101" s="1"/>
      <c r="DWQ101" s="1"/>
      <c r="DWR101" s="1"/>
      <c r="DWS101" s="1"/>
      <c r="DWT101" s="1"/>
      <c r="DWU101" s="1"/>
      <c r="DWV101" s="1"/>
      <c r="DWW101" s="1"/>
      <c r="DWX101" s="1"/>
      <c r="DWY101" s="1"/>
      <c r="DWZ101" s="1"/>
      <c r="DXA101" s="1"/>
      <c r="DXB101" s="1"/>
      <c r="DXC101" s="1"/>
      <c r="DXD101" s="1"/>
      <c r="DXE101" s="1"/>
      <c r="DXF101" s="1"/>
      <c r="DXG101" s="1"/>
      <c r="DXH101" s="1"/>
      <c r="DXI101" s="1"/>
      <c r="DXJ101" s="1"/>
      <c r="DXK101" s="1"/>
      <c r="DXL101" s="1"/>
      <c r="DXM101" s="1"/>
      <c r="DXN101" s="1"/>
      <c r="DXO101" s="1"/>
      <c r="DXP101" s="1"/>
      <c r="DXQ101" s="1"/>
      <c r="DXR101" s="1"/>
      <c r="DXS101" s="1"/>
      <c r="DXT101" s="1"/>
      <c r="DXU101" s="1"/>
      <c r="DXV101" s="1"/>
      <c r="DXW101" s="1"/>
      <c r="DXX101" s="1"/>
      <c r="DXY101" s="1"/>
      <c r="DXZ101" s="1"/>
      <c r="DYA101" s="1"/>
      <c r="DYB101" s="1"/>
      <c r="DYC101" s="1"/>
      <c r="DYD101" s="1"/>
      <c r="DYE101" s="1"/>
      <c r="DYF101" s="1"/>
      <c r="DYG101" s="1"/>
      <c r="DYH101" s="1"/>
      <c r="DYI101" s="1"/>
      <c r="DYJ101" s="1"/>
      <c r="DYK101" s="1"/>
      <c r="DYL101" s="1"/>
      <c r="DYM101" s="1"/>
      <c r="DYN101" s="1"/>
      <c r="DYO101" s="1"/>
      <c r="DYP101" s="1"/>
      <c r="DYQ101" s="1"/>
      <c r="DYR101" s="1"/>
      <c r="DYS101" s="1"/>
      <c r="DYT101" s="1"/>
      <c r="DYU101" s="1"/>
      <c r="DYV101" s="1"/>
      <c r="DYW101" s="1"/>
      <c r="DYX101" s="1"/>
      <c r="DYY101" s="1"/>
      <c r="DYZ101" s="1"/>
      <c r="DZA101" s="1"/>
      <c r="DZB101" s="1"/>
      <c r="DZC101" s="1"/>
      <c r="DZD101" s="1"/>
      <c r="DZE101" s="1"/>
      <c r="DZF101" s="1"/>
      <c r="DZG101" s="1"/>
      <c r="DZH101" s="1"/>
      <c r="DZI101" s="1"/>
      <c r="DZJ101" s="1"/>
      <c r="DZK101" s="1"/>
      <c r="DZL101" s="1"/>
      <c r="DZM101" s="1"/>
      <c r="DZN101" s="1"/>
      <c r="DZO101" s="1"/>
      <c r="DZP101" s="1"/>
      <c r="DZQ101" s="1"/>
      <c r="DZR101" s="1"/>
      <c r="DZS101" s="1"/>
      <c r="DZT101" s="1"/>
      <c r="DZU101" s="1"/>
      <c r="DZV101" s="1"/>
      <c r="DZW101" s="1"/>
      <c r="DZX101" s="1"/>
      <c r="DZY101" s="1"/>
      <c r="DZZ101" s="1"/>
      <c r="EAA101" s="1"/>
      <c r="EAB101" s="1"/>
      <c r="EAC101" s="1"/>
      <c r="EAD101" s="1"/>
      <c r="EAE101" s="1"/>
      <c r="EAF101" s="1"/>
      <c r="EAG101" s="1"/>
      <c r="EAH101" s="1"/>
      <c r="EAI101" s="1"/>
      <c r="EAJ101" s="1"/>
      <c r="EAK101" s="1"/>
      <c r="EAL101" s="1"/>
      <c r="EAM101" s="1"/>
      <c r="EAN101" s="1"/>
      <c r="EAO101" s="1"/>
      <c r="EAP101" s="1"/>
      <c r="EAQ101" s="1"/>
      <c r="EAR101" s="1"/>
      <c r="EAS101" s="1"/>
      <c r="EAT101" s="1"/>
      <c r="EAU101" s="1"/>
      <c r="EAV101" s="1"/>
      <c r="EAW101" s="1"/>
      <c r="EAX101" s="1"/>
      <c r="EAY101" s="1"/>
      <c r="EAZ101" s="1"/>
      <c r="EBA101" s="1"/>
      <c r="EBB101" s="1"/>
      <c r="EBC101" s="1"/>
      <c r="EBD101" s="1"/>
      <c r="EBE101" s="1"/>
      <c r="EBF101" s="1"/>
      <c r="EBG101" s="1"/>
      <c r="EBH101" s="1"/>
      <c r="EBI101" s="1"/>
      <c r="EBJ101" s="1"/>
      <c r="EBK101" s="1"/>
      <c r="EBL101" s="1"/>
      <c r="EBM101" s="1"/>
      <c r="EBN101" s="1"/>
      <c r="EBO101" s="1"/>
      <c r="EBP101" s="1"/>
      <c r="EBQ101" s="1"/>
      <c r="EBR101" s="1"/>
      <c r="EBS101" s="1"/>
      <c r="EBT101" s="1"/>
      <c r="EBU101" s="1"/>
      <c r="EBV101" s="1"/>
      <c r="EBW101" s="1"/>
      <c r="EBX101" s="1"/>
      <c r="EBY101" s="1"/>
      <c r="EBZ101" s="1"/>
      <c r="ECA101" s="1"/>
      <c r="ECB101" s="1"/>
      <c r="ECC101" s="1"/>
      <c r="ECD101" s="1"/>
      <c r="ECE101" s="1"/>
      <c r="ECF101" s="1"/>
      <c r="ECG101" s="1"/>
      <c r="ECH101" s="1"/>
      <c r="ECI101" s="1"/>
      <c r="ECJ101" s="1"/>
      <c r="ECK101" s="1"/>
      <c r="ECL101" s="1"/>
      <c r="ECM101" s="1"/>
      <c r="ECN101" s="1"/>
      <c r="ECO101" s="1"/>
      <c r="ECP101" s="1"/>
      <c r="ECQ101" s="1"/>
      <c r="ECR101" s="1"/>
      <c r="ECS101" s="1"/>
      <c r="ECT101" s="1"/>
      <c r="ECU101" s="1"/>
      <c r="ECV101" s="1"/>
      <c r="ECW101" s="1"/>
      <c r="ECX101" s="1"/>
      <c r="ECY101" s="1"/>
      <c r="ECZ101" s="1"/>
      <c r="EDA101" s="1"/>
      <c r="EDB101" s="1"/>
      <c r="EDC101" s="1"/>
      <c r="EDD101" s="1"/>
      <c r="EDE101" s="1"/>
      <c r="EDF101" s="1"/>
      <c r="EDG101" s="1"/>
      <c r="EDH101" s="1"/>
      <c r="EDI101" s="1"/>
      <c r="EDJ101" s="1"/>
      <c r="EDK101" s="1"/>
      <c r="EDL101" s="1"/>
      <c r="EDM101" s="1"/>
      <c r="EDN101" s="1"/>
      <c r="EDO101" s="1"/>
      <c r="EDP101" s="1"/>
      <c r="EDQ101" s="1"/>
      <c r="EDR101" s="1"/>
      <c r="EDS101" s="1"/>
      <c r="EDT101" s="1"/>
      <c r="EDU101" s="1"/>
      <c r="EDV101" s="1"/>
      <c r="EDW101" s="1"/>
      <c r="EDX101" s="1"/>
      <c r="EDY101" s="1"/>
      <c r="EDZ101" s="1"/>
      <c r="EEA101" s="1"/>
      <c r="EEB101" s="1"/>
      <c r="EEC101" s="1"/>
      <c r="EED101" s="1"/>
      <c r="EEE101" s="1"/>
      <c r="EEF101" s="1"/>
      <c r="EEG101" s="1"/>
      <c r="EEH101" s="1"/>
      <c r="EEI101" s="1"/>
      <c r="EEJ101" s="1"/>
      <c r="EEK101" s="1"/>
      <c r="EEL101" s="1"/>
      <c r="EEM101" s="1"/>
      <c r="EEN101" s="1"/>
      <c r="EEO101" s="1"/>
      <c r="EEP101" s="1"/>
      <c r="EEQ101" s="1"/>
      <c r="EER101" s="1"/>
      <c r="EES101" s="1"/>
      <c r="EET101" s="1"/>
      <c r="EEU101" s="1"/>
      <c r="EEV101" s="1"/>
      <c r="EEW101" s="1"/>
      <c r="EEX101" s="1"/>
      <c r="EEY101" s="1"/>
      <c r="EEZ101" s="1"/>
      <c r="EFA101" s="1"/>
      <c r="EFB101" s="1"/>
      <c r="EFC101" s="1"/>
      <c r="EFD101" s="1"/>
      <c r="EFE101" s="1"/>
      <c r="EFF101" s="1"/>
      <c r="EFG101" s="1"/>
      <c r="EFH101" s="1"/>
      <c r="EFI101" s="1"/>
      <c r="EFJ101" s="1"/>
      <c r="EFK101" s="1"/>
      <c r="EFL101" s="1"/>
      <c r="EFM101" s="1"/>
      <c r="EFN101" s="1"/>
      <c r="EFO101" s="1"/>
      <c r="EFP101" s="1"/>
      <c r="EFQ101" s="1"/>
      <c r="EFR101" s="1"/>
      <c r="EFS101" s="1"/>
      <c r="EFT101" s="1"/>
      <c r="EFU101" s="1"/>
      <c r="EFV101" s="1"/>
      <c r="EFW101" s="1"/>
      <c r="EFX101" s="1"/>
      <c r="EFY101" s="1"/>
      <c r="EFZ101" s="1"/>
      <c r="EGA101" s="1"/>
      <c r="EGB101" s="1"/>
      <c r="EGC101" s="1"/>
      <c r="EGD101" s="1"/>
      <c r="EGE101" s="1"/>
      <c r="EGF101" s="1"/>
      <c r="EGG101" s="1"/>
      <c r="EGH101" s="1"/>
      <c r="EGI101" s="1"/>
      <c r="EGJ101" s="1"/>
      <c r="EGK101" s="1"/>
      <c r="EGL101" s="1"/>
      <c r="EGM101" s="1"/>
      <c r="EGN101" s="1"/>
      <c r="EGO101" s="1"/>
      <c r="EGP101" s="1"/>
      <c r="EGQ101" s="1"/>
      <c r="EGR101" s="1"/>
      <c r="EGS101" s="1"/>
      <c r="EGT101" s="1"/>
      <c r="EGU101" s="1"/>
      <c r="EGV101" s="1"/>
      <c r="EGW101" s="1"/>
      <c r="EGX101" s="1"/>
      <c r="EGY101" s="1"/>
      <c r="EGZ101" s="1"/>
      <c r="EHA101" s="1"/>
      <c r="EHB101" s="1"/>
      <c r="EHC101" s="1"/>
      <c r="EHD101" s="1"/>
      <c r="EHE101" s="1"/>
      <c r="EHF101" s="1"/>
      <c r="EHG101" s="1"/>
      <c r="EHH101" s="1"/>
      <c r="EHI101" s="1"/>
      <c r="EHJ101" s="1"/>
      <c r="EHK101" s="1"/>
      <c r="EHL101" s="1"/>
      <c r="EHM101" s="1"/>
      <c r="EHN101" s="1"/>
      <c r="EHO101" s="1"/>
      <c r="EHP101" s="1"/>
      <c r="EHQ101" s="1"/>
      <c r="EHR101" s="1"/>
      <c r="EHS101" s="1"/>
      <c r="EHT101" s="1"/>
      <c r="EHU101" s="1"/>
      <c r="EHV101" s="1"/>
      <c r="EHW101" s="1"/>
      <c r="EHX101" s="1"/>
      <c r="EHY101" s="1"/>
      <c r="EHZ101" s="1"/>
      <c r="EIA101" s="1"/>
      <c r="EIB101" s="1"/>
      <c r="EIC101" s="1"/>
      <c r="EID101" s="1"/>
      <c r="EIE101" s="1"/>
      <c r="EIF101" s="1"/>
      <c r="EIG101" s="1"/>
      <c r="EIH101" s="1"/>
      <c r="EII101" s="1"/>
      <c r="EIJ101" s="1"/>
      <c r="EIK101" s="1"/>
      <c r="EIL101" s="1"/>
      <c r="EIM101" s="1"/>
      <c r="EIN101" s="1"/>
      <c r="EIO101" s="1"/>
      <c r="EIP101" s="1"/>
      <c r="EIQ101" s="1"/>
      <c r="EIR101" s="1"/>
      <c r="EIS101" s="1"/>
      <c r="EIT101" s="1"/>
      <c r="EIU101" s="1"/>
      <c r="EIV101" s="1"/>
      <c r="EIW101" s="1"/>
      <c r="EIX101" s="1"/>
      <c r="EIY101" s="1"/>
      <c r="EIZ101" s="1"/>
      <c r="EJA101" s="1"/>
      <c r="EJB101" s="1"/>
      <c r="EJC101" s="1"/>
      <c r="EJD101" s="1"/>
      <c r="EJE101" s="1"/>
      <c r="EJF101" s="1"/>
      <c r="EJG101" s="1"/>
      <c r="EJH101" s="1"/>
      <c r="EJI101" s="1"/>
      <c r="EJJ101" s="1"/>
      <c r="EJK101" s="1"/>
      <c r="EJL101" s="1"/>
      <c r="EJM101" s="1"/>
      <c r="EJN101" s="1"/>
      <c r="EJO101" s="1"/>
      <c r="EJP101" s="1"/>
      <c r="EJQ101" s="1"/>
      <c r="EJR101" s="1"/>
      <c r="EJS101" s="1"/>
      <c r="EJT101" s="1"/>
      <c r="EJU101" s="1"/>
      <c r="EJV101" s="1"/>
      <c r="EJW101" s="1"/>
      <c r="EJX101" s="1"/>
      <c r="EJY101" s="1"/>
      <c r="EJZ101" s="1"/>
      <c r="EKA101" s="1"/>
      <c r="EKB101" s="1"/>
      <c r="EKC101" s="1"/>
      <c r="EKD101" s="1"/>
      <c r="EKE101" s="1"/>
      <c r="EKF101" s="1"/>
      <c r="EKG101" s="1"/>
      <c r="EKH101" s="1"/>
      <c r="EKI101" s="1"/>
      <c r="EKJ101" s="1"/>
      <c r="EKK101" s="1"/>
      <c r="EKL101" s="1"/>
      <c r="EKM101" s="1"/>
      <c r="EKN101" s="1"/>
      <c r="EKO101" s="1"/>
      <c r="EKP101" s="1"/>
      <c r="EKQ101" s="1"/>
      <c r="EKR101" s="1"/>
      <c r="EKS101" s="1"/>
      <c r="EKT101" s="1"/>
      <c r="EKU101" s="1"/>
      <c r="EKV101" s="1"/>
      <c r="EKW101" s="1"/>
      <c r="EKX101" s="1"/>
      <c r="EKY101" s="1"/>
      <c r="EKZ101" s="1"/>
      <c r="ELA101" s="1"/>
      <c r="ELB101" s="1"/>
      <c r="ELC101" s="1"/>
      <c r="ELD101" s="1"/>
      <c r="ELE101" s="1"/>
      <c r="ELF101" s="1"/>
      <c r="ELG101" s="1"/>
      <c r="ELH101" s="1"/>
      <c r="ELI101" s="1"/>
      <c r="ELJ101" s="1"/>
      <c r="ELK101" s="1"/>
      <c r="ELL101" s="1"/>
      <c r="ELM101" s="1"/>
      <c r="ELN101" s="1"/>
      <c r="ELO101" s="1"/>
      <c r="ELP101" s="1"/>
      <c r="ELQ101" s="1"/>
      <c r="ELR101" s="1"/>
      <c r="ELS101" s="1"/>
      <c r="ELT101" s="1"/>
      <c r="ELU101" s="1"/>
      <c r="ELV101" s="1"/>
      <c r="ELW101" s="1"/>
      <c r="ELX101" s="1"/>
      <c r="ELY101" s="1"/>
      <c r="ELZ101" s="1"/>
      <c r="EMA101" s="1"/>
      <c r="EMB101" s="1"/>
      <c r="EMC101" s="1"/>
      <c r="EMD101" s="1"/>
      <c r="EME101" s="1"/>
      <c r="EMF101" s="1"/>
      <c r="EMG101" s="1"/>
      <c r="EMH101" s="1"/>
      <c r="EMI101" s="1"/>
      <c r="EMJ101" s="1"/>
      <c r="EMK101" s="1"/>
      <c r="EML101" s="1"/>
      <c r="EMM101" s="1"/>
      <c r="EMN101" s="1"/>
      <c r="EMO101" s="1"/>
      <c r="EMP101" s="1"/>
      <c r="EMQ101" s="1"/>
      <c r="EMR101" s="1"/>
      <c r="EMS101" s="1"/>
      <c r="EMT101" s="1"/>
      <c r="EMU101" s="1"/>
      <c r="EMV101" s="1"/>
      <c r="EMW101" s="1"/>
      <c r="EMX101" s="1"/>
      <c r="EMY101" s="1"/>
      <c r="EMZ101" s="1"/>
      <c r="ENA101" s="1"/>
      <c r="ENB101" s="1"/>
      <c r="ENC101" s="1"/>
      <c r="END101" s="1"/>
      <c r="ENE101" s="1"/>
      <c r="ENF101" s="1"/>
      <c r="ENG101" s="1"/>
      <c r="ENH101" s="1"/>
      <c r="ENI101" s="1"/>
      <c r="ENJ101" s="1"/>
      <c r="ENK101" s="1"/>
      <c r="ENL101" s="1"/>
      <c r="ENM101" s="1"/>
      <c r="ENN101" s="1"/>
      <c r="ENO101" s="1"/>
      <c r="ENP101" s="1"/>
      <c r="ENQ101" s="1"/>
      <c r="ENR101" s="1"/>
      <c r="ENS101" s="1"/>
      <c r="ENT101" s="1"/>
      <c r="ENU101" s="1"/>
      <c r="ENV101" s="1"/>
      <c r="ENW101" s="1"/>
      <c r="ENX101" s="1"/>
      <c r="ENY101" s="1"/>
      <c r="ENZ101" s="1"/>
      <c r="EOA101" s="1"/>
      <c r="EOB101" s="1"/>
      <c r="EOC101" s="1"/>
      <c r="EOD101" s="1"/>
      <c r="EOE101" s="1"/>
      <c r="EOF101" s="1"/>
      <c r="EOG101" s="1"/>
      <c r="EOH101" s="1"/>
      <c r="EOI101" s="1"/>
      <c r="EOJ101" s="1"/>
      <c r="EOK101" s="1"/>
      <c r="EOL101" s="1"/>
      <c r="EOM101" s="1"/>
      <c r="EON101" s="1"/>
      <c r="EOO101" s="1"/>
      <c r="EOP101" s="1"/>
      <c r="EOQ101" s="1"/>
      <c r="EOR101" s="1"/>
      <c r="EOS101" s="1"/>
      <c r="EOT101" s="1"/>
      <c r="EOU101" s="1"/>
      <c r="EOV101" s="1"/>
      <c r="EOW101" s="1"/>
      <c r="EOX101" s="1"/>
      <c r="EOY101" s="1"/>
      <c r="EOZ101" s="1"/>
      <c r="EPA101" s="1"/>
      <c r="EPB101" s="1"/>
      <c r="EPC101" s="1"/>
      <c r="EPD101" s="1"/>
      <c r="EPE101" s="1"/>
      <c r="EPF101" s="1"/>
      <c r="EPG101" s="1"/>
      <c r="EPH101" s="1"/>
      <c r="EPI101" s="1"/>
      <c r="EPJ101" s="1"/>
      <c r="EPK101" s="1"/>
      <c r="EPL101" s="1"/>
      <c r="EPM101" s="1"/>
      <c r="EPN101" s="1"/>
      <c r="EPO101" s="1"/>
      <c r="EPP101" s="1"/>
      <c r="EPQ101" s="1"/>
      <c r="EPR101" s="1"/>
      <c r="EPS101" s="1"/>
      <c r="EPT101" s="1"/>
      <c r="EPU101" s="1"/>
      <c r="EPV101" s="1"/>
      <c r="EPW101" s="1"/>
      <c r="EPX101" s="1"/>
      <c r="EPY101" s="1"/>
      <c r="EPZ101" s="1"/>
      <c r="EQA101" s="1"/>
      <c r="EQB101" s="1"/>
      <c r="EQC101" s="1"/>
      <c r="EQD101" s="1"/>
      <c r="EQE101" s="1"/>
      <c r="EQF101" s="1"/>
      <c r="EQG101" s="1"/>
      <c r="EQH101" s="1"/>
      <c r="EQI101" s="1"/>
      <c r="EQJ101" s="1"/>
      <c r="EQK101" s="1"/>
      <c r="EQL101" s="1"/>
      <c r="EQM101" s="1"/>
      <c r="EQN101" s="1"/>
      <c r="EQO101" s="1"/>
      <c r="EQP101" s="1"/>
      <c r="EQQ101" s="1"/>
      <c r="EQR101" s="1"/>
      <c r="EQS101" s="1"/>
      <c r="EQT101" s="1"/>
      <c r="EQU101" s="1"/>
      <c r="EQV101" s="1"/>
      <c r="EQW101" s="1"/>
      <c r="EQX101" s="1"/>
      <c r="EQY101" s="1"/>
      <c r="EQZ101" s="1"/>
      <c r="ERA101" s="1"/>
      <c r="ERB101" s="1"/>
      <c r="ERC101" s="1"/>
      <c r="ERD101" s="1"/>
      <c r="ERE101" s="1"/>
      <c r="ERF101" s="1"/>
      <c r="ERG101" s="1"/>
      <c r="ERH101" s="1"/>
      <c r="ERI101" s="1"/>
      <c r="ERJ101" s="1"/>
      <c r="ERK101" s="1"/>
      <c r="ERL101" s="1"/>
      <c r="ERM101" s="1"/>
      <c r="ERN101" s="1"/>
      <c r="ERO101" s="1"/>
      <c r="ERP101" s="1"/>
      <c r="ERQ101" s="1"/>
      <c r="ERR101" s="1"/>
      <c r="ERS101" s="1"/>
      <c r="ERT101" s="1"/>
      <c r="ERU101" s="1"/>
      <c r="ERV101" s="1"/>
      <c r="ERW101" s="1"/>
      <c r="ERX101" s="1"/>
      <c r="ERY101" s="1"/>
      <c r="ERZ101" s="1"/>
      <c r="ESA101" s="1"/>
      <c r="ESB101" s="1"/>
      <c r="ESC101" s="1"/>
      <c r="ESD101" s="1"/>
      <c r="ESE101" s="1"/>
      <c r="ESF101" s="1"/>
      <c r="ESG101" s="1"/>
      <c r="ESH101" s="1"/>
      <c r="ESI101" s="1"/>
      <c r="ESJ101" s="1"/>
      <c r="ESK101" s="1"/>
      <c r="ESL101" s="1"/>
      <c r="ESM101" s="1"/>
      <c r="ESN101" s="1"/>
      <c r="ESO101" s="1"/>
      <c r="ESP101" s="1"/>
      <c r="ESQ101" s="1"/>
      <c r="ESR101" s="1"/>
      <c r="ESS101" s="1"/>
      <c r="EST101" s="1"/>
      <c r="ESU101" s="1"/>
      <c r="ESV101" s="1"/>
      <c r="ESW101" s="1"/>
      <c r="ESX101" s="1"/>
      <c r="ESY101" s="1"/>
      <c r="ESZ101" s="1"/>
      <c r="ETA101" s="1"/>
      <c r="ETB101" s="1"/>
      <c r="ETC101" s="1"/>
      <c r="ETD101" s="1"/>
      <c r="ETE101" s="1"/>
      <c r="ETF101" s="1"/>
      <c r="ETG101" s="1"/>
      <c r="ETH101" s="1"/>
      <c r="ETI101" s="1"/>
      <c r="ETJ101" s="1"/>
      <c r="ETK101" s="1"/>
      <c r="ETL101" s="1"/>
      <c r="ETM101" s="1"/>
      <c r="ETN101" s="1"/>
      <c r="ETO101" s="1"/>
      <c r="ETP101" s="1"/>
      <c r="ETQ101" s="1"/>
      <c r="ETR101" s="1"/>
      <c r="ETS101" s="1"/>
      <c r="ETT101" s="1"/>
      <c r="ETU101" s="1"/>
      <c r="ETV101" s="1"/>
      <c r="ETW101" s="1"/>
      <c r="ETX101" s="1"/>
      <c r="ETY101" s="1"/>
      <c r="ETZ101" s="1"/>
      <c r="EUA101" s="1"/>
      <c r="EUB101" s="1"/>
      <c r="EUC101" s="1"/>
      <c r="EUD101" s="1"/>
      <c r="EUE101" s="1"/>
      <c r="EUF101" s="1"/>
      <c r="EUG101" s="1"/>
      <c r="EUH101" s="1"/>
      <c r="EUI101" s="1"/>
      <c r="EUJ101" s="1"/>
      <c r="EUK101" s="1"/>
      <c r="EUL101" s="1"/>
      <c r="EUM101" s="1"/>
      <c r="EUN101" s="1"/>
      <c r="EUO101" s="1"/>
      <c r="EUP101" s="1"/>
      <c r="EUQ101" s="1"/>
      <c r="EUR101" s="1"/>
      <c r="EUS101" s="1"/>
      <c r="EUT101" s="1"/>
      <c r="EUU101" s="1"/>
      <c r="EUV101" s="1"/>
      <c r="EUW101" s="1"/>
      <c r="EUX101" s="1"/>
      <c r="EUY101" s="1"/>
      <c r="EUZ101" s="1"/>
      <c r="EVA101" s="1"/>
      <c r="EVB101" s="1"/>
      <c r="EVC101" s="1"/>
      <c r="EVD101" s="1"/>
      <c r="EVE101" s="1"/>
      <c r="EVF101" s="1"/>
      <c r="EVG101" s="1"/>
      <c r="EVH101" s="1"/>
      <c r="EVI101" s="1"/>
      <c r="EVJ101" s="1"/>
      <c r="EVK101" s="1"/>
      <c r="EVL101" s="1"/>
      <c r="EVM101" s="1"/>
      <c r="EVN101" s="1"/>
      <c r="EVO101" s="1"/>
      <c r="EVP101" s="1"/>
      <c r="EVQ101" s="1"/>
      <c r="EVR101" s="1"/>
      <c r="EVS101" s="1"/>
      <c r="EVT101" s="1"/>
      <c r="EVU101" s="1"/>
      <c r="EVV101" s="1"/>
      <c r="EVW101" s="1"/>
      <c r="EVX101" s="1"/>
      <c r="EVY101" s="1"/>
      <c r="EVZ101" s="1"/>
      <c r="EWA101" s="1"/>
      <c r="EWB101" s="1"/>
      <c r="EWC101" s="1"/>
      <c r="EWD101" s="1"/>
      <c r="EWE101" s="1"/>
      <c r="EWF101" s="1"/>
      <c r="EWG101" s="1"/>
      <c r="EWH101" s="1"/>
      <c r="EWI101" s="1"/>
      <c r="EWJ101" s="1"/>
      <c r="EWK101" s="1"/>
      <c r="EWL101" s="1"/>
      <c r="EWM101" s="1"/>
      <c r="EWN101" s="1"/>
      <c r="EWO101" s="1"/>
      <c r="EWP101" s="1"/>
      <c r="EWQ101" s="1"/>
      <c r="EWR101" s="1"/>
      <c r="EWS101" s="1"/>
      <c r="EWT101" s="1"/>
      <c r="EWU101" s="1"/>
      <c r="EWV101" s="1"/>
      <c r="EWW101" s="1"/>
      <c r="EWX101" s="1"/>
      <c r="EWY101" s="1"/>
      <c r="EWZ101" s="1"/>
      <c r="EXA101" s="1"/>
      <c r="EXB101" s="1"/>
      <c r="EXC101" s="1"/>
      <c r="EXD101" s="1"/>
      <c r="EXE101" s="1"/>
      <c r="EXF101" s="1"/>
      <c r="EXG101" s="1"/>
      <c r="EXH101" s="1"/>
      <c r="EXI101" s="1"/>
      <c r="EXJ101" s="1"/>
      <c r="EXK101" s="1"/>
      <c r="EXL101" s="1"/>
      <c r="EXM101" s="1"/>
      <c r="EXN101" s="1"/>
      <c r="EXO101" s="1"/>
      <c r="EXP101" s="1"/>
      <c r="EXQ101" s="1"/>
      <c r="EXR101" s="1"/>
      <c r="EXS101" s="1"/>
      <c r="EXT101" s="1"/>
      <c r="EXU101" s="1"/>
      <c r="EXV101" s="1"/>
      <c r="EXW101" s="1"/>
      <c r="EXX101" s="1"/>
      <c r="EXY101" s="1"/>
      <c r="EXZ101" s="1"/>
      <c r="EYA101" s="1"/>
      <c r="EYB101" s="1"/>
      <c r="EYC101" s="1"/>
      <c r="EYD101" s="1"/>
      <c r="EYE101" s="1"/>
      <c r="EYF101" s="1"/>
      <c r="EYG101" s="1"/>
      <c r="EYH101" s="1"/>
      <c r="EYI101" s="1"/>
      <c r="EYJ101" s="1"/>
      <c r="EYK101" s="1"/>
      <c r="EYL101" s="1"/>
      <c r="EYM101" s="1"/>
      <c r="EYN101" s="1"/>
      <c r="EYO101" s="1"/>
      <c r="EYP101" s="1"/>
      <c r="EYQ101" s="1"/>
      <c r="EYR101" s="1"/>
      <c r="EYS101" s="1"/>
      <c r="EYT101" s="1"/>
      <c r="EYU101" s="1"/>
      <c r="EYV101" s="1"/>
      <c r="EYW101" s="1"/>
      <c r="EYX101" s="1"/>
      <c r="EYY101" s="1"/>
      <c r="EYZ101" s="1"/>
      <c r="EZA101" s="1"/>
      <c r="EZB101" s="1"/>
      <c r="EZC101" s="1"/>
      <c r="EZD101" s="1"/>
      <c r="EZE101" s="1"/>
      <c r="EZF101" s="1"/>
      <c r="EZG101" s="1"/>
      <c r="EZH101" s="1"/>
      <c r="EZI101" s="1"/>
      <c r="EZJ101" s="1"/>
      <c r="EZK101" s="1"/>
      <c r="EZL101" s="1"/>
      <c r="EZM101" s="1"/>
      <c r="EZN101" s="1"/>
      <c r="EZO101" s="1"/>
      <c r="EZP101" s="1"/>
      <c r="EZQ101" s="1"/>
      <c r="EZR101" s="1"/>
      <c r="EZS101" s="1"/>
      <c r="EZT101" s="1"/>
      <c r="EZU101" s="1"/>
      <c r="EZV101" s="1"/>
      <c r="EZW101" s="1"/>
      <c r="EZX101" s="1"/>
      <c r="EZY101" s="1"/>
      <c r="EZZ101" s="1"/>
      <c r="FAA101" s="1"/>
      <c r="FAB101" s="1"/>
      <c r="FAC101" s="1"/>
      <c r="FAD101" s="1"/>
      <c r="FAE101" s="1"/>
      <c r="FAF101" s="1"/>
      <c r="FAG101" s="1"/>
      <c r="FAH101" s="1"/>
      <c r="FAI101" s="1"/>
      <c r="FAJ101" s="1"/>
      <c r="FAK101" s="1"/>
      <c r="FAL101" s="1"/>
      <c r="FAM101" s="1"/>
      <c r="FAN101" s="1"/>
      <c r="FAO101" s="1"/>
      <c r="FAP101" s="1"/>
      <c r="FAQ101" s="1"/>
      <c r="FAR101" s="1"/>
      <c r="FAS101" s="1"/>
      <c r="FAT101" s="1"/>
      <c r="FAU101" s="1"/>
      <c r="FAV101" s="1"/>
      <c r="FAW101" s="1"/>
      <c r="FAX101" s="1"/>
      <c r="FAY101" s="1"/>
      <c r="FAZ101" s="1"/>
      <c r="FBA101" s="1"/>
      <c r="FBB101" s="1"/>
      <c r="FBC101" s="1"/>
      <c r="FBD101" s="1"/>
      <c r="FBE101" s="1"/>
      <c r="FBF101" s="1"/>
      <c r="FBG101" s="1"/>
      <c r="FBH101" s="1"/>
      <c r="FBI101" s="1"/>
      <c r="FBJ101" s="1"/>
      <c r="FBK101" s="1"/>
      <c r="FBL101" s="1"/>
      <c r="FBM101" s="1"/>
      <c r="FBN101" s="1"/>
      <c r="FBO101" s="1"/>
      <c r="FBP101" s="1"/>
      <c r="FBQ101" s="1"/>
      <c r="FBR101" s="1"/>
      <c r="FBS101" s="1"/>
      <c r="FBT101" s="1"/>
      <c r="FBU101" s="1"/>
      <c r="FBV101" s="1"/>
      <c r="FBW101" s="1"/>
      <c r="FBX101" s="1"/>
      <c r="FBY101" s="1"/>
      <c r="FBZ101" s="1"/>
      <c r="FCA101" s="1"/>
      <c r="FCB101" s="1"/>
      <c r="FCC101" s="1"/>
      <c r="FCD101" s="1"/>
      <c r="FCE101" s="1"/>
      <c r="FCF101" s="1"/>
      <c r="FCG101" s="1"/>
      <c r="FCH101" s="1"/>
      <c r="FCI101" s="1"/>
      <c r="FCJ101" s="1"/>
      <c r="FCK101" s="1"/>
      <c r="FCL101" s="1"/>
      <c r="FCM101" s="1"/>
      <c r="FCN101" s="1"/>
      <c r="FCO101" s="1"/>
      <c r="FCP101" s="1"/>
      <c r="FCQ101" s="1"/>
      <c r="FCR101" s="1"/>
      <c r="FCS101" s="1"/>
      <c r="FCT101" s="1"/>
      <c r="FCU101" s="1"/>
      <c r="FCV101" s="1"/>
      <c r="FCW101" s="1"/>
      <c r="FCX101" s="1"/>
      <c r="FCY101" s="1"/>
      <c r="FCZ101" s="1"/>
      <c r="FDA101" s="1"/>
      <c r="FDB101" s="1"/>
      <c r="FDC101" s="1"/>
      <c r="FDD101" s="1"/>
      <c r="FDE101" s="1"/>
      <c r="FDF101" s="1"/>
      <c r="FDG101" s="1"/>
      <c r="FDH101" s="1"/>
      <c r="FDI101" s="1"/>
      <c r="FDJ101" s="1"/>
      <c r="FDK101" s="1"/>
      <c r="FDL101" s="1"/>
      <c r="FDM101" s="1"/>
      <c r="FDN101" s="1"/>
      <c r="FDO101" s="1"/>
      <c r="FDP101" s="1"/>
      <c r="FDQ101" s="1"/>
      <c r="FDR101" s="1"/>
      <c r="FDS101" s="1"/>
      <c r="FDT101" s="1"/>
      <c r="FDU101" s="1"/>
      <c r="FDV101" s="1"/>
      <c r="FDW101" s="1"/>
      <c r="FDX101" s="1"/>
      <c r="FDY101" s="1"/>
      <c r="FDZ101" s="1"/>
      <c r="FEA101" s="1"/>
      <c r="FEB101" s="1"/>
      <c r="FEC101" s="1"/>
      <c r="FED101" s="1"/>
      <c r="FEE101" s="1"/>
      <c r="FEF101" s="1"/>
      <c r="FEG101" s="1"/>
      <c r="FEH101" s="1"/>
      <c r="FEI101" s="1"/>
      <c r="FEJ101" s="1"/>
      <c r="FEK101" s="1"/>
      <c r="FEL101" s="1"/>
      <c r="FEM101" s="1"/>
      <c r="FEN101" s="1"/>
      <c r="FEO101" s="1"/>
      <c r="FEP101" s="1"/>
      <c r="FEQ101" s="1"/>
      <c r="FER101" s="1"/>
      <c r="FES101" s="1"/>
      <c r="FET101" s="1"/>
      <c r="FEU101" s="1"/>
      <c r="FEV101" s="1"/>
      <c r="FEW101" s="1"/>
      <c r="FEX101" s="1"/>
      <c r="FEY101" s="1"/>
      <c r="FEZ101" s="1"/>
      <c r="FFA101" s="1"/>
      <c r="FFB101" s="1"/>
      <c r="FFC101" s="1"/>
      <c r="FFD101" s="1"/>
      <c r="FFE101" s="1"/>
      <c r="FFF101" s="1"/>
      <c r="FFG101" s="1"/>
      <c r="FFH101" s="1"/>
      <c r="FFI101" s="1"/>
      <c r="FFJ101" s="1"/>
      <c r="FFK101" s="1"/>
      <c r="FFL101" s="1"/>
      <c r="FFM101" s="1"/>
      <c r="FFN101" s="1"/>
      <c r="FFO101" s="1"/>
      <c r="FFP101" s="1"/>
      <c r="FFQ101" s="1"/>
      <c r="FFR101" s="1"/>
      <c r="FFS101" s="1"/>
      <c r="FFT101" s="1"/>
      <c r="FFU101" s="1"/>
      <c r="FFV101" s="1"/>
      <c r="FFW101" s="1"/>
      <c r="FFX101" s="1"/>
      <c r="FFY101" s="1"/>
      <c r="FFZ101" s="1"/>
      <c r="FGA101" s="1"/>
      <c r="FGB101" s="1"/>
      <c r="FGC101" s="1"/>
      <c r="FGD101" s="1"/>
      <c r="FGE101" s="1"/>
      <c r="FGF101" s="1"/>
      <c r="FGG101" s="1"/>
      <c r="FGH101" s="1"/>
      <c r="FGI101" s="1"/>
      <c r="FGJ101" s="1"/>
      <c r="FGK101" s="1"/>
      <c r="FGL101" s="1"/>
      <c r="FGM101" s="1"/>
      <c r="FGN101" s="1"/>
      <c r="FGO101" s="1"/>
      <c r="FGP101" s="1"/>
      <c r="FGQ101" s="1"/>
      <c r="FGR101" s="1"/>
      <c r="FGS101" s="1"/>
      <c r="FGT101" s="1"/>
      <c r="FGU101" s="1"/>
      <c r="FGV101" s="1"/>
      <c r="FGW101" s="1"/>
      <c r="FGX101" s="1"/>
      <c r="FGY101" s="1"/>
      <c r="FGZ101" s="1"/>
      <c r="FHA101" s="1"/>
      <c r="FHB101" s="1"/>
      <c r="FHC101" s="1"/>
      <c r="FHD101" s="1"/>
      <c r="FHE101" s="1"/>
      <c r="FHF101" s="1"/>
      <c r="FHG101" s="1"/>
      <c r="FHH101" s="1"/>
      <c r="FHI101" s="1"/>
      <c r="FHJ101" s="1"/>
      <c r="FHK101" s="1"/>
      <c r="FHL101" s="1"/>
      <c r="FHM101" s="1"/>
      <c r="FHN101" s="1"/>
      <c r="FHO101" s="1"/>
      <c r="FHP101" s="1"/>
      <c r="FHQ101" s="1"/>
      <c r="FHR101" s="1"/>
      <c r="FHS101" s="1"/>
      <c r="FHT101" s="1"/>
      <c r="FHU101" s="1"/>
      <c r="FHV101" s="1"/>
      <c r="FHW101" s="1"/>
      <c r="FHX101" s="1"/>
      <c r="FHY101" s="1"/>
      <c r="FHZ101" s="1"/>
      <c r="FIA101" s="1"/>
      <c r="FIB101" s="1"/>
      <c r="FIC101" s="1"/>
      <c r="FID101" s="1"/>
      <c r="FIE101" s="1"/>
      <c r="FIF101" s="1"/>
      <c r="FIG101" s="1"/>
      <c r="FIH101" s="1"/>
      <c r="FII101" s="1"/>
      <c r="FIJ101" s="1"/>
      <c r="FIK101" s="1"/>
      <c r="FIL101" s="1"/>
      <c r="FIM101" s="1"/>
      <c r="FIN101" s="1"/>
      <c r="FIO101" s="1"/>
      <c r="FIP101" s="1"/>
      <c r="FIQ101" s="1"/>
      <c r="FIR101" s="1"/>
      <c r="FIS101" s="1"/>
      <c r="FIT101" s="1"/>
      <c r="FIU101" s="1"/>
      <c r="FIV101" s="1"/>
      <c r="FIW101" s="1"/>
      <c r="FIX101" s="1"/>
      <c r="FIY101" s="1"/>
      <c r="FIZ101" s="1"/>
      <c r="FJA101" s="1"/>
      <c r="FJB101" s="1"/>
      <c r="FJC101" s="1"/>
      <c r="FJD101" s="1"/>
      <c r="FJE101" s="1"/>
      <c r="FJF101" s="1"/>
      <c r="FJG101" s="1"/>
      <c r="FJH101" s="1"/>
      <c r="FJI101" s="1"/>
      <c r="FJJ101" s="1"/>
      <c r="FJK101" s="1"/>
      <c r="FJL101" s="1"/>
      <c r="FJM101" s="1"/>
      <c r="FJN101" s="1"/>
      <c r="FJO101" s="1"/>
      <c r="FJP101" s="1"/>
      <c r="FJQ101" s="1"/>
      <c r="FJR101" s="1"/>
      <c r="FJS101" s="1"/>
      <c r="FJT101" s="1"/>
      <c r="FJU101" s="1"/>
      <c r="FJV101" s="1"/>
      <c r="FJW101" s="1"/>
      <c r="FJX101" s="1"/>
      <c r="FJY101" s="1"/>
      <c r="FJZ101" s="1"/>
      <c r="FKA101" s="1"/>
      <c r="FKB101" s="1"/>
      <c r="FKC101" s="1"/>
      <c r="FKD101" s="1"/>
      <c r="FKE101" s="1"/>
      <c r="FKF101" s="1"/>
      <c r="FKG101" s="1"/>
      <c r="FKH101" s="1"/>
      <c r="FKI101" s="1"/>
      <c r="FKJ101" s="1"/>
      <c r="FKK101" s="1"/>
      <c r="FKL101" s="1"/>
      <c r="FKM101" s="1"/>
      <c r="FKN101" s="1"/>
      <c r="FKO101" s="1"/>
      <c r="FKP101" s="1"/>
      <c r="FKQ101" s="1"/>
      <c r="FKR101" s="1"/>
      <c r="FKS101" s="1"/>
      <c r="FKT101" s="1"/>
      <c r="FKU101" s="1"/>
      <c r="FKV101" s="1"/>
      <c r="FKW101" s="1"/>
      <c r="FKX101" s="1"/>
      <c r="FKY101" s="1"/>
      <c r="FKZ101" s="1"/>
      <c r="FLA101" s="1"/>
      <c r="FLB101" s="1"/>
      <c r="FLC101" s="1"/>
      <c r="FLD101" s="1"/>
      <c r="FLE101" s="1"/>
      <c r="FLF101" s="1"/>
      <c r="FLG101" s="1"/>
      <c r="FLH101" s="1"/>
      <c r="FLI101" s="1"/>
      <c r="FLJ101" s="1"/>
      <c r="FLK101" s="1"/>
      <c r="FLL101" s="1"/>
      <c r="FLM101" s="1"/>
      <c r="FLN101" s="1"/>
      <c r="FLO101" s="1"/>
      <c r="FLP101" s="1"/>
      <c r="FLQ101" s="1"/>
      <c r="FLR101" s="1"/>
      <c r="FLS101" s="1"/>
      <c r="FLT101" s="1"/>
      <c r="FLU101" s="1"/>
      <c r="FLV101" s="1"/>
      <c r="FLW101" s="1"/>
      <c r="FLX101" s="1"/>
      <c r="FLY101" s="1"/>
      <c r="FLZ101" s="1"/>
      <c r="FMA101" s="1"/>
      <c r="FMB101" s="1"/>
      <c r="FMC101" s="1"/>
      <c r="FMD101" s="1"/>
      <c r="FME101" s="1"/>
      <c r="FMF101" s="1"/>
      <c r="FMG101" s="1"/>
      <c r="FMH101" s="1"/>
      <c r="FMI101" s="1"/>
      <c r="FMJ101" s="1"/>
      <c r="FMK101" s="1"/>
      <c r="FML101" s="1"/>
      <c r="FMM101" s="1"/>
      <c r="FMN101" s="1"/>
      <c r="FMO101" s="1"/>
      <c r="FMP101" s="1"/>
      <c r="FMQ101" s="1"/>
      <c r="FMR101" s="1"/>
      <c r="FMS101" s="1"/>
      <c r="FMT101" s="1"/>
      <c r="FMU101" s="1"/>
      <c r="FMV101" s="1"/>
      <c r="FMW101" s="1"/>
      <c r="FMX101" s="1"/>
      <c r="FMY101" s="1"/>
      <c r="FMZ101" s="1"/>
      <c r="FNA101" s="1"/>
      <c r="FNB101" s="1"/>
      <c r="FNC101" s="1"/>
      <c r="FND101" s="1"/>
      <c r="FNE101" s="1"/>
      <c r="FNF101" s="1"/>
      <c r="FNG101" s="1"/>
      <c r="FNH101" s="1"/>
      <c r="FNI101" s="1"/>
      <c r="FNJ101" s="1"/>
      <c r="FNK101" s="1"/>
      <c r="FNL101" s="1"/>
      <c r="FNM101" s="1"/>
      <c r="FNN101" s="1"/>
      <c r="FNO101" s="1"/>
      <c r="FNP101" s="1"/>
      <c r="FNQ101" s="1"/>
      <c r="FNR101" s="1"/>
      <c r="FNS101" s="1"/>
      <c r="FNT101" s="1"/>
      <c r="FNU101" s="1"/>
      <c r="FNV101" s="1"/>
      <c r="FNW101" s="1"/>
      <c r="FNX101" s="1"/>
      <c r="FNY101" s="1"/>
      <c r="FNZ101" s="1"/>
      <c r="FOA101" s="1"/>
      <c r="FOB101" s="1"/>
      <c r="FOC101" s="1"/>
      <c r="FOD101" s="1"/>
      <c r="FOE101" s="1"/>
      <c r="FOF101" s="1"/>
      <c r="FOG101" s="1"/>
      <c r="FOH101" s="1"/>
      <c r="FOI101" s="1"/>
      <c r="FOJ101" s="1"/>
      <c r="FOK101" s="1"/>
      <c r="FOL101" s="1"/>
      <c r="FOM101" s="1"/>
      <c r="FON101" s="1"/>
      <c r="FOO101" s="1"/>
      <c r="FOP101" s="1"/>
      <c r="FOQ101" s="1"/>
      <c r="FOR101" s="1"/>
      <c r="FOS101" s="1"/>
      <c r="FOT101" s="1"/>
      <c r="FOU101" s="1"/>
      <c r="FOV101" s="1"/>
      <c r="FOW101" s="1"/>
      <c r="FOX101" s="1"/>
      <c r="FOY101" s="1"/>
      <c r="FOZ101" s="1"/>
      <c r="FPA101" s="1"/>
      <c r="FPB101" s="1"/>
      <c r="FPC101" s="1"/>
      <c r="FPD101" s="1"/>
      <c r="FPE101" s="1"/>
      <c r="FPF101" s="1"/>
      <c r="FPG101" s="1"/>
      <c r="FPH101" s="1"/>
      <c r="FPI101" s="1"/>
      <c r="FPJ101" s="1"/>
      <c r="FPK101" s="1"/>
      <c r="FPL101" s="1"/>
      <c r="FPM101" s="1"/>
      <c r="FPN101" s="1"/>
      <c r="FPO101" s="1"/>
      <c r="FPP101" s="1"/>
      <c r="FPQ101" s="1"/>
      <c r="FPR101" s="1"/>
      <c r="FPS101" s="1"/>
      <c r="FPT101" s="1"/>
      <c r="FPU101" s="1"/>
      <c r="FPV101" s="1"/>
      <c r="FPW101" s="1"/>
      <c r="FPX101" s="1"/>
      <c r="FPY101" s="1"/>
      <c r="FPZ101" s="1"/>
      <c r="FQA101" s="1"/>
      <c r="FQB101" s="1"/>
      <c r="FQC101" s="1"/>
      <c r="FQD101" s="1"/>
      <c r="FQE101" s="1"/>
      <c r="FQF101" s="1"/>
      <c r="FQG101" s="1"/>
      <c r="FQH101" s="1"/>
      <c r="FQI101" s="1"/>
      <c r="FQJ101" s="1"/>
      <c r="FQK101" s="1"/>
      <c r="FQL101" s="1"/>
      <c r="FQM101" s="1"/>
      <c r="FQN101" s="1"/>
      <c r="FQO101" s="1"/>
      <c r="FQP101" s="1"/>
      <c r="FQQ101" s="1"/>
      <c r="FQR101" s="1"/>
      <c r="FQS101" s="1"/>
      <c r="FQT101" s="1"/>
      <c r="FQU101" s="1"/>
      <c r="FQV101" s="1"/>
      <c r="FQW101" s="1"/>
      <c r="FQX101" s="1"/>
      <c r="FQY101" s="1"/>
      <c r="FQZ101" s="1"/>
      <c r="FRA101" s="1"/>
      <c r="FRB101" s="1"/>
      <c r="FRC101" s="1"/>
      <c r="FRD101" s="1"/>
      <c r="FRE101" s="1"/>
      <c r="FRF101" s="1"/>
      <c r="FRG101" s="1"/>
      <c r="FRH101" s="1"/>
      <c r="FRI101" s="1"/>
      <c r="FRJ101" s="1"/>
      <c r="FRK101" s="1"/>
      <c r="FRL101" s="1"/>
      <c r="FRM101" s="1"/>
      <c r="FRN101" s="1"/>
      <c r="FRO101" s="1"/>
      <c r="FRP101" s="1"/>
      <c r="FRQ101" s="1"/>
      <c r="FRR101" s="1"/>
      <c r="FRS101" s="1"/>
      <c r="FRT101" s="1"/>
      <c r="FRU101" s="1"/>
      <c r="FRV101" s="1"/>
      <c r="FRW101" s="1"/>
      <c r="FRX101" s="1"/>
      <c r="FRY101" s="1"/>
      <c r="FRZ101" s="1"/>
      <c r="FSA101" s="1"/>
      <c r="FSB101" s="1"/>
      <c r="FSC101" s="1"/>
      <c r="FSD101" s="1"/>
      <c r="FSE101" s="1"/>
      <c r="FSF101" s="1"/>
      <c r="FSG101" s="1"/>
      <c r="FSH101" s="1"/>
      <c r="FSI101" s="1"/>
      <c r="FSJ101" s="1"/>
      <c r="FSK101" s="1"/>
      <c r="FSL101" s="1"/>
      <c r="FSM101" s="1"/>
      <c r="FSN101" s="1"/>
      <c r="FSO101" s="1"/>
      <c r="FSP101" s="1"/>
      <c r="FSQ101" s="1"/>
      <c r="FSR101" s="1"/>
      <c r="FSS101" s="1"/>
      <c r="FST101" s="1"/>
      <c r="FSU101" s="1"/>
      <c r="FSV101" s="1"/>
      <c r="FSW101" s="1"/>
      <c r="FSX101" s="1"/>
      <c r="FSY101" s="1"/>
      <c r="FSZ101" s="1"/>
      <c r="FTA101" s="1"/>
      <c r="FTB101" s="1"/>
      <c r="FTC101" s="1"/>
      <c r="FTD101" s="1"/>
      <c r="FTE101" s="1"/>
      <c r="FTF101" s="1"/>
      <c r="FTG101" s="1"/>
      <c r="FTH101" s="1"/>
      <c r="FTI101" s="1"/>
      <c r="FTJ101" s="1"/>
      <c r="FTK101" s="1"/>
      <c r="FTL101" s="1"/>
      <c r="FTM101" s="1"/>
      <c r="FTN101" s="1"/>
      <c r="FTO101" s="1"/>
      <c r="FTP101" s="1"/>
      <c r="FTQ101" s="1"/>
      <c r="FTR101" s="1"/>
      <c r="FTS101" s="1"/>
      <c r="FTT101" s="1"/>
      <c r="FTU101" s="1"/>
      <c r="FTV101" s="1"/>
      <c r="FTW101" s="1"/>
      <c r="FTX101" s="1"/>
      <c r="FTY101" s="1"/>
      <c r="FTZ101" s="1"/>
      <c r="FUA101" s="1"/>
      <c r="FUB101" s="1"/>
      <c r="FUC101" s="1"/>
      <c r="FUD101" s="1"/>
      <c r="FUE101" s="1"/>
      <c r="FUF101" s="1"/>
      <c r="FUG101" s="1"/>
      <c r="FUH101" s="1"/>
      <c r="FUI101" s="1"/>
      <c r="FUJ101" s="1"/>
      <c r="FUK101" s="1"/>
      <c r="FUL101" s="1"/>
      <c r="FUM101" s="1"/>
      <c r="FUN101" s="1"/>
      <c r="FUO101" s="1"/>
      <c r="FUP101" s="1"/>
      <c r="FUQ101" s="1"/>
      <c r="FUR101" s="1"/>
      <c r="FUS101" s="1"/>
      <c r="FUT101" s="1"/>
      <c r="FUU101" s="1"/>
      <c r="FUV101" s="1"/>
      <c r="FUW101" s="1"/>
      <c r="FUX101" s="1"/>
      <c r="FUY101" s="1"/>
      <c r="FUZ101" s="1"/>
      <c r="FVA101" s="1"/>
      <c r="FVB101" s="1"/>
      <c r="FVC101" s="1"/>
      <c r="FVD101" s="1"/>
      <c r="FVE101" s="1"/>
      <c r="FVF101" s="1"/>
      <c r="FVG101" s="1"/>
      <c r="FVH101" s="1"/>
      <c r="FVI101" s="1"/>
      <c r="FVJ101" s="1"/>
      <c r="FVK101" s="1"/>
      <c r="FVL101" s="1"/>
      <c r="FVM101" s="1"/>
      <c r="FVN101" s="1"/>
      <c r="FVO101" s="1"/>
      <c r="FVP101" s="1"/>
      <c r="FVQ101" s="1"/>
      <c r="FVR101" s="1"/>
      <c r="FVS101" s="1"/>
      <c r="FVT101" s="1"/>
      <c r="FVU101" s="1"/>
      <c r="FVV101" s="1"/>
      <c r="FVW101" s="1"/>
      <c r="FVX101" s="1"/>
      <c r="FVY101" s="1"/>
      <c r="FVZ101" s="1"/>
      <c r="FWA101" s="1"/>
      <c r="FWB101" s="1"/>
      <c r="FWC101" s="1"/>
      <c r="FWD101" s="1"/>
      <c r="FWE101" s="1"/>
      <c r="FWF101" s="1"/>
      <c r="FWG101" s="1"/>
      <c r="FWH101" s="1"/>
      <c r="FWI101" s="1"/>
      <c r="FWJ101" s="1"/>
      <c r="FWK101" s="1"/>
      <c r="FWL101" s="1"/>
      <c r="FWM101" s="1"/>
      <c r="FWN101" s="1"/>
      <c r="FWO101" s="1"/>
      <c r="FWP101" s="1"/>
      <c r="FWQ101" s="1"/>
      <c r="FWR101" s="1"/>
      <c r="FWS101" s="1"/>
      <c r="FWT101" s="1"/>
      <c r="FWU101" s="1"/>
      <c r="FWV101" s="1"/>
      <c r="FWW101" s="1"/>
      <c r="FWX101" s="1"/>
      <c r="FWY101" s="1"/>
      <c r="FWZ101" s="1"/>
      <c r="FXA101" s="1"/>
      <c r="FXB101" s="1"/>
      <c r="FXC101" s="1"/>
      <c r="FXD101" s="1"/>
      <c r="FXE101" s="1"/>
      <c r="FXF101" s="1"/>
      <c r="FXG101" s="1"/>
      <c r="FXH101" s="1"/>
      <c r="FXI101" s="1"/>
      <c r="FXJ101" s="1"/>
      <c r="FXK101" s="1"/>
      <c r="FXL101" s="1"/>
      <c r="FXM101" s="1"/>
      <c r="FXN101" s="1"/>
      <c r="FXO101" s="1"/>
      <c r="FXP101" s="1"/>
      <c r="FXQ101" s="1"/>
      <c r="FXR101" s="1"/>
      <c r="FXS101" s="1"/>
      <c r="FXT101" s="1"/>
      <c r="FXU101" s="1"/>
      <c r="FXV101" s="1"/>
      <c r="FXW101" s="1"/>
      <c r="FXX101" s="1"/>
      <c r="FXY101" s="1"/>
      <c r="FXZ101" s="1"/>
      <c r="FYA101" s="1"/>
      <c r="FYB101" s="1"/>
      <c r="FYC101" s="1"/>
      <c r="FYD101" s="1"/>
      <c r="FYE101" s="1"/>
      <c r="FYF101" s="1"/>
      <c r="FYG101" s="1"/>
      <c r="FYH101" s="1"/>
      <c r="FYI101" s="1"/>
      <c r="FYJ101" s="1"/>
      <c r="FYK101" s="1"/>
      <c r="FYL101" s="1"/>
      <c r="FYM101" s="1"/>
      <c r="FYN101" s="1"/>
      <c r="FYO101" s="1"/>
      <c r="FYP101" s="1"/>
      <c r="FYQ101" s="1"/>
      <c r="FYR101" s="1"/>
      <c r="FYS101" s="1"/>
      <c r="FYT101" s="1"/>
      <c r="FYU101" s="1"/>
      <c r="FYV101" s="1"/>
      <c r="FYW101" s="1"/>
      <c r="FYX101" s="1"/>
      <c r="FYY101" s="1"/>
      <c r="FYZ101" s="1"/>
      <c r="FZA101" s="1"/>
      <c r="FZB101" s="1"/>
      <c r="FZC101" s="1"/>
      <c r="FZD101" s="1"/>
      <c r="FZE101" s="1"/>
      <c r="FZF101" s="1"/>
      <c r="FZG101" s="1"/>
      <c r="FZH101" s="1"/>
      <c r="FZI101" s="1"/>
      <c r="FZJ101" s="1"/>
      <c r="FZK101" s="1"/>
      <c r="FZL101" s="1"/>
      <c r="FZM101" s="1"/>
      <c r="FZN101" s="1"/>
      <c r="FZO101" s="1"/>
      <c r="FZP101" s="1"/>
      <c r="FZQ101" s="1"/>
      <c r="FZR101" s="1"/>
      <c r="FZS101" s="1"/>
      <c r="FZT101" s="1"/>
      <c r="FZU101" s="1"/>
      <c r="FZV101" s="1"/>
      <c r="FZW101" s="1"/>
      <c r="FZX101" s="1"/>
      <c r="FZY101" s="1"/>
      <c r="FZZ101" s="1"/>
      <c r="GAA101" s="1"/>
      <c r="GAB101" s="1"/>
      <c r="GAC101" s="1"/>
      <c r="GAD101" s="1"/>
      <c r="GAE101" s="1"/>
      <c r="GAF101" s="1"/>
      <c r="GAG101" s="1"/>
      <c r="GAH101" s="1"/>
      <c r="GAI101" s="1"/>
      <c r="GAJ101" s="1"/>
      <c r="GAK101" s="1"/>
      <c r="GAL101" s="1"/>
      <c r="GAM101" s="1"/>
      <c r="GAN101" s="1"/>
      <c r="GAO101" s="1"/>
      <c r="GAP101" s="1"/>
      <c r="GAQ101" s="1"/>
      <c r="GAR101" s="1"/>
      <c r="GAS101" s="1"/>
      <c r="GAT101" s="1"/>
      <c r="GAU101" s="1"/>
      <c r="GAV101" s="1"/>
      <c r="GAW101" s="1"/>
      <c r="GAX101" s="1"/>
      <c r="GAY101" s="1"/>
      <c r="GAZ101" s="1"/>
      <c r="GBA101" s="1"/>
      <c r="GBB101" s="1"/>
      <c r="GBC101" s="1"/>
      <c r="GBD101" s="1"/>
      <c r="GBE101" s="1"/>
      <c r="GBF101" s="1"/>
      <c r="GBG101" s="1"/>
      <c r="GBH101" s="1"/>
      <c r="GBI101" s="1"/>
      <c r="GBJ101" s="1"/>
      <c r="GBK101" s="1"/>
      <c r="GBL101" s="1"/>
      <c r="GBM101" s="1"/>
      <c r="GBN101" s="1"/>
      <c r="GBO101" s="1"/>
      <c r="GBP101" s="1"/>
      <c r="GBQ101" s="1"/>
      <c r="GBR101" s="1"/>
      <c r="GBS101" s="1"/>
      <c r="GBT101" s="1"/>
      <c r="GBU101" s="1"/>
      <c r="GBV101" s="1"/>
      <c r="GBW101" s="1"/>
      <c r="GBX101" s="1"/>
      <c r="GBY101" s="1"/>
      <c r="GBZ101" s="1"/>
      <c r="GCA101" s="1"/>
      <c r="GCB101" s="1"/>
      <c r="GCC101" s="1"/>
      <c r="GCD101" s="1"/>
      <c r="GCE101" s="1"/>
      <c r="GCF101" s="1"/>
      <c r="GCG101" s="1"/>
      <c r="GCH101" s="1"/>
      <c r="GCI101" s="1"/>
      <c r="GCJ101" s="1"/>
      <c r="GCK101" s="1"/>
      <c r="GCL101" s="1"/>
      <c r="GCM101" s="1"/>
      <c r="GCN101" s="1"/>
      <c r="GCO101" s="1"/>
      <c r="GCP101" s="1"/>
      <c r="GCQ101" s="1"/>
      <c r="GCR101" s="1"/>
      <c r="GCS101" s="1"/>
      <c r="GCT101" s="1"/>
      <c r="GCU101" s="1"/>
      <c r="GCV101" s="1"/>
      <c r="GCW101" s="1"/>
      <c r="GCX101" s="1"/>
      <c r="GCY101" s="1"/>
      <c r="GCZ101" s="1"/>
      <c r="GDA101" s="1"/>
      <c r="GDB101" s="1"/>
      <c r="GDC101" s="1"/>
      <c r="GDD101" s="1"/>
      <c r="GDE101" s="1"/>
      <c r="GDF101" s="1"/>
      <c r="GDG101" s="1"/>
      <c r="GDH101" s="1"/>
      <c r="GDI101" s="1"/>
      <c r="GDJ101" s="1"/>
      <c r="GDK101" s="1"/>
      <c r="GDL101" s="1"/>
      <c r="GDM101" s="1"/>
      <c r="GDN101" s="1"/>
      <c r="GDO101" s="1"/>
      <c r="GDP101" s="1"/>
      <c r="GDQ101" s="1"/>
      <c r="GDR101" s="1"/>
      <c r="GDS101" s="1"/>
      <c r="GDT101" s="1"/>
      <c r="GDU101" s="1"/>
      <c r="GDV101" s="1"/>
      <c r="GDW101" s="1"/>
      <c r="GDX101" s="1"/>
      <c r="GDY101" s="1"/>
      <c r="GDZ101" s="1"/>
      <c r="GEA101" s="1"/>
      <c r="GEB101" s="1"/>
      <c r="GEC101" s="1"/>
      <c r="GED101" s="1"/>
      <c r="GEE101" s="1"/>
      <c r="GEF101" s="1"/>
      <c r="GEG101" s="1"/>
      <c r="GEH101" s="1"/>
      <c r="GEI101" s="1"/>
      <c r="GEJ101" s="1"/>
      <c r="GEK101" s="1"/>
      <c r="GEL101" s="1"/>
      <c r="GEM101" s="1"/>
      <c r="GEN101" s="1"/>
      <c r="GEO101" s="1"/>
      <c r="GEP101" s="1"/>
      <c r="GEQ101" s="1"/>
      <c r="GER101" s="1"/>
      <c r="GES101" s="1"/>
      <c r="GET101" s="1"/>
      <c r="GEU101" s="1"/>
      <c r="GEV101" s="1"/>
      <c r="GEW101" s="1"/>
      <c r="GEX101" s="1"/>
      <c r="GEY101" s="1"/>
      <c r="GEZ101" s="1"/>
      <c r="GFA101" s="1"/>
      <c r="GFB101" s="1"/>
      <c r="GFC101" s="1"/>
      <c r="GFD101" s="1"/>
      <c r="GFE101" s="1"/>
      <c r="GFF101" s="1"/>
      <c r="GFG101" s="1"/>
      <c r="GFH101" s="1"/>
      <c r="GFI101" s="1"/>
      <c r="GFJ101" s="1"/>
      <c r="GFK101" s="1"/>
      <c r="GFL101" s="1"/>
      <c r="GFM101" s="1"/>
      <c r="GFN101" s="1"/>
      <c r="GFO101" s="1"/>
      <c r="GFP101" s="1"/>
      <c r="GFQ101" s="1"/>
      <c r="GFR101" s="1"/>
      <c r="GFS101" s="1"/>
      <c r="GFT101" s="1"/>
      <c r="GFU101" s="1"/>
      <c r="GFV101" s="1"/>
      <c r="GFW101" s="1"/>
      <c r="GFX101" s="1"/>
      <c r="GFY101" s="1"/>
      <c r="GFZ101" s="1"/>
      <c r="GGA101" s="1"/>
      <c r="GGB101" s="1"/>
      <c r="GGC101" s="1"/>
      <c r="GGD101" s="1"/>
      <c r="GGE101" s="1"/>
      <c r="GGF101" s="1"/>
      <c r="GGG101" s="1"/>
      <c r="GGH101" s="1"/>
      <c r="GGI101" s="1"/>
      <c r="GGJ101" s="1"/>
      <c r="GGK101" s="1"/>
      <c r="GGL101" s="1"/>
      <c r="GGM101" s="1"/>
      <c r="GGN101" s="1"/>
      <c r="GGO101" s="1"/>
      <c r="GGP101" s="1"/>
      <c r="GGQ101" s="1"/>
      <c r="GGR101" s="1"/>
      <c r="GGS101" s="1"/>
      <c r="GGT101" s="1"/>
      <c r="GGU101" s="1"/>
      <c r="GGV101" s="1"/>
      <c r="GGW101" s="1"/>
      <c r="GGX101" s="1"/>
      <c r="GGY101" s="1"/>
      <c r="GGZ101" s="1"/>
      <c r="GHA101" s="1"/>
      <c r="GHB101" s="1"/>
      <c r="GHC101" s="1"/>
      <c r="GHD101" s="1"/>
      <c r="GHE101" s="1"/>
      <c r="GHF101" s="1"/>
      <c r="GHG101" s="1"/>
      <c r="GHH101" s="1"/>
      <c r="GHI101" s="1"/>
      <c r="GHJ101" s="1"/>
      <c r="GHK101" s="1"/>
      <c r="GHL101" s="1"/>
      <c r="GHM101" s="1"/>
      <c r="GHN101" s="1"/>
      <c r="GHO101" s="1"/>
      <c r="GHP101" s="1"/>
      <c r="GHQ101" s="1"/>
      <c r="GHR101" s="1"/>
      <c r="GHS101" s="1"/>
      <c r="GHT101" s="1"/>
      <c r="GHU101" s="1"/>
      <c r="GHV101" s="1"/>
      <c r="GHW101" s="1"/>
      <c r="GHX101" s="1"/>
      <c r="GHY101" s="1"/>
      <c r="GHZ101" s="1"/>
      <c r="GIA101" s="1"/>
      <c r="GIB101" s="1"/>
      <c r="GIC101" s="1"/>
      <c r="GID101" s="1"/>
      <c r="GIE101" s="1"/>
      <c r="GIF101" s="1"/>
      <c r="GIG101" s="1"/>
      <c r="GIH101" s="1"/>
      <c r="GII101" s="1"/>
      <c r="GIJ101" s="1"/>
      <c r="GIK101" s="1"/>
      <c r="GIL101" s="1"/>
      <c r="GIM101" s="1"/>
      <c r="GIN101" s="1"/>
      <c r="GIO101" s="1"/>
      <c r="GIP101" s="1"/>
      <c r="GIQ101" s="1"/>
      <c r="GIR101" s="1"/>
      <c r="GIS101" s="1"/>
      <c r="GIT101" s="1"/>
      <c r="GIU101" s="1"/>
      <c r="GIV101" s="1"/>
      <c r="GIW101" s="1"/>
      <c r="GIX101" s="1"/>
      <c r="GIY101" s="1"/>
      <c r="GIZ101" s="1"/>
      <c r="GJA101" s="1"/>
      <c r="GJB101" s="1"/>
      <c r="GJC101" s="1"/>
      <c r="GJD101" s="1"/>
      <c r="GJE101" s="1"/>
      <c r="GJF101" s="1"/>
      <c r="GJG101" s="1"/>
      <c r="GJH101" s="1"/>
      <c r="GJI101" s="1"/>
      <c r="GJJ101" s="1"/>
      <c r="GJK101" s="1"/>
      <c r="GJL101" s="1"/>
      <c r="GJM101" s="1"/>
      <c r="GJN101" s="1"/>
      <c r="GJO101" s="1"/>
      <c r="GJP101" s="1"/>
      <c r="GJQ101" s="1"/>
      <c r="GJR101" s="1"/>
      <c r="GJS101" s="1"/>
      <c r="GJT101" s="1"/>
      <c r="GJU101" s="1"/>
      <c r="GJV101" s="1"/>
      <c r="GJW101" s="1"/>
      <c r="GJX101" s="1"/>
      <c r="GJY101" s="1"/>
      <c r="GJZ101" s="1"/>
      <c r="GKA101" s="1"/>
      <c r="GKB101" s="1"/>
      <c r="GKC101" s="1"/>
      <c r="GKD101" s="1"/>
      <c r="GKE101" s="1"/>
      <c r="GKF101" s="1"/>
      <c r="GKG101" s="1"/>
      <c r="GKH101" s="1"/>
      <c r="GKI101" s="1"/>
      <c r="GKJ101" s="1"/>
      <c r="GKK101" s="1"/>
      <c r="GKL101" s="1"/>
      <c r="GKM101" s="1"/>
      <c r="GKN101" s="1"/>
      <c r="GKO101" s="1"/>
      <c r="GKP101" s="1"/>
      <c r="GKQ101" s="1"/>
      <c r="GKR101" s="1"/>
      <c r="GKS101" s="1"/>
      <c r="GKT101" s="1"/>
      <c r="GKU101" s="1"/>
      <c r="GKV101" s="1"/>
      <c r="GKW101" s="1"/>
      <c r="GKX101" s="1"/>
      <c r="GKY101" s="1"/>
      <c r="GKZ101" s="1"/>
      <c r="GLA101" s="1"/>
      <c r="GLB101" s="1"/>
      <c r="GLC101" s="1"/>
      <c r="GLD101" s="1"/>
      <c r="GLE101" s="1"/>
      <c r="GLF101" s="1"/>
      <c r="GLG101" s="1"/>
      <c r="GLH101" s="1"/>
      <c r="GLI101" s="1"/>
      <c r="GLJ101" s="1"/>
      <c r="GLK101" s="1"/>
      <c r="GLL101" s="1"/>
      <c r="GLM101" s="1"/>
      <c r="GLN101" s="1"/>
      <c r="GLO101" s="1"/>
      <c r="GLP101" s="1"/>
      <c r="GLQ101" s="1"/>
      <c r="GLR101" s="1"/>
      <c r="GLS101" s="1"/>
      <c r="GLT101" s="1"/>
      <c r="GLU101" s="1"/>
      <c r="GLV101" s="1"/>
      <c r="GLW101" s="1"/>
      <c r="GLX101" s="1"/>
      <c r="GLY101" s="1"/>
      <c r="GLZ101" s="1"/>
      <c r="GMA101" s="1"/>
      <c r="GMB101" s="1"/>
      <c r="GMC101" s="1"/>
      <c r="GMD101" s="1"/>
      <c r="GME101" s="1"/>
      <c r="GMF101" s="1"/>
      <c r="GMG101" s="1"/>
      <c r="GMH101" s="1"/>
      <c r="GMI101" s="1"/>
      <c r="GMJ101" s="1"/>
      <c r="GMK101" s="1"/>
      <c r="GML101" s="1"/>
      <c r="GMM101" s="1"/>
      <c r="GMN101" s="1"/>
      <c r="GMO101" s="1"/>
      <c r="GMP101" s="1"/>
      <c r="GMQ101" s="1"/>
      <c r="GMR101" s="1"/>
      <c r="GMS101" s="1"/>
      <c r="GMT101" s="1"/>
      <c r="GMU101" s="1"/>
      <c r="GMV101" s="1"/>
      <c r="GMW101" s="1"/>
      <c r="GMX101" s="1"/>
      <c r="GMY101" s="1"/>
      <c r="GMZ101" s="1"/>
      <c r="GNA101" s="1"/>
      <c r="GNB101" s="1"/>
      <c r="GNC101" s="1"/>
      <c r="GND101" s="1"/>
      <c r="GNE101" s="1"/>
      <c r="GNF101" s="1"/>
      <c r="GNG101" s="1"/>
      <c r="GNH101" s="1"/>
      <c r="GNI101" s="1"/>
      <c r="GNJ101" s="1"/>
      <c r="GNK101" s="1"/>
      <c r="GNL101" s="1"/>
      <c r="GNM101" s="1"/>
      <c r="GNN101" s="1"/>
      <c r="GNO101" s="1"/>
      <c r="GNP101" s="1"/>
      <c r="GNQ101" s="1"/>
      <c r="GNR101" s="1"/>
      <c r="GNS101" s="1"/>
      <c r="GNT101" s="1"/>
      <c r="GNU101" s="1"/>
      <c r="GNV101" s="1"/>
      <c r="GNW101" s="1"/>
      <c r="GNX101" s="1"/>
      <c r="GNY101" s="1"/>
      <c r="GNZ101" s="1"/>
      <c r="GOA101" s="1"/>
      <c r="GOB101" s="1"/>
      <c r="GOC101" s="1"/>
      <c r="GOD101" s="1"/>
      <c r="GOE101" s="1"/>
      <c r="GOF101" s="1"/>
      <c r="GOG101" s="1"/>
      <c r="GOH101" s="1"/>
      <c r="GOI101" s="1"/>
      <c r="GOJ101" s="1"/>
      <c r="GOK101" s="1"/>
      <c r="GOL101" s="1"/>
      <c r="GOM101" s="1"/>
      <c r="GON101" s="1"/>
      <c r="GOO101" s="1"/>
      <c r="GOP101" s="1"/>
      <c r="GOQ101" s="1"/>
      <c r="GOR101" s="1"/>
      <c r="GOS101" s="1"/>
      <c r="GOT101" s="1"/>
      <c r="GOU101" s="1"/>
      <c r="GOV101" s="1"/>
      <c r="GOW101" s="1"/>
      <c r="GOX101" s="1"/>
      <c r="GOY101" s="1"/>
      <c r="GOZ101" s="1"/>
      <c r="GPA101" s="1"/>
      <c r="GPB101" s="1"/>
      <c r="GPC101" s="1"/>
      <c r="GPD101" s="1"/>
      <c r="GPE101" s="1"/>
      <c r="GPF101" s="1"/>
      <c r="GPG101" s="1"/>
      <c r="GPH101" s="1"/>
      <c r="GPI101" s="1"/>
      <c r="GPJ101" s="1"/>
      <c r="GPK101" s="1"/>
      <c r="GPL101" s="1"/>
      <c r="GPM101" s="1"/>
      <c r="GPN101" s="1"/>
      <c r="GPO101" s="1"/>
      <c r="GPP101" s="1"/>
      <c r="GPQ101" s="1"/>
      <c r="GPR101" s="1"/>
      <c r="GPS101" s="1"/>
      <c r="GPT101" s="1"/>
      <c r="GPU101" s="1"/>
      <c r="GPV101" s="1"/>
      <c r="GPW101" s="1"/>
      <c r="GPX101" s="1"/>
      <c r="GPY101" s="1"/>
      <c r="GPZ101" s="1"/>
      <c r="GQA101" s="1"/>
      <c r="GQB101" s="1"/>
      <c r="GQC101" s="1"/>
      <c r="GQD101" s="1"/>
      <c r="GQE101" s="1"/>
      <c r="GQF101" s="1"/>
      <c r="GQG101" s="1"/>
      <c r="GQH101" s="1"/>
      <c r="GQI101" s="1"/>
      <c r="GQJ101" s="1"/>
      <c r="GQK101" s="1"/>
      <c r="GQL101" s="1"/>
      <c r="GQM101" s="1"/>
      <c r="GQN101" s="1"/>
      <c r="GQO101" s="1"/>
      <c r="GQP101" s="1"/>
      <c r="GQQ101" s="1"/>
      <c r="GQR101" s="1"/>
      <c r="GQS101" s="1"/>
      <c r="GQT101" s="1"/>
      <c r="GQU101" s="1"/>
      <c r="GQV101" s="1"/>
      <c r="GQW101" s="1"/>
      <c r="GQX101" s="1"/>
      <c r="GQY101" s="1"/>
      <c r="GQZ101" s="1"/>
      <c r="GRA101" s="1"/>
      <c r="GRB101" s="1"/>
      <c r="GRC101" s="1"/>
      <c r="GRD101" s="1"/>
      <c r="GRE101" s="1"/>
      <c r="GRF101" s="1"/>
      <c r="GRG101" s="1"/>
      <c r="GRH101" s="1"/>
      <c r="GRI101" s="1"/>
      <c r="GRJ101" s="1"/>
      <c r="GRK101" s="1"/>
      <c r="GRL101" s="1"/>
      <c r="GRM101" s="1"/>
      <c r="GRN101" s="1"/>
      <c r="GRO101" s="1"/>
      <c r="GRP101" s="1"/>
      <c r="GRQ101" s="1"/>
      <c r="GRR101" s="1"/>
      <c r="GRS101" s="1"/>
      <c r="GRT101" s="1"/>
      <c r="GRU101" s="1"/>
      <c r="GRV101" s="1"/>
      <c r="GRW101" s="1"/>
      <c r="GRX101" s="1"/>
      <c r="GRY101" s="1"/>
      <c r="GRZ101" s="1"/>
      <c r="GSA101" s="1"/>
      <c r="GSB101" s="1"/>
      <c r="GSC101" s="1"/>
      <c r="GSD101" s="1"/>
      <c r="GSE101" s="1"/>
      <c r="GSF101" s="1"/>
      <c r="GSG101" s="1"/>
      <c r="GSH101" s="1"/>
      <c r="GSI101" s="1"/>
      <c r="GSJ101" s="1"/>
      <c r="GSK101" s="1"/>
      <c r="GSL101" s="1"/>
      <c r="GSM101" s="1"/>
      <c r="GSN101" s="1"/>
      <c r="GSO101" s="1"/>
      <c r="GSP101" s="1"/>
      <c r="GSQ101" s="1"/>
      <c r="GSR101" s="1"/>
      <c r="GSS101" s="1"/>
      <c r="GST101" s="1"/>
      <c r="GSU101" s="1"/>
      <c r="GSV101" s="1"/>
      <c r="GSW101" s="1"/>
      <c r="GSX101" s="1"/>
      <c r="GSY101" s="1"/>
      <c r="GSZ101" s="1"/>
      <c r="GTA101" s="1"/>
      <c r="GTB101" s="1"/>
      <c r="GTC101" s="1"/>
      <c r="GTD101" s="1"/>
      <c r="GTE101" s="1"/>
      <c r="GTF101" s="1"/>
      <c r="GTG101" s="1"/>
      <c r="GTH101" s="1"/>
      <c r="GTI101" s="1"/>
      <c r="GTJ101" s="1"/>
      <c r="GTK101" s="1"/>
      <c r="GTL101" s="1"/>
      <c r="GTM101" s="1"/>
      <c r="GTN101" s="1"/>
      <c r="GTO101" s="1"/>
      <c r="GTP101" s="1"/>
      <c r="GTQ101" s="1"/>
      <c r="GTR101" s="1"/>
      <c r="GTS101" s="1"/>
      <c r="GTT101" s="1"/>
      <c r="GTU101" s="1"/>
      <c r="GTV101" s="1"/>
      <c r="GTW101" s="1"/>
      <c r="GTX101" s="1"/>
      <c r="GTY101" s="1"/>
      <c r="GTZ101" s="1"/>
      <c r="GUA101" s="1"/>
      <c r="GUB101" s="1"/>
      <c r="GUC101" s="1"/>
      <c r="GUD101" s="1"/>
      <c r="GUE101" s="1"/>
      <c r="GUF101" s="1"/>
      <c r="GUG101" s="1"/>
      <c r="GUH101" s="1"/>
      <c r="GUI101" s="1"/>
      <c r="GUJ101" s="1"/>
      <c r="GUK101" s="1"/>
      <c r="GUL101" s="1"/>
      <c r="GUM101" s="1"/>
      <c r="GUN101" s="1"/>
      <c r="GUO101" s="1"/>
      <c r="GUP101" s="1"/>
      <c r="GUQ101" s="1"/>
      <c r="GUR101" s="1"/>
      <c r="GUS101" s="1"/>
      <c r="GUT101" s="1"/>
      <c r="GUU101" s="1"/>
      <c r="GUV101" s="1"/>
      <c r="GUW101" s="1"/>
      <c r="GUX101" s="1"/>
      <c r="GUY101" s="1"/>
      <c r="GUZ101" s="1"/>
      <c r="GVA101" s="1"/>
      <c r="GVB101" s="1"/>
      <c r="GVC101" s="1"/>
      <c r="GVD101" s="1"/>
      <c r="GVE101" s="1"/>
      <c r="GVF101" s="1"/>
      <c r="GVG101" s="1"/>
      <c r="GVH101" s="1"/>
      <c r="GVI101" s="1"/>
      <c r="GVJ101" s="1"/>
      <c r="GVK101" s="1"/>
      <c r="GVL101" s="1"/>
      <c r="GVM101" s="1"/>
      <c r="GVN101" s="1"/>
      <c r="GVO101" s="1"/>
      <c r="GVP101" s="1"/>
      <c r="GVQ101" s="1"/>
      <c r="GVR101" s="1"/>
      <c r="GVS101" s="1"/>
      <c r="GVT101" s="1"/>
      <c r="GVU101" s="1"/>
      <c r="GVV101" s="1"/>
      <c r="GVW101" s="1"/>
      <c r="GVX101" s="1"/>
      <c r="GVY101" s="1"/>
      <c r="GVZ101" s="1"/>
      <c r="GWA101" s="1"/>
      <c r="GWB101" s="1"/>
      <c r="GWC101" s="1"/>
      <c r="GWD101" s="1"/>
      <c r="GWE101" s="1"/>
      <c r="GWF101" s="1"/>
      <c r="GWG101" s="1"/>
      <c r="GWH101" s="1"/>
      <c r="GWI101" s="1"/>
      <c r="GWJ101" s="1"/>
      <c r="GWK101" s="1"/>
      <c r="GWL101" s="1"/>
      <c r="GWM101" s="1"/>
      <c r="GWN101" s="1"/>
      <c r="GWO101" s="1"/>
      <c r="GWP101" s="1"/>
      <c r="GWQ101" s="1"/>
      <c r="GWR101" s="1"/>
      <c r="GWS101" s="1"/>
      <c r="GWT101" s="1"/>
      <c r="GWU101" s="1"/>
      <c r="GWV101" s="1"/>
      <c r="GWW101" s="1"/>
      <c r="GWX101" s="1"/>
      <c r="GWY101" s="1"/>
      <c r="GWZ101" s="1"/>
      <c r="GXA101" s="1"/>
      <c r="GXB101" s="1"/>
      <c r="GXC101" s="1"/>
      <c r="GXD101" s="1"/>
      <c r="GXE101" s="1"/>
      <c r="GXF101" s="1"/>
      <c r="GXG101" s="1"/>
      <c r="GXH101" s="1"/>
      <c r="GXI101" s="1"/>
      <c r="GXJ101" s="1"/>
      <c r="GXK101" s="1"/>
      <c r="GXL101" s="1"/>
      <c r="GXM101" s="1"/>
      <c r="GXN101" s="1"/>
      <c r="GXO101" s="1"/>
      <c r="GXP101" s="1"/>
      <c r="GXQ101" s="1"/>
      <c r="GXR101" s="1"/>
      <c r="GXS101" s="1"/>
      <c r="GXT101" s="1"/>
      <c r="GXU101" s="1"/>
      <c r="GXV101" s="1"/>
      <c r="GXW101" s="1"/>
      <c r="GXX101" s="1"/>
      <c r="GXY101" s="1"/>
      <c r="GXZ101" s="1"/>
      <c r="GYA101" s="1"/>
      <c r="GYB101" s="1"/>
      <c r="GYC101" s="1"/>
      <c r="GYD101" s="1"/>
      <c r="GYE101" s="1"/>
      <c r="GYF101" s="1"/>
      <c r="GYG101" s="1"/>
      <c r="GYH101" s="1"/>
      <c r="GYI101" s="1"/>
      <c r="GYJ101" s="1"/>
      <c r="GYK101" s="1"/>
      <c r="GYL101" s="1"/>
      <c r="GYM101" s="1"/>
      <c r="GYN101" s="1"/>
      <c r="GYO101" s="1"/>
      <c r="GYP101" s="1"/>
      <c r="GYQ101" s="1"/>
      <c r="GYR101" s="1"/>
      <c r="GYS101" s="1"/>
      <c r="GYT101" s="1"/>
      <c r="GYU101" s="1"/>
      <c r="GYV101" s="1"/>
      <c r="GYW101" s="1"/>
      <c r="GYX101" s="1"/>
      <c r="GYY101" s="1"/>
      <c r="GYZ101" s="1"/>
      <c r="GZA101" s="1"/>
      <c r="GZB101" s="1"/>
      <c r="GZC101" s="1"/>
      <c r="GZD101" s="1"/>
      <c r="GZE101" s="1"/>
      <c r="GZF101" s="1"/>
      <c r="GZG101" s="1"/>
      <c r="GZH101" s="1"/>
      <c r="GZI101" s="1"/>
      <c r="GZJ101" s="1"/>
      <c r="GZK101" s="1"/>
      <c r="GZL101" s="1"/>
      <c r="GZM101" s="1"/>
      <c r="GZN101" s="1"/>
      <c r="GZO101" s="1"/>
      <c r="GZP101" s="1"/>
      <c r="GZQ101" s="1"/>
      <c r="GZR101" s="1"/>
      <c r="GZS101" s="1"/>
      <c r="GZT101" s="1"/>
      <c r="GZU101" s="1"/>
      <c r="GZV101" s="1"/>
      <c r="GZW101" s="1"/>
      <c r="GZX101" s="1"/>
      <c r="GZY101" s="1"/>
      <c r="GZZ101" s="1"/>
      <c r="HAA101" s="1"/>
      <c r="HAB101" s="1"/>
      <c r="HAC101" s="1"/>
      <c r="HAD101" s="1"/>
      <c r="HAE101" s="1"/>
      <c r="HAF101" s="1"/>
      <c r="HAG101" s="1"/>
      <c r="HAH101" s="1"/>
      <c r="HAI101" s="1"/>
      <c r="HAJ101" s="1"/>
      <c r="HAK101" s="1"/>
      <c r="HAL101" s="1"/>
      <c r="HAM101" s="1"/>
      <c r="HAN101" s="1"/>
      <c r="HAO101" s="1"/>
      <c r="HAP101" s="1"/>
      <c r="HAQ101" s="1"/>
      <c r="HAR101" s="1"/>
      <c r="HAS101" s="1"/>
      <c r="HAT101" s="1"/>
      <c r="HAU101" s="1"/>
      <c r="HAV101" s="1"/>
      <c r="HAW101" s="1"/>
      <c r="HAX101" s="1"/>
      <c r="HAY101" s="1"/>
      <c r="HAZ101" s="1"/>
      <c r="HBA101" s="1"/>
      <c r="HBB101" s="1"/>
      <c r="HBC101" s="1"/>
      <c r="HBD101" s="1"/>
      <c r="HBE101" s="1"/>
      <c r="HBF101" s="1"/>
      <c r="HBG101" s="1"/>
      <c r="HBH101" s="1"/>
      <c r="HBI101" s="1"/>
      <c r="HBJ101" s="1"/>
      <c r="HBK101" s="1"/>
      <c r="HBL101" s="1"/>
      <c r="HBM101" s="1"/>
      <c r="HBN101" s="1"/>
      <c r="HBO101" s="1"/>
      <c r="HBP101" s="1"/>
      <c r="HBQ101" s="1"/>
      <c r="HBR101" s="1"/>
      <c r="HBS101" s="1"/>
      <c r="HBT101" s="1"/>
      <c r="HBU101" s="1"/>
      <c r="HBV101" s="1"/>
      <c r="HBW101" s="1"/>
      <c r="HBX101" s="1"/>
      <c r="HBY101" s="1"/>
      <c r="HBZ101" s="1"/>
      <c r="HCA101" s="1"/>
      <c r="HCB101" s="1"/>
      <c r="HCC101" s="1"/>
      <c r="HCD101" s="1"/>
      <c r="HCE101" s="1"/>
      <c r="HCF101" s="1"/>
      <c r="HCG101" s="1"/>
      <c r="HCH101" s="1"/>
      <c r="HCI101" s="1"/>
      <c r="HCJ101" s="1"/>
      <c r="HCK101" s="1"/>
      <c r="HCL101" s="1"/>
      <c r="HCM101" s="1"/>
      <c r="HCN101" s="1"/>
      <c r="HCO101" s="1"/>
      <c r="HCP101" s="1"/>
      <c r="HCQ101" s="1"/>
      <c r="HCR101" s="1"/>
      <c r="HCS101" s="1"/>
      <c r="HCT101" s="1"/>
      <c r="HCU101" s="1"/>
      <c r="HCV101" s="1"/>
      <c r="HCW101" s="1"/>
      <c r="HCX101" s="1"/>
      <c r="HCY101" s="1"/>
      <c r="HCZ101" s="1"/>
      <c r="HDA101" s="1"/>
      <c r="HDB101" s="1"/>
      <c r="HDC101" s="1"/>
      <c r="HDD101" s="1"/>
      <c r="HDE101" s="1"/>
      <c r="HDF101" s="1"/>
      <c r="HDG101" s="1"/>
      <c r="HDH101" s="1"/>
      <c r="HDI101" s="1"/>
      <c r="HDJ101" s="1"/>
      <c r="HDK101" s="1"/>
      <c r="HDL101" s="1"/>
      <c r="HDM101" s="1"/>
      <c r="HDN101" s="1"/>
      <c r="HDO101" s="1"/>
      <c r="HDP101" s="1"/>
      <c r="HDQ101" s="1"/>
      <c r="HDR101" s="1"/>
      <c r="HDS101" s="1"/>
      <c r="HDT101" s="1"/>
      <c r="HDU101" s="1"/>
      <c r="HDV101" s="1"/>
      <c r="HDW101" s="1"/>
      <c r="HDX101" s="1"/>
      <c r="HDY101" s="1"/>
      <c r="HDZ101" s="1"/>
      <c r="HEA101" s="1"/>
      <c r="HEB101" s="1"/>
      <c r="HEC101" s="1"/>
      <c r="HED101" s="1"/>
      <c r="HEE101" s="1"/>
      <c r="HEF101" s="1"/>
      <c r="HEG101" s="1"/>
      <c r="HEH101" s="1"/>
      <c r="HEI101" s="1"/>
      <c r="HEJ101" s="1"/>
      <c r="HEK101" s="1"/>
      <c r="HEL101" s="1"/>
      <c r="HEM101" s="1"/>
      <c r="HEN101" s="1"/>
      <c r="HEO101" s="1"/>
      <c r="HEP101" s="1"/>
      <c r="HEQ101" s="1"/>
      <c r="HER101" s="1"/>
      <c r="HES101" s="1"/>
      <c r="HET101" s="1"/>
      <c r="HEU101" s="1"/>
      <c r="HEV101" s="1"/>
      <c r="HEW101" s="1"/>
      <c r="HEX101" s="1"/>
      <c r="HEY101" s="1"/>
      <c r="HEZ101" s="1"/>
      <c r="HFA101" s="1"/>
      <c r="HFB101" s="1"/>
      <c r="HFC101" s="1"/>
      <c r="HFD101" s="1"/>
      <c r="HFE101" s="1"/>
      <c r="HFF101" s="1"/>
      <c r="HFG101" s="1"/>
      <c r="HFH101" s="1"/>
      <c r="HFI101" s="1"/>
      <c r="HFJ101" s="1"/>
      <c r="HFK101" s="1"/>
      <c r="HFL101" s="1"/>
      <c r="HFM101" s="1"/>
      <c r="HFN101" s="1"/>
      <c r="HFO101" s="1"/>
      <c r="HFP101" s="1"/>
      <c r="HFQ101" s="1"/>
      <c r="HFR101" s="1"/>
      <c r="HFS101" s="1"/>
      <c r="HFT101" s="1"/>
      <c r="HFU101" s="1"/>
      <c r="HFV101" s="1"/>
      <c r="HFW101" s="1"/>
      <c r="HFX101" s="1"/>
      <c r="HFY101" s="1"/>
      <c r="HFZ101" s="1"/>
      <c r="HGA101" s="1"/>
      <c r="HGB101" s="1"/>
      <c r="HGC101" s="1"/>
      <c r="HGD101" s="1"/>
      <c r="HGE101" s="1"/>
      <c r="HGF101" s="1"/>
      <c r="HGG101" s="1"/>
      <c r="HGH101" s="1"/>
      <c r="HGI101" s="1"/>
      <c r="HGJ101" s="1"/>
      <c r="HGK101" s="1"/>
      <c r="HGL101" s="1"/>
      <c r="HGM101" s="1"/>
      <c r="HGN101" s="1"/>
      <c r="HGO101" s="1"/>
      <c r="HGP101" s="1"/>
      <c r="HGQ101" s="1"/>
      <c r="HGR101" s="1"/>
      <c r="HGS101" s="1"/>
      <c r="HGT101" s="1"/>
      <c r="HGU101" s="1"/>
      <c r="HGV101" s="1"/>
      <c r="HGW101" s="1"/>
      <c r="HGX101" s="1"/>
      <c r="HGY101" s="1"/>
      <c r="HGZ101" s="1"/>
      <c r="HHA101" s="1"/>
      <c r="HHB101" s="1"/>
      <c r="HHC101" s="1"/>
      <c r="HHD101" s="1"/>
      <c r="HHE101" s="1"/>
      <c r="HHF101" s="1"/>
      <c r="HHG101" s="1"/>
      <c r="HHH101" s="1"/>
      <c r="HHI101" s="1"/>
      <c r="HHJ101" s="1"/>
      <c r="HHK101" s="1"/>
      <c r="HHL101" s="1"/>
      <c r="HHM101" s="1"/>
      <c r="HHN101" s="1"/>
      <c r="HHO101" s="1"/>
      <c r="HHP101" s="1"/>
      <c r="HHQ101" s="1"/>
      <c r="HHR101" s="1"/>
      <c r="HHS101" s="1"/>
      <c r="HHT101" s="1"/>
      <c r="HHU101" s="1"/>
      <c r="HHV101" s="1"/>
      <c r="HHW101" s="1"/>
      <c r="HHX101" s="1"/>
      <c r="HHY101" s="1"/>
      <c r="HHZ101" s="1"/>
      <c r="HIA101" s="1"/>
      <c r="HIB101" s="1"/>
      <c r="HIC101" s="1"/>
      <c r="HID101" s="1"/>
      <c r="HIE101" s="1"/>
      <c r="HIF101" s="1"/>
      <c r="HIG101" s="1"/>
      <c r="HIH101" s="1"/>
      <c r="HII101" s="1"/>
      <c r="HIJ101" s="1"/>
      <c r="HIK101" s="1"/>
      <c r="HIL101" s="1"/>
      <c r="HIM101" s="1"/>
      <c r="HIN101" s="1"/>
      <c r="HIO101" s="1"/>
      <c r="HIP101" s="1"/>
      <c r="HIQ101" s="1"/>
      <c r="HIR101" s="1"/>
      <c r="HIS101" s="1"/>
      <c r="HIT101" s="1"/>
      <c r="HIU101" s="1"/>
      <c r="HIV101" s="1"/>
      <c r="HIW101" s="1"/>
      <c r="HIX101" s="1"/>
      <c r="HIY101" s="1"/>
      <c r="HIZ101" s="1"/>
      <c r="HJA101" s="1"/>
      <c r="HJB101" s="1"/>
      <c r="HJC101" s="1"/>
      <c r="HJD101" s="1"/>
      <c r="HJE101" s="1"/>
      <c r="HJF101" s="1"/>
      <c r="HJG101" s="1"/>
      <c r="HJH101" s="1"/>
      <c r="HJI101" s="1"/>
      <c r="HJJ101" s="1"/>
      <c r="HJK101" s="1"/>
      <c r="HJL101" s="1"/>
      <c r="HJM101" s="1"/>
      <c r="HJN101" s="1"/>
      <c r="HJO101" s="1"/>
      <c r="HJP101" s="1"/>
      <c r="HJQ101" s="1"/>
      <c r="HJR101" s="1"/>
      <c r="HJS101" s="1"/>
      <c r="HJT101" s="1"/>
      <c r="HJU101" s="1"/>
      <c r="HJV101" s="1"/>
      <c r="HJW101" s="1"/>
      <c r="HJX101" s="1"/>
      <c r="HJY101" s="1"/>
      <c r="HJZ101" s="1"/>
      <c r="HKA101" s="1"/>
      <c r="HKB101" s="1"/>
      <c r="HKC101" s="1"/>
      <c r="HKD101" s="1"/>
      <c r="HKE101" s="1"/>
      <c r="HKF101" s="1"/>
      <c r="HKG101" s="1"/>
      <c r="HKH101" s="1"/>
      <c r="HKI101" s="1"/>
      <c r="HKJ101" s="1"/>
      <c r="HKK101" s="1"/>
      <c r="HKL101" s="1"/>
      <c r="HKM101" s="1"/>
      <c r="HKN101" s="1"/>
      <c r="HKO101" s="1"/>
      <c r="HKP101" s="1"/>
      <c r="HKQ101" s="1"/>
      <c r="HKR101" s="1"/>
      <c r="HKS101" s="1"/>
      <c r="HKT101" s="1"/>
      <c r="HKU101" s="1"/>
      <c r="HKV101" s="1"/>
      <c r="HKW101" s="1"/>
      <c r="HKX101" s="1"/>
      <c r="HKY101" s="1"/>
      <c r="HKZ101" s="1"/>
      <c r="HLA101" s="1"/>
      <c r="HLB101" s="1"/>
      <c r="HLC101" s="1"/>
      <c r="HLD101" s="1"/>
      <c r="HLE101" s="1"/>
      <c r="HLF101" s="1"/>
      <c r="HLG101" s="1"/>
      <c r="HLH101" s="1"/>
      <c r="HLI101" s="1"/>
      <c r="HLJ101" s="1"/>
      <c r="HLK101" s="1"/>
      <c r="HLL101" s="1"/>
      <c r="HLM101" s="1"/>
      <c r="HLN101" s="1"/>
      <c r="HLO101" s="1"/>
      <c r="HLP101" s="1"/>
      <c r="HLQ101" s="1"/>
      <c r="HLR101" s="1"/>
      <c r="HLS101" s="1"/>
      <c r="HLT101" s="1"/>
      <c r="HLU101" s="1"/>
      <c r="HLV101" s="1"/>
      <c r="HLW101" s="1"/>
      <c r="HLX101" s="1"/>
      <c r="HLY101" s="1"/>
      <c r="HLZ101" s="1"/>
      <c r="HMA101" s="1"/>
      <c r="HMB101" s="1"/>
      <c r="HMC101" s="1"/>
      <c r="HMD101" s="1"/>
      <c r="HME101" s="1"/>
      <c r="HMF101" s="1"/>
      <c r="HMG101" s="1"/>
      <c r="HMH101" s="1"/>
      <c r="HMI101" s="1"/>
      <c r="HMJ101" s="1"/>
      <c r="HMK101" s="1"/>
      <c r="HML101" s="1"/>
      <c r="HMM101" s="1"/>
      <c r="HMN101" s="1"/>
      <c r="HMO101" s="1"/>
      <c r="HMP101" s="1"/>
      <c r="HMQ101" s="1"/>
      <c r="HMR101" s="1"/>
      <c r="HMS101" s="1"/>
      <c r="HMT101" s="1"/>
      <c r="HMU101" s="1"/>
      <c r="HMV101" s="1"/>
      <c r="HMW101" s="1"/>
      <c r="HMX101" s="1"/>
      <c r="HMY101" s="1"/>
      <c r="HMZ101" s="1"/>
      <c r="HNA101" s="1"/>
      <c r="HNB101" s="1"/>
      <c r="HNC101" s="1"/>
      <c r="HND101" s="1"/>
      <c r="HNE101" s="1"/>
      <c r="HNF101" s="1"/>
      <c r="HNG101" s="1"/>
      <c r="HNH101" s="1"/>
      <c r="HNI101" s="1"/>
      <c r="HNJ101" s="1"/>
      <c r="HNK101" s="1"/>
      <c r="HNL101" s="1"/>
      <c r="HNM101" s="1"/>
      <c r="HNN101" s="1"/>
      <c r="HNO101" s="1"/>
      <c r="HNP101" s="1"/>
      <c r="HNQ101" s="1"/>
      <c r="HNR101" s="1"/>
      <c r="HNS101" s="1"/>
      <c r="HNT101" s="1"/>
      <c r="HNU101" s="1"/>
      <c r="HNV101" s="1"/>
      <c r="HNW101" s="1"/>
      <c r="HNX101" s="1"/>
      <c r="HNY101" s="1"/>
      <c r="HNZ101" s="1"/>
      <c r="HOA101" s="1"/>
      <c r="HOB101" s="1"/>
      <c r="HOC101" s="1"/>
      <c r="HOD101" s="1"/>
      <c r="HOE101" s="1"/>
      <c r="HOF101" s="1"/>
      <c r="HOG101" s="1"/>
      <c r="HOH101" s="1"/>
      <c r="HOI101" s="1"/>
      <c r="HOJ101" s="1"/>
      <c r="HOK101" s="1"/>
      <c r="HOL101" s="1"/>
      <c r="HOM101" s="1"/>
      <c r="HON101" s="1"/>
      <c r="HOO101" s="1"/>
      <c r="HOP101" s="1"/>
      <c r="HOQ101" s="1"/>
      <c r="HOR101" s="1"/>
      <c r="HOS101" s="1"/>
      <c r="HOT101" s="1"/>
      <c r="HOU101" s="1"/>
      <c r="HOV101" s="1"/>
      <c r="HOW101" s="1"/>
      <c r="HOX101" s="1"/>
      <c r="HOY101" s="1"/>
      <c r="HOZ101" s="1"/>
      <c r="HPA101" s="1"/>
      <c r="HPB101" s="1"/>
      <c r="HPC101" s="1"/>
      <c r="HPD101" s="1"/>
      <c r="HPE101" s="1"/>
      <c r="HPF101" s="1"/>
      <c r="HPG101" s="1"/>
      <c r="HPH101" s="1"/>
      <c r="HPI101" s="1"/>
      <c r="HPJ101" s="1"/>
      <c r="HPK101" s="1"/>
      <c r="HPL101" s="1"/>
      <c r="HPM101" s="1"/>
      <c r="HPN101" s="1"/>
      <c r="HPO101" s="1"/>
      <c r="HPP101" s="1"/>
      <c r="HPQ101" s="1"/>
      <c r="HPR101" s="1"/>
      <c r="HPS101" s="1"/>
      <c r="HPT101" s="1"/>
      <c r="HPU101" s="1"/>
      <c r="HPV101" s="1"/>
      <c r="HPW101" s="1"/>
      <c r="HPX101" s="1"/>
      <c r="HPY101" s="1"/>
      <c r="HPZ101" s="1"/>
      <c r="HQA101" s="1"/>
      <c r="HQB101" s="1"/>
      <c r="HQC101" s="1"/>
      <c r="HQD101" s="1"/>
      <c r="HQE101" s="1"/>
      <c r="HQF101" s="1"/>
      <c r="HQG101" s="1"/>
      <c r="HQH101" s="1"/>
      <c r="HQI101" s="1"/>
      <c r="HQJ101" s="1"/>
      <c r="HQK101" s="1"/>
      <c r="HQL101" s="1"/>
      <c r="HQM101" s="1"/>
      <c r="HQN101" s="1"/>
      <c r="HQO101" s="1"/>
      <c r="HQP101" s="1"/>
      <c r="HQQ101" s="1"/>
      <c r="HQR101" s="1"/>
      <c r="HQS101" s="1"/>
      <c r="HQT101" s="1"/>
      <c r="HQU101" s="1"/>
      <c r="HQV101" s="1"/>
      <c r="HQW101" s="1"/>
      <c r="HQX101" s="1"/>
      <c r="HQY101" s="1"/>
      <c r="HQZ101" s="1"/>
      <c r="HRA101" s="1"/>
      <c r="HRB101" s="1"/>
      <c r="HRC101" s="1"/>
      <c r="HRD101" s="1"/>
      <c r="HRE101" s="1"/>
      <c r="HRF101" s="1"/>
      <c r="HRG101" s="1"/>
      <c r="HRH101" s="1"/>
      <c r="HRI101" s="1"/>
      <c r="HRJ101" s="1"/>
      <c r="HRK101" s="1"/>
      <c r="HRL101" s="1"/>
      <c r="HRM101" s="1"/>
      <c r="HRN101" s="1"/>
      <c r="HRO101" s="1"/>
      <c r="HRP101" s="1"/>
      <c r="HRQ101" s="1"/>
      <c r="HRR101" s="1"/>
      <c r="HRS101" s="1"/>
      <c r="HRT101" s="1"/>
      <c r="HRU101" s="1"/>
      <c r="HRV101" s="1"/>
      <c r="HRW101" s="1"/>
      <c r="HRX101" s="1"/>
      <c r="HRY101" s="1"/>
      <c r="HRZ101" s="1"/>
      <c r="HSA101" s="1"/>
      <c r="HSB101" s="1"/>
      <c r="HSC101" s="1"/>
      <c r="HSD101" s="1"/>
      <c r="HSE101" s="1"/>
      <c r="HSF101" s="1"/>
      <c r="HSG101" s="1"/>
      <c r="HSH101" s="1"/>
      <c r="HSI101" s="1"/>
      <c r="HSJ101" s="1"/>
      <c r="HSK101" s="1"/>
      <c r="HSL101" s="1"/>
      <c r="HSM101" s="1"/>
      <c r="HSN101" s="1"/>
      <c r="HSO101" s="1"/>
      <c r="HSP101" s="1"/>
      <c r="HSQ101" s="1"/>
      <c r="HSR101" s="1"/>
      <c r="HSS101" s="1"/>
      <c r="HST101" s="1"/>
      <c r="HSU101" s="1"/>
      <c r="HSV101" s="1"/>
      <c r="HSW101" s="1"/>
      <c r="HSX101" s="1"/>
      <c r="HSY101" s="1"/>
      <c r="HSZ101" s="1"/>
      <c r="HTA101" s="1"/>
      <c r="HTB101" s="1"/>
      <c r="HTC101" s="1"/>
      <c r="HTD101" s="1"/>
      <c r="HTE101" s="1"/>
      <c r="HTF101" s="1"/>
      <c r="HTG101" s="1"/>
      <c r="HTH101" s="1"/>
      <c r="HTI101" s="1"/>
      <c r="HTJ101" s="1"/>
      <c r="HTK101" s="1"/>
      <c r="HTL101" s="1"/>
      <c r="HTM101" s="1"/>
      <c r="HTN101" s="1"/>
      <c r="HTO101" s="1"/>
      <c r="HTP101" s="1"/>
      <c r="HTQ101" s="1"/>
      <c r="HTR101" s="1"/>
      <c r="HTS101" s="1"/>
      <c r="HTT101" s="1"/>
      <c r="HTU101" s="1"/>
      <c r="HTV101" s="1"/>
      <c r="HTW101" s="1"/>
      <c r="HTX101" s="1"/>
      <c r="HTY101" s="1"/>
      <c r="HTZ101" s="1"/>
      <c r="HUA101" s="1"/>
      <c r="HUB101" s="1"/>
      <c r="HUC101" s="1"/>
      <c r="HUD101" s="1"/>
      <c r="HUE101" s="1"/>
      <c r="HUF101" s="1"/>
      <c r="HUG101" s="1"/>
      <c r="HUH101" s="1"/>
      <c r="HUI101" s="1"/>
      <c r="HUJ101" s="1"/>
      <c r="HUK101" s="1"/>
      <c r="HUL101" s="1"/>
      <c r="HUM101" s="1"/>
      <c r="HUN101" s="1"/>
      <c r="HUO101" s="1"/>
      <c r="HUP101" s="1"/>
      <c r="HUQ101" s="1"/>
      <c r="HUR101" s="1"/>
      <c r="HUS101" s="1"/>
      <c r="HUT101" s="1"/>
      <c r="HUU101" s="1"/>
      <c r="HUV101" s="1"/>
      <c r="HUW101" s="1"/>
      <c r="HUX101" s="1"/>
      <c r="HUY101" s="1"/>
      <c r="HUZ101" s="1"/>
      <c r="HVA101" s="1"/>
      <c r="HVB101" s="1"/>
      <c r="HVC101" s="1"/>
      <c r="HVD101" s="1"/>
      <c r="HVE101" s="1"/>
      <c r="HVF101" s="1"/>
      <c r="HVG101" s="1"/>
      <c r="HVH101" s="1"/>
      <c r="HVI101" s="1"/>
      <c r="HVJ101" s="1"/>
      <c r="HVK101" s="1"/>
      <c r="HVL101" s="1"/>
      <c r="HVM101" s="1"/>
      <c r="HVN101" s="1"/>
      <c r="HVO101" s="1"/>
      <c r="HVP101" s="1"/>
      <c r="HVQ101" s="1"/>
      <c r="HVR101" s="1"/>
      <c r="HVS101" s="1"/>
      <c r="HVT101" s="1"/>
      <c r="HVU101" s="1"/>
      <c r="HVV101" s="1"/>
      <c r="HVW101" s="1"/>
      <c r="HVX101" s="1"/>
      <c r="HVY101" s="1"/>
      <c r="HVZ101" s="1"/>
      <c r="HWA101" s="1"/>
      <c r="HWB101" s="1"/>
      <c r="HWC101" s="1"/>
      <c r="HWD101" s="1"/>
      <c r="HWE101" s="1"/>
      <c r="HWF101" s="1"/>
      <c r="HWG101" s="1"/>
      <c r="HWH101" s="1"/>
      <c r="HWI101" s="1"/>
      <c r="HWJ101" s="1"/>
      <c r="HWK101" s="1"/>
      <c r="HWL101" s="1"/>
      <c r="HWM101" s="1"/>
      <c r="HWN101" s="1"/>
      <c r="HWO101" s="1"/>
      <c r="HWP101" s="1"/>
      <c r="HWQ101" s="1"/>
      <c r="HWR101" s="1"/>
      <c r="HWS101" s="1"/>
      <c r="HWT101" s="1"/>
      <c r="HWU101" s="1"/>
      <c r="HWV101" s="1"/>
      <c r="HWW101" s="1"/>
      <c r="HWX101" s="1"/>
      <c r="HWY101" s="1"/>
      <c r="HWZ101" s="1"/>
      <c r="HXA101" s="1"/>
      <c r="HXB101" s="1"/>
      <c r="HXC101" s="1"/>
      <c r="HXD101" s="1"/>
      <c r="HXE101" s="1"/>
      <c r="HXF101" s="1"/>
      <c r="HXG101" s="1"/>
      <c r="HXH101" s="1"/>
      <c r="HXI101" s="1"/>
      <c r="HXJ101" s="1"/>
      <c r="HXK101" s="1"/>
      <c r="HXL101" s="1"/>
      <c r="HXM101" s="1"/>
      <c r="HXN101" s="1"/>
      <c r="HXO101" s="1"/>
      <c r="HXP101" s="1"/>
      <c r="HXQ101" s="1"/>
      <c r="HXR101" s="1"/>
      <c r="HXS101" s="1"/>
      <c r="HXT101" s="1"/>
      <c r="HXU101" s="1"/>
      <c r="HXV101" s="1"/>
      <c r="HXW101" s="1"/>
      <c r="HXX101" s="1"/>
      <c r="HXY101" s="1"/>
      <c r="HXZ101" s="1"/>
      <c r="HYA101" s="1"/>
      <c r="HYB101" s="1"/>
      <c r="HYC101" s="1"/>
      <c r="HYD101" s="1"/>
      <c r="HYE101" s="1"/>
      <c r="HYF101" s="1"/>
      <c r="HYG101" s="1"/>
      <c r="HYH101" s="1"/>
      <c r="HYI101" s="1"/>
      <c r="HYJ101" s="1"/>
      <c r="HYK101" s="1"/>
      <c r="HYL101" s="1"/>
      <c r="HYM101" s="1"/>
      <c r="HYN101" s="1"/>
      <c r="HYO101" s="1"/>
      <c r="HYP101" s="1"/>
      <c r="HYQ101" s="1"/>
      <c r="HYR101" s="1"/>
      <c r="HYS101" s="1"/>
      <c r="HYT101" s="1"/>
      <c r="HYU101" s="1"/>
      <c r="HYV101" s="1"/>
      <c r="HYW101" s="1"/>
      <c r="HYX101" s="1"/>
      <c r="HYY101" s="1"/>
      <c r="HYZ101" s="1"/>
      <c r="HZA101" s="1"/>
      <c r="HZB101" s="1"/>
      <c r="HZC101" s="1"/>
      <c r="HZD101" s="1"/>
      <c r="HZE101" s="1"/>
      <c r="HZF101" s="1"/>
      <c r="HZG101" s="1"/>
      <c r="HZH101" s="1"/>
      <c r="HZI101" s="1"/>
      <c r="HZJ101" s="1"/>
      <c r="HZK101" s="1"/>
      <c r="HZL101" s="1"/>
      <c r="HZM101" s="1"/>
      <c r="HZN101" s="1"/>
      <c r="HZO101" s="1"/>
      <c r="HZP101" s="1"/>
      <c r="HZQ101" s="1"/>
      <c r="HZR101" s="1"/>
      <c r="HZS101" s="1"/>
      <c r="HZT101" s="1"/>
      <c r="HZU101" s="1"/>
      <c r="HZV101" s="1"/>
      <c r="HZW101" s="1"/>
      <c r="HZX101" s="1"/>
      <c r="HZY101" s="1"/>
      <c r="HZZ101" s="1"/>
      <c r="IAA101" s="1"/>
      <c r="IAB101" s="1"/>
      <c r="IAC101" s="1"/>
      <c r="IAD101" s="1"/>
      <c r="IAE101" s="1"/>
      <c r="IAF101" s="1"/>
      <c r="IAG101" s="1"/>
      <c r="IAH101" s="1"/>
      <c r="IAI101" s="1"/>
      <c r="IAJ101" s="1"/>
      <c r="IAK101" s="1"/>
      <c r="IAL101" s="1"/>
      <c r="IAM101" s="1"/>
      <c r="IAN101" s="1"/>
      <c r="IAO101" s="1"/>
      <c r="IAP101" s="1"/>
      <c r="IAQ101" s="1"/>
      <c r="IAR101" s="1"/>
      <c r="IAS101" s="1"/>
      <c r="IAT101" s="1"/>
      <c r="IAU101" s="1"/>
      <c r="IAV101" s="1"/>
      <c r="IAW101" s="1"/>
      <c r="IAX101" s="1"/>
      <c r="IAY101" s="1"/>
      <c r="IAZ101" s="1"/>
      <c r="IBA101" s="1"/>
      <c r="IBB101" s="1"/>
      <c r="IBC101" s="1"/>
      <c r="IBD101" s="1"/>
      <c r="IBE101" s="1"/>
      <c r="IBF101" s="1"/>
      <c r="IBG101" s="1"/>
      <c r="IBH101" s="1"/>
      <c r="IBI101" s="1"/>
      <c r="IBJ101" s="1"/>
      <c r="IBK101" s="1"/>
      <c r="IBL101" s="1"/>
      <c r="IBM101" s="1"/>
      <c r="IBN101" s="1"/>
      <c r="IBO101" s="1"/>
      <c r="IBP101" s="1"/>
      <c r="IBQ101" s="1"/>
      <c r="IBR101" s="1"/>
      <c r="IBS101" s="1"/>
      <c r="IBT101" s="1"/>
      <c r="IBU101" s="1"/>
      <c r="IBV101" s="1"/>
      <c r="IBW101" s="1"/>
      <c r="IBX101" s="1"/>
      <c r="IBY101" s="1"/>
      <c r="IBZ101" s="1"/>
      <c r="ICA101" s="1"/>
      <c r="ICB101" s="1"/>
      <c r="ICC101" s="1"/>
      <c r="ICD101" s="1"/>
      <c r="ICE101" s="1"/>
      <c r="ICF101" s="1"/>
      <c r="ICG101" s="1"/>
      <c r="ICH101" s="1"/>
      <c r="ICI101" s="1"/>
      <c r="ICJ101" s="1"/>
      <c r="ICK101" s="1"/>
      <c r="ICL101" s="1"/>
      <c r="ICM101" s="1"/>
      <c r="ICN101" s="1"/>
      <c r="ICO101" s="1"/>
      <c r="ICP101" s="1"/>
      <c r="ICQ101" s="1"/>
      <c r="ICR101" s="1"/>
      <c r="ICS101" s="1"/>
      <c r="ICT101" s="1"/>
      <c r="ICU101" s="1"/>
      <c r="ICV101" s="1"/>
      <c r="ICW101" s="1"/>
      <c r="ICX101" s="1"/>
      <c r="ICY101" s="1"/>
      <c r="ICZ101" s="1"/>
      <c r="IDA101" s="1"/>
      <c r="IDB101" s="1"/>
      <c r="IDC101" s="1"/>
      <c r="IDD101" s="1"/>
      <c r="IDE101" s="1"/>
      <c r="IDF101" s="1"/>
      <c r="IDG101" s="1"/>
      <c r="IDH101" s="1"/>
      <c r="IDI101" s="1"/>
      <c r="IDJ101" s="1"/>
      <c r="IDK101" s="1"/>
      <c r="IDL101" s="1"/>
      <c r="IDM101" s="1"/>
      <c r="IDN101" s="1"/>
      <c r="IDO101" s="1"/>
      <c r="IDP101" s="1"/>
      <c r="IDQ101" s="1"/>
      <c r="IDR101" s="1"/>
      <c r="IDS101" s="1"/>
      <c r="IDT101" s="1"/>
      <c r="IDU101" s="1"/>
      <c r="IDV101" s="1"/>
      <c r="IDW101" s="1"/>
      <c r="IDX101" s="1"/>
      <c r="IDY101" s="1"/>
      <c r="IDZ101" s="1"/>
      <c r="IEA101" s="1"/>
      <c r="IEB101" s="1"/>
      <c r="IEC101" s="1"/>
      <c r="IED101" s="1"/>
      <c r="IEE101" s="1"/>
      <c r="IEF101" s="1"/>
      <c r="IEG101" s="1"/>
      <c r="IEH101" s="1"/>
      <c r="IEI101" s="1"/>
      <c r="IEJ101" s="1"/>
      <c r="IEK101" s="1"/>
      <c r="IEL101" s="1"/>
      <c r="IEM101" s="1"/>
      <c r="IEN101" s="1"/>
      <c r="IEO101" s="1"/>
      <c r="IEP101" s="1"/>
      <c r="IEQ101" s="1"/>
      <c r="IER101" s="1"/>
      <c r="IES101" s="1"/>
      <c r="IET101" s="1"/>
      <c r="IEU101" s="1"/>
      <c r="IEV101" s="1"/>
      <c r="IEW101" s="1"/>
      <c r="IEX101" s="1"/>
      <c r="IEY101" s="1"/>
      <c r="IEZ101" s="1"/>
      <c r="IFA101" s="1"/>
      <c r="IFB101" s="1"/>
      <c r="IFC101" s="1"/>
      <c r="IFD101" s="1"/>
      <c r="IFE101" s="1"/>
      <c r="IFF101" s="1"/>
      <c r="IFG101" s="1"/>
      <c r="IFH101" s="1"/>
      <c r="IFI101" s="1"/>
      <c r="IFJ101" s="1"/>
      <c r="IFK101" s="1"/>
      <c r="IFL101" s="1"/>
      <c r="IFM101" s="1"/>
      <c r="IFN101" s="1"/>
      <c r="IFO101" s="1"/>
      <c r="IFP101" s="1"/>
      <c r="IFQ101" s="1"/>
      <c r="IFR101" s="1"/>
      <c r="IFS101" s="1"/>
      <c r="IFT101" s="1"/>
      <c r="IFU101" s="1"/>
      <c r="IFV101" s="1"/>
      <c r="IFW101" s="1"/>
      <c r="IFX101" s="1"/>
      <c r="IFY101" s="1"/>
      <c r="IFZ101" s="1"/>
      <c r="IGA101" s="1"/>
      <c r="IGB101" s="1"/>
      <c r="IGC101" s="1"/>
      <c r="IGD101" s="1"/>
      <c r="IGE101" s="1"/>
      <c r="IGF101" s="1"/>
      <c r="IGG101" s="1"/>
      <c r="IGH101" s="1"/>
      <c r="IGI101" s="1"/>
      <c r="IGJ101" s="1"/>
      <c r="IGK101" s="1"/>
      <c r="IGL101" s="1"/>
      <c r="IGM101" s="1"/>
      <c r="IGN101" s="1"/>
      <c r="IGO101" s="1"/>
      <c r="IGP101" s="1"/>
      <c r="IGQ101" s="1"/>
      <c r="IGR101" s="1"/>
      <c r="IGS101" s="1"/>
      <c r="IGT101" s="1"/>
      <c r="IGU101" s="1"/>
      <c r="IGV101" s="1"/>
      <c r="IGW101" s="1"/>
      <c r="IGX101" s="1"/>
      <c r="IGY101" s="1"/>
      <c r="IGZ101" s="1"/>
      <c r="IHA101" s="1"/>
      <c r="IHB101" s="1"/>
      <c r="IHC101" s="1"/>
      <c r="IHD101" s="1"/>
      <c r="IHE101" s="1"/>
      <c r="IHF101" s="1"/>
      <c r="IHG101" s="1"/>
      <c r="IHH101" s="1"/>
      <c r="IHI101" s="1"/>
      <c r="IHJ101" s="1"/>
      <c r="IHK101" s="1"/>
      <c r="IHL101" s="1"/>
      <c r="IHM101" s="1"/>
      <c r="IHN101" s="1"/>
      <c r="IHO101" s="1"/>
      <c r="IHP101" s="1"/>
      <c r="IHQ101" s="1"/>
      <c r="IHR101" s="1"/>
      <c r="IHS101" s="1"/>
      <c r="IHT101" s="1"/>
      <c r="IHU101" s="1"/>
      <c r="IHV101" s="1"/>
      <c r="IHW101" s="1"/>
      <c r="IHX101" s="1"/>
      <c r="IHY101" s="1"/>
      <c r="IHZ101" s="1"/>
      <c r="IIA101" s="1"/>
      <c r="IIB101" s="1"/>
      <c r="IIC101" s="1"/>
      <c r="IID101" s="1"/>
      <c r="IIE101" s="1"/>
      <c r="IIF101" s="1"/>
      <c r="IIG101" s="1"/>
      <c r="IIH101" s="1"/>
      <c r="III101" s="1"/>
      <c r="IIJ101" s="1"/>
      <c r="IIK101" s="1"/>
      <c r="IIL101" s="1"/>
      <c r="IIM101" s="1"/>
      <c r="IIN101" s="1"/>
      <c r="IIO101" s="1"/>
      <c r="IIP101" s="1"/>
      <c r="IIQ101" s="1"/>
      <c r="IIR101" s="1"/>
      <c r="IIS101" s="1"/>
      <c r="IIT101" s="1"/>
      <c r="IIU101" s="1"/>
      <c r="IIV101" s="1"/>
      <c r="IIW101" s="1"/>
      <c r="IIX101" s="1"/>
      <c r="IIY101" s="1"/>
      <c r="IIZ101" s="1"/>
      <c r="IJA101" s="1"/>
      <c r="IJB101" s="1"/>
      <c r="IJC101" s="1"/>
      <c r="IJD101" s="1"/>
      <c r="IJE101" s="1"/>
      <c r="IJF101" s="1"/>
      <c r="IJG101" s="1"/>
      <c r="IJH101" s="1"/>
      <c r="IJI101" s="1"/>
      <c r="IJJ101" s="1"/>
      <c r="IJK101" s="1"/>
      <c r="IJL101" s="1"/>
      <c r="IJM101" s="1"/>
      <c r="IJN101" s="1"/>
      <c r="IJO101" s="1"/>
      <c r="IJP101" s="1"/>
      <c r="IJQ101" s="1"/>
      <c r="IJR101" s="1"/>
      <c r="IJS101" s="1"/>
      <c r="IJT101" s="1"/>
      <c r="IJU101" s="1"/>
      <c r="IJV101" s="1"/>
      <c r="IJW101" s="1"/>
      <c r="IJX101" s="1"/>
      <c r="IJY101" s="1"/>
      <c r="IJZ101" s="1"/>
      <c r="IKA101" s="1"/>
      <c r="IKB101" s="1"/>
      <c r="IKC101" s="1"/>
      <c r="IKD101" s="1"/>
      <c r="IKE101" s="1"/>
      <c r="IKF101" s="1"/>
      <c r="IKG101" s="1"/>
      <c r="IKH101" s="1"/>
      <c r="IKI101" s="1"/>
      <c r="IKJ101" s="1"/>
      <c r="IKK101" s="1"/>
      <c r="IKL101" s="1"/>
      <c r="IKM101" s="1"/>
      <c r="IKN101" s="1"/>
      <c r="IKO101" s="1"/>
      <c r="IKP101" s="1"/>
      <c r="IKQ101" s="1"/>
      <c r="IKR101" s="1"/>
      <c r="IKS101" s="1"/>
      <c r="IKT101" s="1"/>
      <c r="IKU101" s="1"/>
      <c r="IKV101" s="1"/>
      <c r="IKW101" s="1"/>
      <c r="IKX101" s="1"/>
      <c r="IKY101" s="1"/>
      <c r="IKZ101" s="1"/>
      <c r="ILA101" s="1"/>
      <c r="ILB101" s="1"/>
      <c r="ILC101" s="1"/>
      <c r="ILD101" s="1"/>
      <c r="ILE101" s="1"/>
      <c r="ILF101" s="1"/>
      <c r="ILG101" s="1"/>
      <c r="ILH101" s="1"/>
      <c r="ILI101" s="1"/>
      <c r="ILJ101" s="1"/>
      <c r="ILK101" s="1"/>
      <c r="ILL101" s="1"/>
      <c r="ILM101" s="1"/>
      <c r="ILN101" s="1"/>
      <c r="ILO101" s="1"/>
      <c r="ILP101" s="1"/>
      <c r="ILQ101" s="1"/>
      <c r="ILR101" s="1"/>
      <c r="ILS101" s="1"/>
      <c r="ILT101" s="1"/>
      <c r="ILU101" s="1"/>
      <c r="ILV101" s="1"/>
      <c r="ILW101" s="1"/>
      <c r="ILX101" s="1"/>
      <c r="ILY101" s="1"/>
      <c r="ILZ101" s="1"/>
      <c r="IMA101" s="1"/>
      <c r="IMB101" s="1"/>
      <c r="IMC101" s="1"/>
      <c r="IMD101" s="1"/>
      <c r="IME101" s="1"/>
      <c r="IMF101" s="1"/>
      <c r="IMG101" s="1"/>
      <c r="IMH101" s="1"/>
      <c r="IMI101" s="1"/>
      <c r="IMJ101" s="1"/>
      <c r="IMK101" s="1"/>
      <c r="IML101" s="1"/>
      <c r="IMM101" s="1"/>
      <c r="IMN101" s="1"/>
      <c r="IMO101" s="1"/>
      <c r="IMP101" s="1"/>
      <c r="IMQ101" s="1"/>
      <c r="IMR101" s="1"/>
      <c r="IMS101" s="1"/>
      <c r="IMT101" s="1"/>
      <c r="IMU101" s="1"/>
      <c r="IMV101" s="1"/>
      <c r="IMW101" s="1"/>
      <c r="IMX101" s="1"/>
      <c r="IMY101" s="1"/>
      <c r="IMZ101" s="1"/>
      <c r="INA101" s="1"/>
      <c r="INB101" s="1"/>
      <c r="INC101" s="1"/>
      <c r="IND101" s="1"/>
      <c r="INE101" s="1"/>
      <c r="INF101" s="1"/>
      <c r="ING101" s="1"/>
      <c r="INH101" s="1"/>
      <c r="INI101" s="1"/>
      <c r="INJ101" s="1"/>
      <c r="INK101" s="1"/>
      <c r="INL101" s="1"/>
      <c r="INM101" s="1"/>
      <c r="INN101" s="1"/>
      <c r="INO101" s="1"/>
      <c r="INP101" s="1"/>
      <c r="INQ101" s="1"/>
      <c r="INR101" s="1"/>
      <c r="INS101" s="1"/>
      <c r="INT101" s="1"/>
      <c r="INU101" s="1"/>
      <c r="INV101" s="1"/>
      <c r="INW101" s="1"/>
      <c r="INX101" s="1"/>
      <c r="INY101" s="1"/>
      <c r="INZ101" s="1"/>
      <c r="IOA101" s="1"/>
      <c r="IOB101" s="1"/>
      <c r="IOC101" s="1"/>
      <c r="IOD101" s="1"/>
      <c r="IOE101" s="1"/>
      <c r="IOF101" s="1"/>
      <c r="IOG101" s="1"/>
      <c r="IOH101" s="1"/>
      <c r="IOI101" s="1"/>
      <c r="IOJ101" s="1"/>
      <c r="IOK101" s="1"/>
      <c r="IOL101" s="1"/>
      <c r="IOM101" s="1"/>
      <c r="ION101" s="1"/>
      <c r="IOO101" s="1"/>
      <c r="IOP101" s="1"/>
      <c r="IOQ101" s="1"/>
      <c r="IOR101" s="1"/>
      <c r="IOS101" s="1"/>
      <c r="IOT101" s="1"/>
      <c r="IOU101" s="1"/>
      <c r="IOV101" s="1"/>
      <c r="IOW101" s="1"/>
      <c r="IOX101" s="1"/>
      <c r="IOY101" s="1"/>
      <c r="IOZ101" s="1"/>
      <c r="IPA101" s="1"/>
      <c r="IPB101" s="1"/>
      <c r="IPC101" s="1"/>
      <c r="IPD101" s="1"/>
      <c r="IPE101" s="1"/>
      <c r="IPF101" s="1"/>
      <c r="IPG101" s="1"/>
      <c r="IPH101" s="1"/>
      <c r="IPI101" s="1"/>
      <c r="IPJ101" s="1"/>
      <c r="IPK101" s="1"/>
      <c r="IPL101" s="1"/>
      <c r="IPM101" s="1"/>
      <c r="IPN101" s="1"/>
      <c r="IPO101" s="1"/>
      <c r="IPP101" s="1"/>
      <c r="IPQ101" s="1"/>
      <c r="IPR101" s="1"/>
      <c r="IPS101" s="1"/>
      <c r="IPT101" s="1"/>
      <c r="IPU101" s="1"/>
      <c r="IPV101" s="1"/>
      <c r="IPW101" s="1"/>
      <c r="IPX101" s="1"/>
      <c r="IPY101" s="1"/>
      <c r="IPZ101" s="1"/>
      <c r="IQA101" s="1"/>
      <c r="IQB101" s="1"/>
      <c r="IQC101" s="1"/>
      <c r="IQD101" s="1"/>
      <c r="IQE101" s="1"/>
      <c r="IQF101" s="1"/>
      <c r="IQG101" s="1"/>
      <c r="IQH101" s="1"/>
      <c r="IQI101" s="1"/>
      <c r="IQJ101" s="1"/>
      <c r="IQK101" s="1"/>
      <c r="IQL101" s="1"/>
      <c r="IQM101" s="1"/>
      <c r="IQN101" s="1"/>
      <c r="IQO101" s="1"/>
      <c r="IQP101" s="1"/>
      <c r="IQQ101" s="1"/>
      <c r="IQR101" s="1"/>
      <c r="IQS101" s="1"/>
      <c r="IQT101" s="1"/>
      <c r="IQU101" s="1"/>
      <c r="IQV101" s="1"/>
      <c r="IQW101" s="1"/>
      <c r="IQX101" s="1"/>
      <c r="IQY101" s="1"/>
      <c r="IQZ101" s="1"/>
      <c r="IRA101" s="1"/>
      <c r="IRB101" s="1"/>
      <c r="IRC101" s="1"/>
      <c r="IRD101" s="1"/>
      <c r="IRE101" s="1"/>
      <c r="IRF101" s="1"/>
      <c r="IRG101" s="1"/>
      <c r="IRH101" s="1"/>
      <c r="IRI101" s="1"/>
      <c r="IRJ101" s="1"/>
      <c r="IRK101" s="1"/>
      <c r="IRL101" s="1"/>
      <c r="IRM101" s="1"/>
      <c r="IRN101" s="1"/>
      <c r="IRO101" s="1"/>
      <c r="IRP101" s="1"/>
      <c r="IRQ101" s="1"/>
      <c r="IRR101" s="1"/>
      <c r="IRS101" s="1"/>
      <c r="IRT101" s="1"/>
      <c r="IRU101" s="1"/>
      <c r="IRV101" s="1"/>
      <c r="IRW101" s="1"/>
      <c r="IRX101" s="1"/>
      <c r="IRY101" s="1"/>
      <c r="IRZ101" s="1"/>
      <c r="ISA101" s="1"/>
      <c r="ISB101" s="1"/>
      <c r="ISC101" s="1"/>
      <c r="ISD101" s="1"/>
      <c r="ISE101" s="1"/>
      <c r="ISF101" s="1"/>
      <c r="ISG101" s="1"/>
      <c r="ISH101" s="1"/>
      <c r="ISI101" s="1"/>
      <c r="ISJ101" s="1"/>
      <c r="ISK101" s="1"/>
      <c r="ISL101" s="1"/>
      <c r="ISM101" s="1"/>
      <c r="ISN101" s="1"/>
      <c r="ISO101" s="1"/>
      <c r="ISP101" s="1"/>
      <c r="ISQ101" s="1"/>
      <c r="ISR101" s="1"/>
      <c r="ISS101" s="1"/>
      <c r="IST101" s="1"/>
      <c r="ISU101" s="1"/>
      <c r="ISV101" s="1"/>
      <c r="ISW101" s="1"/>
      <c r="ISX101" s="1"/>
      <c r="ISY101" s="1"/>
      <c r="ISZ101" s="1"/>
      <c r="ITA101" s="1"/>
      <c r="ITB101" s="1"/>
      <c r="ITC101" s="1"/>
      <c r="ITD101" s="1"/>
      <c r="ITE101" s="1"/>
      <c r="ITF101" s="1"/>
      <c r="ITG101" s="1"/>
      <c r="ITH101" s="1"/>
      <c r="ITI101" s="1"/>
      <c r="ITJ101" s="1"/>
      <c r="ITK101" s="1"/>
      <c r="ITL101" s="1"/>
      <c r="ITM101" s="1"/>
      <c r="ITN101" s="1"/>
      <c r="ITO101" s="1"/>
      <c r="ITP101" s="1"/>
      <c r="ITQ101" s="1"/>
      <c r="ITR101" s="1"/>
      <c r="ITS101" s="1"/>
      <c r="ITT101" s="1"/>
      <c r="ITU101" s="1"/>
      <c r="ITV101" s="1"/>
      <c r="ITW101" s="1"/>
      <c r="ITX101" s="1"/>
      <c r="ITY101" s="1"/>
      <c r="ITZ101" s="1"/>
      <c r="IUA101" s="1"/>
      <c r="IUB101" s="1"/>
      <c r="IUC101" s="1"/>
      <c r="IUD101" s="1"/>
      <c r="IUE101" s="1"/>
      <c r="IUF101" s="1"/>
      <c r="IUG101" s="1"/>
      <c r="IUH101" s="1"/>
      <c r="IUI101" s="1"/>
      <c r="IUJ101" s="1"/>
      <c r="IUK101" s="1"/>
      <c r="IUL101" s="1"/>
      <c r="IUM101" s="1"/>
      <c r="IUN101" s="1"/>
      <c r="IUO101" s="1"/>
      <c r="IUP101" s="1"/>
      <c r="IUQ101" s="1"/>
      <c r="IUR101" s="1"/>
      <c r="IUS101" s="1"/>
      <c r="IUT101" s="1"/>
      <c r="IUU101" s="1"/>
      <c r="IUV101" s="1"/>
      <c r="IUW101" s="1"/>
      <c r="IUX101" s="1"/>
      <c r="IUY101" s="1"/>
      <c r="IUZ101" s="1"/>
      <c r="IVA101" s="1"/>
      <c r="IVB101" s="1"/>
      <c r="IVC101" s="1"/>
      <c r="IVD101" s="1"/>
      <c r="IVE101" s="1"/>
      <c r="IVF101" s="1"/>
      <c r="IVG101" s="1"/>
      <c r="IVH101" s="1"/>
      <c r="IVI101" s="1"/>
      <c r="IVJ101" s="1"/>
      <c r="IVK101" s="1"/>
      <c r="IVL101" s="1"/>
      <c r="IVM101" s="1"/>
      <c r="IVN101" s="1"/>
      <c r="IVO101" s="1"/>
      <c r="IVP101" s="1"/>
      <c r="IVQ101" s="1"/>
      <c r="IVR101" s="1"/>
      <c r="IVS101" s="1"/>
      <c r="IVT101" s="1"/>
      <c r="IVU101" s="1"/>
      <c r="IVV101" s="1"/>
      <c r="IVW101" s="1"/>
      <c r="IVX101" s="1"/>
      <c r="IVY101" s="1"/>
      <c r="IVZ101" s="1"/>
      <c r="IWA101" s="1"/>
      <c r="IWB101" s="1"/>
      <c r="IWC101" s="1"/>
      <c r="IWD101" s="1"/>
      <c r="IWE101" s="1"/>
      <c r="IWF101" s="1"/>
      <c r="IWG101" s="1"/>
      <c r="IWH101" s="1"/>
      <c r="IWI101" s="1"/>
      <c r="IWJ101" s="1"/>
      <c r="IWK101" s="1"/>
      <c r="IWL101" s="1"/>
      <c r="IWM101" s="1"/>
      <c r="IWN101" s="1"/>
      <c r="IWO101" s="1"/>
      <c r="IWP101" s="1"/>
      <c r="IWQ101" s="1"/>
      <c r="IWR101" s="1"/>
      <c r="IWS101" s="1"/>
      <c r="IWT101" s="1"/>
      <c r="IWU101" s="1"/>
      <c r="IWV101" s="1"/>
      <c r="IWW101" s="1"/>
      <c r="IWX101" s="1"/>
      <c r="IWY101" s="1"/>
      <c r="IWZ101" s="1"/>
      <c r="IXA101" s="1"/>
      <c r="IXB101" s="1"/>
      <c r="IXC101" s="1"/>
      <c r="IXD101" s="1"/>
      <c r="IXE101" s="1"/>
      <c r="IXF101" s="1"/>
      <c r="IXG101" s="1"/>
      <c r="IXH101" s="1"/>
      <c r="IXI101" s="1"/>
      <c r="IXJ101" s="1"/>
      <c r="IXK101" s="1"/>
      <c r="IXL101" s="1"/>
      <c r="IXM101" s="1"/>
      <c r="IXN101" s="1"/>
      <c r="IXO101" s="1"/>
      <c r="IXP101" s="1"/>
      <c r="IXQ101" s="1"/>
      <c r="IXR101" s="1"/>
      <c r="IXS101" s="1"/>
      <c r="IXT101" s="1"/>
      <c r="IXU101" s="1"/>
      <c r="IXV101" s="1"/>
      <c r="IXW101" s="1"/>
      <c r="IXX101" s="1"/>
      <c r="IXY101" s="1"/>
      <c r="IXZ101" s="1"/>
      <c r="IYA101" s="1"/>
      <c r="IYB101" s="1"/>
      <c r="IYC101" s="1"/>
      <c r="IYD101" s="1"/>
      <c r="IYE101" s="1"/>
      <c r="IYF101" s="1"/>
      <c r="IYG101" s="1"/>
      <c r="IYH101" s="1"/>
      <c r="IYI101" s="1"/>
      <c r="IYJ101" s="1"/>
      <c r="IYK101" s="1"/>
      <c r="IYL101" s="1"/>
      <c r="IYM101" s="1"/>
      <c r="IYN101" s="1"/>
      <c r="IYO101" s="1"/>
      <c r="IYP101" s="1"/>
      <c r="IYQ101" s="1"/>
      <c r="IYR101" s="1"/>
      <c r="IYS101" s="1"/>
      <c r="IYT101" s="1"/>
      <c r="IYU101" s="1"/>
      <c r="IYV101" s="1"/>
      <c r="IYW101" s="1"/>
      <c r="IYX101" s="1"/>
      <c r="IYY101" s="1"/>
      <c r="IYZ101" s="1"/>
      <c r="IZA101" s="1"/>
      <c r="IZB101" s="1"/>
      <c r="IZC101" s="1"/>
      <c r="IZD101" s="1"/>
      <c r="IZE101" s="1"/>
      <c r="IZF101" s="1"/>
      <c r="IZG101" s="1"/>
      <c r="IZH101" s="1"/>
      <c r="IZI101" s="1"/>
      <c r="IZJ101" s="1"/>
      <c r="IZK101" s="1"/>
      <c r="IZL101" s="1"/>
      <c r="IZM101" s="1"/>
      <c r="IZN101" s="1"/>
      <c r="IZO101" s="1"/>
      <c r="IZP101" s="1"/>
      <c r="IZQ101" s="1"/>
      <c r="IZR101" s="1"/>
      <c r="IZS101" s="1"/>
      <c r="IZT101" s="1"/>
      <c r="IZU101" s="1"/>
      <c r="IZV101" s="1"/>
      <c r="IZW101" s="1"/>
      <c r="IZX101" s="1"/>
      <c r="IZY101" s="1"/>
      <c r="IZZ101" s="1"/>
      <c r="JAA101" s="1"/>
      <c r="JAB101" s="1"/>
      <c r="JAC101" s="1"/>
      <c r="JAD101" s="1"/>
      <c r="JAE101" s="1"/>
      <c r="JAF101" s="1"/>
      <c r="JAG101" s="1"/>
      <c r="JAH101" s="1"/>
      <c r="JAI101" s="1"/>
      <c r="JAJ101" s="1"/>
      <c r="JAK101" s="1"/>
      <c r="JAL101" s="1"/>
      <c r="JAM101" s="1"/>
      <c r="JAN101" s="1"/>
      <c r="JAO101" s="1"/>
      <c r="JAP101" s="1"/>
      <c r="JAQ101" s="1"/>
      <c r="JAR101" s="1"/>
      <c r="JAS101" s="1"/>
      <c r="JAT101" s="1"/>
      <c r="JAU101" s="1"/>
      <c r="JAV101" s="1"/>
      <c r="JAW101" s="1"/>
      <c r="JAX101" s="1"/>
      <c r="JAY101" s="1"/>
      <c r="JAZ101" s="1"/>
      <c r="JBA101" s="1"/>
      <c r="JBB101" s="1"/>
      <c r="JBC101" s="1"/>
      <c r="JBD101" s="1"/>
      <c r="JBE101" s="1"/>
      <c r="JBF101" s="1"/>
      <c r="JBG101" s="1"/>
      <c r="JBH101" s="1"/>
      <c r="JBI101" s="1"/>
      <c r="JBJ101" s="1"/>
      <c r="JBK101" s="1"/>
      <c r="JBL101" s="1"/>
      <c r="JBM101" s="1"/>
      <c r="JBN101" s="1"/>
      <c r="JBO101" s="1"/>
      <c r="JBP101" s="1"/>
      <c r="JBQ101" s="1"/>
      <c r="JBR101" s="1"/>
      <c r="JBS101" s="1"/>
      <c r="JBT101" s="1"/>
      <c r="JBU101" s="1"/>
      <c r="JBV101" s="1"/>
      <c r="JBW101" s="1"/>
      <c r="JBX101" s="1"/>
      <c r="JBY101" s="1"/>
      <c r="JBZ101" s="1"/>
      <c r="JCA101" s="1"/>
      <c r="JCB101" s="1"/>
      <c r="JCC101" s="1"/>
      <c r="JCD101" s="1"/>
      <c r="JCE101" s="1"/>
      <c r="JCF101" s="1"/>
      <c r="JCG101" s="1"/>
      <c r="JCH101" s="1"/>
      <c r="JCI101" s="1"/>
      <c r="JCJ101" s="1"/>
      <c r="JCK101" s="1"/>
      <c r="JCL101" s="1"/>
      <c r="JCM101" s="1"/>
      <c r="JCN101" s="1"/>
      <c r="JCO101" s="1"/>
      <c r="JCP101" s="1"/>
      <c r="JCQ101" s="1"/>
      <c r="JCR101" s="1"/>
      <c r="JCS101" s="1"/>
      <c r="JCT101" s="1"/>
      <c r="JCU101" s="1"/>
      <c r="JCV101" s="1"/>
      <c r="JCW101" s="1"/>
      <c r="JCX101" s="1"/>
      <c r="JCY101" s="1"/>
      <c r="JCZ101" s="1"/>
      <c r="JDA101" s="1"/>
      <c r="JDB101" s="1"/>
      <c r="JDC101" s="1"/>
      <c r="JDD101" s="1"/>
      <c r="JDE101" s="1"/>
      <c r="JDF101" s="1"/>
      <c r="JDG101" s="1"/>
      <c r="JDH101" s="1"/>
      <c r="JDI101" s="1"/>
      <c r="JDJ101" s="1"/>
      <c r="JDK101" s="1"/>
      <c r="JDL101" s="1"/>
      <c r="JDM101" s="1"/>
      <c r="JDN101" s="1"/>
      <c r="JDO101" s="1"/>
      <c r="JDP101" s="1"/>
      <c r="JDQ101" s="1"/>
      <c r="JDR101" s="1"/>
      <c r="JDS101" s="1"/>
      <c r="JDT101" s="1"/>
      <c r="JDU101" s="1"/>
      <c r="JDV101" s="1"/>
      <c r="JDW101" s="1"/>
      <c r="JDX101" s="1"/>
      <c r="JDY101" s="1"/>
      <c r="JDZ101" s="1"/>
      <c r="JEA101" s="1"/>
      <c r="JEB101" s="1"/>
      <c r="JEC101" s="1"/>
      <c r="JED101" s="1"/>
      <c r="JEE101" s="1"/>
      <c r="JEF101" s="1"/>
      <c r="JEG101" s="1"/>
      <c r="JEH101" s="1"/>
      <c r="JEI101" s="1"/>
      <c r="JEJ101" s="1"/>
      <c r="JEK101" s="1"/>
      <c r="JEL101" s="1"/>
      <c r="JEM101" s="1"/>
      <c r="JEN101" s="1"/>
      <c r="JEO101" s="1"/>
      <c r="JEP101" s="1"/>
      <c r="JEQ101" s="1"/>
      <c r="JER101" s="1"/>
      <c r="JES101" s="1"/>
      <c r="JET101" s="1"/>
      <c r="JEU101" s="1"/>
      <c r="JEV101" s="1"/>
      <c r="JEW101" s="1"/>
      <c r="JEX101" s="1"/>
      <c r="JEY101" s="1"/>
      <c r="JEZ101" s="1"/>
      <c r="JFA101" s="1"/>
      <c r="JFB101" s="1"/>
      <c r="JFC101" s="1"/>
      <c r="JFD101" s="1"/>
      <c r="JFE101" s="1"/>
      <c r="JFF101" s="1"/>
      <c r="JFG101" s="1"/>
      <c r="JFH101" s="1"/>
      <c r="JFI101" s="1"/>
      <c r="JFJ101" s="1"/>
      <c r="JFK101" s="1"/>
      <c r="JFL101" s="1"/>
      <c r="JFM101" s="1"/>
      <c r="JFN101" s="1"/>
      <c r="JFO101" s="1"/>
      <c r="JFP101" s="1"/>
      <c r="JFQ101" s="1"/>
      <c r="JFR101" s="1"/>
      <c r="JFS101" s="1"/>
      <c r="JFT101" s="1"/>
      <c r="JFU101" s="1"/>
      <c r="JFV101" s="1"/>
      <c r="JFW101" s="1"/>
      <c r="JFX101" s="1"/>
      <c r="JFY101" s="1"/>
      <c r="JFZ101" s="1"/>
      <c r="JGA101" s="1"/>
      <c r="JGB101" s="1"/>
      <c r="JGC101" s="1"/>
      <c r="JGD101" s="1"/>
      <c r="JGE101" s="1"/>
      <c r="JGF101" s="1"/>
      <c r="JGG101" s="1"/>
      <c r="JGH101" s="1"/>
      <c r="JGI101" s="1"/>
      <c r="JGJ101" s="1"/>
      <c r="JGK101" s="1"/>
      <c r="JGL101" s="1"/>
      <c r="JGM101" s="1"/>
      <c r="JGN101" s="1"/>
      <c r="JGO101" s="1"/>
      <c r="JGP101" s="1"/>
      <c r="JGQ101" s="1"/>
      <c r="JGR101" s="1"/>
      <c r="JGS101" s="1"/>
      <c r="JGT101" s="1"/>
      <c r="JGU101" s="1"/>
      <c r="JGV101" s="1"/>
      <c r="JGW101" s="1"/>
      <c r="JGX101" s="1"/>
      <c r="JGY101" s="1"/>
      <c r="JGZ101" s="1"/>
      <c r="JHA101" s="1"/>
      <c r="JHB101" s="1"/>
      <c r="JHC101" s="1"/>
      <c r="JHD101" s="1"/>
      <c r="JHE101" s="1"/>
      <c r="JHF101" s="1"/>
      <c r="JHG101" s="1"/>
      <c r="JHH101" s="1"/>
      <c r="JHI101" s="1"/>
      <c r="JHJ101" s="1"/>
      <c r="JHK101" s="1"/>
      <c r="JHL101" s="1"/>
      <c r="JHM101" s="1"/>
      <c r="JHN101" s="1"/>
      <c r="JHO101" s="1"/>
      <c r="JHP101" s="1"/>
      <c r="JHQ101" s="1"/>
      <c r="JHR101" s="1"/>
      <c r="JHS101" s="1"/>
      <c r="JHT101" s="1"/>
      <c r="JHU101" s="1"/>
      <c r="JHV101" s="1"/>
      <c r="JHW101" s="1"/>
      <c r="JHX101" s="1"/>
      <c r="JHY101" s="1"/>
      <c r="JHZ101" s="1"/>
      <c r="JIA101" s="1"/>
      <c r="JIB101" s="1"/>
      <c r="JIC101" s="1"/>
      <c r="JID101" s="1"/>
      <c r="JIE101" s="1"/>
      <c r="JIF101" s="1"/>
      <c r="JIG101" s="1"/>
      <c r="JIH101" s="1"/>
      <c r="JII101" s="1"/>
      <c r="JIJ101" s="1"/>
      <c r="JIK101" s="1"/>
      <c r="JIL101" s="1"/>
      <c r="JIM101" s="1"/>
      <c r="JIN101" s="1"/>
      <c r="JIO101" s="1"/>
      <c r="JIP101" s="1"/>
      <c r="JIQ101" s="1"/>
      <c r="JIR101" s="1"/>
      <c r="JIS101" s="1"/>
      <c r="JIT101" s="1"/>
      <c r="JIU101" s="1"/>
      <c r="JIV101" s="1"/>
      <c r="JIW101" s="1"/>
      <c r="JIX101" s="1"/>
      <c r="JIY101" s="1"/>
      <c r="JIZ101" s="1"/>
      <c r="JJA101" s="1"/>
      <c r="JJB101" s="1"/>
      <c r="JJC101" s="1"/>
      <c r="JJD101" s="1"/>
      <c r="JJE101" s="1"/>
      <c r="JJF101" s="1"/>
      <c r="JJG101" s="1"/>
      <c r="JJH101" s="1"/>
      <c r="JJI101" s="1"/>
      <c r="JJJ101" s="1"/>
      <c r="JJK101" s="1"/>
      <c r="JJL101" s="1"/>
      <c r="JJM101" s="1"/>
      <c r="JJN101" s="1"/>
      <c r="JJO101" s="1"/>
      <c r="JJP101" s="1"/>
      <c r="JJQ101" s="1"/>
      <c r="JJR101" s="1"/>
      <c r="JJS101" s="1"/>
      <c r="JJT101" s="1"/>
      <c r="JJU101" s="1"/>
      <c r="JJV101" s="1"/>
      <c r="JJW101" s="1"/>
      <c r="JJX101" s="1"/>
      <c r="JJY101" s="1"/>
      <c r="JJZ101" s="1"/>
      <c r="JKA101" s="1"/>
      <c r="JKB101" s="1"/>
      <c r="JKC101" s="1"/>
      <c r="JKD101" s="1"/>
      <c r="JKE101" s="1"/>
      <c r="JKF101" s="1"/>
      <c r="JKG101" s="1"/>
      <c r="JKH101" s="1"/>
      <c r="JKI101" s="1"/>
      <c r="JKJ101" s="1"/>
      <c r="JKK101" s="1"/>
      <c r="JKL101" s="1"/>
      <c r="JKM101" s="1"/>
      <c r="JKN101" s="1"/>
      <c r="JKO101" s="1"/>
      <c r="JKP101" s="1"/>
      <c r="JKQ101" s="1"/>
      <c r="JKR101" s="1"/>
      <c r="JKS101" s="1"/>
      <c r="JKT101" s="1"/>
      <c r="JKU101" s="1"/>
      <c r="JKV101" s="1"/>
      <c r="JKW101" s="1"/>
      <c r="JKX101" s="1"/>
      <c r="JKY101" s="1"/>
      <c r="JKZ101" s="1"/>
      <c r="JLA101" s="1"/>
      <c r="JLB101" s="1"/>
      <c r="JLC101" s="1"/>
      <c r="JLD101" s="1"/>
      <c r="JLE101" s="1"/>
      <c r="JLF101" s="1"/>
      <c r="JLG101" s="1"/>
      <c r="JLH101" s="1"/>
      <c r="JLI101" s="1"/>
      <c r="JLJ101" s="1"/>
      <c r="JLK101" s="1"/>
      <c r="JLL101" s="1"/>
      <c r="JLM101" s="1"/>
      <c r="JLN101" s="1"/>
      <c r="JLO101" s="1"/>
      <c r="JLP101" s="1"/>
      <c r="JLQ101" s="1"/>
      <c r="JLR101" s="1"/>
      <c r="JLS101" s="1"/>
      <c r="JLT101" s="1"/>
      <c r="JLU101" s="1"/>
      <c r="JLV101" s="1"/>
      <c r="JLW101" s="1"/>
      <c r="JLX101" s="1"/>
      <c r="JLY101" s="1"/>
      <c r="JLZ101" s="1"/>
      <c r="JMA101" s="1"/>
      <c r="JMB101" s="1"/>
      <c r="JMC101" s="1"/>
      <c r="JMD101" s="1"/>
      <c r="JME101" s="1"/>
      <c r="JMF101" s="1"/>
      <c r="JMG101" s="1"/>
      <c r="JMH101" s="1"/>
      <c r="JMI101" s="1"/>
      <c r="JMJ101" s="1"/>
      <c r="JMK101" s="1"/>
      <c r="JML101" s="1"/>
      <c r="JMM101" s="1"/>
      <c r="JMN101" s="1"/>
      <c r="JMO101" s="1"/>
      <c r="JMP101" s="1"/>
      <c r="JMQ101" s="1"/>
      <c r="JMR101" s="1"/>
      <c r="JMS101" s="1"/>
      <c r="JMT101" s="1"/>
      <c r="JMU101" s="1"/>
      <c r="JMV101" s="1"/>
      <c r="JMW101" s="1"/>
      <c r="JMX101" s="1"/>
      <c r="JMY101" s="1"/>
      <c r="JMZ101" s="1"/>
      <c r="JNA101" s="1"/>
      <c r="JNB101" s="1"/>
      <c r="JNC101" s="1"/>
      <c r="JND101" s="1"/>
      <c r="JNE101" s="1"/>
      <c r="JNF101" s="1"/>
      <c r="JNG101" s="1"/>
      <c r="JNH101" s="1"/>
      <c r="JNI101" s="1"/>
      <c r="JNJ101" s="1"/>
      <c r="JNK101" s="1"/>
      <c r="JNL101" s="1"/>
      <c r="JNM101" s="1"/>
      <c r="JNN101" s="1"/>
      <c r="JNO101" s="1"/>
      <c r="JNP101" s="1"/>
      <c r="JNQ101" s="1"/>
      <c r="JNR101" s="1"/>
      <c r="JNS101" s="1"/>
      <c r="JNT101" s="1"/>
      <c r="JNU101" s="1"/>
      <c r="JNV101" s="1"/>
      <c r="JNW101" s="1"/>
      <c r="JNX101" s="1"/>
      <c r="JNY101" s="1"/>
      <c r="JNZ101" s="1"/>
      <c r="JOA101" s="1"/>
      <c r="JOB101" s="1"/>
      <c r="JOC101" s="1"/>
      <c r="JOD101" s="1"/>
      <c r="JOE101" s="1"/>
      <c r="JOF101" s="1"/>
      <c r="JOG101" s="1"/>
      <c r="JOH101" s="1"/>
      <c r="JOI101" s="1"/>
      <c r="JOJ101" s="1"/>
      <c r="JOK101" s="1"/>
      <c r="JOL101" s="1"/>
      <c r="JOM101" s="1"/>
      <c r="JON101" s="1"/>
      <c r="JOO101" s="1"/>
      <c r="JOP101" s="1"/>
      <c r="JOQ101" s="1"/>
      <c r="JOR101" s="1"/>
      <c r="JOS101" s="1"/>
      <c r="JOT101" s="1"/>
      <c r="JOU101" s="1"/>
      <c r="JOV101" s="1"/>
      <c r="JOW101" s="1"/>
      <c r="JOX101" s="1"/>
      <c r="JOY101" s="1"/>
      <c r="JOZ101" s="1"/>
      <c r="JPA101" s="1"/>
      <c r="JPB101" s="1"/>
      <c r="JPC101" s="1"/>
      <c r="JPD101" s="1"/>
      <c r="JPE101" s="1"/>
      <c r="JPF101" s="1"/>
      <c r="JPG101" s="1"/>
      <c r="JPH101" s="1"/>
      <c r="JPI101" s="1"/>
      <c r="JPJ101" s="1"/>
      <c r="JPK101" s="1"/>
      <c r="JPL101" s="1"/>
      <c r="JPM101" s="1"/>
      <c r="JPN101" s="1"/>
      <c r="JPO101" s="1"/>
      <c r="JPP101" s="1"/>
      <c r="JPQ101" s="1"/>
      <c r="JPR101" s="1"/>
      <c r="JPS101" s="1"/>
      <c r="JPT101" s="1"/>
      <c r="JPU101" s="1"/>
      <c r="JPV101" s="1"/>
      <c r="JPW101" s="1"/>
      <c r="JPX101" s="1"/>
      <c r="JPY101" s="1"/>
      <c r="JPZ101" s="1"/>
      <c r="JQA101" s="1"/>
      <c r="JQB101" s="1"/>
      <c r="JQC101" s="1"/>
      <c r="JQD101" s="1"/>
      <c r="JQE101" s="1"/>
      <c r="JQF101" s="1"/>
      <c r="JQG101" s="1"/>
      <c r="JQH101" s="1"/>
      <c r="JQI101" s="1"/>
      <c r="JQJ101" s="1"/>
      <c r="JQK101" s="1"/>
      <c r="JQL101" s="1"/>
      <c r="JQM101" s="1"/>
      <c r="JQN101" s="1"/>
      <c r="JQO101" s="1"/>
      <c r="JQP101" s="1"/>
      <c r="JQQ101" s="1"/>
      <c r="JQR101" s="1"/>
      <c r="JQS101" s="1"/>
      <c r="JQT101" s="1"/>
      <c r="JQU101" s="1"/>
      <c r="JQV101" s="1"/>
      <c r="JQW101" s="1"/>
      <c r="JQX101" s="1"/>
      <c r="JQY101" s="1"/>
      <c r="JQZ101" s="1"/>
      <c r="JRA101" s="1"/>
      <c r="JRB101" s="1"/>
      <c r="JRC101" s="1"/>
      <c r="JRD101" s="1"/>
      <c r="JRE101" s="1"/>
      <c r="JRF101" s="1"/>
      <c r="JRG101" s="1"/>
      <c r="JRH101" s="1"/>
      <c r="JRI101" s="1"/>
      <c r="JRJ101" s="1"/>
      <c r="JRK101" s="1"/>
      <c r="JRL101" s="1"/>
      <c r="JRM101" s="1"/>
      <c r="JRN101" s="1"/>
      <c r="JRO101" s="1"/>
      <c r="JRP101" s="1"/>
      <c r="JRQ101" s="1"/>
      <c r="JRR101" s="1"/>
      <c r="JRS101" s="1"/>
      <c r="JRT101" s="1"/>
      <c r="JRU101" s="1"/>
      <c r="JRV101" s="1"/>
      <c r="JRW101" s="1"/>
      <c r="JRX101" s="1"/>
      <c r="JRY101" s="1"/>
      <c r="JRZ101" s="1"/>
      <c r="JSA101" s="1"/>
      <c r="JSB101" s="1"/>
      <c r="JSC101" s="1"/>
      <c r="JSD101" s="1"/>
      <c r="JSE101" s="1"/>
      <c r="JSF101" s="1"/>
      <c r="JSG101" s="1"/>
      <c r="JSH101" s="1"/>
      <c r="JSI101" s="1"/>
      <c r="JSJ101" s="1"/>
      <c r="JSK101" s="1"/>
      <c r="JSL101" s="1"/>
      <c r="JSM101" s="1"/>
      <c r="JSN101" s="1"/>
      <c r="JSO101" s="1"/>
      <c r="JSP101" s="1"/>
      <c r="JSQ101" s="1"/>
      <c r="JSR101" s="1"/>
      <c r="JSS101" s="1"/>
      <c r="JST101" s="1"/>
      <c r="JSU101" s="1"/>
      <c r="JSV101" s="1"/>
      <c r="JSW101" s="1"/>
      <c r="JSX101" s="1"/>
      <c r="JSY101" s="1"/>
      <c r="JSZ101" s="1"/>
      <c r="JTA101" s="1"/>
      <c r="JTB101" s="1"/>
      <c r="JTC101" s="1"/>
      <c r="JTD101" s="1"/>
      <c r="JTE101" s="1"/>
      <c r="JTF101" s="1"/>
      <c r="JTG101" s="1"/>
      <c r="JTH101" s="1"/>
      <c r="JTI101" s="1"/>
      <c r="JTJ101" s="1"/>
      <c r="JTK101" s="1"/>
      <c r="JTL101" s="1"/>
      <c r="JTM101" s="1"/>
      <c r="JTN101" s="1"/>
      <c r="JTO101" s="1"/>
      <c r="JTP101" s="1"/>
      <c r="JTQ101" s="1"/>
      <c r="JTR101" s="1"/>
      <c r="JTS101" s="1"/>
      <c r="JTT101" s="1"/>
      <c r="JTU101" s="1"/>
      <c r="JTV101" s="1"/>
      <c r="JTW101" s="1"/>
      <c r="JTX101" s="1"/>
      <c r="JTY101" s="1"/>
      <c r="JTZ101" s="1"/>
      <c r="JUA101" s="1"/>
      <c r="JUB101" s="1"/>
      <c r="JUC101" s="1"/>
      <c r="JUD101" s="1"/>
      <c r="JUE101" s="1"/>
      <c r="JUF101" s="1"/>
      <c r="JUG101" s="1"/>
      <c r="JUH101" s="1"/>
      <c r="JUI101" s="1"/>
      <c r="JUJ101" s="1"/>
      <c r="JUK101" s="1"/>
      <c r="JUL101" s="1"/>
      <c r="JUM101" s="1"/>
      <c r="JUN101" s="1"/>
      <c r="JUO101" s="1"/>
      <c r="JUP101" s="1"/>
      <c r="JUQ101" s="1"/>
      <c r="JUR101" s="1"/>
      <c r="JUS101" s="1"/>
      <c r="JUT101" s="1"/>
      <c r="JUU101" s="1"/>
      <c r="JUV101" s="1"/>
      <c r="JUW101" s="1"/>
      <c r="JUX101" s="1"/>
      <c r="JUY101" s="1"/>
      <c r="JUZ101" s="1"/>
      <c r="JVA101" s="1"/>
      <c r="JVB101" s="1"/>
      <c r="JVC101" s="1"/>
      <c r="JVD101" s="1"/>
      <c r="JVE101" s="1"/>
      <c r="JVF101" s="1"/>
      <c r="JVG101" s="1"/>
      <c r="JVH101" s="1"/>
      <c r="JVI101" s="1"/>
      <c r="JVJ101" s="1"/>
      <c r="JVK101" s="1"/>
      <c r="JVL101" s="1"/>
      <c r="JVM101" s="1"/>
      <c r="JVN101" s="1"/>
      <c r="JVO101" s="1"/>
      <c r="JVP101" s="1"/>
      <c r="JVQ101" s="1"/>
      <c r="JVR101" s="1"/>
      <c r="JVS101" s="1"/>
      <c r="JVT101" s="1"/>
      <c r="JVU101" s="1"/>
      <c r="JVV101" s="1"/>
      <c r="JVW101" s="1"/>
      <c r="JVX101" s="1"/>
      <c r="JVY101" s="1"/>
      <c r="JVZ101" s="1"/>
      <c r="JWA101" s="1"/>
      <c r="JWB101" s="1"/>
      <c r="JWC101" s="1"/>
      <c r="JWD101" s="1"/>
      <c r="JWE101" s="1"/>
      <c r="JWF101" s="1"/>
      <c r="JWG101" s="1"/>
      <c r="JWH101" s="1"/>
      <c r="JWI101" s="1"/>
      <c r="JWJ101" s="1"/>
      <c r="JWK101" s="1"/>
      <c r="JWL101" s="1"/>
      <c r="JWM101" s="1"/>
      <c r="JWN101" s="1"/>
      <c r="JWO101" s="1"/>
      <c r="JWP101" s="1"/>
      <c r="JWQ101" s="1"/>
      <c r="JWR101" s="1"/>
      <c r="JWS101" s="1"/>
      <c r="JWT101" s="1"/>
      <c r="JWU101" s="1"/>
      <c r="JWV101" s="1"/>
      <c r="JWW101" s="1"/>
      <c r="JWX101" s="1"/>
      <c r="JWY101" s="1"/>
      <c r="JWZ101" s="1"/>
      <c r="JXA101" s="1"/>
      <c r="JXB101" s="1"/>
      <c r="JXC101" s="1"/>
      <c r="JXD101" s="1"/>
      <c r="JXE101" s="1"/>
      <c r="JXF101" s="1"/>
      <c r="JXG101" s="1"/>
      <c r="JXH101" s="1"/>
      <c r="JXI101" s="1"/>
      <c r="JXJ101" s="1"/>
      <c r="JXK101" s="1"/>
      <c r="JXL101" s="1"/>
      <c r="JXM101" s="1"/>
      <c r="JXN101" s="1"/>
      <c r="JXO101" s="1"/>
      <c r="JXP101" s="1"/>
      <c r="JXQ101" s="1"/>
      <c r="JXR101" s="1"/>
      <c r="JXS101" s="1"/>
      <c r="JXT101" s="1"/>
      <c r="JXU101" s="1"/>
      <c r="JXV101" s="1"/>
      <c r="JXW101" s="1"/>
      <c r="JXX101" s="1"/>
      <c r="JXY101" s="1"/>
      <c r="JXZ101" s="1"/>
      <c r="JYA101" s="1"/>
      <c r="JYB101" s="1"/>
      <c r="JYC101" s="1"/>
      <c r="JYD101" s="1"/>
      <c r="JYE101" s="1"/>
      <c r="JYF101" s="1"/>
      <c r="JYG101" s="1"/>
      <c r="JYH101" s="1"/>
      <c r="JYI101" s="1"/>
      <c r="JYJ101" s="1"/>
      <c r="JYK101" s="1"/>
      <c r="JYL101" s="1"/>
      <c r="JYM101" s="1"/>
      <c r="JYN101" s="1"/>
      <c r="JYO101" s="1"/>
      <c r="JYP101" s="1"/>
      <c r="JYQ101" s="1"/>
      <c r="JYR101" s="1"/>
      <c r="JYS101" s="1"/>
      <c r="JYT101" s="1"/>
      <c r="JYU101" s="1"/>
      <c r="JYV101" s="1"/>
      <c r="JYW101" s="1"/>
      <c r="JYX101" s="1"/>
      <c r="JYY101" s="1"/>
      <c r="JYZ101" s="1"/>
      <c r="JZA101" s="1"/>
      <c r="JZB101" s="1"/>
      <c r="JZC101" s="1"/>
      <c r="JZD101" s="1"/>
      <c r="JZE101" s="1"/>
      <c r="JZF101" s="1"/>
      <c r="JZG101" s="1"/>
      <c r="JZH101" s="1"/>
      <c r="JZI101" s="1"/>
      <c r="JZJ101" s="1"/>
      <c r="JZK101" s="1"/>
      <c r="JZL101" s="1"/>
      <c r="JZM101" s="1"/>
      <c r="JZN101" s="1"/>
      <c r="JZO101" s="1"/>
      <c r="JZP101" s="1"/>
      <c r="JZQ101" s="1"/>
      <c r="JZR101" s="1"/>
      <c r="JZS101" s="1"/>
      <c r="JZT101" s="1"/>
      <c r="JZU101" s="1"/>
      <c r="JZV101" s="1"/>
      <c r="JZW101" s="1"/>
      <c r="JZX101" s="1"/>
      <c r="JZY101" s="1"/>
      <c r="JZZ101" s="1"/>
      <c r="KAA101" s="1"/>
      <c r="KAB101" s="1"/>
      <c r="KAC101" s="1"/>
      <c r="KAD101" s="1"/>
      <c r="KAE101" s="1"/>
      <c r="KAF101" s="1"/>
      <c r="KAG101" s="1"/>
      <c r="KAH101" s="1"/>
      <c r="KAI101" s="1"/>
      <c r="KAJ101" s="1"/>
      <c r="KAK101" s="1"/>
      <c r="KAL101" s="1"/>
      <c r="KAM101" s="1"/>
      <c r="KAN101" s="1"/>
      <c r="KAO101" s="1"/>
      <c r="KAP101" s="1"/>
      <c r="KAQ101" s="1"/>
      <c r="KAR101" s="1"/>
      <c r="KAS101" s="1"/>
      <c r="KAT101" s="1"/>
      <c r="KAU101" s="1"/>
      <c r="KAV101" s="1"/>
      <c r="KAW101" s="1"/>
      <c r="KAX101" s="1"/>
      <c r="KAY101" s="1"/>
      <c r="KAZ101" s="1"/>
      <c r="KBA101" s="1"/>
      <c r="KBB101" s="1"/>
      <c r="KBC101" s="1"/>
      <c r="KBD101" s="1"/>
      <c r="KBE101" s="1"/>
      <c r="KBF101" s="1"/>
      <c r="KBG101" s="1"/>
      <c r="KBH101" s="1"/>
      <c r="KBI101" s="1"/>
      <c r="KBJ101" s="1"/>
      <c r="KBK101" s="1"/>
      <c r="KBL101" s="1"/>
      <c r="KBM101" s="1"/>
      <c r="KBN101" s="1"/>
      <c r="KBO101" s="1"/>
      <c r="KBP101" s="1"/>
      <c r="KBQ101" s="1"/>
      <c r="KBR101" s="1"/>
      <c r="KBS101" s="1"/>
      <c r="KBT101" s="1"/>
      <c r="KBU101" s="1"/>
      <c r="KBV101" s="1"/>
      <c r="KBW101" s="1"/>
      <c r="KBX101" s="1"/>
      <c r="KBY101" s="1"/>
      <c r="KBZ101" s="1"/>
      <c r="KCA101" s="1"/>
      <c r="KCB101" s="1"/>
      <c r="KCC101" s="1"/>
      <c r="KCD101" s="1"/>
      <c r="KCE101" s="1"/>
      <c r="KCF101" s="1"/>
      <c r="KCG101" s="1"/>
      <c r="KCH101" s="1"/>
      <c r="KCI101" s="1"/>
      <c r="KCJ101" s="1"/>
      <c r="KCK101" s="1"/>
      <c r="KCL101" s="1"/>
      <c r="KCM101" s="1"/>
      <c r="KCN101" s="1"/>
      <c r="KCO101" s="1"/>
      <c r="KCP101" s="1"/>
      <c r="KCQ101" s="1"/>
      <c r="KCR101" s="1"/>
      <c r="KCS101" s="1"/>
      <c r="KCT101" s="1"/>
      <c r="KCU101" s="1"/>
      <c r="KCV101" s="1"/>
      <c r="KCW101" s="1"/>
      <c r="KCX101" s="1"/>
      <c r="KCY101" s="1"/>
      <c r="KCZ101" s="1"/>
      <c r="KDA101" s="1"/>
      <c r="KDB101" s="1"/>
      <c r="KDC101" s="1"/>
      <c r="KDD101" s="1"/>
      <c r="KDE101" s="1"/>
      <c r="KDF101" s="1"/>
      <c r="KDG101" s="1"/>
      <c r="KDH101" s="1"/>
      <c r="KDI101" s="1"/>
      <c r="KDJ101" s="1"/>
      <c r="KDK101" s="1"/>
      <c r="KDL101" s="1"/>
      <c r="KDM101" s="1"/>
      <c r="KDN101" s="1"/>
      <c r="KDO101" s="1"/>
      <c r="KDP101" s="1"/>
      <c r="KDQ101" s="1"/>
      <c r="KDR101" s="1"/>
      <c r="KDS101" s="1"/>
      <c r="KDT101" s="1"/>
      <c r="KDU101" s="1"/>
      <c r="KDV101" s="1"/>
      <c r="KDW101" s="1"/>
      <c r="KDX101" s="1"/>
      <c r="KDY101" s="1"/>
      <c r="KDZ101" s="1"/>
      <c r="KEA101" s="1"/>
      <c r="KEB101" s="1"/>
      <c r="KEC101" s="1"/>
      <c r="KED101" s="1"/>
      <c r="KEE101" s="1"/>
      <c r="KEF101" s="1"/>
      <c r="KEG101" s="1"/>
      <c r="KEH101" s="1"/>
      <c r="KEI101" s="1"/>
      <c r="KEJ101" s="1"/>
      <c r="KEK101" s="1"/>
      <c r="KEL101" s="1"/>
      <c r="KEM101" s="1"/>
      <c r="KEN101" s="1"/>
      <c r="KEO101" s="1"/>
      <c r="KEP101" s="1"/>
      <c r="KEQ101" s="1"/>
      <c r="KER101" s="1"/>
      <c r="KES101" s="1"/>
      <c r="KET101" s="1"/>
      <c r="KEU101" s="1"/>
      <c r="KEV101" s="1"/>
      <c r="KEW101" s="1"/>
      <c r="KEX101" s="1"/>
      <c r="KEY101" s="1"/>
      <c r="KEZ101" s="1"/>
      <c r="KFA101" s="1"/>
      <c r="KFB101" s="1"/>
      <c r="KFC101" s="1"/>
      <c r="KFD101" s="1"/>
      <c r="KFE101" s="1"/>
      <c r="KFF101" s="1"/>
      <c r="KFG101" s="1"/>
      <c r="KFH101" s="1"/>
      <c r="KFI101" s="1"/>
      <c r="KFJ101" s="1"/>
      <c r="KFK101" s="1"/>
      <c r="KFL101" s="1"/>
      <c r="KFM101" s="1"/>
      <c r="KFN101" s="1"/>
      <c r="KFO101" s="1"/>
      <c r="KFP101" s="1"/>
      <c r="KFQ101" s="1"/>
      <c r="KFR101" s="1"/>
      <c r="KFS101" s="1"/>
      <c r="KFT101" s="1"/>
      <c r="KFU101" s="1"/>
      <c r="KFV101" s="1"/>
      <c r="KFW101" s="1"/>
      <c r="KFX101" s="1"/>
      <c r="KFY101" s="1"/>
      <c r="KFZ101" s="1"/>
      <c r="KGA101" s="1"/>
      <c r="KGB101" s="1"/>
      <c r="KGC101" s="1"/>
      <c r="KGD101" s="1"/>
      <c r="KGE101" s="1"/>
      <c r="KGF101" s="1"/>
      <c r="KGG101" s="1"/>
      <c r="KGH101" s="1"/>
      <c r="KGI101" s="1"/>
      <c r="KGJ101" s="1"/>
      <c r="KGK101" s="1"/>
      <c r="KGL101" s="1"/>
      <c r="KGM101" s="1"/>
      <c r="KGN101" s="1"/>
      <c r="KGO101" s="1"/>
      <c r="KGP101" s="1"/>
      <c r="KGQ101" s="1"/>
      <c r="KGR101" s="1"/>
      <c r="KGS101" s="1"/>
      <c r="KGT101" s="1"/>
      <c r="KGU101" s="1"/>
      <c r="KGV101" s="1"/>
      <c r="KGW101" s="1"/>
      <c r="KGX101" s="1"/>
      <c r="KGY101" s="1"/>
      <c r="KGZ101" s="1"/>
      <c r="KHA101" s="1"/>
      <c r="KHB101" s="1"/>
      <c r="KHC101" s="1"/>
      <c r="KHD101" s="1"/>
      <c r="KHE101" s="1"/>
      <c r="KHF101" s="1"/>
      <c r="KHG101" s="1"/>
      <c r="KHH101" s="1"/>
      <c r="KHI101" s="1"/>
      <c r="KHJ101" s="1"/>
      <c r="KHK101" s="1"/>
      <c r="KHL101" s="1"/>
      <c r="KHM101" s="1"/>
      <c r="KHN101" s="1"/>
      <c r="KHO101" s="1"/>
      <c r="KHP101" s="1"/>
      <c r="KHQ101" s="1"/>
      <c r="KHR101" s="1"/>
      <c r="KHS101" s="1"/>
      <c r="KHT101" s="1"/>
      <c r="KHU101" s="1"/>
      <c r="KHV101" s="1"/>
      <c r="KHW101" s="1"/>
      <c r="KHX101" s="1"/>
      <c r="KHY101" s="1"/>
      <c r="KHZ101" s="1"/>
      <c r="KIA101" s="1"/>
      <c r="KIB101" s="1"/>
      <c r="KIC101" s="1"/>
      <c r="KID101" s="1"/>
      <c r="KIE101" s="1"/>
      <c r="KIF101" s="1"/>
      <c r="KIG101" s="1"/>
      <c r="KIH101" s="1"/>
      <c r="KII101" s="1"/>
      <c r="KIJ101" s="1"/>
      <c r="KIK101" s="1"/>
      <c r="KIL101" s="1"/>
      <c r="KIM101" s="1"/>
      <c r="KIN101" s="1"/>
      <c r="KIO101" s="1"/>
      <c r="KIP101" s="1"/>
      <c r="KIQ101" s="1"/>
      <c r="KIR101" s="1"/>
      <c r="KIS101" s="1"/>
      <c r="KIT101" s="1"/>
      <c r="KIU101" s="1"/>
      <c r="KIV101" s="1"/>
      <c r="KIW101" s="1"/>
      <c r="KIX101" s="1"/>
      <c r="KIY101" s="1"/>
      <c r="KIZ101" s="1"/>
      <c r="KJA101" s="1"/>
      <c r="KJB101" s="1"/>
      <c r="KJC101" s="1"/>
      <c r="KJD101" s="1"/>
      <c r="KJE101" s="1"/>
      <c r="KJF101" s="1"/>
      <c r="KJG101" s="1"/>
      <c r="KJH101" s="1"/>
      <c r="KJI101" s="1"/>
      <c r="KJJ101" s="1"/>
      <c r="KJK101" s="1"/>
      <c r="KJL101" s="1"/>
      <c r="KJM101" s="1"/>
      <c r="KJN101" s="1"/>
      <c r="KJO101" s="1"/>
      <c r="KJP101" s="1"/>
      <c r="KJQ101" s="1"/>
      <c r="KJR101" s="1"/>
      <c r="KJS101" s="1"/>
      <c r="KJT101" s="1"/>
      <c r="KJU101" s="1"/>
      <c r="KJV101" s="1"/>
      <c r="KJW101" s="1"/>
      <c r="KJX101" s="1"/>
      <c r="KJY101" s="1"/>
      <c r="KJZ101" s="1"/>
      <c r="KKA101" s="1"/>
      <c r="KKB101" s="1"/>
      <c r="KKC101" s="1"/>
      <c r="KKD101" s="1"/>
      <c r="KKE101" s="1"/>
      <c r="KKF101" s="1"/>
      <c r="KKG101" s="1"/>
      <c r="KKH101" s="1"/>
      <c r="KKI101" s="1"/>
      <c r="KKJ101" s="1"/>
      <c r="KKK101" s="1"/>
      <c r="KKL101" s="1"/>
      <c r="KKM101" s="1"/>
      <c r="KKN101" s="1"/>
      <c r="KKO101" s="1"/>
      <c r="KKP101" s="1"/>
      <c r="KKQ101" s="1"/>
      <c r="KKR101" s="1"/>
      <c r="KKS101" s="1"/>
      <c r="KKT101" s="1"/>
      <c r="KKU101" s="1"/>
      <c r="KKV101" s="1"/>
      <c r="KKW101" s="1"/>
      <c r="KKX101" s="1"/>
      <c r="KKY101" s="1"/>
      <c r="KKZ101" s="1"/>
      <c r="KLA101" s="1"/>
      <c r="KLB101" s="1"/>
      <c r="KLC101" s="1"/>
      <c r="KLD101" s="1"/>
      <c r="KLE101" s="1"/>
      <c r="KLF101" s="1"/>
      <c r="KLG101" s="1"/>
      <c r="KLH101" s="1"/>
      <c r="KLI101" s="1"/>
      <c r="KLJ101" s="1"/>
      <c r="KLK101" s="1"/>
      <c r="KLL101" s="1"/>
      <c r="KLM101" s="1"/>
      <c r="KLN101" s="1"/>
      <c r="KLO101" s="1"/>
      <c r="KLP101" s="1"/>
      <c r="KLQ101" s="1"/>
      <c r="KLR101" s="1"/>
      <c r="KLS101" s="1"/>
      <c r="KLT101" s="1"/>
      <c r="KLU101" s="1"/>
      <c r="KLV101" s="1"/>
      <c r="KLW101" s="1"/>
      <c r="KLX101" s="1"/>
      <c r="KLY101" s="1"/>
      <c r="KLZ101" s="1"/>
      <c r="KMA101" s="1"/>
      <c r="KMB101" s="1"/>
      <c r="KMC101" s="1"/>
      <c r="KMD101" s="1"/>
      <c r="KME101" s="1"/>
      <c r="KMF101" s="1"/>
      <c r="KMG101" s="1"/>
      <c r="KMH101" s="1"/>
      <c r="KMI101" s="1"/>
      <c r="KMJ101" s="1"/>
      <c r="KMK101" s="1"/>
      <c r="KML101" s="1"/>
      <c r="KMM101" s="1"/>
      <c r="KMN101" s="1"/>
      <c r="KMO101" s="1"/>
      <c r="KMP101" s="1"/>
      <c r="KMQ101" s="1"/>
      <c r="KMR101" s="1"/>
      <c r="KMS101" s="1"/>
      <c r="KMT101" s="1"/>
      <c r="KMU101" s="1"/>
      <c r="KMV101" s="1"/>
      <c r="KMW101" s="1"/>
      <c r="KMX101" s="1"/>
      <c r="KMY101" s="1"/>
      <c r="KMZ101" s="1"/>
      <c r="KNA101" s="1"/>
      <c r="KNB101" s="1"/>
      <c r="KNC101" s="1"/>
      <c r="KND101" s="1"/>
      <c r="KNE101" s="1"/>
      <c r="KNF101" s="1"/>
      <c r="KNG101" s="1"/>
      <c r="KNH101" s="1"/>
      <c r="KNI101" s="1"/>
      <c r="KNJ101" s="1"/>
      <c r="KNK101" s="1"/>
      <c r="KNL101" s="1"/>
      <c r="KNM101" s="1"/>
      <c r="KNN101" s="1"/>
      <c r="KNO101" s="1"/>
      <c r="KNP101" s="1"/>
      <c r="KNQ101" s="1"/>
      <c r="KNR101" s="1"/>
      <c r="KNS101" s="1"/>
      <c r="KNT101" s="1"/>
      <c r="KNU101" s="1"/>
      <c r="KNV101" s="1"/>
      <c r="KNW101" s="1"/>
      <c r="KNX101" s="1"/>
      <c r="KNY101" s="1"/>
      <c r="KNZ101" s="1"/>
      <c r="KOA101" s="1"/>
      <c r="KOB101" s="1"/>
      <c r="KOC101" s="1"/>
      <c r="KOD101" s="1"/>
      <c r="KOE101" s="1"/>
      <c r="KOF101" s="1"/>
      <c r="KOG101" s="1"/>
      <c r="KOH101" s="1"/>
      <c r="KOI101" s="1"/>
      <c r="KOJ101" s="1"/>
      <c r="KOK101" s="1"/>
      <c r="KOL101" s="1"/>
      <c r="KOM101" s="1"/>
      <c r="KON101" s="1"/>
      <c r="KOO101" s="1"/>
      <c r="KOP101" s="1"/>
      <c r="KOQ101" s="1"/>
      <c r="KOR101" s="1"/>
      <c r="KOS101" s="1"/>
      <c r="KOT101" s="1"/>
      <c r="KOU101" s="1"/>
      <c r="KOV101" s="1"/>
      <c r="KOW101" s="1"/>
      <c r="KOX101" s="1"/>
      <c r="KOY101" s="1"/>
      <c r="KOZ101" s="1"/>
      <c r="KPA101" s="1"/>
      <c r="KPB101" s="1"/>
      <c r="KPC101" s="1"/>
      <c r="KPD101" s="1"/>
      <c r="KPE101" s="1"/>
      <c r="KPF101" s="1"/>
      <c r="KPG101" s="1"/>
      <c r="KPH101" s="1"/>
      <c r="KPI101" s="1"/>
      <c r="KPJ101" s="1"/>
      <c r="KPK101" s="1"/>
      <c r="KPL101" s="1"/>
      <c r="KPM101" s="1"/>
      <c r="KPN101" s="1"/>
      <c r="KPO101" s="1"/>
      <c r="KPP101" s="1"/>
      <c r="KPQ101" s="1"/>
      <c r="KPR101" s="1"/>
      <c r="KPS101" s="1"/>
      <c r="KPT101" s="1"/>
      <c r="KPU101" s="1"/>
      <c r="KPV101" s="1"/>
      <c r="KPW101" s="1"/>
      <c r="KPX101" s="1"/>
      <c r="KPY101" s="1"/>
      <c r="KPZ101" s="1"/>
      <c r="KQA101" s="1"/>
      <c r="KQB101" s="1"/>
      <c r="KQC101" s="1"/>
      <c r="KQD101" s="1"/>
      <c r="KQE101" s="1"/>
      <c r="KQF101" s="1"/>
      <c r="KQG101" s="1"/>
      <c r="KQH101" s="1"/>
      <c r="KQI101" s="1"/>
      <c r="KQJ101" s="1"/>
      <c r="KQK101" s="1"/>
      <c r="KQL101" s="1"/>
      <c r="KQM101" s="1"/>
      <c r="KQN101" s="1"/>
      <c r="KQO101" s="1"/>
      <c r="KQP101" s="1"/>
      <c r="KQQ101" s="1"/>
      <c r="KQR101" s="1"/>
      <c r="KQS101" s="1"/>
      <c r="KQT101" s="1"/>
      <c r="KQU101" s="1"/>
      <c r="KQV101" s="1"/>
      <c r="KQW101" s="1"/>
      <c r="KQX101" s="1"/>
      <c r="KQY101" s="1"/>
      <c r="KQZ101" s="1"/>
      <c r="KRA101" s="1"/>
      <c r="KRB101" s="1"/>
      <c r="KRC101" s="1"/>
      <c r="KRD101" s="1"/>
      <c r="KRE101" s="1"/>
      <c r="KRF101" s="1"/>
      <c r="KRG101" s="1"/>
      <c r="KRH101" s="1"/>
      <c r="KRI101" s="1"/>
      <c r="KRJ101" s="1"/>
      <c r="KRK101" s="1"/>
      <c r="KRL101" s="1"/>
      <c r="KRM101" s="1"/>
      <c r="KRN101" s="1"/>
      <c r="KRO101" s="1"/>
      <c r="KRP101" s="1"/>
      <c r="KRQ101" s="1"/>
      <c r="KRR101" s="1"/>
      <c r="KRS101" s="1"/>
      <c r="KRT101" s="1"/>
      <c r="KRU101" s="1"/>
      <c r="KRV101" s="1"/>
      <c r="KRW101" s="1"/>
      <c r="KRX101" s="1"/>
      <c r="KRY101" s="1"/>
      <c r="KRZ101" s="1"/>
      <c r="KSA101" s="1"/>
      <c r="KSB101" s="1"/>
      <c r="KSC101" s="1"/>
      <c r="KSD101" s="1"/>
      <c r="KSE101" s="1"/>
      <c r="KSF101" s="1"/>
      <c r="KSG101" s="1"/>
      <c r="KSH101" s="1"/>
      <c r="KSI101" s="1"/>
      <c r="KSJ101" s="1"/>
      <c r="KSK101" s="1"/>
      <c r="KSL101" s="1"/>
      <c r="KSM101" s="1"/>
      <c r="KSN101" s="1"/>
      <c r="KSO101" s="1"/>
      <c r="KSP101" s="1"/>
      <c r="KSQ101" s="1"/>
      <c r="KSR101" s="1"/>
      <c r="KSS101" s="1"/>
      <c r="KST101" s="1"/>
      <c r="KSU101" s="1"/>
      <c r="KSV101" s="1"/>
      <c r="KSW101" s="1"/>
      <c r="KSX101" s="1"/>
      <c r="KSY101" s="1"/>
      <c r="KSZ101" s="1"/>
      <c r="KTA101" s="1"/>
      <c r="KTB101" s="1"/>
      <c r="KTC101" s="1"/>
      <c r="KTD101" s="1"/>
      <c r="KTE101" s="1"/>
      <c r="KTF101" s="1"/>
      <c r="KTG101" s="1"/>
      <c r="KTH101" s="1"/>
      <c r="KTI101" s="1"/>
      <c r="KTJ101" s="1"/>
      <c r="KTK101" s="1"/>
      <c r="KTL101" s="1"/>
      <c r="KTM101" s="1"/>
      <c r="KTN101" s="1"/>
      <c r="KTO101" s="1"/>
      <c r="KTP101" s="1"/>
      <c r="KTQ101" s="1"/>
      <c r="KTR101" s="1"/>
      <c r="KTS101" s="1"/>
      <c r="KTT101" s="1"/>
      <c r="KTU101" s="1"/>
      <c r="KTV101" s="1"/>
      <c r="KTW101" s="1"/>
      <c r="KTX101" s="1"/>
      <c r="KTY101" s="1"/>
      <c r="KTZ101" s="1"/>
      <c r="KUA101" s="1"/>
      <c r="KUB101" s="1"/>
      <c r="KUC101" s="1"/>
      <c r="KUD101" s="1"/>
      <c r="KUE101" s="1"/>
      <c r="KUF101" s="1"/>
      <c r="KUG101" s="1"/>
      <c r="KUH101" s="1"/>
      <c r="KUI101" s="1"/>
      <c r="KUJ101" s="1"/>
      <c r="KUK101" s="1"/>
      <c r="KUL101" s="1"/>
      <c r="KUM101" s="1"/>
      <c r="KUN101" s="1"/>
      <c r="KUO101" s="1"/>
      <c r="KUP101" s="1"/>
      <c r="KUQ101" s="1"/>
      <c r="KUR101" s="1"/>
      <c r="KUS101" s="1"/>
      <c r="KUT101" s="1"/>
      <c r="KUU101" s="1"/>
      <c r="KUV101" s="1"/>
      <c r="KUW101" s="1"/>
      <c r="KUX101" s="1"/>
      <c r="KUY101" s="1"/>
      <c r="KUZ101" s="1"/>
      <c r="KVA101" s="1"/>
      <c r="KVB101" s="1"/>
      <c r="KVC101" s="1"/>
      <c r="KVD101" s="1"/>
      <c r="KVE101" s="1"/>
      <c r="KVF101" s="1"/>
      <c r="KVG101" s="1"/>
      <c r="KVH101" s="1"/>
      <c r="KVI101" s="1"/>
      <c r="KVJ101" s="1"/>
      <c r="KVK101" s="1"/>
      <c r="KVL101" s="1"/>
      <c r="KVM101" s="1"/>
      <c r="KVN101" s="1"/>
      <c r="KVO101" s="1"/>
      <c r="KVP101" s="1"/>
      <c r="KVQ101" s="1"/>
      <c r="KVR101" s="1"/>
      <c r="KVS101" s="1"/>
      <c r="KVT101" s="1"/>
      <c r="KVU101" s="1"/>
      <c r="KVV101" s="1"/>
      <c r="KVW101" s="1"/>
      <c r="KVX101" s="1"/>
      <c r="KVY101" s="1"/>
      <c r="KVZ101" s="1"/>
      <c r="KWA101" s="1"/>
      <c r="KWB101" s="1"/>
      <c r="KWC101" s="1"/>
      <c r="KWD101" s="1"/>
      <c r="KWE101" s="1"/>
      <c r="KWF101" s="1"/>
      <c r="KWG101" s="1"/>
      <c r="KWH101" s="1"/>
      <c r="KWI101" s="1"/>
      <c r="KWJ101" s="1"/>
      <c r="KWK101" s="1"/>
      <c r="KWL101" s="1"/>
      <c r="KWM101" s="1"/>
      <c r="KWN101" s="1"/>
      <c r="KWO101" s="1"/>
      <c r="KWP101" s="1"/>
      <c r="KWQ101" s="1"/>
      <c r="KWR101" s="1"/>
      <c r="KWS101" s="1"/>
      <c r="KWT101" s="1"/>
      <c r="KWU101" s="1"/>
      <c r="KWV101" s="1"/>
      <c r="KWW101" s="1"/>
      <c r="KWX101" s="1"/>
      <c r="KWY101" s="1"/>
      <c r="KWZ101" s="1"/>
      <c r="KXA101" s="1"/>
      <c r="KXB101" s="1"/>
      <c r="KXC101" s="1"/>
      <c r="KXD101" s="1"/>
      <c r="KXE101" s="1"/>
      <c r="KXF101" s="1"/>
      <c r="KXG101" s="1"/>
      <c r="KXH101" s="1"/>
      <c r="KXI101" s="1"/>
      <c r="KXJ101" s="1"/>
      <c r="KXK101" s="1"/>
      <c r="KXL101" s="1"/>
      <c r="KXM101" s="1"/>
      <c r="KXN101" s="1"/>
      <c r="KXO101" s="1"/>
      <c r="KXP101" s="1"/>
      <c r="KXQ101" s="1"/>
      <c r="KXR101" s="1"/>
      <c r="KXS101" s="1"/>
      <c r="KXT101" s="1"/>
      <c r="KXU101" s="1"/>
      <c r="KXV101" s="1"/>
      <c r="KXW101" s="1"/>
      <c r="KXX101" s="1"/>
      <c r="KXY101" s="1"/>
      <c r="KXZ101" s="1"/>
      <c r="KYA101" s="1"/>
      <c r="KYB101" s="1"/>
      <c r="KYC101" s="1"/>
      <c r="KYD101" s="1"/>
      <c r="KYE101" s="1"/>
      <c r="KYF101" s="1"/>
      <c r="KYG101" s="1"/>
      <c r="KYH101" s="1"/>
      <c r="KYI101" s="1"/>
      <c r="KYJ101" s="1"/>
      <c r="KYK101" s="1"/>
      <c r="KYL101" s="1"/>
      <c r="KYM101" s="1"/>
      <c r="KYN101" s="1"/>
      <c r="KYO101" s="1"/>
      <c r="KYP101" s="1"/>
      <c r="KYQ101" s="1"/>
      <c r="KYR101" s="1"/>
      <c r="KYS101" s="1"/>
      <c r="KYT101" s="1"/>
      <c r="KYU101" s="1"/>
      <c r="KYV101" s="1"/>
      <c r="KYW101" s="1"/>
      <c r="KYX101" s="1"/>
      <c r="KYY101" s="1"/>
      <c r="KYZ101" s="1"/>
      <c r="KZA101" s="1"/>
      <c r="KZB101" s="1"/>
      <c r="KZC101" s="1"/>
      <c r="KZD101" s="1"/>
      <c r="KZE101" s="1"/>
      <c r="KZF101" s="1"/>
      <c r="KZG101" s="1"/>
      <c r="KZH101" s="1"/>
      <c r="KZI101" s="1"/>
      <c r="KZJ101" s="1"/>
      <c r="KZK101" s="1"/>
      <c r="KZL101" s="1"/>
      <c r="KZM101" s="1"/>
      <c r="KZN101" s="1"/>
      <c r="KZO101" s="1"/>
      <c r="KZP101" s="1"/>
      <c r="KZQ101" s="1"/>
      <c r="KZR101" s="1"/>
      <c r="KZS101" s="1"/>
      <c r="KZT101" s="1"/>
      <c r="KZU101" s="1"/>
      <c r="KZV101" s="1"/>
      <c r="KZW101" s="1"/>
      <c r="KZX101" s="1"/>
      <c r="KZY101" s="1"/>
      <c r="KZZ101" s="1"/>
      <c r="LAA101" s="1"/>
      <c r="LAB101" s="1"/>
      <c r="LAC101" s="1"/>
      <c r="LAD101" s="1"/>
      <c r="LAE101" s="1"/>
      <c r="LAF101" s="1"/>
      <c r="LAG101" s="1"/>
      <c r="LAH101" s="1"/>
      <c r="LAI101" s="1"/>
      <c r="LAJ101" s="1"/>
      <c r="LAK101" s="1"/>
      <c r="LAL101" s="1"/>
      <c r="LAM101" s="1"/>
      <c r="LAN101" s="1"/>
      <c r="LAO101" s="1"/>
      <c r="LAP101" s="1"/>
      <c r="LAQ101" s="1"/>
      <c r="LAR101" s="1"/>
      <c r="LAS101" s="1"/>
      <c r="LAT101" s="1"/>
      <c r="LAU101" s="1"/>
      <c r="LAV101" s="1"/>
      <c r="LAW101" s="1"/>
      <c r="LAX101" s="1"/>
      <c r="LAY101" s="1"/>
      <c r="LAZ101" s="1"/>
      <c r="LBA101" s="1"/>
      <c r="LBB101" s="1"/>
      <c r="LBC101" s="1"/>
      <c r="LBD101" s="1"/>
      <c r="LBE101" s="1"/>
      <c r="LBF101" s="1"/>
      <c r="LBG101" s="1"/>
      <c r="LBH101" s="1"/>
      <c r="LBI101" s="1"/>
      <c r="LBJ101" s="1"/>
      <c r="LBK101" s="1"/>
      <c r="LBL101" s="1"/>
      <c r="LBM101" s="1"/>
      <c r="LBN101" s="1"/>
      <c r="LBO101" s="1"/>
      <c r="LBP101" s="1"/>
      <c r="LBQ101" s="1"/>
      <c r="LBR101" s="1"/>
      <c r="LBS101" s="1"/>
      <c r="LBT101" s="1"/>
      <c r="LBU101" s="1"/>
      <c r="LBV101" s="1"/>
      <c r="LBW101" s="1"/>
      <c r="LBX101" s="1"/>
      <c r="LBY101" s="1"/>
      <c r="LBZ101" s="1"/>
      <c r="LCA101" s="1"/>
      <c r="LCB101" s="1"/>
      <c r="LCC101" s="1"/>
      <c r="LCD101" s="1"/>
      <c r="LCE101" s="1"/>
      <c r="LCF101" s="1"/>
      <c r="LCG101" s="1"/>
      <c r="LCH101" s="1"/>
      <c r="LCI101" s="1"/>
      <c r="LCJ101" s="1"/>
      <c r="LCK101" s="1"/>
      <c r="LCL101" s="1"/>
      <c r="LCM101" s="1"/>
      <c r="LCN101" s="1"/>
      <c r="LCO101" s="1"/>
      <c r="LCP101" s="1"/>
      <c r="LCQ101" s="1"/>
      <c r="LCR101" s="1"/>
      <c r="LCS101" s="1"/>
      <c r="LCT101" s="1"/>
      <c r="LCU101" s="1"/>
      <c r="LCV101" s="1"/>
      <c r="LCW101" s="1"/>
      <c r="LCX101" s="1"/>
      <c r="LCY101" s="1"/>
      <c r="LCZ101" s="1"/>
      <c r="LDA101" s="1"/>
      <c r="LDB101" s="1"/>
      <c r="LDC101" s="1"/>
      <c r="LDD101" s="1"/>
      <c r="LDE101" s="1"/>
      <c r="LDF101" s="1"/>
      <c r="LDG101" s="1"/>
      <c r="LDH101" s="1"/>
      <c r="LDI101" s="1"/>
      <c r="LDJ101" s="1"/>
      <c r="LDK101" s="1"/>
      <c r="LDL101" s="1"/>
      <c r="LDM101" s="1"/>
      <c r="LDN101" s="1"/>
      <c r="LDO101" s="1"/>
      <c r="LDP101" s="1"/>
      <c r="LDQ101" s="1"/>
      <c r="LDR101" s="1"/>
      <c r="LDS101" s="1"/>
      <c r="LDT101" s="1"/>
      <c r="LDU101" s="1"/>
      <c r="LDV101" s="1"/>
      <c r="LDW101" s="1"/>
      <c r="LDX101" s="1"/>
      <c r="LDY101" s="1"/>
      <c r="LDZ101" s="1"/>
      <c r="LEA101" s="1"/>
      <c r="LEB101" s="1"/>
      <c r="LEC101" s="1"/>
      <c r="LED101" s="1"/>
      <c r="LEE101" s="1"/>
      <c r="LEF101" s="1"/>
      <c r="LEG101" s="1"/>
      <c r="LEH101" s="1"/>
      <c r="LEI101" s="1"/>
      <c r="LEJ101" s="1"/>
      <c r="LEK101" s="1"/>
      <c r="LEL101" s="1"/>
      <c r="LEM101" s="1"/>
      <c r="LEN101" s="1"/>
      <c r="LEO101" s="1"/>
      <c r="LEP101" s="1"/>
      <c r="LEQ101" s="1"/>
      <c r="LER101" s="1"/>
      <c r="LES101" s="1"/>
      <c r="LET101" s="1"/>
      <c r="LEU101" s="1"/>
      <c r="LEV101" s="1"/>
      <c r="LEW101" s="1"/>
      <c r="LEX101" s="1"/>
      <c r="LEY101" s="1"/>
      <c r="LEZ101" s="1"/>
      <c r="LFA101" s="1"/>
      <c r="LFB101" s="1"/>
      <c r="LFC101" s="1"/>
      <c r="LFD101" s="1"/>
      <c r="LFE101" s="1"/>
      <c r="LFF101" s="1"/>
      <c r="LFG101" s="1"/>
      <c r="LFH101" s="1"/>
      <c r="LFI101" s="1"/>
      <c r="LFJ101" s="1"/>
      <c r="LFK101" s="1"/>
      <c r="LFL101" s="1"/>
      <c r="LFM101" s="1"/>
      <c r="LFN101" s="1"/>
      <c r="LFO101" s="1"/>
      <c r="LFP101" s="1"/>
      <c r="LFQ101" s="1"/>
      <c r="LFR101" s="1"/>
      <c r="LFS101" s="1"/>
      <c r="LFT101" s="1"/>
      <c r="LFU101" s="1"/>
      <c r="LFV101" s="1"/>
      <c r="LFW101" s="1"/>
      <c r="LFX101" s="1"/>
      <c r="LFY101" s="1"/>
      <c r="LFZ101" s="1"/>
      <c r="LGA101" s="1"/>
      <c r="LGB101" s="1"/>
      <c r="LGC101" s="1"/>
      <c r="LGD101" s="1"/>
      <c r="LGE101" s="1"/>
      <c r="LGF101" s="1"/>
      <c r="LGG101" s="1"/>
      <c r="LGH101" s="1"/>
      <c r="LGI101" s="1"/>
      <c r="LGJ101" s="1"/>
      <c r="LGK101" s="1"/>
      <c r="LGL101" s="1"/>
      <c r="LGM101" s="1"/>
      <c r="LGN101" s="1"/>
      <c r="LGO101" s="1"/>
      <c r="LGP101" s="1"/>
      <c r="LGQ101" s="1"/>
      <c r="LGR101" s="1"/>
      <c r="LGS101" s="1"/>
      <c r="LGT101" s="1"/>
      <c r="LGU101" s="1"/>
      <c r="LGV101" s="1"/>
      <c r="LGW101" s="1"/>
      <c r="LGX101" s="1"/>
      <c r="LGY101" s="1"/>
      <c r="LGZ101" s="1"/>
      <c r="LHA101" s="1"/>
      <c r="LHB101" s="1"/>
      <c r="LHC101" s="1"/>
      <c r="LHD101" s="1"/>
      <c r="LHE101" s="1"/>
      <c r="LHF101" s="1"/>
      <c r="LHG101" s="1"/>
      <c r="LHH101" s="1"/>
      <c r="LHI101" s="1"/>
      <c r="LHJ101" s="1"/>
      <c r="LHK101" s="1"/>
      <c r="LHL101" s="1"/>
      <c r="LHM101" s="1"/>
      <c r="LHN101" s="1"/>
      <c r="LHO101" s="1"/>
      <c r="LHP101" s="1"/>
      <c r="LHQ101" s="1"/>
      <c r="LHR101" s="1"/>
      <c r="LHS101" s="1"/>
      <c r="LHT101" s="1"/>
      <c r="LHU101" s="1"/>
      <c r="LHV101" s="1"/>
      <c r="LHW101" s="1"/>
      <c r="LHX101" s="1"/>
      <c r="LHY101" s="1"/>
      <c r="LHZ101" s="1"/>
      <c r="LIA101" s="1"/>
      <c r="LIB101" s="1"/>
      <c r="LIC101" s="1"/>
      <c r="LID101" s="1"/>
      <c r="LIE101" s="1"/>
      <c r="LIF101" s="1"/>
      <c r="LIG101" s="1"/>
      <c r="LIH101" s="1"/>
      <c r="LII101" s="1"/>
      <c r="LIJ101" s="1"/>
      <c r="LIK101" s="1"/>
      <c r="LIL101" s="1"/>
      <c r="LIM101" s="1"/>
      <c r="LIN101" s="1"/>
      <c r="LIO101" s="1"/>
      <c r="LIP101" s="1"/>
      <c r="LIQ101" s="1"/>
      <c r="LIR101" s="1"/>
      <c r="LIS101" s="1"/>
      <c r="LIT101" s="1"/>
      <c r="LIU101" s="1"/>
      <c r="LIV101" s="1"/>
      <c r="LIW101" s="1"/>
      <c r="LIX101" s="1"/>
      <c r="LIY101" s="1"/>
      <c r="LIZ101" s="1"/>
      <c r="LJA101" s="1"/>
      <c r="LJB101" s="1"/>
      <c r="LJC101" s="1"/>
      <c r="LJD101" s="1"/>
      <c r="LJE101" s="1"/>
      <c r="LJF101" s="1"/>
      <c r="LJG101" s="1"/>
      <c r="LJH101" s="1"/>
      <c r="LJI101" s="1"/>
      <c r="LJJ101" s="1"/>
      <c r="LJK101" s="1"/>
      <c r="LJL101" s="1"/>
      <c r="LJM101" s="1"/>
      <c r="LJN101" s="1"/>
      <c r="LJO101" s="1"/>
      <c r="LJP101" s="1"/>
      <c r="LJQ101" s="1"/>
      <c r="LJR101" s="1"/>
      <c r="LJS101" s="1"/>
      <c r="LJT101" s="1"/>
      <c r="LJU101" s="1"/>
      <c r="LJV101" s="1"/>
      <c r="LJW101" s="1"/>
      <c r="LJX101" s="1"/>
      <c r="LJY101" s="1"/>
      <c r="LJZ101" s="1"/>
      <c r="LKA101" s="1"/>
      <c r="LKB101" s="1"/>
      <c r="LKC101" s="1"/>
      <c r="LKD101" s="1"/>
      <c r="LKE101" s="1"/>
      <c r="LKF101" s="1"/>
      <c r="LKG101" s="1"/>
      <c r="LKH101" s="1"/>
      <c r="LKI101" s="1"/>
      <c r="LKJ101" s="1"/>
      <c r="LKK101" s="1"/>
      <c r="LKL101" s="1"/>
      <c r="LKM101" s="1"/>
      <c r="LKN101" s="1"/>
      <c r="LKO101" s="1"/>
      <c r="LKP101" s="1"/>
      <c r="LKQ101" s="1"/>
      <c r="LKR101" s="1"/>
      <c r="LKS101" s="1"/>
      <c r="LKT101" s="1"/>
      <c r="LKU101" s="1"/>
      <c r="LKV101" s="1"/>
      <c r="LKW101" s="1"/>
      <c r="LKX101" s="1"/>
      <c r="LKY101" s="1"/>
      <c r="LKZ101" s="1"/>
      <c r="LLA101" s="1"/>
      <c r="LLB101" s="1"/>
      <c r="LLC101" s="1"/>
      <c r="LLD101" s="1"/>
      <c r="LLE101" s="1"/>
      <c r="LLF101" s="1"/>
      <c r="LLG101" s="1"/>
      <c r="LLH101" s="1"/>
      <c r="LLI101" s="1"/>
      <c r="LLJ101" s="1"/>
      <c r="LLK101" s="1"/>
      <c r="LLL101" s="1"/>
      <c r="LLM101" s="1"/>
      <c r="LLN101" s="1"/>
      <c r="LLO101" s="1"/>
      <c r="LLP101" s="1"/>
      <c r="LLQ101" s="1"/>
      <c r="LLR101" s="1"/>
      <c r="LLS101" s="1"/>
      <c r="LLT101" s="1"/>
      <c r="LLU101" s="1"/>
      <c r="LLV101" s="1"/>
      <c r="LLW101" s="1"/>
      <c r="LLX101" s="1"/>
      <c r="LLY101" s="1"/>
      <c r="LLZ101" s="1"/>
      <c r="LMA101" s="1"/>
      <c r="LMB101" s="1"/>
      <c r="LMC101" s="1"/>
      <c r="LMD101" s="1"/>
      <c r="LME101" s="1"/>
      <c r="LMF101" s="1"/>
      <c r="LMG101" s="1"/>
      <c r="LMH101" s="1"/>
      <c r="LMI101" s="1"/>
      <c r="LMJ101" s="1"/>
      <c r="LMK101" s="1"/>
      <c r="LML101" s="1"/>
      <c r="LMM101" s="1"/>
      <c r="LMN101" s="1"/>
      <c r="LMO101" s="1"/>
      <c r="LMP101" s="1"/>
      <c r="LMQ101" s="1"/>
      <c r="LMR101" s="1"/>
      <c r="LMS101" s="1"/>
      <c r="LMT101" s="1"/>
      <c r="LMU101" s="1"/>
      <c r="LMV101" s="1"/>
      <c r="LMW101" s="1"/>
      <c r="LMX101" s="1"/>
      <c r="LMY101" s="1"/>
      <c r="LMZ101" s="1"/>
      <c r="LNA101" s="1"/>
      <c r="LNB101" s="1"/>
      <c r="LNC101" s="1"/>
      <c r="LND101" s="1"/>
      <c r="LNE101" s="1"/>
      <c r="LNF101" s="1"/>
      <c r="LNG101" s="1"/>
      <c r="LNH101" s="1"/>
      <c r="LNI101" s="1"/>
      <c r="LNJ101" s="1"/>
      <c r="LNK101" s="1"/>
      <c r="LNL101" s="1"/>
      <c r="LNM101" s="1"/>
      <c r="LNN101" s="1"/>
      <c r="LNO101" s="1"/>
      <c r="LNP101" s="1"/>
      <c r="LNQ101" s="1"/>
      <c r="LNR101" s="1"/>
      <c r="LNS101" s="1"/>
      <c r="LNT101" s="1"/>
      <c r="LNU101" s="1"/>
      <c r="LNV101" s="1"/>
      <c r="LNW101" s="1"/>
      <c r="LNX101" s="1"/>
      <c r="LNY101" s="1"/>
      <c r="LNZ101" s="1"/>
      <c r="LOA101" s="1"/>
      <c r="LOB101" s="1"/>
      <c r="LOC101" s="1"/>
      <c r="LOD101" s="1"/>
      <c r="LOE101" s="1"/>
      <c r="LOF101" s="1"/>
      <c r="LOG101" s="1"/>
      <c r="LOH101" s="1"/>
      <c r="LOI101" s="1"/>
      <c r="LOJ101" s="1"/>
      <c r="LOK101" s="1"/>
      <c r="LOL101" s="1"/>
      <c r="LOM101" s="1"/>
      <c r="LON101" s="1"/>
      <c r="LOO101" s="1"/>
      <c r="LOP101" s="1"/>
      <c r="LOQ101" s="1"/>
      <c r="LOR101" s="1"/>
      <c r="LOS101" s="1"/>
      <c r="LOT101" s="1"/>
      <c r="LOU101" s="1"/>
      <c r="LOV101" s="1"/>
      <c r="LOW101" s="1"/>
      <c r="LOX101" s="1"/>
      <c r="LOY101" s="1"/>
      <c r="LOZ101" s="1"/>
      <c r="LPA101" s="1"/>
      <c r="LPB101" s="1"/>
      <c r="LPC101" s="1"/>
      <c r="LPD101" s="1"/>
      <c r="LPE101" s="1"/>
      <c r="LPF101" s="1"/>
      <c r="LPG101" s="1"/>
      <c r="LPH101" s="1"/>
      <c r="LPI101" s="1"/>
      <c r="LPJ101" s="1"/>
      <c r="LPK101" s="1"/>
      <c r="LPL101" s="1"/>
      <c r="LPM101" s="1"/>
      <c r="LPN101" s="1"/>
      <c r="LPO101" s="1"/>
      <c r="LPP101" s="1"/>
      <c r="LPQ101" s="1"/>
      <c r="LPR101" s="1"/>
      <c r="LPS101" s="1"/>
      <c r="LPT101" s="1"/>
      <c r="LPU101" s="1"/>
      <c r="LPV101" s="1"/>
      <c r="LPW101" s="1"/>
      <c r="LPX101" s="1"/>
      <c r="LPY101" s="1"/>
      <c r="LPZ101" s="1"/>
      <c r="LQA101" s="1"/>
      <c r="LQB101" s="1"/>
      <c r="LQC101" s="1"/>
      <c r="LQD101" s="1"/>
      <c r="LQE101" s="1"/>
      <c r="LQF101" s="1"/>
      <c r="LQG101" s="1"/>
      <c r="LQH101" s="1"/>
      <c r="LQI101" s="1"/>
      <c r="LQJ101" s="1"/>
      <c r="LQK101" s="1"/>
      <c r="LQL101" s="1"/>
      <c r="LQM101" s="1"/>
      <c r="LQN101" s="1"/>
      <c r="LQO101" s="1"/>
      <c r="LQP101" s="1"/>
      <c r="LQQ101" s="1"/>
      <c r="LQR101" s="1"/>
      <c r="LQS101" s="1"/>
      <c r="LQT101" s="1"/>
      <c r="LQU101" s="1"/>
      <c r="LQV101" s="1"/>
      <c r="LQW101" s="1"/>
      <c r="LQX101" s="1"/>
      <c r="LQY101" s="1"/>
      <c r="LQZ101" s="1"/>
      <c r="LRA101" s="1"/>
      <c r="LRB101" s="1"/>
      <c r="LRC101" s="1"/>
      <c r="LRD101" s="1"/>
      <c r="LRE101" s="1"/>
      <c r="LRF101" s="1"/>
      <c r="LRG101" s="1"/>
      <c r="LRH101" s="1"/>
      <c r="LRI101" s="1"/>
      <c r="LRJ101" s="1"/>
      <c r="LRK101" s="1"/>
      <c r="LRL101" s="1"/>
      <c r="LRM101" s="1"/>
      <c r="LRN101" s="1"/>
      <c r="LRO101" s="1"/>
      <c r="LRP101" s="1"/>
      <c r="LRQ101" s="1"/>
      <c r="LRR101" s="1"/>
      <c r="LRS101" s="1"/>
      <c r="LRT101" s="1"/>
      <c r="LRU101" s="1"/>
      <c r="LRV101" s="1"/>
      <c r="LRW101" s="1"/>
      <c r="LRX101" s="1"/>
      <c r="LRY101" s="1"/>
      <c r="LRZ101" s="1"/>
      <c r="LSA101" s="1"/>
      <c r="LSB101" s="1"/>
      <c r="LSC101" s="1"/>
      <c r="LSD101" s="1"/>
      <c r="LSE101" s="1"/>
      <c r="LSF101" s="1"/>
      <c r="LSG101" s="1"/>
      <c r="LSH101" s="1"/>
      <c r="LSI101" s="1"/>
      <c r="LSJ101" s="1"/>
      <c r="LSK101" s="1"/>
      <c r="LSL101" s="1"/>
      <c r="LSM101" s="1"/>
      <c r="LSN101" s="1"/>
      <c r="LSO101" s="1"/>
      <c r="LSP101" s="1"/>
      <c r="LSQ101" s="1"/>
      <c r="LSR101" s="1"/>
      <c r="LSS101" s="1"/>
      <c r="LST101" s="1"/>
      <c r="LSU101" s="1"/>
      <c r="LSV101" s="1"/>
      <c r="LSW101" s="1"/>
      <c r="LSX101" s="1"/>
      <c r="LSY101" s="1"/>
      <c r="LSZ101" s="1"/>
      <c r="LTA101" s="1"/>
      <c r="LTB101" s="1"/>
      <c r="LTC101" s="1"/>
      <c r="LTD101" s="1"/>
      <c r="LTE101" s="1"/>
      <c r="LTF101" s="1"/>
      <c r="LTG101" s="1"/>
      <c r="LTH101" s="1"/>
      <c r="LTI101" s="1"/>
      <c r="LTJ101" s="1"/>
      <c r="LTK101" s="1"/>
      <c r="LTL101" s="1"/>
      <c r="LTM101" s="1"/>
      <c r="LTN101" s="1"/>
      <c r="LTO101" s="1"/>
      <c r="LTP101" s="1"/>
      <c r="LTQ101" s="1"/>
      <c r="LTR101" s="1"/>
      <c r="LTS101" s="1"/>
      <c r="LTT101" s="1"/>
      <c r="LTU101" s="1"/>
      <c r="LTV101" s="1"/>
      <c r="LTW101" s="1"/>
      <c r="LTX101" s="1"/>
      <c r="LTY101" s="1"/>
      <c r="LTZ101" s="1"/>
      <c r="LUA101" s="1"/>
      <c r="LUB101" s="1"/>
      <c r="LUC101" s="1"/>
      <c r="LUD101" s="1"/>
      <c r="LUE101" s="1"/>
      <c r="LUF101" s="1"/>
      <c r="LUG101" s="1"/>
      <c r="LUH101" s="1"/>
      <c r="LUI101" s="1"/>
      <c r="LUJ101" s="1"/>
      <c r="LUK101" s="1"/>
      <c r="LUL101" s="1"/>
      <c r="LUM101" s="1"/>
      <c r="LUN101" s="1"/>
      <c r="LUO101" s="1"/>
      <c r="LUP101" s="1"/>
      <c r="LUQ101" s="1"/>
      <c r="LUR101" s="1"/>
      <c r="LUS101" s="1"/>
      <c r="LUT101" s="1"/>
      <c r="LUU101" s="1"/>
      <c r="LUV101" s="1"/>
      <c r="LUW101" s="1"/>
      <c r="LUX101" s="1"/>
      <c r="LUY101" s="1"/>
      <c r="LUZ101" s="1"/>
      <c r="LVA101" s="1"/>
      <c r="LVB101" s="1"/>
      <c r="LVC101" s="1"/>
      <c r="LVD101" s="1"/>
      <c r="LVE101" s="1"/>
      <c r="LVF101" s="1"/>
      <c r="LVG101" s="1"/>
      <c r="LVH101" s="1"/>
      <c r="LVI101" s="1"/>
      <c r="LVJ101" s="1"/>
      <c r="LVK101" s="1"/>
      <c r="LVL101" s="1"/>
      <c r="LVM101" s="1"/>
      <c r="LVN101" s="1"/>
      <c r="LVO101" s="1"/>
      <c r="LVP101" s="1"/>
      <c r="LVQ101" s="1"/>
      <c r="LVR101" s="1"/>
      <c r="LVS101" s="1"/>
      <c r="LVT101" s="1"/>
      <c r="LVU101" s="1"/>
      <c r="LVV101" s="1"/>
      <c r="LVW101" s="1"/>
      <c r="LVX101" s="1"/>
      <c r="LVY101" s="1"/>
      <c r="LVZ101" s="1"/>
      <c r="LWA101" s="1"/>
      <c r="LWB101" s="1"/>
      <c r="LWC101" s="1"/>
      <c r="LWD101" s="1"/>
      <c r="LWE101" s="1"/>
      <c r="LWF101" s="1"/>
      <c r="LWG101" s="1"/>
      <c r="LWH101" s="1"/>
      <c r="LWI101" s="1"/>
      <c r="LWJ101" s="1"/>
      <c r="LWK101" s="1"/>
      <c r="LWL101" s="1"/>
      <c r="LWM101" s="1"/>
      <c r="LWN101" s="1"/>
      <c r="LWO101" s="1"/>
      <c r="LWP101" s="1"/>
      <c r="LWQ101" s="1"/>
      <c r="LWR101" s="1"/>
      <c r="LWS101" s="1"/>
      <c r="LWT101" s="1"/>
      <c r="LWU101" s="1"/>
      <c r="LWV101" s="1"/>
      <c r="LWW101" s="1"/>
      <c r="LWX101" s="1"/>
      <c r="LWY101" s="1"/>
      <c r="LWZ101" s="1"/>
      <c r="LXA101" s="1"/>
      <c r="LXB101" s="1"/>
      <c r="LXC101" s="1"/>
      <c r="LXD101" s="1"/>
      <c r="LXE101" s="1"/>
      <c r="LXF101" s="1"/>
      <c r="LXG101" s="1"/>
      <c r="LXH101" s="1"/>
      <c r="LXI101" s="1"/>
      <c r="LXJ101" s="1"/>
      <c r="LXK101" s="1"/>
      <c r="LXL101" s="1"/>
      <c r="LXM101" s="1"/>
      <c r="LXN101" s="1"/>
      <c r="LXO101" s="1"/>
      <c r="LXP101" s="1"/>
      <c r="LXQ101" s="1"/>
      <c r="LXR101" s="1"/>
      <c r="LXS101" s="1"/>
      <c r="LXT101" s="1"/>
      <c r="LXU101" s="1"/>
      <c r="LXV101" s="1"/>
      <c r="LXW101" s="1"/>
      <c r="LXX101" s="1"/>
      <c r="LXY101" s="1"/>
      <c r="LXZ101" s="1"/>
      <c r="LYA101" s="1"/>
      <c r="LYB101" s="1"/>
      <c r="LYC101" s="1"/>
      <c r="LYD101" s="1"/>
      <c r="LYE101" s="1"/>
      <c r="LYF101" s="1"/>
      <c r="LYG101" s="1"/>
      <c r="LYH101" s="1"/>
      <c r="LYI101" s="1"/>
      <c r="LYJ101" s="1"/>
      <c r="LYK101" s="1"/>
      <c r="LYL101" s="1"/>
      <c r="LYM101" s="1"/>
      <c r="LYN101" s="1"/>
      <c r="LYO101" s="1"/>
      <c r="LYP101" s="1"/>
      <c r="LYQ101" s="1"/>
      <c r="LYR101" s="1"/>
      <c r="LYS101" s="1"/>
      <c r="LYT101" s="1"/>
      <c r="LYU101" s="1"/>
      <c r="LYV101" s="1"/>
      <c r="LYW101" s="1"/>
      <c r="LYX101" s="1"/>
      <c r="LYY101" s="1"/>
      <c r="LYZ101" s="1"/>
      <c r="LZA101" s="1"/>
      <c r="LZB101" s="1"/>
      <c r="LZC101" s="1"/>
      <c r="LZD101" s="1"/>
      <c r="LZE101" s="1"/>
      <c r="LZF101" s="1"/>
      <c r="LZG101" s="1"/>
      <c r="LZH101" s="1"/>
      <c r="LZI101" s="1"/>
      <c r="LZJ101" s="1"/>
      <c r="LZK101" s="1"/>
      <c r="LZL101" s="1"/>
      <c r="LZM101" s="1"/>
      <c r="LZN101" s="1"/>
      <c r="LZO101" s="1"/>
      <c r="LZP101" s="1"/>
      <c r="LZQ101" s="1"/>
      <c r="LZR101" s="1"/>
      <c r="LZS101" s="1"/>
      <c r="LZT101" s="1"/>
      <c r="LZU101" s="1"/>
      <c r="LZV101" s="1"/>
      <c r="LZW101" s="1"/>
      <c r="LZX101" s="1"/>
      <c r="LZY101" s="1"/>
      <c r="LZZ101" s="1"/>
      <c r="MAA101" s="1"/>
      <c r="MAB101" s="1"/>
      <c r="MAC101" s="1"/>
      <c r="MAD101" s="1"/>
      <c r="MAE101" s="1"/>
      <c r="MAF101" s="1"/>
      <c r="MAG101" s="1"/>
      <c r="MAH101" s="1"/>
      <c r="MAI101" s="1"/>
      <c r="MAJ101" s="1"/>
      <c r="MAK101" s="1"/>
      <c r="MAL101" s="1"/>
      <c r="MAM101" s="1"/>
      <c r="MAN101" s="1"/>
      <c r="MAO101" s="1"/>
      <c r="MAP101" s="1"/>
      <c r="MAQ101" s="1"/>
      <c r="MAR101" s="1"/>
      <c r="MAS101" s="1"/>
      <c r="MAT101" s="1"/>
      <c r="MAU101" s="1"/>
      <c r="MAV101" s="1"/>
      <c r="MAW101" s="1"/>
      <c r="MAX101" s="1"/>
      <c r="MAY101" s="1"/>
      <c r="MAZ101" s="1"/>
      <c r="MBA101" s="1"/>
      <c r="MBB101" s="1"/>
      <c r="MBC101" s="1"/>
      <c r="MBD101" s="1"/>
      <c r="MBE101" s="1"/>
      <c r="MBF101" s="1"/>
      <c r="MBG101" s="1"/>
      <c r="MBH101" s="1"/>
      <c r="MBI101" s="1"/>
      <c r="MBJ101" s="1"/>
      <c r="MBK101" s="1"/>
      <c r="MBL101" s="1"/>
      <c r="MBM101" s="1"/>
      <c r="MBN101" s="1"/>
      <c r="MBO101" s="1"/>
      <c r="MBP101" s="1"/>
      <c r="MBQ101" s="1"/>
      <c r="MBR101" s="1"/>
      <c r="MBS101" s="1"/>
      <c r="MBT101" s="1"/>
      <c r="MBU101" s="1"/>
      <c r="MBV101" s="1"/>
      <c r="MBW101" s="1"/>
      <c r="MBX101" s="1"/>
      <c r="MBY101" s="1"/>
      <c r="MBZ101" s="1"/>
      <c r="MCA101" s="1"/>
      <c r="MCB101" s="1"/>
      <c r="MCC101" s="1"/>
      <c r="MCD101" s="1"/>
      <c r="MCE101" s="1"/>
      <c r="MCF101" s="1"/>
      <c r="MCG101" s="1"/>
      <c r="MCH101" s="1"/>
      <c r="MCI101" s="1"/>
      <c r="MCJ101" s="1"/>
      <c r="MCK101" s="1"/>
      <c r="MCL101" s="1"/>
      <c r="MCM101" s="1"/>
      <c r="MCN101" s="1"/>
      <c r="MCO101" s="1"/>
      <c r="MCP101" s="1"/>
      <c r="MCQ101" s="1"/>
      <c r="MCR101" s="1"/>
      <c r="MCS101" s="1"/>
      <c r="MCT101" s="1"/>
      <c r="MCU101" s="1"/>
      <c r="MCV101" s="1"/>
      <c r="MCW101" s="1"/>
      <c r="MCX101" s="1"/>
      <c r="MCY101" s="1"/>
      <c r="MCZ101" s="1"/>
      <c r="MDA101" s="1"/>
      <c r="MDB101" s="1"/>
      <c r="MDC101" s="1"/>
      <c r="MDD101" s="1"/>
      <c r="MDE101" s="1"/>
      <c r="MDF101" s="1"/>
      <c r="MDG101" s="1"/>
      <c r="MDH101" s="1"/>
      <c r="MDI101" s="1"/>
      <c r="MDJ101" s="1"/>
      <c r="MDK101" s="1"/>
      <c r="MDL101" s="1"/>
      <c r="MDM101" s="1"/>
      <c r="MDN101" s="1"/>
      <c r="MDO101" s="1"/>
      <c r="MDP101" s="1"/>
      <c r="MDQ101" s="1"/>
      <c r="MDR101" s="1"/>
      <c r="MDS101" s="1"/>
      <c r="MDT101" s="1"/>
      <c r="MDU101" s="1"/>
      <c r="MDV101" s="1"/>
      <c r="MDW101" s="1"/>
      <c r="MDX101" s="1"/>
      <c r="MDY101" s="1"/>
      <c r="MDZ101" s="1"/>
      <c r="MEA101" s="1"/>
      <c r="MEB101" s="1"/>
      <c r="MEC101" s="1"/>
      <c r="MED101" s="1"/>
      <c r="MEE101" s="1"/>
      <c r="MEF101" s="1"/>
      <c r="MEG101" s="1"/>
      <c r="MEH101" s="1"/>
      <c r="MEI101" s="1"/>
      <c r="MEJ101" s="1"/>
      <c r="MEK101" s="1"/>
      <c r="MEL101" s="1"/>
      <c r="MEM101" s="1"/>
      <c r="MEN101" s="1"/>
      <c r="MEO101" s="1"/>
      <c r="MEP101" s="1"/>
      <c r="MEQ101" s="1"/>
      <c r="MER101" s="1"/>
      <c r="MES101" s="1"/>
      <c r="MET101" s="1"/>
      <c r="MEU101" s="1"/>
      <c r="MEV101" s="1"/>
      <c r="MEW101" s="1"/>
      <c r="MEX101" s="1"/>
      <c r="MEY101" s="1"/>
      <c r="MEZ101" s="1"/>
      <c r="MFA101" s="1"/>
      <c r="MFB101" s="1"/>
      <c r="MFC101" s="1"/>
      <c r="MFD101" s="1"/>
      <c r="MFE101" s="1"/>
      <c r="MFF101" s="1"/>
      <c r="MFG101" s="1"/>
      <c r="MFH101" s="1"/>
      <c r="MFI101" s="1"/>
      <c r="MFJ101" s="1"/>
      <c r="MFK101" s="1"/>
      <c r="MFL101" s="1"/>
      <c r="MFM101" s="1"/>
      <c r="MFN101" s="1"/>
      <c r="MFO101" s="1"/>
      <c r="MFP101" s="1"/>
      <c r="MFQ101" s="1"/>
      <c r="MFR101" s="1"/>
      <c r="MFS101" s="1"/>
      <c r="MFT101" s="1"/>
      <c r="MFU101" s="1"/>
      <c r="MFV101" s="1"/>
      <c r="MFW101" s="1"/>
      <c r="MFX101" s="1"/>
      <c r="MFY101" s="1"/>
      <c r="MFZ101" s="1"/>
      <c r="MGA101" s="1"/>
      <c r="MGB101" s="1"/>
      <c r="MGC101" s="1"/>
      <c r="MGD101" s="1"/>
      <c r="MGE101" s="1"/>
      <c r="MGF101" s="1"/>
      <c r="MGG101" s="1"/>
      <c r="MGH101" s="1"/>
      <c r="MGI101" s="1"/>
      <c r="MGJ101" s="1"/>
      <c r="MGK101" s="1"/>
      <c r="MGL101" s="1"/>
      <c r="MGM101" s="1"/>
      <c r="MGN101" s="1"/>
      <c r="MGO101" s="1"/>
      <c r="MGP101" s="1"/>
      <c r="MGQ101" s="1"/>
      <c r="MGR101" s="1"/>
      <c r="MGS101" s="1"/>
      <c r="MGT101" s="1"/>
      <c r="MGU101" s="1"/>
      <c r="MGV101" s="1"/>
      <c r="MGW101" s="1"/>
      <c r="MGX101" s="1"/>
      <c r="MGY101" s="1"/>
      <c r="MGZ101" s="1"/>
      <c r="MHA101" s="1"/>
      <c r="MHB101" s="1"/>
      <c r="MHC101" s="1"/>
      <c r="MHD101" s="1"/>
      <c r="MHE101" s="1"/>
      <c r="MHF101" s="1"/>
      <c r="MHG101" s="1"/>
      <c r="MHH101" s="1"/>
      <c r="MHI101" s="1"/>
      <c r="MHJ101" s="1"/>
      <c r="MHK101" s="1"/>
      <c r="MHL101" s="1"/>
      <c r="MHM101" s="1"/>
      <c r="MHN101" s="1"/>
      <c r="MHO101" s="1"/>
      <c r="MHP101" s="1"/>
      <c r="MHQ101" s="1"/>
      <c r="MHR101" s="1"/>
      <c r="MHS101" s="1"/>
      <c r="MHT101" s="1"/>
      <c r="MHU101" s="1"/>
      <c r="MHV101" s="1"/>
      <c r="MHW101" s="1"/>
      <c r="MHX101" s="1"/>
      <c r="MHY101" s="1"/>
      <c r="MHZ101" s="1"/>
      <c r="MIA101" s="1"/>
      <c r="MIB101" s="1"/>
      <c r="MIC101" s="1"/>
      <c r="MID101" s="1"/>
      <c r="MIE101" s="1"/>
      <c r="MIF101" s="1"/>
      <c r="MIG101" s="1"/>
      <c r="MIH101" s="1"/>
      <c r="MII101" s="1"/>
      <c r="MIJ101" s="1"/>
      <c r="MIK101" s="1"/>
      <c r="MIL101" s="1"/>
      <c r="MIM101" s="1"/>
      <c r="MIN101" s="1"/>
      <c r="MIO101" s="1"/>
      <c r="MIP101" s="1"/>
      <c r="MIQ101" s="1"/>
      <c r="MIR101" s="1"/>
      <c r="MIS101" s="1"/>
      <c r="MIT101" s="1"/>
      <c r="MIU101" s="1"/>
      <c r="MIV101" s="1"/>
      <c r="MIW101" s="1"/>
      <c r="MIX101" s="1"/>
      <c r="MIY101" s="1"/>
      <c r="MIZ101" s="1"/>
      <c r="MJA101" s="1"/>
      <c r="MJB101" s="1"/>
      <c r="MJC101" s="1"/>
      <c r="MJD101" s="1"/>
      <c r="MJE101" s="1"/>
      <c r="MJF101" s="1"/>
      <c r="MJG101" s="1"/>
      <c r="MJH101" s="1"/>
      <c r="MJI101" s="1"/>
      <c r="MJJ101" s="1"/>
      <c r="MJK101" s="1"/>
      <c r="MJL101" s="1"/>
      <c r="MJM101" s="1"/>
      <c r="MJN101" s="1"/>
      <c r="MJO101" s="1"/>
      <c r="MJP101" s="1"/>
      <c r="MJQ101" s="1"/>
      <c r="MJR101" s="1"/>
      <c r="MJS101" s="1"/>
      <c r="MJT101" s="1"/>
      <c r="MJU101" s="1"/>
      <c r="MJV101" s="1"/>
      <c r="MJW101" s="1"/>
      <c r="MJX101" s="1"/>
      <c r="MJY101" s="1"/>
      <c r="MJZ101" s="1"/>
      <c r="MKA101" s="1"/>
      <c r="MKB101" s="1"/>
      <c r="MKC101" s="1"/>
      <c r="MKD101" s="1"/>
      <c r="MKE101" s="1"/>
      <c r="MKF101" s="1"/>
      <c r="MKG101" s="1"/>
      <c r="MKH101" s="1"/>
      <c r="MKI101" s="1"/>
      <c r="MKJ101" s="1"/>
      <c r="MKK101" s="1"/>
      <c r="MKL101" s="1"/>
      <c r="MKM101" s="1"/>
      <c r="MKN101" s="1"/>
      <c r="MKO101" s="1"/>
      <c r="MKP101" s="1"/>
      <c r="MKQ101" s="1"/>
      <c r="MKR101" s="1"/>
      <c r="MKS101" s="1"/>
      <c r="MKT101" s="1"/>
      <c r="MKU101" s="1"/>
      <c r="MKV101" s="1"/>
      <c r="MKW101" s="1"/>
      <c r="MKX101" s="1"/>
      <c r="MKY101" s="1"/>
      <c r="MKZ101" s="1"/>
      <c r="MLA101" s="1"/>
      <c r="MLB101" s="1"/>
      <c r="MLC101" s="1"/>
      <c r="MLD101" s="1"/>
      <c r="MLE101" s="1"/>
      <c r="MLF101" s="1"/>
      <c r="MLG101" s="1"/>
      <c r="MLH101" s="1"/>
      <c r="MLI101" s="1"/>
      <c r="MLJ101" s="1"/>
      <c r="MLK101" s="1"/>
      <c r="MLL101" s="1"/>
      <c r="MLM101" s="1"/>
      <c r="MLN101" s="1"/>
      <c r="MLO101" s="1"/>
      <c r="MLP101" s="1"/>
      <c r="MLQ101" s="1"/>
      <c r="MLR101" s="1"/>
      <c r="MLS101" s="1"/>
      <c r="MLT101" s="1"/>
      <c r="MLU101" s="1"/>
      <c r="MLV101" s="1"/>
      <c r="MLW101" s="1"/>
      <c r="MLX101" s="1"/>
      <c r="MLY101" s="1"/>
      <c r="MLZ101" s="1"/>
      <c r="MMA101" s="1"/>
      <c r="MMB101" s="1"/>
      <c r="MMC101" s="1"/>
      <c r="MMD101" s="1"/>
      <c r="MME101" s="1"/>
      <c r="MMF101" s="1"/>
      <c r="MMG101" s="1"/>
      <c r="MMH101" s="1"/>
      <c r="MMI101" s="1"/>
      <c r="MMJ101" s="1"/>
      <c r="MMK101" s="1"/>
      <c r="MML101" s="1"/>
      <c r="MMM101" s="1"/>
      <c r="MMN101" s="1"/>
      <c r="MMO101" s="1"/>
      <c r="MMP101" s="1"/>
      <c r="MMQ101" s="1"/>
      <c r="MMR101" s="1"/>
      <c r="MMS101" s="1"/>
      <c r="MMT101" s="1"/>
      <c r="MMU101" s="1"/>
      <c r="MMV101" s="1"/>
      <c r="MMW101" s="1"/>
      <c r="MMX101" s="1"/>
      <c r="MMY101" s="1"/>
      <c r="MMZ101" s="1"/>
      <c r="MNA101" s="1"/>
      <c r="MNB101" s="1"/>
      <c r="MNC101" s="1"/>
      <c r="MND101" s="1"/>
      <c r="MNE101" s="1"/>
      <c r="MNF101" s="1"/>
      <c r="MNG101" s="1"/>
      <c r="MNH101" s="1"/>
      <c r="MNI101" s="1"/>
      <c r="MNJ101" s="1"/>
      <c r="MNK101" s="1"/>
      <c r="MNL101" s="1"/>
      <c r="MNM101" s="1"/>
      <c r="MNN101" s="1"/>
      <c r="MNO101" s="1"/>
      <c r="MNP101" s="1"/>
      <c r="MNQ101" s="1"/>
      <c r="MNR101" s="1"/>
      <c r="MNS101" s="1"/>
      <c r="MNT101" s="1"/>
      <c r="MNU101" s="1"/>
      <c r="MNV101" s="1"/>
      <c r="MNW101" s="1"/>
      <c r="MNX101" s="1"/>
      <c r="MNY101" s="1"/>
      <c r="MNZ101" s="1"/>
      <c r="MOA101" s="1"/>
      <c r="MOB101" s="1"/>
      <c r="MOC101" s="1"/>
      <c r="MOD101" s="1"/>
      <c r="MOE101" s="1"/>
      <c r="MOF101" s="1"/>
      <c r="MOG101" s="1"/>
      <c r="MOH101" s="1"/>
      <c r="MOI101" s="1"/>
      <c r="MOJ101" s="1"/>
      <c r="MOK101" s="1"/>
      <c r="MOL101" s="1"/>
      <c r="MOM101" s="1"/>
      <c r="MON101" s="1"/>
      <c r="MOO101" s="1"/>
      <c r="MOP101" s="1"/>
      <c r="MOQ101" s="1"/>
      <c r="MOR101" s="1"/>
      <c r="MOS101" s="1"/>
      <c r="MOT101" s="1"/>
      <c r="MOU101" s="1"/>
      <c r="MOV101" s="1"/>
      <c r="MOW101" s="1"/>
      <c r="MOX101" s="1"/>
      <c r="MOY101" s="1"/>
      <c r="MOZ101" s="1"/>
      <c r="MPA101" s="1"/>
      <c r="MPB101" s="1"/>
      <c r="MPC101" s="1"/>
      <c r="MPD101" s="1"/>
      <c r="MPE101" s="1"/>
      <c r="MPF101" s="1"/>
      <c r="MPG101" s="1"/>
      <c r="MPH101" s="1"/>
      <c r="MPI101" s="1"/>
      <c r="MPJ101" s="1"/>
      <c r="MPK101" s="1"/>
      <c r="MPL101" s="1"/>
      <c r="MPM101" s="1"/>
      <c r="MPN101" s="1"/>
      <c r="MPO101" s="1"/>
      <c r="MPP101" s="1"/>
      <c r="MPQ101" s="1"/>
      <c r="MPR101" s="1"/>
      <c r="MPS101" s="1"/>
      <c r="MPT101" s="1"/>
      <c r="MPU101" s="1"/>
      <c r="MPV101" s="1"/>
      <c r="MPW101" s="1"/>
      <c r="MPX101" s="1"/>
      <c r="MPY101" s="1"/>
      <c r="MPZ101" s="1"/>
      <c r="MQA101" s="1"/>
      <c r="MQB101" s="1"/>
      <c r="MQC101" s="1"/>
      <c r="MQD101" s="1"/>
      <c r="MQE101" s="1"/>
      <c r="MQF101" s="1"/>
      <c r="MQG101" s="1"/>
      <c r="MQH101" s="1"/>
      <c r="MQI101" s="1"/>
      <c r="MQJ101" s="1"/>
      <c r="MQK101" s="1"/>
      <c r="MQL101" s="1"/>
      <c r="MQM101" s="1"/>
      <c r="MQN101" s="1"/>
      <c r="MQO101" s="1"/>
      <c r="MQP101" s="1"/>
      <c r="MQQ101" s="1"/>
      <c r="MQR101" s="1"/>
      <c r="MQS101" s="1"/>
      <c r="MQT101" s="1"/>
      <c r="MQU101" s="1"/>
      <c r="MQV101" s="1"/>
      <c r="MQW101" s="1"/>
      <c r="MQX101" s="1"/>
      <c r="MQY101" s="1"/>
      <c r="MQZ101" s="1"/>
      <c r="MRA101" s="1"/>
      <c r="MRB101" s="1"/>
      <c r="MRC101" s="1"/>
      <c r="MRD101" s="1"/>
      <c r="MRE101" s="1"/>
      <c r="MRF101" s="1"/>
      <c r="MRG101" s="1"/>
      <c r="MRH101" s="1"/>
      <c r="MRI101" s="1"/>
      <c r="MRJ101" s="1"/>
      <c r="MRK101" s="1"/>
      <c r="MRL101" s="1"/>
      <c r="MRM101" s="1"/>
      <c r="MRN101" s="1"/>
      <c r="MRO101" s="1"/>
      <c r="MRP101" s="1"/>
      <c r="MRQ101" s="1"/>
      <c r="MRR101" s="1"/>
      <c r="MRS101" s="1"/>
      <c r="MRT101" s="1"/>
      <c r="MRU101" s="1"/>
      <c r="MRV101" s="1"/>
      <c r="MRW101" s="1"/>
      <c r="MRX101" s="1"/>
      <c r="MRY101" s="1"/>
      <c r="MRZ101" s="1"/>
      <c r="MSA101" s="1"/>
      <c r="MSB101" s="1"/>
      <c r="MSC101" s="1"/>
      <c r="MSD101" s="1"/>
      <c r="MSE101" s="1"/>
      <c r="MSF101" s="1"/>
      <c r="MSG101" s="1"/>
      <c r="MSH101" s="1"/>
      <c r="MSI101" s="1"/>
      <c r="MSJ101" s="1"/>
      <c r="MSK101" s="1"/>
      <c r="MSL101" s="1"/>
      <c r="MSM101" s="1"/>
      <c r="MSN101" s="1"/>
      <c r="MSO101" s="1"/>
      <c r="MSP101" s="1"/>
      <c r="MSQ101" s="1"/>
      <c r="MSR101" s="1"/>
      <c r="MSS101" s="1"/>
      <c r="MST101" s="1"/>
      <c r="MSU101" s="1"/>
      <c r="MSV101" s="1"/>
      <c r="MSW101" s="1"/>
      <c r="MSX101" s="1"/>
      <c r="MSY101" s="1"/>
      <c r="MSZ101" s="1"/>
      <c r="MTA101" s="1"/>
      <c r="MTB101" s="1"/>
      <c r="MTC101" s="1"/>
      <c r="MTD101" s="1"/>
      <c r="MTE101" s="1"/>
      <c r="MTF101" s="1"/>
      <c r="MTG101" s="1"/>
      <c r="MTH101" s="1"/>
      <c r="MTI101" s="1"/>
      <c r="MTJ101" s="1"/>
      <c r="MTK101" s="1"/>
      <c r="MTL101" s="1"/>
      <c r="MTM101" s="1"/>
      <c r="MTN101" s="1"/>
      <c r="MTO101" s="1"/>
      <c r="MTP101" s="1"/>
      <c r="MTQ101" s="1"/>
      <c r="MTR101" s="1"/>
      <c r="MTS101" s="1"/>
      <c r="MTT101" s="1"/>
      <c r="MTU101" s="1"/>
      <c r="MTV101" s="1"/>
      <c r="MTW101" s="1"/>
      <c r="MTX101" s="1"/>
      <c r="MTY101" s="1"/>
      <c r="MTZ101" s="1"/>
      <c r="MUA101" s="1"/>
      <c r="MUB101" s="1"/>
      <c r="MUC101" s="1"/>
      <c r="MUD101" s="1"/>
      <c r="MUE101" s="1"/>
      <c r="MUF101" s="1"/>
      <c r="MUG101" s="1"/>
      <c r="MUH101" s="1"/>
      <c r="MUI101" s="1"/>
      <c r="MUJ101" s="1"/>
      <c r="MUK101" s="1"/>
      <c r="MUL101" s="1"/>
      <c r="MUM101" s="1"/>
      <c r="MUN101" s="1"/>
      <c r="MUO101" s="1"/>
      <c r="MUP101" s="1"/>
      <c r="MUQ101" s="1"/>
      <c r="MUR101" s="1"/>
      <c r="MUS101" s="1"/>
      <c r="MUT101" s="1"/>
      <c r="MUU101" s="1"/>
      <c r="MUV101" s="1"/>
      <c r="MUW101" s="1"/>
      <c r="MUX101" s="1"/>
      <c r="MUY101" s="1"/>
      <c r="MUZ101" s="1"/>
      <c r="MVA101" s="1"/>
      <c r="MVB101" s="1"/>
      <c r="MVC101" s="1"/>
      <c r="MVD101" s="1"/>
      <c r="MVE101" s="1"/>
      <c r="MVF101" s="1"/>
      <c r="MVG101" s="1"/>
      <c r="MVH101" s="1"/>
      <c r="MVI101" s="1"/>
      <c r="MVJ101" s="1"/>
      <c r="MVK101" s="1"/>
      <c r="MVL101" s="1"/>
      <c r="MVM101" s="1"/>
      <c r="MVN101" s="1"/>
      <c r="MVO101" s="1"/>
      <c r="MVP101" s="1"/>
      <c r="MVQ101" s="1"/>
      <c r="MVR101" s="1"/>
      <c r="MVS101" s="1"/>
      <c r="MVT101" s="1"/>
      <c r="MVU101" s="1"/>
      <c r="MVV101" s="1"/>
      <c r="MVW101" s="1"/>
      <c r="MVX101" s="1"/>
      <c r="MVY101" s="1"/>
      <c r="MVZ101" s="1"/>
      <c r="MWA101" s="1"/>
      <c r="MWB101" s="1"/>
      <c r="MWC101" s="1"/>
      <c r="MWD101" s="1"/>
      <c r="MWE101" s="1"/>
      <c r="MWF101" s="1"/>
      <c r="MWG101" s="1"/>
      <c r="MWH101" s="1"/>
      <c r="MWI101" s="1"/>
      <c r="MWJ101" s="1"/>
      <c r="MWK101" s="1"/>
      <c r="MWL101" s="1"/>
      <c r="MWM101" s="1"/>
      <c r="MWN101" s="1"/>
      <c r="MWO101" s="1"/>
      <c r="MWP101" s="1"/>
      <c r="MWQ101" s="1"/>
      <c r="MWR101" s="1"/>
      <c r="MWS101" s="1"/>
      <c r="MWT101" s="1"/>
      <c r="MWU101" s="1"/>
      <c r="MWV101" s="1"/>
      <c r="MWW101" s="1"/>
      <c r="MWX101" s="1"/>
      <c r="MWY101" s="1"/>
      <c r="MWZ101" s="1"/>
      <c r="MXA101" s="1"/>
      <c r="MXB101" s="1"/>
      <c r="MXC101" s="1"/>
      <c r="MXD101" s="1"/>
      <c r="MXE101" s="1"/>
      <c r="MXF101" s="1"/>
      <c r="MXG101" s="1"/>
      <c r="MXH101" s="1"/>
      <c r="MXI101" s="1"/>
      <c r="MXJ101" s="1"/>
      <c r="MXK101" s="1"/>
      <c r="MXL101" s="1"/>
      <c r="MXM101" s="1"/>
      <c r="MXN101" s="1"/>
      <c r="MXO101" s="1"/>
      <c r="MXP101" s="1"/>
      <c r="MXQ101" s="1"/>
      <c r="MXR101" s="1"/>
      <c r="MXS101" s="1"/>
      <c r="MXT101" s="1"/>
      <c r="MXU101" s="1"/>
      <c r="MXV101" s="1"/>
      <c r="MXW101" s="1"/>
      <c r="MXX101" s="1"/>
      <c r="MXY101" s="1"/>
      <c r="MXZ101" s="1"/>
      <c r="MYA101" s="1"/>
      <c r="MYB101" s="1"/>
      <c r="MYC101" s="1"/>
      <c r="MYD101" s="1"/>
      <c r="MYE101" s="1"/>
      <c r="MYF101" s="1"/>
      <c r="MYG101" s="1"/>
      <c r="MYH101" s="1"/>
      <c r="MYI101" s="1"/>
      <c r="MYJ101" s="1"/>
      <c r="MYK101" s="1"/>
      <c r="MYL101" s="1"/>
      <c r="MYM101" s="1"/>
      <c r="MYN101" s="1"/>
      <c r="MYO101" s="1"/>
      <c r="MYP101" s="1"/>
      <c r="MYQ101" s="1"/>
      <c r="MYR101" s="1"/>
      <c r="MYS101" s="1"/>
      <c r="MYT101" s="1"/>
      <c r="MYU101" s="1"/>
      <c r="MYV101" s="1"/>
      <c r="MYW101" s="1"/>
      <c r="MYX101" s="1"/>
      <c r="MYY101" s="1"/>
      <c r="MYZ101" s="1"/>
      <c r="MZA101" s="1"/>
      <c r="MZB101" s="1"/>
      <c r="MZC101" s="1"/>
      <c r="MZD101" s="1"/>
      <c r="MZE101" s="1"/>
      <c r="MZF101" s="1"/>
      <c r="MZG101" s="1"/>
      <c r="MZH101" s="1"/>
      <c r="MZI101" s="1"/>
      <c r="MZJ101" s="1"/>
      <c r="MZK101" s="1"/>
      <c r="MZL101" s="1"/>
      <c r="MZM101" s="1"/>
      <c r="MZN101" s="1"/>
      <c r="MZO101" s="1"/>
      <c r="MZP101" s="1"/>
      <c r="MZQ101" s="1"/>
      <c r="MZR101" s="1"/>
      <c r="MZS101" s="1"/>
      <c r="MZT101" s="1"/>
      <c r="MZU101" s="1"/>
      <c r="MZV101" s="1"/>
      <c r="MZW101" s="1"/>
      <c r="MZX101" s="1"/>
      <c r="MZY101" s="1"/>
      <c r="MZZ101" s="1"/>
      <c r="NAA101" s="1"/>
      <c r="NAB101" s="1"/>
      <c r="NAC101" s="1"/>
      <c r="NAD101" s="1"/>
      <c r="NAE101" s="1"/>
      <c r="NAF101" s="1"/>
      <c r="NAG101" s="1"/>
      <c r="NAH101" s="1"/>
      <c r="NAI101" s="1"/>
      <c r="NAJ101" s="1"/>
      <c r="NAK101" s="1"/>
      <c r="NAL101" s="1"/>
      <c r="NAM101" s="1"/>
      <c r="NAN101" s="1"/>
      <c r="NAO101" s="1"/>
      <c r="NAP101" s="1"/>
      <c r="NAQ101" s="1"/>
      <c r="NAR101" s="1"/>
      <c r="NAS101" s="1"/>
      <c r="NAT101" s="1"/>
      <c r="NAU101" s="1"/>
      <c r="NAV101" s="1"/>
      <c r="NAW101" s="1"/>
      <c r="NAX101" s="1"/>
      <c r="NAY101" s="1"/>
      <c r="NAZ101" s="1"/>
      <c r="NBA101" s="1"/>
      <c r="NBB101" s="1"/>
      <c r="NBC101" s="1"/>
      <c r="NBD101" s="1"/>
      <c r="NBE101" s="1"/>
      <c r="NBF101" s="1"/>
      <c r="NBG101" s="1"/>
      <c r="NBH101" s="1"/>
      <c r="NBI101" s="1"/>
      <c r="NBJ101" s="1"/>
      <c r="NBK101" s="1"/>
      <c r="NBL101" s="1"/>
      <c r="NBM101" s="1"/>
      <c r="NBN101" s="1"/>
      <c r="NBO101" s="1"/>
      <c r="NBP101" s="1"/>
      <c r="NBQ101" s="1"/>
      <c r="NBR101" s="1"/>
      <c r="NBS101" s="1"/>
      <c r="NBT101" s="1"/>
      <c r="NBU101" s="1"/>
      <c r="NBV101" s="1"/>
      <c r="NBW101" s="1"/>
      <c r="NBX101" s="1"/>
      <c r="NBY101" s="1"/>
      <c r="NBZ101" s="1"/>
      <c r="NCA101" s="1"/>
      <c r="NCB101" s="1"/>
      <c r="NCC101" s="1"/>
      <c r="NCD101" s="1"/>
      <c r="NCE101" s="1"/>
      <c r="NCF101" s="1"/>
      <c r="NCG101" s="1"/>
      <c r="NCH101" s="1"/>
      <c r="NCI101" s="1"/>
      <c r="NCJ101" s="1"/>
      <c r="NCK101" s="1"/>
      <c r="NCL101" s="1"/>
      <c r="NCM101" s="1"/>
      <c r="NCN101" s="1"/>
      <c r="NCO101" s="1"/>
      <c r="NCP101" s="1"/>
      <c r="NCQ101" s="1"/>
      <c r="NCR101" s="1"/>
      <c r="NCS101" s="1"/>
      <c r="NCT101" s="1"/>
      <c r="NCU101" s="1"/>
      <c r="NCV101" s="1"/>
      <c r="NCW101" s="1"/>
      <c r="NCX101" s="1"/>
      <c r="NCY101" s="1"/>
      <c r="NCZ101" s="1"/>
      <c r="NDA101" s="1"/>
      <c r="NDB101" s="1"/>
      <c r="NDC101" s="1"/>
      <c r="NDD101" s="1"/>
      <c r="NDE101" s="1"/>
      <c r="NDF101" s="1"/>
      <c r="NDG101" s="1"/>
      <c r="NDH101" s="1"/>
      <c r="NDI101" s="1"/>
      <c r="NDJ101" s="1"/>
      <c r="NDK101" s="1"/>
      <c r="NDL101" s="1"/>
      <c r="NDM101" s="1"/>
      <c r="NDN101" s="1"/>
      <c r="NDO101" s="1"/>
      <c r="NDP101" s="1"/>
      <c r="NDQ101" s="1"/>
      <c r="NDR101" s="1"/>
      <c r="NDS101" s="1"/>
      <c r="NDT101" s="1"/>
      <c r="NDU101" s="1"/>
      <c r="NDV101" s="1"/>
      <c r="NDW101" s="1"/>
      <c r="NDX101" s="1"/>
      <c r="NDY101" s="1"/>
      <c r="NDZ101" s="1"/>
      <c r="NEA101" s="1"/>
      <c r="NEB101" s="1"/>
      <c r="NEC101" s="1"/>
      <c r="NED101" s="1"/>
      <c r="NEE101" s="1"/>
      <c r="NEF101" s="1"/>
      <c r="NEG101" s="1"/>
      <c r="NEH101" s="1"/>
      <c r="NEI101" s="1"/>
      <c r="NEJ101" s="1"/>
      <c r="NEK101" s="1"/>
      <c r="NEL101" s="1"/>
      <c r="NEM101" s="1"/>
      <c r="NEN101" s="1"/>
      <c r="NEO101" s="1"/>
      <c r="NEP101" s="1"/>
      <c r="NEQ101" s="1"/>
      <c r="NER101" s="1"/>
      <c r="NES101" s="1"/>
      <c r="NET101" s="1"/>
      <c r="NEU101" s="1"/>
      <c r="NEV101" s="1"/>
      <c r="NEW101" s="1"/>
      <c r="NEX101" s="1"/>
      <c r="NEY101" s="1"/>
      <c r="NEZ101" s="1"/>
      <c r="NFA101" s="1"/>
      <c r="NFB101" s="1"/>
      <c r="NFC101" s="1"/>
      <c r="NFD101" s="1"/>
      <c r="NFE101" s="1"/>
      <c r="NFF101" s="1"/>
      <c r="NFG101" s="1"/>
      <c r="NFH101" s="1"/>
      <c r="NFI101" s="1"/>
      <c r="NFJ101" s="1"/>
      <c r="NFK101" s="1"/>
      <c r="NFL101" s="1"/>
      <c r="NFM101" s="1"/>
      <c r="NFN101" s="1"/>
      <c r="NFO101" s="1"/>
      <c r="NFP101" s="1"/>
      <c r="NFQ101" s="1"/>
      <c r="NFR101" s="1"/>
      <c r="NFS101" s="1"/>
      <c r="NFT101" s="1"/>
      <c r="NFU101" s="1"/>
      <c r="NFV101" s="1"/>
      <c r="NFW101" s="1"/>
      <c r="NFX101" s="1"/>
      <c r="NFY101" s="1"/>
      <c r="NFZ101" s="1"/>
      <c r="NGA101" s="1"/>
      <c r="NGB101" s="1"/>
      <c r="NGC101" s="1"/>
      <c r="NGD101" s="1"/>
      <c r="NGE101" s="1"/>
      <c r="NGF101" s="1"/>
      <c r="NGG101" s="1"/>
      <c r="NGH101" s="1"/>
      <c r="NGI101" s="1"/>
      <c r="NGJ101" s="1"/>
      <c r="NGK101" s="1"/>
      <c r="NGL101" s="1"/>
      <c r="NGM101" s="1"/>
      <c r="NGN101" s="1"/>
      <c r="NGO101" s="1"/>
      <c r="NGP101" s="1"/>
      <c r="NGQ101" s="1"/>
      <c r="NGR101" s="1"/>
      <c r="NGS101" s="1"/>
      <c r="NGT101" s="1"/>
      <c r="NGU101" s="1"/>
      <c r="NGV101" s="1"/>
      <c r="NGW101" s="1"/>
      <c r="NGX101" s="1"/>
      <c r="NGY101" s="1"/>
      <c r="NGZ101" s="1"/>
      <c r="NHA101" s="1"/>
      <c r="NHB101" s="1"/>
      <c r="NHC101" s="1"/>
      <c r="NHD101" s="1"/>
      <c r="NHE101" s="1"/>
      <c r="NHF101" s="1"/>
      <c r="NHG101" s="1"/>
      <c r="NHH101" s="1"/>
      <c r="NHI101" s="1"/>
      <c r="NHJ101" s="1"/>
      <c r="NHK101" s="1"/>
      <c r="NHL101" s="1"/>
      <c r="NHM101" s="1"/>
      <c r="NHN101" s="1"/>
      <c r="NHO101" s="1"/>
      <c r="NHP101" s="1"/>
      <c r="NHQ101" s="1"/>
      <c r="NHR101" s="1"/>
      <c r="NHS101" s="1"/>
      <c r="NHT101" s="1"/>
      <c r="NHU101" s="1"/>
      <c r="NHV101" s="1"/>
      <c r="NHW101" s="1"/>
      <c r="NHX101" s="1"/>
      <c r="NHY101" s="1"/>
      <c r="NHZ101" s="1"/>
      <c r="NIA101" s="1"/>
      <c r="NIB101" s="1"/>
      <c r="NIC101" s="1"/>
      <c r="NID101" s="1"/>
      <c r="NIE101" s="1"/>
      <c r="NIF101" s="1"/>
      <c r="NIG101" s="1"/>
      <c r="NIH101" s="1"/>
      <c r="NII101" s="1"/>
      <c r="NIJ101" s="1"/>
      <c r="NIK101" s="1"/>
      <c r="NIL101" s="1"/>
      <c r="NIM101" s="1"/>
      <c r="NIN101" s="1"/>
      <c r="NIO101" s="1"/>
      <c r="NIP101" s="1"/>
      <c r="NIQ101" s="1"/>
      <c r="NIR101" s="1"/>
      <c r="NIS101" s="1"/>
      <c r="NIT101" s="1"/>
      <c r="NIU101" s="1"/>
      <c r="NIV101" s="1"/>
      <c r="NIW101" s="1"/>
      <c r="NIX101" s="1"/>
      <c r="NIY101" s="1"/>
      <c r="NIZ101" s="1"/>
      <c r="NJA101" s="1"/>
      <c r="NJB101" s="1"/>
      <c r="NJC101" s="1"/>
      <c r="NJD101" s="1"/>
      <c r="NJE101" s="1"/>
      <c r="NJF101" s="1"/>
      <c r="NJG101" s="1"/>
      <c r="NJH101" s="1"/>
      <c r="NJI101" s="1"/>
      <c r="NJJ101" s="1"/>
      <c r="NJK101" s="1"/>
      <c r="NJL101" s="1"/>
      <c r="NJM101" s="1"/>
      <c r="NJN101" s="1"/>
      <c r="NJO101" s="1"/>
      <c r="NJP101" s="1"/>
      <c r="NJQ101" s="1"/>
      <c r="NJR101" s="1"/>
      <c r="NJS101" s="1"/>
      <c r="NJT101" s="1"/>
      <c r="NJU101" s="1"/>
      <c r="NJV101" s="1"/>
      <c r="NJW101" s="1"/>
      <c r="NJX101" s="1"/>
      <c r="NJY101" s="1"/>
      <c r="NJZ101" s="1"/>
      <c r="NKA101" s="1"/>
      <c r="NKB101" s="1"/>
      <c r="NKC101" s="1"/>
      <c r="NKD101" s="1"/>
      <c r="NKE101" s="1"/>
      <c r="NKF101" s="1"/>
      <c r="NKG101" s="1"/>
      <c r="NKH101" s="1"/>
      <c r="NKI101" s="1"/>
      <c r="NKJ101" s="1"/>
      <c r="NKK101" s="1"/>
      <c r="NKL101" s="1"/>
      <c r="NKM101" s="1"/>
      <c r="NKN101" s="1"/>
      <c r="NKO101" s="1"/>
      <c r="NKP101" s="1"/>
      <c r="NKQ101" s="1"/>
      <c r="NKR101" s="1"/>
      <c r="NKS101" s="1"/>
      <c r="NKT101" s="1"/>
      <c r="NKU101" s="1"/>
      <c r="NKV101" s="1"/>
      <c r="NKW101" s="1"/>
      <c r="NKX101" s="1"/>
      <c r="NKY101" s="1"/>
      <c r="NKZ101" s="1"/>
      <c r="NLA101" s="1"/>
      <c r="NLB101" s="1"/>
      <c r="NLC101" s="1"/>
      <c r="NLD101" s="1"/>
      <c r="NLE101" s="1"/>
      <c r="NLF101" s="1"/>
      <c r="NLG101" s="1"/>
      <c r="NLH101" s="1"/>
      <c r="NLI101" s="1"/>
      <c r="NLJ101" s="1"/>
      <c r="NLK101" s="1"/>
      <c r="NLL101" s="1"/>
      <c r="NLM101" s="1"/>
      <c r="NLN101" s="1"/>
      <c r="NLO101" s="1"/>
      <c r="NLP101" s="1"/>
      <c r="NLQ101" s="1"/>
      <c r="NLR101" s="1"/>
      <c r="NLS101" s="1"/>
      <c r="NLT101" s="1"/>
      <c r="NLU101" s="1"/>
      <c r="NLV101" s="1"/>
      <c r="NLW101" s="1"/>
      <c r="NLX101" s="1"/>
      <c r="NLY101" s="1"/>
      <c r="NLZ101" s="1"/>
      <c r="NMA101" s="1"/>
      <c r="NMB101" s="1"/>
      <c r="NMC101" s="1"/>
      <c r="NMD101" s="1"/>
      <c r="NME101" s="1"/>
      <c r="NMF101" s="1"/>
      <c r="NMG101" s="1"/>
      <c r="NMH101" s="1"/>
      <c r="NMI101" s="1"/>
      <c r="NMJ101" s="1"/>
      <c r="NMK101" s="1"/>
      <c r="NML101" s="1"/>
      <c r="NMM101" s="1"/>
      <c r="NMN101" s="1"/>
      <c r="NMO101" s="1"/>
      <c r="NMP101" s="1"/>
      <c r="NMQ101" s="1"/>
      <c r="NMR101" s="1"/>
      <c r="NMS101" s="1"/>
      <c r="NMT101" s="1"/>
      <c r="NMU101" s="1"/>
      <c r="NMV101" s="1"/>
      <c r="NMW101" s="1"/>
      <c r="NMX101" s="1"/>
      <c r="NMY101" s="1"/>
      <c r="NMZ101" s="1"/>
      <c r="NNA101" s="1"/>
      <c r="NNB101" s="1"/>
      <c r="NNC101" s="1"/>
      <c r="NND101" s="1"/>
      <c r="NNE101" s="1"/>
      <c r="NNF101" s="1"/>
      <c r="NNG101" s="1"/>
      <c r="NNH101" s="1"/>
      <c r="NNI101" s="1"/>
      <c r="NNJ101" s="1"/>
      <c r="NNK101" s="1"/>
      <c r="NNL101" s="1"/>
      <c r="NNM101" s="1"/>
      <c r="NNN101" s="1"/>
      <c r="NNO101" s="1"/>
      <c r="NNP101" s="1"/>
      <c r="NNQ101" s="1"/>
      <c r="NNR101" s="1"/>
      <c r="NNS101" s="1"/>
      <c r="NNT101" s="1"/>
      <c r="NNU101" s="1"/>
      <c r="NNV101" s="1"/>
      <c r="NNW101" s="1"/>
      <c r="NNX101" s="1"/>
      <c r="NNY101" s="1"/>
      <c r="NNZ101" s="1"/>
      <c r="NOA101" s="1"/>
      <c r="NOB101" s="1"/>
      <c r="NOC101" s="1"/>
      <c r="NOD101" s="1"/>
      <c r="NOE101" s="1"/>
      <c r="NOF101" s="1"/>
      <c r="NOG101" s="1"/>
      <c r="NOH101" s="1"/>
      <c r="NOI101" s="1"/>
      <c r="NOJ101" s="1"/>
      <c r="NOK101" s="1"/>
      <c r="NOL101" s="1"/>
      <c r="NOM101" s="1"/>
      <c r="NON101" s="1"/>
      <c r="NOO101" s="1"/>
      <c r="NOP101" s="1"/>
      <c r="NOQ101" s="1"/>
      <c r="NOR101" s="1"/>
      <c r="NOS101" s="1"/>
      <c r="NOT101" s="1"/>
      <c r="NOU101" s="1"/>
      <c r="NOV101" s="1"/>
      <c r="NOW101" s="1"/>
      <c r="NOX101" s="1"/>
      <c r="NOY101" s="1"/>
      <c r="NOZ101" s="1"/>
      <c r="NPA101" s="1"/>
      <c r="NPB101" s="1"/>
      <c r="NPC101" s="1"/>
      <c r="NPD101" s="1"/>
      <c r="NPE101" s="1"/>
      <c r="NPF101" s="1"/>
      <c r="NPG101" s="1"/>
      <c r="NPH101" s="1"/>
      <c r="NPI101" s="1"/>
      <c r="NPJ101" s="1"/>
      <c r="NPK101" s="1"/>
      <c r="NPL101" s="1"/>
      <c r="NPM101" s="1"/>
      <c r="NPN101" s="1"/>
      <c r="NPO101" s="1"/>
      <c r="NPP101" s="1"/>
      <c r="NPQ101" s="1"/>
      <c r="NPR101" s="1"/>
      <c r="NPS101" s="1"/>
      <c r="NPT101" s="1"/>
      <c r="NPU101" s="1"/>
      <c r="NPV101" s="1"/>
      <c r="NPW101" s="1"/>
      <c r="NPX101" s="1"/>
      <c r="NPY101" s="1"/>
      <c r="NPZ101" s="1"/>
      <c r="NQA101" s="1"/>
      <c r="NQB101" s="1"/>
      <c r="NQC101" s="1"/>
      <c r="NQD101" s="1"/>
      <c r="NQE101" s="1"/>
      <c r="NQF101" s="1"/>
      <c r="NQG101" s="1"/>
      <c r="NQH101" s="1"/>
      <c r="NQI101" s="1"/>
      <c r="NQJ101" s="1"/>
      <c r="NQK101" s="1"/>
      <c r="NQL101" s="1"/>
      <c r="NQM101" s="1"/>
      <c r="NQN101" s="1"/>
      <c r="NQO101" s="1"/>
      <c r="NQP101" s="1"/>
      <c r="NQQ101" s="1"/>
      <c r="NQR101" s="1"/>
      <c r="NQS101" s="1"/>
      <c r="NQT101" s="1"/>
      <c r="NQU101" s="1"/>
      <c r="NQV101" s="1"/>
      <c r="NQW101" s="1"/>
      <c r="NQX101" s="1"/>
      <c r="NQY101" s="1"/>
      <c r="NQZ101" s="1"/>
      <c r="NRA101" s="1"/>
      <c r="NRB101" s="1"/>
      <c r="NRC101" s="1"/>
      <c r="NRD101" s="1"/>
      <c r="NRE101" s="1"/>
      <c r="NRF101" s="1"/>
      <c r="NRG101" s="1"/>
      <c r="NRH101" s="1"/>
      <c r="NRI101" s="1"/>
      <c r="NRJ101" s="1"/>
      <c r="NRK101" s="1"/>
      <c r="NRL101" s="1"/>
      <c r="NRM101" s="1"/>
      <c r="NRN101" s="1"/>
      <c r="NRO101" s="1"/>
      <c r="NRP101" s="1"/>
      <c r="NRQ101" s="1"/>
      <c r="NRR101" s="1"/>
      <c r="NRS101" s="1"/>
      <c r="NRT101" s="1"/>
      <c r="NRU101" s="1"/>
      <c r="NRV101" s="1"/>
      <c r="NRW101" s="1"/>
      <c r="NRX101" s="1"/>
      <c r="NRY101" s="1"/>
      <c r="NRZ101" s="1"/>
      <c r="NSA101" s="1"/>
      <c r="NSB101" s="1"/>
      <c r="NSC101" s="1"/>
      <c r="NSD101" s="1"/>
      <c r="NSE101" s="1"/>
      <c r="NSF101" s="1"/>
      <c r="NSG101" s="1"/>
      <c r="NSH101" s="1"/>
      <c r="NSI101" s="1"/>
      <c r="NSJ101" s="1"/>
      <c r="NSK101" s="1"/>
      <c r="NSL101" s="1"/>
      <c r="NSM101" s="1"/>
      <c r="NSN101" s="1"/>
      <c r="NSO101" s="1"/>
      <c r="NSP101" s="1"/>
      <c r="NSQ101" s="1"/>
      <c r="NSR101" s="1"/>
      <c r="NSS101" s="1"/>
      <c r="NST101" s="1"/>
      <c r="NSU101" s="1"/>
      <c r="NSV101" s="1"/>
      <c r="NSW101" s="1"/>
      <c r="NSX101" s="1"/>
      <c r="NSY101" s="1"/>
      <c r="NSZ101" s="1"/>
      <c r="NTA101" s="1"/>
      <c r="NTB101" s="1"/>
      <c r="NTC101" s="1"/>
      <c r="NTD101" s="1"/>
      <c r="NTE101" s="1"/>
      <c r="NTF101" s="1"/>
      <c r="NTG101" s="1"/>
      <c r="NTH101" s="1"/>
      <c r="NTI101" s="1"/>
      <c r="NTJ101" s="1"/>
      <c r="NTK101" s="1"/>
      <c r="NTL101" s="1"/>
      <c r="NTM101" s="1"/>
      <c r="NTN101" s="1"/>
      <c r="NTO101" s="1"/>
      <c r="NTP101" s="1"/>
      <c r="NTQ101" s="1"/>
      <c r="NTR101" s="1"/>
      <c r="NTS101" s="1"/>
      <c r="NTT101" s="1"/>
      <c r="NTU101" s="1"/>
      <c r="NTV101" s="1"/>
      <c r="NTW101" s="1"/>
      <c r="NTX101" s="1"/>
      <c r="NTY101" s="1"/>
      <c r="NTZ101" s="1"/>
      <c r="NUA101" s="1"/>
      <c r="NUB101" s="1"/>
      <c r="NUC101" s="1"/>
      <c r="NUD101" s="1"/>
      <c r="NUE101" s="1"/>
      <c r="NUF101" s="1"/>
      <c r="NUG101" s="1"/>
      <c r="NUH101" s="1"/>
      <c r="NUI101" s="1"/>
      <c r="NUJ101" s="1"/>
      <c r="NUK101" s="1"/>
      <c r="NUL101" s="1"/>
      <c r="NUM101" s="1"/>
      <c r="NUN101" s="1"/>
      <c r="NUO101" s="1"/>
      <c r="NUP101" s="1"/>
      <c r="NUQ101" s="1"/>
      <c r="NUR101" s="1"/>
      <c r="NUS101" s="1"/>
      <c r="NUT101" s="1"/>
      <c r="NUU101" s="1"/>
      <c r="NUV101" s="1"/>
      <c r="NUW101" s="1"/>
      <c r="NUX101" s="1"/>
      <c r="NUY101" s="1"/>
      <c r="NUZ101" s="1"/>
      <c r="NVA101" s="1"/>
      <c r="NVB101" s="1"/>
      <c r="NVC101" s="1"/>
      <c r="NVD101" s="1"/>
      <c r="NVE101" s="1"/>
      <c r="NVF101" s="1"/>
      <c r="NVG101" s="1"/>
      <c r="NVH101" s="1"/>
      <c r="NVI101" s="1"/>
      <c r="NVJ101" s="1"/>
      <c r="NVK101" s="1"/>
      <c r="NVL101" s="1"/>
      <c r="NVM101" s="1"/>
      <c r="NVN101" s="1"/>
      <c r="NVO101" s="1"/>
      <c r="NVP101" s="1"/>
      <c r="NVQ101" s="1"/>
      <c r="NVR101" s="1"/>
      <c r="NVS101" s="1"/>
      <c r="NVT101" s="1"/>
      <c r="NVU101" s="1"/>
      <c r="NVV101" s="1"/>
      <c r="NVW101" s="1"/>
      <c r="NVX101" s="1"/>
      <c r="NVY101" s="1"/>
      <c r="NVZ101" s="1"/>
      <c r="NWA101" s="1"/>
      <c r="NWB101" s="1"/>
      <c r="NWC101" s="1"/>
      <c r="NWD101" s="1"/>
      <c r="NWE101" s="1"/>
      <c r="NWF101" s="1"/>
      <c r="NWG101" s="1"/>
      <c r="NWH101" s="1"/>
      <c r="NWI101" s="1"/>
      <c r="NWJ101" s="1"/>
      <c r="NWK101" s="1"/>
      <c r="NWL101" s="1"/>
      <c r="NWM101" s="1"/>
      <c r="NWN101" s="1"/>
      <c r="NWO101" s="1"/>
      <c r="NWP101" s="1"/>
      <c r="NWQ101" s="1"/>
      <c r="NWR101" s="1"/>
      <c r="NWS101" s="1"/>
      <c r="NWT101" s="1"/>
      <c r="NWU101" s="1"/>
      <c r="NWV101" s="1"/>
      <c r="NWW101" s="1"/>
      <c r="NWX101" s="1"/>
      <c r="NWY101" s="1"/>
      <c r="NWZ101" s="1"/>
      <c r="NXA101" s="1"/>
      <c r="NXB101" s="1"/>
      <c r="NXC101" s="1"/>
      <c r="NXD101" s="1"/>
      <c r="NXE101" s="1"/>
      <c r="NXF101" s="1"/>
      <c r="NXG101" s="1"/>
      <c r="NXH101" s="1"/>
      <c r="NXI101" s="1"/>
      <c r="NXJ101" s="1"/>
      <c r="NXK101" s="1"/>
      <c r="NXL101" s="1"/>
      <c r="NXM101" s="1"/>
      <c r="NXN101" s="1"/>
      <c r="NXO101" s="1"/>
      <c r="NXP101" s="1"/>
      <c r="NXQ101" s="1"/>
      <c r="NXR101" s="1"/>
      <c r="NXS101" s="1"/>
      <c r="NXT101" s="1"/>
      <c r="NXU101" s="1"/>
      <c r="NXV101" s="1"/>
      <c r="NXW101" s="1"/>
      <c r="NXX101" s="1"/>
      <c r="NXY101" s="1"/>
      <c r="NXZ101" s="1"/>
      <c r="NYA101" s="1"/>
      <c r="NYB101" s="1"/>
      <c r="NYC101" s="1"/>
      <c r="NYD101" s="1"/>
      <c r="NYE101" s="1"/>
      <c r="NYF101" s="1"/>
      <c r="NYG101" s="1"/>
      <c r="NYH101" s="1"/>
      <c r="NYI101" s="1"/>
      <c r="NYJ101" s="1"/>
      <c r="NYK101" s="1"/>
      <c r="NYL101" s="1"/>
      <c r="NYM101" s="1"/>
      <c r="NYN101" s="1"/>
      <c r="NYO101" s="1"/>
      <c r="NYP101" s="1"/>
      <c r="NYQ101" s="1"/>
      <c r="NYR101" s="1"/>
      <c r="NYS101" s="1"/>
      <c r="NYT101" s="1"/>
      <c r="NYU101" s="1"/>
      <c r="NYV101" s="1"/>
      <c r="NYW101" s="1"/>
      <c r="NYX101" s="1"/>
      <c r="NYY101" s="1"/>
      <c r="NYZ101" s="1"/>
      <c r="NZA101" s="1"/>
      <c r="NZB101" s="1"/>
      <c r="NZC101" s="1"/>
      <c r="NZD101" s="1"/>
      <c r="NZE101" s="1"/>
      <c r="NZF101" s="1"/>
      <c r="NZG101" s="1"/>
      <c r="NZH101" s="1"/>
      <c r="NZI101" s="1"/>
      <c r="NZJ101" s="1"/>
      <c r="NZK101" s="1"/>
      <c r="NZL101" s="1"/>
      <c r="NZM101" s="1"/>
      <c r="NZN101" s="1"/>
      <c r="NZO101" s="1"/>
      <c r="NZP101" s="1"/>
      <c r="NZQ101" s="1"/>
      <c r="NZR101" s="1"/>
      <c r="NZS101" s="1"/>
      <c r="NZT101" s="1"/>
      <c r="NZU101" s="1"/>
      <c r="NZV101" s="1"/>
      <c r="NZW101" s="1"/>
      <c r="NZX101" s="1"/>
      <c r="NZY101" s="1"/>
      <c r="NZZ101" s="1"/>
      <c r="OAA101" s="1"/>
      <c r="OAB101" s="1"/>
      <c r="OAC101" s="1"/>
      <c r="OAD101" s="1"/>
      <c r="OAE101" s="1"/>
      <c r="OAF101" s="1"/>
      <c r="OAG101" s="1"/>
      <c r="OAH101" s="1"/>
      <c r="OAI101" s="1"/>
      <c r="OAJ101" s="1"/>
      <c r="OAK101" s="1"/>
      <c r="OAL101" s="1"/>
      <c r="OAM101" s="1"/>
      <c r="OAN101" s="1"/>
      <c r="OAO101" s="1"/>
      <c r="OAP101" s="1"/>
      <c r="OAQ101" s="1"/>
      <c r="OAR101" s="1"/>
      <c r="OAS101" s="1"/>
      <c r="OAT101" s="1"/>
      <c r="OAU101" s="1"/>
      <c r="OAV101" s="1"/>
      <c r="OAW101" s="1"/>
      <c r="OAX101" s="1"/>
      <c r="OAY101" s="1"/>
      <c r="OAZ101" s="1"/>
      <c r="OBA101" s="1"/>
      <c r="OBB101" s="1"/>
      <c r="OBC101" s="1"/>
      <c r="OBD101" s="1"/>
      <c r="OBE101" s="1"/>
      <c r="OBF101" s="1"/>
      <c r="OBG101" s="1"/>
      <c r="OBH101" s="1"/>
      <c r="OBI101" s="1"/>
      <c r="OBJ101" s="1"/>
      <c r="OBK101" s="1"/>
      <c r="OBL101" s="1"/>
      <c r="OBM101" s="1"/>
      <c r="OBN101" s="1"/>
      <c r="OBO101" s="1"/>
      <c r="OBP101" s="1"/>
      <c r="OBQ101" s="1"/>
      <c r="OBR101" s="1"/>
      <c r="OBS101" s="1"/>
      <c r="OBT101" s="1"/>
      <c r="OBU101" s="1"/>
      <c r="OBV101" s="1"/>
      <c r="OBW101" s="1"/>
      <c r="OBX101" s="1"/>
      <c r="OBY101" s="1"/>
      <c r="OBZ101" s="1"/>
      <c r="OCA101" s="1"/>
      <c r="OCB101" s="1"/>
      <c r="OCC101" s="1"/>
      <c r="OCD101" s="1"/>
      <c r="OCE101" s="1"/>
      <c r="OCF101" s="1"/>
      <c r="OCG101" s="1"/>
      <c r="OCH101" s="1"/>
      <c r="OCI101" s="1"/>
      <c r="OCJ101" s="1"/>
      <c r="OCK101" s="1"/>
      <c r="OCL101" s="1"/>
      <c r="OCM101" s="1"/>
      <c r="OCN101" s="1"/>
      <c r="OCO101" s="1"/>
      <c r="OCP101" s="1"/>
      <c r="OCQ101" s="1"/>
      <c r="OCR101" s="1"/>
      <c r="OCS101" s="1"/>
      <c r="OCT101" s="1"/>
      <c r="OCU101" s="1"/>
      <c r="OCV101" s="1"/>
      <c r="OCW101" s="1"/>
      <c r="OCX101" s="1"/>
      <c r="OCY101" s="1"/>
      <c r="OCZ101" s="1"/>
      <c r="ODA101" s="1"/>
      <c r="ODB101" s="1"/>
      <c r="ODC101" s="1"/>
      <c r="ODD101" s="1"/>
      <c r="ODE101" s="1"/>
      <c r="ODF101" s="1"/>
      <c r="ODG101" s="1"/>
      <c r="ODH101" s="1"/>
      <c r="ODI101" s="1"/>
      <c r="ODJ101" s="1"/>
      <c r="ODK101" s="1"/>
      <c r="ODL101" s="1"/>
      <c r="ODM101" s="1"/>
      <c r="ODN101" s="1"/>
      <c r="ODO101" s="1"/>
      <c r="ODP101" s="1"/>
      <c r="ODQ101" s="1"/>
      <c r="ODR101" s="1"/>
      <c r="ODS101" s="1"/>
      <c r="ODT101" s="1"/>
      <c r="ODU101" s="1"/>
      <c r="ODV101" s="1"/>
      <c r="ODW101" s="1"/>
      <c r="ODX101" s="1"/>
      <c r="ODY101" s="1"/>
      <c r="ODZ101" s="1"/>
      <c r="OEA101" s="1"/>
      <c r="OEB101" s="1"/>
      <c r="OEC101" s="1"/>
      <c r="OED101" s="1"/>
      <c r="OEE101" s="1"/>
      <c r="OEF101" s="1"/>
      <c r="OEG101" s="1"/>
      <c r="OEH101" s="1"/>
      <c r="OEI101" s="1"/>
      <c r="OEJ101" s="1"/>
      <c r="OEK101" s="1"/>
      <c r="OEL101" s="1"/>
      <c r="OEM101" s="1"/>
      <c r="OEN101" s="1"/>
      <c r="OEO101" s="1"/>
      <c r="OEP101" s="1"/>
      <c r="OEQ101" s="1"/>
      <c r="OER101" s="1"/>
      <c r="OES101" s="1"/>
      <c r="OET101" s="1"/>
      <c r="OEU101" s="1"/>
      <c r="OEV101" s="1"/>
      <c r="OEW101" s="1"/>
      <c r="OEX101" s="1"/>
      <c r="OEY101" s="1"/>
      <c r="OEZ101" s="1"/>
      <c r="OFA101" s="1"/>
      <c r="OFB101" s="1"/>
      <c r="OFC101" s="1"/>
      <c r="OFD101" s="1"/>
      <c r="OFE101" s="1"/>
      <c r="OFF101" s="1"/>
      <c r="OFG101" s="1"/>
      <c r="OFH101" s="1"/>
      <c r="OFI101" s="1"/>
      <c r="OFJ101" s="1"/>
      <c r="OFK101" s="1"/>
      <c r="OFL101" s="1"/>
      <c r="OFM101" s="1"/>
      <c r="OFN101" s="1"/>
      <c r="OFO101" s="1"/>
      <c r="OFP101" s="1"/>
      <c r="OFQ101" s="1"/>
      <c r="OFR101" s="1"/>
      <c r="OFS101" s="1"/>
      <c r="OFT101" s="1"/>
      <c r="OFU101" s="1"/>
      <c r="OFV101" s="1"/>
      <c r="OFW101" s="1"/>
      <c r="OFX101" s="1"/>
      <c r="OFY101" s="1"/>
      <c r="OFZ101" s="1"/>
      <c r="OGA101" s="1"/>
      <c r="OGB101" s="1"/>
      <c r="OGC101" s="1"/>
      <c r="OGD101" s="1"/>
      <c r="OGE101" s="1"/>
      <c r="OGF101" s="1"/>
      <c r="OGG101" s="1"/>
      <c r="OGH101" s="1"/>
      <c r="OGI101" s="1"/>
      <c r="OGJ101" s="1"/>
      <c r="OGK101" s="1"/>
      <c r="OGL101" s="1"/>
      <c r="OGM101" s="1"/>
      <c r="OGN101" s="1"/>
      <c r="OGO101" s="1"/>
      <c r="OGP101" s="1"/>
      <c r="OGQ101" s="1"/>
      <c r="OGR101" s="1"/>
      <c r="OGS101" s="1"/>
      <c r="OGT101" s="1"/>
      <c r="OGU101" s="1"/>
      <c r="OGV101" s="1"/>
      <c r="OGW101" s="1"/>
      <c r="OGX101" s="1"/>
      <c r="OGY101" s="1"/>
      <c r="OGZ101" s="1"/>
      <c r="OHA101" s="1"/>
      <c r="OHB101" s="1"/>
      <c r="OHC101" s="1"/>
      <c r="OHD101" s="1"/>
      <c r="OHE101" s="1"/>
      <c r="OHF101" s="1"/>
      <c r="OHG101" s="1"/>
      <c r="OHH101" s="1"/>
      <c r="OHI101" s="1"/>
      <c r="OHJ101" s="1"/>
      <c r="OHK101" s="1"/>
      <c r="OHL101" s="1"/>
      <c r="OHM101" s="1"/>
      <c r="OHN101" s="1"/>
      <c r="OHO101" s="1"/>
      <c r="OHP101" s="1"/>
      <c r="OHQ101" s="1"/>
      <c r="OHR101" s="1"/>
      <c r="OHS101" s="1"/>
      <c r="OHT101" s="1"/>
      <c r="OHU101" s="1"/>
      <c r="OHV101" s="1"/>
      <c r="OHW101" s="1"/>
      <c r="OHX101" s="1"/>
      <c r="OHY101" s="1"/>
      <c r="OHZ101" s="1"/>
      <c r="OIA101" s="1"/>
      <c r="OIB101" s="1"/>
      <c r="OIC101" s="1"/>
      <c r="OID101" s="1"/>
      <c r="OIE101" s="1"/>
      <c r="OIF101" s="1"/>
      <c r="OIG101" s="1"/>
      <c r="OIH101" s="1"/>
      <c r="OII101" s="1"/>
      <c r="OIJ101" s="1"/>
      <c r="OIK101" s="1"/>
      <c r="OIL101" s="1"/>
      <c r="OIM101" s="1"/>
      <c r="OIN101" s="1"/>
      <c r="OIO101" s="1"/>
      <c r="OIP101" s="1"/>
      <c r="OIQ101" s="1"/>
      <c r="OIR101" s="1"/>
      <c r="OIS101" s="1"/>
      <c r="OIT101" s="1"/>
      <c r="OIU101" s="1"/>
      <c r="OIV101" s="1"/>
      <c r="OIW101" s="1"/>
      <c r="OIX101" s="1"/>
      <c r="OIY101" s="1"/>
      <c r="OIZ101" s="1"/>
      <c r="OJA101" s="1"/>
      <c r="OJB101" s="1"/>
      <c r="OJC101" s="1"/>
      <c r="OJD101" s="1"/>
      <c r="OJE101" s="1"/>
      <c r="OJF101" s="1"/>
      <c r="OJG101" s="1"/>
      <c r="OJH101" s="1"/>
      <c r="OJI101" s="1"/>
      <c r="OJJ101" s="1"/>
      <c r="OJK101" s="1"/>
      <c r="OJL101" s="1"/>
      <c r="OJM101" s="1"/>
      <c r="OJN101" s="1"/>
      <c r="OJO101" s="1"/>
      <c r="OJP101" s="1"/>
      <c r="OJQ101" s="1"/>
      <c r="OJR101" s="1"/>
      <c r="OJS101" s="1"/>
      <c r="OJT101" s="1"/>
      <c r="OJU101" s="1"/>
      <c r="OJV101" s="1"/>
      <c r="OJW101" s="1"/>
      <c r="OJX101" s="1"/>
      <c r="OJY101" s="1"/>
      <c r="OJZ101" s="1"/>
      <c r="OKA101" s="1"/>
      <c r="OKB101" s="1"/>
      <c r="OKC101" s="1"/>
      <c r="OKD101" s="1"/>
      <c r="OKE101" s="1"/>
      <c r="OKF101" s="1"/>
      <c r="OKG101" s="1"/>
      <c r="OKH101" s="1"/>
      <c r="OKI101" s="1"/>
      <c r="OKJ101" s="1"/>
      <c r="OKK101" s="1"/>
      <c r="OKL101" s="1"/>
      <c r="OKM101" s="1"/>
      <c r="OKN101" s="1"/>
      <c r="OKO101" s="1"/>
      <c r="OKP101" s="1"/>
      <c r="OKQ101" s="1"/>
      <c r="OKR101" s="1"/>
      <c r="OKS101" s="1"/>
      <c r="OKT101" s="1"/>
      <c r="OKU101" s="1"/>
      <c r="OKV101" s="1"/>
      <c r="OKW101" s="1"/>
      <c r="OKX101" s="1"/>
      <c r="OKY101" s="1"/>
      <c r="OKZ101" s="1"/>
      <c r="OLA101" s="1"/>
      <c r="OLB101" s="1"/>
      <c r="OLC101" s="1"/>
      <c r="OLD101" s="1"/>
      <c r="OLE101" s="1"/>
      <c r="OLF101" s="1"/>
      <c r="OLG101" s="1"/>
      <c r="OLH101" s="1"/>
      <c r="OLI101" s="1"/>
      <c r="OLJ101" s="1"/>
      <c r="OLK101" s="1"/>
      <c r="OLL101" s="1"/>
      <c r="OLM101" s="1"/>
      <c r="OLN101" s="1"/>
      <c r="OLO101" s="1"/>
      <c r="OLP101" s="1"/>
      <c r="OLQ101" s="1"/>
      <c r="OLR101" s="1"/>
      <c r="OLS101" s="1"/>
      <c r="OLT101" s="1"/>
      <c r="OLU101" s="1"/>
      <c r="OLV101" s="1"/>
      <c r="OLW101" s="1"/>
      <c r="OLX101" s="1"/>
      <c r="OLY101" s="1"/>
      <c r="OLZ101" s="1"/>
      <c r="OMA101" s="1"/>
      <c r="OMB101" s="1"/>
      <c r="OMC101" s="1"/>
      <c r="OMD101" s="1"/>
      <c r="OME101" s="1"/>
      <c r="OMF101" s="1"/>
      <c r="OMG101" s="1"/>
      <c r="OMH101" s="1"/>
      <c r="OMI101" s="1"/>
      <c r="OMJ101" s="1"/>
      <c r="OMK101" s="1"/>
      <c r="OML101" s="1"/>
      <c r="OMM101" s="1"/>
      <c r="OMN101" s="1"/>
      <c r="OMO101" s="1"/>
      <c r="OMP101" s="1"/>
      <c r="OMQ101" s="1"/>
      <c r="OMR101" s="1"/>
      <c r="OMS101" s="1"/>
      <c r="OMT101" s="1"/>
      <c r="OMU101" s="1"/>
      <c r="OMV101" s="1"/>
      <c r="OMW101" s="1"/>
      <c r="OMX101" s="1"/>
      <c r="OMY101" s="1"/>
      <c r="OMZ101" s="1"/>
      <c r="ONA101" s="1"/>
      <c r="ONB101" s="1"/>
      <c r="ONC101" s="1"/>
      <c r="OND101" s="1"/>
      <c r="ONE101" s="1"/>
      <c r="ONF101" s="1"/>
      <c r="ONG101" s="1"/>
      <c r="ONH101" s="1"/>
      <c r="ONI101" s="1"/>
      <c r="ONJ101" s="1"/>
      <c r="ONK101" s="1"/>
      <c r="ONL101" s="1"/>
      <c r="ONM101" s="1"/>
      <c r="ONN101" s="1"/>
      <c r="ONO101" s="1"/>
      <c r="ONP101" s="1"/>
      <c r="ONQ101" s="1"/>
      <c r="ONR101" s="1"/>
      <c r="ONS101" s="1"/>
      <c r="ONT101" s="1"/>
      <c r="ONU101" s="1"/>
      <c r="ONV101" s="1"/>
      <c r="ONW101" s="1"/>
      <c r="ONX101" s="1"/>
      <c r="ONY101" s="1"/>
      <c r="ONZ101" s="1"/>
      <c r="OOA101" s="1"/>
      <c r="OOB101" s="1"/>
      <c r="OOC101" s="1"/>
      <c r="OOD101" s="1"/>
      <c r="OOE101" s="1"/>
      <c r="OOF101" s="1"/>
      <c r="OOG101" s="1"/>
      <c r="OOH101" s="1"/>
      <c r="OOI101" s="1"/>
      <c r="OOJ101" s="1"/>
      <c r="OOK101" s="1"/>
      <c r="OOL101" s="1"/>
      <c r="OOM101" s="1"/>
      <c r="OON101" s="1"/>
      <c r="OOO101" s="1"/>
      <c r="OOP101" s="1"/>
      <c r="OOQ101" s="1"/>
      <c r="OOR101" s="1"/>
      <c r="OOS101" s="1"/>
      <c r="OOT101" s="1"/>
      <c r="OOU101" s="1"/>
      <c r="OOV101" s="1"/>
      <c r="OOW101" s="1"/>
      <c r="OOX101" s="1"/>
      <c r="OOY101" s="1"/>
      <c r="OOZ101" s="1"/>
      <c r="OPA101" s="1"/>
      <c r="OPB101" s="1"/>
      <c r="OPC101" s="1"/>
      <c r="OPD101" s="1"/>
      <c r="OPE101" s="1"/>
      <c r="OPF101" s="1"/>
      <c r="OPG101" s="1"/>
      <c r="OPH101" s="1"/>
      <c r="OPI101" s="1"/>
      <c r="OPJ101" s="1"/>
      <c r="OPK101" s="1"/>
      <c r="OPL101" s="1"/>
      <c r="OPM101" s="1"/>
      <c r="OPN101" s="1"/>
      <c r="OPO101" s="1"/>
      <c r="OPP101" s="1"/>
      <c r="OPQ101" s="1"/>
      <c r="OPR101" s="1"/>
      <c r="OPS101" s="1"/>
      <c r="OPT101" s="1"/>
      <c r="OPU101" s="1"/>
      <c r="OPV101" s="1"/>
      <c r="OPW101" s="1"/>
      <c r="OPX101" s="1"/>
      <c r="OPY101" s="1"/>
      <c r="OPZ101" s="1"/>
      <c r="OQA101" s="1"/>
      <c r="OQB101" s="1"/>
      <c r="OQC101" s="1"/>
      <c r="OQD101" s="1"/>
      <c r="OQE101" s="1"/>
      <c r="OQF101" s="1"/>
      <c r="OQG101" s="1"/>
      <c r="OQH101" s="1"/>
      <c r="OQI101" s="1"/>
      <c r="OQJ101" s="1"/>
      <c r="OQK101" s="1"/>
      <c r="OQL101" s="1"/>
      <c r="OQM101" s="1"/>
      <c r="OQN101" s="1"/>
      <c r="OQO101" s="1"/>
      <c r="OQP101" s="1"/>
      <c r="OQQ101" s="1"/>
      <c r="OQR101" s="1"/>
      <c r="OQS101" s="1"/>
      <c r="OQT101" s="1"/>
      <c r="OQU101" s="1"/>
      <c r="OQV101" s="1"/>
      <c r="OQW101" s="1"/>
      <c r="OQX101" s="1"/>
      <c r="OQY101" s="1"/>
      <c r="OQZ101" s="1"/>
      <c r="ORA101" s="1"/>
      <c r="ORB101" s="1"/>
      <c r="ORC101" s="1"/>
      <c r="ORD101" s="1"/>
      <c r="ORE101" s="1"/>
      <c r="ORF101" s="1"/>
      <c r="ORG101" s="1"/>
      <c r="ORH101" s="1"/>
      <c r="ORI101" s="1"/>
      <c r="ORJ101" s="1"/>
      <c r="ORK101" s="1"/>
      <c r="ORL101" s="1"/>
      <c r="ORM101" s="1"/>
      <c r="ORN101" s="1"/>
      <c r="ORO101" s="1"/>
      <c r="ORP101" s="1"/>
      <c r="ORQ101" s="1"/>
      <c r="ORR101" s="1"/>
      <c r="ORS101" s="1"/>
      <c r="ORT101" s="1"/>
      <c r="ORU101" s="1"/>
      <c r="ORV101" s="1"/>
      <c r="ORW101" s="1"/>
      <c r="ORX101" s="1"/>
      <c r="ORY101" s="1"/>
      <c r="ORZ101" s="1"/>
      <c r="OSA101" s="1"/>
      <c r="OSB101" s="1"/>
      <c r="OSC101" s="1"/>
      <c r="OSD101" s="1"/>
      <c r="OSE101" s="1"/>
      <c r="OSF101" s="1"/>
      <c r="OSG101" s="1"/>
      <c r="OSH101" s="1"/>
      <c r="OSI101" s="1"/>
      <c r="OSJ101" s="1"/>
      <c r="OSK101" s="1"/>
      <c r="OSL101" s="1"/>
      <c r="OSM101" s="1"/>
      <c r="OSN101" s="1"/>
      <c r="OSO101" s="1"/>
      <c r="OSP101" s="1"/>
      <c r="OSQ101" s="1"/>
      <c r="OSR101" s="1"/>
      <c r="OSS101" s="1"/>
      <c r="OST101" s="1"/>
      <c r="OSU101" s="1"/>
      <c r="OSV101" s="1"/>
      <c r="OSW101" s="1"/>
      <c r="OSX101" s="1"/>
      <c r="OSY101" s="1"/>
      <c r="OSZ101" s="1"/>
      <c r="OTA101" s="1"/>
      <c r="OTB101" s="1"/>
      <c r="OTC101" s="1"/>
      <c r="OTD101" s="1"/>
      <c r="OTE101" s="1"/>
      <c r="OTF101" s="1"/>
      <c r="OTG101" s="1"/>
      <c r="OTH101" s="1"/>
      <c r="OTI101" s="1"/>
      <c r="OTJ101" s="1"/>
      <c r="OTK101" s="1"/>
      <c r="OTL101" s="1"/>
      <c r="OTM101" s="1"/>
      <c r="OTN101" s="1"/>
      <c r="OTO101" s="1"/>
      <c r="OTP101" s="1"/>
      <c r="OTQ101" s="1"/>
      <c r="OTR101" s="1"/>
      <c r="OTS101" s="1"/>
      <c r="OTT101" s="1"/>
      <c r="OTU101" s="1"/>
      <c r="OTV101" s="1"/>
      <c r="OTW101" s="1"/>
      <c r="OTX101" s="1"/>
      <c r="OTY101" s="1"/>
      <c r="OTZ101" s="1"/>
      <c r="OUA101" s="1"/>
      <c r="OUB101" s="1"/>
      <c r="OUC101" s="1"/>
      <c r="OUD101" s="1"/>
      <c r="OUE101" s="1"/>
      <c r="OUF101" s="1"/>
      <c r="OUG101" s="1"/>
      <c r="OUH101" s="1"/>
      <c r="OUI101" s="1"/>
      <c r="OUJ101" s="1"/>
      <c r="OUK101" s="1"/>
      <c r="OUL101" s="1"/>
      <c r="OUM101" s="1"/>
      <c r="OUN101" s="1"/>
      <c r="OUO101" s="1"/>
      <c r="OUP101" s="1"/>
      <c r="OUQ101" s="1"/>
      <c r="OUR101" s="1"/>
      <c r="OUS101" s="1"/>
      <c r="OUT101" s="1"/>
      <c r="OUU101" s="1"/>
      <c r="OUV101" s="1"/>
      <c r="OUW101" s="1"/>
      <c r="OUX101" s="1"/>
      <c r="OUY101" s="1"/>
      <c r="OUZ101" s="1"/>
      <c r="OVA101" s="1"/>
      <c r="OVB101" s="1"/>
      <c r="OVC101" s="1"/>
      <c r="OVD101" s="1"/>
      <c r="OVE101" s="1"/>
      <c r="OVF101" s="1"/>
      <c r="OVG101" s="1"/>
      <c r="OVH101" s="1"/>
      <c r="OVI101" s="1"/>
      <c r="OVJ101" s="1"/>
      <c r="OVK101" s="1"/>
      <c r="OVL101" s="1"/>
      <c r="OVM101" s="1"/>
      <c r="OVN101" s="1"/>
      <c r="OVO101" s="1"/>
      <c r="OVP101" s="1"/>
      <c r="OVQ101" s="1"/>
      <c r="OVR101" s="1"/>
      <c r="OVS101" s="1"/>
      <c r="OVT101" s="1"/>
      <c r="OVU101" s="1"/>
      <c r="OVV101" s="1"/>
      <c r="OVW101" s="1"/>
      <c r="OVX101" s="1"/>
      <c r="OVY101" s="1"/>
      <c r="OVZ101" s="1"/>
      <c r="OWA101" s="1"/>
      <c r="OWB101" s="1"/>
      <c r="OWC101" s="1"/>
      <c r="OWD101" s="1"/>
      <c r="OWE101" s="1"/>
      <c r="OWF101" s="1"/>
      <c r="OWG101" s="1"/>
      <c r="OWH101" s="1"/>
      <c r="OWI101" s="1"/>
      <c r="OWJ101" s="1"/>
      <c r="OWK101" s="1"/>
      <c r="OWL101" s="1"/>
      <c r="OWM101" s="1"/>
      <c r="OWN101" s="1"/>
      <c r="OWO101" s="1"/>
      <c r="OWP101" s="1"/>
      <c r="OWQ101" s="1"/>
      <c r="OWR101" s="1"/>
      <c r="OWS101" s="1"/>
      <c r="OWT101" s="1"/>
      <c r="OWU101" s="1"/>
      <c r="OWV101" s="1"/>
      <c r="OWW101" s="1"/>
      <c r="OWX101" s="1"/>
      <c r="OWY101" s="1"/>
      <c r="OWZ101" s="1"/>
      <c r="OXA101" s="1"/>
      <c r="OXB101" s="1"/>
      <c r="OXC101" s="1"/>
      <c r="OXD101" s="1"/>
      <c r="OXE101" s="1"/>
      <c r="OXF101" s="1"/>
      <c r="OXG101" s="1"/>
      <c r="OXH101" s="1"/>
      <c r="OXI101" s="1"/>
      <c r="OXJ101" s="1"/>
      <c r="OXK101" s="1"/>
      <c r="OXL101" s="1"/>
      <c r="OXM101" s="1"/>
      <c r="OXN101" s="1"/>
      <c r="OXO101" s="1"/>
      <c r="OXP101" s="1"/>
      <c r="OXQ101" s="1"/>
      <c r="OXR101" s="1"/>
      <c r="OXS101" s="1"/>
      <c r="OXT101" s="1"/>
      <c r="OXU101" s="1"/>
      <c r="OXV101" s="1"/>
      <c r="OXW101" s="1"/>
      <c r="OXX101" s="1"/>
      <c r="OXY101" s="1"/>
      <c r="OXZ101" s="1"/>
      <c r="OYA101" s="1"/>
      <c r="OYB101" s="1"/>
      <c r="OYC101" s="1"/>
      <c r="OYD101" s="1"/>
      <c r="OYE101" s="1"/>
      <c r="OYF101" s="1"/>
      <c r="OYG101" s="1"/>
      <c r="OYH101" s="1"/>
      <c r="OYI101" s="1"/>
      <c r="OYJ101" s="1"/>
      <c r="OYK101" s="1"/>
      <c r="OYL101" s="1"/>
      <c r="OYM101" s="1"/>
      <c r="OYN101" s="1"/>
      <c r="OYO101" s="1"/>
      <c r="OYP101" s="1"/>
      <c r="OYQ101" s="1"/>
      <c r="OYR101" s="1"/>
      <c r="OYS101" s="1"/>
      <c r="OYT101" s="1"/>
      <c r="OYU101" s="1"/>
      <c r="OYV101" s="1"/>
      <c r="OYW101" s="1"/>
      <c r="OYX101" s="1"/>
      <c r="OYY101" s="1"/>
      <c r="OYZ101" s="1"/>
      <c r="OZA101" s="1"/>
      <c r="OZB101" s="1"/>
      <c r="OZC101" s="1"/>
      <c r="OZD101" s="1"/>
      <c r="OZE101" s="1"/>
      <c r="OZF101" s="1"/>
      <c r="OZG101" s="1"/>
      <c r="OZH101" s="1"/>
      <c r="OZI101" s="1"/>
      <c r="OZJ101" s="1"/>
      <c r="OZK101" s="1"/>
      <c r="OZL101" s="1"/>
      <c r="OZM101" s="1"/>
      <c r="OZN101" s="1"/>
      <c r="OZO101" s="1"/>
      <c r="OZP101" s="1"/>
      <c r="OZQ101" s="1"/>
      <c r="OZR101" s="1"/>
      <c r="OZS101" s="1"/>
      <c r="OZT101" s="1"/>
      <c r="OZU101" s="1"/>
      <c r="OZV101" s="1"/>
      <c r="OZW101" s="1"/>
      <c r="OZX101" s="1"/>
      <c r="OZY101" s="1"/>
      <c r="OZZ101" s="1"/>
      <c r="PAA101" s="1"/>
      <c r="PAB101" s="1"/>
      <c r="PAC101" s="1"/>
      <c r="PAD101" s="1"/>
      <c r="PAE101" s="1"/>
      <c r="PAF101" s="1"/>
      <c r="PAG101" s="1"/>
      <c r="PAH101" s="1"/>
      <c r="PAI101" s="1"/>
      <c r="PAJ101" s="1"/>
      <c r="PAK101" s="1"/>
      <c r="PAL101" s="1"/>
      <c r="PAM101" s="1"/>
      <c r="PAN101" s="1"/>
      <c r="PAO101" s="1"/>
      <c r="PAP101" s="1"/>
      <c r="PAQ101" s="1"/>
      <c r="PAR101" s="1"/>
      <c r="PAS101" s="1"/>
      <c r="PAT101" s="1"/>
      <c r="PAU101" s="1"/>
      <c r="PAV101" s="1"/>
      <c r="PAW101" s="1"/>
      <c r="PAX101" s="1"/>
      <c r="PAY101" s="1"/>
      <c r="PAZ101" s="1"/>
      <c r="PBA101" s="1"/>
      <c r="PBB101" s="1"/>
      <c r="PBC101" s="1"/>
      <c r="PBD101" s="1"/>
      <c r="PBE101" s="1"/>
      <c r="PBF101" s="1"/>
      <c r="PBG101" s="1"/>
      <c r="PBH101" s="1"/>
      <c r="PBI101" s="1"/>
      <c r="PBJ101" s="1"/>
      <c r="PBK101" s="1"/>
      <c r="PBL101" s="1"/>
      <c r="PBM101" s="1"/>
      <c r="PBN101" s="1"/>
      <c r="PBO101" s="1"/>
      <c r="PBP101" s="1"/>
      <c r="PBQ101" s="1"/>
      <c r="PBR101" s="1"/>
      <c r="PBS101" s="1"/>
      <c r="PBT101" s="1"/>
      <c r="PBU101" s="1"/>
      <c r="PBV101" s="1"/>
      <c r="PBW101" s="1"/>
      <c r="PBX101" s="1"/>
      <c r="PBY101" s="1"/>
      <c r="PBZ101" s="1"/>
      <c r="PCA101" s="1"/>
      <c r="PCB101" s="1"/>
      <c r="PCC101" s="1"/>
      <c r="PCD101" s="1"/>
      <c r="PCE101" s="1"/>
      <c r="PCF101" s="1"/>
      <c r="PCG101" s="1"/>
      <c r="PCH101" s="1"/>
      <c r="PCI101" s="1"/>
      <c r="PCJ101" s="1"/>
      <c r="PCK101" s="1"/>
      <c r="PCL101" s="1"/>
      <c r="PCM101" s="1"/>
      <c r="PCN101" s="1"/>
      <c r="PCO101" s="1"/>
      <c r="PCP101" s="1"/>
      <c r="PCQ101" s="1"/>
      <c r="PCR101" s="1"/>
      <c r="PCS101" s="1"/>
      <c r="PCT101" s="1"/>
      <c r="PCU101" s="1"/>
      <c r="PCV101" s="1"/>
      <c r="PCW101" s="1"/>
      <c r="PCX101" s="1"/>
      <c r="PCY101" s="1"/>
      <c r="PCZ101" s="1"/>
      <c r="PDA101" s="1"/>
      <c r="PDB101" s="1"/>
      <c r="PDC101" s="1"/>
      <c r="PDD101" s="1"/>
      <c r="PDE101" s="1"/>
      <c r="PDF101" s="1"/>
      <c r="PDG101" s="1"/>
      <c r="PDH101" s="1"/>
      <c r="PDI101" s="1"/>
      <c r="PDJ101" s="1"/>
      <c r="PDK101" s="1"/>
      <c r="PDL101" s="1"/>
      <c r="PDM101" s="1"/>
      <c r="PDN101" s="1"/>
      <c r="PDO101" s="1"/>
      <c r="PDP101" s="1"/>
      <c r="PDQ101" s="1"/>
      <c r="PDR101" s="1"/>
      <c r="PDS101" s="1"/>
      <c r="PDT101" s="1"/>
      <c r="PDU101" s="1"/>
      <c r="PDV101" s="1"/>
      <c r="PDW101" s="1"/>
      <c r="PDX101" s="1"/>
      <c r="PDY101" s="1"/>
      <c r="PDZ101" s="1"/>
      <c r="PEA101" s="1"/>
      <c r="PEB101" s="1"/>
      <c r="PEC101" s="1"/>
      <c r="PED101" s="1"/>
      <c r="PEE101" s="1"/>
      <c r="PEF101" s="1"/>
      <c r="PEG101" s="1"/>
      <c r="PEH101" s="1"/>
      <c r="PEI101" s="1"/>
      <c r="PEJ101" s="1"/>
      <c r="PEK101" s="1"/>
      <c r="PEL101" s="1"/>
      <c r="PEM101" s="1"/>
      <c r="PEN101" s="1"/>
      <c r="PEO101" s="1"/>
      <c r="PEP101" s="1"/>
      <c r="PEQ101" s="1"/>
      <c r="PER101" s="1"/>
      <c r="PES101" s="1"/>
      <c r="PET101" s="1"/>
      <c r="PEU101" s="1"/>
      <c r="PEV101" s="1"/>
      <c r="PEW101" s="1"/>
      <c r="PEX101" s="1"/>
      <c r="PEY101" s="1"/>
      <c r="PEZ101" s="1"/>
      <c r="PFA101" s="1"/>
      <c r="PFB101" s="1"/>
      <c r="PFC101" s="1"/>
      <c r="PFD101" s="1"/>
      <c r="PFE101" s="1"/>
      <c r="PFF101" s="1"/>
      <c r="PFG101" s="1"/>
      <c r="PFH101" s="1"/>
      <c r="PFI101" s="1"/>
      <c r="PFJ101" s="1"/>
      <c r="PFK101" s="1"/>
      <c r="PFL101" s="1"/>
      <c r="PFM101" s="1"/>
      <c r="PFN101" s="1"/>
      <c r="PFO101" s="1"/>
      <c r="PFP101" s="1"/>
      <c r="PFQ101" s="1"/>
      <c r="PFR101" s="1"/>
      <c r="PFS101" s="1"/>
      <c r="PFT101" s="1"/>
      <c r="PFU101" s="1"/>
      <c r="PFV101" s="1"/>
      <c r="PFW101" s="1"/>
      <c r="PFX101" s="1"/>
      <c r="PFY101" s="1"/>
      <c r="PFZ101" s="1"/>
      <c r="PGA101" s="1"/>
      <c r="PGB101" s="1"/>
      <c r="PGC101" s="1"/>
      <c r="PGD101" s="1"/>
      <c r="PGE101" s="1"/>
      <c r="PGF101" s="1"/>
      <c r="PGG101" s="1"/>
      <c r="PGH101" s="1"/>
      <c r="PGI101" s="1"/>
      <c r="PGJ101" s="1"/>
      <c r="PGK101" s="1"/>
      <c r="PGL101" s="1"/>
      <c r="PGM101" s="1"/>
      <c r="PGN101" s="1"/>
      <c r="PGO101" s="1"/>
      <c r="PGP101" s="1"/>
      <c r="PGQ101" s="1"/>
      <c r="PGR101" s="1"/>
      <c r="PGS101" s="1"/>
      <c r="PGT101" s="1"/>
      <c r="PGU101" s="1"/>
      <c r="PGV101" s="1"/>
      <c r="PGW101" s="1"/>
      <c r="PGX101" s="1"/>
      <c r="PGY101" s="1"/>
      <c r="PGZ101" s="1"/>
      <c r="PHA101" s="1"/>
      <c r="PHB101" s="1"/>
      <c r="PHC101" s="1"/>
      <c r="PHD101" s="1"/>
      <c r="PHE101" s="1"/>
      <c r="PHF101" s="1"/>
      <c r="PHG101" s="1"/>
      <c r="PHH101" s="1"/>
      <c r="PHI101" s="1"/>
      <c r="PHJ101" s="1"/>
      <c r="PHK101" s="1"/>
      <c r="PHL101" s="1"/>
      <c r="PHM101" s="1"/>
      <c r="PHN101" s="1"/>
      <c r="PHO101" s="1"/>
      <c r="PHP101" s="1"/>
      <c r="PHQ101" s="1"/>
      <c r="PHR101" s="1"/>
      <c r="PHS101" s="1"/>
      <c r="PHT101" s="1"/>
      <c r="PHU101" s="1"/>
      <c r="PHV101" s="1"/>
      <c r="PHW101" s="1"/>
      <c r="PHX101" s="1"/>
      <c r="PHY101" s="1"/>
      <c r="PHZ101" s="1"/>
      <c r="PIA101" s="1"/>
      <c r="PIB101" s="1"/>
      <c r="PIC101" s="1"/>
      <c r="PID101" s="1"/>
      <c r="PIE101" s="1"/>
      <c r="PIF101" s="1"/>
      <c r="PIG101" s="1"/>
      <c r="PIH101" s="1"/>
      <c r="PII101" s="1"/>
      <c r="PIJ101" s="1"/>
      <c r="PIK101" s="1"/>
      <c r="PIL101" s="1"/>
      <c r="PIM101" s="1"/>
      <c r="PIN101" s="1"/>
      <c r="PIO101" s="1"/>
      <c r="PIP101" s="1"/>
      <c r="PIQ101" s="1"/>
      <c r="PIR101" s="1"/>
      <c r="PIS101" s="1"/>
      <c r="PIT101" s="1"/>
      <c r="PIU101" s="1"/>
      <c r="PIV101" s="1"/>
      <c r="PIW101" s="1"/>
      <c r="PIX101" s="1"/>
      <c r="PIY101" s="1"/>
      <c r="PIZ101" s="1"/>
      <c r="PJA101" s="1"/>
      <c r="PJB101" s="1"/>
      <c r="PJC101" s="1"/>
      <c r="PJD101" s="1"/>
      <c r="PJE101" s="1"/>
      <c r="PJF101" s="1"/>
      <c r="PJG101" s="1"/>
      <c r="PJH101" s="1"/>
      <c r="PJI101" s="1"/>
      <c r="PJJ101" s="1"/>
      <c r="PJK101" s="1"/>
      <c r="PJL101" s="1"/>
      <c r="PJM101" s="1"/>
      <c r="PJN101" s="1"/>
      <c r="PJO101" s="1"/>
      <c r="PJP101" s="1"/>
      <c r="PJQ101" s="1"/>
      <c r="PJR101" s="1"/>
      <c r="PJS101" s="1"/>
      <c r="PJT101" s="1"/>
      <c r="PJU101" s="1"/>
      <c r="PJV101" s="1"/>
      <c r="PJW101" s="1"/>
      <c r="PJX101" s="1"/>
      <c r="PJY101" s="1"/>
      <c r="PJZ101" s="1"/>
      <c r="PKA101" s="1"/>
      <c r="PKB101" s="1"/>
      <c r="PKC101" s="1"/>
      <c r="PKD101" s="1"/>
      <c r="PKE101" s="1"/>
      <c r="PKF101" s="1"/>
      <c r="PKG101" s="1"/>
      <c r="PKH101" s="1"/>
      <c r="PKI101" s="1"/>
      <c r="PKJ101" s="1"/>
      <c r="PKK101" s="1"/>
      <c r="PKL101" s="1"/>
      <c r="PKM101" s="1"/>
      <c r="PKN101" s="1"/>
      <c r="PKO101" s="1"/>
      <c r="PKP101" s="1"/>
      <c r="PKQ101" s="1"/>
      <c r="PKR101" s="1"/>
      <c r="PKS101" s="1"/>
      <c r="PKT101" s="1"/>
      <c r="PKU101" s="1"/>
      <c r="PKV101" s="1"/>
      <c r="PKW101" s="1"/>
      <c r="PKX101" s="1"/>
      <c r="PKY101" s="1"/>
      <c r="PKZ101" s="1"/>
      <c r="PLA101" s="1"/>
      <c r="PLB101" s="1"/>
      <c r="PLC101" s="1"/>
      <c r="PLD101" s="1"/>
      <c r="PLE101" s="1"/>
      <c r="PLF101" s="1"/>
      <c r="PLG101" s="1"/>
      <c r="PLH101" s="1"/>
      <c r="PLI101" s="1"/>
      <c r="PLJ101" s="1"/>
      <c r="PLK101" s="1"/>
      <c r="PLL101" s="1"/>
      <c r="PLM101" s="1"/>
      <c r="PLN101" s="1"/>
      <c r="PLO101" s="1"/>
      <c r="PLP101" s="1"/>
      <c r="PLQ101" s="1"/>
      <c r="PLR101" s="1"/>
      <c r="PLS101" s="1"/>
      <c r="PLT101" s="1"/>
      <c r="PLU101" s="1"/>
      <c r="PLV101" s="1"/>
      <c r="PLW101" s="1"/>
      <c r="PLX101" s="1"/>
      <c r="PLY101" s="1"/>
      <c r="PLZ101" s="1"/>
      <c r="PMA101" s="1"/>
      <c r="PMB101" s="1"/>
      <c r="PMC101" s="1"/>
      <c r="PMD101" s="1"/>
      <c r="PME101" s="1"/>
      <c r="PMF101" s="1"/>
      <c r="PMG101" s="1"/>
      <c r="PMH101" s="1"/>
      <c r="PMI101" s="1"/>
      <c r="PMJ101" s="1"/>
      <c r="PMK101" s="1"/>
      <c r="PML101" s="1"/>
      <c r="PMM101" s="1"/>
      <c r="PMN101" s="1"/>
      <c r="PMO101" s="1"/>
      <c r="PMP101" s="1"/>
      <c r="PMQ101" s="1"/>
      <c r="PMR101" s="1"/>
      <c r="PMS101" s="1"/>
      <c r="PMT101" s="1"/>
      <c r="PMU101" s="1"/>
      <c r="PMV101" s="1"/>
      <c r="PMW101" s="1"/>
      <c r="PMX101" s="1"/>
      <c r="PMY101" s="1"/>
      <c r="PMZ101" s="1"/>
      <c r="PNA101" s="1"/>
      <c r="PNB101" s="1"/>
      <c r="PNC101" s="1"/>
      <c r="PND101" s="1"/>
      <c r="PNE101" s="1"/>
      <c r="PNF101" s="1"/>
      <c r="PNG101" s="1"/>
      <c r="PNH101" s="1"/>
      <c r="PNI101" s="1"/>
      <c r="PNJ101" s="1"/>
      <c r="PNK101" s="1"/>
      <c r="PNL101" s="1"/>
      <c r="PNM101" s="1"/>
      <c r="PNN101" s="1"/>
      <c r="PNO101" s="1"/>
      <c r="PNP101" s="1"/>
      <c r="PNQ101" s="1"/>
      <c r="PNR101" s="1"/>
      <c r="PNS101" s="1"/>
      <c r="PNT101" s="1"/>
      <c r="PNU101" s="1"/>
      <c r="PNV101" s="1"/>
      <c r="PNW101" s="1"/>
      <c r="PNX101" s="1"/>
      <c r="PNY101" s="1"/>
      <c r="PNZ101" s="1"/>
      <c r="POA101" s="1"/>
      <c r="POB101" s="1"/>
      <c r="POC101" s="1"/>
      <c r="POD101" s="1"/>
      <c r="POE101" s="1"/>
      <c r="POF101" s="1"/>
      <c r="POG101" s="1"/>
      <c r="POH101" s="1"/>
      <c r="POI101" s="1"/>
      <c r="POJ101" s="1"/>
      <c r="POK101" s="1"/>
      <c r="POL101" s="1"/>
      <c r="POM101" s="1"/>
      <c r="PON101" s="1"/>
      <c r="POO101" s="1"/>
      <c r="POP101" s="1"/>
      <c r="POQ101" s="1"/>
      <c r="POR101" s="1"/>
      <c r="POS101" s="1"/>
      <c r="POT101" s="1"/>
      <c r="POU101" s="1"/>
      <c r="POV101" s="1"/>
      <c r="POW101" s="1"/>
      <c r="POX101" s="1"/>
      <c r="POY101" s="1"/>
      <c r="POZ101" s="1"/>
      <c r="PPA101" s="1"/>
      <c r="PPB101" s="1"/>
      <c r="PPC101" s="1"/>
      <c r="PPD101" s="1"/>
      <c r="PPE101" s="1"/>
      <c r="PPF101" s="1"/>
      <c r="PPG101" s="1"/>
      <c r="PPH101" s="1"/>
      <c r="PPI101" s="1"/>
      <c r="PPJ101" s="1"/>
      <c r="PPK101" s="1"/>
      <c r="PPL101" s="1"/>
      <c r="PPM101" s="1"/>
      <c r="PPN101" s="1"/>
      <c r="PPO101" s="1"/>
      <c r="PPP101" s="1"/>
      <c r="PPQ101" s="1"/>
      <c r="PPR101" s="1"/>
      <c r="PPS101" s="1"/>
      <c r="PPT101" s="1"/>
      <c r="PPU101" s="1"/>
      <c r="PPV101" s="1"/>
      <c r="PPW101" s="1"/>
      <c r="PPX101" s="1"/>
      <c r="PPY101" s="1"/>
      <c r="PPZ101" s="1"/>
      <c r="PQA101" s="1"/>
      <c r="PQB101" s="1"/>
      <c r="PQC101" s="1"/>
      <c r="PQD101" s="1"/>
      <c r="PQE101" s="1"/>
      <c r="PQF101" s="1"/>
      <c r="PQG101" s="1"/>
      <c r="PQH101" s="1"/>
      <c r="PQI101" s="1"/>
      <c r="PQJ101" s="1"/>
      <c r="PQK101" s="1"/>
      <c r="PQL101" s="1"/>
      <c r="PQM101" s="1"/>
      <c r="PQN101" s="1"/>
      <c r="PQO101" s="1"/>
      <c r="PQP101" s="1"/>
      <c r="PQQ101" s="1"/>
      <c r="PQR101" s="1"/>
      <c r="PQS101" s="1"/>
      <c r="PQT101" s="1"/>
      <c r="PQU101" s="1"/>
      <c r="PQV101" s="1"/>
      <c r="PQW101" s="1"/>
      <c r="PQX101" s="1"/>
      <c r="PQY101" s="1"/>
      <c r="PQZ101" s="1"/>
      <c r="PRA101" s="1"/>
      <c r="PRB101" s="1"/>
      <c r="PRC101" s="1"/>
      <c r="PRD101" s="1"/>
      <c r="PRE101" s="1"/>
      <c r="PRF101" s="1"/>
      <c r="PRG101" s="1"/>
      <c r="PRH101" s="1"/>
      <c r="PRI101" s="1"/>
      <c r="PRJ101" s="1"/>
      <c r="PRK101" s="1"/>
      <c r="PRL101" s="1"/>
      <c r="PRM101" s="1"/>
      <c r="PRN101" s="1"/>
      <c r="PRO101" s="1"/>
      <c r="PRP101" s="1"/>
      <c r="PRQ101" s="1"/>
      <c r="PRR101" s="1"/>
      <c r="PRS101" s="1"/>
      <c r="PRT101" s="1"/>
      <c r="PRU101" s="1"/>
      <c r="PRV101" s="1"/>
      <c r="PRW101" s="1"/>
      <c r="PRX101" s="1"/>
      <c r="PRY101" s="1"/>
      <c r="PRZ101" s="1"/>
      <c r="PSA101" s="1"/>
      <c r="PSB101" s="1"/>
      <c r="PSC101" s="1"/>
      <c r="PSD101" s="1"/>
      <c r="PSE101" s="1"/>
      <c r="PSF101" s="1"/>
      <c r="PSG101" s="1"/>
      <c r="PSH101" s="1"/>
      <c r="PSI101" s="1"/>
      <c r="PSJ101" s="1"/>
      <c r="PSK101" s="1"/>
      <c r="PSL101" s="1"/>
      <c r="PSM101" s="1"/>
      <c r="PSN101" s="1"/>
      <c r="PSO101" s="1"/>
      <c r="PSP101" s="1"/>
      <c r="PSQ101" s="1"/>
      <c r="PSR101" s="1"/>
      <c r="PSS101" s="1"/>
      <c r="PST101" s="1"/>
      <c r="PSU101" s="1"/>
      <c r="PSV101" s="1"/>
      <c r="PSW101" s="1"/>
      <c r="PSX101" s="1"/>
      <c r="PSY101" s="1"/>
      <c r="PSZ101" s="1"/>
      <c r="PTA101" s="1"/>
      <c r="PTB101" s="1"/>
      <c r="PTC101" s="1"/>
      <c r="PTD101" s="1"/>
      <c r="PTE101" s="1"/>
      <c r="PTF101" s="1"/>
      <c r="PTG101" s="1"/>
      <c r="PTH101" s="1"/>
      <c r="PTI101" s="1"/>
      <c r="PTJ101" s="1"/>
      <c r="PTK101" s="1"/>
      <c r="PTL101" s="1"/>
      <c r="PTM101" s="1"/>
      <c r="PTN101" s="1"/>
      <c r="PTO101" s="1"/>
      <c r="PTP101" s="1"/>
      <c r="PTQ101" s="1"/>
      <c r="PTR101" s="1"/>
      <c r="PTS101" s="1"/>
      <c r="PTT101" s="1"/>
      <c r="PTU101" s="1"/>
      <c r="PTV101" s="1"/>
      <c r="PTW101" s="1"/>
      <c r="PTX101" s="1"/>
      <c r="PTY101" s="1"/>
      <c r="PTZ101" s="1"/>
      <c r="PUA101" s="1"/>
      <c r="PUB101" s="1"/>
      <c r="PUC101" s="1"/>
      <c r="PUD101" s="1"/>
      <c r="PUE101" s="1"/>
      <c r="PUF101" s="1"/>
      <c r="PUG101" s="1"/>
      <c r="PUH101" s="1"/>
      <c r="PUI101" s="1"/>
      <c r="PUJ101" s="1"/>
      <c r="PUK101" s="1"/>
      <c r="PUL101" s="1"/>
      <c r="PUM101" s="1"/>
      <c r="PUN101" s="1"/>
      <c r="PUO101" s="1"/>
      <c r="PUP101" s="1"/>
      <c r="PUQ101" s="1"/>
      <c r="PUR101" s="1"/>
      <c r="PUS101" s="1"/>
      <c r="PUT101" s="1"/>
      <c r="PUU101" s="1"/>
      <c r="PUV101" s="1"/>
      <c r="PUW101" s="1"/>
      <c r="PUX101" s="1"/>
      <c r="PUY101" s="1"/>
      <c r="PUZ101" s="1"/>
      <c r="PVA101" s="1"/>
      <c r="PVB101" s="1"/>
      <c r="PVC101" s="1"/>
      <c r="PVD101" s="1"/>
      <c r="PVE101" s="1"/>
      <c r="PVF101" s="1"/>
      <c r="PVG101" s="1"/>
      <c r="PVH101" s="1"/>
      <c r="PVI101" s="1"/>
      <c r="PVJ101" s="1"/>
      <c r="PVK101" s="1"/>
      <c r="PVL101" s="1"/>
      <c r="PVM101" s="1"/>
      <c r="PVN101" s="1"/>
      <c r="PVO101" s="1"/>
      <c r="PVP101" s="1"/>
      <c r="PVQ101" s="1"/>
      <c r="PVR101" s="1"/>
      <c r="PVS101" s="1"/>
      <c r="PVT101" s="1"/>
      <c r="PVU101" s="1"/>
      <c r="PVV101" s="1"/>
      <c r="PVW101" s="1"/>
      <c r="PVX101" s="1"/>
      <c r="PVY101" s="1"/>
      <c r="PVZ101" s="1"/>
      <c r="PWA101" s="1"/>
      <c r="PWB101" s="1"/>
      <c r="PWC101" s="1"/>
      <c r="PWD101" s="1"/>
      <c r="PWE101" s="1"/>
      <c r="PWF101" s="1"/>
      <c r="PWG101" s="1"/>
      <c r="PWH101" s="1"/>
      <c r="PWI101" s="1"/>
      <c r="PWJ101" s="1"/>
      <c r="PWK101" s="1"/>
      <c r="PWL101" s="1"/>
      <c r="PWM101" s="1"/>
      <c r="PWN101" s="1"/>
      <c r="PWO101" s="1"/>
      <c r="PWP101" s="1"/>
      <c r="PWQ101" s="1"/>
      <c r="PWR101" s="1"/>
      <c r="PWS101" s="1"/>
      <c r="PWT101" s="1"/>
      <c r="PWU101" s="1"/>
      <c r="PWV101" s="1"/>
      <c r="PWW101" s="1"/>
      <c r="PWX101" s="1"/>
      <c r="PWY101" s="1"/>
      <c r="PWZ101" s="1"/>
      <c r="PXA101" s="1"/>
      <c r="PXB101" s="1"/>
      <c r="PXC101" s="1"/>
      <c r="PXD101" s="1"/>
      <c r="PXE101" s="1"/>
      <c r="PXF101" s="1"/>
      <c r="PXG101" s="1"/>
      <c r="PXH101" s="1"/>
      <c r="PXI101" s="1"/>
      <c r="PXJ101" s="1"/>
      <c r="PXK101" s="1"/>
      <c r="PXL101" s="1"/>
      <c r="PXM101" s="1"/>
      <c r="PXN101" s="1"/>
      <c r="PXO101" s="1"/>
      <c r="PXP101" s="1"/>
      <c r="PXQ101" s="1"/>
      <c r="PXR101" s="1"/>
      <c r="PXS101" s="1"/>
      <c r="PXT101" s="1"/>
      <c r="PXU101" s="1"/>
      <c r="PXV101" s="1"/>
      <c r="PXW101" s="1"/>
      <c r="PXX101" s="1"/>
      <c r="PXY101" s="1"/>
      <c r="PXZ101" s="1"/>
      <c r="PYA101" s="1"/>
      <c r="PYB101" s="1"/>
      <c r="PYC101" s="1"/>
      <c r="PYD101" s="1"/>
      <c r="PYE101" s="1"/>
      <c r="PYF101" s="1"/>
      <c r="PYG101" s="1"/>
      <c r="PYH101" s="1"/>
      <c r="PYI101" s="1"/>
      <c r="PYJ101" s="1"/>
      <c r="PYK101" s="1"/>
      <c r="PYL101" s="1"/>
      <c r="PYM101" s="1"/>
      <c r="PYN101" s="1"/>
      <c r="PYO101" s="1"/>
      <c r="PYP101" s="1"/>
      <c r="PYQ101" s="1"/>
      <c r="PYR101" s="1"/>
      <c r="PYS101" s="1"/>
      <c r="PYT101" s="1"/>
      <c r="PYU101" s="1"/>
      <c r="PYV101" s="1"/>
      <c r="PYW101" s="1"/>
      <c r="PYX101" s="1"/>
      <c r="PYY101" s="1"/>
      <c r="PYZ101" s="1"/>
      <c r="PZA101" s="1"/>
      <c r="PZB101" s="1"/>
      <c r="PZC101" s="1"/>
      <c r="PZD101" s="1"/>
      <c r="PZE101" s="1"/>
      <c r="PZF101" s="1"/>
      <c r="PZG101" s="1"/>
      <c r="PZH101" s="1"/>
      <c r="PZI101" s="1"/>
      <c r="PZJ101" s="1"/>
      <c r="PZK101" s="1"/>
      <c r="PZL101" s="1"/>
      <c r="PZM101" s="1"/>
      <c r="PZN101" s="1"/>
      <c r="PZO101" s="1"/>
      <c r="PZP101" s="1"/>
      <c r="PZQ101" s="1"/>
      <c r="PZR101" s="1"/>
      <c r="PZS101" s="1"/>
      <c r="PZT101" s="1"/>
      <c r="PZU101" s="1"/>
      <c r="PZV101" s="1"/>
      <c r="PZW101" s="1"/>
      <c r="PZX101" s="1"/>
      <c r="PZY101" s="1"/>
      <c r="PZZ101" s="1"/>
      <c r="QAA101" s="1"/>
      <c r="QAB101" s="1"/>
      <c r="QAC101" s="1"/>
      <c r="QAD101" s="1"/>
      <c r="QAE101" s="1"/>
      <c r="QAF101" s="1"/>
      <c r="QAG101" s="1"/>
      <c r="QAH101" s="1"/>
      <c r="QAI101" s="1"/>
      <c r="QAJ101" s="1"/>
      <c r="QAK101" s="1"/>
      <c r="QAL101" s="1"/>
      <c r="QAM101" s="1"/>
      <c r="QAN101" s="1"/>
      <c r="QAO101" s="1"/>
      <c r="QAP101" s="1"/>
      <c r="QAQ101" s="1"/>
      <c r="QAR101" s="1"/>
      <c r="QAS101" s="1"/>
      <c r="QAT101" s="1"/>
      <c r="QAU101" s="1"/>
      <c r="QAV101" s="1"/>
      <c r="QAW101" s="1"/>
      <c r="QAX101" s="1"/>
      <c r="QAY101" s="1"/>
      <c r="QAZ101" s="1"/>
      <c r="QBA101" s="1"/>
      <c r="QBB101" s="1"/>
      <c r="QBC101" s="1"/>
      <c r="QBD101" s="1"/>
      <c r="QBE101" s="1"/>
      <c r="QBF101" s="1"/>
      <c r="QBG101" s="1"/>
      <c r="QBH101" s="1"/>
      <c r="QBI101" s="1"/>
      <c r="QBJ101" s="1"/>
      <c r="QBK101" s="1"/>
      <c r="QBL101" s="1"/>
      <c r="QBM101" s="1"/>
      <c r="QBN101" s="1"/>
      <c r="QBO101" s="1"/>
      <c r="QBP101" s="1"/>
      <c r="QBQ101" s="1"/>
      <c r="QBR101" s="1"/>
      <c r="QBS101" s="1"/>
      <c r="QBT101" s="1"/>
      <c r="QBU101" s="1"/>
      <c r="QBV101" s="1"/>
      <c r="QBW101" s="1"/>
      <c r="QBX101" s="1"/>
      <c r="QBY101" s="1"/>
      <c r="QBZ101" s="1"/>
      <c r="QCA101" s="1"/>
      <c r="QCB101" s="1"/>
      <c r="QCC101" s="1"/>
      <c r="QCD101" s="1"/>
      <c r="QCE101" s="1"/>
      <c r="QCF101" s="1"/>
      <c r="QCG101" s="1"/>
      <c r="QCH101" s="1"/>
      <c r="QCI101" s="1"/>
      <c r="QCJ101" s="1"/>
      <c r="QCK101" s="1"/>
      <c r="QCL101" s="1"/>
      <c r="QCM101" s="1"/>
      <c r="QCN101" s="1"/>
      <c r="QCO101" s="1"/>
      <c r="QCP101" s="1"/>
      <c r="QCQ101" s="1"/>
      <c r="QCR101" s="1"/>
      <c r="QCS101" s="1"/>
      <c r="QCT101" s="1"/>
      <c r="QCU101" s="1"/>
      <c r="QCV101" s="1"/>
      <c r="QCW101" s="1"/>
      <c r="QCX101" s="1"/>
      <c r="QCY101" s="1"/>
      <c r="QCZ101" s="1"/>
      <c r="QDA101" s="1"/>
      <c r="QDB101" s="1"/>
      <c r="QDC101" s="1"/>
      <c r="QDD101" s="1"/>
      <c r="QDE101" s="1"/>
      <c r="QDF101" s="1"/>
      <c r="QDG101" s="1"/>
      <c r="QDH101" s="1"/>
      <c r="QDI101" s="1"/>
      <c r="QDJ101" s="1"/>
      <c r="QDK101" s="1"/>
      <c r="QDL101" s="1"/>
      <c r="QDM101" s="1"/>
      <c r="QDN101" s="1"/>
      <c r="QDO101" s="1"/>
      <c r="QDP101" s="1"/>
      <c r="QDQ101" s="1"/>
      <c r="QDR101" s="1"/>
      <c r="QDS101" s="1"/>
      <c r="QDT101" s="1"/>
      <c r="QDU101" s="1"/>
      <c r="QDV101" s="1"/>
      <c r="QDW101" s="1"/>
      <c r="QDX101" s="1"/>
      <c r="QDY101" s="1"/>
      <c r="QDZ101" s="1"/>
      <c r="QEA101" s="1"/>
      <c r="QEB101" s="1"/>
      <c r="QEC101" s="1"/>
      <c r="QED101" s="1"/>
      <c r="QEE101" s="1"/>
      <c r="QEF101" s="1"/>
      <c r="QEG101" s="1"/>
      <c r="QEH101" s="1"/>
      <c r="QEI101" s="1"/>
      <c r="QEJ101" s="1"/>
      <c r="QEK101" s="1"/>
      <c r="QEL101" s="1"/>
      <c r="QEM101" s="1"/>
      <c r="QEN101" s="1"/>
      <c r="QEO101" s="1"/>
      <c r="QEP101" s="1"/>
      <c r="QEQ101" s="1"/>
      <c r="QER101" s="1"/>
      <c r="QES101" s="1"/>
      <c r="QET101" s="1"/>
      <c r="QEU101" s="1"/>
      <c r="QEV101" s="1"/>
      <c r="QEW101" s="1"/>
      <c r="QEX101" s="1"/>
      <c r="QEY101" s="1"/>
      <c r="QEZ101" s="1"/>
      <c r="QFA101" s="1"/>
      <c r="QFB101" s="1"/>
      <c r="QFC101" s="1"/>
      <c r="QFD101" s="1"/>
      <c r="QFE101" s="1"/>
      <c r="QFF101" s="1"/>
      <c r="QFG101" s="1"/>
      <c r="QFH101" s="1"/>
      <c r="QFI101" s="1"/>
      <c r="QFJ101" s="1"/>
      <c r="QFK101" s="1"/>
      <c r="QFL101" s="1"/>
      <c r="QFM101" s="1"/>
      <c r="QFN101" s="1"/>
      <c r="QFO101" s="1"/>
      <c r="QFP101" s="1"/>
      <c r="QFQ101" s="1"/>
      <c r="QFR101" s="1"/>
      <c r="QFS101" s="1"/>
      <c r="QFT101" s="1"/>
      <c r="QFU101" s="1"/>
      <c r="QFV101" s="1"/>
      <c r="QFW101" s="1"/>
      <c r="QFX101" s="1"/>
      <c r="QFY101" s="1"/>
      <c r="QFZ101" s="1"/>
      <c r="QGA101" s="1"/>
      <c r="QGB101" s="1"/>
      <c r="QGC101" s="1"/>
      <c r="QGD101" s="1"/>
      <c r="QGE101" s="1"/>
      <c r="QGF101" s="1"/>
      <c r="QGG101" s="1"/>
      <c r="QGH101" s="1"/>
      <c r="QGI101" s="1"/>
      <c r="QGJ101" s="1"/>
      <c r="QGK101" s="1"/>
      <c r="QGL101" s="1"/>
      <c r="QGM101" s="1"/>
      <c r="QGN101" s="1"/>
      <c r="QGO101" s="1"/>
      <c r="QGP101" s="1"/>
      <c r="QGQ101" s="1"/>
      <c r="QGR101" s="1"/>
      <c r="QGS101" s="1"/>
      <c r="QGT101" s="1"/>
      <c r="QGU101" s="1"/>
      <c r="QGV101" s="1"/>
      <c r="QGW101" s="1"/>
      <c r="QGX101" s="1"/>
      <c r="QGY101" s="1"/>
      <c r="QGZ101" s="1"/>
      <c r="QHA101" s="1"/>
      <c r="QHB101" s="1"/>
      <c r="QHC101" s="1"/>
      <c r="QHD101" s="1"/>
      <c r="QHE101" s="1"/>
      <c r="QHF101" s="1"/>
      <c r="QHG101" s="1"/>
      <c r="QHH101" s="1"/>
      <c r="QHI101" s="1"/>
      <c r="QHJ101" s="1"/>
      <c r="QHK101" s="1"/>
      <c r="QHL101" s="1"/>
      <c r="QHM101" s="1"/>
      <c r="QHN101" s="1"/>
      <c r="QHO101" s="1"/>
      <c r="QHP101" s="1"/>
      <c r="QHQ101" s="1"/>
      <c r="QHR101" s="1"/>
      <c r="QHS101" s="1"/>
      <c r="QHT101" s="1"/>
      <c r="QHU101" s="1"/>
      <c r="QHV101" s="1"/>
      <c r="QHW101" s="1"/>
      <c r="QHX101" s="1"/>
      <c r="QHY101" s="1"/>
      <c r="QHZ101" s="1"/>
      <c r="QIA101" s="1"/>
      <c r="QIB101" s="1"/>
      <c r="QIC101" s="1"/>
      <c r="QID101" s="1"/>
      <c r="QIE101" s="1"/>
      <c r="QIF101" s="1"/>
      <c r="QIG101" s="1"/>
      <c r="QIH101" s="1"/>
      <c r="QII101" s="1"/>
      <c r="QIJ101" s="1"/>
      <c r="QIK101" s="1"/>
      <c r="QIL101" s="1"/>
      <c r="QIM101" s="1"/>
      <c r="QIN101" s="1"/>
      <c r="QIO101" s="1"/>
      <c r="QIP101" s="1"/>
      <c r="QIQ101" s="1"/>
      <c r="QIR101" s="1"/>
      <c r="QIS101" s="1"/>
      <c r="QIT101" s="1"/>
      <c r="QIU101" s="1"/>
      <c r="QIV101" s="1"/>
      <c r="QIW101" s="1"/>
      <c r="QIX101" s="1"/>
      <c r="QIY101" s="1"/>
      <c r="QIZ101" s="1"/>
      <c r="QJA101" s="1"/>
      <c r="QJB101" s="1"/>
      <c r="QJC101" s="1"/>
      <c r="QJD101" s="1"/>
      <c r="QJE101" s="1"/>
      <c r="QJF101" s="1"/>
      <c r="QJG101" s="1"/>
      <c r="QJH101" s="1"/>
      <c r="QJI101" s="1"/>
      <c r="QJJ101" s="1"/>
      <c r="QJK101" s="1"/>
      <c r="QJL101" s="1"/>
      <c r="QJM101" s="1"/>
      <c r="QJN101" s="1"/>
      <c r="QJO101" s="1"/>
      <c r="QJP101" s="1"/>
      <c r="QJQ101" s="1"/>
      <c r="QJR101" s="1"/>
      <c r="QJS101" s="1"/>
      <c r="QJT101" s="1"/>
      <c r="QJU101" s="1"/>
      <c r="QJV101" s="1"/>
      <c r="QJW101" s="1"/>
      <c r="QJX101" s="1"/>
      <c r="QJY101" s="1"/>
      <c r="QJZ101" s="1"/>
      <c r="QKA101" s="1"/>
      <c r="QKB101" s="1"/>
      <c r="QKC101" s="1"/>
      <c r="QKD101" s="1"/>
      <c r="QKE101" s="1"/>
      <c r="QKF101" s="1"/>
      <c r="QKG101" s="1"/>
      <c r="QKH101" s="1"/>
      <c r="QKI101" s="1"/>
      <c r="QKJ101" s="1"/>
      <c r="QKK101" s="1"/>
      <c r="QKL101" s="1"/>
      <c r="QKM101" s="1"/>
      <c r="QKN101" s="1"/>
      <c r="QKO101" s="1"/>
      <c r="QKP101" s="1"/>
      <c r="QKQ101" s="1"/>
      <c r="QKR101" s="1"/>
      <c r="QKS101" s="1"/>
      <c r="QKT101" s="1"/>
      <c r="QKU101" s="1"/>
      <c r="QKV101" s="1"/>
      <c r="QKW101" s="1"/>
      <c r="QKX101" s="1"/>
      <c r="QKY101" s="1"/>
      <c r="QKZ101" s="1"/>
      <c r="QLA101" s="1"/>
      <c r="QLB101" s="1"/>
      <c r="QLC101" s="1"/>
      <c r="QLD101" s="1"/>
      <c r="QLE101" s="1"/>
      <c r="QLF101" s="1"/>
      <c r="QLG101" s="1"/>
      <c r="QLH101" s="1"/>
      <c r="QLI101" s="1"/>
      <c r="QLJ101" s="1"/>
      <c r="QLK101" s="1"/>
      <c r="QLL101" s="1"/>
      <c r="QLM101" s="1"/>
      <c r="QLN101" s="1"/>
      <c r="QLO101" s="1"/>
      <c r="QLP101" s="1"/>
      <c r="QLQ101" s="1"/>
      <c r="QLR101" s="1"/>
      <c r="QLS101" s="1"/>
      <c r="QLT101" s="1"/>
      <c r="QLU101" s="1"/>
      <c r="QLV101" s="1"/>
      <c r="QLW101" s="1"/>
      <c r="QLX101" s="1"/>
      <c r="QLY101" s="1"/>
      <c r="QLZ101" s="1"/>
      <c r="QMA101" s="1"/>
      <c r="QMB101" s="1"/>
      <c r="QMC101" s="1"/>
      <c r="QMD101" s="1"/>
      <c r="QME101" s="1"/>
      <c r="QMF101" s="1"/>
      <c r="QMG101" s="1"/>
      <c r="QMH101" s="1"/>
      <c r="QMI101" s="1"/>
      <c r="QMJ101" s="1"/>
      <c r="QMK101" s="1"/>
      <c r="QML101" s="1"/>
      <c r="QMM101" s="1"/>
      <c r="QMN101" s="1"/>
      <c r="QMO101" s="1"/>
      <c r="QMP101" s="1"/>
      <c r="QMQ101" s="1"/>
      <c r="QMR101" s="1"/>
      <c r="QMS101" s="1"/>
      <c r="QMT101" s="1"/>
      <c r="QMU101" s="1"/>
      <c r="QMV101" s="1"/>
      <c r="QMW101" s="1"/>
      <c r="QMX101" s="1"/>
      <c r="QMY101" s="1"/>
      <c r="QMZ101" s="1"/>
      <c r="QNA101" s="1"/>
      <c r="QNB101" s="1"/>
      <c r="QNC101" s="1"/>
      <c r="QND101" s="1"/>
      <c r="QNE101" s="1"/>
      <c r="QNF101" s="1"/>
      <c r="QNG101" s="1"/>
      <c r="QNH101" s="1"/>
      <c r="QNI101" s="1"/>
      <c r="QNJ101" s="1"/>
      <c r="QNK101" s="1"/>
      <c r="QNL101" s="1"/>
      <c r="QNM101" s="1"/>
      <c r="QNN101" s="1"/>
      <c r="QNO101" s="1"/>
      <c r="QNP101" s="1"/>
      <c r="QNQ101" s="1"/>
      <c r="QNR101" s="1"/>
      <c r="QNS101" s="1"/>
      <c r="QNT101" s="1"/>
      <c r="QNU101" s="1"/>
      <c r="QNV101" s="1"/>
      <c r="QNW101" s="1"/>
      <c r="QNX101" s="1"/>
      <c r="QNY101" s="1"/>
      <c r="QNZ101" s="1"/>
      <c r="QOA101" s="1"/>
      <c r="QOB101" s="1"/>
      <c r="QOC101" s="1"/>
      <c r="QOD101" s="1"/>
      <c r="QOE101" s="1"/>
      <c r="QOF101" s="1"/>
      <c r="QOG101" s="1"/>
      <c r="QOH101" s="1"/>
      <c r="QOI101" s="1"/>
      <c r="QOJ101" s="1"/>
      <c r="QOK101" s="1"/>
      <c r="QOL101" s="1"/>
      <c r="QOM101" s="1"/>
      <c r="QON101" s="1"/>
      <c r="QOO101" s="1"/>
      <c r="QOP101" s="1"/>
      <c r="QOQ101" s="1"/>
      <c r="QOR101" s="1"/>
      <c r="QOS101" s="1"/>
      <c r="QOT101" s="1"/>
      <c r="QOU101" s="1"/>
      <c r="QOV101" s="1"/>
      <c r="QOW101" s="1"/>
      <c r="QOX101" s="1"/>
      <c r="QOY101" s="1"/>
      <c r="QOZ101" s="1"/>
      <c r="QPA101" s="1"/>
      <c r="QPB101" s="1"/>
      <c r="QPC101" s="1"/>
      <c r="QPD101" s="1"/>
      <c r="QPE101" s="1"/>
      <c r="QPF101" s="1"/>
      <c r="QPG101" s="1"/>
      <c r="QPH101" s="1"/>
      <c r="QPI101" s="1"/>
      <c r="QPJ101" s="1"/>
      <c r="QPK101" s="1"/>
      <c r="QPL101" s="1"/>
      <c r="QPM101" s="1"/>
      <c r="QPN101" s="1"/>
      <c r="QPO101" s="1"/>
      <c r="QPP101" s="1"/>
      <c r="QPQ101" s="1"/>
      <c r="QPR101" s="1"/>
      <c r="QPS101" s="1"/>
      <c r="QPT101" s="1"/>
      <c r="QPU101" s="1"/>
      <c r="QPV101" s="1"/>
      <c r="QPW101" s="1"/>
      <c r="QPX101" s="1"/>
      <c r="QPY101" s="1"/>
      <c r="QPZ101" s="1"/>
      <c r="QQA101" s="1"/>
      <c r="QQB101" s="1"/>
      <c r="QQC101" s="1"/>
      <c r="QQD101" s="1"/>
      <c r="QQE101" s="1"/>
      <c r="QQF101" s="1"/>
      <c r="QQG101" s="1"/>
      <c r="QQH101" s="1"/>
      <c r="QQI101" s="1"/>
      <c r="QQJ101" s="1"/>
      <c r="QQK101" s="1"/>
      <c r="QQL101" s="1"/>
      <c r="QQM101" s="1"/>
      <c r="QQN101" s="1"/>
      <c r="QQO101" s="1"/>
      <c r="QQP101" s="1"/>
      <c r="QQQ101" s="1"/>
      <c r="QQR101" s="1"/>
      <c r="QQS101" s="1"/>
      <c r="QQT101" s="1"/>
      <c r="QQU101" s="1"/>
      <c r="QQV101" s="1"/>
      <c r="QQW101" s="1"/>
      <c r="QQX101" s="1"/>
      <c r="QQY101" s="1"/>
      <c r="QQZ101" s="1"/>
      <c r="QRA101" s="1"/>
      <c r="QRB101" s="1"/>
      <c r="QRC101" s="1"/>
      <c r="QRD101" s="1"/>
      <c r="QRE101" s="1"/>
      <c r="QRF101" s="1"/>
      <c r="QRG101" s="1"/>
      <c r="QRH101" s="1"/>
      <c r="QRI101" s="1"/>
      <c r="QRJ101" s="1"/>
      <c r="QRK101" s="1"/>
      <c r="QRL101" s="1"/>
      <c r="QRM101" s="1"/>
      <c r="QRN101" s="1"/>
      <c r="QRO101" s="1"/>
      <c r="QRP101" s="1"/>
      <c r="QRQ101" s="1"/>
      <c r="QRR101" s="1"/>
      <c r="QRS101" s="1"/>
      <c r="QRT101" s="1"/>
      <c r="QRU101" s="1"/>
      <c r="QRV101" s="1"/>
      <c r="QRW101" s="1"/>
      <c r="QRX101" s="1"/>
      <c r="QRY101" s="1"/>
      <c r="QRZ101" s="1"/>
      <c r="QSA101" s="1"/>
      <c r="QSB101" s="1"/>
      <c r="QSC101" s="1"/>
      <c r="QSD101" s="1"/>
      <c r="QSE101" s="1"/>
      <c r="QSF101" s="1"/>
      <c r="QSG101" s="1"/>
      <c r="QSH101" s="1"/>
      <c r="QSI101" s="1"/>
      <c r="QSJ101" s="1"/>
      <c r="QSK101" s="1"/>
      <c r="QSL101" s="1"/>
      <c r="QSM101" s="1"/>
      <c r="QSN101" s="1"/>
      <c r="QSO101" s="1"/>
      <c r="QSP101" s="1"/>
      <c r="QSQ101" s="1"/>
      <c r="QSR101" s="1"/>
      <c r="QSS101" s="1"/>
      <c r="QST101" s="1"/>
      <c r="QSU101" s="1"/>
      <c r="QSV101" s="1"/>
      <c r="QSW101" s="1"/>
      <c r="QSX101" s="1"/>
      <c r="QSY101" s="1"/>
      <c r="QSZ101" s="1"/>
      <c r="QTA101" s="1"/>
      <c r="QTB101" s="1"/>
      <c r="QTC101" s="1"/>
      <c r="QTD101" s="1"/>
      <c r="QTE101" s="1"/>
      <c r="QTF101" s="1"/>
      <c r="QTG101" s="1"/>
      <c r="QTH101" s="1"/>
      <c r="QTI101" s="1"/>
      <c r="QTJ101" s="1"/>
      <c r="QTK101" s="1"/>
      <c r="QTL101" s="1"/>
      <c r="QTM101" s="1"/>
      <c r="QTN101" s="1"/>
      <c r="QTO101" s="1"/>
      <c r="QTP101" s="1"/>
      <c r="QTQ101" s="1"/>
      <c r="QTR101" s="1"/>
      <c r="QTS101" s="1"/>
      <c r="QTT101" s="1"/>
      <c r="QTU101" s="1"/>
      <c r="QTV101" s="1"/>
      <c r="QTW101" s="1"/>
      <c r="QTX101" s="1"/>
      <c r="QTY101" s="1"/>
      <c r="QTZ101" s="1"/>
      <c r="QUA101" s="1"/>
      <c r="QUB101" s="1"/>
      <c r="QUC101" s="1"/>
      <c r="QUD101" s="1"/>
      <c r="QUE101" s="1"/>
      <c r="QUF101" s="1"/>
      <c r="QUG101" s="1"/>
      <c r="QUH101" s="1"/>
      <c r="QUI101" s="1"/>
      <c r="QUJ101" s="1"/>
      <c r="QUK101" s="1"/>
      <c r="QUL101" s="1"/>
      <c r="QUM101" s="1"/>
      <c r="QUN101" s="1"/>
      <c r="QUO101" s="1"/>
      <c r="QUP101" s="1"/>
      <c r="QUQ101" s="1"/>
      <c r="QUR101" s="1"/>
      <c r="QUS101" s="1"/>
      <c r="QUT101" s="1"/>
      <c r="QUU101" s="1"/>
      <c r="QUV101" s="1"/>
      <c r="QUW101" s="1"/>
      <c r="QUX101" s="1"/>
      <c r="QUY101" s="1"/>
      <c r="QUZ101" s="1"/>
      <c r="QVA101" s="1"/>
      <c r="QVB101" s="1"/>
      <c r="QVC101" s="1"/>
      <c r="QVD101" s="1"/>
      <c r="QVE101" s="1"/>
      <c r="QVF101" s="1"/>
      <c r="QVG101" s="1"/>
      <c r="QVH101" s="1"/>
      <c r="QVI101" s="1"/>
      <c r="QVJ101" s="1"/>
      <c r="QVK101" s="1"/>
      <c r="QVL101" s="1"/>
      <c r="QVM101" s="1"/>
      <c r="QVN101" s="1"/>
      <c r="QVO101" s="1"/>
      <c r="QVP101" s="1"/>
      <c r="QVQ101" s="1"/>
      <c r="QVR101" s="1"/>
      <c r="QVS101" s="1"/>
      <c r="QVT101" s="1"/>
      <c r="QVU101" s="1"/>
      <c r="QVV101" s="1"/>
      <c r="QVW101" s="1"/>
      <c r="QVX101" s="1"/>
      <c r="QVY101" s="1"/>
      <c r="QVZ101" s="1"/>
      <c r="QWA101" s="1"/>
      <c r="QWB101" s="1"/>
      <c r="QWC101" s="1"/>
      <c r="QWD101" s="1"/>
      <c r="QWE101" s="1"/>
      <c r="QWF101" s="1"/>
      <c r="QWG101" s="1"/>
      <c r="QWH101" s="1"/>
      <c r="QWI101" s="1"/>
      <c r="QWJ101" s="1"/>
      <c r="QWK101" s="1"/>
      <c r="QWL101" s="1"/>
      <c r="QWM101" s="1"/>
      <c r="QWN101" s="1"/>
      <c r="QWO101" s="1"/>
      <c r="QWP101" s="1"/>
      <c r="QWQ101" s="1"/>
      <c r="QWR101" s="1"/>
      <c r="QWS101" s="1"/>
      <c r="QWT101" s="1"/>
      <c r="QWU101" s="1"/>
      <c r="QWV101" s="1"/>
      <c r="QWW101" s="1"/>
      <c r="QWX101" s="1"/>
      <c r="QWY101" s="1"/>
      <c r="QWZ101" s="1"/>
      <c r="QXA101" s="1"/>
      <c r="QXB101" s="1"/>
      <c r="QXC101" s="1"/>
      <c r="QXD101" s="1"/>
      <c r="QXE101" s="1"/>
      <c r="QXF101" s="1"/>
      <c r="QXG101" s="1"/>
      <c r="QXH101" s="1"/>
      <c r="QXI101" s="1"/>
      <c r="QXJ101" s="1"/>
      <c r="QXK101" s="1"/>
      <c r="QXL101" s="1"/>
      <c r="QXM101" s="1"/>
      <c r="QXN101" s="1"/>
      <c r="QXO101" s="1"/>
      <c r="QXP101" s="1"/>
      <c r="QXQ101" s="1"/>
      <c r="QXR101" s="1"/>
      <c r="QXS101" s="1"/>
      <c r="QXT101" s="1"/>
      <c r="QXU101" s="1"/>
      <c r="QXV101" s="1"/>
      <c r="QXW101" s="1"/>
      <c r="QXX101" s="1"/>
      <c r="QXY101" s="1"/>
      <c r="QXZ101" s="1"/>
      <c r="QYA101" s="1"/>
      <c r="QYB101" s="1"/>
      <c r="QYC101" s="1"/>
      <c r="QYD101" s="1"/>
      <c r="QYE101" s="1"/>
      <c r="QYF101" s="1"/>
      <c r="QYG101" s="1"/>
      <c r="QYH101" s="1"/>
      <c r="QYI101" s="1"/>
      <c r="QYJ101" s="1"/>
      <c r="QYK101" s="1"/>
      <c r="QYL101" s="1"/>
      <c r="QYM101" s="1"/>
      <c r="QYN101" s="1"/>
      <c r="QYO101" s="1"/>
      <c r="QYP101" s="1"/>
      <c r="QYQ101" s="1"/>
      <c r="QYR101" s="1"/>
      <c r="QYS101" s="1"/>
      <c r="QYT101" s="1"/>
      <c r="QYU101" s="1"/>
      <c r="QYV101" s="1"/>
      <c r="QYW101" s="1"/>
      <c r="QYX101" s="1"/>
      <c r="QYY101" s="1"/>
      <c r="QYZ101" s="1"/>
      <c r="QZA101" s="1"/>
      <c r="QZB101" s="1"/>
      <c r="QZC101" s="1"/>
      <c r="QZD101" s="1"/>
      <c r="QZE101" s="1"/>
      <c r="QZF101" s="1"/>
      <c r="QZG101" s="1"/>
      <c r="QZH101" s="1"/>
      <c r="QZI101" s="1"/>
      <c r="QZJ101" s="1"/>
      <c r="QZK101" s="1"/>
      <c r="QZL101" s="1"/>
      <c r="QZM101" s="1"/>
      <c r="QZN101" s="1"/>
      <c r="QZO101" s="1"/>
      <c r="QZP101" s="1"/>
      <c r="QZQ101" s="1"/>
      <c r="QZR101" s="1"/>
      <c r="QZS101" s="1"/>
      <c r="QZT101" s="1"/>
      <c r="QZU101" s="1"/>
      <c r="QZV101" s="1"/>
      <c r="QZW101" s="1"/>
      <c r="QZX101" s="1"/>
      <c r="QZY101" s="1"/>
      <c r="QZZ101" s="1"/>
      <c r="RAA101" s="1"/>
      <c r="RAB101" s="1"/>
      <c r="RAC101" s="1"/>
      <c r="RAD101" s="1"/>
      <c r="RAE101" s="1"/>
      <c r="RAF101" s="1"/>
      <c r="RAG101" s="1"/>
      <c r="RAH101" s="1"/>
      <c r="RAI101" s="1"/>
      <c r="RAJ101" s="1"/>
      <c r="RAK101" s="1"/>
      <c r="RAL101" s="1"/>
      <c r="RAM101" s="1"/>
      <c r="RAN101" s="1"/>
      <c r="RAO101" s="1"/>
      <c r="RAP101" s="1"/>
      <c r="RAQ101" s="1"/>
      <c r="RAR101" s="1"/>
      <c r="RAS101" s="1"/>
      <c r="RAT101" s="1"/>
      <c r="RAU101" s="1"/>
      <c r="RAV101" s="1"/>
      <c r="RAW101" s="1"/>
      <c r="RAX101" s="1"/>
      <c r="RAY101" s="1"/>
      <c r="RAZ101" s="1"/>
      <c r="RBA101" s="1"/>
      <c r="RBB101" s="1"/>
      <c r="RBC101" s="1"/>
      <c r="RBD101" s="1"/>
      <c r="RBE101" s="1"/>
      <c r="RBF101" s="1"/>
      <c r="RBG101" s="1"/>
      <c r="RBH101" s="1"/>
      <c r="RBI101" s="1"/>
      <c r="RBJ101" s="1"/>
      <c r="RBK101" s="1"/>
      <c r="RBL101" s="1"/>
      <c r="RBM101" s="1"/>
      <c r="RBN101" s="1"/>
      <c r="RBO101" s="1"/>
      <c r="RBP101" s="1"/>
      <c r="RBQ101" s="1"/>
      <c r="RBR101" s="1"/>
      <c r="RBS101" s="1"/>
      <c r="RBT101" s="1"/>
      <c r="RBU101" s="1"/>
      <c r="RBV101" s="1"/>
      <c r="RBW101" s="1"/>
      <c r="RBX101" s="1"/>
      <c r="RBY101" s="1"/>
      <c r="RBZ101" s="1"/>
      <c r="RCA101" s="1"/>
      <c r="RCB101" s="1"/>
      <c r="RCC101" s="1"/>
      <c r="RCD101" s="1"/>
      <c r="RCE101" s="1"/>
      <c r="RCF101" s="1"/>
      <c r="RCG101" s="1"/>
      <c r="RCH101" s="1"/>
      <c r="RCI101" s="1"/>
      <c r="RCJ101" s="1"/>
      <c r="RCK101" s="1"/>
      <c r="RCL101" s="1"/>
      <c r="RCM101" s="1"/>
      <c r="RCN101" s="1"/>
      <c r="RCO101" s="1"/>
      <c r="RCP101" s="1"/>
      <c r="RCQ101" s="1"/>
      <c r="RCR101" s="1"/>
      <c r="RCS101" s="1"/>
      <c r="RCT101" s="1"/>
      <c r="RCU101" s="1"/>
      <c r="RCV101" s="1"/>
      <c r="RCW101" s="1"/>
      <c r="RCX101" s="1"/>
      <c r="RCY101" s="1"/>
      <c r="RCZ101" s="1"/>
      <c r="RDA101" s="1"/>
      <c r="RDB101" s="1"/>
      <c r="RDC101" s="1"/>
      <c r="RDD101" s="1"/>
      <c r="RDE101" s="1"/>
      <c r="RDF101" s="1"/>
      <c r="RDG101" s="1"/>
      <c r="RDH101" s="1"/>
      <c r="RDI101" s="1"/>
      <c r="RDJ101" s="1"/>
      <c r="RDK101" s="1"/>
      <c r="RDL101" s="1"/>
      <c r="RDM101" s="1"/>
      <c r="RDN101" s="1"/>
      <c r="RDO101" s="1"/>
      <c r="RDP101" s="1"/>
      <c r="RDQ101" s="1"/>
      <c r="RDR101" s="1"/>
      <c r="RDS101" s="1"/>
      <c r="RDT101" s="1"/>
      <c r="RDU101" s="1"/>
      <c r="RDV101" s="1"/>
      <c r="RDW101" s="1"/>
      <c r="RDX101" s="1"/>
      <c r="RDY101" s="1"/>
      <c r="RDZ101" s="1"/>
      <c r="REA101" s="1"/>
      <c r="REB101" s="1"/>
      <c r="REC101" s="1"/>
      <c r="RED101" s="1"/>
      <c r="REE101" s="1"/>
      <c r="REF101" s="1"/>
      <c r="REG101" s="1"/>
      <c r="REH101" s="1"/>
      <c r="REI101" s="1"/>
      <c r="REJ101" s="1"/>
      <c r="REK101" s="1"/>
      <c r="REL101" s="1"/>
      <c r="REM101" s="1"/>
      <c r="REN101" s="1"/>
      <c r="REO101" s="1"/>
      <c r="REP101" s="1"/>
      <c r="REQ101" s="1"/>
      <c r="RER101" s="1"/>
      <c r="RES101" s="1"/>
      <c r="RET101" s="1"/>
      <c r="REU101" s="1"/>
      <c r="REV101" s="1"/>
      <c r="REW101" s="1"/>
      <c r="REX101" s="1"/>
      <c r="REY101" s="1"/>
      <c r="REZ101" s="1"/>
      <c r="RFA101" s="1"/>
      <c r="RFB101" s="1"/>
      <c r="RFC101" s="1"/>
      <c r="RFD101" s="1"/>
      <c r="RFE101" s="1"/>
      <c r="RFF101" s="1"/>
      <c r="RFG101" s="1"/>
      <c r="RFH101" s="1"/>
      <c r="RFI101" s="1"/>
      <c r="RFJ101" s="1"/>
      <c r="RFK101" s="1"/>
      <c r="RFL101" s="1"/>
      <c r="RFM101" s="1"/>
      <c r="RFN101" s="1"/>
      <c r="RFO101" s="1"/>
      <c r="RFP101" s="1"/>
      <c r="RFQ101" s="1"/>
      <c r="RFR101" s="1"/>
      <c r="RFS101" s="1"/>
      <c r="RFT101" s="1"/>
      <c r="RFU101" s="1"/>
      <c r="RFV101" s="1"/>
      <c r="RFW101" s="1"/>
      <c r="RFX101" s="1"/>
      <c r="RFY101" s="1"/>
      <c r="RFZ101" s="1"/>
      <c r="RGA101" s="1"/>
      <c r="RGB101" s="1"/>
      <c r="RGC101" s="1"/>
      <c r="RGD101" s="1"/>
      <c r="RGE101" s="1"/>
      <c r="RGF101" s="1"/>
      <c r="RGG101" s="1"/>
      <c r="RGH101" s="1"/>
      <c r="RGI101" s="1"/>
      <c r="RGJ101" s="1"/>
      <c r="RGK101" s="1"/>
      <c r="RGL101" s="1"/>
      <c r="RGM101" s="1"/>
      <c r="RGN101" s="1"/>
      <c r="RGO101" s="1"/>
      <c r="RGP101" s="1"/>
      <c r="RGQ101" s="1"/>
      <c r="RGR101" s="1"/>
      <c r="RGS101" s="1"/>
      <c r="RGT101" s="1"/>
      <c r="RGU101" s="1"/>
      <c r="RGV101" s="1"/>
      <c r="RGW101" s="1"/>
      <c r="RGX101" s="1"/>
      <c r="RGY101" s="1"/>
      <c r="RGZ101" s="1"/>
      <c r="RHA101" s="1"/>
      <c r="RHB101" s="1"/>
      <c r="RHC101" s="1"/>
      <c r="RHD101" s="1"/>
      <c r="RHE101" s="1"/>
      <c r="RHF101" s="1"/>
      <c r="RHG101" s="1"/>
      <c r="RHH101" s="1"/>
      <c r="RHI101" s="1"/>
      <c r="RHJ101" s="1"/>
      <c r="RHK101" s="1"/>
      <c r="RHL101" s="1"/>
      <c r="RHM101" s="1"/>
      <c r="RHN101" s="1"/>
      <c r="RHO101" s="1"/>
      <c r="RHP101" s="1"/>
      <c r="RHQ101" s="1"/>
      <c r="RHR101" s="1"/>
      <c r="RHS101" s="1"/>
      <c r="RHT101" s="1"/>
      <c r="RHU101" s="1"/>
      <c r="RHV101" s="1"/>
      <c r="RHW101" s="1"/>
      <c r="RHX101" s="1"/>
      <c r="RHY101" s="1"/>
      <c r="RHZ101" s="1"/>
      <c r="RIA101" s="1"/>
      <c r="RIB101" s="1"/>
      <c r="RIC101" s="1"/>
      <c r="RID101" s="1"/>
      <c r="RIE101" s="1"/>
      <c r="RIF101" s="1"/>
      <c r="RIG101" s="1"/>
      <c r="RIH101" s="1"/>
      <c r="RII101" s="1"/>
      <c r="RIJ101" s="1"/>
      <c r="RIK101" s="1"/>
      <c r="RIL101" s="1"/>
      <c r="RIM101" s="1"/>
      <c r="RIN101" s="1"/>
      <c r="RIO101" s="1"/>
      <c r="RIP101" s="1"/>
      <c r="RIQ101" s="1"/>
      <c r="RIR101" s="1"/>
      <c r="RIS101" s="1"/>
      <c r="RIT101" s="1"/>
      <c r="RIU101" s="1"/>
      <c r="RIV101" s="1"/>
      <c r="RIW101" s="1"/>
      <c r="RIX101" s="1"/>
      <c r="RIY101" s="1"/>
      <c r="RIZ101" s="1"/>
      <c r="RJA101" s="1"/>
      <c r="RJB101" s="1"/>
      <c r="RJC101" s="1"/>
      <c r="RJD101" s="1"/>
      <c r="RJE101" s="1"/>
      <c r="RJF101" s="1"/>
      <c r="RJG101" s="1"/>
      <c r="RJH101" s="1"/>
      <c r="RJI101" s="1"/>
      <c r="RJJ101" s="1"/>
      <c r="RJK101" s="1"/>
      <c r="RJL101" s="1"/>
      <c r="RJM101" s="1"/>
      <c r="RJN101" s="1"/>
      <c r="RJO101" s="1"/>
      <c r="RJP101" s="1"/>
      <c r="RJQ101" s="1"/>
      <c r="RJR101" s="1"/>
      <c r="RJS101" s="1"/>
      <c r="RJT101" s="1"/>
      <c r="RJU101" s="1"/>
      <c r="RJV101" s="1"/>
      <c r="RJW101" s="1"/>
      <c r="RJX101" s="1"/>
      <c r="RJY101" s="1"/>
      <c r="RJZ101" s="1"/>
      <c r="RKA101" s="1"/>
      <c r="RKB101" s="1"/>
      <c r="RKC101" s="1"/>
      <c r="RKD101" s="1"/>
      <c r="RKE101" s="1"/>
      <c r="RKF101" s="1"/>
      <c r="RKG101" s="1"/>
      <c r="RKH101" s="1"/>
      <c r="RKI101" s="1"/>
      <c r="RKJ101" s="1"/>
      <c r="RKK101" s="1"/>
      <c r="RKL101" s="1"/>
      <c r="RKM101" s="1"/>
      <c r="RKN101" s="1"/>
      <c r="RKO101" s="1"/>
      <c r="RKP101" s="1"/>
      <c r="RKQ101" s="1"/>
      <c r="RKR101" s="1"/>
      <c r="RKS101" s="1"/>
      <c r="RKT101" s="1"/>
      <c r="RKU101" s="1"/>
      <c r="RKV101" s="1"/>
      <c r="RKW101" s="1"/>
      <c r="RKX101" s="1"/>
      <c r="RKY101" s="1"/>
      <c r="RKZ101" s="1"/>
      <c r="RLA101" s="1"/>
      <c r="RLB101" s="1"/>
      <c r="RLC101" s="1"/>
      <c r="RLD101" s="1"/>
      <c r="RLE101" s="1"/>
      <c r="RLF101" s="1"/>
      <c r="RLG101" s="1"/>
      <c r="RLH101" s="1"/>
      <c r="RLI101" s="1"/>
      <c r="RLJ101" s="1"/>
      <c r="RLK101" s="1"/>
      <c r="RLL101" s="1"/>
      <c r="RLM101" s="1"/>
      <c r="RLN101" s="1"/>
      <c r="RLO101" s="1"/>
      <c r="RLP101" s="1"/>
      <c r="RLQ101" s="1"/>
      <c r="RLR101" s="1"/>
      <c r="RLS101" s="1"/>
      <c r="RLT101" s="1"/>
      <c r="RLU101" s="1"/>
      <c r="RLV101" s="1"/>
      <c r="RLW101" s="1"/>
      <c r="RLX101" s="1"/>
      <c r="RLY101" s="1"/>
      <c r="RLZ101" s="1"/>
      <c r="RMA101" s="1"/>
      <c r="RMB101" s="1"/>
      <c r="RMC101" s="1"/>
      <c r="RMD101" s="1"/>
      <c r="RME101" s="1"/>
      <c r="RMF101" s="1"/>
      <c r="RMG101" s="1"/>
      <c r="RMH101" s="1"/>
      <c r="RMI101" s="1"/>
      <c r="RMJ101" s="1"/>
      <c r="RMK101" s="1"/>
      <c r="RML101" s="1"/>
      <c r="RMM101" s="1"/>
      <c r="RMN101" s="1"/>
      <c r="RMO101" s="1"/>
      <c r="RMP101" s="1"/>
      <c r="RMQ101" s="1"/>
      <c r="RMR101" s="1"/>
      <c r="RMS101" s="1"/>
      <c r="RMT101" s="1"/>
      <c r="RMU101" s="1"/>
      <c r="RMV101" s="1"/>
      <c r="RMW101" s="1"/>
      <c r="RMX101" s="1"/>
      <c r="RMY101" s="1"/>
      <c r="RMZ101" s="1"/>
      <c r="RNA101" s="1"/>
      <c r="RNB101" s="1"/>
      <c r="RNC101" s="1"/>
      <c r="RND101" s="1"/>
      <c r="RNE101" s="1"/>
      <c r="RNF101" s="1"/>
      <c r="RNG101" s="1"/>
      <c r="RNH101" s="1"/>
      <c r="RNI101" s="1"/>
      <c r="RNJ101" s="1"/>
      <c r="RNK101" s="1"/>
      <c r="RNL101" s="1"/>
      <c r="RNM101" s="1"/>
      <c r="RNN101" s="1"/>
      <c r="RNO101" s="1"/>
      <c r="RNP101" s="1"/>
      <c r="RNQ101" s="1"/>
      <c r="RNR101" s="1"/>
      <c r="RNS101" s="1"/>
      <c r="RNT101" s="1"/>
      <c r="RNU101" s="1"/>
      <c r="RNV101" s="1"/>
      <c r="RNW101" s="1"/>
      <c r="RNX101" s="1"/>
      <c r="RNY101" s="1"/>
      <c r="RNZ101" s="1"/>
      <c r="ROA101" s="1"/>
      <c r="ROB101" s="1"/>
      <c r="ROC101" s="1"/>
      <c r="ROD101" s="1"/>
      <c r="ROE101" s="1"/>
      <c r="ROF101" s="1"/>
      <c r="ROG101" s="1"/>
      <c r="ROH101" s="1"/>
      <c r="ROI101" s="1"/>
      <c r="ROJ101" s="1"/>
      <c r="ROK101" s="1"/>
      <c r="ROL101" s="1"/>
      <c r="ROM101" s="1"/>
      <c r="RON101" s="1"/>
      <c r="ROO101" s="1"/>
      <c r="ROP101" s="1"/>
      <c r="ROQ101" s="1"/>
      <c r="ROR101" s="1"/>
      <c r="ROS101" s="1"/>
      <c r="ROT101" s="1"/>
      <c r="ROU101" s="1"/>
      <c r="ROV101" s="1"/>
      <c r="ROW101" s="1"/>
      <c r="ROX101" s="1"/>
      <c r="ROY101" s="1"/>
      <c r="ROZ101" s="1"/>
      <c r="RPA101" s="1"/>
      <c r="RPB101" s="1"/>
      <c r="RPC101" s="1"/>
      <c r="RPD101" s="1"/>
      <c r="RPE101" s="1"/>
      <c r="RPF101" s="1"/>
      <c r="RPG101" s="1"/>
      <c r="RPH101" s="1"/>
      <c r="RPI101" s="1"/>
      <c r="RPJ101" s="1"/>
      <c r="RPK101" s="1"/>
      <c r="RPL101" s="1"/>
      <c r="RPM101" s="1"/>
      <c r="RPN101" s="1"/>
      <c r="RPO101" s="1"/>
      <c r="RPP101" s="1"/>
      <c r="RPQ101" s="1"/>
      <c r="RPR101" s="1"/>
      <c r="RPS101" s="1"/>
      <c r="RPT101" s="1"/>
      <c r="RPU101" s="1"/>
      <c r="RPV101" s="1"/>
      <c r="RPW101" s="1"/>
      <c r="RPX101" s="1"/>
      <c r="RPY101" s="1"/>
      <c r="RPZ101" s="1"/>
      <c r="RQA101" s="1"/>
      <c r="RQB101" s="1"/>
      <c r="RQC101" s="1"/>
      <c r="RQD101" s="1"/>
      <c r="RQE101" s="1"/>
      <c r="RQF101" s="1"/>
      <c r="RQG101" s="1"/>
      <c r="RQH101" s="1"/>
      <c r="RQI101" s="1"/>
      <c r="RQJ101" s="1"/>
      <c r="RQK101" s="1"/>
      <c r="RQL101" s="1"/>
      <c r="RQM101" s="1"/>
      <c r="RQN101" s="1"/>
      <c r="RQO101" s="1"/>
      <c r="RQP101" s="1"/>
      <c r="RQQ101" s="1"/>
      <c r="RQR101" s="1"/>
      <c r="RQS101" s="1"/>
      <c r="RQT101" s="1"/>
      <c r="RQU101" s="1"/>
      <c r="RQV101" s="1"/>
      <c r="RQW101" s="1"/>
      <c r="RQX101" s="1"/>
      <c r="RQY101" s="1"/>
      <c r="RQZ101" s="1"/>
      <c r="RRA101" s="1"/>
      <c r="RRB101" s="1"/>
      <c r="RRC101" s="1"/>
      <c r="RRD101" s="1"/>
      <c r="RRE101" s="1"/>
      <c r="RRF101" s="1"/>
      <c r="RRG101" s="1"/>
      <c r="RRH101" s="1"/>
      <c r="RRI101" s="1"/>
      <c r="RRJ101" s="1"/>
      <c r="RRK101" s="1"/>
      <c r="RRL101" s="1"/>
      <c r="RRM101" s="1"/>
      <c r="RRN101" s="1"/>
      <c r="RRO101" s="1"/>
      <c r="RRP101" s="1"/>
      <c r="RRQ101" s="1"/>
      <c r="RRR101" s="1"/>
      <c r="RRS101" s="1"/>
      <c r="RRT101" s="1"/>
      <c r="RRU101" s="1"/>
      <c r="RRV101" s="1"/>
      <c r="RRW101" s="1"/>
      <c r="RRX101" s="1"/>
      <c r="RRY101" s="1"/>
      <c r="RRZ101" s="1"/>
      <c r="RSA101" s="1"/>
      <c r="RSB101" s="1"/>
      <c r="RSC101" s="1"/>
      <c r="RSD101" s="1"/>
      <c r="RSE101" s="1"/>
      <c r="RSF101" s="1"/>
      <c r="RSG101" s="1"/>
      <c r="RSH101" s="1"/>
      <c r="RSI101" s="1"/>
      <c r="RSJ101" s="1"/>
      <c r="RSK101" s="1"/>
      <c r="RSL101" s="1"/>
      <c r="RSM101" s="1"/>
      <c r="RSN101" s="1"/>
      <c r="RSO101" s="1"/>
      <c r="RSP101" s="1"/>
      <c r="RSQ101" s="1"/>
      <c r="RSR101" s="1"/>
      <c r="RSS101" s="1"/>
      <c r="RST101" s="1"/>
      <c r="RSU101" s="1"/>
      <c r="RSV101" s="1"/>
      <c r="RSW101" s="1"/>
      <c r="RSX101" s="1"/>
      <c r="RSY101" s="1"/>
      <c r="RSZ101" s="1"/>
      <c r="RTA101" s="1"/>
      <c r="RTB101" s="1"/>
      <c r="RTC101" s="1"/>
      <c r="RTD101" s="1"/>
      <c r="RTE101" s="1"/>
      <c r="RTF101" s="1"/>
      <c r="RTG101" s="1"/>
      <c r="RTH101" s="1"/>
      <c r="RTI101" s="1"/>
      <c r="RTJ101" s="1"/>
      <c r="RTK101" s="1"/>
      <c r="RTL101" s="1"/>
      <c r="RTM101" s="1"/>
      <c r="RTN101" s="1"/>
      <c r="RTO101" s="1"/>
      <c r="RTP101" s="1"/>
      <c r="RTQ101" s="1"/>
      <c r="RTR101" s="1"/>
      <c r="RTS101" s="1"/>
      <c r="RTT101" s="1"/>
      <c r="RTU101" s="1"/>
      <c r="RTV101" s="1"/>
      <c r="RTW101" s="1"/>
      <c r="RTX101" s="1"/>
      <c r="RTY101" s="1"/>
      <c r="RTZ101" s="1"/>
      <c r="RUA101" s="1"/>
      <c r="RUB101" s="1"/>
      <c r="RUC101" s="1"/>
      <c r="RUD101" s="1"/>
      <c r="RUE101" s="1"/>
      <c r="RUF101" s="1"/>
      <c r="RUG101" s="1"/>
      <c r="RUH101" s="1"/>
      <c r="RUI101" s="1"/>
      <c r="RUJ101" s="1"/>
      <c r="RUK101" s="1"/>
      <c r="RUL101" s="1"/>
      <c r="RUM101" s="1"/>
      <c r="RUN101" s="1"/>
      <c r="RUO101" s="1"/>
      <c r="RUP101" s="1"/>
      <c r="RUQ101" s="1"/>
      <c r="RUR101" s="1"/>
      <c r="RUS101" s="1"/>
      <c r="RUT101" s="1"/>
      <c r="RUU101" s="1"/>
      <c r="RUV101" s="1"/>
      <c r="RUW101" s="1"/>
      <c r="RUX101" s="1"/>
      <c r="RUY101" s="1"/>
      <c r="RUZ101" s="1"/>
      <c r="RVA101" s="1"/>
      <c r="RVB101" s="1"/>
      <c r="RVC101" s="1"/>
      <c r="RVD101" s="1"/>
      <c r="RVE101" s="1"/>
      <c r="RVF101" s="1"/>
      <c r="RVG101" s="1"/>
      <c r="RVH101" s="1"/>
      <c r="RVI101" s="1"/>
      <c r="RVJ101" s="1"/>
      <c r="RVK101" s="1"/>
      <c r="RVL101" s="1"/>
      <c r="RVM101" s="1"/>
      <c r="RVN101" s="1"/>
      <c r="RVO101" s="1"/>
      <c r="RVP101" s="1"/>
      <c r="RVQ101" s="1"/>
      <c r="RVR101" s="1"/>
      <c r="RVS101" s="1"/>
      <c r="RVT101" s="1"/>
      <c r="RVU101" s="1"/>
      <c r="RVV101" s="1"/>
      <c r="RVW101" s="1"/>
      <c r="RVX101" s="1"/>
      <c r="RVY101" s="1"/>
      <c r="RVZ101" s="1"/>
      <c r="RWA101" s="1"/>
      <c r="RWB101" s="1"/>
      <c r="RWC101" s="1"/>
      <c r="RWD101" s="1"/>
      <c r="RWE101" s="1"/>
      <c r="RWF101" s="1"/>
      <c r="RWG101" s="1"/>
      <c r="RWH101" s="1"/>
      <c r="RWI101" s="1"/>
      <c r="RWJ101" s="1"/>
      <c r="RWK101" s="1"/>
      <c r="RWL101" s="1"/>
      <c r="RWM101" s="1"/>
      <c r="RWN101" s="1"/>
      <c r="RWO101" s="1"/>
      <c r="RWP101" s="1"/>
      <c r="RWQ101" s="1"/>
      <c r="RWR101" s="1"/>
      <c r="RWS101" s="1"/>
      <c r="RWT101" s="1"/>
      <c r="RWU101" s="1"/>
      <c r="RWV101" s="1"/>
      <c r="RWW101" s="1"/>
      <c r="RWX101" s="1"/>
      <c r="RWY101" s="1"/>
      <c r="RWZ101" s="1"/>
      <c r="RXA101" s="1"/>
      <c r="RXB101" s="1"/>
      <c r="RXC101" s="1"/>
      <c r="RXD101" s="1"/>
      <c r="RXE101" s="1"/>
      <c r="RXF101" s="1"/>
      <c r="RXG101" s="1"/>
      <c r="RXH101" s="1"/>
      <c r="RXI101" s="1"/>
      <c r="RXJ101" s="1"/>
      <c r="RXK101" s="1"/>
      <c r="RXL101" s="1"/>
      <c r="RXM101" s="1"/>
      <c r="RXN101" s="1"/>
      <c r="RXO101" s="1"/>
      <c r="RXP101" s="1"/>
      <c r="RXQ101" s="1"/>
      <c r="RXR101" s="1"/>
      <c r="RXS101" s="1"/>
      <c r="RXT101" s="1"/>
      <c r="RXU101" s="1"/>
      <c r="RXV101" s="1"/>
      <c r="RXW101" s="1"/>
      <c r="RXX101" s="1"/>
      <c r="RXY101" s="1"/>
      <c r="RXZ101" s="1"/>
      <c r="RYA101" s="1"/>
      <c r="RYB101" s="1"/>
      <c r="RYC101" s="1"/>
      <c r="RYD101" s="1"/>
      <c r="RYE101" s="1"/>
      <c r="RYF101" s="1"/>
      <c r="RYG101" s="1"/>
      <c r="RYH101" s="1"/>
      <c r="RYI101" s="1"/>
      <c r="RYJ101" s="1"/>
      <c r="RYK101" s="1"/>
      <c r="RYL101" s="1"/>
      <c r="RYM101" s="1"/>
      <c r="RYN101" s="1"/>
      <c r="RYO101" s="1"/>
      <c r="RYP101" s="1"/>
      <c r="RYQ101" s="1"/>
      <c r="RYR101" s="1"/>
      <c r="RYS101" s="1"/>
      <c r="RYT101" s="1"/>
      <c r="RYU101" s="1"/>
      <c r="RYV101" s="1"/>
      <c r="RYW101" s="1"/>
      <c r="RYX101" s="1"/>
      <c r="RYY101" s="1"/>
      <c r="RYZ101" s="1"/>
      <c r="RZA101" s="1"/>
      <c r="RZB101" s="1"/>
      <c r="RZC101" s="1"/>
      <c r="RZD101" s="1"/>
      <c r="RZE101" s="1"/>
      <c r="RZF101" s="1"/>
      <c r="RZG101" s="1"/>
      <c r="RZH101" s="1"/>
      <c r="RZI101" s="1"/>
      <c r="RZJ101" s="1"/>
      <c r="RZK101" s="1"/>
      <c r="RZL101" s="1"/>
      <c r="RZM101" s="1"/>
      <c r="RZN101" s="1"/>
      <c r="RZO101" s="1"/>
      <c r="RZP101" s="1"/>
      <c r="RZQ101" s="1"/>
      <c r="RZR101" s="1"/>
      <c r="RZS101" s="1"/>
      <c r="RZT101" s="1"/>
      <c r="RZU101" s="1"/>
      <c r="RZV101" s="1"/>
      <c r="RZW101" s="1"/>
      <c r="RZX101" s="1"/>
      <c r="RZY101" s="1"/>
      <c r="RZZ101" s="1"/>
      <c r="SAA101" s="1"/>
      <c r="SAB101" s="1"/>
      <c r="SAC101" s="1"/>
      <c r="SAD101" s="1"/>
      <c r="SAE101" s="1"/>
      <c r="SAF101" s="1"/>
      <c r="SAG101" s="1"/>
      <c r="SAH101" s="1"/>
      <c r="SAI101" s="1"/>
      <c r="SAJ101" s="1"/>
      <c r="SAK101" s="1"/>
      <c r="SAL101" s="1"/>
      <c r="SAM101" s="1"/>
      <c r="SAN101" s="1"/>
      <c r="SAO101" s="1"/>
      <c r="SAP101" s="1"/>
      <c r="SAQ101" s="1"/>
      <c r="SAR101" s="1"/>
      <c r="SAS101" s="1"/>
      <c r="SAT101" s="1"/>
      <c r="SAU101" s="1"/>
      <c r="SAV101" s="1"/>
      <c r="SAW101" s="1"/>
      <c r="SAX101" s="1"/>
      <c r="SAY101" s="1"/>
      <c r="SAZ101" s="1"/>
      <c r="SBA101" s="1"/>
      <c r="SBB101" s="1"/>
      <c r="SBC101" s="1"/>
      <c r="SBD101" s="1"/>
      <c r="SBE101" s="1"/>
      <c r="SBF101" s="1"/>
      <c r="SBG101" s="1"/>
      <c r="SBH101" s="1"/>
      <c r="SBI101" s="1"/>
      <c r="SBJ101" s="1"/>
      <c r="SBK101" s="1"/>
      <c r="SBL101" s="1"/>
      <c r="SBM101" s="1"/>
      <c r="SBN101" s="1"/>
      <c r="SBO101" s="1"/>
      <c r="SBP101" s="1"/>
      <c r="SBQ101" s="1"/>
      <c r="SBR101" s="1"/>
      <c r="SBS101" s="1"/>
      <c r="SBT101" s="1"/>
      <c r="SBU101" s="1"/>
      <c r="SBV101" s="1"/>
      <c r="SBW101" s="1"/>
      <c r="SBX101" s="1"/>
      <c r="SBY101" s="1"/>
      <c r="SBZ101" s="1"/>
      <c r="SCA101" s="1"/>
      <c r="SCB101" s="1"/>
      <c r="SCC101" s="1"/>
      <c r="SCD101" s="1"/>
      <c r="SCE101" s="1"/>
      <c r="SCF101" s="1"/>
      <c r="SCG101" s="1"/>
      <c r="SCH101" s="1"/>
      <c r="SCI101" s="1"/>
      <c r="SCJ101" s="1"/>
      <c r="SCK101" s="1"/>
      <c r="SCL101" s="1"/>
      <c r="SCM101" s="1"/>
      <c r="SCN101" s="1"/>
      <c r="SCO101" s="1"/>
      <c r="SCP101" s="1"/>
      <c r="SCQ101" s="1"/>
      <c r="SCR101" s="1"/>
      <c r="SCS101" s="1"/>
      <c r="SCT101" s="1"/>
      <c r="SCU101" s="1"/>
      <c r="SCV101" s="1"/>
      <c r="SCW101" s="1"/>
      <c r="SCX101" s="1"/>
      <c r="SCY101" s="1"/>
      <c r="SCZ101" s="1"/>
      <c r="SDA101" s="1"/>
      <c r="SDB101" s="1"/>
      <c r="SDC101" s="1"/>
      <c r="SDD101" s="1"/>
      <c r="SDE101" s="1"/>
      <c r="SDF101" s="1"/>
      <c r="SDG101" s="1"/>
      <c r="SDH101" s="1"/>
      <c r="SDI101" s="1"/>
      <c r="SDJ101" s="1"/>
      <c r="SDK101" s="1"/>
      <c r="SDL101" s="1"/>
      <c r="SDM101" s="1"/>
      <c r="SDN101" s="1"/>
      <c r="SDO101" s="1"/>
      <c r="SDP101" s="1"/>
      <c r="SDQ101" s="1"/>
      <c r="SDR101" s="1"/>
      <c r="SDS101" s="1"/>
      <c r="SDT101" s="1"/>
      <c r="SDU101" s="1"/>
      <c r="SDV101" s="1"/>
      <c r="SDW101" s="1"/>
      <c r="SDX101" s="1"/>
      <c r="SDY101" s="1"/>
      <c r="SDZ101" s="1"/>
      <c r="SEA101" s="1"/>
      <c r="SEB101" s="1"/>
      <c r="SEC101" s="1"/>
      <c r="SED101" s="1"/>
      <c r="SEE101" s="1"/>
      <c r="SEF101" s="1"/>
      <c r="SEG101" s="1"/>
      <c r="SEH101" s="1"/>
      <c r="SEI101" s="1"/>
      <c r="SEJ101" s="1"/>
      <c r="SEK101" s="1"/>
      <c r="SEL101" s="1"/>
      <c r="SEM101" s="1"/>
      <c r="SEN101" s="1"/>
      <c r="SEO101" s="1"/>
      <c r="SEP101" s="1"/>
      <c r="SEQ101" s="1"/>
      <c r="SER101" s="1"/>
      <c r="SES101" s="1"/>
      <c r="SET101" s="1"/>
      <c r="SEU101" s="1"/>
      <c r="SEV101" s="1"/>
      <c r="SEW101" s="1"/>
      <c r="SEX101" s="1"/>
      <c r="SEY101" s="1"/>
      <c r="SEZ101" s="1"/>
      <c r="SFA101" s="1"/>
      <c r="SFB101" s="1"/>
      <c r="SFC101" s="1"/>
      <c r="SFD101" s="1"/>
      <c r="SFE101" s="1"/>
      <c r="SFF101" s="1"/>
      <c r="SFG101" s="1"/>
      <c r="SFH101" s="1"/>
      <c r="SFI101" s="1"/>
      <c r="SFJ101" s="1"/>
      <c r="SFK101" s="1"/>
      <c r="SFL101" s="1"/>
      <c r="SFM101" s="1"/>
      <c r="SFN101" s="1"/>
      <c r="SFO101" s="1"/>
      <c r="SFP101" s="1"/>
      <c r="SFQ101" s="1"/>
      <c r="SFR101" s="1"/>
      <c r="SFS101" s="1"/>
      <c r="SFT101" s="1"/>
      <c r="SFU101" s="1"/>
      <c r="SFV101" s="1"/>
      <c r="SFW101" s="1"/>
      <c r="SFX101" s="1"/>
      <c r="SFY101" s="1"/>
      <c r="SFZ101" s="1"/>
      <c r="SGA101" s="1"/>
      <c r="SGB101" s="1"/>
      <c r="SGC101" s="1"/>
      <c r="SGD101" s="1"/>
      <c r="SGE101" s="1"/>
      <c r="SGF101" s="1"/>
      <c r="SGG101" s="1"/>
      <c r="SGH101" s="1"/>
      <c r="SGI101" s="1"/>
      <c r="SGJ101" s="1"/>
      <c r="SGK101" s="1"/>
      <c r="SGL101" s="1"/>
      <c r="SGM101" s="1"/>
      <c r="SGN101" s="1"/>
      <c r="SGO101" s="1"/>
      <c r="SGP101" s="1"/>
      <c r="SGQ101" s="1"/>
      <c r="SGR101" s="1"/>
      <c r="SGS101" s="1"/>
      <c r="SGT101" s="1"/>
      <c r="SGU101" s="1"/>
      <c r="SGV101" s="1"/>
      <c r="SGW101" s="1"/>
      <c r="SGX101" s="1"/>
      <c r="SGY101" s="1"/>
      <c r="SGZ101" s="1"/>
      <c r="SHA101" s="1"/>
      <c r="SHB101" s="1"/>
      <c r="SHC101" s="1"/>
      <c r="SHD101" s="1"/>
      <c r="SHE101" s="1"/>
      <c r="SHF101" s="1"/>
      <c r="SHG101" s="1"/>
      <c r="SHH101" s="1"/>
      <c r="SHI101" s="1"/>
      <c r="SHJ101" s="1"/>
      <c r="SHK101" s="1"/>
      <c r="SHL101" s="1"/>
      <c r="SHM101" s="1"/>
      <c r="SHN101" s="1"/>
      <c r="SHO101" s="1"/>
      <c r="SHP101" s="1"/>
      <c r="SHQ101" s="1"/>
      <c r="SHR101" s="1"/>
      <c r="SHS101" s="1"/>
      <c r="SHT101" s="1"/>
      <c r="SHU101" s="1"/>
      <c r="SHV101" s="1"/>
      <c r="SHW101" s="1"/>
      <c r="SHX101" s="1"/>
      <c r="SHY101" s="1"/>
      <c r="SHZ101" s="1"/>
      <c r="SIA101" s="1"/>
      <c r="SIB101" s="1"/>
      <c r="SIC101" s="1"/>
      <c r="SID101" s="1"/>
      <c r="SIE101" s="1"/>
      <c r="SIF101" s="1"/>
      <c r="SIG101" s="1"/>
      <c r="SIH101" s="1"/>
      <c r="SII101" s="1"/>
      <c r="SIJ101" s="1"/>
      <c r="SIK101" s="1"/>
      <c r="SIL101" s="1"/>
      <c r="SIM101" s="1"/>
      <c r="SIN101" s="1"/>
      <c r="SIO101" s="1"/>
      <c r="SIP101" s="1"/>
      <c r="SIQ101" s="1"/>
      <c r="SIR101" s="1"/>
      <c r="SIS101" s="1"/>
      <c r="SIT101" s="1"/>
      <c r="SIU101" s="1"/>
      <c r="SIV101" s="1"/>
      <c r="SIW101" s="1"/>
      <c r="SIX101" s="1"/>
      <c r="SIY101" s="1"/>
      <c r="SIZ101" s="1"/>
      <c r="SJA101" s="1"/>
      <c r="SJB101" s="1"/>
      <c r="SJC101" s="1"/>
      <c r="SJD101" s="1"/>
      <c r="SJE101" s="1"/>
      <c r="SJF101" s="1"/>
      <c r="SJG101" s="1"/>
      <c r="SJH101" s="1"/>
      <c r="SJI101" s="1"/>
      <c r="SJJ101" s="1"/>
      <c r="SJK101" s="1"/>
      <c r="SJL101" s="1"/>
      <c r="SJM101" s="1"/>
      <c r="SJN101" s="1"/>
      <c r="SJO101" s="1"/>
      <c r="SJP101" s="1"/>
      <c r="SJQ101" s="1"/>
      <c r="SJR101" s="1"/>
      <c r="SJS101" s="1"/>
      <c r="SJT101" s="1"/>
      <c r="SJU101" s="1"/>
      <c r="SJV101" s="1"/>
      <c r="SJW101" s="1"/>
      <c r="SJX101" s="1"/>
      <c r="SJY101" s="1"/>
      <c r="SJZ101" s="1"/>
      <c r="SKA101" s="1"/>
      <c r="SKB101" s="1"/>
      <c r="SKC101" s="1"/>
      <c r="SKD101" s="1"/>
      <c r="SKE101" s="1"/>
      <c r="SKF101" s="1"/>
      <c r="SKG101" s="1"/>
      <c r="SKH101" s="1"/>
      <c r="SKI101" s="1"/>
      <c r="SKJ101" s="1"/>
      <c r="SKK101" s="1"/>
      <c r="SKL101" s="1"/>
      <c r="SKM101" s="1"/>
      <c r="SKN101" s="1"/>
      <c r="SKO101" s="1"/>
      <c r="SKP101" s="1"/>
      <c r="SKQ101" s="1"/>
      <c r="SKR101" s="1"/>
      <c r="SKS101" s="1"/>
      <c r="SKT101" s="1"/>
      <c r="SKU101" s="1"/>
      <c r="SKV101" s="1"/>
      <c r="SKW101" s="1"/>
      <c r="SKX101" s="1"/>
      <c r="SKY101" s="1"/>
      <c r="SKZ101" s="1"/>
      <c r="SLA101" s="1"/>
      <c r="SLB101" s="1"/>
      <c r="SLC101" s="1"/>
      <c r="SLD101" s="1"/>
      <c r="SLE101" s="1"/>
      <c r="SLF101" s="1"/>
      <c r="SLG101" s="1"/>
      <c r="SLH101" s="1"/>
      <c r="SLI101" s="1"/>
      <c r="SLJ101" s="1"/>
      <c r="SLK101" s="1"/>
      <c r="SLL101" s="1"/>
      <c r="SLM101" s="1"/>
      <c r="SLN101" s="1"/>
      <c r="SLO101" s="1"/>
      <c r="SLP101" s="1"/>
      <c r="SLQ101" s="1"/>
      <c r="SLR101" s="1"/>
      <c r="SLS101" s="1"/>
      <c r="SLT101" s="1"/>
      <c r="SLU101" s="1"/>
      <c r="SLV101" s="1"/>
      <c r="SLW101" s="1"/>
      <c r="SLX101" s="1"/>
      <c r="SLY101" s="1"/>
      <c r="SLZ101" s="1"/>
      <c r="SMA101" s="1"/>
      <c r="SMB101" s="1"/>
      <c r="SMC101" s="1"/>
      <c r="SMD101" s="1"/>
      <c r="SME101" s="1"/>
      <c r="SMF101" s="1"/>
      <c r="SMG101" s="1"/>
      <c r="SMH101" s="1"/>
      <c r="SMI101" s="1"/>
      <c r="SMJ101" s="1"/>
      <c r="SMK101" s="1"/>
      <c r="SML101" s="1"/>
      <c r="SMM101" s="1"/>
      <c r="SMN101" s="1"/>
      <c r="SMO101" s="1"/>
      <c r="SMP101" s="1"/>
      <c r="SMQ101" s="1"/>
      <c r="SMR101" s="1"/>
      <c r="SMS101" s="1"/>
      <c r="SMT101" s="1"/>
      <c r="SMU101" s="1"/>
      <c r="SMV101" s="1"/>
      <c r="SMW101" s="1"/>
      <c r="SMX101" s="1"/>
      <c r="SMY101" s="1"/>
      <c r="SMZ101" s="1"/>
      <c r="SNA101" s="1"/>
      <c r="SNB101" s="1"/>
      <c r="SNC101" s="1"/>
      <c r="SND101" s="1"/>
      <c r="SNE101" s="1"/>
      <c r="SNF101" s="1"/>
      <c r="SNG101" s="1"/>
      <c r="SNH101" s="1"/>
      <c r="SNI101" s="1"/>
      <c r="SNJ101" s="1"/>
      <c r="SNK101" s="1"/>
      <c r="SNL101" s="1"/>
      <c r="SNM101" s="1"/>
      <c r="SNN101" s="1"/>
      <c r="SNO101" s="1"/>
      <c r="SNP101" s="1"/>
      <c r="SNQ101" s="1"/>
      <c r="SNR101" s="1"/>
      <c r="SNS101" s="1"/>
      <c r="SNT101" s="1"/>
      <c r="SNU101" s="1"/>
      <c r="SNV101" s="1"/>
      <c r="SNW101" s="1"/>
      <c r="SNX101" s="1"/>
      <c r="SNY101" s="1"/>
      <c r="SNZ101" s="1"/>
      <c r="SOA101" s="1"/>
      <c r="SOB101" s="1"/>
      <c r="SOC101" s="1"/>
      <c r="SOD101" s="1"/>
      <c r="SOE101" s="1"/>
      <c r="SOF101" s="1"/>
      <c r="SOG101" s="1"/>
      <c r="SOH101" s="1"/>
      <c r="SOI101" s="1"/>
      <c r="SOJ101" s="1"/>
      <c r="SOK101" s="1"/>
      <c r="SOL101" s="1"/>
      <c r="SOM101" s="1"/>
      <c r="SON101" s="1"/>
      <c r="SOO101" s="1"/>
      <c r="SOP101" s="1"/>
      <c r="SOQ101" s="1"/>
      <c r="SOR101" s="1"/>
      <c r="SOS101" s="1"/>
      <c r="SOT101" s="1"/>
      <c r="SOU101" s="1"/>
      <c r="SOV101" s="1"/>
      <c r="SOW101" s="1"/>
      <c r="SOX101" s="1"/>
      <c r="SOY101" s="1"/>
      <c r="SOZ101" s="1"/>
      <c r="SPA101" s="1"/>
      <c r="SPB101" s="1"/>
      <c r="SPC101" s="1"/>
      <c r="SPD101" s="1"/>
      <c r="SPE101" s="1"/>
      <c r="SPF101" s="1"/>
      <c r="SPG101" s="1"/>
      <c r="SPH101" s="1"/>
      <c r="SPI101" s="1"/>
      <c r="SPJ101" s="1"/>
      <c r="SPK101" s="1"/>
      <c r="SPL101" s="1"/>
      <c r="SPM101" s="1"/>
      <c r="SPN101" s="1"/>
      <c r="SPO101" s="1"/>
      <c r="SPP101" s="1"/>
      <c r="SPQ101" s="1"/>
      <c r="SPR101" s="1"/>
      <c r="SPS101" s="1"/>
      <c r="SPT101" s="1"/>
      <c r="SPU101" s="1"/>
      <c r="SPV101" s="1"/>
      <c r="SPW101" s="1"/>
      <c r="SPX101" s="1"/>
      <c r="SPY101" s="1"/>
      <c r="SPZ101" s="1"/>
      <c r="SQA101" s="1"/>
      <c r="SQB101" s="1"/>
      <c r="SQC101" s="1"/>
      <c r="SQD101" s="1"/>
      <c r="SQE101" s="1"/>
      <c r="SQF101" s="1"/>
      <c r="SQG101" s="1"/>
      <c r="SQH101" s="1"/>
      <c r="SQI101" s="1"/>
      <c r="SQJ101" s="1"/>
      <c r="SQK101" s="1"/>
      <c r="SQL101" s="1"/>
      <c r="SQM101" s="1"/>
      <c r="SQN101" s="1"/>
      <c r="SQO101" s="1"/>
      <c r="SQP101" s="1"/>
      <c r="SQQ101" s="1"/>
      <c r="SQR101" s="1"/>
      <c r="SQS101" s="1"/>
      <c r="SQT101" s="1"/>
      <c r="SQU101" s="1"/>
      <c r="SQV101" s="1"/>
      <c r="SQW101" s="1"/>
      <c r="SQX101" s="1"/>
      <c r="SQY101" s="1"/>
      <c r="SQZ101" s="1"/>
      <c r="SRA101" s="1"/>
      <c r="SRB101" s="1"/>
      <c r="SRC101" s="1"/>
      <c r="SRD101" s="1"/>
      <c r="SRE101" s="1"/>
      <c r="SRF101" s="1"/>
      <c r="SRG101" s="1"/>
      <c r="SRH101" s="1"/>
      <c r="SRI101" s="1"/>
      <c r="SRJ101" s="1"/>
      <c r="SRK101" s="1"/>
      <c r="SRL101" s="1"/>
      <c r="SRM101" s="1"/>
      <c r="SRN101" s="1"/>
      <c r="SRO101" s="1"/>
      <c r="SRP101" s="1"/>
      <c r="SRQ101" s="1"/>
      <c r="SRR101" s="1"/>
      <c r="SRS101" s="1"/>
      <c r="SRT101" s="1"/>
      <c r="SRU101" s="1"/>
      <c r="SRV101" s="1"/>
      <c r="SRW101" s="1"/>
      <c r="SRX101" s="1"/>
      <c r="SRY101" s="1"/>
      <c r="SRZ101" s="1"/>
      <c r="SSA101" s="1"/>
      <c r="SSB101" s="1"/>
      <c r="SSC101" s="1"/>
      <c r="SSD101" s="1"/>
      <c r="SSE101" s="1"/>
      <c r="SSF101" s="1"/>
      <c r="SSG101" s="1"/>
      <c r="SSH101" s="1"/>
      <c r="SSI101" s="1"/>
      <c r="SSJ101" s="1"/>
      <c r="SSK101" s="1"/>
      <c r="SSL101" s="1"/>
      <c r="SSM101" s="1"/>
      <c r="SSN101" s="1"/>
      <c r="SSO101" s="1"/>
      <c r="SSP101" s="1"/>
      <c r="SSQ101" s="1"/>
      <c r="SSR101" s="1"/>
      <c r="SSS101" s="1"/>
      <c r="SST101" s="1"/>
      <c r="SSU101" s="1"/>
      <c r="SSV101" s="1"/>
      <c r="SSW101" s="1"/>
      <c r="SSX101" s="1"/>
      <c r="SSY101" s="1"/>
      <c r="SSZ101" s="1"/>
      <c r="STA101" s="1"/>
      <c r="STB101" s="1"/>
      <c r="STC101" s="1"/>
      <c r="STD101" s="1"/>
      <c r="STE101" s="1"/>
      <c r="STF101" s="1"/>
      <c r="STG101" s="1"/>
      <c r="STH101" s="1"/>
      <c r="STI101" s="1"/>
      <c r="STJ101" s="1"/>
      <c r="STK101" s="1"/>
      <c r="STL101" s="1"/>
      <c r="STM101" s="1"/>
      <c r="STN101" s="1"/>
      <c r="STO101" s="1"/>
      <c r="STP101" s="1"/>
      <c r="STQ101" s="1"/>
      <c r="STR101" s="1"/>
      <c r="STS101" s="1"/>
      <c r="STT101" s="1"/>
      <c r="STU101" s="1"/>
      <c r="STV101" s="1"/>
      <c r="STW101" s="1"/>
      <c r="STX101" s="1"/>
      <c r="STY101" s="1"/>
      <c r="STZ101" s="1"/>
      <c r="SUA101" s="1"/>
      <c r="SUB101" s="1"/>
      <c r="SUC101" s="1"/>
      <c r="SUD101" s="1"/>
      <c r="SUE101" s="1"/>
      <c r="SUF101" s="1"/>
      <c r="SUG101" s="1"/>
      <c r="SUH101" s="1"/>
      <c r="SUI101" s="1"/>
      <c r="SUJ101" s="1"/>
      <c r="SUK101" s="1"/>
      <c r="SUL101" s="1"/>
      <c r="SUM101" s="1"/>
      <c r="SUN101" s="1"/>
      <c r="SUO101" s="1"/>
      <c r="SUP101" s="1"/>
      <c r="SUQ101" s="1"/>
      <c r="SUR101" s="1"/>
      <c r="SUS101" s="1"/>
      <c r="SUT101" s="1"/>
      <c r="SUU101" s="1"/>
      <c r="SUV101" s="1"/>
      <c r="SUW101" s="1"/>
      <c r="SUX101" s="1"/>
      <c r="SUY101" s="1"/>
      <c r="SUZ101" s="1"/>
      <c r="SVA101" s="1"/>
      <c r="SVB101" s="1"/>
      <c r="SVC101" s="1"/>
      <c r="SVD101" s="1"/>
      <c r="SVE101" s="1"/>
      <c r="SVF101" s="1"/>
      <c r="SVG101" s="1"/>
      <c r="SVH101" s="1"/>
      <c r="SVI101" s="1"/>
      <c r="SVJ101" s="1"/>
      <c r="SVK101" s="1"/>
      <c r="SVL101" s="1"/>
      <c r="SVM101" s="1"/>
      <c r="SVN101" s="1"/>
      <c r="SVO101" s="1"/>
      <c r="SVP101" s="1"/>
      <c r="SVQ101" s="1"/>
      <c r="SVR101" s="1"/>
      <c r="SVS101" s="1"/>
      <c r="SVT101" s="1"/>
      <c r="SVU101" s="1"/>
      <c r="SVV101" s="1"/>
      <c r="SVW101" s="1"/>
      <c r="SVX101" s="1"/>
      <c r="SVY101" s="1"/>
      <c r="SVZ101" s="1"/>
      <c r="SWA101" s="1"/>
      <c r="SWB101" s="1"/>
      <c r="SWC101" s="1"/>
      <c r="SWD101" s="1"/>
      <c r="SWE101" s="1"/>
      <c r="SWF101" s="1"/>
      <c r="SWG101" s="1"/>
      <c r="SWH101" s="1"/>
      <c r="SWI101" s="1"/>
      <c r="SWJ101" s="1"/>
      <c r="SWK101" s="1"/>
      <c r="SWL101" s="1"/>
      <c r="SWM101" s="1"/>
      <c r="SWN101" s="1"/>
      <c r="SWO101" s="1"/>
      <c r="SWP101" s="1"/>
      <c r="SWQ101" s="1"/>
      <c r="SWR101" s="1"/>
      <c r="SWS101" s="1"/>
      <c r="SWT101" s="1"/>
      <c r="SWU101" s="1"/>
      <c r="SWV101" s="1"/>
      <c r="SWW101" s="1"/>
      <c r="SWX101" s="1"/>
      <c r="SWY101" s="1"/>
      <c r="SWZ101" s="1"/>
      <c r="SXA101" s="1"/>
      <c r="SXB101" s="1"/>
      <c r="SXC101" s="1"/>
      <c r="SXD101" s="1"/>
      <c r="SXE101" s="1"/>
      <c r="SXF101" s="1"/>
      <c r="SXG101" s="1"/>
      <c r="SXH101" s="1"/>
      <c r="SXI101" s="1"/>
      <c r="SXJ101" s="1"/>
      <c r="SXK101" s="1"/>
      <c r="SXL101" s="1"/>
      <c r="SXM101" s="1"/>
      <c r="SXN101" s="1"/>
      <c r="SXO101" s="1"/>
      <c r="SXP101" s="1"/>
      <c r="SXQ101" s="1"/>
      <c r="SXR101" s="1"/>
      <c r="SXS101" s="1"/>
      <c r="SXT101" s="1"/>
      <c r="SXU101" s="1"/>
      <c r="SXV101" s="1"/>
      <c r="SXW101" s="1"/>
      <c r="SXX101" s="1"/>
      <c r="SXY101" s="1"/>
      <c r="SXZ101" s="1"/>
      <c r="SYA101" s="1"/>
      <c r="SYB101" s="1"/>
      <c r="SYC101" s="1"/>
      <c r="SYD101" s="1"/>
      <c r="SYE101" s="1"/>
      <c r="SYF101" s="1"/>
      <c r="SYG101" s="1"/>
      <c r="SYH101" s="1"/>
      <c r="SYI101" s="1"/>
      <c r="SYJ101" s="1"/>
      <c r="SYK101" s="1"/>
      <c r="SYL101" s="1"/>
      <c r="SYM101" s="1"/>
      <c r="SYN101" s="1"/>
      <c r="SYO101" s="1"/>
      <c r="SYP101" s="1"/>
      <c r="SYQ101" s="1"/>
      <c r="SYR101" s="1"/>
      <c r="SYS101" s="1"/>
      <c r="SYT101" s="1"/>
      <c r="SYU101" s="1"/>
      <c r="SYV101" s="1"/>
      <c r="SYW101" s="1"/>
      <c r="SYX101" s="1"/>
      <c r="SYY101" s="1"/>
      <c r="SYZ101" s="1"/>
      <c r="SZA101" s="1"/>
      <c r="SZB101" s="1"/>
      <c r="SZC101" s="1"/>
      <c r="SZD101" s="1"/>
      <c r="SZE101" s="1"/>
      <c r="SZF101" s="1"/>
      <c r="SZG101" s="1"/>
      <c r="SZH101" s="1"/>
      <c r="SZI101" s="1"/>
      <c r="SZJ101" s="1"/>
      <c r="SZK101" s="1"/>
      <c r="SZL101" s="1"/>
      <c r="SZM101" s="1"/>
      <c r="SZN101" s="1"/>
      <c r="SZO101" s="1"/>
      <c r="SZP101" s="1"/>
      <c r="SZQ101" s="1"/>
      <c r="SZR101" s="1"/>
      <c r="SZS101" s="1"/>
      <c r="SZT101" s="1"/>
      <c r="SZU101" s="1"/>
      <c r="SZV101" s="1"/>
      <c r="SZW101" s="1"/>
      <c r="SZX101" s="1"/>
      <c r="SZY101" s="1"/>
      <c r="SZZ101" s="1"/>
      <c r="TAA101" s="1"/>
      <c r="TAB101" s="1"/>
      <c r="TAC101" s="1"/>
      <c r="TAD101" s="1"/>
      <c r="TAE101" s="1"/>
      <c r="TAF101" s="1"/>
      <c r="TAG101" s="1"/>
      <c r="TAH101" s="1"/>
      <c r="TAI101" s="1"/>
      <c r="TAJ101" s="1"/>
      <c r="TAK101" s="1"/>
      <c r="TAL101" s="1"/>
      <c r="TAM101" s="1"/>
      <c r="TAN101" s="1"/>
      <c r="TAO101" s="1"/>
      <c r="TAP101" s="1"/>
      <c r="TAQ101" s="1"/>
      <c r="TAR101" s="1"/>
      <c r="TAS101" s="1"/>
      <c r="TAT101" s="1"/>
      <c r="TAU101" s="1"/>
      <c r="TAV101" s="1"/>
      <c r="TAW101" s="1"/>
      <c r="TAX101" s="1"/>
      <c r="TAY101" s="1"/>
      <c r="TAZ101" s="1"/>
      <c r="TBA101" s="1"/>
      <c r="TBB101" s="1"/>
      <c r="TBC101" s="1"/>
      <c r="TBD101" s="1"/>
      <c r="TBE101" s="1"/>
      <c r="TBF101" s="1"/>
      <c r="TBG101" s="1"/>
      <c r="TBH101" s="1"/>
      <c r="TBI101" s="1"/>
      <c r="TBJ101" s="1"/>
      <c r="TBK101" s="1"/>
      <c r="TBL101" s="1"/>
      <c r="TBM101" s="1"/>
      <c r="TBN101" s="1"/>
      <c r="TBO101" s="1"/>
      <c r="TBP101" s="1"/>
      <c r="TBQ101" s="1"/>
      <c r="TBR101" s="1"/>
      <c r="TBS101" s="1"/>
      <c r="TBT101" s="1"/>
      <c r="TBU101" s="1"/>
      <c r="TBV101" s="1"/>
      <c r="TBW101" s="1"/>
      <c r="TBX101" s="1"/>
      <c r="TBY101" s="1"/>
      <c r="TBZ101" s="1"/>
      <c r="TCA101" s="1"/>
      <c r="TCB101" s="1"/>
      <c r="TCC101" s="1"/>
      <c r="TCD101" s="1"/>
      <c r="TCE101" s="1"/>
      <c r="TCF101" s="1"/>
      <c r="TCG101" s="1"/>
      <c r="TCH101" s="1"/>
      <c r="TCI101" s="1"/>
      <c r="TCJ101" s="1"/>
      <c r="TCK101" s="1"/>
      <c r="TCL101" s="1"/>
      <c r="TCM101" s="1"/>
      <c r="TCN101" s="1"/>
      <c r="TCO101" s="1"/>
      <c r="TCP101" s="1"/>
      <c r="TCQ101" s="1"/>
      <c r="TCR101" s="1"/>
      <c r="TCS101" s="1"/>
      <c r="TCT101" s="1"/>
      <c r="TCU101" s="1"/>
      <c r="TCV101" s="1"/>
      <c r="TCW101" s="1"/>
      <c r="TCX101" s="1"/>
      <c r="TCY101" s="1"/>
      <c r="TCZ101" s="1"/>
      <c r="TDA101" s="1"/>
      <c r="TDB101" s="1"/>
      <c r="TDC101" s="1"/>
      <c r="TDD101" s="1"/>
      <c r="TDE101" s="1"/>
      <c r="TDF101" s="1"/>
      <c r="TDG101" s="1"/>
      <c r="TDH101" s="1"/>
      <c r="TDI101" s="1"/>
      <c r="TDJ101" s="1"/>
      <c r="TDK101" s="1"/>
      <c r="TDL101" s="1"/>
      <c r="TDM101" s="1"/>
      <c r="TDN101" s="1"/>
      <c r="TDO101" s="1"/>
      <c r="TDP101" s="1"/>
      <c r="TDQ101" s="1"/>
      <c r="TDR101" s="1"/>
      <c r="TDS101" s="1"/>
      <c r="TDT101" s="1"/>
      <c r="TDU101" s="1"/>
      <c r="TDV101" s="1"/>
      <c r="TDW101" s="1"/>
      <c r="TDX101" s="1"/>
      <c r="TDY101" s="1"/>
      <c r="TDZ101" s="1"/>
      <c r="TEA101" s="1"/>
      <c r="TEB101" s="1"/>
      <c r="TEC101" s="1"/>
      <c r="TED101" s="1"/>
      <c r="TEE101" s="1"/>
      <c r="TEF101" s="1"/>
      <c r="TEG101" s="1"/>
      <c r="TEH101" s="1"/>
      <c r="TEI101" s="1"/>
      <c r="TEJ101" s="1"/>
      <c r="TEK101" s="1"/>
      <c r="TEL101" s="1"/>
      <c r="TEM101" s="1"/>
      <c r="TEN101" s="1"/>
      <c r="TEO101" s="1"/>
      <c r="TEP101" s="1"/>
      <c r="TEQ101" s="1"/>
      <c r="TER101" s="1"/>
      <c r="TES101" s="1"/>
      <c r="TET101" s="1"/>
      <c r="TEU101" s="1"/>
      <c r="TEV101" s="1"/>
      <c r="TEW101" s="1"/>
      <c r="TEX101" s="1"/>
      <c r="TEY101" s="1"/>
      <c r="TEZ101" s="1"/>
      <c r="TFA101" s="1"/>
      <c r="TFB101" s="1"/>
      <c r="TFC101" s="1"/>
      <c r="TFD101" s="1"/>
      <c r="TFE101" s="1"/>
      <c r="TFF101" s="1"/>
      <c r="TFG101" s="1"/>
      <c r="TFH101" s="1"/>
      <c r="TFI101" s="1"/>
      <c r="TFJ101" s="1"/>
      <c r="TFK101" s="1"/>
      <c r="TFL101" s="1"/>
      <c r="TFM101" s="1"/>
      <c r="TFN101" s="1"/>
      <c r="TFO101" s="1"/>
      <c r="TFP101" s="1"/>
      <c r="TFQ101" s="1"/>
      <c r="TFR101" s="1"/>
      <c r="TFS101" s="1"/>
      <c r="TFT101" s="1"/>
      <c r="TFU101" s="1"/>
      <c r="TFV101" s="1"/>
      <c r="TFW101" s="1"/>
      <c r="TFX101" s="1"/>
      <c r="TFY101" s="1"/>
      <c r="TFZ101" s="1"/>
      <c r="TGA101" s="1"/>
      <c r="TGB101" s="1"/>
      <c r="TGC101" s="1"/>
      <c r="TGD101" s="1"/>
      <c r="TGE101" s="1"/>
      <c r="TGF101" s="1"/>
      <c r="TGG101" s="1"/>
      <c r="TGH101" s="1"/>
      <c r="TGI101" s="1"/>
      <c r="TGJ101" s="1"/>
      <c r="TGK101" s="1"/>
      <c r="TGL101" s="1"/>
      <c r="TGM101" s="1"/>
      <c r="TGN101" s="1"/>
      <c r="TGO101" s="1"/>
      <c r="TGP101" s="1"/>
      <c r="TGQ101" s="1"/>
      <c r="TGR101" s="1"/>
      <c r="TGS101" s="1"/>
      <c r="TGT101" s="1"/>
      <c r="TGU101" s="1"/>
      <c r="TGV101" s="1"/>
      <c r="TGW101" s="1"/>
      <c r="TGX101" s="1"/>
      <c r="TGY101" s="1"/>
      <c r="TGZ101" s="1"/>
      <c r="THA101" s="1"/>
      <c r="THB101" s="1"/>
      <c r="THC101" s="1"/>
      <c r="THD101" s="1"/>
      <c r="THE101" s="1"/>
      <c r="THF101" s="1"/>
      <c r="THG101" s="1"/>
      <c r="THH101" s="1"/>
      <c r="THI101" s="1"/>
      <c r="THJ101" s="1"/>
      <c r="THK101" s="1"/>
      <c r="THL101" s="1"/>
      <c r="THM101" s="1"/>
      <c r="THN101" s="1"/>
      <c r="THO101" s="1"/>
      <c r="THP101" s="1"/>
      <c r="THQ101" s="1"/>
      <c r="THR101" s="1"/>
      <c r="THS101" s="1"/>
      <c r="THT101" s="1"/>
      <c r="THU101" s="1"/>
      <c r="THV101" s="1"/>
      <c r="THW101" s="1"/>
      <c r="THX101" s="1"/>
      <c r="THY101" s="1"/>
      <c r="THZ101" s="1"/>
      <c r="TIA101" s="1"/>
      <c r="TIB101" s="1"/>
      <c r="TIC101" s="1"/>
      <c r="TID101" s="1"/>
      <c r="TIE101" s="1"/>
      <c r="TIF101" s="1"/>
      <c r="TIG101" s="1"/>
      <c r="TIH101" s="1"/>
      <c r="TII101" s="1"/>
      <c r="TIJ101" s="1"/>
      <c r="TIK101" s="1"/>
      <c r="TIL101" s="1"/>
      <c r="TIM101" s="1"/>
      <c r="TIN101" s="1"/>
      <c r="TIO101" s="1"/>
      <c r="TIP101" s="1"/>
      <c r="TIQ101" s="1"/>
      <c r="TIR101" s="1"/>
      <c r="TIS101" s="1"/>
      <c r="TIT101" s="1"/>
      <c r="TIU101" s="1"/>
      <c r="TIV101" s="1"/>
      <c r="TIW101" s="1"/>
      <c r="TIX101" s="1"/>
      <c r="TIY101" s="1"/>
      <c r="TIZ101" s="1"/>
      <c r="TJA101" s="1"/>
      <c r="TJB101" s="1"/>
      <c r="TJC101" s="1"/>
      <c r="TJD101" s="1"/>
      <c r="TJE101" s="1"/>
      <c r="TJF101" s="1"/>
      <c r="TJG101" s="1"/>
      <c r="TJH101" s="1"/>
      <c r="TJI101" s="1"/>
      <c r="TJJ101" s="1"/>
      <c r="TJK101" s="1"/>
      <c r="TJL101" s="1"/>
      <c r="TJM101" s="1"/>
      <c r="TJN101" s="1"/>
      <c r="TJO101" s="1"/>
      <c r="TJP101" s="1"/>
      <c r="TJQ101" s="1"/>
      <c r="TJR101" s="1"/>
      <c r="TJS101" s="1"/>
      <c r="TJT101" s="1"/>
      <c r="TJU101" s="1"/>
      <c r="TJV101" s="1"/>
      <c r="TJW101" s="1"/>
      <c r="TJX101" s="1"/>
      <c r="TJY101" s="1"/>
      <c r="TJZ101" s="1"/>
      <c r="TKA101" s="1"/>
      <c r="TKB101" s="1"/>
      <c r="TKC101" s="1"/>
      <c r="TKD101" s="1"/>
      <c r="TKE101" s="1"/>
      <c r="TKF101" s="1"/>
      <c r="TKG101" s="1"/>
      <c r="TKH101" s="1"/>
      <c r="TKI101" s="1"/>
      <c r="TKJ101" s="1"/>
      <c r="TKK101" s="1"/>
      <c r="TKL101" s="1"/>
      <c r="TKM101" s="1"/>
      <c r="TKN101" s="1"/>
      <c r="TKO101" s="1"/>
      <c r="TKP101" s="1"/>
      <c r="TKQ101" s="1"/>
      <c r="TKR101" s="1"/>
      <c r="TKS101" s="1"/>
      <c r="TKT101" s="1"/>
      <c r="TKU101" s="1"/>
      <c r="TKV101" s="1"/>
      <c r="TKW101" s="1"/>
      <c r="TKX101" s="1"/>
      <c r="TKY101" s="1"/>
      <c r="TKZ101" s="1"/>
      <c r="TLA101" s="1"/>
      <c r="TLB101" s="1"/>
      <c r="TLC101" s="1"/>
      <c r="TLD101" s="1"/>
      <c r="TLE101" s="1"/>
      <c r="TLF101" s="1"/>
      <c r="TLG101" s="1"/>
      <c r="TLH101" s="1"/>
      <c r="TLI101" s="1"/>
      <c r="TLJ101" s="1"/>
      <c r="TLK101" s="1"/>
      <c r="TLL101" s="1"/>
      <c r="TLM101" s="1"/>
      <c r="TLN101" s="1"/>
      <c r="TLO101" s="1"/>
      <c r="TLP101" s="1"/>
      <c r="TLQ101" s="1"/>
      <c r="TLR101" s="1"/>
      <c r="TLS101" s="1"/>
      <c r="TLT101" s="1"/>
      <c r="TLU101" s="1"/>
      <c r="TLV101" s="1"/>
      <c r="TLW101" s="1"/>
      <c r="TLX101" s="1"/>
      <c r="TLY101" s="1"/>
      <c r="TLZ101" s="1"/>
      <c r="TMA101" s="1"/>
      <c r="TMB101" s="1"/>
      <c r="TMC101" s="1"/>
      <c r="TMD101" s="1"/>
      <c r="TME101" s="1"/>
      <c r="TMF101" s="1"/>
      <c r="TMG101" s="1"/>
      <c r="TMH101" s="1"/>
      <c r="TMI101" s="1"/>
      <c r="TMJ101" s="1"/>
      <c r="TMK101" s="1"/>
      <c r="TML101" s="1"/>
      <c r="TMM101" s="1"/>
      <c r="TMN101" s="1"/>
      <c r="TMO101" s="1"/>
      <c r="TMP101" s="1"/>
      <c r="TMQ101" s="1"/>
      <c r="TMR101" s="1"/>
      <c r="TMS101" s="1"/>
      <c r="TMT101" s="1"/>
      <c r="TMU101" s="1"/>
      <c r="TMV101" s="1"/>
      <c r="TMW101" s="1"/>
      <c r="TMX101" s="1"/>
      <c r="TMY101" s="1"/>
      <c r="TMZ101" s="1"/>
      <c r="TNA101" s="1"/>
      <c r="TNB101" s="1"/>
      <c r="TNC101" s="1"/>
      <c r="TND101" s="1"/>
      <c r="TNE101" s="1"/>
      <c r="TNF101" s="1"/>
      <c r="TNG101" s="1"/>
      <c r="TNH101" s="1"/>
      <c r="TNI101" s="1"/>
      <c r="TNJ101" s="1"/>
      <c r="TNK101" s="1"/>
      <c r="TNL101" s="1"/>
      <c r="TNM101" s="1"/>
      <c r="TNN101" s="1"/>
      <c r="TNO101" s="1"/>
      <c r="TNP101" s="1"/>
      <c r="TNQ101" s="1"/>
      <c r="TNR101" s="1"/>
      <c r="TNS101" s="1"/>
      <c r="TNT101" s="1"/>
      <c r="TNU101" s="1"/>
      <c r="TNV101" s="1"/>
      <c r="TNW101" s="1"/>
      <c r="TNX101" s="1"/>
      <c r="TNY101" s="1"/>
      <c r="TNZ101" s="1"/>
      <c r="TOA101" s="1"/>
      <c r="TOB101" s="1"/>
      <c r="TOC101" s="1"/>
      <c r="TOD101" s="1"/>
      <c r="TOE101" s="1"/>
      <c r="TOF101" s="1"/>
      <c r="TOG101" s="1"/>
      <c r="TOH101" s="1"/>
      <c r="TOI101" s="1"/>
      <c r="TOJ101" s="1"/>
      <c r="TOK101" s="1"/>
      <c r="TOL101" s="1"/>
      <c r="TOM101" s="1"/>
      <c r="TON101" s="1"/>
      <c r="TOO101" s="1"/>
      <c r="TOP101" s="1"/>
      <c r="TOQ101" s="1"/>
      <c r="TOR101" s="1"/>
      <c r="TOS101" s="1"/>
      <c r="TOT101" s="1"/>
      <c r="TOU101" s="1"/>
      <c r="TOV101" s="1"/>
      <c r="TOW101" s="1"/>
      <c r="TOX101" s="1"/>
      <c r="TOY101" s="1"/>
      <c r="TOZ101" s="1"/>
      <c r="TPA101" s="1"/>
      <c r="TPB101" s="1"/>
      <c r="TPC101" s="1"/>
      <c r="TPD101" s="1"/>
      <c r="TPE101" s="1"/>
      <c r="TPF101" s="1"/>
      <c r="TPG101" s="1"/>
      <c r="TPH101" s="1"/>
      <c r="TPI101" s="1"/>
      <c r="TPJ101" s="1"/>
      <c r="TPK101" s="1"/>
      <c r="TPL101" s="1"/>
      <c r="TPM101" s="1"/>
      <c r="TPN101" s="1"/>
      <c r="TPO101" s="1"/>
      <c r="TPP101" s="1"/>
      <c r="TPQ101" s="1"/>
      <c r="TPR101" s="1"/>
      <c r="TPS101" s="1"/>
      <c r="TPT101" s="1"/>
      <c r="TPU101" s="1"/>
      <c r="TPV101" s="1"/>
      <c r="TPW101" s="1"/>
      <c r="TPX101" s="1"/>
      <c r="TPY101" s="1"/>
      <c r="TPZ101" s="1"/>
      <c r="TQA101" s="1"/>
      <c r="TQB101" s="1"/>
      <c r="TQC101" s="1"/>
      <c r="TQD101" s="1"/>
      <c r="TQE101" s="1"/>
      <c r="TQF101" s="1"/>
      <c r="TQG101" s="1"/>
      <c r="TQH101" s="1"/>
      <c r="TQI101" s="1"/>
      <c r="TQJ101" s="1"/>
      <c r="TQK101" s="1"/>
      <c r="TQL101" s="1"/>
      <c r="TQM101" s="1"/>
      <c r="TQN101" s="1"/>
      <c r="TQO101" s="1"/>
      <c r="TQP101" s="1"/>
      <c r="TQQ101" s="1"/>
      <c r="TQR101" s="1"/>
      <c r="TQS101" s="1"/>
      <c r="TQT101" s="1"/>
      <c r="TQU101" s="1"/>
      <c r="TQV101" s="1"/>
      <c r="TQW101" s="1"/>
      <c r="TQX101" s="1"/>
      <c r="TQY101" s="1"/>
      <c r="TQZ101" s="1"/>
      <c r="TRA101" s="1"/>
      <c r="TRB101" s="1"/>
      <c r="TRC101" s="1"/>
      <c r="TRD101" s="1"/>
      <c r="TRE101" s="1"/>
      <c r="TRF101" s="1"/>
      <c r="TRG101" s="1"/>
      <c r="TRH101" s="1"/>
      <c r="TRI101" s="1"/>
      <c r="TRJ101" s="1"/>
      <c r="TRK101" s="1"/>
      <c r="TRL101" s="1"/>
      <c r="TRM101" s="1"/>
      <c r="TRN101" s="1"/>
      <c r="TRO101" s="1"/>
      <c r="TRP101" s="1"/>
      <c r="TRQ101" s="1"/>
      <c r="TRR101" s="1"/>
      <c r="TRS101" s="1"/>
      <c r="TRT101" s="1"/>
      <c r="TRU101" s="1"/>
      <c r="TRV101" s="1"/>
      <c r="TRW101" s="1"/>
      <c r="TRX101" s="1"/>
      <c r="TRY101" s="1"/>
      <c r="TRZ101" s="1"/>
      <c r="TSA101" s="1"/>
      <c r="TSB101" s="1"/>
      <c r="TSC101" s="1"/>
      <c r="TSD101" s="1"/>
      <c r="TSE101" s="1"/>
      <c r="TSF101" s="1"/>
      <c r="TSG101" s="1"/>
      <c r="TSH101" s="1"/>
      <c r="TSI101" s="1"/>
      <c r="TSJ101" s="1"/>
      <c r="TSK101" s="1"/>
      <c r="TSL101" s="1"/>
      <c r="TSM101" s="1"/>
      <c r="TSN101" s="1"/>
      <c r="TSO101" s="1"/>
      <c r="TSP101" s="1"/>
      <c r="TSQ101" s="1"/>
      <c r="TSR101" s="1"/>
      <c r="TSS101" s="1"/>
      <c r="TST101" s="1"/>
      <c r="TSU101" s="1"/>
      <c r="TSV101" s="1"/>
      <c r="TSW101" s="1"/>
      <c r="TSX101" s="1"/>
      <c r="TSY101" s="1"/>
      <c r="TSZ101" s="1"/>
      <c r="TTA101" s="1"/>
      <c r="TTB101" s="1"/>
      <c r="TTC101" s="1"/>
      <c r="TTD101" s="1"/>
      <c r="TTE101" s="1"/>
      <c r="TTF101" s="1"/>
      <c r="TTG101" s="1"/>
      <c r="TTH101" s="1"/>
      <c r="TTI101" s="1"/>
      <c r="TTJ101" s="1"/>
      <c r="TTK101" s="1"/>
      <c r="TTL101" s="1"/>
      <c r="TTM101" s="1"/>
      <c r="TTN101" s="1"/>
      <c r="TTO101" s="1"/>
      <c r="TTP101" s="1"/>
      <c r="TTQ101" s="1"/>
      <c r="TTR101" s="1"/>
      <c r="TTS101" s="1"/>
      <c r="TTT101" s="1"/>
      <c r="TTU101" s="1"/>
      <c r="TTV101" s="1"/>
      <c r="TTW101" s="1"/>
      <c r="TTX101" s="1"/>
      <c r="TTY101" s="1"/>
      <c r="TTZ101" s="1"/>
      <c r="TUA101" s="1"/>
      <c r="TUB101" s="1"/>
      <c r="TUC101" s="1"/>
      <c r="TUD101" s="1"/>
      <c r="TUE101" s="1"/>
      <c r="TUF101" s="1"/>
      <c r="TUG101" s="1"/>
      <c r="TUH101" s="1"/>
      <c r="TUI101" s="1"/>
      <c r="TUJ101" s="1"/>
      <c r="TUK101" s="1"/>
      <c r="TUL101" s="1"/>
      <c r="TUM101" s="1"/>
      <c r="TUN101" s="1"/>
      <c r="TUO101" s="1"/>
      <c r="TUP101" s="1"/>
      <c r="TUQ101" s="1"/>
      <c r="TUR101" s="1"/>
      <c r="TUS101" s="1"/>
      <c r="TUT101" s="1"/>
      <c r="TUU101" s="1"/>
      <c r="TUV101" s="1"/>
      <c r="TUW101" s="1"/>
      <c r="TUX101" s="1"/>
      <c r="TUY101" s="1"/>
      <c r="TUZ101" s="1"/>
      <c r="TVA101" s="1"/>
      <c r="TVB101" s="1"/>
      <c r="TVC101" s="1"/>
      <c r="TVD101" s="1"/>
      <c r="TVE101" s="1"/>
      <c r="TVF101" s="1"/>
      <c r="TVG101" s="1"/>
      <c r="TVH101" s="1"/>
      <c r="TVI101" s="1"/>
      <c r="TVJ101" s="1"/>
      <c r="TVK101" s="1"/>
      <c r="TVL101" s="1"/>
      <c r="TVM101" s="1"/>
      <c r="TVN101" s="1"/>
      <c r="TVO101" s="1"/>
      <c r="TVP101" s="1"/>
      <c r="TVQ101" s="1"/>
      <c r="TVR101" s="1"/>
      <c r="TVS101" s="1"/>
      <c r="TVT101" s="1"/>
      <c r="TVU101" s="1"/>
      <c r="TVV101" s="1"/>
      <c r="TVW101" s="1"/>
      <c r="TVX101" s="1"/>
      <c r="TVY101" s="1"/>
      <c r="TVZ101" s="1"/>
      <c r="TWA101" s="1"/>
      <c r="TWB101" s="1"/>
      <c r="TWC101" s="1"/>
      <c r="TWD101" s="1"/>
      <c r="TWE101" s="1"/>
      <c r="TWF101" s="1"/>
      <c r="TWG101" s="1"/>
      <c r="TWH101" s="1"/>
      <c r="TWI101" s="1"/>
      <c r="TWJ101" s="1"/>
      <c r="TWK101" s="1"/>
      <c r="TWL101" s="1"/>
      <c r="TWM101" s="1"/>
      <c r="TWN101" s="1"/>
      <c r="TWO101" s="1"/>
      <c r="TWP101" s="1"/>
      <c r="TWQ101" s="1"/>
      <c r="TWR101" s="1"/>
      <c r="TWS101" s="1"/>
      <c r="TWT101" s="1"/>
      <c r="TWU101" s="1"/>
      <c r="TWV101" s="1"/>
      <c r="TWW101" s="1"/>
      <c r="TWX101" s="1"/>
      <c r="TWY101" s="1"/>
      <c r="TWZ101" s="1"/>
      <c r="TXA101" s="1"/>
      <c r="TXB101" s="1"/>
      <c r="TXC101" s="1"/>
      <c r="TXD101" s="1"/>
      <c r="TXE101" s="1"/>
      <c r="TXF101" s="1"/>
      <c r="TXG101" s="1"/>
      <c r="TXH101" s="1"/>
      <c r="TXI101" s="1"/>
      <c r="TXJ101" s="1"/>
      <c r="TXK101" s="1"/>
      <c r="TXL101" s="1"/>
      <c r="TXM101" s="1"/>
      <c r="TXN101" s="1"/>
      <c r="TXO101" s="1"/>
      <c r="TXP101" s="1"/>
      <c r="TXQ101" s="1"/>
      <c r="TXR101" s="1"/>
      <c r="TXS101" s="1"/>
      <c r="TXT101" s="1"/>
      <c r="TXU101" s="1"/>
      <c r="TXV101" s="1"/>
      <c r="TXW101" s="1"/>
      <c r="TXX101" s="1"/>
      <c r="TXY101" s="1"/>
      <c r="TXZ101" s="1"/>
      <c r="TYA101" s="1"/>
      <c r="TYB101" s="1"/>
      <c r="TYC101" s="1"/>
      <c r="TYD101" s="1"/>
      <c r="TYE101" s="1"/>
      <c r="TYF101" s="1"/>
      <c r="TYG101" s="1"/>
      <c r="TYH101" s="1"/>
      <c r="TYI101" s="1"/>
      <c r="TYJ101" s="1"/>
      <c r="TYK101" s="1"/>
      <c r="TYL101" s="1"/>
      <c r="TYM101" s="1"/>
      <c r="TYN101" s="1"/>
      <c r="TYO101" s="1"/>
      <c r="TYP101" s="1"/>
      <c r="TYQ101" s="1"/>
      <c r="TYR101" s="1"/>
      <c r="TYS101" s="1"/>
      <c r="TYT101" s="1"/>
      <c r="TYU101" s="1"/>
      <c r="TYV101" s="1"/>
      <c r="TYW101" s="1"/>
      <c r="TYX101" s="1"/>
      <c r="TYY101" s="1"/>
      <c r="TYZ101" s="1"/>
      <c r="TZA101" s="1"/>
      <c r="TZB101" s="1"/>
      <c r="TZC101" s="1"/>
      <c r="TZD101" s="1"/>
      <c r="TZE101" s="1"/>
      <c r="TZF101" s="1"/>
      <c r="TZG101" s="1"/>
      <c r="TZH101" s="1"/>
      <c r="TZI101" s="1"/>
      <c r="TZJ101" s="1"/>
      <c r="TZK101" s="1"/>
      <c r="TZL101" s="1"/>
      <c r="TZM101" s="1"/>
      <c r="TZN101" s="1"/>
      <c r="TZO101" s="1"/>
      <c r="TZP101" s="1"/>
      <c r="TZQ101" s="1"/>
      <c r="TZR101" s="1"/>
      <c r="TZS101" s="1"/>
      <c r="TZT101" s="1"/>
      <c r="TZU101" s="1"/>
      <c r="TZV101" s="1"/>
      <c r="TZW101" s="1"/>
      <c r="TZX101" s="1"/>
      <c r="TZY101" s="1"/>
      <c r="TZZ101" s="1"/>
      <c r="UAA101" s="1"/>
      <c r="UAB101" s="1"/>
      <c r="UAC101" s="1"/>
      <c r="UAD101" s="1"/>
      <c r="UAE101" s="1"/>
      <c r="UAF101" s="1"/>
      <c r="UAG101" s="1"/>
      <c r="UAH101" s="1"/>
      <c r="UAI101" s="1"/>
      <c r="UAJ101" s="1"/>
      <c r="UAK101" s="1"/>
      <c r="UAL101" s="1"/>
      <c r="UAM101" s="1"/>
      <c r="UAN101" s="1"/>
      <c r="UAO101" s="1"/>
      <c r="UAP101" s="1"/>
      <c r="UAQ101" s="1"/>
      <c r="UAR101" s="1"/>
      <c r="UAS101" s="1"/>
      <c r="UAT101" s="1"/>
      <c r="UAU101" s="1"/>
      <c r="UAV101" s="1"/>
      <c r="UAW101" s="1"/>
      <c r="UAX101" s="1"/>
      <c r="UAY101" s="1"/>
      <c r="UAZ101" s="1"/>
      <c r="UBA101" s="1"/>
      <c r="UBB101" s="1"/>
      <c r="UBC101" s="1"/>
      <c r="UBD101" s="1"/>
      <c r="UBE101" s="1"/>
      <c r="UBF101" s="1"/>
      <c r="UBG101" s="1"/>
      <c r="UBH101" s="1"/>
      <c r="UBI101" s="1"/>
      <c r="UBJ101" s="1"/>
      <c r="UBK101" s="1"/>
      <c r="UBL101" s="1"/>
      <c r="UBM101" s="1"/>
      <c r="UBN101" s="1"/>
      <c r="UBO101" s="1"/>
      <c r="UBP101" s="1"/>
      <c r="UBQ101" s="1"/>
      <c r="UBR101" s="1"/>
      <c r="UBS101" s="1"/>
      <c r="UBT101" s="1"/>
      <c r="UBU101" s="1"/>
      <c r="UBV101" s="1"/>
      <c r="UBW101" s="1"/>
      <c r="UBX101" s="1"/>
      <c r="UBY101" s="1"/>
      <c r="UBZ101" s="1"/>
      <c r="UCA101" s="1"/>
      <c r="UCB101" s="1"/>
      <c r="UCC101" s="1"/>
      <c r="UCD101" s="1"/>
      <c r="UCE101" s="1"/>
      <c r="UCF101" s="1"/>
      <c r="UCG101" s="1"/>
      <c r="UCH101" s="1"/>
      <c r="UCI101" s="1"/>
      <c r="UCJ101" s="1"/>
      <c r="UCK101" s="1"/>
      <c r="UCL101" s="1"/>
      <c r="UCM101" s="1"/>
      <c r="UCN101" s="1"/>
      <c r="UCO101" s="1"/>
      <c r="UCP101" s="1"/>
      <c r="UCQ101" s="1"/>
      <c r="UCR101" s="1"/>
      <c r="UCS101" s="1"/>
      <c r="UCT101" s="1"/>
      <c r="UCU101" s="1"/>
      <c r="UCV101" s="1"/>
      <c r="UCW101" s="1"/>
      <c r="UCX101" s="1"/>
      <c r="UCY101" s="1"/>
      <c r="UCZ101" s="1"/>
      <c r="UDA101" s="1"/>
      <c r="UDB101" s="1"/>
      <c r="UDC101" s="1"/>
      <c r="UDD101" s="1"/>
      <c r="UDE101" s="1"/>
      <c r="UDF101" s="1"/>
      <c r="UDG101" s="1"/>
      <c r="UDH101" s="1"/>
      <c r="UDI101" s="1"/>
      <c r="UDJ101" s="1"/>
      <c r="UDK101" s="1"/>
      <c r="UDL101" s="1"/>
      <c r="UDM101" s="1"/>
      <c r="UDN101" s="1"/>
      <c r="UDO101" s="1"/>
      <c r="UDP101" s="1"/>
      <c r="UDQ101" s="1"/>
      <c r="UDR101" s="1"/>
      <c r="UDS101" s="1"/>
      <c r="UDT101" s="1"/>
      <c r="UDU101" s="1"/>
      <c r="UDV101" s="1"/>
      <c r="UDW101" s="1"/>
      <c r="UDX101" s="1"/>
      <c r="UDY101" s="1"/>
      <c r="UDZ101" s="1"/>
      <c r="UEA101" s="1"/>
      <c r="UEB101" s="1"/>
      <c r="UEC101" s="1"/>
      <c r="UED101" s="1"/>
      <c r="UEE101" s="1"/>
      <c r="UEF101" s="1"/>
      <c r="UEG101" s="1"/>
      <c r="UEH101" s="1"/>
      <c r="UEI101" s="1"/>
      <c r="UEJ101" s="1"/>
      <c r="UEK101" s="1"/>
      <c r="UEL101" s="1"/>
      <c r="UEM101" s="1"/>
      <c r="UEN101" s="1"/>
      <c r="UEO101" s="1"/>
      <c r="UEP101" s="1"/>
      <c r="UEQ101" s="1"/>
      <c r="UER101" s="1"/>
      <c r="UES101" s="1"/>
      <c r="UET101" s="1"/>
      <c r="UEU101" s="1"/>
      <c r="UEV101" s="1"/>
      <c r="UEW101" s="1"/>
      <c r="UEX101" s="1"/>
      <c r="UEY101" s="1"/>
      <c r="UEZ101" s="1"/>
      <c r="UFA101" s="1"/>
      <c r="UFB101" s="1"/>
      <c r="UFC101" s="1"/>
      <c r="UFD101" s="1"/>
      <c r="UFE101" s="1"/>
      <c r="UFF101" s="1"/>
      <c r="UFG101" s="1"/>
      <c r="UFH101" s="1"/>
      <c r="UFI101" s="1"/>
      <c r="UFJ101" s="1"/>
      <c r="UFK101" s="1"/>
      <c r="UFL101" s="1"/>
      <c r="UFM101" s="1"/>
      <c r="UFN101" s="1"/>
      <c r="UFO101" s="1"/>
      <c r="UFP101" s="1"/>
      <c r="UFQ101" s="1"/>
      <c r="UFR101" s="1"/>
      <c r="UFS101" s="1"/>
      <c r="UFT101" s="1"/>
      <c r="UFU101" s="1"/>
      <c r="UFV101" s="1"/>
      <c r="UFW101" s="1"/>
      <c r="UFX101" s="1"/>
      <c r="UFY101" s="1"/>
      <c r="UFZ101" s="1"/>
      <c r="UGA101" s="1"/>
      <c r="UGB101" s="1"/>
      <c r="UGC101" s="1"/>
      <c r="UGD101" s="1"/>
      <c r="UGE101" s="1"/>
      <c r="UGF101" s="1"/>
      <c r="UGG101" s="1"/>
      <c r="UGH101" s="1"/>
      <c r="UGI101" s="1"/>
      <c r="UGJ101" s="1"/>
      <c r="UGK101" s="1"/>
      <c r="UGL101" s="1"/>
      <c r="UGM101" s="1"/>
      <c r="UGN101" s="1"/>
      <c r="UGO101" s="1"/>
      <c r="UGP101" s="1"/>
      <c r="UGQ101" s="1"/>
      <c r="UGR101" s="1"/>
      <c r="UGS101" s="1"/>
      <c r="UGT101" s="1"/>
      <c r="UGU101" s="1"/>
      <c r="UGV101" s="1"/>
      <c r="UGW101" s="1"/>
      <c r="UGX101" s="1"/>
      <c r="UGY101" s="1"/>
      <c r="UGZ101" s="1"/>
      <c r="UHA101" s="1"/>
      <c r="UHB101" s="1"/>
      <c r="UHC101" s="1"/>
      <c r="UHD101" s="1"/>
      <c r="UHE101" s="1"/>
      <c r="UHF101" s="1"/>
      <c r="UHG101" s="1"/>
      <c r="UHH101" s="1"/>
      <c r="UHI101" s="1"/>
      <c r="UHJ101" s="1"/>
      <c r="UHK101" s="1"/>
      <c r="UHL101" s="1"/>
      <c r="UHM101" s="1"/>
      <c r="UHN101" s="1"/>
      <c r="UHO101" s="1"/>
      <c r="UHP101" s="1"/>
      <c r="UHQ101" s="1"/>
      <c r="UHR101" s="1"/>
      <c r="UHS101" s="1"/>
      <c r="UHT101" s="1"/>
      <c r="UHU101" s="1"/>
      <c r="UHV101" s="1"/>
      <c r="UHW101" s="1"/>
      <c r="UHX101" s="1"/>
      <c r="UHY101" s="1"/>
      <c r="UHZ101" s="1"/>
      <c r="UIA101" s="1"/>
      <c r="UIB101" s="1"/>
      <c r="UIC101" s="1"/>
      <c r="UID101" s="1"/>
      <c r="UIE101" s="1"/>
      <c r="UIF101" s="1"/>
      <c r="UIG101" s="1"/>
      <c r="UIH101" s="1"/>
      <c r="UII101" s="1"/>
      <c r="UIJ101" s="1"/>
      <c r="UIK101" s="1"/>
      <c r="UIL101" s="1"/>
      <c r="UIM101" s="1"/>
      <c r="UIN101" s="1"/>
      <c r="UIO101" s="1"/>
      <c r="UIP101" s="1"/>
      <c r="UIQ101" s="1"/>
      <c r="UIR101" s="1"/>
      <c r="UIS101" s="1"/>
      <c r="UIT101" s="1"/>
      <c r="UIU101" s="1"/>
      <c r="UIV101" s="1"/>
      <c r="UIW101" s="1"/>
      <c r="UIX101" s="1"/>
      <c r="UIY101" s="1"/>
      <c r="UIZ101" s="1"/>
      <c r="UJA101" s="1"/>
      <c r="UJB101" s="1"/>
      <c r="UJC101" s="1"/>
      <c r="UJD101" s="1"/>
      <c r="UJE101" s="1"/>
      <c r="UJF101" s="1"/>
      <c r="UJG101" s="1"/>
      <c r="UJH101" s="1"/>
      <c r="UJI101" s="1"/>
      <c r="UJJ101" s="1"/>
      <c r="UJK101" s="1"/>
      <c r="UJL101" s="1"/>
      <c r="UJM101" s="1"/>
      <c r="UJN101" s="1"/>
      <c r="UJO101" s="1"/>
      <c r="UJP101" s="1"/>
      <c r="UJQ101" s="1"/>
      <c r="UJR101" s="1"/>
      <c r="UJS101" s="1"/>
      <c r="UJT101" s="1"/>
      <c r="UJU101" s="1"/>
      <c r="UJV101" s="1"/>
      <c r="UJW101" s="1"/>
      <c r="UJX101" s="1"/>
      <c r="UJY101" s="1"/>
      <c r="UJZ101" s="1"/>
      <c r="UKA101" s="1"/>
      <c r="UKB101" s="1"/>
      <c r="UKC101" s="1"/>
      <c r="UKD101" s="1"/>
      <c r="UKE101" s="1"/>
      <c r="UKF101" s="1"/>
      <c r="UKG101" s="1"/>
      <c r="UKH101" s="1"/>
      <c r="UKI101" s="1"/>
      <c r="UKJ101" s="1"/>
      <c r="UKK101" s="1"/>
      <c r="UKL101" s="1"/>
      <c r="UKM101" s="1"/>
      <c r="UKN101" s="1"/>
      <c r="UKO101" s="1"/>
      <c r="UKP101" s="1"/>
      <c r="UKQ101" s="1"/>
      <c r="UKR101" s="1"/>
      <c r="UKS101" s="1"/>
      <c r="UKT101" s="1"/>
      <c r="UKU101" s="1"/>
      <c r="UKV101" s="1"/>
      <c r="UKW101" s="1"/>
      <c r="UKX101" s="1"/>
      <c r="UKY101" s="1"/>
      <c r="UKZ101" s="1"/>
      <c r="ULA101" s="1"/>
      <c r="ULB101" s="1"/>
      <c r="ULC101" s="1"/>
      <c r="ULD101" s="1"/>
      <c r="ULE101" s="1"/>
      <c r="ULF101" s="1"/>
      <c r="ULG101" s="1"/>
      <c r="ULH101" s="1"/>
      <c r="ULI101" s="1"/>
      <c r="ULJ101" s="1"/>
      <c r="ULK101" s="1"/>
      <c r="ULL101" s="1"/>
      <c r="ULM101" s="1"/>
      <c r="ULN101" s="1"/>
      <c r="ULO101" s="1"/>
      <c r="ULP101" s="1"/>
      <c r="ULQ101" s="1"/>
      <c r="ULR101" s="1"/>
      <c r="ULS101" s="1"/>
      <c r="ULT101" s="1"/>
      <c r="ULU101" s="1"/>
      <c r="ULV101" s="1"/>
      <c r="ULW101" s="1"/>
      <c r="ULX101" s="1"/>
      <c r="ULY101" s="1"/>
      <c r="ULZ101" s="1"/>
      <c r="UMA101" s="1"/>
      <c r="UMB101" s="1"/>
      <c r="UMC101" s="1"/>
      <c r="UMD101" s="1"/>
      <c r="UME101" s="1"/>
      <c r="UMF101" s="1"/>
      <c r="UMG101" s="1"/>
      <c r="UMH101" s="1"/>
      <c r="UMI101" s="1"/>
      <c r="UMJ101" s="1"/>
      <c r="UMK101" s="1"/>
      <c r="UML101" s="1"/>
      <c r="UMM101" s="1"/>
      <c r="UMN101" s="1"/>
      <c r="UMO101" s="1"/>
      <c r="UMP101" s="1"/>
      <c r="UMQ101" s="1"/>
      <c r="UMR101" s="1"/>
      <c r="UMS101" s="1"/>
      <c r="UMT101" s="1"/>
      <c r="UMU101" s="1"/>
      <c r="UMV101" s="1"/>
      <c r="UMW101" s="1"/>
      <c r="UMX101" s="1"/>
      <c r="UMY101" s="1"/>
      <c r="UMZ101" s="1"/>
      <c r="UNA101" s="1"/>
      <c r="UNB101" s="1"/>
      <c r="UNC101" s="1"/>
      <c r="UND101" s="1"/>
      <c r="UNE101" s="1"/>
      <c r="UNF101" s="1"/>
      <c r="UNG101" s="1"/>
      <c r="UNH101" s="1"/>
      <c r="UNI101" s="1"/>
      <c r="UNJ101" s="1"/>
      <c r="UNK101" s="1"/>
      <c r="UNL101" s="1"/>
      <c r="UNM101" s="1"/>
      <c r="UNN101" s="1"/>
      <c r="UNO101" s="1"/>
      <c r="UNP101" s="1"/>
      <c r="UNQ101" s="1"/>
      <c r="UNR101" s="1"/>
      <c r="UNS101" s="1"/>
      <c r="UNT101" s="1"/>
      <c r="UNU101" s="1"/>
      <c r="UNV101" s="1"/>
      <c r="UNW101" s="1"/>
      <c r="UNX101" s="1"/>
      <c r="UNY101" s="1"/>
      <c r="UNZ101" s="1"/>
      <c r="UOA101" s="1"/>
      <c r="UOB101" s="1"/>
      <c r="UOC101" s="1"/>
      <c r="UOD101" s="1"/>
      <c r="UOE101" s="1"/>
      <c r="UOF101" s="1"/>
      <c r="UOG101" s="1"/>
      <c r="UOH101" s="1"/>
      <c r="UOI101" s="1"/>
      <c r="UOJ101" s="1"/>
      <c r="UOK101" s="1"/>
      <c r="UOL101" s="1"/>
      <c r="UOM101" s="1"/>
      <c r="UON101" s="1"/>
      <c r="UOO101" s="1"/>
      <c r="UOP101" s="1"/>
      <c r="UOQ101" s="1"/>
      <c r="UOR101" s="1"/>
      <c r="UOS101" s="1"/>
      <c r="UOT101" s="1"/>
      <c r="UOU101" s="1"/>
      <c r="UOV101" s="1"/>
      <c r="UOW101" s="1"/>
      <c r="UOX101" s="1"/>
      <c r="UOY101" s="1"/>
      <c r="UOZ101" s="1"/>
      <c r="UPA101" s="1"/>
      <c r="UPB101" s="1"/>
      <c r="UPC101" s="1"/>
      <c r="UPD101" s="1"/>
      <c r="UPE101" s="1"/>
      <c r="UPF101" s="1"/>
      <c r="UPG101" s="1"/>
      <c r="UPH101" s="1"/>
      <c r="UPI101" s="1"/>
      <c r="UPJ101" s="1"/>
      <c r="UPK101" s="1"/>
      <c r="UPL101" s="1"/>
      <c r="UPM101" s="1"/>
      <c r="UPN101" s="1"/>
      <c r="UPO101" s="1"/>
      <c r="UPP101" s="1"/>
      <c r="UPQ101" s="1"/>
      <c r="UPR101" s="1"/>
      <c r="UPS101" s="1"/>
      <c r="UPT101" s="1"/>
      <c r="UPU101" s="1"/>
      <c r="UPV101" s="1"/>
      <c r="UPW101" s="1"/>
      <c r="UPX101" s="1"/>
      <c r="UPY101" s="1"/>
      <c r="UPZ101" s="1"/>
      <c r="UQA101" s="1"/>
      <c r="UQB101" s="1"/>
      <c r="UQC101" s="1"/>
      <c r="UQD101" s="1"/>
      <c r="UQE101" s="1"/>
      <c r="UQF101" s="1"/>
      <c r="UQG101" s="1"/>
      <c r="UQH101" s="1"/>
      <c r="UQI101" s="1"/>
      <c r="UQJ101" s="1"/>
      <c r="UQK101" s="1"/>
      <c r="UQL101" s="1"/>
      <c r="UQM101" s="1"/>
      <c r="UQN101" s="1"/>
      <c r="UQO101" s="1"/>
      <c r="UQP101" s="1"/>
      <c r="UQQ101" s="1"/>
      <c r="UQR101" s="1"/>
      <c r="UQS101" s="1"/>
      <c r="UQT101" s="1"/>
      <c r="UQU101" s="1"/>
      <c r="UQV101" s="1"/>
      <c r="UQW101" s="1"/>
      <c r="UQX101" s="1"/>
      <c r="UQY101" s="1"/>
      <c r="UQZ101" s="1"/>
      <c r="URA101" s="1"/>
      <c r="URB101" s="1"/>
      <c r="URC101" s="1"/>
      <c r="URD101" s="1"/>
      <c r="URE101" s="1"/>
      <c r="URF101" s="1"/>
      <c r="URG101" s="1"/>
      <c r="URH101" s="1"/>
      <c r="URI101" s="1"/>
      <c r="URJ101" s="1"/>
      <c r="URK101" s="1"/>
      <c r="URL101" s="1"/>
      <c r="URM101" s="1"/>
      <c r="URN101" s="1"/>
      <c r="URO101" s="1"/>
      <c r="URP101" s="1"/>
      <c r="URQ101" s="1"/>
      <c r="URR101" s="1"/>
      <c r="URS101" s="1"/>
      <c r="URT101" s="1"/>
      <c r="URU101" s="1"/>
      <c r="URV101" s="1"/>
      <c r="URW101" s="1"/>
      <c r="URX101" s="1"/>
      <c r="URY101" s="1"/>
      <c r="URZ101" s="1"/>
      <c r="USA101" s="1"/>
      <c r="USB101" s="1"/>
      <c r="USC101" s="1"/>
      <c r="USD101" s="1"/>
      <c r="USE101" s="1"/>
      <c r="USF101" s="1"/>
      <c r="USG101" s="1"/>
      <c r="USH101" s="1"/>
      <c r="USI101" s="1"/>
      <c r="USJ101" s="1"/>
      <c r="USK101" s="1"/>
      <c r="USL101" s="1"/>
      <c r="USM101" s="1"/>
      <c r="USN101" s="1"/>
      <c r="USO101" s="1"/>
      <c r="USP101" s="1"/>
      <c r="USQ101" s="1"/>
      <c r="USR101" s="1"/>
      <c r="USS101" s="1"/>
      <c r="UST101" s="1"/>
      <c r="USU101" s="1"/>
      <c r="USV101" s="1"/>
      <c r="USW101" s="1"/>
      <c r="USX101" s="1"/>
      <c r="USY101" s="1"/>
      <c r="USZ101" s="1"/>
      <c r="UTA101" s="1"/>
      <c r="UTB101" s="1"/>
      <c r="UTC101" s="1"/>
      <c r="UTD101" s="1"/>
      <c r="UTE101" s="1"/>
      <c r="UTF101" s="1"/>
      <c r="UTG101" s="1"/>
      <c r="UTH101" s="1"/>
      <c r="UTI101" s="1"/>
      <c r="UTJ101" s="1"/>
      <c r="UTK101" s="1"/>
      <c r="UTL101" s="1"/>
      <c r="UTM101" s="1"/>
      <c r="UTN101" s="1"/>
      <c r="UTO101" s="1"/>
      <c r="UTP101" s="1"/>
      <c r="UTQ101" s="1"/>
      <c r="UTR101" s="1"/>
      <c r="UTS101" s="1"/>
      <c r="UTT101" s="1"/>
      <c r="UTU101" s="1"/>
      <c r="UTV101" s="1"/>
      <c r="UTW101" s="1"/>
      <c r="UTX101" s="1"/>
      <c r="UTY101" s="1"/>
      <c r="UTZ101" s="1"/>
      <c r="UUA101" s="1"/>
      <c r="UUB101" s="1"/>
      <c r="UUC101" s="1"/>
      <c r="UUD101" s="1"/>
      <c r="UUE101" s="1"/>
      <c r="UUF101" s="1"/>
      <c r="UUG101" s="1"/>
      <c r="UUH101" s="1"/>
      <c r="UUI101" s="1"/>
      <c r="UUJ101" s="1"/>
      <c r="UUK101" s="1"/>
      <c r="UUL101" s="1"/>
      <c r="UUM101" s="1"/>
      <c r="UUN101" s="1"/>
      <c r="UUO101" s="1"/>
      <c r="UUP101" s="1"/>
      <c r="UUQ101" s="1"/>
      <c r="UUR101" s="1"/>
      <c r="UUS101" s="1"/>
      <c r="UUT101" s="1"/>
      <c r="UUU101" s="1"/>
      <c r="UUV101" s="1"/>
      <c r="UUW101" s="1"/>
      <c r="UUX101" s="1"/>
      <c r="UUY101" s="1"/>
      <c r="UUZ101" s="1"/>
      <c r="UVA101" s="1"/>
      <c r="UVB101" s="1"/>
      <c r="UVC101" s="1"/>
      <c r="UVD101" s="1"/>
      <c r="UVE101" s="1"/>
      <c r="UVF101" s="1"/>
      <c r="UVG101" s="1"/>
      <c r="UVH101" s="1"/>
      <c r="UVI101" s="1"/>
      <c r="UVJ101" s="1"/>
      <c r="UVK101" s="1"/>
      <c r="UVL101" s="1"/>
      <c r="UVM101" s="1"/>
      <c r="UVN101" s="1"/>
      <c r="UVO101" s="1"/>
      <c r="UVP101" s="1"/>
      <c r="UVQ101" s="1"/>
      <c r="UVR101" s="1"/>
      <c r="UVS101" s="1"/>
      <c r="UVT101" s="1"/>
      <c r="UVU101" s="1"/>
      <c r="UVV101" s="1"/>
      <c r="UVW101" s="1"/>
      <c r="UVX101" s="1"/>
      <c r="UVY101" s="1"/>
      <c r="UVZ101" s="1"/>
      <c r="UWA101" s="1"/>
      <c r="UWB101" s="1"/>
      <c r="UWC101" s="1"/>
      <c r="UWD101" s="1"/>
      <c r="UWE101" s="1"/>
      <c r="UWF101" s="1"/>
      <c r="UWG101" s="1"/>
      <c r="UWH101" s="1"/>
      <c r="UWI101" s="1"/>
      <c r="UWJ101" s="1"/>
      <c r="UWK101" s="1"/>
      <c r="UWL101" s="1"/>
      <c r="UWM101" s="1"/>
      <c r="UWN101" s="1"/>
      <c r="UWO101" s="1"/>
      <c r="UWP101" s="1"/>
      <c r="UWQ101" s="1"/>
      <c r="UWR101" s="1"/>
      <c r="UWS101" s="1"/>
      <c r="UWT101" s="1"/>
      <c r="UWU101" s="1"/>
      <c r="UWV101" s="1"/>
      <c r="UWW101" s="1"/>
      <c r="UWX101" s="1"/>
      <c r="UWY101" s="1"/>
      <c r="UWZ101" s="1"/>
      <c r="UXA101" s="1"/>
      <c r="UXB101" s="1"/>
      <c r="UXC101" s="1"/>
      <c r="UXD101" s="1"/>
      <c r="UXE101" s="1"/>
      <c r="UXF101" s="1"/>
      <c r="UXG101" s="1"/>
      <c r="UXH101" s="1"/>
      <c r="UXI101" s="1"/>
      <c r="UXJ101" s="1"/>
      <c r="UXK101" s="1"/>
      <c r="UXL101" s="1"/>
      <c r="UXM101" s="1"/>
      <c r="UXN101" s="1"/>
      <c r="UXO101" s="1"/>
      <c r="UXP101" s="1"/>
      <c r="UXQ101" s="1"/>
      <c r="UXR101" s="1"/>
      <c r="UXS101" s="1"/>
      <c r="UXT101" s="1"/>
      <c r="UXU101" s="1"/>
      <c r="UXV101" s="1"/>
      <c r="UXW101" s="1"/>
      <c r="UXX101" s="1"/>
      <c r="UXY101" s="1"/>
      <c r="UXZ101" s="1"/>
      <c r="UYA101" s="1"/>
      <c r="UYB101" s="1"/>
      <c r="UYC101" s="1"/>
      <c r="UYD101" s="1"/>
      <c r="UYE101" s="1"/>
      <c r="UYF101" s="1"/>
      <c r="UYG101" s="1"/>
      <c r="UYH101" s="1"/>
      <c r="UYI101" s="1"/>
      <c r="UYJ101" s="1"/>
      <c r="UYK101" s="1"/>
      <c r="UYL101" s="1"/>
      <c r="UYM101" s="1"/>
      <c r="UYN101" s="1"/>
      <c r="UYO101" s="1"/>
      <c r="UYP101" s="1"/>
      <c r="UYQ101" s="1"/>
      <c r="UYR101" s="1"/>
      <c r="UYS101" s="1"/>
      <c r="UYT101" s="1"/>
      <c r="UYU101" s="1"/>
      <c r="UYV101" s="1"/>
      <c r="UYW101" s="1"/>
      <c r="UYX101" s="1"/>
      <c r="UYY101" s="1"/>
      <c r="UYZ101" s="1"/>
      <c r="UZA101" s="1"/>
      <c r="UZB101" s="1"/>
      <c r="UZC101" s="1"/>
      <c r="UZD101" s="1"/>
      <c r="UZE101" s="1"/>
      <c r="UZF101" s="1"/>
      <c r="UZG101" s="1"/>
      <c r="UZH101" s="1"/>
      <c r="UZI101" s="1"/>
      <c r="UZJ101" s="1"/>
      <c r="UZK101" s="1"/>
      <c r="UZL101" s="1"/>
      <c r="UZM101" s="1"/>
      <c r="UZN101" s="1"/>
      <c r="UZO101" s="1"/>
      <c r="UZP101" s="1"/>
      <c r="UZQ101" s="1"/>
      <c r="UZR101" s="1"/>
      <c r="UZS101" s="1"/>
      <c r="UZT101" s="1"/>
      <c r="UZU101" s="1"/>
      <c r="UZV101" s="1"/>
      <c r="UZW101" s="1"/>
      <c r="UZX101" s="1"/>
      <c r="UZY101" s="1"/>
      <c r="UZZ101" s="1"/>
      <c r="VAA101" s="1"/>
      <c r="VAB101" s="1"/>
      <c r="VAC101" s="1"/>
      <c r="VAD101" s="1"/>
      <c r="VAE101" s="1"/>
      <c r="VAF101" s="1"/>
      <c r="VAG101" s="1"/>
      <c r="VAH101" s="1"/>
      <c r="VAI101" s="1"/>
      <c r="VAJ101" s="1"/>
      <c r="VAK101" s="1"/>
      <c r="VAL101" s="1"/>
      <c r="VAM101" s="1"/>
      <c r="VAN101" s="1"/>
      <c r="VAO101" s="1"/>
      <c r="VAP101" s="1"/>
      <c r="VAQ101" s="1"/>
      <c r="VAR101" s="1"/>
      <c r="VAS101" s="1"/>
      <c r="VAT101" s="1"/>
      <c r="VAU101" s="1"/>
      <c r="VAV101" s="1"/>
      <c r="VAW101" s="1"/>
      <c r="VAX101" s="1"/>
      <c r="VAY101" s="1"/>
      <c r="VAZ101" s="1"/>
      <c r="VBA101" s="1"/>
      <c r="VBB101" s="1"/>
      <c r="VBC101" s="1"/>
      <c r="VBD101" s="1"/>
      <c r="VBE101" s="1"/>
      <c r="VBF101" s="1"/>
      <c r="VBG101" s="1"/>
      <c r="VBH101" s="1"/>
      <c r="VBI101" s="1"/>
      <c r="VBJ101" s="1"/>
      <c r="VBK101" s="1"/>
      <c r="VBL101" s="1"/>
      <c r="VBM101" s="1"/>
      <c r="VBN101" s="1"/>
      <c r="VBO101" s="1"/>
      <c r="VBP101" s="1"/>
      <c r="VBQ101" s="1"/>
      <c r="VBR101" s="1"/>
      <c r="VBS101" s="1"/>
      <c r="VBT101" s="1"/>
      <c r="VBU101" s="1"/>
      <c r="VBV101" s="1"/>
      <c r="VBW101" s="1"/>
      <c r="VBX101" s="1"/>
      <c r="VBY101" s="1"/>
      <c r="VBZ101" s="1"/>
      <c r="VCA101" s="1"/>
      <c r="VCB101" s="1"/>
      <c r="VCC101" s="1"/>
      <c r="VCD101" s="1"/>
      <c r="VCE101" s="1"/>
      <c r="VCF101" s="1"/>
      <c r="VCG101" s="1"/>
      <c r="VCH101" s="1"/>
      <c r="VCI101" s="1"/>
      <c r="VCJ101" s="1"/>
      <c r="VCK101" s="1"/>
      <c r="VCL101" s="1"/>
      <c r="VCM101" s="1"/>
      <c r="VCN101" s="1"/>
      <c r="VCO101" s="1"/>
      <c r="VCP101" s="1"/>
      <c r="VCQ101" s="1"/>
      <c r="VCR101" s="1"/>
      <c r="VCS101" s="1"/>
      <c r="VCT101" s="1"/>
      <c r="VCU101" s="1"/>
      <c r="VCV101" s="1"/>
      <c r="VCW101" s="1"/>
      <c r="VCX101" s="1"/>
      <c r="VCY101" s="1"/>
      <c r="VCZ101" s="1"/>
      <c r="VDA101" s="1"/>
      <c r="VDB101" s="1"/>
      <c r="VDC101" s="1"/>
      <c r="VDD101" s="1"/>
      <c r="VDE101" s="1"/>
      <c r="VDF101" s="1"/>
      <c r="VDG101" s="1"/>
      <c r="VDH101" s="1"/>
      <c r="VDI101" s="1"/>
      <c r="VDJ101" s="1"/>
      <c r="VDK101" s="1"/>
      <c r="VDL101" s="1"/>
      <c r="VDM101" s="1"/>
      <c r="VDN101" s="1"/>
      <c r="VDO101" s="1"/>
      <c r="VDP101" s="1"/>
      <c r="VDQ101" s="1"/>
      <c r="VDR101" s="1"/>
      <c r="VDS101" s="1"/>
      <c r="VDT101" s="1"/>
      <c r="VDU101" s="1"/>
      <c r="VDV101" s="1"/>
      <c r="VDW101" s="1"/>
      <c r="VDX101" s="1"/>
      <c r="VDY101" s="1"/>
      <c r="VDZ101" s="1"/>
      <c r="VEA101" s="1"/>
      <c r="VEB101" s="1"/>
      <c r="VEC101" s="1"/>
      <c r="VED101" s="1"/>
      <c r="VEE101" s="1"/>
      <c r="VEF101" s="1"/>
      <c r="VEG101" s="1"/>
      <c r="VEH101" s="1"/>
      <c r="VEI101" s="1"/>
      <c r="VEJ101" s="1"/>
      <c r="VEK101" s="1"/>
      <c r="VEL101" s="1"/>
      <c r="VEM101" s="1"/>
      <c r="VEN101" s="1"/>
      <c r="VEO101" s="1"/>
      <c r="VEP101" s="1"/>
      <c r="VEQ101" s="1"/>
      <c r="VER101" s="1"/>
      <c r="VES101" s="1"/>
      <c r="VET101" s="1"/>
      <c r="VEU101" s="1"/>
      <c r="VEV101" s="1"/>
      <c r="VEW101" s="1"/>
      <c r="VEX101" s="1"/>
      <c r="VEY101" s="1"/>
      <c r="VEZ101" s="1"/>
      <c r="VFA101" s="1"/>
      <c r="VFB101" s="1"/>
      <c r="VFC101" s="1"/>
      <c r="VFD101" s="1"/>
      <c r="VFE101" s="1"/>
      <c r="VFF101" s="1"/>
      <c r="VFG101" s="1"/>
      <c r="VFH101" s="1"/>
      <c r="VFI101" s="1"/>
      <c r="VFJ101" s="1"/>
      <c r="VFK101" s="1"/>
      <c r="VFL101" s="1"/>
      <c r="VFM101" s="1"/>
      <c r="VFN101" s="1"/>
      <c r="VFO101" s="1"/>
      <c r="VFP101" s="1"/>
      <c r="VFQ101" s="1"/>
      <c r="VFR101" s="1"/>
      <c r="VFS101" s="1"/>
      <c r="VFT101" s="1"/>
      <c r="VFU101" s="1"/>
      <c r="VFV101" s="1"/>
      <c r="VFW101" s="1"/>
      <c r="VFX101" s="1"/>
      <c r="VFY101" s="1"/>
      <c r="VFZ101" s="1"/>
      <c r="VGA101" s="1"/>
      <c r="VGB101" s="1"/>
      <c r="VGC101" s="1"/>
      <c r="VGD101" s="1"/>
      <c r="VGE101" s="1"/>
      <c r="VGF101" s="1"/>
      <c r="VGG101" s="1"/>
      <c r="VGH101" s="1"/>
      <c r="VGI101" s="1"/>
      <c r="VGJ101" s="1"/>
      <c r="VGK101" s="1"/>
      <c r="VGL101" s="1"/>
      <c r="VGM101" s="1"/>
      <c r="VGN101" s="1"/>
      <c r="VGO101" s="1"/>
      <c r="VGP101" s="1"/>
      <c r="VGQ101" s="1"/>
      <c r="VGR101" s="1"/>
      <c r="VGS101" s="1"/>
      <c r="VGT101" s="1"/>
      <c r="VGU101" s="1"/>
      <c r="VGV101" s="1"/>
      <c r="VGW101" s="1"/>
      <c r="VGX101" s="1"/>
      <c r="VGY101" s="1"/>
      <c r="VGZ101" s="1"/>
      <c r="VHA101" s="1"/>
      <c r="VHB101" s="1"/>
      <c r="VHC101" s="1"/>
      <c r="VHD101" s="1"/>
      <c r="VHE101" s="1"/>
      <c r="VHF101" s="1"/>
      <c r="VHG101" s="1"/>
      <c r="VHH101" s="1"/>
      <c r="VHI101" s="1"/>
      <c r="VHJ101" s="1"/>
      <c r="VHK101" s="1"/>
      <c r="VHL101" s="1"/>
      <c r="VHM101" s="1"/>
      <c r="VHN101" s="1"/>
      <c r="VHO101" s="1"/>
      <c r="VHP101" s="1"/>
      <c r="VHQ101" s="1"/>
      <c r="VHR101" s="1"/>
      <c r="VHS101" s="1"/>
      <c r="VHT101" s="1"/>
      <c r="VHU101" s="1"/>
      <c r="VHV101" s="1"/>
      <c r="VHW101" s="1"/>
      <c r="VHX101" s="1"/>
      <c r="VHY101" s="1"/>
      <c r="VHZ101" s="1"/>
      <c r="VIA101" s="1"/>
      <c r="VIB101" s="1"/>
      <c r="VIC101" s="1"/>
      <c r="VID101" s="1"/>
      <c r="VIE101" s="1"/>
      <c r="VIF101" s="1"/>
      <c r="VIG101" s="1"/>
      <c r="VIH101" s="1"/>
      <c r="VII101" s="1"/>
      <c r="VIJ101" s="1"/>
      <c r="VIK101" s="1"/>
      <c r="VIL101" s="1"/>
      <c r="VIM101" s="1"/>
      <c r="VIN101" s="1"/>
      <c r="VIO101" s="1"/>
      <c r="VIP101" s="1"/>
      <c r="VIQ101" s="1"/>
      <c r="VIR101" s="1"/>
      <c r="VIS101" s="1"/>
      <c r="VIT101" s="1"/>
      <c r="VIU101" s="1"/>
      <c r="VIV101" s="1"/>
      <c r="VIW101" s="1"/>
      <c r="VIX101" s="1"/>
      <c r="VIY101" s="1"/>
      <c r="VIZ101" s="1"/>
      <c r="VJA101" s="1"/>
      <c r="VJB101" s="1"/>
      <c r="VJC101" s="1"/>
      <c r="VJD101" s="1"/>
      <c r="VJE101" s="1"/>
      <c r="VJF101" s="1"/>
      <c r="VJG101" s="1"/>
      <c r="VJH101" s="1"/>
      <c r="VJI101" s="1"/>
      <c r="VJJ101" s="1"/>
      <c r="VJK101" s="1"/>
      <c r="VJL101" s="1"/>
      <c r="VJM101" s="1"/>
      <c r="VJN101" s="1"/>
      <c r="VJO101" s="1"/>
      <c r="VJP101" s="1"/>
      <c r="VJQ101" s="1"/>
      <c r="VJR101" s="1"/>
      <c r="VJS101" s="1"/>
      <c r="VJT101" s="1"/>
      <c r="VJU101" s="1"/>
      <c r="VJV101" s="1"/>
      <c r="VJW101" s="1"/>
      <c r="VJX101" s="1"/>
      <c r="VJY101" s="1"/>
      <c r="VJZ101" s="1"/>
      <c r="VKA101" s="1"/>
      <c r="VKB101" s="1"/>
      <c r="VKC101" s="1"/>
      <c r="VKD101" s="1"/>
      <c r="VKE101" s="1"/>
      <c r="VKF101" s="1"/>
      <c r="VKG101" s="1"/>
      <c r="VKH101" s="1"/>
      <c r="VKI101" s="1"/>
      <c r="VKJ101" s="1"/>
      <c r="VKK101" s="1"/>
      <c r="VKL101" s="1"/>
      <c r="VKM101" s="1"/>
      <c r="VKN101" s="1"/>
      <c r="VKO101" s="1"/>
      <c r="VKP101" s="1"/>
      <c r="VKQ101" s="1"/>
      <c r="VKR101" s="1"/>
      <c r="VKS101" s="1"/>
      <c r="VKT101" s="1"/>
      <c r="VKU101" s="1"/>
      <c r="VKV101" s="1"/>
      <c r="VKW101" s="1"/>
      <c r="VKX101" s="1"/>
      <c r="VKY101" s="1"/>
      <c r="VKZ101" s="1"/>
      <c r="VLA101" s="1"/>
      <c r="VLB101" s="1"/>
      <c r="VLC101" s="1"/>
      <c r="VLD101" s="1"/>
      <c r="VLE101" s="1"/>
      <c r="VLF101" s="1"/>
      <c r="VLG101" s="1"/>
      <c r="VLH101" s="1"/>
      <c r="VLI101" s="1"/>
      <c r="VLJ101" s="1"/>
      <c r="VLK101" s="1"/>
      <c r="VLL101" s="1"/>
      <c r="VLM101" s="1"/>
      <c r="VLN101" s="1"/>
      <c r="VLO101" s="1"/>
      <c r="VLP101" s="1"/>
      <c r="VLQ101" s="1"/>
      <c r="VLR101" s="1"/>
      <c r="VLS101" s="1"/>
      <c r="VLT101" s="1"/>
      <c r="VLU101" s="1"/>
      <c r="VLV101" s="1"/>
      <c r="VLW101" s="1"/>
      <c r="VLX101" s="1"/>
      <c r="VLY101" s="1"/>
      <c r="VLZ101" s="1"/>
      <c r="VMA101" s="1"/>
      <c r="VMB101" s="1"/>
      <c r="VMC101" s="1"/>
      <c r="VMD101" s="1"/>
      <c r="VME101" s="1"/>
      <c r="VMF101" s="1"/>
      <c r="VMG101" s="1"/>
      <c r="VMH101" s="1"/>
      <c r="VMI101" s="1"/>
      <c r="VMJ101" s="1"/>
      <c r="VMK101" s="1"/>
      <c r="VML101" s="1"/>
      <c r="VMM101" s="1"/>
      <c r="VMN101" s="1"/>
      <c r="VMO101" s="1"/>
      <c r="VMP101" s="1"/>
      <c r="VMQ101" s="1"/>
      <c r="VMR101" s="1"/>
      <c r="VMS101" s="1"/>
      <c r="VMT101" s="1"/>
      <c r="VMU101" s="1"/>
      <c r="VMV101" s="1"/>
      <c r="VMW101" s="1"/>
      <c r="VMX101" s="1"/>
      <c r="VMY101" s="1"/>
      <c r="VMZ101" s="1"/>
      <c r="VNA101" s="1"/>
      <c r="VNB101" s="1"/>
      <c r="VNC101" s="1"/>
      <c r="VND101" s="1"/>
      <c r="VNE101" s="1"/>
      <c r="VNF101" s="1"/>
      <c r="VNG101" s="1"/>
      <c r="VNH101" s="1"/>
      <c r="VNI101" s="1"/>
      <c r="VNJ101" s="1"/>
      <c r="VNK101" s="1"/>
      <c r="VNL101" s="1"/>
      <c r="VNM101" s="1"/>
      <c r="VNN101" s="1"/>
      <c r="VNO101" s="1"/>
      <c r="VNP101" s="1"/>
      <c r="VNQ101" s="1"/>
      <c r="VNR101" s="1"/>
      <c r="VNS101" s="1"/>
      <c r="VNT101" s="1"/>
      <c r="VNU101" s="1"/>
      <c r="VNV101" s="1"/>
      <c r="VNW101" s="1"/>
      <c r="VNX101" s="1"/>
      <c r="VNY101" s="1"/>
      <c r="VNZ101" s="1"/>
      <c r="VOA101" s="1"/>
      <c r="VOB101" s="1"/>
      <c r="VOC101" s="1"/>
      <c r="VOD101" s="1"/>
      <c r="VOE101" s="1"/>
      <c r="VOF101" s="1"/>
      <c r="VOG101" s="1"/>
      <c r="VOH101" s="1"/>
      <c r="VOI101" s="1"/>
      <c r="VOJ101" s="1"/>
      <c r="VOK101" s="1"/>
      <c r="VOL101" s="1"/>
      <c r="VOM101" s="1"/>
      <c r="VON101" s="1"/>
      <c r="VOO101" s="1"/>
      <c r="VOP101" s="1"/>
      <c r="VOQ101" s="1"/>
      <c r="VOR101" s="1"/>
      <c r="VOS101" s="1"/>
      <c r="VOT101" s="1"/>
      <c r="VOU101" s="1"/>
      <c r="VOV101" s="1"/>
      <c r="VOW101" s="1"/>
      <c r="VOX101" s="1"/>
      <c r="VOY101" s="1"/>
      <c r="VOZ101" s="1"/>
      <c r="VPA101" s="1"/>
      <c r="VPB101" s="1"/>
      <c r="VPC101" s="1"/>
      <c r="VPD101" s="1"/>
      <c r="VPE101" s="1"/>
      <c r="VPF101" s="1"/>
      <c r="VPG101" s="1"/>
      <c r="VPH101" s="1"/>
      <c r="VPI101" s="1"/>
      <c r="VPJ101" s="1"/>
      <c r="VPK101" s="1"/>
      <c r="VPL101" s="1"/>
      <c r="VPM101" s="1"/>
      <c r="VPN101" s="1"/>
      <c r="VPO101" s="1"/>
      <c r="VPP101" s="1"/>
      <c r="VPQ101" s="1"/>
      <c r="VPR101" s="1"/>
      <c r="VPS101" s="1"/>
      <c r="VPT101" s="1"/>
      <c r="VPU101" s="1"/>
      <c r="VPV101" s="1"/>
      <c r="VPW101" s="1"/>
      <c r="VPX101" s="1"/>
      <c r="VPY101" s="1"/>
      <c r="VPZ101" s="1"/>
      <c r="VQA101" s="1"/>
      <c r="VQB101" s="1"/>
      <c r="VQC101" s="1"/>
      <c r="VQD101" s="1"/>
      <c r="VQE101" s="1"/>
      <c r="VQF101" s="1"/>
      <c r="VQG101" s="1"/>
      <c r="VQH101" s="1"/>
      <c r="VQI101" s="1"/>
      <c r="VQJ101" s="1"/>
      <c r="VQK101" s="1"/>
      <c r="VQL101" s="1"/>
      <c r="VQM101" s="1"/>
      <c r="VQN101" s="1"/>
      <c r="VQO101" s="1"/>
      <c r="VQP101" s="1"/>
      <c r="VQQ101" s="1"/>
      <c r="VQR101" s="1"/>
      <c r="VQS101" s="1"/>
      <c r="VQT101" s="1"/>
      <c r="VQU101" s="1"/>
      <c r="VQV101" s="1"/>
      <c r="VQW101" s="1"/>
      <c r="VQX101" s="1"/>
      <c r="VQY101" s="1"/>
      <c r="VQZ101" s="1"/>
      <c r="VRA101" s="1"/>
      <c r="VRB101" s="1"/>
      <c r="VRC101" s="1"/>
      <c r="VRD101" s="1"/>
      <c r="VRE101" s="1"/>
      <c r="VRF101" s="1"/>
      <c r="VRG101" s="1"/>
      <c r="VRH101" s="1"/>
      <c r="VRI101" s="1"/>
      <c r="VRJ101" s="1"/>
      <c r="VRK101" s="1"/>
      <c r="VRL101" s="1"/>
      <c r="VRM101" s="1"/>
      <c r="VRN101" s="1"/>
      <c r="VRO101" s="1"/>
      <c r="VRP101" s="1"/>
      <c r="VRQ101" s="1"/>
      <c r="VRR101" s="1"/>
      <c r="VRS101" s="1"/>
      <c r="VRT101" s="1"/>
      <c r="VRU101" s="1"/>
      <c r="VRV101" s="1"/>
      <c r="VRW101" s="1"/>
      <c r="VRX101" s="1"/>
      <c r="VRY101" s="1"/>
      <c r="VRZ101" s="1"/>
      <c r="VSA101" s="1"/>
      <c r="VSB101" s="1"/>
      <c r="VSC101" s="1"/>
      <c r="VSD101" s="1"/>
      <c r="VSE101" s="1"/>
      <c r="VSF101" s="1"/>
      <c r="VSG101" s="1"/>
      <c r="VSH101" s="1"/>
      <c r="VSI101" s="1"/>
      <c r="VSJ101" s="1"/>
      <c r="VSK101" s="1"/>
      <c r="VSL101" s="1"/>
      <c r="VSM101" s="1"/>
      <c r="VSN101" s="1"/>
      <c r="VSO101" s="1"/>
      <c r="VSP101" s="1"/>
      <c r="VSQ101" s="1"/>
      <c r="VSR101" s="1"/>
      <c r="VSS101" s="1"/>
      <c r="VST101" s="1"/>
      <c r="VSU101" s="1"/>
      <c r="VSV101" s="1"/>
      <c r="VSW101" s="1"/>
      <c r="VSX101" s="1"/>
      <c r="VSY101" s="1"/>
      <c r="VSZ101" s="1"/>
      <c r="VTA101" s="1"/>
      <c r="VTB101" s="1"/>
      <c r="VTC101" s="1"/>
      <c r="VTD101" s="1"/>
      <c r="VTE101" s="1"/>
      <c r="VTF101" s="1"/>
      <c r="VTG101" s="1"/>
      <c r="VTH101" s="1"/>
      <c r="VTI101" s="1"/>
      <c r="VTJ101" s="1"/>
      <c r="VTK101" s="1"/>
      <c r="VTL101" s="1"/>
      <c r="VTM101" s="1"/>
      <c r="VTN101" s="1"/>
      <c r="VTO101" s="1"/>
      <c r="VTP101" s="1"/>
      <c r="VTQ101" s="1"/>
      <c r="VTR101" s="1"/>
      <c r="VTS101" s="1"/>
      <c r="VTT101" s="1"/>
      <c r="VTU101" s="1"/>
      <c r="VTV101" s="1"/>
      <c r="VTW101" s="1"/>
      <c r="VTX101" s="1"/>
      <c r="VTY101" s="1"/>
      <c r="VTZ101" s="1"/>
      <c r="VUA101" s="1"/>
      <c r="VUB101" s="1"/>
      <c r="VUC101" s="1"/>
      <c r="VUD101" s="1"/>
      <c r="VUE101" s="1"/>
      <c r="VUF101" s="1"/>
      <c r="VUG101" s="1"/>
      <c r="VUH101" s="1"/>
      <c r="VUI101" s="1"/>
      <c r="VUJ101" s="1"/>
      <c r="VUK101" s="1"/>
      <c r="VUL101" s="1"/>
      <c r="VUM101" s="1"/>
      <c r="VUN101" s="1"/>
      <c r="VUO101" s="1"/>
      <c r="VUP101" s="1"/>
      <c r="VUQ101" s="1"/>
      <c r="VUR101" s="1"/>
      <c r="VUS101" s="1"/>
      <c r="VUT101" s="1"/>
      <c r="VUU101" s="1"/>
      <c r="VUV101" s="1"/>
      <c r="VUW101" s="1"/>
      <c r="VUX101" s="1"/>
      <c r="VUY101" s="1"/>
      <c r="VUZ101" s="1"/>
      <c r="VVA101" s="1"/>
      <c r="VVB101" s="1"/>
      <c r="VVC101" s="1"/>
      <c r="VVD101" s="1"/>
      <c r="VVE101" s="1"/>
      <c r="VVF101" s="1"/>
      <c r="VVG101" s="1"/>
      <c r="VVH101" s="1"/>
      <c r="VVI101" s="1"/>
      <c r="VVJ101" s="1"/>
      <c r="VVK101" s="1"/>
      <c r="VVL101" s="1"/>
      <c r="VVM101" s="1"/>
      <c r="VVN101" s="1"/>
      <c r="VVO101" s="1"/>
      <c r="VVP101" s="1"/>
      <c r="VVQ101" s="1"/>
      <c r="VVR101" s="1"/>
      <c r="VVS101" s="1"/>
      <c r="VVT101" s="1"/>
      <c r="VVU101" s="1"/>
      <c r="VVV101" s="1"/>
      <c r="VVW101" s="1"/>
      <c r="VVX101" s="1"/>
      <c r="VVY101" s="1"/>
      <c r="VVZ101" s="1"/>
      <c r="VWA101" s="1"/>
      <c r="VWB101" s="1"/>
      <c r="VWC101" s="1"/>
      <c r="VWD101" s="1"/>
      <c r="VWE101" s="1"/>
      <c r="VWF101" s="1"/>
      <c r="VWG101" s="1"/>
      <c r="VWH101" s="1"/>
      <c r="VWI101" s="1"/>
      <c r="VWJ101" s="1"/>
      <c r="VWK101" s="1"/>
      <c r="VWL101" s="1"/>
      <c r="VWM101" s="1"/>
      <c r="VWN101" s="1"/>
      <c r="VWO101" s="1"/>
      <c r="VWP101" s="1"/>
      <c r="VWQ101" s="1"/>
      <c r="VWR101" s="1"/>
      <c r="VWS101" s="1"/>
      <c r="VWT101" s="1"/>
      <c r="VWU101" s="1"/>
      <c r="VWV101" s="1"/>
      <c r="VWW101" s="1"/>
      <c r="VWX101" s="1"/>
      <c r="VWY101" s="1"/>
      <c r="VWZ101" s="1"/>
      <c r="VXA101" s="1"/>
      <c r="VXB101" s="1"/>
      <c r="VXC101" s="1"/>
      <c r="VXD101" s="1"/>
      <c r="VXE101" s="1"/>
      <c r="VXF101" s="1"/>
      <c r="VXG101" s="1"/>
      <c r="VXH101" s="1"/>
      <c r="VXI101" s="1"/>
      <c r="VXJ101" s="1"/>
      <c r="VXK101" s="1"/>
      <c r="VXL101" s="1"/>
      <c r="VXM101" s="1"/>
      <c r="VXN101" s="1"/>
      <c r="VXO101" s="1"/>
      <c r="VXP101" s="1"/>
      <c r="VXQ101" s="1"/>
      <c r="VXR101" s="1"/>
      <c r="VXS101" s="1"/>
      <c r="VXT101" s="1"/>
      <c r="VXU101" s="1"/>
      <c r="VXV101" s="1"/>
      <c r="VXW101" s="1"/>
      <c r="VXX101" s="1"/>
      <c r="VXY101" s="1"/>
      <c r="VXZ101" s="1"/>
      <c r="VYA101" s="1"/>
      <c r="VYB101" s="1"/>
      <c r="VYC101" s="1"/>
      <c r="VYD101" s="1"/>
      <c r="VYE101" s="1"/>
      <c r="VYF101" s="1"/>
      <c r="VYG101" s="1"/>
      <c r="VYH101" s="1"/>
      <c r="VYI101" s="1"/>
      <c r="VYJ101" s="1"/>
      <c r="VYK101" s="1"/>
      <c r="VYL101" s="1"/>
      <c r="VYM101" s="1"/>
      <c r="VYN101" s="1"/>
      <c r="VYO101" s="1"/>
      <c r="VYP101" s="1"/>
      <c r="VYQ101" s="1"/>
      <c r="VYR101" s="1"/>
      <c r="VYS101" s="1"/>
      <c r="VYT101" s="1"/>
      <c r="VYU101" s="1"/>
      <c r="VYV101" s="1"/>
      <c r="VYW101" s="1"/>
      <c r="VYX101" s="1"/>
      <c r="VYY101" s="1"/>
      <c r="VYZ101" s="1"/>
      <c r="VZA101" s="1"/>
      <c r="VZB101" s="1"/>
      <c r="VZC101" s="1"/>
      <c r="VZD101" s="1"/>
      <c r="VZE101" s="1"/>
      <c r="VZF101" s="1"/>
      <c r="VZG101" s="1"/>
      <c r="VZH101" s="1"/>
      <c r="VZI101" s="1"/>
      <c r="VZJ101" s="1"/>
      <c r="VZK101" s="1"/>
      <c r="VZL101" s="1"/>
      <c r="VZM101" s="1"/>
      <c r="VZN101" s="1"/>
      <c r="VZO101" s="1"/>
      <c r="VZP101" s="1"/>
      <c r="VZQ101" s="1"/>
      <c r="VZR101" s="1"/>
      <c r="VZS101" s="1"/>
      <c r="VZT101" s="1"/>
      <c r="VZU101" s="1"/>
      <c r="VZV101" s="1"/>
      <c r="VZW101" s="1"/>
      <c r="VZX101" s="1"/>
      <c r="VZY101" s="1"/>
      <c r="VZZ101" s="1"/>
      <c r="WAA101" s="1"/>
      <c r="WAB101" s="1"/>
      <c r="WAC101" s="1"/>
      <c r="WAD101" s="1"/>
      <c r="WAE101" s="1"/>
      <c r="WAF101" s="1"/>
      <c r="WAG101" s="1"/>
      <c r="WAH101" s="1"/>
      <c r="WAI101" s="1"/>
      <c r="WAJ101" s="1"/>
      <c r="WAK101" s="1"/>
      <c r="WAL101" s="1"/>
      <c r="WAM101" s="1"/>
      <c r="WAN101" s="1"/>
      <c r="WAO101" s="1"/>
      <c r="WAP101" s="1"/>
      <c r="WAQ101" s="1"/>
      <c r="WAR101" s="1"/>
      <c r="WAS101" s="1"/>
      <c r="WAT101" s="1"/>
      <c r="WAU101" s="1"/>
      <c r="WAV101" s="1"/>
      <c r="WAW101" s="1"/>
      <c r="WAX101" s="1"/>
      <c r="WAY101" s="1"/>
      <c r="WAZ101" s="1"/>
      <c r="WBA101" s="1"/>
      <c r="WBB101" s="1"/>
      <c r="WBC101" s="1"/>
      <c r="WBD101" s="1"/>
      <c r="WBE101" s="1"/>
      <c r="WBF101" s="1"/>
      <c r="WBG101" s="1"/>
      <c r="WBH101" s="1"/>
      <c r="WBI101" s="1"/>
      <c r="WBJ101" s="1"/>
      <c r="WBK101" s="1"/>
      <c r="WBL101" s="1"/>
      <c r="WBM101" s="1"/>
      <c r="WBN101" s="1"/>
      <c r="WBO101" s="1"/>
      <c r="WBP101" s="1"/>
      <c r="WBQ101" s="1"/>
      <c r="WBR101" s="1"/>
      <c r="WBS101" s="1"/>
      <c r="WBT101" s="1"/>
      <c r="WBU101" s="1"/>
      <c r="WBV101" s="1"/>
      <c r="WBW101" s="1"/>
      <c r="WBX101" s="1"/>
      <c r="WBY101" s="1"/>
      <c r="WBZ101" s="1"/>
      <c r="WCA101" s="1"/>
      <c r="WCB101" s="1"/>
      <c r="WCC101" s="1"/>
      <c r="WCD101" s="1"/>
      <c r="WCE101" s="1"/>
      <c r="WCF101" s="1"/>
      <c r="WCG101" s="1"/>
      <c r="WCH101" s="1"/>
      <c r="WCI101" s="1"/>
      <c r="WCJ101" s="1"/>
      <c r="WCK101" s="1"/>
      <c r="WCL101" s="1"/>
      <c r="WCM101" s="1"/>
      <c r="WCN101" s="1"/>
      <c r="WCO101" s="1"/>
      <c r="WCP101" s="1"/>
      <c r="WCQ101" s="1"/>
      <c r="WCR101" s="1"/>
      <c r="WCS101" s="1"/>
      <c r="WCT101" s="1"/>
      <c r="WCU101" s="1"/>
      <c r="WCV101" s="1"/>
      <c r="WCW101" s="1"/>
      <c r="WCX101" s="1"/>
      <c r="WCY101" s="1"/>
      <c r="WCZ101" s="1"/>
      <c r="WDA101" s="1"/>
      <c r="WDB101" s="1"/>
      <c r="WDC101" s="1"/>
      <c r="WDD101" s="1"/>
      <c r="WDE101" s="1"/>
      <c r="WDF101" s="1"/>
      <c r="WDG101" s="1"/>
      <c r="WDH101" s="1"/>
      <c r="WDI101" s="1"/>
      <c r="WDJ101" s="1"/>
      <c r="WDK101" s="1"/>
      <c r="WDL101" s="1"/>
      <c r="WDM101" s="1"/>
      <c r="WDN101" s="1"/>
      <c r="WDO101" s="1"/>
      <c r="WDP101" s="1"/>
      <c r="WDQ101" s="1"/>
      <c r="WDR101" s="1"/>
      <c r="WDS101" s="1"/>
      <c r="WDT101" s="1"/>
      <c r="WDU101" s="1"/>
      <c r="WDV101" s="1"/>
      <c r="WDW101" s="1"/>
      <c r="WDX101" s="1"/>
      <c r="WDY101" s="1"/>
      <c r="WDZ101" s="1"/>
      <c r="WEA101" s="1"/>
      <c r="WEB101" s="1"/>
      <c r="WEC101" s="1"/>
      <c r="WED101" s="1"/>
      <c r="WEE101" s="1"/>
      <c r="WEF101" s="1"/>
      <c r="WEG101" s="1"/>
      <c r="WEH101" s="1"/>
      <c r="WEI101" s="1"/>
      <c r="WEJ101" s="1"/>
      <c r="WEK101" s="1"/>
      <c r="WEL101" s="1"/>
      <c r="WEM101" s="1"/>
      <c r="WEN101" s="1"/>
      <c r="WEO101" s="1"/>
      <c r="WEP101" s="1"/>
      <c r="WEQ101" s="1"/>
      <c r="WER101" s="1"/>
      <c r="WES101" s="1"/>
      <c r="WET101" s="1"/>
      <c r="WEU101" s="1"/>
      <c r="WEV101" s="1"/>
      <c r="WEW101" s="1"/>
      <c r="WEX101" s="1"/>
      <c r="WEY101" s="1"/>
      <c r="WEZ101" s="1"/>
      <c r="WFA101" s="1"/>
      <c r="WFB101" s="1"/>
      <c r="WFC101" s="1"/>
      <c r="WFD101" s="1"/>
      <c r="WFE101" s="1"/>
      <c r="WFF101" s="1"/>
      <c r="WFG101" s="1"/>
      <c r="WFH101" s="1"/>
      <c r="WFI101" s="1"/>
      <c r="WFJ101" s="1"/>
      <c r="WFK101" s="1"/>
      <c r="WFL101" s="1"/>
      <c r="WFM101" s="1"/>
      <c r="WFN101" s="1"/>
      <c r="WFO101" s="1"/>
      <c r="WFP101" s="1"/>
      <c r="WFQ101" s="1"/>
      <c r="WFR101" s="1"/>
      <c r="WFS101" s="1"/>
      <c r="WFT101" s="1"/>
      <c r="WFU101" s="1"/>
      <c r="WFV101" s="1"/>
      <c r="WFW101" s="1"/>
      <c r="WFX101" s="1"/>
      <c r="WFY101" s="1"/>
      <c r="WFZ101" s="1"/>
      <c r="WGA101" s="1"/>
      <c r="WGB101" s="1"/>
      <c r="WGC101" s="1"/>
      <c r="WGD101" s="1"/>
      <c r="WGE101" s="1"/>
      <c r="WGF101" s="1"/>
      <c r="WGG101" s="1"/>
      <c r="WGH101" s="1"/>
      <c r="WGI101" s="1"/>
      <c r="WGJ101" s="1"/>
      <c r="WGK101" s="1"/>
      <c r="WGL101" s="1"/>
      <c r="WGM101" s="1"/>
      <c r="WGN101" s="1"/>
      <c r="WGO101" s="1"/>
      <c r="WGP101" s="1"/>
      <c r="WGQ101" s="1"/>
      <c r="WGR101" s="1"/>
      <c r="WGS101" s="1"/>
      <c r="WGT101" s="1"/>
      <c r="WGU101" s="1"/>
      <c r="WGV101" s="1"/>
      <c r="WGW101" s="1"/>
      <c r="WGX101" s="1"/>
      <c r="WGY101" s="1"/>
      <c r="WGZ101" s="1"/>
      <c r="WHA101" s="1"/>
      <c r="WHB101" s="1"/>
      <c r="WHC101" s="1"/>
      <c r="WHD101" s="1"/>
      <c r="WHE101" s="1"/>
      <c r="WHF101" s="1"/>
      <c r="WHG101" s="1"/>
      <c r="WHH101" s="1"/>
      <c r="WHI101" s="1"/>
      <c r="WHJ101" s="1"/>
      <c r="WHK101" s="1"/>
      <c r="WHL101" s="1"/>
      <c r="WHM101" s="1"/>
      <c r="WHN101" s="1"/>
      <c r="WHO101" s="1"/>
      <c r="WHP101" s="1"/>
      <c r="WHQ101" s="1"/>
      <c r="WHR101" s="1"/>
      <c r="WHS101" s="1"/>
      <c r="WHT101" s="1"/>
      <c r="WHU101" s="1"/>
      <c r="WHV101" s="1"/>
      <c r="WHW101" s="1"/>
      <c r="WHX101" s="1"/>
      <c r="WHY101" s="1"/>
      <c r="WHZ101" s="1"/>
      <c r="WIA101" s="1"/>
      <c r="WIB101" s="1"/>
      <c r="WIC101" s="1"/>
      <c r="WID101" s="1"/>
      <c r="WIE101" s="1"/>
      <c r="WIF101" s="1"/>
      <c r="WIG101" s="1"/>
      <c r="WIH101" s="1"/>
      <c r="WII101" s="1"/>
      <c r="WIJ101" s="1"/>
      <c r="WIK101" s="1"/>
      <c r="WIL101" s="1"/>
      <c r="WIM101" s="1"/>
      <c r="WIN101" s="1"/>
      <c r="WIO101" s="1"/>
      <c r="WIP101" s="1"/>
      <c r="WIQ101" s="1"/>
      <c r="WIR101" s="1"/>
      <c r="WIS101" s="1"/>
      <c r="WIT101" s="1"/>
      <c r="WIU101" s="1"/>
      <c r="WIV101" s="1"/>
      <c r="WIW101" s="1"/>
      <c r="WIX101" s="1"/>
      <c r="WIY101" s="1"/>
      <c r="WIZ101" s="1"/>
      <c r="WJA101" s="1"/>
      <c r="WJB101" s="1"/>
      <c r="WJC101" s="1"/>
      <c r="WJD101" s="1"/>
      <c r="WJE101" s="1"/>
      <c r="WJF101" s="1"/>
      <c r="WJG101" s="1"/>
      <c r="WJH101" s="1"/>
      <c r="WJI101" s="1"/>
      <c r="WJJ101" s="1"/>
      <c r="WJK101" s="1"/>
      <c r="WJL101" s="1"/>
      <c r="WJM101" s="1"/>
      <c r="WJN101" s="1"/>
      <c r="WJO101" s="1"/>
      <c r="WJP101" s="1"/>
      <c r="WJQ101" s="1"/>
      <c r="WJR101" s="1"/>
      <c r="WJS101" s="1"/>
      <c r="WJT101" s="1"/>
      <c r="WJU101" s="1"/>
      <c r="WJV101" s="1"/>
      <c r="WJW101" s="1"/>
      <c r="WJX101" s="1"/>
      <c r="WJY101" s="1"/>
      <c r="WJZ101" s="1"/>
      <c r="WKA101" s="1"/>
      <c r="WKB101" s="1"/>
      <c r="WKC101" s="1"/>
      <c r="WKD101" s="1"/>
      <c r="WKE101" s="1"/>
      <c r="WKF101" s="1"/>
      <c r="WKG101" s="1"/>
      <c r="WKH101" s="1"/>
      <c r="WKI101" s="1"/>
      <c r="WKJ101" s="1"/>
      <c r="WKK101" s="1"/>
      <c r="WKL101" s="1"/>
      <c r="WKM101" s="1"/>
      <c r="WKN101" s="1"/>
      <c r="WKO101" s="1"/>
      <c r="WKP101" s="1"/>
      <c r="WKQ101" s="1"/>
      <c r="WKR101" s="1"/>
      <c r="WKS101" s="1"/>
      <c r="WKT101" s="1"/>
      <c r="WKU101" s="1"/>
      <c r="WKV101" s="1"/>
      <c r="WKW101" s="1"/>
      <c r="WKX101" s="1"/>
      <c r="WKY101" s="1"/>
      <c r="WKZ101" s="1"/>
      <c r="WLA101" s="1"/>
      <c r="WLB101" s="1"/>
      <c r="WLC101" s="1"/>
      <c r="WLD101" s="1"/>
      <c r="WLE101" s="1"/>
      <c r="WLF101" s="1"/>
      <c r="WLG101" s="1"/>
      <c r="WLH101" s="1"/>
      <c r="WLI101" s="1"/>
      <c r="WLJ101" s="1"/>
      <c r="WLK101" s="1"/>
      <c r="WLL101" s="1"/>
      <c r="WLM101" s="1"/>
      <c r="WLN101" s="1"/>
      <c r="WLO101" s="1"/>
      <c r="WLP101" s="1"/>
      <c r="WLQ101" s="1"/>
      <c r="WLR101" s="1"/>
      <c r="WLS101" s="1"/>
      <c r="WLT101" s="1"/>
      <c r="WLU101" s="1"/>
      <c r="WLV101" s="1"/>
      <c r="WLW101" s="1"/>
      <c r="WLX101" s="1"/>
      <c r="WLY101" s="1"/>
      <c r="WLZ101" s="1"/>
      <c r="WMA101" s="1"/>
      <c r="WMB101" s="1"/>
      <c r="WMC101" s="1"/>
      <c r="WMD101" s="1"/>
      <c r="WME101" s="1"/>
      <c r="WMF101" s="1"/>
      <c r="WMG101" s="1"/>
      <c r="WMH101" s="1"/>
      <c r="WMI101" s="1"/>
      <c r="WMJ101" s="1"/>
      <c r="WMK101" s="1"/>
      <c r="WML101" s="1"/>
      <c r="WMM101" s="1"/>
      <c r="WMN101" s="1"/>
      <c r="WMO101" s="1"/>
      <c r="WMP101" s="1"/>
      <c r="WMQ101" s="1"/>
      <c r="WMR101" s="1"/>
      <c r="WMS101" s="1"/>
      <c r="WMT101" s="1"/>
      <c r="WMU101" s="1"/>
      <c r="WMV101" s="1"/>
      <c r="WMW101" s="1"/>
      <c r="WMX101" s="1"/>
      <c r="WMY101" s="1"/>
      <c r="WMZ101" s="1"/>
      <c r="WNA101" s="1"/>
      <c r="WNB101" s="1"/>
      <c r="WNC101" s="1"/>
      <c r="WND101" s="1"/>
      <c r="WNE101" s="1"/>
      <c r="WNF101" s="1"/>
      <c r="WNG101" s="1"/>
      <c r="WNH101" s="1"/>
      <c r="WNI101" s="1"/>
      <c r="WNJ101" s="1"/>
      <c r="WNK101" s="1"/>
      <c r="WNL101" s="1"/>
      <c r="WNM101" s="1"/>
      <c r="WNN101" s="1"/>
      <c r="WNO101" s="1"/>
      <c r="WNP101" s="1"/>
      <c r="WNQ101" s="1"/>
      <c r="WNR101" s="1"/>
      <c r="WNS101" s="1"/>
      <c r="WNT101" s="1"/>
      <c r="WNU101" s="1"/>
      <c r="WNV101" s="1"/>
      <c r="WNW101" s="1"/>
      <c r="WNX101" s="1"/>
      <c r="WNY101" s="1"/>
      <c r="WNZ101" s="1"/>
      <c r="WOA101" s="1"/>
      <c r="WOB101" s="1"/>
      <c r="WOC101" s="1"/>
      <c r="WOD101" s="1"/>
      <c r="WOE101" s="1"/>
      <c r="WOF101" s="1"/>
      <c r="WOG101" s="1"/>
      <c r="WOH101" s="1"/>
      <c r="WOI101" s="1"/>
      <c r="WOJ101" s="1"/>
      <c r="WOK101" s="1"/>
      <c r="WOL101" s="1"/>
      <c r="WOM101" s="1"/>
      <c r="WON101" s="1"/>
      <c r="WOO101" s="1"/>
      <c r="WOP101" s="1"/>
      <c r="WOQ101" s="1"/>
      <c r="WOR101" s="1"/>
      <c r="WOS101" s="1"/>
      <c r="WOT101" s="1"/>
      <c r="WOU101" s="1"/>
      <c r="WOV101" s="1"/>
      <c r="WOW101" s="1"/>
      <c r="WOX101" s="1"/>
      <c r="WOY101" s="1"/>
      <c r="WOZ101" s="1"/>
      <c r="WPA101" s="1"/>
      <c r="WPB101" s="1"/>
      <c r="WPC101" s="1"/>
      <c r="WPD101" s="1"/>
      <c r="WPE101" s="1"/>
      <c r="WPF101" s="1"/>
      <c r="WPG101" s="1"/>
      <c r="WPH101" s="1"/>
      <c r="WPI101" s="1"/>
      <c r="WPJ101" s="1"/>
      <c r="WPK101" s="1"/>
      <c r="WPL101" s="1"/>
      <c r="WPM101" s="1"/>
      <c r="WPN101" s="1"/>
      <c r="WPO101" s="1"/>
      <c r="WPP101" s="1"/>
      <c r="WPQ101" s="1"/>
      <c r="WPR101" s="1"/>
      <c r="WPS101" s="1"/>
      <c r="WPT101" s="1"/>
      <c r="WPU101" s="1"/>
      <c r="WPV101" s="1"/>
      <c r="WPW101" s="1"/>
      <c r="WPX101" s="1"/>
      <c r="WPY101" s="1"/>
      <c r="WPZ101" s="1"/>
      <c r="WQA101" s="1"/>
      <c r="WQB101" s="1"/>
      <c r="WQC101" s="1"/>
      <c r="WQD101" s="1"/>
      <c r="WQE101" s="1"/>
      <c r="WQF101" s="1"/>
      <c r="WQG101" s="1"/>
      <c r="WQH101" s="1"/>
      <c r="WQI101" s="1"/>
      <c r="WQJ101" s="1"/>
      <c r="WQK101" s="1"/>
      <c r="WQL101" s="1"/>
      <c r="WQM101" s="1"/>
      <c r="WQN101" s="1"/>
      <c r="WQO101" s="1"/>
      <c r="WQP101" s="1"/>
      <c r="WQQ101" s="1"/>
      <c r="WQR101" s="1"/>
      <c r="WQS101" s="1"/>
      <c r="WQT101" s="1"/>
      <c r="WQU101" s="1"/>
      <c r="WQV101" s="1"/>
      <c r="WQW101" s="1"/>
      <c r="WQX101" s="1"/>
      <c r="WQY101" s="1"/>
      <c r="WQZ101" s="1"/>
      <c r="WRA101" s="1"/>
      <c r="WRB101" s="1"/>
      <c r="WRC101" s="1"/>
      <c r="WRD101" s="1"/>
      <c r="WRE101" s="1"/>
      <c r="WRF101" s="1"/>
      <c r="WRG101" s="1"/>
      <c r="WRH101" s="1"/>
      <c r="WRI101" s="1"/>
      <c r="WRJ101" s="1"/>
      <c r="WRK101" s="1"/>
      <c r="WRL101" s="1"/>
      <c r="WRM101" s="1"/>
      <c r="WRN101" s="1"/>
      <c r="WRO101" s="1"/>
      <c r="WRP101" s="1"/>
      <c r="WRQ101" s="1"/>
      <c r="WRR101" s="1"/>
      <c r="WRS101" s="1"/>
      <c r="WRT101" s="1"/>
      <c r="WRU101" s="1"/>
      <c r="WRV101" s="1"/>
      <c r="WRW101" s="1"/>
      <c r="WRX101" s="1"/>
      <c r="WRY101" s="1"/>
      <c r="WRZ101" s="1"/>
      <c r="WSA101" s="1"/>
      <c r="WSB101" s="1"/>
      <c r="WSC101" s="1"/>
      <c r="WSD101" s="1"/>
      <c r="WSE101" s="1"/>
      <c r="WSF101" s="1"/>
      <c r="WSG101" s="1"/>
      <c r="WSH101" s="1"/>
      <c r="WSI101" s="1"/>
      <c r="WSJ101" s="1"/>
      <c r="WSK101" s="1"/>
      <c r="WSL101" s="1"/>
      <c r="WSM101" s="1"/>
      <c r="WSN101" s="1"/>
      <c r="WSO101" s="1"/>
      <c r="WSP101" s="1"/>
      <c r="WSQ101" s="1"/>
      <c r="WSR101" s="1"/>
      <c r="WSS101" s="1"/>
      <c r="WST101" s="1"/>
      <c r="WSU101" s="1"/>
      <c r="WSV101" s="1"/>
      <c r="WSW101" s="1"/>
      <c r="WSX101" s="1"/>
      <c r="WSY101" s="1"/>
      <c r="WSZ101" s="1"/>
      <c r="WTA101" s="1"/>
      <c r="WTB101" s="1"/>
      <c r="WTC101" s="1"/>
      <c r="WTD101" s="1"/>
      <c r="WTE101" s="1"/>
      <c r="WTF101" s="1"/>
      <c r="WTG101" s="1"/>
      <c r="WTH101" s="1"/>
      <c r="WTI101" s="1"/>
      <c r="WTJ101" s="1"/>
      <c r="WTK101" s="1"/>
      <c r="WTL101" s="1"/>
      <c r="WTM101" s="1"/>
      <c r="WTN101" s="1"/>
      <c r="WTO101" s="1"/>
      <c r="WTP101" s="1"/>
      <c r="WTQ101" s="1"/>
      <c r="WTR101" s="1"/>
      <c r="WTS101" s="1"/>
      <c r="WTT101" s="1"/>
      <c r="WTU101" s="1"/>
      <c r="WTV101" s="1"/>
      <c r="WTW101" s="1"/>
      <c r="WTX101" s="1"/>
      <c r="WTY101" s="1"/>
      <c r="WTZ101" s="1"/>
      <c r="WUA101" s="1"/>
      <c r="WUB101" s="1"/>
      <c r="WUC101" s="1"/>
      <c r="WUD101" s="1"/>
      <c r="WUE101" s="1"/>
      <c r="WUF101" s="1"/>
      <c r="WUG101" s="1"/>
      <c r="WUH101" s="1"/>
      <c r="WUI101" s="1"/>
      <c r="WUJ101" s="1"/>
      <c r="WUK101" s="1"/>
      <c r="WUL101" s="1"/>
      <c r="WUM101" s="1"/>
      <c r="WUN101" s="1"/>
      <c r="WUO101" s="1"/>
      <c r="WUP101" s="1"/>
      <c r="WUQ101" s="1"/>
      <c r="WUR101" s="1"/>
      <c r="WUS101" s="1"/>
      <c r="WUT101" s="1"/>
      <c r="WUU101" s="1"/>
      <c r="WUV101" s="1"/>
      <c r="WUW101" s="1"/>
      <c r="WUX101" s="1"/>
      <c r="WUY101" s="1"/>
      <c r="WUZ101" s="1"/>
      <c r="WVA101" s="1"/>
      <c r="WVB101" s="1"/>
      <c r="WVC101" s="1"/>
      <c r="WVD101" s="1"/>
      <c r="WVE101" s="1"/>
      <c r="WVF101" s="1"/>
      <c r="WVG101" s="1"/>
      <c r="WVH101" s="1"/>
      <c r="WVI101" s="1"/>
      <c r="WVJ101" s="1"/>
      <c r="WVK101" s="1"/>
      <c r="WVL101" s="1"/>
      <c r="WVM101" s="1"/>
      <c r="WVN101" s="1"/>
      <c r="WVO101" s="1"/>
      <c r="WVP101" s="1"/>
      <c r="WVQ101" s="1"/>
      <c r="WVR101" s="1"/>
      <c r="WVS101" s="1"/>
      <c r="WVT101" s="1"/>
      <c r="WVU101" s="1"/>
      <c r="WVV101" s="1"/>
      <c r="WVW101" s="1"/>
      <c r="WVX101" s="1"/>
      <c r="WVY101" s="1"/>
      <c r="WVZ101" s="1"/>
      <c r="WWA101" s="1"/>
      <c r="WWB101" s="1"/>
      <c r="WWC101" s="1"/>
      <c r="WWD101" s="1"/>
      <c r="WWE101" s="1"/>
      <c r="WWF101" s="1"/>
      <c r="WWG101" s="1"/>
      <c r="WWH101" s="1"/>
      <c r="WWI101" s="1"/>
      <c r="WWJ101" s="1"/>
      <c r="WWK101" s="1"/>
      <c r="WWL101" s="1"/>
      <c r="WWM101" s="1"/>
      <c r="WWN101" s="1"/>
      <c r="WWO101" s="1"/>
      <c r="WWP101" s="1"/>
      <c r="WWQ101" s="1"/>
      <c r="WWR101" s="1"/>
      <c r="WWS101" s="1"/>
      <c r="WWT101" s="1"/>
      <c r="WWU101" s="1"/>
      <c r="WWV101" s="1"/>
      <c r="WWW101" s="1"/>
      <c r="WWX101" s="1"/>
      <c r="WWY101" s="1"/>
      <c r="WWZ101" s="1"/>
      <c r="WXA101" s="1"/>
      <c r="WXB101" s="1"/>
      <c r="WXC101" s="1"/>
      <c r="WXD101" s="1"/>
      <c r="WXE101" s="1"/>
      <c r="WXF101" s="1"/>
      <c r="WXG101" s="1"/>
      <c r="WXH101" s="1"/>
      <c r="WXI101" s="1"/>
      <c r="WXJ101" s="1"/>
      <c r="WXK101" s="1"/>
      <c r="WXL101" s="1"/>
      <c r="WXM101" s="1"/>
      <c r="WXN101" s="1"/>
      <c r="WXO101" s="1"/>
      <c r="WXP101" s="1"/>
      <c r="WXQ101" s="1"/>
      <c r="WXR101" s="1"/>
      <c r="WXS101" s="1"/>
      <c r="WXT101" s="1"/>
      <c r="WXU101" s="1"/>
      <c r="WXV101" s="1"/>
      <c r="WXW101" s="1"/>
      <c r="WXX101" s="1"/>
      <c r="WXY101" s="1"/>
      <c r="WXZ101" s="1"/>
      <c r="WYA101" s="1"/>
      <c r="WYB101" s="1"/>
      <c r="WYC101" s="1"/>
      <c r="WYD101" s="1"/>
      <c r="WYE101" s="1"/>
      <c r="WYF101" s="1"/>
      <c r="WYG101" s="1"/>
      <c r="WYH101" s="1"/>
      <c r="WYI101" s="1"/>
      <c r="WYJ101" s="1"/>
      <c r="WYK101" s="1"/>
      <c r="WYL101" s="1"/>
      <c r="WYM101" s="1"/>
      <c r="WYN101" s="1"/>
      <c r="WYO101" s="1"/>
      <c r="WYP101" s="1"/>
      <c r="WYQ101" s="1"/>
      <c r="WYR101" s="1"/>
      <c r="WYS101" s="1"/>
      <c r="WYT101" s="1"/>
      <c r="WYU101" s="1"/>
      <c r="WYV101" s="1"/>
      <c r="WYW101" s="1"/>
      <c r="WYX101" s="1"/>
      <c r="WYY101" s="1"/>
      <c r="WYZ101" s="1"/>
      <c r="WZA101" s="1"/>
      <c r="WZB101" s="1"/>
      <c r="WZC101" s="1"/>
      <c r="WZD101" s="1"/>
      <c r="WZE101" s="1"/>
      <c r="WZF101" s="1"/>
      <c r="WZG101" s="1"/>
      <c r="WZH101" s="1"/>
      <c r="WZI101" s="1"/>
      <c r="WZJ101" s="1"/>
      <c r="WZK101" s="1"/>
      <c r="WZL101" s="1"/>
      <c r="WZM101" s="1"/>
      <c r="WZN101" s="1"/>
      <c r="WZO101" s="1"/>
      <c r="WZP101" s="1"/>
      <c r="WZQ101" s="1"/>
      <c r="WZR101" s="1"/>
      <c r="WZS101" s="1"/>
      <c r="WZT101" s="1"/>
      <c r="WZU101" s="1"/>
      <c r="WZV101" s="1"/>
      <c r="WZW101" s="1"/>
      <c r="WZX101" s="1"/>
      <c r="WZY101" s="1"/>
      <c r="WZZ101" s="1"/>
      <c r="XAA101" s="1"/>
      <c r="XAB101" s="1"/>
      <c r="XAC101" s="1"/>
      <c r="XAD101" s="1"/>
      <c r="XAE101" s="1"/>
      <c r="XAF101" s="1"/>
      <c r="XAG101" s="1"/>
      <c r="XAH101" s="1"/>
      <c r="XAI101" s="1"/>
      <c r="XAJ101" s="1"/>
      <c r="XAK101" s="1"/>
      <c r="XAL101" s="1"/>
      <c r="XAM101" s="1"/>
      <c r="XAN101" s="1"/>
      <c r="XAO101" s="1"/>
      <c r="XAP101" s="1"/>
      <c r="XAQ101" s="1"/>
      <c r="XAR101" s="1"/>
      <c r="XAS101" s="1"/>
      <c r="XAT101" s="1"/>
      <c r="XAU101" s="1"/>
      <c r="XAV101" s="1"/>
      <c r="XAW101" s="1"/>
      <c r="XAX101" s="1"/>
      <c r="XAY101" s="1"/>
      <c r="XAZ101" s="1"/>
      <c r="XBA101" s="1"/>
      <c r="XBB101" s="1"/>
      <c r="XBC101" s="1"/>
      <c r="XBD101" s="1"/>
      <c r="XBE101" s="1"/>
      <c r="XBF101" s="1"/>
      <c r="XBG101" s="1"/>
      <c r="XBH101" s="1"/>
      <c r="XBI101" s="1"/>
      <c r="XBJ101" s="1"/>
      <c r="XBK101" s="1"/>
      <c r="XBL101" s="1"/>
      <c r="XBM101" s="1"/>
      <c r="XBN101" s="1"/>
      <c r="XBO101" s="1"/>
      <c r="XBP101" s="1"/>
      <c r="XBQ101" s="1"/>
      <c r="XBR101" s="1"/>
      <c r="XBS101" s="1"/>
      <c r="XBT101" s="1"/>
      <c r="XBU101" s="1"/>
      <c r="XBV101" s="1"/>
      <c r="XBW101" s="1"/>
      <c r="XBX101" s="1"/>
      <c r="XBY101" s="1"/>
      <c r="XBZ101" s="1"/>
      <c r="XCA101" s="1"/>
      <c r="XCB101" s="1"/>
      <c r="XCC101" s="1"/>
      <c r="XCD101" s="1"/>
      <c r="XCE101" s="1"/>
      <c r="XCF101" s="1"/>
      <c r="XCG101" s="1"/>
      <c r="XCH101" s="1"/>
      <c r="XCI101" s="1"/>
      <c r="XCJ101" s="1"/>
      <c r="XCK101" s="1"/>
      <c r="XCL101" s="1"/>
      <c r="XCM101" s="1"/>
      <c r="XCN101" s="1"/>
      <c r="XCO101" s="1"/>
      <c r="XCP101" s="1"/>
      <c r="XCQ101" s="1"/>
      <c r="XCR101" s="1"/>
      <c r="XCS101" s="1"/>
      <c r="XCT101" s="1"/>
      <c r="XCU101" s="1"/>
      <c r="XCV101" s="1"/>
      <c r="XCW101" s="1"/>
      <c r="XCX101" s="1"/>
      <c r="XCY101" s="1"/>
      <c r="XCZ101" s="1"/>
      <c r="XDA101" s="1"/>
      <c r="XDB101" s="1"/>
      <c r="XDC101" s="1"/>
      <c r="XDD101" s="1"/>
      <c r="XDE101" s="1"/>
      <c r="XDF101" s="1"/>
      <c r="XDG101" s="1"/>
      <c r="XDH101" s="1"/>
      <c r="XDI101" s="1"/>
      <c r="XDJ101" s="1"/>
      <c r="XDK101" s="1"/>
      <c r="XDL101" s="1"/>
      <c r="XDM101" s="1"/>
      <c r="XDN101" s="1"/>
      <c r="XDO101" s="1"/>
      <c r="XDP101" s="1"/>
      <c r="XDQ101" s="1"/>
      <c r="XDR101" s="1"/>
      <c r="XDS101" s="1"/>
      <c r="XDT101" s="1"/>
      <c r="XDU101" s="1"/>
      <c r="XDV101" s="1"/>
      <c r="XDW101" s="1"/>
      <c r="XDX101" s="1"/>
      <c r="XDY101" s="1"/>
      <c r="XDZ101" s="1"/>
      <c r="XEA101" s="1"/>
      <c r="XEB101" s="1"/>
      <c r="XEC101" s="1"/>
      <c r="XED101" s="1"/>
      <c r="XEE101" s="1"/>
      <c r="XEF101" s="1"/>
      <c r="XEG101" s="1"/>
      <c r="XEH101" s="1"/>
      <c r="XEI101" s="1"/>
      <c r="XEJ101" s="1"/>
      <c r="XEK101" s="1"/>
      <c r="XEL101" s="1"/>
      <c r="XEM101" s="1"/>
      <c r="XEN101" s="1"/>
      <c r="XEO101" s="1"/>
      <c r="XEP101" s="1"/>
      <c r="XEQ101" s="1"/>
      <c r="XER101" s="1"/>
      <c r="XES101" s="1"/>
      <c r="XET101" s="1"/>
      <c r="XEU101" s="1"/>
      <c r="XEV101" s="1"/>
      <c r="XEW101" s="1"/>
      <c r="XEX101" s="1"/>
      <c r="XEY101" s="1"/>
      <c r="XEZ101" s="1"/>
      <c r="XFA101" s="1"/>
      <c r="XFB101" s="1"/>
    </row>
    <row r="102" spans="1:16382" ht="12.75" hidden="1" customHeight="1">
      <c r="A102" s="74"/>
      <c r="G102" s="2"/>
      <c r="H102" s="2"/>
      <c r="J102" s="19"/>
      <c r="K102" s="122"/>
      <c r="L102" s="123"/>
      <c r="M102" s="123"/>
      <c r="N102" s="123"/>
      <c r="O102" s="23"/>
      <c r="P102" s="23"/>
      <c r="Q102" s="23"/>
      <c r="R102" s="23"/>
    </row>
    <row r="103" spans="1:16382" hidden="1">
      <c r="G103" s="2"/>
      <c r="H103" s="2"/>
      <c r="J103" s="19"/>
      <c r="K103" s="60"/>
      <c r="L103" s="60"/>
      <c r="M103" s="60"/>
      <c r="N103" s="60"/>
      <c r="O103" s="123"/>
      <c r="P103" s="23"/>
      <c r="Q103" s="23"/>
      <c r="R103" s="23"/>
    </row>
    <row r="104" spans="1:16382" ht="3.75" hidden="1" customHeight="1">
      <c r="G104" s="2"/>
      <c r="H104" s="2"/>
      <c r="J104" s="19"/>
      <c r="K104" s="122"/>
      <c r="L104" s="24"/>
      <c r="M104" s="24"/>
      <c r="N104" s="24"/>
      <c r="O104" s="123"/>
      <c r="P104" s="23"/>
      <c r="Q104" s="23"/>
      <c r="R104" s="23"/>
    </row>
    <row r="105" spans="1:16382" hidden="1">
      <c r="J105" s="19"/>
      <c r="K105" s="122"/>
      <c r="L105" s="24"/>
      <c r="M105" s="24"/>
      <c r="N105" s="24"/>
      <c r="O105" s="123"/>
      <c r="P105" s="23"/>
      <c r="Q105" s="23"/>
      <c r="R105" s="23"/>
    </row>
    <row r="106" spans="1:16382" hidden="1">
      <c r="J106" s="19"/>
      <c r="K106" s="61"/>
      <c r="L106" s="24"/>
      <c r="M106" s="24"/>
      <c r="N106" s="24"/>
      <c r="O106" s="123"/>
      <c r="P106" s="23"/>
      <c r="Q106" s="23"/>
      <c r="R106" s="23"/>
    </row>
    <row r="107" spans="1:16382" hidden="1">
      <c r="J107" s="19"/>
      <c r="K107" s="61"/>
      <c r="L107" s="24"/>
      <c r="M107" s="24"/>
      <c r="N107" s="24"/>
      <c r="O107" s="62"/>
      <c r="P107" s="23"/>
      <c r="Q107" s="23"/>
      <c r="R107" s="23"/>
    </row>
    <row r="108" spans="1:16382" hidden="1">
      <c r="J108" s="23"/>
      <c r="K108" s="23"/>
      <c r="L108" s="23"/>
      <c r="M108" s="23"/>
      <c r="N108" s="23"/>
      <c r="O108" s="23"/>
      <c r="P108" s="23"/>
      <c r="Q108" s="23"/>
      <c r="R108" s="23"/>
    </row>
    <row r="109" spans="1:16382" hidden="1">
      <c r="J109" s="23"/>
      <c r="K109" s="303"/>
      <c r="L109" s="303"/>
      <c r="M109" s="303"/>
      <c r="N109" s="303"/>
      <c r="O109" s="303"/>
      <c r="P109" s="303"/>
      <c r="Q109" s="303"/>
      <c r="R109" s="303"/>
    </row>
    <row r="110" spans="1:16382" ht="3.75" hidden="1" customHeight="1">
      <c r="J110" s="23"/>
      <c r="K110" s="303"/>
      <c r="L110" s="303"/>
      <c r="M110" s="303"/>
      <c r="N110" s="303"/>
      <c r="O110" s="303"/>
      <c r="P110" s="303"/>
      <c r="Q110" s="303"/>
      <c r="R110" s="303"/>
    </row>
    <row r="111" spans="1:16382" ht="12.75" hidden="1" customHeight="1">
      <c r="J111" s="23"/>
      <c r="K111" s="303"/>
      <c r="L111" s="303"/>
      <c r="M111" s="303"/>
      <c r="N111" s="303"/>
      <c r="O111" s="303"/>
      <c r="P111" s="303"/>
      <c r="Q111" s="303"/>
      <c r="R111" s="303"/>
    </row>
    <row r="112" spans="1:16382" hidden="1">
      <c r="J112" s="23"/>
      <c r="K112" s="23"/>
      <c r="L112" s="23"/>
      <c r="M112" s="23"/>
      <c r="N112" s="23"/>
      <c r="O112" s="23"/>
      <c r="P112" s="23"/>
      <c r="Q112" s="23"/>
      <c r="R112" s="23"/>
    </row>
    <row r="113" spans="10:18" ht="10.5" hidden="1" customHeight="1">
      <c r="J113" s="23"/>
      <c r="K113" s="23"/>
      <c r="L113" s="23"/>
      <c r="M113" s="23"/>
      <c r="N113" s="23"/>
      <c r="O113" s="23"/>
      <c r="P113" s="23"/>
      <c r="Q113" s="23"/>
      <c r="R113" s="23"/>
    </row>
    <row r="114" spans="10:18" ht="10.5" hidden="1" customHeight="1">
      <c r="J114" s="23"/>
      <c r="K114" s="23"/>
      <c r="L114" s="23"/>
      <c r="M114" s="23"/>
      <c r="N114" s="23"/>
      <c r="O114" s="23"/>
      <c r="P114" s="23"/>
      <c r="Q114" s="23"/>
      <c r="R114" s="23"/>
    </row>
    <row r="115" spans="10:18" hidden="1">
      <c r="J115" s="23"/>
      <c r="K115" s="23"/>
      <c r="L115" s="23"/>
      <c r="M115" s="23"/>
      <c r="N115" s="23"/>
      <c r="O115" s="23"/>
      <c r="P115" s="23"/>
      <c r="Q115" s="23"/>
      <c r="R115" s="23"/>
    </row>
    <row r="116" spans="10:18" hidden="1">
      <c r="J116" s="23"/>
      <c r="K116" s="23"/>
      <c r="L116" s="23"/>
      <c r="M116" s="23"/>
      <c r="N116" s="23"/>
      <c r="O116" s="23"/>
      <c r="P116" s="23"/>
      <c r="Q116" s="23"/>
      <c r="R116" s="23"/>
    </row>
    <row r="117" spans="10:18" hidden="1">
      <c r="J117" s="23"/>
      <c r="K117" s="23"/>
      <c r="L117" s="23"/>
      <c r="M117" s="23"/>
      <c r="N117" s="23"/>
      <c r="O117" s="23"/>
      <c r="P117" s="23"/>
      <c r="Q117" s="23"/>
      <c r="R117" s="23"/>
    </row>
    <row r="118" spans="10:18" hidden="1">
      <c r="J118" s="23"/>
      <c r="K118" s="23"/>
      <c r="L118" s="23"/>
      <c r="M118" s="23"/>
      <c r="N118" s="23"/>
      <c r="O118" s="23"/>
      <c r="P118" s="23"/>
      <c r="Q118" s="23"/>
      <c r="R118" s="23"/>
    </row>
    <row r="119" spans="10:18" hidden="1">
      <c r="J119" s="23"/>
      <c r="K119" s="23"/>
      <c r="L119" s="23"/>
      <c r="M119" s="23"/>
      <c r="N119" s="23"/>
      <c r="O119" s="23"/>
      <c r="P119" s="23"/>
      <c r="Q119" s="23"/>
      <c r="R119" s="23"/>
    </row>
    <row r="120" spans="10:18" hidden="1">
      <c r="J120" s="23"/>
      <c r="K120" s="23"/>
      <c r="L120" s="23"/>
      <c r="M120" s="23"/>
      <c r="N120" s="23"/>
      <c r="O120" s="23"/>
      <c r="P120" s="23"/>
      <c r="Q120" s="23"/>
      <c r="R120" s="23"/>
    </row>
    <row r="121" spans="10:18" hidden="1">
      <c r="J121" s="23"/>
      <c r="K121" s="23"/>
      <c r="L121" s="23"/>
      <c r="M121" s="23"/>
      <c r="N121" s="23"/>
      <c r="O121" s="23"/>
      <c r="P121" s="23"/>
      <c r="Q121" s="23"/>
      <c r="R121" s="23"/>
    </row>
    <row r="122" spans="10:18" hidden="1">
      <c r="J122" s="23"/>
      <c r="K122" s="23"/>
      <c r="L122" s="23"/>
      <c r="M122" s="23"/>
      <c r="N122" s="23"/>
      <c r="O122" s="23"/>
      <c r="P122" s="23"/>
      <c r="Q122" s="23"/>
      <c r="R122" s="23"/>
    </row>
    <row r="123" spans="10:18" hidden="1">
      <c r="J123" s="23"/>
      <c r="K123" s="23"/>
      <c r="L123" s="23"/>
      <c r="M123" s="23"/>
      <c r="N123" s="23"/>
      <c r="O123" s="23"/>
      <c r="P123" s="23"/>
      <c r="Q123" s="23"/>
      <c r="R123" s="23"/>
    </row>
    <row r="124" spans="10:18" hidden="1">
      <c r="J124" s="23"/>
      <c r="K124" s="23"/>
      <c r="L124" s="23"/>
      <c r="M124" s="23"/>
      <c r="N124" s="23"/>
      <c r="O124" s="23"/>
      <c r="P124" s="23"/>
      <c r="Q124" s="23"/>
      <c r="R124" s="23"/>
    </row>
    <row r="125" spans="10:18" hidden="1">
      <c r="J125" s="23"/>
      <c r="K125" s="23"/>
      <c r="L125" s="23"/>
      <c r="M125" s="23"/>
      <c r="N125" s="23"/>
      <c r="O125" s="23"/>
      <c r="P125" s="23"/>
      <c r="Q125" s="23"/>
      <c r="R125" s="23"/>
    </row>
    <row r="126" spans="10:18" hidden="1">
      <c r="J126" s="23"/>
      <c r="K126" s="23"/>
      <c r="L126" s="23"/>
      <c r="M126" s="23"/>
      <c r="N126" s="23"/>
      <c r="O126" s="23"/>
      <c r="P126" s="23"/>
      <c r="Q126" s="23"/>
      <c r="R126" s="23"/>
    </row>
    <row r="127" spans="10:18" hidden="1">
      <c r="J127" s="23"/>
      <c r="K127" s="23"/>
      <c r="L127" s="23"/>
      <c r="M127" s="23"/>
      <c r="N127" s="23"/>
      <c r="O127" s="23"/>
      <c r="P127" s="23"/>
      <c r="Q127" s="23"/>
      <c r="R127" s="23"/>
    </row>
    <row r="128" spans="10:18" hidden="1">
      <c r="J128" s="23"/>
      <c r="K128" s="23"/>
      <c r="L128" s="23"/>
      <c r="M128" s="23"/>
      <c r="N128" s="23"/>
      <c r="O128" s="23"/>
      <c r="P128" s="23"/>
      <c r="Q128" s="23"/>
      <c r="R128" s="23"/>
    </row>
    <row r="129" spans="10:18" hidden="1">
      <c r="J129" s="23"/>
      <c r="K129" s="23"/>
      <c r="L129" s="23"/>
      <c r="M129" s="23"/>
      <c r="N129" s="23"/>
      <c r="O129" s="23"/>
      <c r="P129" s="23"/>
      <c r="Q129" s="23"/>
      <c r="R129" s="23"/>
    </row>
    <row r="130" spans="10:18" hidden="1">
      <c r="J130" s="23"/>
      <c r="K130" s="23"/>
      <c r="L130" s="23"/>
      <c r="M130" s="23"/>
      <c r="N130" s="23"/>
      <c r="O130" s="23"/>
      <c r="P130" s="23"/>
      <c r="Q130" s="23"/>
      <c r="R130" s="23"/>
    </row>
    <row r="131" spans="10:18" hidden="1">
      <c r="J131" s="23"/>
      <c r="K131" s="23"/>
      <c r="L131" s="23"/>
      <c r="M131" s="23"/>
      <c r="N131" s="23"/>
      <c r="O131" s="23"/>
      <c r="P131" s="23"/>
      <c r="Q131" s="23"/>
      <c r="R131" s="23"/>
    </row>
    <row r="132" spans="10:18" hidden="1">
      <c r="J132" s="23"/>
      <c r="K132" s="23"/>
      <c r="L132" s="23"/>
      <c r="M132" s="23"/>
      <c r="N132" s="23"/>
      <c r="O132" s="23"/>
      <c r="P132" s="23"/>
      <c r="Q132" s="23"/>
      <c r="R132" s="23"/>
    </row>
    <row r="133" spans="10:18" hidden="1">
      <c r="J133" s="23"/>
      <c r="K133" s="23"/>
      <c r="L133" s="23"/>
      <c r="M133" s="23"/>
      <c r="N133" s="23"/>
      <c r="O133" s="23"/>
      <c r="P133" s="23"/>
      <c r="Q133" s="23"/>
      <c r="R133" s="23"/>
    </row>
    <row r="134" spans="10:18" hidden="1">
      <c r="J134" s="23"/>
      <c r="K134" s="23"/>
      <c r="L134" s="23"/>
      <c r="M134" s="23"/>
      <c r="N134" s="23"/>
      <c r="O134" s="23"/>
      <c r="P134" s="23"/>
      <c r="Q134" s="23"/>
      <c r="R134" s="23"/>
    </row>
    <row r="135" spans="10:18" hidden="1">
      <c r="J135" s="23"/>
      <c r="K135" s="23"/>
      <c r="L135" s="23"/>
      <c r="M135" s="23"/>
      <c r="N135" s="23"/>
      <c r="O135" s="23"/>
      <c r="P135" s="23"/>
      <c r="Q135" s="23"/>
      <c r="R135" s="23"/>
    </row>
    <row r="136" spans="10:18" hidden="1">
      <c r="J136" s="23"/>
      <c r="K136" s="23"/>
      <c r="L136" s="23"/>
      <c r="M136" s="23"/>
      <c r="N136" s="23"/>
      <c r="O136" s="23"/>
      <c r="P136" s="23"/>
      <c r="Q136" s="23"/>
      <c r="R136" s="23"/>
    </row>
    <row r="218" ht="12" hidden="1" customHeight="1"/>
    <row r="229"/>
    <row r="230"/>
    <row r="231"/>
  </sheetData>
  <sheetProtection algorithmName="SHA-512" hashValue="dH50xAExwCrHjjjoHmsa68Bh+zOAFkQrgLs7BVzYDRRMco6eK4dUWMLa+1lVf+kf3aybHCkrV0/TTCj9fnclcA==" saltValue="XXvc4ywclwbyqBvk+X0L6A==" spinCount="100000" sheet="1" objects="1" scenarios="1" selectLockedCells="1"/>
  <dataConsolidate/>
  <mergeCells count="30">
    <mergeCell ref="E5:E6"/>
    <mergeCell ref="B2:C2"/>
    <mergeCell ref="B3:C3"/>
    <mergeCell ref="B5:D6"/>
    <mergeCell ref="B16:B17"/>
    <mergeCell ref="C16:C17"/>
    <mergeCell ref="D16:D17"/>
    <mergeCell ref="C12:C13"/>
    <mergeCell ref="D12:D13"/>
    <mergeCell ref="E16:E17"/>
    <mergeCell ref="E22:E23"/>
    <mergeCell ref="B12:B13"/>
    <mergeCell ref="F20:F21"/>
    <mergeCell ref="M97:N97"/>
    <mergeCell ref="M95:N95"/>
    <mergeCell ref="B34:B35"/>
    <mergeCell ref="C34:C35"/>
    <mergeCell ref="D34:D35"/>
    <mergeCell ref="E34:E35"/>
    <mergeCell ref="K84:N84"/>
    <mergeCell ref="D49:E49"/>
    <mergeCell ref="F22:F23"/>
    <mergeCell ref="B22:B23"/>
    <mergeCell ref="C22:C23"/>
    <mergeCell ref="D22:D23"/>
    <mergeCell ref="K109:R109"/>
    <mergeCell ref="K110:R111"/>
    <mergeCell ref="L101:N101"/>
    <mergeCell ref="K99:L99"/>
    <mergeCell ref="M96:N96"/>
  </mergeCells>
  <phoneticPr fontId="0" type="noConversion"/>
  <dataValidations count="4">
    <dataValidation type="list" allowBlank="1" showInputMessage="1" showErrorMessage="1" sqref="D7">
      <formula1>"ANUAL,CORTO PLAZO"</formula1>
    </dataValidation>
    <dataValidation type="list" allowBlank="1" showInputMessage="1" showErrorMessage="1" sqref="C19">
      <formula1>"-,REEMBOLSO DE GASTOS MEDICOS POR ACCIDENTE"</formula1>
    </dataValidation>
    <dataValidation type="list" allowBlank="1" showInputMessage="1" showErrorMessage="1" sqref="D24:D31">
      <formula1>"HOMBRE,MUJER"</formula1>
    </dataValidation>
    <dataValidation type="decimal" allowBlank="1" showInputMessage="1" showErrorMessage="1" sqref="E44">
      <formula1>0</formula1>
      <formula2>0.25</formula2>
    </dataValidation>
  </dataValidations>
  <printOptions horizontalCentered="1" verticalCentered="1"/>
  <pageMargins left="0.39370078740157483" right="0.39370078740157483" top="0.39370078740157483" bottom="0.39370078740157483" header="0" footer="0"/>
  <pageSetup scale="10" orientation="landscape" r:id="rId1"/>
  <headerFooter alignWithMargins="0"/>
  <cellWatches>
    <cellWatch r="D7"/>
  </cellWatche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60" r:id="rId4" name="Button 16">
              <controlPr defaultSize="0" print="0" autoFill="0" autoPict="0" macro="[0]!Botón16_Haga_clic_en">
                <anchor>
                  <from>
                    <xdr:col>0</xdr:col>
                    <xdr:colOff>127000</xdr:colOff>
                    <xdr:row>19</xdr:row>
                    <xdr:rowOff>152400</xdr:rowOff>
                  </from>
                  <to>
                    <xdr:col>1</xdr:col>
                    <xdr:colOff>971550</xdr:colOff>
                    <xdr:row>20</xdr:row>
                    <xdr:rowOff>152400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 showErrorMessage="1">
          <x14:formula1>
            <xm:f>OFFSET(FACTORES!$B$3,0,0,FACTORES!$A$2)</xm:f>
          </x14:formula1>
          <xm:sqref>D8</xm:sqref>
        </x14:dataValidation>
        <x14:dataValidation type="list" allowBlank="1" showInputMessage="1" showErrorMessage="1">
          <x14:formula1>
            <xm:f>FACTORES!$AG$2:$AG$4</xm:f>
          </x14:formula1>
          <xm:sqref>C18</xm:sqref>
        </x14:dataValidation>
        <x14:dataValidation type="list" allowBlank="1" showInputMessage="1" showErrorMessage="1">
          <x14:formula1>
            <xm:f>FACTORES!$Q$3:$Q$18</xm:f>
          </x14:formula1>
          <xm:sqref>E19</xm:sqref>
        </x14:dataValidation>
        <x14:dataValidation type="list" allowBlank="1" showInputMessage="1" showErrorMessage="1">
          <x14:formula1>
            <xm:f>FACTORES!$AO$2:$AO$299</xm:f>
          </x14:formula1>
          <xm:sqref>F24:F31</xm:sqref>
        </x14:dataValidation>
        <x14:dataValidation type="list" allowBlank="1" showInputMessage="1" showErrorMessage="1">
          <x14:formula1>
            <xm:f>OFFSET(FACTORES!$E$2,0,0,FACTORES!$H$1)</xm:f>
          </x14:formula1>
          <xm:sqref>D18</xm:sqref>
        </x14:dataValidation>
        <x14:dataValidation type="list" allowBlank="1" showInputMessage="1" showErrorMessage="1">
          <x14:formula1>
            <xm:f>OFFSET(FACTORES!$F$2,0,0,FACTORES!$H$2)</xm:f>
          </x14:formula1>
          <xm:sqref>D19</xm:sqref>
        </x14:dataValidation>
        <x14:dataValidation type="list" allowBlank="1" showInputMessage="1" showErrorMessage="1">
          <x14:formula1>
            <xm:f>FACTORES!$D$2:$D$19</xm:f>
          </x14:formula1>
          <xm:sqref>D14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AW366"/>
  <sheetViews>
    <sheetView topLeftCell="G1" zoomScale="80" zoomScaleNormal="80" workbookViewId="0">
      <selection activeCell="V23" sqref="V23"/>
    </sheetView>
  </sheetViews>
  <sheetFormatPr baseColWidth="10" defaultColWidth="11.453125" defaultRowHeight="12" customHeight="1"/>
  <cols>
    <col min="1" max="1" width="4.453125" style="102" customWidth="1"/>
    <col min="2" max="3" width="11.453125" style="102" customWidth="1"/>
    <col min="4" max="4" width="4.26953125" style="173" customWidth="1"/>
    <col min="5" max="5" width="14.1796875" style="102" customWidth="1"/>
    <col min="6" max="7" width="12.7265625" style="102" customWidth="1"/>
    <col min="8" max="8" width="4.26953125" style="102" customWidth="1"/>
    <col min="9" max="9" width="24.453125" style="102" customWidth="1"/>
    <col min="10" max="10" width="6.453125" style="102" customWidth="1"/>
    <col min="11" max="13" width="7.26953125" style="102" customWidth="1"/>
    <col min="14" max="14" width="23.7265625" style="102" customWidth="1"/>
    <col min="15" max="15" width="8.453125" style="102" customWidth="1"/>
    <col min="16" max="16" width="4.26953125" style="102" customWidth="1"/>
    <col min="17" max="17" width="6.26953125" style="102" customWidth="1"/>
    <col min="18" max="18" width="12.7265625" style="102" customWidth="1"/>
    <col min="19" max="19" width="7.26953125" style="102" customWidth="1"/>
    <col min="20" max="20" width="4.26953125" style="102" customWidth="1"/>
    <col min="21" max="21" width="16.26953125" style="102" customWidth="1"/>
    <col min="22" max="29" width="18.453125" style="102" customWidth="1"/>
    <col min="30" max="32" width="11.453125" style="102" customWidth="1"/>
    <col min="33" max="33" width="28.54296875" style="102" customWidth="1"/>
    <col min="34" max="34" width="45.1796875" style="102" customWidth="1"/>
    <col min="35" max="40" width="11.453125" style="102" customWidth="1"/>
    <col min="41" max="41" width="86" style="102" customWidth="1"/>
    <col min="42" max="42" width="10.1796875" style="102" customWidth="1"/>
    <col min="43" max="16384" width="11.453125" style="102"/>
  </cols>
  <sheetData>
    <row r="1" spans="1:49" ht="12" customHeight="1">
      <c r="A1" s="173">
        <v>0</v>
      </c>
      <c r="B1" s="331" t="s">
        <v>723</v>
      </c>
      <c r="C1" s="331"/>
      <c r="E1" s="129" t="s">
        <v>72</v>
      </c>
      <c r="F1" s="130" t="s">
        <v>73</v>
      </c>
      <c r="G1" s="266" t="s">
        <v>719</v>
      </c>
      <c r="H1" s="173">
        <f>IF(COUNT(F2:F19)&gt;40,40,COUNT(F2:F19))</f>
        <v>0</v>
      </c>
      <c r="I1" s="107" t="s">
        <v>42</v>
      </c>
      <c r="J1" s="107"/>
      <c r="K1" s="107"/>
      <c r="O1" s="107"/>
      <c r="Q1" s="129" t="s">
        <v>41</v>
      </c>
      <c r="R1" s="267" t="s">
        <v>720</v>
      </c>
      <c r="S1" s="130" t="s">
        <v>30</v>
      </c>
      <c r="U1" s="129" t="s">
        <v>84</v>
      </c>
      <c r="V1" s="135" t="s">
        <v>18</v>
      </c>
      <c r="W1" s="135" t="s">
        <v>340</v>
      </c>
      <c r="X1" s="135" t="s">
        <v>341</v>
      </c>
      <c r="Y1" s="135" t="s">
        <v>342</v>
      </c>
      <c r="Z1" s="135" t="s">
        <v>343</v>
      </c>
      <c r="AA1" s="135" t="s">
        <v>344</v>
      </c>
      <c r="AB1" s="135" t="s">
        <v>345</v>
      </c>
      <c r="AC1" s="135" t="s">
        <v>346</v>
      </c>
      <c r="AO1" s="242" t="s">
        <v>327</v>
      </c>
      <c r="AP1" s="243" t="s">
        <v>593</v>
      </c>
      <c r="AU1" s="129" t="s">
        <v>72</v>
      </c>
      <c r="AV1" s="130" t="s">
        <v>73</v>
      </c>
      <c r="AW1" s="266" t="s">
        <v>719</v>
      </c>
    </row>
    <row r="2" spans="1:49" ht="12" customHeight="1">
      <c r="A2" s="173">
        <f>-COUNTIF(B2:B365,A1)+363+IF(B3=0,1,0)</f>
        <v>1</v>
      </c>
      <c r="B2" s="131" t="s">
        <v>43</v>
      </c>
      <c r="C2" s="131" t="s">
        <v>44</v>
      </c>
      <c r="D2" s="204">
        <v>10000</v>
      </c>
      <c r="E2" s="157" t="str">
        <f>IF(D2&lt;=COTIZACION!$D$14,FACTORES!D2,"")</f>
        <v/>
      </c>
      <c r="F2" s="161" t="e">
        <f>IF(E2&lt;=COTIZACION!$D$14,IF(E2*0.5 &lt; 200000,E2*0.5,200000),"")</f>
        <v>#VALUE!</v>
      </c>
      <c r="G2" s="260">
        <v>0.625</v>
      </c>
      <c r="H2" s="173">
        <f>MIN(IF(COUNT(F2:F19)&gt;40,40,COUNT(F2:F19)),16)</f>
        <v>0</v>
      </c>
      <c r="I2" s="334" t="s">
        <v>47</v>
      </c>
      <c r="J2" s="335"/>
      <c r="K2" s="335"/>
      <c r="L2" s="335"/>
      <c r="M2" s="335"/>
      <c r="N2" s="335"/>
      <c r="O2" s="336"/>
      <c r="Q2" s="157">
        <v>400</v>
      </c>
      <c r="R2" s="261">
        <f>+S2*8</f>
        <v>8</v>
      </c>
      <c r="S2" s="164">
        <v>1</v>
      </c>
      <c r="U2" s="102" t="s">
        <v>52</v>
      </c>
      <c r="V2" s="210" t="e">
        <f>VLOOKUP(VLOOKUP(COTIZACION!$F24,FACTORES!$AO$2:$AP$299,2,0),$I$31:$O$40,3,0)</f>
        <v>#N/A</v>
      </c>
      <c r="W2" s="210" t="e">
        <f>VLOOKUP(VLOOKUP(COTIZACION!$F25,FACTORES!$AO$2:$AP$299,2,0),$I$31:$O$40,3,0)</f>
        <v>#N/A</v>
      </c>
      <c r="X2" s="210" t="e">
        <f>VLOOKUP(VLOOKUP(COTIZACION!$F26,FACTORES!$AO$2:$AP$299,2,0),$I$31:$O$40,3,0)</f>
        <v>#N/A</v>
      </c>
      <c r="Y2" s="210" t="e">
        <f>VLOOKUP(VLOOKUP(COTIZACION!$F27,FACTORES!$AO$2:$AP$299,2,0),$I$31:$O$40,3,0)</f>
        <v>#N/A</v>
      </c>
      <c r="Z2" s="210" t="e">
        <f>VLOOKUP(VLOOKUP(COTIZACION!$F28,FACTORES!$AO$2:$AP$299,2,0),$I$31:$O$40,3,0)</f>
        <v>#N/A</v>
      </c>
      <c r="AA2" s="210" t="e">
        <f>VLOOKUP(VLOOKUP(COTIZACION!$F29,FACTORES!$AO$2:$AP$299,2,0),$I$31:$O$40,3,0)</f>
        <v>#N/A</v>
      </c>
      <c r="AB2" s="210" t="e">
        <f>VLOOKUP(VLOOKUP(COTIZACION!$F30,FACTORES!$AO$2:$AP$299,2,0),$I$31:$O$40,3,0)</f>
        <v>#N/A</v>
      </c>
      <c r="AC2" s="210" t="e">
        <f>VLOOKUP(VLOOKUP(COTIZACION!$F31,FACTORES!$AO$2:$AP$299,2,0),$I$31:$O$40,3,0)</f>
        <v>#N/A</v>
      </c>
      <c r="AG2" s="221" t="s">
        <v>3</v>
      </c>
      <c r="AH2" s="221" t="s">
        <v>3</v>
      </c>
      <c r="AI2" s="221" t="s">
        <v>3</v>
      </c>
      <c r="AO2" s="239" t="s">
        <v>370</v>
      </c>
      <c r="AP2" s="239" t="s">
        <v>57</v>
      </c>
      <c r="AU2" s="157">
        <v>10000</v>
      </c>
      <c r="AV2" s="161">
        <v>5000</v>
      </c>
      <c r="AW2" s="260">
        <v>0.625</v>
      </c>
    </row>
    <row r="3" spans="1:49" ht="12" customHeight="1">
      <c r="A3" s="173">
        <v>3</v>
      </c>
      <c r="B3" s="163">
        <f t="shared" ref="B3:B66" si="0">A3*$B$366</f>
        <v>0</v>
      </c>
      <c r="C3" s="134">
        <v>0.05</v>
      </c>
      <c r="D3" s="204">
        <v>20000</v>
      </c>
      <c r="E3" s="158" t="str">
        <f>IF(D3&lt;=COTIZACION!$D$14,FACTORES!D3,"")</f>
        <v/>
      </c>
      <c r="F3" s="162" t="e">
        <f>IF(E3&lt;=COTIZACION!$D$14,IF(E3*0.5 &lt; 200000,E3*0.5,200000),"")</f>
        <v>#VALUE!</v>
      </c>
      <c r="G3" s="189">
        <v>1.25</v>
      </c>
      <c r="I3" s="129" t="s">
        <v>50</v>
      </c>
      <c r="J3" s="135" t="s">
        <v>51</v>
      </c>
      <c r="K3" s="136" t="s">
        <v>52</v>
      </c>
      <c r="L3" s="136" t="s">
        <v>53</v>
      </c>
      <c r="M3" s="136" t="s">
        <v>54</v>
      </c>
      <c r="N3" s="136" t="s">
        <v>55</v>
      </c>
      <c r="O3" s="130" t="s">
        <v>56</v>
      </c>
      <c r="Q3" s="158">
        <v>500</v>
      </c>
      <c r="R3" s="262">
        <f t="shared" ref="R3:R18" si="1">+S3*8</f>
        <v>7.44</v>
      </c>
      <c r="S3" s="165">
        <v>0.93</v>
      </c>
      <c r="U3" s="208" t="s">
        <v>53</v>
      </c>
      <c r="V3" s="209">
        <f>IF(COTIZACION!B18="POA",VLOOKUP(VLOOKUP(COTIZACION!F$24,FACTORES!$AO$2:$AP$299,2,0),$I$31:$O$40,4,0),1)</f>
        <v>1</v>
      </c>
      <c r="W3" s="209">
        <f>IF(COTIZACION!B18="POA",VLOOKUP(VLOOKUP(COTIZACION!F$25,FACTORES!$AO$2:$AP$299,2,0),$I$31:$O$40,4,0),1)</f>
        <v>1</v>
      </c>
      <c r="X3" s="209">
        <f>IF(COTIZACION!B18="POA",VLOOKUP(VLOOKUP(COTIZACION!F$26,FACTORES!$AO$2:$AP$299,2,0),$I$31:$O$40,4,0),1)</f>
        <v>1</v>
      </c>
      <c r="Y3" s="209">
        <f>IF(COTIZACION!B18="POA",VLOOKUP(VLOOKUP(COTIZACION!F$27,FACTORES!$AO$2:$AP$299,2,0),$I$31:$O$40,4,0),1)</f>
        <v>1</v>
      </c>
      <c r="Z3" s="209">
        <f>IF(COTIZACION!B18="POA",VLOOKUP(VLOOKUP(COTIZACION!F$28,FACTORES!$AO$2:$AP$299,2,0),$I$31:$O$40,4,0),1)</f>
        <v>1</v>
      </c>
      <c r="AA3" s="209">
        <f>IF(COTIZACION!B18="POA",VLOOKUP(VLOOKUP(COTIZACION!F$29,FACTORES!$AO$2:$AP$299,2,0),$I$31:$O$40,4,0),1)</f>
        <v>1</v>
      </c>
      <c r="AB3" s="209">
        <f>IF(COTIZACION!B18="POA",VLOOKUP(VLOOKUP(COTIZACION!F$30,FACTORES!$AO$2:$AP$299,2,0),$I$31:$O$40,4,0),1)</f>
        <v>1</v>
      </c>
      <c r="AC3" s="209">
        <f>IF(COTIZACION!B18="POA",VLOOKUP(VLOOKUP(COTIZACION!F$31,FACTORES!$AO$2:$AP$299,2,0),$I$31:$O$40,4,0),1)</f>
        <v>1</v>
      </c>
      <c r="AG3" s="102" t="s">
        <v>75</v>
      </c>
      <c r="AH3" s="102" t="s">
        <v>77</v>
      </c>
      <c r="AI3" s="102" t="s">
        <v>78</v>
      </c>
      <c r="AO3" s="239" t="s">
        <v>594</v>
      </c>
      <c r="AP3" s="239" t="s">
        <v>46</v>
      </c>
      <c r="AU3" s="158">
        <v>20000</v>
      </c>
      <c r="AV3" s="162">
        <v>10000</v>
      </c>
      <c r="AW3" s="189">
        <v>1.25</v>
      </c>
    </row>
    <row r="4" spans="1:49" ht="12.75" customHeight="1">
      <c r="A4" s="173">
        <f>A3+1</f>
        <v>4</v>
      </c>
      <c r="B4" s="163">
        <f t="shared" si="0"/>
        <v>0</v>
      </c>
      <c r="C4" s="137">
        <v>0.06</v>
      </c>
      <c r="D4" s="204">
        <v>30000</v>
      </c>
      <c r="E4" s="159" t="str">
        <f>IF(D4&lt;=COTIZACION!$D$14,FACTORES!D4,"")</f>
        <v/>
      </c>
      <c r="F4" s="161" t="e">
        <f>IF(E4&lt;=COTIZACION!$D$14,IF(E4*0.5 &lt; 200000,E4*0.5,200000),"")</f>
        <v>#VALUE!</v>
      </c>
      <c r="G4" s="260">
        <v>1.875</v>
      </c>
      <c r="I4" s="138" t="s">
        <v>57</v>
      </c>
      <c r="J4" s="200">
        <v>1</v>
      </c>
      <c r="K4" s="186">
        <v>0.7167</v>
      </c>
      <c r="L4" s="185">
        <v>0.28670000000000001</v>
      </c>
      <c r="M4" s="186">
        <v>0.43</v>
      </c>
      <c r="N4" s="185">
        <v>0.57999999999999996</v>
      </c>
      <c r="O4" s="187">
        <v>5.5259</v>
      </c>
      <c r="Q4" s="159">
        <v>600</v>
      </c>
      <c r="R4" s="263">
        <f t="shared" si="1"/>
        <v>7.2</v>
      </c>
      <c r="S4" s="166">
        <v>0.9</v>
      </c>
      <c r="U4" s="102" t="s">
        <v>54</v>
      </c>
      <c r="V4" s="210">
        <f>IF(COTIZACION!B18="POB",VLOOKUP(VLOOKUP(COTIZACION!F$24,FACTORES!$AO$2:$AP$299,2,0),$I$31:$O$40,5,0),1)</f>
        <v>1</v>
      </c>
      <c r="W4" s="210">
        <f>IF(COTIZACION!B18="POB",VLOOKUP(VLOOKUP(COTIZACION!F$25,FACTORES!$AO$2:$AP$299,2,0),$I$31:$O$40,5,0),1)</f>
        <v>1</v>
      </c>
      <c r="X4" s="210">
        <f>IF(COTIZACION!B18="POB",VLOOKUP(VLOOKUP(COTIZACION!F$26,FACTORES!$AO$2:$AP$299,2,0),$I$31:$O$40,5,0),1)</f>
        <v>1</v>
      </c>
      <c r="Y4" s="210">
        <f>IF(COTIZACION!B18="POB",VLOOKUP(VLOOKUP(COTIZACION!F$27,FACTORES!$AO$2:$AP$299,2,0),$I$31:$O$40,5,0),1)</f>
        <v>1</v>
      </c>
      <c r="Z4" s="210">
        <f>IF(COTIZACION!B18="POB",VLOOKUP(VLOOKUP(COTIZACION!F$28,FACTORES!$AO$2:$AP$299,2,0),$I$31:$O$40,5,0),1)</f>
        <v>1</v>
      </c>
      <c r="AA4" s="210">
        <f>IF(COTIZACION!B18="POB",VLOOKUP(VLOOKUP(COTIZACION!F$29,FACTORES!$AO$2:$AP$299,2,0),$I$31:$O$40,5,0),1)</f>
        <v>1</v>
      </c>
      <c r="AB4" s="210">
        <f>IF(COTIZACION!B18="POB",VLOOKUP(VLOOKUP(COTIZACION!F$30,FACTORES!$AO$2:$AP$299,2,0),$I$31:$O$40,5,0),1)</f>
        <v>1</v>
      </c>
      <c r="AC4" s="210">
        <f>IF(COTIZACION!B18="POB",VLOOKUP(VLOOKUP(COTIZACION!F$31,FACTORES!$AO$2:$AP$299,2,0),$I$31:$O$40,5,0),1)</f>
        <v>1</v>
      </c>
      <c r="AG4" s="102" t="s">
        <v>76</v>
      </c>
      <c r="AO4" s="239" t="s">
        <v>595</v>
      </c>
      <c r="AP4" s="239" t="s">
        <v>49</v>
      </c>
      <c r="AU4" s="159">
        <v>30000</v>
      </c>
      <c r="AV4" s="161">
        <v>15000</v>
      </c>
      <c r="AW4" s="260">
        <v>1.875</v>
      </c>
    </row>
    <row r="5" spans="1:49" ht="12" customHeight="1">
      <c r="A5" s="173">
        <f t="shared" ref="A5:A68" si="2">A4+1</f>
        <v>5</v>
      </c>
      <c r="B5" s="163">
        <f t="shared" si="0"/>
        <v>0</v>
      </c>
      <c r="C5" s="134">
        <v>7.0000000000000007E-2</v>
      </c>
      <c r="D5" s="204">
        <v>40000</v>
      </c>
      <c r="E5" s="158" t="str">
        <f>IF(D5&lt;=COTIZACION!$D$14,FACTORES!D5,"")</f>
        <v/>
      </c>
      <c r="F5" s="162" t="e">
        <f>IF(E5&lt;=COTIZACION!$D$14,IF(E5*0.5 &lt; 200000,E5*0.5,200000),"")</f>
        <v>#VALUE!</v>
      </c>
      <c r="G5" s="189">
        <v>2.5</v>
      </c>
      <c r="I5" s="140" t="s">
        <v>46</v>
      </c>
      <c r="J5" s="201">
        <v>2</v>
      </c>
      <c r="K5" s="189">
        <v>0.89</v>
      </c>
      <c r="L5" s="188">
        <v>0.35599999999999998</v>
      </c>
      <c r="M5" s="189">
        <v>0.53400000000000003</v>
      </c>
      <c r="N5" s="188">
        <v>0.57999999999999996</v>
      </c>
      <c r="O5" s="190">
        <v>6.8627000000000002</v>
      </c>
      <c r="Q5" s="158">
        <v>700</v>
      </c>
      <c r="R5" s="262">
        <f t="shared" si="1"/>
        <v>6.96</v>
      </c>
      <c r="S5" s="165">
        <v>0.87</v>
      </c>
      <c r="U5" s="102" t="s">
        <v>56</v>
      </c>
      <c r="V5" s="210">
        <f>IF(COTIZACION!B19="RGM",VLOOKUP(VLOOKUP(COTIZACION!F$24,FACTORES!$AO$2:$AP$299,2,0),$I$31:$O$40,7,0),1)</f>
        <v>1</v>
      </c>
      <c r="W5" s="210">
        <f>IF(COTIZACION!B19="RGM",VLOOKUP(VLOOKUP(COTIZACION!F$25,FACTORES!$AO$2:$AP$299,2,0),$I$31:$O$40,7,0),1)</f>
        <v>1</v>
      </c>
      <c r="X5" s="210">
        <f>IF(COTIZACION!B19="RGM",VLOOKUP(VLOOKUP(COTIZACION!F$26,FACTORES!$AO$2:$AP$299,2,0),$I$31:$O$40,7,0),1)</f>
        <v>1</v>
      </c>
      <c r="Y5" s="210">
        <f>IF(COTIZACION!B19="RGM",VLOOKUP(VLOOKUP(COTIZACION!F$27,FACTORES!$AO$2:$AP$299,2,0),$I$31:$O$40,7,0),1)</f>
        <v>1</v>
      </c>
      <c r="Z5" s="210">
        <f>IF(COTIZACION!B19="RGM",VLOOKUP(VLOOKUP(COTIZACION!F$28,FACTORES!$AO$2:$AP$299,2,0),$I$31:$O$40,7,0),1)</f>
        <v>1</v>
      </c>
      <c r="AA5" s="210">
        <f>IF(COTIZACION!B19="RGM",VLOOKUP(VLOOKUP(COTIZACION!F$29,FACTORES!$AO$2:$AP$299,2,0),$I$31:$O$40,7,0),1)</f>
        <v>1</v>
      </c>
      <c r="AB5" s="210">
        <f>IF(COTIZACION!B19="RGM",VLOOKUP(VLOOKUP(COTIZACION!F$30,FACTORES!$AO$2:$AP$299,2,0),$I$31:$O$40,7,0),1)</f>
        <v>1</v>
      </c>
      <c r="AC5" s="210">
        <f>IF(COTIZACION!B19="RGM",VLOOKUP(VLOOKUP(COTIZACION!F$31,FACTORES!$AO$2:$AP$299,2,0),$I$31:$O$40,7,0),1)</f>
        <v>1</v>
      </c>
      <c r="AO5" s="239" t="s">
        <v>372</v>
      </c>
      <c r="AP5" s="239" t="s">
        <v>57</v>
      </c>
      <c r="AU5" s="158">
        <v>40000</v>
      </c>
      <c r="AV5" s="162">
        <v>20000</v>
      </c>
      <c r="AW5" s="189">
        <v>2.5</v>
      </c>
    </row>
    <row r="6" spans="1:49" ht="12" customHeight="1">
      <c r="A6" s="173">
        <f t="shared" si="2"/>
        <v>6</v>
      </c>
      <c r="B6" s="163">
        <f t="shared" si="0"/>
        <v>0</v>
      </c>
      <c r="C6" s="137">
        <v>0.08</v>
      </c>
      <c r="D6" s="204">
        <v>50000</v>
      </c>
      <c r="E6" s="159" t="str">
        <f>IF(D6&lt;=COTIZACION!$D$14,FACTORES!D6,"")</f>
        <v/>
      </c>
      <c r="F6" s="161" t="e">
        <f>IF(E6&lt;=COTIZACION!$D$14,IF(E6*0.5 &lt; 200000,E6*0.5,200000),"")</f>
        <v>#VALUE!</v>
      </c>
      <c r="G6" s="260">
        <v>3.1249999999999996</v>
      </c>
      <c r="I6" s="142" t="s">
        <v>49</v>
      </c>
      <c r="J6" s="202">
        <v>3</v>
      </c>
      <c r="K6" s="186">
        <v>1.1052999999999999</v>
      </c>
      <c r="L6" s="191">
        <v>0.44209999999999999</v>
      </c>
      <c r="M6" s="186">
        <v>0.66320000000000001</v>
      </c>
      <c r="N6" s="191">
        <v>0.57999999999999996</v>
      </c>
      <c r="O6" s="187">
        <v>8.5216999999999992</v>
      </c>
      <c r="Q6" s="159">
        <v>800</v>
      </c>
      <c r="R6" s="263">
        <f t="shared" si="1"/>
        <v>6.72</v>
      </c>
      <c r="S6" s="166">
        <v>0.84</v>
      </c>
      <c r="U6" s="208" t="s">
        <v>43</v>
      </c>
      <c r="V6" s="209">
        <f>+IF(COTIZACION!$D$7="ANUAL",1,VLOOKUP(COTIZACION!$D$8,FACTORES!$B$3:$C$365,2,0))</f>
        <v>1</v>
      </c>
      <c r="W6" s="209">
        <f t="shared" ref="W6:AC6" si="3">+V6</f>
        <v>1</v>
      </c>
      <c r="X6" s="209">
        <f t="shared" si="3"/>
        <v>1</v>
      </c>
      <c r="Y6" s="209">
        <f t="shared" si="3"/>
        <v>1</v>
      </c>
      <c r="Z6" s="209">
        <f t="shared" si="3"/>
        <v>1</v>
      </c>
      <c r="AA6" s="209">
        <f t="shared" si="3"/>
        <v>1</v>
      </c>
      <c r="AB6" s="209">
        <f t="shared" si="3"/>
        <v>1</v>
      </c>
      <c r="AC6" s="209">
        <f t="shared" si="3"/>
        <v>1</v>
      </c>
      <c r="AO6" s="239" t="s">
        <v>373</v>
      </c>
      <c r="AP6" s="239" t="s">
        <v>57</v>
      </c>
      <c r="AU6" s="159">
        <v>50000</v>
      </c>
      <c r="AV6" s="161">
        <v>25000</v>
      </c>
      <c r="AW6" s="260">
        <v>3.1249999999999996</v>
      </c>
    </row>
    <row r="7" spans="1:49" ht="11.25" customHeight="1">
      <c r="A7" s="173">
        <f t="shared" si="2"/>
        <v>7</v>
      </c>
      <c r="B7" s="163">
        <f t="shared" si="0"/>
        <v>0</v>
      </c>
      <c r="C7" s="134">
        <v>0.09</v>
      </c>
      <c r="D7" s="204">
        <v>60000</v>
      </c>
      <c r="E7" s="158" t="str">
        <f>IF(D7&lt;=COTIZACION!$D$14,FACTORES!D7,"")</f>
        <v/>
      </c>
      <c r="F7" s="162" t="e">
        <f>IF(E7&lt;=COTIZACION!$D$14,IF(E7*0.5 &lt; 200000,E7*0.5,200000),"")</f>
        <v>#VALUE!</v>
      </c>
      <c r="G7" s="189">
        <v>3.75</v>
      </c>
      <c r="I7" s="140" t="s">
        <v>45</v>
      </c>
      <c r="J7" s="201">
        <v>4</v>
      </c>
      <c r="K7" s="189">
        <v>1.3725000000000001</v>
      </c>
      <c r="L7" s="188">
        <v>0.54900000000000004</v>
      </c>
      <c r="M7" s="189">
        <v>0.82350000000000001</v>
      </c>
      <c r="N7" s="188">
        <v>0.57999999999999996</v>
      </c>
      <c r="O7" s="190">
        <v>10.583</v>
      </c>
      <c r="Q7" s="158">
        <v>900</v>
      </c>
      <c r="R7" s="262">
        <f t="shared" si="1"/>
        <v>6.56</v>
      </c>
      <c r="S7" s="165">
        <v>0.82</v>
      </c>
      <c r="U7" s="102" t="s">
        <v>79</v>
      </c>
      <c r="V7" s="210" t="e">
        <f>+IF(COTIZACION!$C$19="-",1,VLOOKUP(COTIZACION!$E$19,FACTORES!$Q$2:$S$18,2,0))</f>
        <v>#N/A</v>
      </c>
      <c r="W7" s="210" t="e">
        <f>+V7</f>
        <v>#N/A</v>
      </c>
      <c r="X7" s="210" t="e">
        <f t="shared" ref="X7:AC8" si="4">+W7</f>
        <v>#N/A</v>
      </c>
      <c r="Y7" s="210" t="e">
        <f t="shared" si="4"/>
        <v>#N/A</v>
      </c>
      <c r="Z7" s="210" t="e">
        <f t="shared" si="4"/>
        <v>#N/A</v>
      </c>
      <c r="AA7" s="210" t="e">
        <f t="shared" si="4"/>
        <v>#N/A</v>
      </c>
      <c r="AB7" s="210" t="e">
        <f t="shared" si="4"/>
        <v>#N/A</v>
      </c>
      <c r="AC7" s="210" t="e">
        <f t="shared" si="4"/>
        <v>#N/A</v>
      </c>
      <c r="AO7" s="239" t="s">
        <v>596</v>
      </c>
      <c r="AP7" s="239" t="s">
        <v>46</v>
      </c>
      <c r="AU7" s="158">
        <v>60000</v>
      </c>
      <c r="AV7" s="162">
        <v>30000</v>
      </c>
      <c r="AW7" s="189">
        <v>3.75</v>
      </c>
    </row>
    <row r="8" spans="1:49" ht="12" customHeight="1">
      <c r="A8" s="173">
        <f t="shared" si="2"/>
        <v>8</v>
      </c>
      <c r="B8" s="163">
        <f t="shared" si="0"/>
        <v>0</v>
      </c>
      <c r="C8" s="137">
        <v>0.1</v>
      </c>
      <c r="D8" s="204">
        <v>70000</v>
      </c>
      <c r="E8" s="159" t="str">
        <f>IF(D8&lt;=COTIZACION!$D$14,FACTORES!D8,"")</f>
        <v/>
      </c>
      <c r="F8" s="161" t="e">
        <f>IF(E8&lt;=COTIZACION!$D$14,IF(E8*0.5 &lt; 200000,E8*0.5,200000),"")</f>
        <v>#VALUE!</v>
      </c>
      <c r="G8" s="260">
        <v>4.375</v>
      </c>
      <c r="I8" s="142" t="s">
        <v>48</v>
      </c>
      <c r="J8" s="202">
        <v>5</v>
      </c>
      <c r="K8" s="186">
        <v>1.7044999999999999</v>
      </c>
      <c r="L8" s="191">
        <v>0.68179999999999996</v>
      </c>
      <c r="M8" s="186">
        <v>1.0226999999999999</v>
      </c>
      <c r="N8" s="191">
        <v>0.57999999999999996</v>
      </c>
      <c r="O8" s="187">
        <v>13.1417</v>
      </c>
      <c r="Q8" s="159">
        <v>1000</v>
      </c>
      <c r="R8" s="263">
        <f t="shared" si="1"/>
        <v>6.4</v>
      </c>
      <c r="S8" s="166">
        <v>0.8</v>
      </c>
      <c r="U8" s="265" t="s">
        <v>72</v>
      </c>
      <c r="V8" s="265" t="e">
        <f>+IF(COTIZACION!$C$19="-",1,VLOOKUP(COTIZACION!D19,FACTORES!$F$1:$G$19,2,0))</f>
        <v>#N/A</v>
      </c>
      <c r="W8" s="265" t="e">
        <f>+V8</f>
        <v>#N/A</v>
      </c>
      <c r="X8" s="265" t="e">
        <f t="shared" si="4"/>
        <v>#N/A</v>
      </c>
      <c r="Y8" s="265" t="e">
        <f t="shared" si="4"/>
        <v>#N/A</v>
      </c>
      <c r="Z8" s="265" t="e">
        <f t="shared" si="4"/>
        <v>#N/A</v>
      </c>
      <c r="AA8" s="265" t="e">
        <f t="shared" si="4"/>
        <v>#N/A</v>
      </c>
      <c r="AB8" s="265" t="e">
        <f t="shared" si="4"/>
        <v>#N/A</v>
      </c>
      <c r="AC8" s="265" t="e">
        <f t="shared" si="4"/>
        <v>#N/A</v>
      </c>
      <c r="AO8" s="239" t="s">
        <v>597</v>
      </c>
      <c r="AP8" s="239" t="s">
        <v>49</v>
      </c>
      <c r="AU8" s="159">
        <v>70000</v>
      </c>
      <c r="AV8" s="161">
        <v>35000</v>
      </c>
      <c r="AW8" s="260">
        <v>4.375</v>
      </c>
    </row>
    <row r="9" spans="1:49" ht="12" customHeight="1">
      <c r="A9" s="173">
        <f t="shared" si="2"/>
        <v>9</v>
      </c>
      <c r="B9" s="163">
        <f t="shared" si="0"/>
        <v>0</v>
      </c>
      <c r="C9" s="134">
        <v>0.11</v>
      </c>
      <c r="D9" s="204">
        <v>80000</v>
      </c>
      <c r="E9" s="158" t="str">
        <f>IF(D9&lt;=COTIZACION!$D$14,FACTORES!D9,"")</f>
        <v/>
      </c>
      <c r="F9" s="162" t="e">
        <f>IF(E9&lt;=COTIZACION!$D$14,IF(E9*0.5 &lt; 200000,E9*0.5,200000),"")</f>
        <v>#VALUE!</v>
      </c>
      <c r="G9" s="189">
        <v>5</v>
      </c>
      <c r="I9" s="140" t="s">
        <v>58</v>
      </c>
      <c r="J9" s="201">
        <v>6</v>
      </c>
      <c r="K9" s="189">
        <v>2.1166</v>
      </c>
      <c r="L9" s="188">
        <v>0.84670000000000001</v>
      </c>
      <c r="M9" s="189">
        <v>1.27</v>
      </c>
      <c r="N9" s="188">
        <v>0.57999999999999996</v>
      </c>
      <c r="O9" s="190">
        <v>16.32</v>
      </c>
      <c r="Q9" s="158">
        <v>1100</v>
      </c>
      <c r="R9" s="262">
        <f t="shared" si="1"/>
        <v>6.24</v>
      </c>
      <c r="S9" s="165">
        <v>0.78</v>
      </c>
      <c r="U9" s="106"/>
      <c r="V9" s="106"/>
      <c r="AO9" s="239" t="s">
        <v>599</v>
      </c>
      <c r="AP9" s="239" t="s">
        <v>46</v>
      </c>
      <c r="AU9" s="158">
        <v>80000</v>
      </c>
      <c r="AV9" s="162">
        <v>40000</v>
      </c>
      <c r="AW9" s="189">
        <v>5</v>
      </c>
    </row>
    <row r="10" spans="1:49" ht="12" customHeight="1">
      <c r="A10" s="173">
        <f t="shared" si="2"/>
        <v>10</v>
      </c>
      <c r="B10" s="163">
        <f t="shared" si="0"/>
        <v>0</v>
      </c>
      <c r="C10" s="137">
        <v>0.12</v>
      </c>
      <c r="D10" s="204">
        <v>90000</v>
      </c>
      <c r="E10" s="159" t="str">
        <f>IF(D10&lt;=COTIZACION!$D$14,FACTORES!D10,"")</f>
        <v/>
      </c>
      <c r="F10" s="161" t="e">
        <f>IF(E10&lt;=COTIZACION!$D$14,IF(E10*0.5 &lt; 200000,E10*0.5,200000),"")</f>
        <v>#VALUE!</v>
      </c>
      <c r="G10" s="260">
        <v>5.625</v>
      </c>
      <c r="I10" s="142" t="s">
        <v>59</v>
      </c>
      <c r="J10" s="202">
        <v>7</v>
      </c>
      <c r="K10" s="186">
        <v>2.6284999999999998</v>
      </c>
      <c r="L10" s="191">
        <v>1.0513999999999999</v>
      </c>
      <c r="M10" s="186">
        <v>1.5770999999999999</v>
      </c>
      <c r="N10" s="191">
        <v>0.57999999999999996</v>
      </c>
      <c r="O10" s="187">
        <v>20.266400000000001</v>
      </c>
      <c r="Q10" s="159">
        <v>1200</v>
      </c>
      <c r="R10" s="263">
        <f t="shared" si="1"/>
        <v>6.08</v>
      </c>
      <c r="S10" s="166">
        <v>0.76</v>
      </c>
      <c r="U10" s="106"/>
      <c r="V10" s="210"/>
      <c r="AO10" s="239" t="s">
        <v>600</v>
      </c>
      <c r="AP10" s="239" t="s">
        <v>49</v>
      </c>
      <c r="AU10" s="159">
        <v>90000</v>
      </c>
      <c r="AV10" s="161">
        <v>45000</v>
      </c>
      <c r="AW10" s="260">
        <v>5.625</v>
      </c>
    </row>
    <row r="11" spans="1:49" ht="12" customHeight="1">
      <c r="A11" s="173">
        <f t="shared" si="2"/>
        <v>11</v>
      </c>
      <c r="B11" s="159">
        <f t="shared" si="0"/>
        <v>0</v>
      </c>
      <c r="C11" s="132">
        <v>0.13</v>
      </c>
      <c r="D11" s="204">
        <v>100000</v>
      </c>
      <c r="E11" s="158" t="str">
        <f>IF(D11&lt;=COTIZACION!$D$14,FACTORES!D11,"")</f>
        <v/>
      </c>
      <c r="F11" s="162" t="e">
        <f>IF(E11&lt;=COTIZACION!$D$14,IF(E11*0.5 &lt; 200000,E11*0.5,200000),"")</f>
        <v>#VALUE!</v>
      </c>
      <c r="G11" s="189">
        <v>6.2499999999999991</v>
      </c>
      <c r="I11" s="140" t="s">
        <v>60</v>
      </c>
      <c r="J11" s="201">
        <v>8</v>
      </c>
      <c r="K11" s="189">
        <v>3.2641</v>
      </c>
      <c r="L11" s="188">
        <v>1.3058000000000001</v>
      </c>
      <c r="M11" s="189">
        <v>1.9584999999999999</v>
      </c>
      <c r="N11" s="188">
        <v>0.57999999999999996</v>
      </c>
      <c r="O11" s="190">
        <v>25.167000000000002</v>
      </c>
      <c r="Q11" s="158">
        <v>1300</v>
      </c>
      <c r="R11" s="262">
        <f t="shared" si="1"/>
        <v>6</v>
      </c>
      <c r="S11" s="165">
        <v>0.75</v>
      </c>
      <c r="U11" s="129" t="s">
        <v>347</v>
      </c>
      <c r="V11" s="135" t="s">
        <v>18</v>
      </c>
      <c r="W11" s="135" t="s">
        <v>340</v>
      </c>
      <c r="X11" s="135" t="s">
        <v>341</v>
      </c>
      <c r="Y11" s="135" t="s">
        <v>342</v>
      </c>
      <c r="Z11" s="135" t="s">
        <v>343</v>
      </c>
      <c r="AA11" s="135" t="s">
        <v>344</v>
      </c>
      <c r="AB11" s="135" t="s">
        <v>345</v>
      </c>
      <c r="AC11" s="135" t="s">
        <v>346</v>
      </c>
      <c r="AO11" s="239" t="s">
        <v>375</v>
      </c>
      <c r="AP11" s="239" t="s">
        <v>46</v>
      </c>
      <c r="AU11" s="158">
        <v>100000</v>
      </c>
      <c r="AV11" s="162">
        <v>50000</v>
      </c>
      <c r="AW11" s="189">
        <v>6.2499999999999991</v>
      </c>
    </row>
    <row r="12" spans="1:49" ht="12" customHeight="1">
      <c r="A12" s="173">
        <f t="shared" si="2"/>
        <v>12</v>
      </c>
      <c r="B12" s="172">
        <f t="shared" si="0"/>
        <v>0</v>
      </c>
      <c r="C12" s="137">
        <v>0.13</v>
      </c>
      <c r="D12" s="204">
        <v>150000</v>
      </c>
      <c r="E12" s="159" t="str">
        <f>IF(D12&lt;=COTIZACION!$D$14,FACTORES!D12,"")</f>
        <v/>
      </c>
      <c r="F12" s="161" t="e">
        <f>IF(E12&lt;=COTIZACION!$D$14,IF(E12*0.5 &lt; 200000,E12*0.5,200000),"")</f>
        <v>#VALUE!</v>
      </c>
      <c r="G12" s="260">
        <v>9.375</v>
      </c>
      <c r="I12" s="142" t="s">
        <v>61</v>
      </c>
      <c r="J12" s="202">
        <v>9</v>
      </c>
      <c r="K12" s="186">
        <v>4.0533400000000004</v>
      </c>
      <c r="L12" s="191">
        <v>1.6214</v>
      </c>
      <c r="M12" s="186">
        <v>2.4321000000000002</v>
      </c>
      <c r="N12" s="191">
        <v>0.57999999999999996</v>
      </c>
      <c r="O12" s="187">
        <v>31.253599999999999</v>
      </c>
      <c r="Q12" s="159">
        <v>1400</v>
      </c>
      <c r="R12" s="263">
        <f t="shared" si="1"/>
        <v>5.84</v>
      </c>
      <c r="S12" s="166">
        <v>0.73</v>
      </c>
      <c r="U12" s="102" t="s">
        <v>52</v>
      </c>
      <c r="V12" s="210" t="e">
        <f>IF(COTIZACION!$F$20=1,0,V2*V6*COTIZACION!$D$14)/1000</f>
        <v>#N/A</v>
      </c>
      <c r="W12" s="210" t="e">
        <f>IF(COTIZACION!$F$20=1,0,W2*W6*COTIZACION!$D$14)/1000</f>
        <v>#N/A</v>
      </c>
      <c r="X12" s="210" t="e">
        <f>IF(COTIZACION!$F$20=1,0,X2*X6*COTIZACION!$D$14)/1000</f>
        <v>#N/A</v>
      </c>
      <c r="Y12" s="210" t="e">
        <f>IF(COTIZACION!$F$20=1,0,Y2*Y6*COTIZACION!$D$14)/1000</f>
        <v>#N/A</v>
      </c>
      <c r="Z12" s="210" t="e">
        <f>IF(COTIZACION!$F$20=1,0,Z2*Z6*COTIZACION!$D$14)/1000</f>
        <v>#N/A</v>
      </c>
      <c r="AA12" s="210" t="e">
        <f>IF(COTIZACION!$F$20=1,0,AA2*AA6*COTIZACION!$D$14)/1000</f>
        <v>#N/A</v>
      </c>
      <c r="AB12" s="210" t="e">
        <f>IF(COTIZACION!$F$20=1,0,AB2*AB6*COTIZACION!$D$14)/1000</f>
        <v>#N/A</v>
      </c>
      <c r="AC12" s="210" t="e">
        <f>IF(COTIZACION!$F$20=1,0,AC2*AC6*COTIZACION!$D$14)/1000</f>
        <v>#N/A</v>
      </c>
      <c r="AO12" s="239" t="s">
        <v>601</v>
      </c>
      <c r="AP12" s="239" t="s">
        <v>45</v>
      </c>
      <c r="AU12" s="159">
        <v>110000</v>
      </c>
      <c r="AV12" s="161">
        <v>55000</v>
      </c>
      <c r="AW12" s="260">
        <v>6.875</v>
      </c>
    </row>
    <row r="13" spans="1:49" ht="12" customHeight="1">
      <c r="A13" s="173">
        <f t="shared" si="2"/>
        <v>13</v>
      </c>
      <c r="B13" s="159">
        <f t="shared" si="0"/>
        <v>0</v>
      </c>
      <c r="C13" s="132">
        <v>0.14000000000000001</v>
      </c>
      <c r="D13" s="204">
        <v>200000</v>
      </c>
      <c r="E13" s="158" t="str">
        <f>IF(D13&lt;=COTIZACION!$D$14,FACTORES!D13,"")</f>
        <v/>
      </c>
      <c r="F13" s="162" t="e">
        <f>IF(E13&lt;=COTIZACION!$D$14,IF(E13*0.5 &lt; 200000,E13*0.5,200000),"")</f>
        <v>#VALUE!</v>
      </c>
      <c r="G13" s="189">
        <v>12.499999999999998</v>
      </c>
      <c r="I13" s="144" t="s">
        <v>62</v>
      </c>
      <c r="J13" s="203">
        <v>10</v>
      </c>
      <c r="K13" s="193">
        <v>5.0336999999999996</v>
      </c>
      <c r="L13" s="192">
        <v>2.0135000000000001</v>
      </c>
      <c r="M13" s="193">
        <v>3.0202</v>
      </c>
      <c r="N13" s="192">
        <v>0.57999999999999996</v>
      </c>
      <c r="O13" s="194">
        <v>38.754399999999997</v>
      </c>
      <c r="Q13" s="158">
        <v>1500</v>
      </c>
      <c r="R13" s="262">
        <f t="shared" si="1"/>
        <v>5.76</v>
      </c>
      <c r="S13" s="165">
        <v>0.72</v>
      </c>
      <c r="U13" s="208" t="s">
        <v>53</v>
      </c>
      <c r="V13" s="209">
        <f>IF(OR(COTIZACION!$C$18="-",COTIZACION!$C$18="",COTIZACION!$F$20=1),0,IF(COTIZACION!$B$18="POA",V3*V6*COTIZACION!$D$18,0))/1000</f>
        <v>0</v>
      </c>
      <c r="W13" s="209">
        <f>IF(OR(COTIZACION!$C$18="-",COTIZACION!$C$18="",COTIZACION!$F$20=1),0,IF(COTIZACION!$B$18="POA",W3*W6*COTIZACION!$D$18,0))/1000</f>
        <v>0</v>
      </c>
      <c r="X13" s="209">
        <f>IF(OR(COTIZACION!$C$18="-",COTIZACION!$C$18="",COTIZACION!$F$20=1),0,IF(COTIZACION!$B$18="POA",X3*X6*COTIZACION!$D$18,0))/1000</f>
        <v>0</v>
      </c>
      <c r="Y13" s="209">
        <f>IF(OR(COTIZACION!$C$18="-",COTIZACION!$C$18="",COTIZACION!$F$20=1),0,IF(COTIZACION!$B$18="POA",Y3*Y6*COTIZACION!$D$18,0))/1000</f>
        <v>0</v>
      </c>
      <c r="Z13" s="209">
        <f>IF(OR(COTIZACION!$C$18="-",COTIZACION!$C$18="",COTIZACION!$F$20=1),0,IF(COTIZACION!$B$18="POA",Z3*Z6*COTIZACION!$D$18,0))/1000</f>
        <v>0</v>
      </c>
      <c r="AA13" s="209">
        <f>IF(OR(COTIZACION!$C$18="-",COTIZACION!$C$18="",COTIZACION!$F$20=1),0,IF(COTIZACION!$B$18="POA",AA3*AA6*COTIZACION!$D$18,0))/1000</f>
        <v>0</v>
      </c>
      <c r="AB13" s="209">
        <f>IF(OR(COTIZACION!$C$18="-",COTIZACION!$C$18="",COTIZACION!$F$20=1),0,IF(COTIZACION!$B$18="POA",AB3*AB6*COTIZACION!$D$18,0))/1000</f>
        <v>0</v>
      </c>
      <c r="AC13" s="209">
        <f>IF(OR(COTIZACION!$C$18="-",COTIZACION!$C$18="",COTIZACION!$F$20=1),0,IF(COTIZACION!$B$18="POA",AC3*AC6*COTIZACION!$D$18,0))/1000</f>
        <v>0</v>
      </c>
      <c r="AO13" s="239" t="s">
        <v>602</v>
      </c>
      <c r="AP13" s="239" t="s">
        <v>49</v>
      </c>
      <c r="AU13" s="158">
        <v>120000</v>
      </c>
      <c r="AV13" s="162">
        <v>60000</v>
      </c>
      <c r="AW13" s="189">
        <v>7.5</v>
      </c>
    </row>
    <row r="14" spans="1:49" ht="12" customHeight="1">
      <c r="A14" s="173">
        <f t="shared" si="2"/>
        <v>14</v>
      </c>
      <c r="B14" s="172">
        <f t="shared" si="0"/>
        <v>0</v>
      </c>
      <c r="C14" s="137">
        <v>0.14000000000000001</v>
      </c>
      <c r="D14" s="204">
        <v>250000</v>
      </c>
      <c r="E14" s="159" t="str">
        <f>IF(D14&lt;=COTIZACION!$D$14,FACTORES!D14,"")</f>
        <v/>
      </c>
      <c r="F14" s="161" t="e">
        <f>IF(E14&lt;=COTIZACION!$D$14,IF(E14*0.5 &lt; 200000,E14*0.5,200000),"")</f>
        <v>#VALUE!</v>
      </c>
      <c r="G14" s="260">
        <v>15.625</v>
      </c>
      <c r="I14" s="107"/>
      <c r="J14" s="107"/>
      <c r="K14" s="107"/>
      <c r="O14" s="107"/>
      <c r="Q14" s="159">
        <v>1600</v>
      </c>
      <c r="R14" s="263">
        <f t="shared" si="1"/>
        <v>5.68</v>
      </c>
      <c r="S14" s="166">
        <v>0.71</v>
      </c>
      <c r="U14" s="102" t="s">
        <v>54</v>
      </c>
      <c r="V14" s="210">
        <f>IF(OR(COTIZACION!$C$18="-",COTIZACION!$C$18="",COTIZACION!$F$20=1),0,IF(COTIZACION!$B$18="POB",V4*V6*COTIZACION!$D$18,0))/1000</f>
        <v>0</v>
      </c>
      <c r="W14" s="210">
        <f>IF(OR(COTIZACION!$C$18="-",COTIZACION!$C$18="",COTIZACION!$F$20=1),0,IF(COTIZACION!$B$18="POB",W4*W6*COTIZACION!$D$18,0))/1000</f>
        <v>0</v>
      </c>
      <c r="X14" s="210">
        <f>IF(OR(COTIZACION!$C$18="-",COTIZACION!$C$18="",COTIZACION!$F$20=1),0,IF(COTIZACION!$B$18="POB",X4*X6*COTIZACION!$D$18,0))/1000</f>
        <v>0</v>
      </c>
      <c r="Y14" s="210">
        <f>IF(OR(COTIZACION!$C$18="-",COTIZACION!$C$18="",COTIZACION!$F$20=1),0,IF(COTIZACION!$B$18="POB",Y4*Y6*COTIZACION!$D$18,0))/1000</f>
        <v>0</v>
      </c>
      <c r="Z14" s="210">
        <f>IF(OR(COTIZACION!$C$18="-",COTIZACION!$C$18="",COTIZACION!$F$20=1),0,IF(COTIZACION!$B$18="POB",Z4*Z6*COTIZACION!$D$18,0))/1000</f>
        <v>0</v>
      </c>
      <c r="AA14" s="210">
        <f>IF(OR(COTIZACION!$C$18="-",COTIZACION!$C$18="",COTIZACION!$F$20=1),0,IF(COTIZACION!$B$18="POB",AA4*AA6*COTIZACION!$D$18,0))/1000</f>
        <v>0</v>
      </c>
      <c r="AB14" s="210">
        <f>IF(OR(COTIZACION!$C$18="-",COTIZACION!$C$18="",COTIZACION!$F$20=1),0,IF(COTIZACION!$B$18="POB",AB4*AB6*COTIZACION!$D$18,0))/1000</f>
        <v>0</v>
      </c>
      <c r="AC14" s="210">
        <f>IF(OR(COTIZACION!$C$18="-",COTIZACION!$C$18="",COTIZACION!$F$20=1),0,IF(COTIZACION!$B$18="POB",AC4*AC6*COTIZACION!$D$18,0))/1000</f>
        <v>0</v>
      </c>
      <c r="AO14" s="239" t="s">
        <v>376</v>
      </c>
      <c r="AP14" s="239" t="s">
        <v>49</v>
      </c>
      <c r="AU14" s="159">
        <v>130000</v>
      </c>
      <c r="AV14" s="161">
        <v>65000</v>
      </c>
      <c r="AW14" s="260">
        <v>8.125</v>
      </c>
    </row>
    <row r="15" spans="1:49" ht="12" customHeight="1">
      <c r="A15" s="173">
        <f t="shared" si="2"/>
        <v>15</v>
      </c>
      <c r="B15" s="159">
        <f t="shared" si="0"/>
        <v>0</v>
      </c>
      <c r="C15" s="132">
        <v>0.15</v>
      </c>
      <c r="D15" s="204">
        <v>300000</v>
      </c>
      <c r="E15" s="158" t="str">
        <f>IF(D15&lt;=COTIZACION!$D$14,FACTORES!D15,"")</f>
        <v/>
      </c>
      <c r="F15" s="162" t="e">
        <f>IF(E15&lt;=COTIZACION!$D$14,IF(E15*0.5 &lt; 200000,E15*0.5,200000),"")</f>
        <v>#VALUE!</v>
      </c>
      <c r="G15" s="189">
        <v>18.75</v>
      </c>
      <c r="I15" s="107"/>
      <c r="J15" s="107"/>
      <c r="K15" s="107"/>
      <c r="O15" s="107"/>
      <c r="Q15" s="158">
        <v>1700</v>
      </c>
      <c r="R15" s="262">
        <f t="shared" si="1"/>
        <v>5.6</v>
      </c>
      <c r="S15" s="165">
        <v>0.7</v>
      </c>
      <c r="U15" s="102" t="s">
        <v>56</v>
      </c>
      <c r="V15" s="210">
        <f>IF(OR(COTIZACION!$C$19="-",COTIZACION!$C$19="",COTIZACION!$F$20=1),0,V5*V7*V6*V8)</f>
        <v>0</v>
      </c>
      <c r="W15" s="210">
        <f>IF(OR(COTIZACION!$C$19="-",COTIZACION!$C$19="",COTIZACION!$F$20=1),0,W5*W7*W6*W8)</f>
        <v>0</v>
      </c>
      <c r="X15" s="210">
        <f>IF(OR(COTIZACION!$C$19="-",COTIZACION!$C$19="",COTIZACION!$F$20=1),0,X5*X7*X6*X8)</f>
        <v>0</v>
      </c>
      <c r="Y15" s="210">
        <f>IF(OR(COTIZACION!$C$19="-",COTIZACION!$C$19="",COTIZACION!$F$20=1),0,Y5*Y7*Y6*Y8)</f>
        <v>0</v>
      </c>
      <c r="Z15" s="210">
        <f>IF(OR(COTIZACION!$C$19="-",COTIZACION!$C$19="",COTIZACION!$F$20=1),0,Z5*Z7*Z6*Z8)</f>
        <v>0</v>
      </c>
      <c r="AA15" s="210">
        <f>IF(OR(COTIZACION!$C$19="-",COTIZACION!$C$19="",COTIZACION!$F$20=1),0,AA5*AA7*AA6*AA8)</f>
        <v>0</v>
      </c>
      <c r="AB15" s="210">
        <f>IF(OR(COTIZACION!$C$19="-",COTIZACION!$C$19="",COTIZACION!$F$20=1),0,AB5*AB7*AB6*AB8)</f>
        <v>0</v>
      </c>
      <c r="AC15" s="210">
        <f>IF(OR(COTIZACION!$C$19="-",COTIZACION!$C$19="",COTIZACION!$F$20=1),0,AC5*AC7*AC6*AC8)</f>
        <v>0</v>
      </c>
      <c r="AO15" s="239" t="s">
        <v>603</v>
      </c>
      <c r="AP15" s="239" t="s">
        <v>58</v>
      </c>
      <c r="AU15" s="158">
        <v>140000</v>
      </c>
      <c r="AV15" s="162">
        <v>70000</v>
      </c>
      <c r="AW15" s="189">
        <v>8.75</v>
      </c>
    </row>
    <row r="16" spans="1:49" ht="12" customHeight="1">
      <c r="A16" s="173">
        <f t="shared" si="2"/>
        <v>16</v>
      </c>
      <c r="B16" s="172">
        <f t="shared" si="0"/>
        <v>0</v>
      </c>
      <c r="C16" s="137">
        <v>0.15</v>
      </c>
      <c r="D16" s="204">
        <v>350000</v>
      </c>
      <c r="E16" s="159" t="str">
        <f>IF(D16&lt;=COTIZACION!$D$14,FACTORES!D16,"")</f>
        <v/>
      </c>
      <c r="F16" s="161" t="e">
        <f>IF(E16&lt;=COTIZACION!$D$14,IF(E16*0.5 &lt; 200000,E16*0.5,200000),"")</f>
        <v>#VALUE!</v>
      </c>
      <c r="G16" s="260">
        <v>21.875000000000004</v>
      </c>
      <c r="I16" s="129" t="s">
        <v>63</v>
      </c>
      <c r="J16" s="148" t="s">
        <v>64</v>
      </c>
      <c r="K16" s="107"/>
      <c r="N16" s="332" t="s">
        <v>65</v>
      </c>
      <c r="O16" s="333"/>
      <c r="Q16" s="159">
        <v>1800</v>
      </c>
      <c r="R16" s="263">
        <f t="shared" si="1"/>
        <v>5.52</v>
      </c>
      <c r="S16" s="166">
        <v>0.69</v>
      </c>
      <c r="U16" s="107" t="s">
        <v>348</v>
      </c>
      <c r="V16" s="225" t="e">
        <f>SUM(V12:V15)</f>
        <v>#N/A</v>
      </c>
      <c r="W16" s="225" t="e">
        <f t="shared" ref="W16:AC16" si="5">SUM(W12:W15)</f>
        <v>#N/A</v>
      </c>
      <c r="X16" s="225" t="e">
        <f t="shared" si="5"/>
        <v>#N/A</v>
      </c>
      <c r="Y16" s="225" t="e">
        <f>SUM(Y12:Y15)</f>
        <v>#N/A</v>
      </c>
      <c r="Z16" s="225" t="e">
        <f t="shared" si="5"/>
        <v>#N/A</v>
      </c>
      <c r="AA16" s="225" t="e">
        <f t="shared" si="5"/>
        <v>#N/A</v>
      </c>
      <c r="AB16" s="225" t="e">
        <f t="shared" si="5"/>
        <v>#N/A</v>
      </c>
      <c r="AC16" s="225" t="e">
        <f t="shared" si="5"/>
        <v>#N/A</v>
      </c>
      <c r="AO16" s="239" t="s">
        <v>604</v>
      </c>
      <c r="AP16" s="239" t="s">
        <v>59</v>
      </c>
      <c r="AU16" s="159">
        <v>150000</v>
      </c>
      <c r="AV16" s="161">
        <v>75000</v>
      </c>
      <c r="AW16" s="260">
        <v>9.375</v>
      </c>
    </row>
    <row r="17" spans="1:49" ht="12" customHeight="1">
      <c r="A17" s="173">
        <f t="shared" si="2"/>
        <v>17</v>
      </c>
      <c r="B17" s="159">
        <f t="shared" si="0"/>
        <v>0</v>
      </c>
      <c r="C17" s="132">
        <v>0.16</v>
      </c>
      <c r="D17" s="204">
        <v>400000</v>
      </c>
      <c r="E17" s="158" t="str">
        <f>IF(D17&lt;=COTIZACION!$D$14,FACTORES!D17,"")</f>
        <v/>
      </c>
      <c r="F17" s="162" t="e">
        <f>IF(E17&lt;=COTIZACION!$D$14,IF(E17*0.5 &lt; 200000,E17*0.5,200000),"")</f>
        <v>#VALUE!</v>
      </c>
      <c r="G17" s="189">
        <v>24.999999999999996</v>
      </c>
      <c r="I17" s="138" t="s">
        <v>66</v>
      </c>
      <c r="J17" s="150">
        <v>0.1</v>
      </c>
      <c r="K17" s="107"/>
      <c r="N17" s="144" t="s">
        <v>68</v>
      </c>
      <c r="O17" s="147">
        <v>50</v>
      </c>
      <c r="Q17" s="158">
        <v>1900</v>
      </c>
      <c r="R17" s="262">
        <f t="shared" si="1"/>
        <v>5.44</v>
      </c>
      <c r="S17" s="165">
        <v>0.68</v>
      </c>
      <c r="AO17" s="239" t="s">
        <v>377</v>
      </c>
      <c r="AP17" s="239" t="s">
        <v>49</v>
      </c>
      <c r="AU17" s="158">
        <v>160000</v>
      </c>
      <c r="AV17" s="162">
        <v>80000</v>
      </c>
      <c r="AW17" s="189">
        <v>10</v>
      </c>
    </row>
    <row r="18" spans="1:49" ht="12" customHeight="1">
      <c r="A18" s="173">
        <f t="shared" si="2"/>
        <v>18</v>
      </c>
      <c r="B18" s="172">
        <f t="shared" si="0"/>
        <v>0</v>
      </c>
      <c r="C18" s="137">
        <v>0.16</v>
      </c>
      <c r="D18" s="204">
        <v>450000</v>
      </c>
      <c r="E18" s="159" t="str">
        <f>IF(D18&lt;=COTIZACION!$D$14,FACTORES!D18,"")</f>
        <v/>
      </c>
      <c r="F18" s="161" t="e">
        <f>IF(E18&lt;=COTIZACION!$D$14,IF(E18*0.5 &lt; 200000,E18*0.5,200000),"")</f>
        <v>#VALUE!</v>
      </c>
      <c r="G18" s="260">
        <v>24.999999999999996</v>
      </c>
      <c r="I18" s="223" t="s">
        <v>67</v>
      </c>
      <c r="J18" s="224">
        <v>0.25</v>
      </c>
      <c r="K18" s="107"/>
      <c r="Q18" s="160">
        <v>2000</v>
      </c>
      <c r="R18" s="264">
        <f t="shared" si="1"/>
        <v>5.36</v>
      </c>
      <c r="S18" s="167">
        <v>0.67</v>
      </c>
      <c r="V18" s="175"/>
      <c r="AO18" s="239" t="s">
        <v>378</v>
      </c>
      <c r="AP18" s="239" t="s">
        <v>46</v>
      </c>
      <c r="AU18" s="159">
        <v>170000</v>
      </c>
      <c r="AV18" s="161">
        <v>85000</v>
      </c>
      <c r="AW18" s="260">
        <v>10.625</v>
      </c>
    </row>
    <row r="19" spans="1:49" ht="12" customHeight="1">
      <c r="A19" s="173">
        <f t="shared" si="2"/>
        <v>19</v>
      </c>
      <c r="B19" s="159">
        <f t="shared" si="0"/>
        <v>0</v>
      </c>
      <c r="C19" s="132">
        <v>0.17</v>
      </c>
      <c r="D19" s="204">
        <v>500000</v>
      </c>
      <c r="E19" s="158" t="str">
        <f>IF(D19&lt;=COTIZACION!$D$14,FACTORES!D19,"")</f>
        <v/>
      </c>
      <c r="F19" s="162" t="e">
        <f>IF(E19&lt;=COTIZACION!$D$14,IF(E19*0.5 &lt; 200000,E19*0.5,200000),"")</f>
        <v>#VALUE!</v>
      </c>
      <c r="G19" s="189">
        <v>24.999999999999996</v>
      </c>
      <c r="I19" s="142" t="s">
        <v>69</v>
      </c>
      <c r="J19" s="151">
        <v>0.05</v>
      </c>
      <c r="K19" s="107"/>
      <c r="O19" s="107"/>
      <c r="Q19" s="174">
        <v>0</v>
      </c>
      <c r="R19" s="174"/>
      <c r="S19" s="106"/>
      <c r="AO19" s="239" t="s">
        <v>605</v>
      </c>
      <c r="AP19" s="239" t="s">
        <v>48</v>
      </c>
      <c r="AU19" s="158">
        <v>180000</v>
      </c>
      <c r="AV19" s="162">
        <v>90000</v>
      </c>
      <c r="AW19" s="189">
        <v>11.25</v>
      </c>
    </row>
    <row r="20" spans="1:49" ht="12" customHeight="1">
      <c r="A20" s="173">
        <f t="shared" si="2"/>
        <v>20</v>
      </c>
      <c r="B20" s="172">
        <f t="shared" si="0"/>
        <v>0</v>
      </c>
      <c r="C20" s="137">
        <v>0.17</v>
      </c>
      <c r="E20" s="195"/>
      <c r="F20" s="195"/>
      <c r="G20" s="173"/>
      <c r="I20" s="144" t="s">
        <v>70</v>
      </c>
      <c r="J20" s="152">
        <v>0.05</v>
      </c>
      <c r="K20" s="107"/>
      <c r="N20" s="175"/>
      <c r="O20" s="107"/>
      <c r="AO20" s="239" t="s">
        <v>379</v>
      </c>
      <c r="AP20" s="239" t="s">
        <v>58</v>
      </c>
      <c r="AU20" s="159">
        <v>190000</v>
      </c>
      <c r="AV20" s="161">
        <v>95000</v>
      </c>
      <c r="AW20" s="260">
        <v>11.875</v>
      </c>
    </row>
    <row r="21" spans="1:49" ht="12" customHeight="1">
      <c r="A21" s="173">
        <f t="shared" si="2"/>
        <v>21</v>
      </c>
      <c r="B21" s="159">
        <f t="shared" si="0"/>
        <v>0</v>
      </c>
      <c r="C21" s="132">
        <v>0.18</v>
      </c>
      <c r="I21"/>
      <c r="J21" s="153">
        <f>SUM(J17:J20)</f>
        <v>0.44999999999999996</v>
      </c>
      <c r="K21" s="107"/>
      <c r="O21" s="107"/>
      <c r="AO21" s="239" t="s">
        <v>353</v>
      </c>
      <c r="AP21" s="239" t="s">
        <v>57</v>
      </c>
      <c r="AU21" s="158">
        <v>200000</v>
      </c>
      <c r="AV21" s="162">
        <v>100000</v>
      </c>
      <c r="AW21" s="189">
        <v>12.499999999999998</v>
      </c>
    </row>
    <row r="22" spans="1:49" ht="12" customHeight="1">
      <c r="A22" s="173">
        <f t="shared" si="2"/>
        <v>22</v>
      </c>
      <c r="B22" s="158">
        <f t="shared" si="0"/>
        <v>0</v>
      </c>
      <c r="C22" s="133">
        <v>0.18</v>
      </c>
      <c r="I22" s="107"/>
      <c r="J22" s="107"/>
      <c r="K22" s="107"/>
      <c r="O22" s="107"/>
      <c r="AO22" s="239" t="s">
        <v>382</v>
      </c>
      <c r="AP22" s="239" t="s">
        <v>46</v>
      </c>
      <c r="AU22" s="159">
        <v>210000</v>
      </c>
      <c r="AV22" s="161">
        <v>105000</v>
      </c>
      <c r="AW22" s="260">
        <v>13.125000000000002</v>
      </c>
    </row>
    <row r="23" spans="1:49" ht="12" customHeight="1">
      <c r="A23" s="173">
        <f t="shared" si="2"/>
        <v>23</v>
      </c>
      <c r="B23" s="159">
        <f t="shared" si="0"/>
        <v>0</v>
      </c>
      <c r="C23" s="132">
        <v>0.18</v>
      </c>
      <c r="I23" s="107"/>
      <c r="J23" s="107"/>
      <c r="K23" s="107"/>
      <c r="O23" s="107"/>
      <c r="AO23" s="239" t="s">
        <v>606</v>
      </c>
      <c r="AP23" s="239" t="s">
        <v>49</v>
      </c>
      <c r="AU23" s="158">
        <v>220000</v>
      </c>
      <c r="AV23" s="162">
        <v>110000</v>
      </c>
      <c r="AW23" s="189">
        <v>13.75</v>
      </c>
    </row>
    <row r="24" spans="1:49" ht="12" customHeight="1">
      <c r="A24" s="173">
        <f t="shared" si="2"/>
        <v>24</v>
      </c>
      <c r="B24" s="172">
        <f t="shared" si="0"/>
        <v>0</v>
      </c>
      <c r="C24" s="137">
        <v>0.18</v>
      </c>
      <c r="I24" s="260"/>
      <c r="J24" s="107"/>
      <c r="K24" s="107"/>
      <c r="N24" s="207"/>
      <c r="O24" s="107"/>
      <c r="AO24" s="239" t="s">
        <v>383</v>
      </c>
      <c r="AP24" s="239" t="s">
        <v>46</v>
      </c>
      <c r="AU24" s="159">
        <v>230000</v>
      </c>
      <c r="AV24" s="161">
        <v>115000</v>
      </c>
      <c r="AW24" s="260">
        <v>14.375</v>
      </c>
    </row>
    <row r="25" spans="1:49" ht="12" customHeight="1">
      <c r="A25" s="173">
        <f t="shared" si="2"/>
        <v>25</v>
      </c>
      <c r="B25" s="159">
        <f t="shared" si="0"/>
        <v>0</v>
      </c>
      <c r="C25" s="132">
        <v>0.19</v>
      </c>
      <c r="I25" s="107"/>
      <c r="J25" s="107"/>
      <c r="K25" s="107"/>
      <c r="L25" s="108"/>
      <c r="M25" s="106"/>
      <c r="N25" s="106"/>
      <c r="O25" s="106"/>
      <c r="AO25" s="239" t="s">
        <v>384</v>
      </c>
      <c r="AP25" s="239" t="s">
        <v>49</v>
      </c>
      <c r="AU25" s="158">
        <v>240000</v>
      </c>
      <c r="AV25" s="162">
        <v>120000</v>
      </c>
      <c r="AW25" s="189">
        <v>15</v>
      </c>
    </row>
    <row r="26" spans="1:49" ht="12" customHeight="1">
      <c r="A26" s="173">
        <f t="shared" si="2"/>
        <v>26</v>
      </c>
      <c r="B26" s="158">
        <f t="shared" si="0"/>
        <v>0</v>
      </c>
      <c r="C26" s="133">
        <v>0.19</v>
      </c>
      <c r="L26" s="108"/>
      <c r="M26" s="106"/>
      <c r="N26" s="106"/>
      <c r="O26" s="106"/>
      <c r="AO26" s="239" t="s">
        <v>607</v>
      </c>
      <c r="AP26" s="239" t="s">
        <v>45</v>
      </c>
      <c r="AU26" s="159">
        <v>250000</v>
      </c>
      <c r="AV26" s="161">
        <v>125000</v>
      </c>
      <c r="AW26" s="260">
        <v>15.625</v>
      </c>
    </row>
    <row r="27" spans="1:49" ht="12" customHeight="1">
      <c r="A27" s="173">
        <f t="shared" si="2"/>
        <v>27</v>
      </c>
      <c r="B27" s="159">
        <f t="shared" si="0"/>
        <v>0</v>
      </c>
      <c r="C27" s="132">
        <v>0.19</v>
      </c>
      <c r="L27" s="108"/>
      <c r="M27" s="106"/>
      <c r="N27" s="106"/>
      <c r="O27" s="106"/>
      <c r="AO27" s="239" t="s">
        <v>385</v>
      </c>
      <c r="AP27" s="239" t="s">
        <v>46</v>
      </c>
      <c r="AU27" s="158">
        <v>260000</v>
      </c>
      <c r="AV27" s="162">
        <v>130000</v>
      </c>
      <c r="AW27" s="189">
        <v>16.25</v>
      </c>
    </row>
    <row r="28" spans="1:49" ht="12" customHeight="1">
      <c r="A28" s="173">
        <f t="shared" si="2"/>
        <v>28</v>
      </c>
      <c r="B28" s="172">
        <f t="shared" si="0"/>
        <v>0</v>
      </c>
      <c r="C28" s="137">
        <v>0.19</v>
      </c>
      <c r="I28" s="107" t="s">
        <v>71</v>
      </c>
      <c r="L28" s="108"/>
      <c r="M28" s="106"/>
      <c r="N28" s="106"/>
      <c r="O28" s="106"/>
      <c r="AO28" s="239" t="s">
        <v>386</v>
      </c>
      <c r="AP28" s="239" t="s">
        <v>57</v>
      </c>
      <c r="AU28" s="159">
        <v>270000</v>
      </c>
      <c r="AV28" s="161">
        <v>135000</v>
      </c>
      <c r="AW28" s="260">
        <v>16.875</v>
      </c>
    </row>
    <row r="29" spans="1:49" ht="12" customHeight="1">
      <c r="A29" s="173">
        <f t="shared" si="2"/>
        <v>29</v>
      </c>
      <c r="B29" s="159">
        <f t="shared" si="0"/>
        <v>0</v>
      </c>
      <c r="C29" s="132">
        <v>0.2</v>
      </c>
      <c r="I29" s="334" t="s">
        <v>47</v>
      </c>
      <c r="J29" s="335"/>
      <c r="K29" s="335"/>
      <c r="L29" s="335"/>
      <c r="M29" s="335"/>
      <c r="N29" s="335"/>
      <c r="O29" s="336"/>
      <c r="AO29" s="239" t="s">
        <v>387</v>
      </c>
      <c r="AP29" s="239" t="s">
        <v>46</v>
      </c>
      <c r="AU29" s="158">
        <v>280000</v>
      </c>
      <c r="AV29" s="162">
        <v>140000</v>
      </c>
      <c r="AW29" s="189">
        <v>17.5</v>
      </c>
    </row>
    <row r="30" spans="1:49" ht="12" customHeight="1">
      <c r="A30" s="173">
        <f t="shared" si="2"/>
        <v>30</v>
      </c>
      <c r="B30" s="172">
        <f t="shared" si="0"/>
        <v>0</v>
      </c>
      <c r="C30" s="137">
        <v>0.2</v>
      </c>
      <c r="I30" s="129" t="s">
        <v>50</v>
      </c>
      <c r="J30" s="135" t="s">
        <v>51</v>
      </c>
      <c r="K30" s="136" t="s">
        <v>52</v>
      </c>
      <c r="L30" s="136" t="s">
        <v>53</v>
      </c>
      <c r="M30" s="136" t="s">
        <v>54</v>
      </c>
      <c r="N30" s="136" t="s">
        <v>55</v>
      </c>
      <c r="O30" s="220" t="s">
        <v>56</v>
      </c>
      <c r="AO30" s="239" t="s">
        <v>388</v>
      </c>
      <c r="AP30" s="239" t="s">
        <v>46</v>
      </c>
      <c r="AU30" s="159">
        <v>290000</v>
      </c>
      <c r="AV30" s="161">
        <v>145000</v>
      </c>
      <c r="AW30" s="260">
        <v>18.125</v>
      </c>
    </row>
    <row r="31" spans="1:49" ht="12" customHeight="1">
      <c r="A31" s="173">
        <f t="shared" si="2"/>
        <v>31</v>
      </c>
      <c r="B31" s="159">
        <f t="shared" si="0"/>
        <v>0</v>
      </c>
      <c r="C31" s="132">
        <v>0.24</v>
      </c>
      <c r="I31" s="138" t="s">
        <v>57</v>
      </c>
      <c r="J31" s="200">
        <v>1</v>
      </c>
      <c r="K31" s="179">
        <f t="shared" ref="K31:O40" si="6">K4/(1-$J$21)</f>
        <v>1.3030909090909091</v>
      </c>
      <c r="L31" s="139">
        <f t="shared" si="6"/>
        <v>0.52127272727272722</v>
      </c>
      <c r="M31" s="179">
        <f t="shared" si="6"/>
        <v>0.78181818181818175</v>
      </c>
      <c r="N31" s="139">
        <f t="shared" si="6"/>
        <v>1.0545454545454545</v>
      </c>
      <c r="O31" s="180">
        <f t="shared" si="6"/>
        <v>10.047090909090908</v>
      </c>
      <c r="AO31" s="239" t="s">
        <v>608</v>
      </c>
      <c r="AP31" s="239" t="s">
        <v>45</v>
      </c>
      <c r="AU31" s="158">
        <v>300000</v>
      </c>
      <c r="AV31" s="162">
        <v>150000</v>
      </c>
      <c r="AW31" s="189">
        <v>18.75</v>
      </c>
    </row>
    <row r="32" spans="1:49" ht="12" customHeight="1">
      <c r="A32" s="173">
        <f t="shared" si="2"/>
        <v>32</v>
      </c>
      <c r="B32" s="158">
        <f t="shared" si="0"/>
        <v>0</v>
      </c>
      <c r="C32" s="133">
        <v>0.24</v>
      </c>
      <c r="I32" s="140" t="s">
        <v>46</v>
      </c>
      <c r="J32" s="201">
        <v>2</v>
      </c>
      <c r="K32" s="181">
        <f t="shared" si="6"/>
        <v>1.6181818181818182</v>
      </c>
      <c r="L32" s="141">
        <f t="shared" si="6"/>
        <v>0.64727272727272722</v>
      </c>
      <c r="M32" s="181">
        <f t="shared" si="6"/>
        <v>0.97090909090909083</v>
      </c>
      <c r="N32" s="141">
        <f t="shared" si="6"/>
        <v>1.0545454545454545</v>
      </c>
      <c r="O32" s="182">
        <f t="shared" si="6"/>
        <v>12.477636363636362</v>
      </c>
      <c r="AO32" s="239" t="s">
        <v>609</v>
      </c>
      <c r="AP32" s="239" t="s">
        <v>48</v>
      </c>
      <c r="AU32" s="159">
        <v>310000</v>
      </c>
      <c r="AV32" s="161">
        <v>155000</v>
      </c>
      <c r="AW32" s="260">
        <v>19.375</v>
      </c>
    </row>
    <row r="33" spans="1:49" ht="12" customHeight="1">
      <c r="A33" s="173">
        <f t="shared" si="2"/>
        <v>33</v>
      </c>
      <c r="B33" s="159">
        <f t="shared" si="0"/>
        <v>0</v>
      </c>
      <c r="C33" s="132">
        <v>0.24</v>
      </c>
      <c r="I33" s="142" t="s">
        <v>49</v>
      </c>
      <c r="J33" s="202">
        <v>3</v>
      </c>
      <c r="K33" s="179">
        <f t="shared" si="6"/>
        <v>2.0096363636363632</v>
      </c>
      <c r="L33" s="143">
        <f t="shared" si="6"/>
        <v>0.80381818181818177</v>
      </c>
      <c r="M33" s="179">
        <f t="shared" si="6"/>
        <v>1.2058181818181817</v>
      </c>
      <c r="N33" s="143">
        <f t="shared" si="6"/>
        <v>1.0545454545454545</v>
      </c>
      <c r="O33" s="180">
        <f t="shared" si="6"/>
        <v>15.493999999999998</v>
      </c>
      <c r="AO33" s="239" t="s">
        <v>390</v>
      </c>
      <c r="AP33" s="239" t="s">
        <v>57</v>
      </c>
      <c r="AU33" s="158">
        <v>320000</v>
      </c>
      <c r="AV33" s="162">
        <v>160000</v>
      </c>
      <c r="AW33" s="189">
        <v>20</v>
      </c>
    </row>
    <row r="34" spans="1:49" ht="12" customHeight="1">
      <c r="A34" s="173">
        <f t="shared" si="2"/>
        <v>34</v>
      </c>
      <c r="B34" s="158">
        <f t="shared" si="0"/>
        <v>0</v>
      </c>
      <c r="C34" s="133">
        <v>0.24</v>
      </c>
      <c r="I34" s="140" t="s">
        <v>45</v>
      </c>
      <c r="J34" s="201">
        <v>4</v>
      </c>
      <c r="K34" s="181">
        <f t="shared" si="6"/>
        <v>2.4954545454545451</v>
      </c>
      <c r="L34" s="141">
        <f t="shared" si="6"/>
        <v>0.99818181818181817</v>
      </c>
      <c r="M34" s="181">
        <f t="shared" si="6"/>
        <v>1.4972727272727271</v>
      </c>
      <c r="N34" s="141">
        <f t="shared" si="6"/>
        <v>1.0545454545454545</v>
      </c>
      <c r="O34" s="182">
        <f t="shared" si="6"/>
        <v>19.241818181818182</v>
      </c>
      <c r="AO34" s="239" t="s">
        <v>391</v>
      </c>
      <c r="AP34" s="239" t="s">
        <v>57</v>
      </c>
      <c r="AU34" s="159">
        <v>330000</v>
      </c>
      <c r="AV34" s="161">
        <v>165000</v>
      </c>
      <c r="AW34" s="260">
        <v>20.625</v>
      </c>
    </row>
    <row r="35" spans="1:49" ht="12" customHeight="1">
      <c r="A35" s="173">
        <f t="shared" si="2"/>
        <v>35</v>
      </c>
      <c r="B35" s="159">
        <f t="shared" si="0"/>
        <v>0</v>
      </c>
      <c r="C35" s="132">
        <v>0.24</v>
      </c>
      <c r="I35" s="142" t="s">
        <v>48</v>
      </c>
      <c r="J35" s="202">
        <v>5</v>
      </c>
      <c r="K35" s="179">
        <f t="shared" si="6"/>
        <v>3.0990909090909087</v>
      </c>
      <c r="L35" s="143">
        <f t="shared" si="6"/>
        <v>1.2396363636363634</v>
      </c>
      <c r="M35" s="179">
        <f t="shared" si="6"/>
        <v>1.8594545454545452</v>
      </c>
      <c r="N35" s="143">
        <f t="shared" si="6"/>
        <v>1.0545454545454545</v>
      </c>
      <c r="O35" s="180">
        <f t="shared" si="6"/>
        <v>23.893999999999998</v>
      </c>
      <c r="AO35" s="239" t="s">
        <v>610</v>
      </c>
      <c r="AP35" s="239" t="s">
        <v>49</v>
      </c>
      <c r="AU35" s="158">
        <v>340000</v>
      </c>
      <c r="AV35" s="162">
        <v>170000</v>
      </c>
      <c r="AW35" s="189">
        <v>21.25</v>
      </c>
    </row>
    <row r="36" spans="1:49" ht="12" customHeight="1">
      <c r="A36" s="173">
        <f t="shared" si="2"/>
        <v>36</v>
      </c>
      <c r="B36" s="158">
        <f t="shared" si="0"/>
        <v>0</v>
      </c>
      <c r="C36" s="133">
        <v>0.24</v>
      </c>
      <c r="I36" s="140" t="s">
        <v>58</v>
      </c>
      <c r="J36" s="201">
        <v>6</v>
      </c>
      <c r="K36" s="181">
        <f t="shared" si="6"/>
        <v>3.848363636363636</v>
      </c>
      <c r="L36" s="141">
        <f t="shared" si="6"/>
        <v>1.5394545454545454</v>
      </c>
      <c r="M36" s="181">
        <f t="shared" si="6"/>
        <v>2.3090909090909091</v>
      </c>
      <c r="N36" s="141">
        <f t="shared" si="6"/>
        <v>1.0545454545454545</v>
      </c>
      <c r="O36" s="182">
        <f t="shared" si="6"/>
        <v>29.672727272727272</v>
      </c>
      <c r="AO36" s="239" t="s">
        <v>392</v>
      </c>
      <c r="AP36" s="239" t="s">
        <v>46</v>
      </c>
      <c r="AU36" s="159">
        <v>350000</v>
      </c>
      <c r="AV36" s="161">
        <v>175000</v>
      </c>
      <c r="AW36" s="260">
        <v>21.875000000000004</v>
      </c>
    </row>
    <row r="37" spans="1:49" ht="12" customHeight="1">
      <c r="A37" s="173">
        <f t="shared" si="2"/>
        <v>37</v>
      </c>
      <c r="B37" s="159">
        <f t="shared" si="0"/>
        <v>0</v>
      </c>
      <c r="C37" s="132">
        <v>0.24</v>
      </c>
      <c r="I37" s="142" t="s">
        <v>59</v>
      </c>
      <c r="J37" s="202">
        <v>7</v>
      </c>
      <c r="K37" s="179">
        <f t="shared" si="6"/>
        <v>4.7790909090909084</v>
      </c>
      <c r="L37" s="143">
        <f t="shared" si="6"/>
        <v>1.9116363636363634</v>
      </c>
      <c r="M37" s="179">
        <f t="shared" si="6"/>
        <v>2.867454545454545</v>
      </c>
      <c r="N37" s="143">
        <f t="shared" si="6"/>
        <v>1.0545454545454545</v>
      </c>
      <c r="O37" s="180">
        <f t="shared" si="6"/>
        <v>36.847999999999999</v>
      </c>
      <c r="AO37" s="239" t="s">
        <v>611</v>
      </c>
      <c r="AP37" s="239" t="s">
        <v>49</v>
      </c>
      <c r="AU37" s="158">
        <v>360000</v>
      </c>
      <c r="AV37" s="162">
        <v>180000</v>
      </c>
      <c r="AW37" s="189">
        <v>22.5</v>
      </c>
    </row>
    <row r="38" spans="1:49" ht="12" customHeight="1">
      <c r="A38" s="173">
        <f t="shared" si="2"/>
        <v>38</v>
      </c>
      <c r="B38" s="158">
        <f t="shared" si="0"/>
        <v>0</v>
      </c>
      <c r="C38" s="133">
        <v>0.24</v>
      </c>
      <c r="I38" s="140" t="s">
        <v>60</v>
      </c>
      <c r="J38" s="201">
        <v>8</v>
      </c>
      <c r="K38" s="181">
        <f t="shared" si="6"/>
        <v>5.9347272727272724</v>
      </c>
      <c r="L38" s="141">
        <f t="shared" si="6"/>
        <v>2.3741818181818179</v>
      </c>
      <c r="M38" s="181">
        <f t="shared" si="6"/>
        <v>3.5609090909090906</v>
      </c>
      <c r="N38" s="141">
        <f t="shared" si="6"/>
        <v>1.0545454545454545</v>
      </c>
      <c r="O38" s="182">
        <f t="shared" si="6"/>
        <v>45.758181818181818</v>
      </c>
      <c r="AO38" s="239" t="s">
        <v>393</v>
      </c>
      <c r="AP38" s="239" t="s">
        <v>46</v>
      </c>
      <c r="AU38" s="159">
        <v>370000</v>
      </c>
      <c r="AV38" s="161">
        <v>185000</v>
      </c>
      <c r="AW38" s="260">
        <v>23.125</v>
      </c>
    </row>
    <row r="39" spans="1:49" ht="12" customHeight="1">
      <c r="A39" s="173">
        <f t="shared" si="2"/>
        <v>39</v>
      </c>
      <c r="B39" s="159">
        <f t="shared" si="0"/>
        <v>0</v>
      </c>
      <c r="C39" s="132">
        <v>0.24</v>
      </c>
      <c r="I39" s="142" t="s">
        <v>61</v>
      </c>
      <c r="J39" s="202">
        <v>9</v>
      </c>
      <c r="K39" s="179">
        <f t="shared" si="6"/>
        <v>7.3697090909090912</v>
      </c>
      <c r="L39" s="143">
        <f t="shared" si="6"/>
        <v>2.9479999999999995</v>
      </c>
      <c r="M39" s="179">
        <f t="shared" si="6"/>
        <v>4.4219999999999997</v>
      </c>
      <c r="N39" s="143">
        <f t="shared" si="6"/>
        <v>1.0545454545454545</v>
      </c>
      <c r="O39" s="180">
        <f t="shared" si="6"/>
        <v>56.824727272727266</v>
      </c>
      <c r="AO39" s="239" t="s">
        <v>394</v>
      </c>
      <c r="AP39" s="239" t="s">
        <v>49</v>
      </c>
      <c r="AU39" s="158">
        <v>380000</v>
      </c>
      <c r="AV39" s="162">
        <v>190000</v>
      </c>
      <c r="AW39" s="189">
        <v>23.75</v>
      </c>
    </row>
    <row r="40" spans="1:49" ht="12" customHeight="1">
      <c r="A40" s="173">
        <f t="shared" si="2"/>
        <v>40</v>
      </c>
      <c r="B40" s="172">
        <f t="shared" si="0"/>
        <v>0</v>
      </c>
      <c r="C40" s="137">
        <v>0.24</v>
      </c>
      <c r="I40" s="144" t="s">
        <v>62</v>
      </c>
      <c r="J40" s="203">
        <v>10</v>
      </c>
      <c r="K40" s="183">
        <f t="shared" si="6"/>
        <v>9.1521818181818162</v>
      </c>
      <c r="L40" s="145">
        <f t="shared" si="6"/>
        <v>3.6609090909090907</v>
      </c>
      <c r="M40" s="183">
        <f t="shared" si="6"/>
        <v>5.4912727272727269</v>
      </c>
      <c r="N40" s="145">
        <f t="shared" si="6"/>
        <v>1.0545454545454545</v>
      </c>
      <c r="O40" s="184">
        <f t="shared" si="6"/>
        <v>70.462545454545449</v>
      </c>
      <c r="AO40" s="239" t="s">
        <v>396</v>
      </c>
      <c r="AP40" s="239" t="s">
        <v>57</v>
      </c>
      <c r="AU40" s="159">
        <v>390000</v>
      </c>
      <c r="AV40" s="161">
        <v>195000</v>
      </c>
      <c r="AW40" s="260">
        <v>24.375000000000004</v>
      </c>
    </row>
    <row r="41" spans="1:49" ht="12" customHeight="1">
      <c r="A41" s="173">
        <f t="shared" si="2"/>
        <v>41</v>
      </c>
      <c r="B41" s="159">
        <f t="shared" si="0"/>
        <v>0</v>
      </c>
      <c r="C41" s="132">
        <v>0.27</v>
      </c>
      <c r="P41" s="106"/>
      <c r="AO41" s="239" t="s">
        <v>398</v>
      </c>
      <c r="AP41" s="239" t="s">
        <v>57</v>
      </c>
      <c r="AU41" s="158">
        <v>400000</v>
      </c>
      <c r="AV41" s="162">
        <v>200000</v>
      </c>
      <c r="AW41" s="189">
        <v>24.999999999999996</v>
      </c>
    </row>
    <row r="42" spans="1:49" ht="12" customHeight="1">
      <c r="A42" s="173">
        <f t="shared" si="2"/>
        <v>42</v>
      </c>
      <c r="B42" s="158">
        <f t="shared" si="0"/>
        <v>0</v>
      </c>
      <c r="C42" s="133">
        <v>0.27</v>
      </c>
      <c r="P42" s="106"/>
      <c r="AO42" s="239" t="s">
        <v>399</v>
      </c>
      <c r="AP42" s="239" t="s">
        <v>46</v>
      </c>
      <c r="AU42" s="159">
        <v>410000</v>
      </c>
      <c r="AV42" s="161">
        <v>200000</v>
      </c>
      <c r="AW42" s="260">
        <v>24.999999999999996</v>
      </c>
    </row>
    <row r="43" spans="1:49" ht="12" customHeight="1">
      <c r="A43" s="173">
        <f t="shared" si="2"/>
        <v>43</v>
      </c>
      <c r="B43" s="159">
        <f t="shared" si="0"/>
        <v>0</v>
      </c>
      <c r="C43" s="132">
        <v>0.27</v>
      </c>
      <c r="T43" s="106"/>
      <c r="AO43" s="239" t="s">
        <v>400</v>
      </c>
      <c r="AP43" s="239" t="s">
        <v>49</v>
      </c>
      <c r="AU43" s="158">
        <v>420000</v>
      </c>
      <c r="AV43" s="162">
        <v>200000</v>
      </c>
      <c r="AW43" s="189">
        <v>24.999999999999996</v>
      </c>
    </row>
    <row r="44" spans="1:49" ht="12" customHeight="1">
      <c r="A44" s="173">
        <f t="shared" si="2"/>
        <v>44</v>
      </c>
      <c r="B44" s="158">
        <f t="shared" si="0"/>
        <v>0</v>
      </c>
      <c r="C44" s="133">
        <v>0.27</v>
      </c>
      <c r="AO44" s="239" t="s">
        <v>612</v>
      </c>
      <c r="AP44" s="239" t="s">
        <v>48</v>
      </c>
      <c r="AU44" s="159">
        <v>430000</v>
      </c>
      <c r="AV44" s="161">
        <v>200000</v>
      </c>
      <c r="AW44" s="260">
        <v>24.999999999999996</v>
      </c>
    </row>
    <row r="45" spans="1:49" ht="12" customHeight="1">
      <c r="A45" s="173">
        <f t="shared" si="2"/>
        <v>45</v>
      </c>
      <c r="B45" s="159">
        <f t="shared" si="0"/>
        <v>0</v>
      </c>
      <c r="C45" s="132">
        <v>0.27</v>
      </c>
      <c r="AO45" s="239" t="s">
        <v>402</v>
      </c>
      <c r="AP45" s="239" t="s">
        <v>46</v>
      </c>
      <c r="AU45" s="158">
        <v>440000</v>
      </c>
      <c r="AV45" s="162">
        <v>200000</v>
      </c>
      <c r="AW45" s="189">
        <v>24.999999999999996</v>
      </c>
    </row>
    <row r="46" spans="1:49" ht="12" customHeight="1">
      <c r="A46" s="173">
        <f t="shared" si="2"/>
        <v>46</v>
      </c>
      <c r="B46" s="158">
        <f t="shared" si="0"/>
        <v>0</v>
      </c>
      <c r="C46" s="133">
        <v>0.27</v>
      </c>
      <c r="AO46" s="239" t="s">
        <v>405</v>
      </c>
      <c r="AP46" s="239" t="s">
        <v>57</v>
      </c>
      <c r="AU46" s="159">
        <v>450000</v>
      </c>
      <c r="AV46" s="161">
        <v>200000</v>
      </c>
      <c r="AW46" s="260">
        <v>24.999999999999996</v>
      </c>
    </row>
    <row r="47" spans="1:49" ht="12" customHeight="1">
      <c r="A47" s="173">
        <f t="shared" si="2"/>
        <v>47</v>
      </c>
      <c r="B47" s="159">
        <f t="shared" si="0"/>
        <v>0</v>
      </c>
      <c r="C47" s="132">
        <v>0.27</v>
      </c>
      <c r="AO47" s="239" t="s">
        <v>406</v>
      </c>
      <c r="AP47" s="239" t="s">
        <v>57</v>
      </c>
      <c r="AU47" s="158">
        <v>460000</v>
      </c>
      <c r="AV47" s="162">
        <v>200000</v>
      </c>
      <c r="AW47" s="189">
        <v>24.999999999999996</v>
      </c>
    </row>
    <row r="48" spans="1:49" ht="12" customHeight="1">
      <c r="A48" s="173">
        <f t="shared" si="2"/>
        <v>48</v>
      </c>
      <c r="B48" s="158">
        <f t="shared" si="0"/>
        <v>0</v>
      </c>
      <c r="C48" s="133">
        <v>0.27</v>
      </c>
      <c r="AO48" s="239" t="s">
        <v>407</v>
      </c>
      <c r="AP48" s="239" t="s">
        <v>45</v>
      </c>
      <c r="AU48" s="159">
        <v>470000</v>
      </c>
      <c r="AV48" s="161">
        <v>200000</v>
      </c>
      <c r="AW48" s="260">
        <v>24.999999999999996</v>
      </c>
    </row>
    <row r="49" spans="1:49" ht="12" customHeight="1">
      <c r="A49" s="173">
        <f t="shared" si="2"/>
        <v>49</v>
      </c>
      <c r="B49" s="159">
        <f t="shared" si="0"/>
        <v>0</v>
      </c>
      <c r="C49" s="132">
        <v>0.27</v>
      </c>
      <c r="AO49" s="239" t="s">
        <v>408</v>
      </c>
      <c r="AP49" s="239" t="s">
        <v>46</v>
      </c>
      <c r="AU49" s="158">
        <v>480000</v>
      </c>
      <c r="AV49" s="162">
        <v>200000</v>
      </c>
      <c r="AW49" s="189">
        <v>24.999999999999996</v>
      </c>
    </row>
    <row r="50" spans="1:49" ht="12" customHeight="1">
      <c r="A50" s="173">
        <f t="shared" si="2"/>
        <v>50</v>
      </c>
      <c r="B50" s="172">
        <f t="shared" si="0"/>
        <v>0</v>
      </c>
      <c r="C50" s="137">
        <v>0.27</v>
      </c>
      <c r="AO50" s="239" t="s">
        <v>614</v>
      </c>
      <c r="AP50" s="239" t="s">
        <v>48</v>
      </c>
      <c r="AU50" s="159">
        <v>490000</v>
      </c>
      <c r="AV50" s="161">
        <v>200000</v>
      </c>
      <c r="AW50" s="260">
        <v>24.999999999999996</v>
      </c>
    </row>
    <row r="51" spans="1:49" ht="12" customHeight="1">
      <c r="A51" s="173">
        <f t="shared" si="2"/>
        <v>51</v>
      </c>
      <c r="B51" s="159">
        <f t="shared" si="0"/>
        <v>0</v>
      </c>
      <c r="C51" s="132">
        <v>0.3</v>
      </c>
      <c r="AO51" s="239" t="s">
        <v>613</v>
      </c>
      <c r="AP51" s="239" t="s">
        <v>58</v>
      </c>
      <c r="AU51" s="158">
        <v>500000</v>
      </c>
      <c r="AV51" s="162">
        <v>200000</v>
      </c>
      <c r="AW51" s="189">
        <v>24.999999999999996</v>
      </c>
    </row>
    <row r="52" spans="1:49" ht="12" customHeight="1">
      <c r="A52" s="173">
        <f t="shared" si="2"/>
        <v>52</v>
      </c>
      <c r="B52" s="158">
        <f t="shared" si="0"/>
        <v>0</v>
      </c>
      <c r="C52" s="133">
        <v>0.3</v>
      </c>
      <c r="AO52" s="239" t="s">
        <v>409</v>
      </c>
      <c r="AP52" s="239" t="s">
        <v>46</v>
      </c>
    </row>
    <row r="53" spans="1:49" ht="12" customHeight="1">
      <c r="A53" s="173">
        <f t="shared" si="2"/>
        <v>53</v>
      </c>
      <c r="B53" s="159">
        <f t="shared" si="0"/>
        <v>0</v>
      </c>
      <c r="C53" s="132">
        <v>0.3</v>
      </c>
      <c r="AO53" s="239" t="s">
        <v>412</v>
      </c>
      <c r="AP53" s="239" t="s">
        <v>46</v>
      </c>
    </row>
    <row r="54" spans="1:49" ht="12" customHeight="1">
      <c r="A54" s="173">
        <f t="shared" si="2"/>
        <v>54</v>
      </c>
      <c r="B54" s="158">
        <f t="shared" si="0"/>
        <v>0</v>
      </c>
      <c r="C54" s="133">
        <v>0.3</v>
      </c>
      <c r="AO54" s="239" t="s">
        <v>615</v>
      </c>
      <c r="AP54" s="239" t="s">
        <v>45</v>
      </c>
    </row>
    <row r="55" spans="1:49" ht="12" customHeight="1">
      <c r="A55" s="173">
        <f t="shared" si="2"/>
        <v>55</v>
      </c>
      <c r="B55" s="159">
        <f t="shared" si="0"/>
        <v>0</v>
      </c>
      <c r="C55" s="132">
        <v>0.3</v>
      </c>
      <c r="AO55" s="239" t="s">
        <v>414</v>
      </c>
      <c r="AP55" s="239" t="s">
        <v>46</v>
      </c>
    </row>
    <row r="56" spans="1:49" ht="12" customHeight="1">
      <c r="A56" s="173">
        <f t="shared" si="2"/>
        <v>56</v>
      </c>
      <c r="B56" s="158">
        <f t="shared" si="0"/>
        <v>0</v>
      </c>
      <c r="C56" s="133">
        <v>0.3</v>
      </c>
      <c r="AO56" s="239" t="s">
        <v>415</v>
      </c>
      <c r="AP56" s="239" t="s">
        <v>59</v>
      </c>
    </row>
    <row r="57" spans="1:49" ht="12" customHeight="1">
      <c r="A57" s="173">
        <f t="shared" si="2"/>
        <v>57</v>
      </c>
      <c r="B57" s="159">
        <f t="shared" si="0"/>
        <v>0</v>
      </c>
      <c r="C57" s="132">
        <v>0.3</v>
      </c>
      <c r="AO57" s="239" t="s">
        <v>416</v>
      </c>
      <c r="AP57" s="239" t="s">
        <v>49</v>
      </c>
    </row>
    <row r="58" spans="1:49" ht="12" customHeight="1">
      <c r="A58" s="173">
        <f t="shared" si="2"/>
        <v>58</v>
      </c>
      <c r="B58" s="158">
        <f t="shared" si="0"/>
        <v>0</v>
      </c>
      <c r="C58" s="133">
        <v>0.3</v>
      </c>
      <c r="AO58" s="239" t="s">
        <v>417</v>
      </c>
      <c r="AP58" s="239" t="s">
        <v>46</v>
      </c>
    </row>
    <row r="59" spans="1:49" ht="12" customHeight="1">
      <c r="A59" s="173">
        <f t="shared" si="2"/>
        <v>59</v>
      </c>
      <c r="B59" s="159">
        <f t="shared" si="0"/>
        <v>0</v>
      </c>
      <c r="C59" s="132">
        <v>0.3</v>
      </c>
      <c r="AO59" s="239" t="s">
        <v>352</v>
      </c>
      <c r="AP59" s="239" t="s">
        <v>46</v>
      </c>
    </row>
    <row r="60" spans="1:49" ht="12" customHeight="1">
      <c r="A60" s="173">
        <f t="shared" si="2"/>
        <v>60</v>
      </c>
      <c r="B60" s="172">
        <f t="shared" si="0"/>
        <v>0</v>
      </c>
      <c r="C60" s="137">
        <v>0.3</v>
      </c>
      <c r="AO60" s="239" t="s">
        <v>616</v>
      </c>
      <c r="AP60" s="239" t="s">
        <v>49</v>
      </c>
    </row>
    <row r="61" spans="1:49" ht="12" customHeight="1">
      <c r="A61" s="173">
        <f t="shared" si="2"/>
        <v>61</v>
      </c>
      <c r="B61" s="159">
        <f t="shared" si="0"/>
        <v>0</v>
      </c>
      <c r="C61" s="132">
        <v>0.34</v>
      </c>
      <c r="AO61" s="239" t="s">
        <v>418</v>
      </c>
      <c r="AP61" s="239" t="s">
        <v>46</v>
      </c>
    </row>
    <row r="62" spans="1:49" ht="12" customHeight="1">
      <c r="A62" s="173">
        <f t="shared" si="2"/>
        <v>62</v>
      </c>
      <c r="B62" s="158">
        <f t="shared" si="0"/>
        <v>0</v>
      </c>
      <c r="C62" s="133">
        <v>0.34</v>
      </c>
      <c r="AO62" s="239" t="s">
        <v>617</v>
      </c>
      <c r="AP62" s="239" t="s">
        <v>49</v>
      </c>
    </row>
    <row r="63" spans="1:49" ht="12" customHeight="1">
      <c r="A63" s="173">
        <f t="shared" si="2"/>
        <v>63</v>
      </c>
      <c r="B63" s="159">
        <f t="shared" si="0"/>
        <v>0</v>
      </c>
      <c r="C63" s="132">
        <v>0.34</v>
      </c>
      <c r="AO63" s="239" t="s">
        <v>419</v>
      </c>
      <c r="AP63" s="239" t="s">
        <v>57</v>
      </c>
    </row>
    <row r="64" spans="1:49" ht="12" customHeight="1">
      <c r="A64" s="173">
        <f t="shared" si="2"/>
        <v>64</v>
      </c>
      <c r="B64" s="158">
        <f t="shared" si="0"/>
        <v>0</v>
      </c>
      <c r="C64" s="133">
        <v>0.34</v>
      </c>
      <c r="AO64" s="239" t="s">
        <v>420</v>
      </c>
      <c r="AP64" s="239" t="s">
        <v>49</v>
      </c>
    </row>
    <row r="65" spans="1:42" ht="12" customHeight="1">
      <c r="A65" s="173">
        <f t="shared" si="2"/>
        <v>65</v>
      </c>
      <c r="B65" s="159">
        <f t="shared" si="0"/>
        <v>0</v>
      </c>
      <c r="C65" s="132">
        <v>0.34</v>
      </c>
      <c r="AO65" s="239" t="s">
        <v>618</v>
      </c>
      <c r="AP65" s="239" t="s">
        <v>48</v>
      </c>
    </row>
    <row r="66" spans="1:42" ht="12" customHeight="1">
      <c r="A66" s="173">
        <f t="shared" si="2"/>
        <v>66</v>
      </c>
      <c r="B66" s="158">
        <f t="shared" si="0"/>
        <v>0</v>
      </c>
      <c r="C66" s="133">
        <v>0.34</v>
      </c>
      <c r="AO66" s="239" t="s">
        <v>619</v>
      </c>
      <c r="AP66" s="239" t="s">
        <v>58</v>
      </c>
    </row>
    <row r="67" spans="1:42" ht="12" customHeight="1">
      <c r="A67" s="173">
        <f t="shared" si="2"/>
        <v>67</v>
      </c>
      <c r="B67" s="159">
        <f t="shared" ref="B67:B130" si="7">A67*$B$366</f>
        <v>0</v>
      </c>
      <c r="C67" s="132">
        <v>0.34</v>
      </c>
      <c r="AO67" s="239" t="s">
        <v>421</v>
      </c>
      <c r="AP67" s="239" t="s">
        <v>49</v>
      </c>
    </row>
    <row r="68" spans="1:42" ht="12" customHeight="1">
      <c r="A68" s="173">
        <f t="shared" si="2"/>
        <v>68</v>
      </c>
      <c r="B68" s="158">
        <f t="shared" si="7"/>
        <v>0</v>
      </c>
      <c r="C68" s="133">
        <v>0.34</v>
      </c>
      <c r="AO68" s="239" t="s">
        <v>422</v>
      </c>
      <c r="AP68" s="239" t="s">
        <v>49</v>
      </c>
    </row>
    <row r="69" spans="1:42" ht="12" customHeight="1">
      <c r="A69" s="173">
        <f t="shared" ref="A69:A132" si="8">A68+1</f>
        <v>69</v>
      </c>
      <c r="B69" s="159">
        <f t="shared" si="7"/>
        <v>0</v>
      </c>
      <c r="C69" s="132">
        <v>0.34</v>
      </c>
      <c r="AO69" s="239" t="s">
        <v>423</v>
      </c>
      <c r="AP69" s="239" t="s">
        <v>46</v>
      </c>
    </row>
    <row r="70" spans="1:42" ht="12" customHeight="1">
      <c r="A70" s="173">
        <f t="shared" si="8"/>
        <v>70</v>
      </c>
      <c r="B70" s="172">
        <f t="shared" si="7"/>
        <v>0</v>
      </c>
      <c r="C70" s="137">
        <v>0.34</v>
      </c>
      <c r="AO70" s="239" t="s">
        <v>620</v>
      </c>
      <c r="AP70" s="239" t="s">
        <v>49</v>
      </c>
    </row>
    <row r="71" spans="1:42" ht="12" customHeight="1">
      <c r="A71" s="173">
        <f t="shared" si="8"/>
        <v>71</v>
      </c>
      <c r="B71" s="159">
        <f t="shared" si="7"/>
        <v>0</v>
      </c>
      <c r="C71" s="132">
        <v>0.37</v>
      </c>
      <c r="AO71" s="239" t="s">
        <v>424</v>
      </c>
      <c r="AP71" s="239" t="s">
        <v>46</v>
      </c>
    </row>
    <row r="72" spans="1:42" ht="12" customHeight="1">
      <c r="A72" s="173">
        <f t="shared" si="8"/>
        <v>72</v>
      </c>
      <c r="B72" s="158">
        <f t="shared" si="7"/>
        <v>0</v>
      </c>
      <c r="C72" s="133">
        <v>0.37</v>
      </c>
      <c r="AO72" s="239" t="s">
        <v>425</v>
      </c>
      <c r="AP72" s="239" t="s">
        <v>58</v>
      </c>
    </row>
    <row r="73" spans="1:42" ht="12" customHeight="1">
      <c r="A73" s="173">
        <f t="shared" si="8"/>
        <v>73</v>
      </c>
      <c r="B73" s="159">
        <f t="shared" si="7"/>
        <v>0</v>
      </c>
      <c r="C73" s="132">
        <v>0.37</v>
      </c>
      <c r="AO73" s="239" t="s">
        <v>427</v>
      </c>
      <c r="AP73" s="239" t="s">
        <v>45</v>
      </c>
    </row>
    <row r="74" spans="1:42" ht="12" customHeight="1">
      <c r="A74" s="173">
        <f t="shared" si="8"/>
        <v>74</v>
      </c>
      <c r="B74" s="158">
        <f t="shared" si="7"/>
        <v>0</v>
      </c>
      <c r="C74" s="133">
        <v>0.37</v>
      </c>
      <c r="AO74" s="239" t="s">
        <v>428</v>
      </c>
      <c r="AP74" s="239" t="s">
        <v>58</v>
      </c>
    </row>
    <row r="75" spans="1:42" ht="12" customHeight="1">
      <c r="A75" s="173">
        <f t="shared" si="8"/>
        <v>75</v>
      </c>
      <c r="B75" s="159">
        <f t="shared" si="7"/>
        <v>0</v>
      </c>
      <c r="C75" s="132">
        <v>0.37</v>
      </c>
      <c r="AO75" s="239" t="s">
        <v>429</v>
      </c>
      <c r="AP75" s="239" t="s">
        <v>49</v>
      </c>
    </row>
    <row r="76" spans="1:42" ht="12" customHeight="1">
      <c r="A76" s="173">
        <f t="shared" si="8"/>
        <v>76</v>
      </c>
      <c r="B76" s="158">
        <f t="shared" si="7"/>
        <v>0</v>
      </c>
      <c r="C76" s="133">
        <v>0.37</v>
      </c>
      <c r="AO76" s="239" t="s">
        <v>430</v>
      </c>
      <c r="AP76" s="239" t="s">
        <v>45</v>
      </c>
    </row>
    <row r="77" spans="1:42" ht="12" customHeight="1">
      <c r="A77" s="173">
        <f t="shared" si="8"/>
        <v>77</v>
      </c>
      <c r="B77" s="159">
        <f t="shared" si="7"/>
        <v>0</v>
      </c>
      <c r="C77" s="132">
        <v>0.37</v>
      </c>
      <c r="AO77" s="239" t="s">
        <v>431</v>
      </c>
      <c r="AP77" s="239" t="s">
        <v>45</v>
      </c>
    </row>
    <row r="78" spans="1:42" ht="12" customHeight="1">
      <c r="A78" s="173">
        <f t="shared" si="8"/>
        <v>78</v>
      </c>
      <c r="B78" s="158">
        <f t="shared" si="7"/>
        <v>0</v>
      </c>
      <c r="C78" s="133">
        <v>0.37</v>
      </c>
      <c r="AO78" s="239" t="s">
        <v>432</v>
      </c>
      <c r="AP78" s="239" t="s">
        <v>45</v>
      </c>
    </row>
    <row r="79" spans="1:42" ht="12" customHeight="1">
      <c r="A79" s="173">
        <f t="shared" si="8"/>
        <v>79</v>
      </c>
      <c r="B79" s="159">
        <f t="shared" si="7"/>
        <v>0</v>
      </c>
      <c r="C79" s="132">
        <v>0.37</v>
      </c>
      <c r="AO79" s="239" t="s">
        <v>434</v>
      </c>
      <c r="AP79" s="239" t="s">
        <v>45</v>
      </c>
    </row>
    <row r="80" spans="1:42" ht="12" customHeight="1">
      <c r="A80" s="173">
        <f t="shared" si="8"/>
        <v>80</v>
      </c>
      <c r="B80" s="172">
        <f t="shared" si="7"/>
        <v>0</v>
      </c>
      <c r="C80" s="137">
        <v>0.37</v>
      </c>
      <c r="AO80" s="239" t="s">
        <v>435</v>
      </c>
      <c r="AP80" s="239" t="s">
        <v>46</v>
      </c>
    </row>
    <row r="81" spans="1:42" ht="12" customHeight="1">
      <c r="A81" s="173">
        <f t="shared" si="8"/>
        <v>81</v>
      </c>
      <c r="B81" s="159">
        <f t="shared" si="7"/>
        <v>0</v>
      </c>
      <c r="C81" s="132">
        <v>0.4</v>
      </c>
      <c r="AO81" s="239" t="s">
        <v>436</v>
      </c>
      <c r="AP81" s="239" t="s">
        <v>49</v>
      </c>
    </row>
    <row r="82" spans="1:42" ht="12" customHeight="1">
      <c r="A82" s="173">
        <f t="shared" si="8"/>
        <v>82</v>
      </c>
      <c r="B82" s="158">
        <f t="shared" si="7"/>
        <v>0</v>
      </c>
      <c r="C82" s="133">
        <v>0.4</v>
      </c>
      <c r="AO82" s="239" t="s">
        <v>437</v>
      </c>
      <c r="AP82" s="239" t="s">
        <v>46</v>
      </c>
    </row>
    <row r="83" spans="1:42" ht="12" customHeight="1">
      <c r="A83" s="173">
        <f t="shared" si="8"/>
        <v>83</v>
      </c>
      <c r="B83" s="159">
        <f t="shared" si="7"/>
        <v>0</v>
      </c>
      <c r="C83" s="132">
        <v>0.4</v>
      </c>
      <c r="AO83" s="239" t="s">
        <v>438</v>
      </c>
      <c r="AP83" s="239" t="s">
        <v>46</v>
      </c>
    </row>
    <row r="84" spans="1:42" ht="12" customHeight="1">
      <c r="A84" s="173">
        <f t="shared" si="8"/>
        <v>84</v>
      </c>
      <c r="B84" s="158">
        <f t="shared" si="7"/>
        <v>0</v>
      </c>
      <c r="C84" s="133">
        <v>0.4</v>
      </c>
      <c r="AO84" s="239" t="s">
        <v>439</v>
      </c>
      <c r="AP84" s="239" t="s">
        <v>49</v>
      </c>
    </row>
    <row r="85" spans="1:42" ht="12" customHeight="1">
      <c r="A85" s="173">
        <f t="shared" si="8"/>
        <v>85</v>
      </c>
      <c r="B85" s="159">
        <f t="shared" si="7"/>
        <v>0</v>
      </c>
      <c r="C85" s="132">
        <v>0.4</v>
      </c>
      <c r="AO85" s="239" t="s">
        <v>440</v>
      </c>
      <c r="AP85" s="239" t="s">
        <v>46</v>
      </c>
    </row>
    <row r="86" spans="1:42" ht="12" customHeight="1">
      <c r="A86" s="173">
        <f t="shared" si="8"/>
        <v>86</v>
      </c>
      <c r="B86" s="158">
        <f t="shared" si="7"/>
        <v>0</v>
      </c>
      <c r="C86" s="133">
        <v>0.4</v>
      </c>
      <c r="AO86" s="239" t="s">
        <v>621</v>
      </c>
      <c r="AP86" s="239" t="s">
        <v>49</v>
      </c>
    </row>
    <row r="87" spans="1:42" ht="12" customHeight="1">
      <c r="A87" s="173">
        <f t="shared" si="8"/>
        <v>87</v>
      </c>
      <c r="B87" s="159">
        <f t="shared" si="7"/>
        <v>0</v>
      </c>
      <c r="C87" s="132">
        <v>0.4</v>
      </c>
      <c r="AO87" s="239" t="s">
        <v>441</v>
      </c>
      <c r="AP87" s="239" t="s">
        <v>57</v>
      </c>
    </row>
    <row r="88" spans="1:42" ht="12" customHeight="1">
      <c r="A88" s="173">
        <f t="shared" si="8"/>
        <v>88</v>
      </c>
      <c r="B88" s="158">
        <f t="shared" si="7"/>
        <v>0</v>
      </c>
      <c r="C88" s="133">
        <v>0.4</v>
      </c>
      <c r="AO88" s="239" t="s">
        <v>443</v>
      </c>
      <c r="AP88" s="239" t="s">
        <v>46</v>
      </c>
    </row>
    <row r="89" spans="1:42" ht="12" customHeight="1">
      <c r="A89" s="173">
        <f t="shared" si="8"/>
        <v>89</v>
      </c>
      <c r="B89" s="159">
        <f t="shared" si="7"/>
        <v>0</v>
      </c>
      <c r="C89" s="132">
        <v>0.4</v>
      </c>
      <c r="AO89" s="239" t="s">
        <v>622</v>
      </c>
      <c r="AP89" s="239" t="s">
        <v>49</v>
      </c>
    </row>
    <row r="90" spans="1:42" ht="12" customHeight="1">
      <c r="A90" s="173">
        <f t="shared" si="8"/>
        <v>90</v>
      </c>
      <c r="B90" s="172">
        <f t="shared" si="7"/>
        <v>0</v>
      </c>
      <c r="C90" s="137">
        <v>0.4</v>
      </c>
      <c r="AO90" s="239" t="s">
        <v>444</v>
      </c>
      <c r="AP90" s="239" t="s">
        <v>46</v>
      </c>
    </row>
    <row r="91" spans="1:42" ht="12" customHeight="1">
      <c r="A91" s="173">
        <f t="shared" si="8"/>
        <v>91</v>
      </c>
      <c r="B91" s="159">
        <f t="shared" si="7"/>
        <v>0</v>
      </c>
      <c r="C91" s="132">
        <v>0.44</v>
      </c>
      <c r="AO91" s="239" t="s">
        <v>623</v>
      </c>
      <c r="AP91" s="239" t="s">
        <v>49</v>
      </c>
    </row>
    <row r="92" spans="1:42" ht="12" customHeight="1">
      <c r="A92" s="173">
        <f t="shared" si="8"/>
        <v>92</v>
      </c>
      <c r="B92" s="158">
        <f t="shared" si="7"/>
        <v>0</v>
      </c>
      <c r="C92" s="133">
        <v>0.44</v>
      </c>
      <c r="AO92" s="239" t="s">
        <v>445</v>
      </c>
      <c r="AP92" s="239" t="s">
        <v>46</v>
      </c>
    </row>
    <row r="93" spans="1:42" ht="12" customHeight="1">
      <c r="A93" s="173">
        <f t="shared" si="8"/>
        <v>93</v>
      </c>
      <c r="B93" s="159">
        <f t="shared" si="7"/>
        <v>0</v>
      </c>
      <c r="C93" s="132">
        <v>0.44</v>
      </c>
      <c r="AO93" s="239" t="s">
        <v>624</v>
      </c>
      <c r="AP93" s="239" t="s">
        <v>48</v>
      </c>
    </row>
    <row r="94" spans="1:42" ht="12" customHeight="1">
      <c r="A94" s="173">
        <f t="shared" si="8"/>
        <v>94</v>
      </c>
      <c r="B94" s="158">
        <f t="shared" si="7"/>
        <v>0</v>
      </c>
      <c r="C94" s="133">
        <v>0.44</v>
      </c>
      <c r="AO94" s="239" t="s">
        <v>625</v>
      </c>
      <c r="AP94" s="239" t="s">
        <v>58</v>
      </c>
    </row>
    <row r="95" spans="1:42" ht="12" customHeight="1">
      <c r="A95" s="173">
        <f t="shared" si="8"/>
        <v>95</v>
      </c>
      <c r="B95" s="159">
        <f t="shared" si="7"/>
        <v>0</v>
      </c>
      <c r="C95" s="132">
        <v>0.44</v>
      </c>
      <c r="AO95" s="239" t="s">
        <v>446</v>
      </c>
      <c r="AP95" s="239" t="s">
        <v>46</v>
      </c>
    </row>
    <row r="96" spans="1:42" ht="12" customHeight="1">
      <c r="A96" s="173">
        <f t="shared" si="8"/>
        <v>96</v>
      </c>
      <c r="B96" s="158">
        <f t="shared" si="7"/>
        <v>0</v>
      </c>
      <c r="C96" s="133">
        <v>0.44</v>
      </c>
      <c r="AO96" s="239" t="s">
        <v>447</v>
      </c>
      <c r="AP96" s="239" t="s">
        <v>49</v>
      </c>
    </row>
    <row r="97" spans="1:42" ht="12" customHeight="1">
      <c r="A97" s="173">
        <f t="shared" si="8"/>
        <v>97</v>
      </c>
      <c r="B97" s="159">
        <f t="shared" si="7"/>
        <v>0</v>
      </c>
      <c r="C97" s="132">
        <v>0.44</v>
      </c>
      <c r="AO97" s="239" t="s">
        <v>448</v>
      </c>
      <c r="AP97" s="239" t="s">
        <v>49</v>
      </c>
    </row>
    <row r="98" spans="1:42" ht="12" customHeight="1">
      <c r="A98" s="173">
        <f t="shared" si="8"/>
        <v>98</v>
      </c>
      <c r="B98" s="158">
        <f t="shared" si="7"/>
        <v>0</v>
      </c>
      <c r="C98" s="133">
        <v>0.44</v>
      </c>
      <c r="AO98" s="239" t="s">
        <v>449</v>
      </c>
      <c r="AP98" s="239" t="s">
        <v>46</v>
      </c>
    </row>
    <row r="99" spans="1:42" ht="12" customHeight="1">
      <c r="A99" s="173">
        <f t="shared" si="8"/>
        <v>99</v>
      </c>
      <c r="B99" s="159">
        <f t="shared" si="7"/>
        <v>0</v>
      </c>
      <c r="C99" s="132">
        <v>0.44</v>
      </c>
      <c r="AO99" s="239" t="s">
        <v>626</v>
      </c>
      <c r="AP99" s="239" t="s">
        <v>48</v>
      </c>
    </row>
    <row r="100" spans="1:42" ht="12" customHeight="1">
      <c r="A100" s="173">
        <f t="shared" si="8"/>
        <v>100</v>
      </c>
      <c r="B100" s="172">
        <f t="shared" si="7"/>
        <v>0</v>
      </c>
      <c r="C100" s="137">
        <v>0.44</v>
      </c>
      <c r="AO100" s="239" t="s">
        <v>450</v>
      </c>
      <c r="AP100" s="239" t="s">
        <v>46</v>
      </c>
    </row>
    <row r="101" spans="1:42" ht="12" customHeight="1">
      <c r="A101" s="173">
        <f t="shared" si="8"/>
        <v>101</v>
      </c>
      <c r="B101" s="159">
        <f t="shared" si="7"/>
        <v>0</v>
      </c>
      <c r="C101" s="132">
        <v>0.47</v>
      </c>
      <c r="AO101" s="239" t="s">
        <v>627</v>
      </c>
      <c r="AP101" s="239" t="s">
        <v>45</v>
      </c>
    </row>
    <row r="102" spans="1:42" ht="12" customHeight="1">
      <c r="A102" s="173">
        <f t="shared" si="8"/>
        <v>102</v>
      </c>
      <c r="B102" s="158">
        <f t="shared" si="7"/>
        <v>0</v>
      </c>
      <c r="C102" s="133">
        <v>0.47</v>
      </c>
      <c r="AO102" s="239" t="s">
        <v>628</v>
      </c>
      <c r="AP102" s="239" t="s">
        <v>58</v>
      </c>
    </row>
    <row r="103" spans="1:42" ht="12" customHeight="1">
      <c r="A103" s="173">
        <f t="shared" si="8"/>
        <v>103</v>
      </c>
      <c r="B103" s="159">
        <f t="shared" si="7"/>
        <v>0</v>
      </c>
      <c r="C103" s="132">
        <v>0.47</v>
      </c>
      <c r="AO103" s="239" t="s">
        <v>451</v>
      </c>
      <c r="AP103" s="239" t="s">
        <v>46</v>
      </c>
    </row>
    <row r="104" spans="1:42" ht="12" customHeight="1">
      <c r="A104" s="173">
        <f t="shared" si="8"/>
        <v>104</v>
      </c>
      <c r="B104" s="158">
        <f t="shared" si="7"/>
        <v>0</v>
      </c>
      <c r="C104" s="133">
        <v>0.47</v>
      </c>
      <c r="AO104" s="239" t="s">
        <v>629</v>
      </c>
      <c r="AP104" s="239" t="s">
        <v>45</v>
      </c>
    </row>
    <row r="105" spans="1:42" ht="12" customHeight="1">
      <c r="A105" s="173">
        <f t="shared" si="8"/>
        <v>105</v>
      </c>
      <c r="B105" s="159">
        <f t="shared" si="7"/>
        <v>0</v>
      </c>
      <c r="C105" s="132">
        <v>0.47</v>
      </c>
      <c r="AO105" s="239" t="s">
        <v>630</v>
      </c>
      <c r="AP105" s="239" t="s">
        <v>48</v>
      </c>
    </row>
    <row r="106" spans="1:42" ht="12" customHeight="1">
      <c r="A106" s="173">
        <f t="shared" si="8"/>
        <v>106</v>
      </c>
      <c r="B106" s="158">
        <f t="shared" si="7"/>
        <v>0</v>
      </c>
      <c r="C106" s="133">
        <v>0.47</v>
      </c>
      <c r="AO106" s="239" t="s">
        <v>452</v>
      </c>
      <c r="AP106" s="239" t="s">
        <v>46</v>
      </c>
    </row>
    <row r="107" spans="1:42" ht="12" customHeight="1">
      <c r="A107" s="173">
        <f t="shared" si="8"/>
        <v>107</v>
      </c>
      <c r="B107" s="159">
        <f t="shared" si="7"/>
        <v>0</v>
      </c>
      <c r="C107" s="132">
        <v>0.47</v>
      </c>
      <c r="AO107" s="239" t="s">
        <v>631</v>
      </c>
      <c r="AP107" s="239" t="s">
        <v>49</v>
      </c>
    </row>
    <row r="108" spans="1:42" ht="12" customHeight="1">
      <c r="A108" s="173">
        <f t="shared" si="8"/>
        <v>108</v>
      </c>
      <c r="B108" s="158">
        <f t="shared" si="7"/>
        <v>0</v>
      </c>
      <c r="C108" s="133">
        <v>0.47</v>
      </c>
      <c r="AO108" s="239" t="s">
        <v>453</v>
      </c>
      <c r="AP108" s="239" t="s">
        <v>57</v>
      </c>
    </row>
    <row r="109" spans="1:42" ht="12" customHeight="1">
      <c r="A109" s="173">
        <f t="shared" si="8"/>
        <v>109</v>
      </c>
      <c r="B109" s="159">
        <f t="shared" si="7"/>
        <v>0</v>
      </c>
      <c r="C109" s="132">
        <v>0.47</v>
      </c>
      <c r="AO109" s="239" t="s">
        <v>454</v>
      </c>
      <c r="AP109" s="239" t="s">
        <v>49</v>
      </c>
    </row>
    <row r="110" spans="1:42" ht="12" customHeight="1">
      <c r="A110" s="173">
        <f t="shared" si="8"/>
        <v>110</v>
      </c>
      <c r="B110" s="172">
        <f t="shared" si="7"/>
        <v>0</v>
      </c>
      <c r="C110" s="137">
        <v>0.47</v>
      </c>
      <c r="AO110" s="239" t="s">
        <v>455</v>
      </c>
      <c r="AP110" s="239" t="s">
        <v>46</v>
      </c>
    </row>
    <row r="111" spans="1:42" ht="12" customHeight="1">
      <c r="A111" s="173">
        <f t="shared" si="8"/>
        <v>111</v>
      </c>
      <c r="B111" s="159">
        <f t="shared" si="7"/>
        <v>0</v>
      </c>
      <c r="C111" s="132">
        <v>0.5</v>
      </c>
      <c r="AO111" s="239" t="s">
        <v>632</v>
      </c>
      <c r="AP111" s="239" t="s">
        <v>49</v>
      </c>
    </row>
    <row r="112" spans="1:42" ht="12" customHeight="1">
      <c r="A112" s="173">
        <f t="shared" si="8"/>
        <v>112</v>
      </c>
      <c r="B112" s="158">
        <f t="shared" si="7"/>
        <v>0</v>
      </c>
      <c r="C112" s="133">
        <v>0.5</v>
      </c>
      <c r="AO112" s="239" t="s">
        <v>633</v>
      </c>
      <c r="AP112" s="239" t="s">
        <v>45</v>
      </c>
    </row>
    <row r="113" spans="1:42" ht="12" customHeight="1">
      <c r="A113" s="173">
        <f t="shared" si="8"/>
        <v>113</v>
      </c>
      <c r="B113" s="159">
        <f t="shared" si="7"/>
        <v>0</v>
      </c>
      <c r="C113" s="132">
        <v>0.5</v>
      </c>
      <c r="AO113" s="239" t="s">
        <v>456</v>
      </c>
      <c r="AP113" s="239" t="s">
        <v>58</v>
      </c>
    </row>
    <row r="114" spans="1:42" ht="12" customHeight="1">
      <c r="A114" s="173">
        <f t="shared" si="8"/>
        <v>114</v>
      </c>
      <c r="B114" s="158">
        <f t="shared" si="7"/>
        <v>0</v>
      </c>
      <c r="C114" s="133">
        <v>0.5</v>
      </c>
      <c r="AO114" s="239" t="s">
        <v>457</v>
      </c>
      <c r="AP114" s="239" t="s">
        <v>46</v>
      </c>
    </row>
    <row r="115" spans="1:42" ht="12" customHeight="1">
      <c r="A115" s="173">
        <f t="shared" si="8"/>
        <v>115</v>
      </c>
      <c r="B115" s="159">
        <f t="shared" si="7"/>
        <v>0</v>
      </c>
      <c r="C115" s="132">
        <v>0.5</v>
      </c>
      <c r="AO115" s="239" t="s">
        <v>458</v>
      </c>
      <c r="AP115" s="239" t="s">
        <v>57</v>
      </c>
    </row>
    <row r="116" spans="1:42" ht="12" customHeight="1">
      <c r="A116" s="173">
        <f t="shared" si="8"/>
        <v>116</v>
      </c>
      <c r="B116" s="158">
        <f t="shared" si="7"/>
        <v>0</v>
      </c>
      <c r="C116" s="133">
        <v>0.5</v>
      </c>
      <c r="AO116" s="239" t="s">
        <v>459</v>
      </c>
      <c r="AP116" s="239" t="s">
        <v>57</v>
      </c>
    </row>
    <row r="117" spans="1:42" ht="12" customHeight="1">
      <c r="A117" s="173">
        <f t="shared" si="8"/>
        <v>117</v>
      </c>
      <c r="B117" s="159">
        <f t="shared" si="7"/>
        <v>0</v>
      </c>
      <c r="C117" s="132">
        <v>0.5</v>
      </c>
      <c r="AO117" s="239" t="s">
        <v>460</v>
      </c>
      <c r="AP117" s="239" t="s">
        <v>46</v>
      </c>
    </row>
    <row r="118" spans="1:42" ht="12" customHeight="1">
      <c r="A118" s="173">
        <f t="shared" si="8"/>
        <v>118</v>
      </c>
      <c r="B118" s="158">
        <f t="shared" si="7"/>
        <v>0</v>
      </c>
      <c r="C118" s="133">
        <v>0.5</v>
      </c>
      <c r="AO118" s="239" t="s">
        <v>461</v>
      </c>
      <c r="AP118" s="239" t="s">
        <v>49</v>
      </c>
    </row>
    <row r="119" spans="1:42" ht="12" customHeight="1">
      <c r="A119" s="173">
        <f t="shared" si="8"/>
        <v>119</v>
      </c>
      <c r="B119" s="159">
        <f t="shared" si="7"/>
        <v>0</v>
      </c>
      <c r="C119" s="132">
        <v>0.5</v>
      </c>
      <c r="AO119" s="239" t="s">
        <v>634</v>
      </c>
      <c r="AP119" s="239" t="s">
        <v>59</v>
      </c>
    </row>
    <row r="120" spans="1:42" ht="12" customHeight="1">
      <c r="A120" s="173">
        <f t="shared" si="8"/>
        <v>120</v>
      </c>
      <c r="B120" s="172">
        <f t="shared" si="7"/>
        <v>0</v>
      </c>
      <c r="C120" s="137">
        <v>0.5</v>
      </c>
      <c r="AO120" s="239" t="s">
        <v>635</v>
      </c>
      <c r="AP120" s="239" t="s">
        <v>60</v>
      </c>
    </row>
    <row r="121" spans="1:42" ht="12" customHeight="1">
      <c r="A121" s="173">
        <f t="shared" si="8"/>
        <v>121</v>
      </c>
      <c r="B121" s="159">
        <f t="shared" si="7"/>
        <v>0</v>
      </c>
      <c r="C121" s="132">
        <v>0.54</v>
      </c>
      <c r="AO121" s="239" t="s">
        <v>462</v>
      </c>
      <c r="AP121" s="239" t="s">
        <v>46</v>
      </c>
    </row>
    <row r="122" spans="1:42" ht="12" customHeight="1">
      <c r="A122" s="173">
        <f t="shared" si="8"/>
        <v>122</v>
      </c>
      <c r="B122" s="158">
        <f t="shared" si="7"/>
        <v>0</v>
      </c>
      <c r="C122" s="133">
        <v>0.54</v>
      </c>
      <c r="AO122" s="239" t="s">
        <v>463</v>
      </c>
      <c r="AP122" s="239" t="s">
        <v>46</v>
      </c>
    </row>
    <row r="123" spans="1:42" ht="12" customHeight="1">
      <c r="A123" s="173">
        <f t="shared" si="8"/>
        <v>123</v>
      </c>
      <c r="B123" s="159">
        <f t="shared" si="7"/>
        <v>0</v>
      </c>
      <c r="C123" s="132">
        <v>0.54</v>
      </c>
      <c r="AO123" s="239" t="s">
        <v>464</v>
      </c>
      <c r="AP123" s="239" t="s">
        <v>46</v>
      </c>
    </row>
    <row r="124" spans="1:42" ht="12" customHeight="1">
      <c r="A124" s="173">
        <f t="shared" si="8"/>
        <v>124</v>
      </c>
      <c r="B124" s="158">
        <f t="shared" si="7"/>
        <v>0</v>
      </c>
      <c r="C124" s="133">
        <v>0.54</v>
      </c>
      <c r="AO124" s="239" t="s">
        <v>465</v>
      </c>
      <c r="AP124" s="239" t="s">
        <v>59</v>
      </c>
    </row>
    <row r="125" spans="1:42" ht="12" customHeight="1">
      <c r="A125" s="173">
        <f t="shared" si="8"/>
        <v>125</v>
      </c>
      <c r="B125" s="159">
        <f t="shared" si="7"/>
        <v>0</v>
      </c>
      <c r="C125" s="132">
        <v>0.54</v>
      </c>
      <c r="AO125" s="239" t="s">
        <v>466</v>
      </c>
      <c r="AP125" s="239" t="s">
        <v>49</v>
      </c>
    </row>
    <row r="126" spans="1:42" ht="12" customHeight="1">
      <c r="A126" s="173">
        <f t="shared" si="8"/>
        <v>126</v>
      </c>
      <c r="B126" s="158">
        <f t="shared" si="7"/>
        <v>0</v>
      </c>
      <c r="C126" s="133">
        <v>0.54</v>
      </c>
      <c r="AO126" s="239" t="s">
        <v>636</v>
      </c>
      <c r="AP126" s="239" t="s">
        <v>45</v>
      </c>
    </row>
    <row r="127" spans="1:42" ht="12" customHeight="1">
      <c r="A127" s="173">
        <f t="shared" si="8"/>
        <v>127</v>
      </c>
      <c r="B127" s="159">
        <f t="shared" si="7"/>
        <v>0</v>
      </c>
      <c r="C127" s="132">
        <v>0.54</v>
      </c>
      <c r="AO127" s="239" t="s">
        <v>637</v>
      </c>
      <c r="AP127" s="239" t="s">
        <v>59</v>
      </c>
    </row>
    <row r="128" spans="1:42" ht="12" customHeight="1">
      <c r="A128" s="173">
        <f t="shared" si="8"/>
        <v>128</v>
      </c>
      <c r="B128" s="158">
        <f t="shared" si="7"/>
        <v>0</v>
      </c>
      <c r="C128" s="133">
        <v>0.54</v>
      </c>
      <c r="AO128" s="239" t="s">
        <v>467</v>
      </c>
      <c r="AP128" s="239" t="s">
        <v>46</v>
      </c>
    </row>
    <row r="129" spans="1:42" ht="12" customHeight="1">
      <c r="A129" s="173">
        <f t="shared" si="8"/>
        <v>129</v>
      </c>
      <c r="B129" s="159">
        <f t="shared" si="7"/>
        <v>0</v>
      </c>
      <c r="C129" s="132">
        <v>0.54</v>
      </c>
      <c r="AO129" s="239" t="s">
        <v>638</v>
      </c>
      <c r="AP129" s="239" t="s">
        <v>48</v>
      </c>
    </row>
    <row r="130" spans="1:42" ht="12" customHeight="1">
      <c r="A130" s="173">
        <f t="shared" si="8"/>
        <v>130</v>
      </c>
      <c r="B130" s="172">
        <f t="shared" si="7"/>
        <v>0</v>
      </c>
      <c r="C130" s="137">
        <v>0.54</v>
      </c>
      <c r="AO130" s="239" t="s">
        <v>639</v>
      </c>
      <c r="AP130" s="239" t="s">
        <v>59</v>
      </c>
    </row>
    <row r="131" spans="1:42" ht="12" customHeight="1">
      <c r="A131" s="173">
        <f t="shared" si="8"/>
        <v>131</v>
      </c>
      <c r="B131" s="159">
        <f t="shared" ref="B131:B194" si="9">A131*$B$366</f>
        <v>0</v>
      </c>
      <c r="C131" s="132">
        <v>0.56999999999999995</v>
      </c>
      <c r="AO131" s="239" t="s">
        <v>468</v>
      </c>
      <c r="AP131" s="239" t="s">
        <v>46</v>
      </c>
    </row>
    <row r="132" spans="1:42" ht="12" customHeight="1">
      <c r="A132" s="173">
        <f t="shared" si="8"/>
        <v>132</v>
      </c>
      <c r="B132" s="158">
        <f t="shared" si="9"/>
        <v>0</v>
      </c>
      <c r="C132" s="133">
        <v>0.56999999999999995</v>
      </c>
      <c r="AO132" s="239" t="s">
        <v>471</v>
      </c>
      <c r="AP132" s="239" t="s">
        <v>46</v>
      </c>
    </row>
    <row r="133" spans="1:42" ht="12" customHeight="1">
      <c r="A133" s="173">
        <f t="shared" ref="A133:A196" si="10">A132+1</f>
        <v>133</v>
      </c>
      <c r="B133" s="159">
        <f t="shared" si="9"/>
        <v>0</v>
      </c>
      <c r="C133" s="132">
        <v>0.56999999999999995</v>
      </c>
      <c r="AO133" s="239" t="s">
        <v>472</v>
      </c>
      <c r="AP133" s="239" t="s">
        <v>46</v>
      </c>
    </row>
    <row r="134" spans="1:42" ht="12" customHeight="1">
      <c r="A134" s="173">
        <f t="shared" si="10"/>
        <v>134</v>
      </c>
      <c r="B134" s="158">
        <f t="shared" si="9"/>
        <v>0</v>
      </c>
      <c r="C134" s="133">
        <v>0.56999999999999995</v>
      </c>
      <c r="AO134" s="239" t="s">
        <v>640</v>
      </c>
      <c r="AP134" s="239" t="s">
        <v>45</v>
      </c>
    </row>
    <row r="135" spans="1:42" ht="12" customHeight="1">
      <c r="A135" s="173">
        <f t="shared" si="10"/>
        <v>135</v>
      </c>
      <c r="B135" s="159">
        <f t="shared" si="9"/>
        <v>0</v>
      </c>
      <c r="C135" s="132">
        <v>0.56999999999999995</v>
      </c>
      <c r="AO135" s="239" t="s">
        <v>473</v>
      </c>
      <c r="AP135" s="239" t="s">
        <v>49</v>
      </c>
    </row>
    <row r="136" spans="1:42" ht="12" customHeight="1">
      <c r="A136" s="173">
        <f t="shared" si="10"/>
        <v>136</v>
      </c>
      <c r="B136" s="158">
        <f t="shared" si="9"/>
        <v>0</v>
      </c>
      <c r="C136" s="133">
        <v>0.56999999999999995</v>
      </c>
      <c r="AO136" s="239" t="s">
        <v>641</v>
      </c>
      <c r="AP136" s="239" t="s">
        <v>59</v>
      </c>
    </row>
    <row r="137" spans="1:42" ht="12" customHeight="1">
      <c r="A137" s="173">
        <f t="shared" si="10"/>
        <v>137</v>
      </c>
      <c r="B137" s="159">
        <f t="shared" si="9"/>
        <v>0</v>
      </c>
      <c r="C137" s="132">
        <v>0.56999999999999995</v>
      </c>
      <c r="AO137" s="239" t="s">
        <v>642</v>
      </c>
      <c r="AP137" s="239" t="s">
        <v>59</v>
      </c>
    </row>
    <row r="138" spans="1:42" ht="12" customHeight="1">
      <c r="A138" s="173">
        <f t="shared" si="10"/>
        <v>138</v>
      </c>
      <c r="B138" s="158">
        <f t="shared" si="9"/>
        <v>0</v>
      </c>
      <c r="C138" s="133">
        <v>0.56999999999999995</v>
      </c>
      <c r="AO138" s="239" t="s">
        <v>475</v>
      </c>
      <c r="AP138" s="239" t="s">
        <v>46</v>
      </c>
    </row>
    <row r="139" spans="1:42" ht="12" customHeight="1">
      <c r="A139" s="173">
        <f t="shared" si="10"/>
        <v>139</v>
      </c>
      <c r="B139" s="159">
        <f t="shared" si="9"/>
        <v>0</v>
      </c>
      <c r="C139" s="132">
        <v>0.56999999999999995</v>
      </c>
      <c r="AO139" s="239" t="s">
        <v>476</v>
      </c>
      <c r="AP139" s="239" t="s">
        <v>46</v>
      </c>
    </row>
    <row r="140" spans="1:42" ht="12" customHeight="1">
      <c r="A140" s="173">
        <f t="shared" si="10"/>
        <v>140</v>
      </c>
      <c r="B140" s="172">
        <f t="shared" si="9"/>
        <v>0</v>
      </c>
      <c r="C140" s="137">
        <v>0.56999999999999995</v>
      </c>
      <c r="AO140" s="239" t="s">
        <v>477</v>
      </c>
      <c r="AP140" s="239" t="s">
        <v>46</v>
      </c>
    </row>
    <row r="141" spans="1:42" ht="12" customHeight="1">
      <c r="A141" s="173">
        <f t="shared" si="10"/>
        <v>141</v>
      </c>
      <c r="B141" s="159">
        <f t="shared" si="9"/>
        <v>0</v>
      </c>
      <c r="C141" s="132">
        <v>0.6</v>
      </c>
      <c r="AO141" s="239" t="s">
        <v>643</v>
      </c>
      <c r="AP141" s="239" t="s">
        <v>45</v>
      </c>
    </row>
    <row r="142" spans="1:42" ht="12" customHeight="1">
      <c r="A142" s="173">
        <f t="shared" si="10"/>
        <v>142</v>
      </c>
      <c r="B142" s="158">
        <f t="shared" si="9"/>
        <v>0</v>
      </c>
      <c r="C142" s="133">
        <v>0.6</v>
      </c>
      <c r="AO142" s="239" t="s">
        <v>478</v>
      </c>
      <c r="AP142" s="239" t="s">
        <v>48</v>
      </c>
    </row>
    <row r="143" spans="1:42" ht="12" customHeight="1">
      <c r="A143" s="173">
        <f t="shared" si="10"/>
        <v>143</v>
      </c>
      <c r="B143" s="159">
        <f t="shared" si="9"/>
        <v>0</v>
      </c>
      <c r="C143" s="132">
        <v>0.6</v>
      </c>
      <c r="AO143" s="239" t="s">
        <v>479</v>
      </c>
      <c r="AP143" s="239" t="s">
        <v>46</v>
      </c>
    </row>
    <row r="144" spans="1:42" ht="12" customHeight="1">
      <c r="A144" s="173">
        <f t="shared" si="10"/>
        <v>144</v>
      </c>
      <c r="B144" s="158">
        <f t="shared" si="9"/>
        <v>0</v>
      </c>
      <c r="C144" s="133">
        <v>0.6</v>
      </c>
      <c r="AO144" s="239" t="s">
        <v>480</v>
      </c>
      <c r="AP144" s="239" t="s">
        <v>49</v>
      </c>
    </row>
    <row r="145" spans="1:42" ht="12" customHeight="1">
      <c r="A145" s="173">
        <f t="shared" si="10"/>
        <v>145</v>
      </c>
      <c r="B145" s="159">
        <f t="shared" si="9"/>
        <v>0</v>
      </c>
      <c r="C145" s="132">
        <v>0.6</v>
      </c>
      <c r="AO145" s="239" t="s">
        <v>644</v>
      </c>
      <c r="AP145" s="239" t="s">
        <v>59</v>
      </c>
    </row>
    <row r="146" spans="1:42" ht="12" customHeight="1">
      <c r="A146" s="173">
        <f t="shared" si="10"/>
        <v>146</v>
      </c>
      <c r="B146" s="158">
        <f t="shared" si="9"/>
        <v>0</v>
      </c>
      <c r="C146" s="133">
        <v>0.6</v>
      </c>
      <c r="AO146" s="239" t="s">
        <v>481</v>
      </c>
      <c r="AP146" s="239" t="s">
        <v>49</v>
      </c>
    </row>
    <row r="147" spans="1:42" ht="12" customHeight="1">
      <c r="A147" s="173">
        <f t="shared" si="10"/>
        <v>147</v>
      </c>
      <c r="B147" s="159">
        <f t="shared" si="9"/>
        <v>0</v>
      </c>
      <c r="C147" s="132">
        <v>0.6</v>
      </c>
      <c r="AO147" s="239" t="s">
        <v>645</v>
      </c>
      <c r="AP147" s="239" t="s">
        <v>59</v>
      </c>
    </row>
    <row r="148" spans="1:42" ht="12" customHeight="1">
      <c r="A148" s="173">
        <f t="shared" si="10"/>
        <v>148</v>
      </c>
      <c r="B148" s="158">
        <f t="shared" si="9"/>
        <v>0</v>
      </c>
      <c r="C148" s="133">
        <v>0.6</v>
      </c>
      <c r="AO148" s="239" t="s">
        <v>482</v>
      </c>
      <c r="AP148" s="239" t="s">
        <v>49</v>
      </c>
    </row>
    <row r="149" spans="1:42" ht="12" customHeight="1">
      <c r="A149" s="173">
        <f t="shared" si="10"/>
        <v>149</v>
      </c>
      <c r="B149" s="159">
        <f t="shared" si="9"/>
        <v>0</v>
      </c>
      <c r="C149" s="132">
        <v>0.6</v>
      </c>
      <c r="AO149" s="239" t="s">
        <v>646</v>
      </c>
      <c r="AP149" s="239" t="s">
        <v>45</v>
      </c>
    </row>
    <row r="150" spans="1:42" ht="12" customHeight="1">
      <c r="A150" s="173">
        <f t="shared" si="10"/>
        <v>150</v>
      </c>
      <c r="B150" s="172">
        <f t="shared" si="9"/>
        <v>0</v>
      </c>
      <c r="C150" s="137">
        <v>0.6</v>
      </c>
      <c r="AO150" s="239" t="s">
        <v>483</v>
      </c>
      <c r="AP150" s="239" t="s">
        <v>46</v>
      </c>
    </row>
    <row r="151" spans="1:42" ht="12" customHeight="1">
      <c r="A151" s="173">
        <f t="shared" si="10"/>
        <v>151</v>
      </c>
      <c r="B151" s="159">
        <f t="shared" si="9"/>
        <v>0</v>
      </c>
      <c r="C151" s="132">
        <v>0.64</v>
      </c>
      <c r="AO151" s="239" t="s">
        <v>484</v>
      </c>
      <c r="AP151" s="239" t="s">
        <v>46</v>
      </c>
    </row>
    <row r="152" spans="1:42" ht="12" customHeight="1">
      <c r="A152" s="173">
        <f t="shared" si="10"/>
        <v>152</v>
      </c>
      <c r="B152" s="158">
        <f t="shared" si="9"/>
        <v>0</v>
      </c>
      <c r="C152" s="133">
        <v>0.64</v>
      </c>
      <c r="AO152" s="239" t="s">
        <v>647</v>
      </c>
      <c r="AP152" s="239" t="s">
        <v>49</v>
      </c>
    </row>
    <row r="153" spans="1:42" ht="12" customHeight="1">
      <c r="A153" s="173">
        <f t="shared" si="10"/>
        <v>153</v>
      </c>
      <c r="B153" s="159">
        <f t="shared" si="9"/>
        <v>0</v>
      </c>
      <c r="C153" s="132">
        <v>0.64</v>
      </c>
      <c r="AO153" s="239" t="s">
        <v>648</v>
      </c>
      <c r="AP153" s="239" t="s">
        <v>48</v>
      </c>
    </row>
    <row r="154" spans="1:42" ht="12" customHeight="1">
      <c r="A154" s="173">
        <f t="shared" si="10"/>
        <v>154</v>
      </c>
      <c r="B154" s="158">
        <f t="shared" si="9"/>
        <v>0</v>
      </c>
      <c r="C154" s="133">
        <v>0.64</v>
      </c>
      <c r="AO154" s="239" t="s">
        <v>485</v>
      </c>
      <c r="AP154" s="239" t="s">
        <v>46</v>
      </c>
    </row>
    <row r="155" spans="1:42" ht="12" customHeight="1">
      <c r="A155" s="173">
        <f t="shared" si="10"/>
        <v>155</v>
      </c>
      <c r="B155" s="159">
        <f t="shared" si="9"/>
        <v>0</v>
      </c>
      <c r="C155" s="132">
        <v>0.64</v>
      </c>
      <c r="AO155" s="239" t="s">
        <v>649</v>
      </c>
      <c r="AP155" s="239" t="s">
        <v>48</v>
      </c>
    </row>
    <row r="156" spans="1:42" ht="12" customHeight="1">
      <c r="A156" s="173">
        <f t="shared" si="10"/>
        <v>156</v>
      </c>
      <c r="B156" s="158">
        <f t="shared" si="9"/>
        <v>0</v>
      </c>
      <c r="C156" s="133">
        <v>0.64</v>
      </c>
      <c r="AO156" s="239" t="s">
        <v>650</v>
      </c>
      <c r="AP156" s="239" t="s">
        <v>58</v>
      </c>
    </row>
    <row r="157" spans="1:42" ht="12" customHeight="1">
      <c r="A157" s="173">
        <f t="shared" si="10"/>
        <v>157</v>
      </c>
      <c r="B157" s="159">
        <f t="shared" si="9"/>
        <v>0</v>
      </c>
      <c r="C157" s="132">
        <v>0.64</v>
      </c>
      <c r="AO157" s="239" t="s">
        <v>486</v>
      </c>
      <c r="AP157" s="239" t="s">
        <v>57</v>
      </c>
    </row>
    <row r="158" spans="1:42" ht="12" customHeight="1">
      <c r="A158" s="173">
        <f t="shared" si="10"/>
        <v>158</v>
      </c>
      <c r="B158" s="158">
        <f t="shared" si="9"/>
        <v>0</v>
      </c>
      <c r="C158" s="133">
        <v>0.64</v>
      </c>
      <c r="AO158" s="239" t="s">
        <v>487</v>
      </c>
      <c r="AP158" s="239" t="s">
        <v>46</v>
      </c>
    </row>
    <row r="159" spans="1:42" ht="12" customHeight="1">
      <c r="A159" s="173">
        <f t="shared" si="10"/>
        <v>159</v>
      </c>
      <c r="B159" s="159">
        <f t="shared" si="9"/>
        <v>0</v>
      </c>
      <c r="C159" s="132">
        <v>0.64</v>
      </c>
      <c r="AO159" s="239" t="s">
        <v>651</v>
      </c>
      <c r="AP159" s="239" t="s">
        <v>48</v>
      </c>
    </row>
    <row r="160" spans="1:42" ht="12" customHeight="1">
      <c r="A160" s="173">
        <f t="shared" si="10"/>
        <v>160</v>
      </c>
      <c r="B160" s="172">
        <f t="shared" si="9"/>
        <v>0</v>
      </c>
      <c r="C160" s="137">
        <v>0.64</v>
      </c>
      <c r="AO160" s="239" t="s">
        <v>652</v>
      </c>
      <c r="AP160" s="239" t="s">
        <v>58</v>
      </c>
    </row>
    <row r="161" spans="1:42" ht="12" customHeight="1">
      <c r="A161" s="173">
        <f t="shared" si="10"/>
        <v>161</v>
      </c>
      <c r="B161" s="159">
        <f t="shared" si="9"/>
        <v>0</v>
      </c>
      <c r="C161" s="132">
        <v>0.67</v>
      </c>
      <c r="AO161" s="239" t="s">
        <v>488</v>
      </c>
      <c r="AP161" s="239" t="s">
        <v>46</v>
      </c>
    </row>
    <row r="162" spans="1:42" ht="12" customHeight="1">
      <c r="A162" s="173">
        <f t="shared" si="10"/>
        <v>162</v>
      </c>
      <c r="B162" s="158">
        <f t="shared" si="9"/>
        <v>0</v>
      </c>
      <c r="C162" s="133">
        <v>0.67</v>
      </c>
      <c r="AO162" s="239" t="s">
        <v>490</v>
      </c>
      <c r="AP162" s="239" t="s">
        <v>46</v>
      </c>
    </row>
    <row r="163" spans="1:42" ht="12" customHeight="1">
      <c r="A163" s="173">
        <f t="shared" si="10"/>
        <v>163</v>
      </c>
      <c r="B163" s="159">
        <f t="shared" si="9"/>
        <v>0</v>
      </c>
      <c r="C163" s="132">
        <v>0.67</v>
      </c>
      <c r="AO163" s="239" t="s">
        <v>491</v>
      </c>
      <c r="AP163" s="239" t="s">
        <v>57</v>
      </c>
    </row>
    <row r="164" spans="1:42" ht="12" customHeight="1">
      <c r="A164" s="173">
        <f t="shared" si="10"/>
        <v>164</v>
      </c>
      <c r="B164" s="158">
        <f t="shared" si="9"/>
        <v>0</v>
      </c>
      <c r="C164" s="133">
        <v>0.67</v>
      </c>
      <c r="AO164" s="239" t="s">
        <v>653</v>
      </c>
      <c r="AP164" s="239" t="s">
        <v>45</v>
      </c>
    </row>
    <row r="165" spans="1:42" ht="12" customHeight="1">
      <c r="A165" s="173">
        <f t="shared" si="10"/>
        <v>165</v>
      </c>
      <c r="B165" s="159">
        <f t="shared" si="9"/>
        <v>0</v>
      </c>
      <c r="C165" s="132">
        <v>0.67</v>
      </c>
      <c r="AO165" s="239" t="s">
        <v>492</v>
      </c>
      <c r="AP165" s="239" t="s">
        <v>45</v>
      </c>
    </row>
    <row r="166" spans="1:42" ht="12" customHeight="1">
      <c r="A166" s="173">
        <f t="shared" si="10"/>
        <v>166</v>
      </c>
      <c r="B166" s="158">
        <f t="shared" si="9"/>
        <v>0</v>
      </c>
      <c r="C166" s="133">
        <v>0.67</v>
      </c>
      <c r="AO166" s="239" t="s">
        <v>493</v>
      </c>
      <c r="AP166" s="239" t="s">
        <v>46</v>
      </c>
    </row>
    <row r="167" spans="1:42" ht="12" customHeight="1">
      <c r="A167" s="173">
        <f t="shared" si="10"/>
        <v>167</v>
      </c>
      <c r="B167" s="159">
        <f t="shared" si="9"/>
        <v>0</v>
      </c>
      <c r="C167" s="132">
        <v>0.67</v>
      </c>
      <c r="AO167" s="239" t="s">
        <v>494</v>
      </c>
      <c r="AP167" s="239" t="s">
        <v>46</v>
      </c>
    </row>
    <row r="168" spans="1:42" ht="12" customHeight="1">
      <c r="A168" s="173">
        <f t="shared" si="10"/>
        <v>168</v>
      </c>
      <c r="B168" s="158">
        <f t="shared" si="9"/>
        <v>0</v>
      </c>
      <c r="C168" s="133">
        <v>0.67</v>
      </c>
      <c r="AO168" s="239" t="s">
        <v>654</v>
      </c>
      <c r="AP168" s="239" t="s">
        <v>58</v>
      </c>
    </row>
    <row r="169" spans="1:42" ht="12" customHeight="1">
      <c r="A169" s="173">
        <f t="shared" si="10"/>
        <v>169</v>
      </c>
      <c r="B169" s="159">
        <f t="shared" si="9"/>
        <v>0</v>
      </c>
      <c r="C169" s="132">
        <v>0.67</v>
      </c>
      <c r="AO169" s="239" t="s">
        <v>655</v>
      </c>
      <c r="AP169" s="239" t="s">
        <v>59</v>
      </c>
    </row>
    <row r="170" spans="1:42" ht="12" customHeight="1">
      <c r="A170" s="173">
        <f t="shared" si="10"/>
        <v>170</v>
      </c>
      <c r="B170" s="172">
        <f t="shared" si="9"/>
        <v>0</v>
      </c>
      <c r="C170" s="137">
        <v>0.67</v>
      </c>
      <c r="AO170" s="239" t="s">
        <v>495</v>
      </c>
      <c r="AP170" s="239" t="s">
        <v>46</v>
      </c>
    </row>
    <row r="171" spans="1:42" ht="12" customHeight="1">
      <c r="A171" s="173">
        <f t="shared" si="10"/>
        <v>171</v>
      </c>
      <c r="B171" s="159">
        <f t="shared" si="9"/>
        <v>0</v>
      </c>
      <c r="C171" s="132">
        <v>0.7</v>
      </c>
      <c r="AO171" s="239" t="s">
        <v>496</v>
      </c>
      <c r="AP171" s="239" t="s">
        <v>49</v>
      </c>
    </row>
    <row r="172" spans="1:42" ht="12" customHeight="1">
      <c r="A172" s="173">
        <f t="shared" si="10"/>
        <v>172</v>
      </c>
      <c r="B172" s="158">
        <f t="shared" si="9"/>
        <v>0</v>
      </c>
      <c r="C172" s="133">
        <v>0.7</v>
      </c>
      <c r="AO172" s="239" t="s">
        <v>497</v>
      </c>
      <c r="AP172" s="239" t="s">
        <v>57</v>
      </c>
    </row>
    <row r="173" spans="1:42" ht="12" customHeight="1">
      <c r="A173" s="173">
        <f t="shared" si="10"/>
        <v>173</v>
      </c>
      <c r="B173" s="159">
        <f t="shared" si="9"/>
        <v>0</v>
      </c>
      <c r="C173" s="132">
        <v>0.7</v>
      </c>
      <c r="AO173" s="239" t="s">
        <v>499</v>
      </c>
      <c r="AP173" s="239" t="s">
        <v>57</v>
      </c>
    </row>
    <row r="174" spans="1:42" ht="12" customHeight="1">
      <c r="A174" s="173">
        <f t="shared" si="10"/>
        <v>174</v>
      </c>
      <c r="B174" s="158">
        <f t="shared" si="9"/>
        <v>0</v>
      </c>
      <c r="C174" s="133">
        <v>0.7</v>
      </c>
      <c r="AO174" s="239" t="s">
        <v>656</v>
      </c>
      <c r="AP174" s="239" t="s">
        <v>48</v>
      </c>
    </row>
    <row r="175" spans="1:42" ht="12" customHeight="1">
      <c r="A175" s="173">
        <f t="shared" si="10"/>
        <v>175</v>
      </c>
      <c r="B175" s="159">
        <f t="shared" si="9"/>
        <v>0</v>
      </c>
      <c r="C175" s="132">
        <v>0.7</v>
      </c>
      <c r="AO175" s="239" t="s">
        <v>500</v>
      </c>
      <c r="AP175" s="239" t="s">
        <v>46</v>
      </c>
    </row>
    <row r="176" spans="1:42" ht="12" customHeight="1">
      <c r="A176" s="173">
        <f t="shared" si="10"/>
        <v>176</v>
      </c>
      <c r="B176" s="158">
        <f t="shared" si="9"/>
        <v>0</v>
      </c>
      <c r="C176" s="133">
        <v>0.7</v>
      </c>
      <c r="AO176" s="239" t="s">
        <v>501</v>
      </c>
      <c r="AP176" s="239" t="s">
        <v>49</v>
      </c>
    </row>
    <row r="177" spans="1:42" ht="12" customHeight="1">
      <c r="A177" s="173">
        <f t="shared" si="10"/>
        <v>177</v>
      </c>
      <c r="B177" s="159">
        <f t="shared" si="9"/>
        <v>0</v>
      </c>
      <c r="C177" s="132">
        <v>0.7</v>
      </c>
      <c r="AO177" s="239" t="s">
        <v>657</v>
      </c>
      <c r="AP177" s="239" t="s">
        <v>59</v>
      </c>
    </row>
    <row r="178" spans="1:42" ht="12" customHeight="1">
      <c r="A178" s="173">
        <f t="shared" si="10"/>
        <v>178</v>
      </c>
      <c r="B178" s="158">
        <f t="shared" si="9"/>
        <v>0</v>
      </c>
      <c r="C178" s="133">
        <v>0.7</v>
      </c>
      <c r="AO178" s="239" t="s">
        <v>502</v>
      </c>
      <c r="AP178" s="239" t="s">
        <v>57</v>
      </c>
    </row>
    <row r="179" spans="1:42" ht="12" customHeight="1">
      <c r="A179" s="173">
        <f t="shared" si="10"/>
        <v>179</v>
      </c>
      <c r="B179" s="159">
        <f t="shared" si="9"/>
        <v>0</v>
      </c>
      <c r="C179" s="132">
        <v>0.7</v>
      </c>
      <c r="AO179" s="239" t="s">
        <v>505</v>
      </c>
      <c r="AP179" s="239" t="s">
        <v>49</v>
      </c>
    </row>
    <row r="180" spans="1:42" ht="12" customHeight="1">
      <c r="A180" s="173">
        <f t="shared" si="10"/>
        <v>180</v>
      </c>
      <c r="B180" s="172">
        <f t="shared" si="9"/>
        <v>0</v>
      </c>
      <c r="C180" s="137">
        <v>0.7</v>
      </c>
      <c r="AO180" s="239" t="s">
        <v>506</v>
      </c>
      <c r="AP180" s="239" t="s">
        <v>46</v>
      </c>
    </row>
    <row r="181" spans="1:42" ht="12" customHeight="1">
      <c r="A181" s="173">
        <f t="shared" si="10"/>
        <v>181</v>
      </c>
      <c r="B181" s="159">
        <f t="shared" si="9"/>
        <v>0</v>
      </c>
      <c r="C181" s="132">
        <v>0.75</v>
      </c>
      <c r="AO181" s="239" t="s">
        <v>507</v>
      </c>
      <c r="AP181" s="239" t="s">
        <v>46</v>
      </c>
    </row>
    <row r="182" spans="1:42" ht="12" customHeight="1">
      <c r="A182" s="173">
        <f t="shared" si="10"/>
        <v>182</v>
      </c>
      <c r="B182" s="158">
        <f t="shared" si="9"/>
        <v>0</v>
      </c>
      <c r="C182" s="133">
        <v>0.75</v>
      </c>
      <c r="AO182" s="239" t="s">
        <v>658</v>
      </c>
      <c r="AP182" s="239" t="s">
        <v>59</v>
      </c>
    </row>
    <row r="183" spans="1:42" ht="12" customHeight="1">
      <c r="A183" s="173">
        <f t="shared" si="10"/>
        <v>183</v>
      </c>
      <c r="B183" s="159">
        <f t="shared" si="9"/>
        <v>0</v>
      </c>
      <c r="C183" s="132">
        <v>0.75</v>
      </c>
      <c r="AO183" s="239" t="s">
        <v>508</v>
      </c>
      <c r="AP183" s="239" t="s">
        <v>46</v>
      </c>
    </row>
    <row r="184" spans="1:42" ht="12" customHeight="1">
      <c r="A184" s="173">
        <f t="shared" si="10"/>
        <v>184</v>
      </c>
      <c r="B184" s="158">
        <f t="shared" si="9"/>
        <v>0</v>
      </c>
      <c r="C184" s="133">
        <v>0.75</v>
      </c>
      <c r="AO184" s="239" t="s">
        <v>509</v>
      </c>
      <c r="AP184" s="239" t="s">
        <v>49</v>
      </c>
    </row>
    <row r="185" spans="1:42" ht="12" customHeight="1">
      <c r="A185" s="173">
        <f t="shared" si="10"/>
        <v>185</v>
      </c>
      <c r="B185" s="159">
        <f t="shared" si="9"/>
        <v>0</v>
      </c>
      <c r="C185" s="132">
        <v>0.75</v>
      </c>
      <c r="AO185" s="239" t="s">
        <v>659</v>
      </c>
      <c r="AP185" s="239" t="s">
        <v>58</v>
      </c>
    </row>
    <row r="186" spans="1:42" ht="12" customHeight="1">
      <c r="A186" s="173">
        <f t="shared" si="10"/>
        <v>186</v>
      </c>
      <c r="B186" s="158">
        <f t="shared" si="9"/>
        <v>0</v>
      </c>
      <c r="C186" s="133">
        <v>0.75</v>
      </c>
      <c r="AO186" s="239" t="s">
        <v>660</v>
      </c>
      <c r="AP186" s="239" t="s">
        <v>59</v>
      </c>
    </row>
    <row r="187" spans="1:42" ht="12" customHeight="1">
      <c r="A187" s="173">
        <f t="shared" si="10"/>
        <v>187</v>
      </c>
      <c r="B187" s="159">
        <f t="shared" si="9"/>
        <v>0</v>
      </c>
      <c r="C187" s="132">
        <v>0.75</v>
      </c>
      <c r="AO187" s="239" t="s">
        <v>511</v>
      </c>
      <c r="AP187" s="239" t="s">
        <v>49</v>
      </c>
    </row>
    <row r="188" spans="1:42" ht="12" customHeight="1">
      <c r="A188" s="173">
        <f t="shared" si="10"/>
        <v>188</v>
      </c>
      <c r="B188" s="158">
        <f t="shared" si="9"/>
        <v>0</v>
      </c>
      <c r="C188" s="133">
        <v>0.75</v>
      </c>
      <c r="AO188" s="239" t="s">
        <v>512</v>
      </c>
      <c r="AP188" s="239" t="s">
        <v>57</v>
      </c>
    </row>
    <row r="189" spans="1:42" ht="12" customHeight="1">
      <c r="A189" s="173">
        <f t="shared" si="10"/>
        <v>189</v>
      </c>
      <c r="B189" s="159">
        <f t="shared" si="9"/>
        <v>0</v>
      </c>
      <c r="C189" s="132">
        <v>0.75</v>
      </c>
      <c r="AO189" s="239" t="s">
        <v>513</v>
      </c>
      <c r="AP189" s="239" t="s">
        <v>57</v>
      </c>
    </row>
    <row r="190" spans="1:42" ht="12" customHeight="1">
      <c r="A190" s="173">
        <f t="shared" si="10"/>
        <v>190</v>
      </c>
      <c r="B190" s="158">
        <f t="shared" si="9"/>
        <v>0</v>
      </c>
      <c r="C190" s="133">
        <v>0.75</v>
      </c>
      <c r="AO190" s="239" t="s">
        <v>515</v>
      </c>
      <c r="AP190" s="239" t="s">
        <v>46</v>
      </c>
    </row>
    <row r="191" spans="1:42" ht="12" customHeight="1">
      <c r="A191" s="173">
        <f t="shared" si="10"/>
        <v>191</v>
      </c>
      <c r="B191" s="159">
        <f t="shared" si="9"/>
        <v>0</v>
      </c>
      <c r="C191" s="132">
        <v>0.75</v>
      </c>
      <c r="AO191" s="239" t="s">
        <v>516</v>
      </c>
      <c r="AP191" s="239" t="s">
        <v>57</v>
      </c>
    </row>
    <row r="192" spans="1:42" ht="12" customHeight="1">
      <c r="A192" s="173">
        <f t="shared" si="10"/>
        <v>192</v>
      </c>
      <c r="B192" s="158">
        <f t="shared" si="9"/>
        <v>0</v>
      </c>
      <c r="C192" s="133">
        <v>0.75</v>
      </c>
      <c r="AO192" s="239" t="s">
        <v>517</v>
      </c>
      <c r="AP192" s="239" t="s">
        <v>57</v>
      </c>
    </row>
    <row r="193" spans="1:42" ht="12" customHeight="1">
      <c r="A193" s="173">
        <f t="shared" si="10"/>
        <v>193</v>
      </c>
      <c r="B193" s="159">
        <f t="shared" si="9"/>
        <v>0</v>
      </c>
      <c r="C193" s="132">
        <v>0.75</v>
      </c>
      <c r="AO193" s="239" t="s">
        <v>518</v>
      </c>
      <c r="AP193" s="239" t="s">
        <v>46</v>
      </c>
    </row>
    <row r="194" spans="1:42" ht="12" customHeight="1">
      <c r="A194" s="173">
        <f t="shared" si="10"/>
        <v>194</v>
      </c>
      <c r="B194" s="158">
        <f t="shared" si="9"/>
        <v>0</v>
      </c>
      <c r="C194" s="133">
        <v>0.75</v>
      </c>
      <c r="AO194" s="239" t="s">
        <v>661</v>
      </c>
      <c r="AP194" s="239" t="s">
        <v>45</v>
      </c>
    </row>
    <row r="195" spans="1:42" ht="12" customHeight="1">
      <c r="A195" s="173">
        <f t="shared" si="10"/>
        <v>195</v>
      </c>
      <c r="B195" s="159">
        <f t="shared" ref="B195:B258" si="11">A195*$B$366</f>
        <v>0</v>
      </c>
      <c r="C195" s="132">
        <v>0.75</v>
      </c>
      <c r="AO195" s="239" t="s">
        <v>662</v>
      </c>
      <c r="AP195" s="239" t="s">
        <v>48</v>
      </c>
    </row>
    <row r="196" spans="1:42" ht="12" customHeight="1">
      <c r="A196" s="173">
        <f t="shared" si="10"/>
        <v>196</v>
      </c>
      <c r="B196" s="158">
        <f t="shared" si="11"/>
        <v>0</v>
      </c>
      <c r="C196" s="133">
        <v>0.75</v>
      </c>
      <c r="AO196" s="239" t="s">
        <v>520</v>
      </c>
      <c r="AP196" s="239" t="s">
        <v>49</v>
      </c>
    </row>
    <row r="197" spans="1:42" ht="12" customHeight="1">
      <c r="A197" s="173">
        <f t="shared" ref="A197:A260" si="12">A196+1</f>
        <v>197</v>
      </c>
      <c r="B197" s="159">
        <f t="shared" si="11"/>
        <v>0</v>
      </c>
      <c r="C197" s="132">
        <v>0.75</v>
      </c>
      <c r="AO197" s="239" t="s">
        <v>521</v>
      </c>
      <c r="AP197" s="239" t="s">
        <v>46</v>
      </c>
    </row>
    <row r="198" spans="1:42" ht="12" customHeight="1">
      <c r="A198" s="173">
        <f t="shared" si="12"/>
        <v>198</v>
      </c>
      <c r="B198" s="158">
        <f t="shared" si="11"/>
        <v>0</v>
      </c>
      <c r="C198" s="133">
        <v>0.75</v>
      </c>
      <c r="AO198" s="239" t="s">
        <v>663</v>
      </c>
      <c r="AP198" s="239" t="s">
        <v>48</v>
      </c>
    </row>
    <row r="199" spans="1:42" ht="12" customHeight="1">
      <c r="A199" s="173">
        <f t="shared" si="12"/>
        <v>199</v>
      </c>
      <c r="B199" s="159">
        <f t="shared" si="11"/>
        <v>0</v>
      </c>
      <c r="C199" s="132">
        <v>0.75</v>
      </c>
      <c r="AO199" s="239" t="s">
        <v>664</v>
      </c>
      <c r="AP199" s="239" t="s">
        <v>59</v>
      </c>
    </row>
    <row r="200" spans="1:42" ht="12" customHeight="1">
      <c r="A200" s="173">
        <f t="shared" si="12"/>
        <v>200</v>
      </c>
      <c r="B200" s="158">
        <f t="shared" si="11"/>
        <v>0</v>
      </c>
      <c r="C200" s="133">
        <v>0.75</v>
      </c>
      <c r="AO200" s="239" t="s">
        <v>522</v>
      </c>
      <c r="AP200" s="239" t="s">
        <v>46</v>
      </c>
    </row>
    <row r="201" spans="1:42" ht="12" customHeight="1">
      <c r="A201" s="173">
        <f t="shared" si="12"/>
        <v>201</v>
      </c>
      <c r="B201" s="159">
        <f t="shared" si="11"/>
        <v>0</v>
      </c>
      <c r="C201" s="132">
        <v>0.75</v>
      </c>
      <c r="AO201" s="239" t="s">
        <v>523</v>
      </c>
      <c r="AP201" s="239" t="s">
        <v>46</v>
      </c>
    </row>
    <row r="202" spans="1:42" ht="12" customHeight="1">
      <c r="A202" s="173">
        <f t="shared" si="12"/>
        <v>202</v>
      </c>
      <c r="B202" s="158">
        <f t="shared" si="11"/>
        <v>0</v>
      </c>
      <c r="C202" s="133">
        <v>0.75</v>
      </c>
      <c r="AO202" s="239" t="s">
        <v>524</v>
      </c>
      <c r="AP202" s="239" t="s">
        <v>46</v>
      </c>
    </row>
    <row r="203" spans="1:42" ht="12" customHeight="1">
      <c r="A203" s="173">
        <f t="shared" si="12"/>
        <v>203</v>
      </c>
      <c r="B203" s="159">
        <f t="shared" si="11"/>
        <v>0</v>
      </c>
      <c r="C203" s="132">
        <v>0.75</v>
      </c>
      <c r="AO203" s="239" t="s">
        <v>525</v>
      </c>
      <c r="AP203" s="239" t="s">
        <v>57</v>
      </c>
    </row>
    <row r="204" spans="1:42" ht="12" customHeight="1">
      <c r="A204" s="173">
        <f t="shared" si="12"/>
        <v>204</v>
      </c>
      <c r="B204" s="158">
        <f t="shared" si="11"/>
        <v>0</v>
      </c>
      <c r="C204" s="133">
        <v>0.75</v>
      </c>
      <c r="AO204" s="239" t="s">
        <v>526</v>
      </c>
      <c r="AP204" s="239" t="s">
        <v>49</v>
      </c>
    </row>
    <row r="205" spans="1:42" ht="12" customHeight="1">
      <c r="A205" s="173">
        <f t="shared" si="12"/>
        <v>205</v>
      </c>
      <c r="B205" s="159">
        <f t="shared" si="11"/>
        <v>0</v>
      </c>
      <c r="C205" s="132">
        <v>0.75</v>
      </c>
      <c r="AO205" s="239" t="s">
        <v>527</v>
      </c>
      <c r="AP205" s="239" t="s">
        <v>57</v>
      </c>
    </row>
    <row r="206" spans="1:42" ht="12" customHeight="1">
      <c r="A206" s="173">
        <f t="shared" si="12"/>
        <v>206</v>
      </c>
      <c r="B206" s="158">
        <f t="shared" si="11"/>
        <v>0</v>
      </c>
      <c r="C206" s="133">
        <v>0.75</v>
      </c>
      <c r="AO206" s="239" t="s">
        <v>528</v>
      </c>
      <c r="AP206" s="239" t="s">
        <v>46</v>
      </c>
    </row>
    <row r="207" spans="1:42" ht="12" customHeight="1">
      <c r="A207" s="173">
        <f t="shared" si="12"/>
        <v>207</v>
      </c>
      <c r="B207" s="159">
        <f t="shared" si="11"/>
        <v>0</v>
      </c>
      <c r="C207" s="132">
        <v>0.75</v>
      </c>
      <c r="AO207" s="239" t="s">
        <v>529</v>
      </c>
      <c r="AP207" s="239" t="s">
        <v>45</v>
      </c>
    </row>
    <row r="208" spans="1:42" ht="12" customHeight="1">
      <c r="A208" s="173">
        <f t="shared" si="12"/>
        <v>208</v>
      </c>
      <c r="B208" s="158">
        <f t="shared" si="11"/>
        <v>0</v>
      </c>
      <c r="C208" s="133">
        <v>0.75</v>
      </c>
      <c r="AO208" s="239" t="s">
        <v>530</v>
      </c>
      <c r="AP208" s="239" t="s">
        <v>46</v>
      </c>
    </row>
    <row r="209" spans="1:42" ht="12" customHeight="1">
      <c r="A209" s="173">
        <f t="shared" si="12"/>
        <v>209</v>
      </c>
      <c r="B209" s="159">
        <f t="shared" si="11"/>
        <v>0</v>
      </c>
      <c r="C209" s="132">
        <v>0.75</v>
      </c>
      <c r="AO209" s="239" t="s">
        <v>665</v>
      </c>
      <c r="AP209" s="239" t="s">
        <v>45</v>
      </c>
    </row>
    <row r="210" spans="1:42" ht="12" customHeight="1">
      <c r="A210" s="173">
        <f t="shared" si="12"/>
        <v>210</v>
      </c>
      <c r="B210" s="172">
        <f t="shared" si="11"/>
        <v>0</v>
      </c>
      <c r="C210" s="137">
        <v>0.75</v>
      </c>
      <c r="AO210" s="239" t="s">
        <v>666</v>
      </c>
      <c r="AP210" s="239" t="s">
        <v>48</v>
      </c>
    </row>
    <row r="211" spans="1:42" ht="12" customHeight="1">
      <c r="A211" s="173">
        <f t="shared" si="12"/>
        <v>211</v>
      </c>
      <c r="B211" s="159">
        <f t="shared" si="11"/>
        <v>0</v>
      </c>
      <c r="C211" s="132">
        <v>0.8</v>
      </c>
      <c r="AO211" s="239" t="s">
        <v>531</v>
      </c>
      <c r="AP211" s="239" t="s">
        <v>57</v>
      </c>
    </row>
    <row r="212" spans="1:42" ht="12" customHeight="1">
      <c r="A212" s="173">
        <f t="shared" si="12"/>
        <v>212</v>
      </c>
      <c r="B212" s="158">
        <f t="shared" si="11"/>
        <v>0</v>
      </c>
      <c r="C212" s="133">
        <v>0.8</v>
      </c>
      <c r="AO212" s="239" t="s">
        <v>532</v>
      </c>
      <c r="AP212" s="239" t="s">
        <v>46</v>
      </c>
    </row>
    <row r="213" spans="1:42" ht="12" customHeight="1">
      <c r="A213" s="173">
        <f t="shared" si="12"/>
        <v>213</v>
      </c>
      <c r="B213" s="159">
        <f t="shared" si="11"/>
        <v>0</v>
      </c>
      <c r="C213" s="132">
        <v>0.8</v>
      </c>
      <c r="AO213" s="239" t="s">
        <v>533</v>
      </c>
      <c r="AP213" s="239" t="s">
        <v>49</v>
      </c>
    </row>
    <row r="214" spans="1:42" ht="12" customHeight="1">
      <c r="A214" s="173">
        <f t="shared" si="12"/>
        <v>214</v>
      </c>
      <c r="B214" s="158">
        <f t="shared" si="11"/>
        <v>0</v>
      </c>
      <c r="C214" s="133">
        <v>0.8</v>
      </c>
      <c r="AO214" s="239" t="s">
        <v>667</v>
      </c>
      <c r="AP214" s="239" t="s">
        <v>58</v>
      </c>
    </row>
    <row r="215" spans="1:42" ht="12" customHeight="1">
      <c r="A215" s="173">
        <f t="shared" si="12"/>
        <v>215</v>
      </c>
      <c r="B215" s="159">
        <f t="shared" si="11"/>
        <v>0</v>
      </c>
      <c r="C215" s="132">
        <v>0.8</v>
      </c>
      <c r="AO215" s="239" t="s">
        <v>668</v>
      </c>
      <c r="AP215" s="239" t="s">
        <v>59</v>
      </c>
    </row>
    <row r="216" spans="1:42" ht="12" customHeight="1">
      <c r="A216" s="173">
        <f t="shared" si="12"/>
        <v>216</v>
      </c>
      <c r="B216" s="158">
        <f t="shared" si="11"/>
        <v>0</v>
      </c>
      <c r="C216" s="133">
        <v>0.8</v>
      </c>
      <c r="AO216" s="239" t="s">
        <v>534</v>
      </c>
      <c r="AP216" s="239" t="s">
        <v>49</v>
      </c>
    </row>
    <row r="217" spans="1:42" ht="12" customHeight="1">
      <c r="A217" s="173">
        <f t="shared" si="12"/>
        <v>217</v>
      </c>
      <c r="B217" s="159">
        <f t="shared" si="11"/>
        <v>0</v>
      </c>
      <c r="C217" s="132">
        <v>0.8</v>
      </c>
      <c r="AO217" s="239" t="s">
        <v>538</v>
      </c>
      <c r="AP217" s="239" t="s">
        <v>59</v>
      </c>
    </row>
    <row r="218" spans="1:42" ht="12" customHeight="1">
      <c r="A218" s="173">
        <f t="shared" si="12"/>
        <v>218</v>
      </c>
      <c r="B218" s="158">
        <f t="shared" si="11"/>
        <v>0</v>
      </c>
      <c r="C218" s="133">
        <v>0.8</v>
      </c>
      <c r="AO218" s="239" t="s">
        <v>541</v>
      </c>
      <c r="AP218" s="239" t="s">
        <v>46</v>
      </c>
    </row>
    <row r="219" spans="1:42" ht="12" customHeight="1">
      <c r="A219" s="173">
        <f t="shared" si="12"/>
        <v>219</v>
      </c>
      <c r="B219" s="159">
        <f t="shared" si="11"/>
        <v>0</v>
      </c>
      <c r="C219" s="132">
        <v>0.8</v>
      </c>
      <c r="AO219" s="239" t="s">
        <v>542</v>
      </c>
      <c r="AP219" s="239" t="s">
        <v>46</v>
      </c>
    </row>
    <row r="220" spans="1:42" ht="12" customHeight="1">
      <c r="A220" s="173">
        <f t="shared" si="12"/>
        <v>220</v>
      </c>
      <c r="B220" s="158">
        <f t="shared" si="11"/>
        <v>0</v>
      </c>
      <c r="C220" s="133">
        <v>0.8</v>
      </c>
      <c r="AO220" s="239" t="s">
        <v>669</v>
      </c>
      <c r="AP220" s="239" t="s">
        <v>48</v>
      </c>
    </row>
    <row r="221" spans="1:42" ht="12" customHeight="1">
      <c r="A221" s="173">
        <f t="shared" si="12"/>
        <v>221</v>
      </c>
      <c r="B221" s="159">
        <f t="shared" si="11"/>
        <v>0</v>
      </c>
      <c r="C221" s="132">
        <v>0.8</v>
      </c>
      <c r="AO221" s="239" t="s">
        <v>543</v>
      </c>
      <c r="AP221" s="239" t="s">
        <v>46</v>
      </c>
    </row>
    <row r="222" spans="1:42" ht="12" customHeight="1">
      <c r="A222" s="173">
        <f t="shared" si="12"/>
        <v>222</v>
      </c>
      <c r="B222" s="158">
        <f t="shared" si="11"/>
        <v>0</v>
      </c>
      <c r="C222" s="133">
        <v>0.8</v>
      </c>
      <c r="AO222" s="239" t="s">
        <v>674</v>
      </c>
      <c r="AP222" s="239" t="s">
        <v>45</v>
      </c>
    </row>
    <row r="223" spans="1:42" ht="12" customHeight="1">
      <c r="A223" s="173">
        <f t="shared" si="12"/>
        <v>223</v>
      </c>
      <c r="B223" s="159">
        <f t="shared" si="11"/>
        <v>0</v>
      </c>
      <c r="C223" s="132">
        <v>0.8</v>
      </c>
      <c r="AO223" s="239" t="s">
        <v>673</v>
      </c>
      <c r="AP223" s="239" t="s">
        <v>48</v>
      </c>
    </row>
    <row r="224" spans="1:42" ht="12" customHeight="1">
      <c r="A224" s="173">
        <f t="shared" si="12"/>
        <v>224</v>
      </c>
      <c r="B224" s="158">
        <f t="shared" si="11"/>
        <v>0</v>
      </c>
      <c r="C224" s="133">
        <v>0.8</v>
      </c>
      <c r="AO224" s="239" t="s">
        <v>544</v>
      </c>
      <c r="AP224" s="239" t="s">
        <v>46</v>
      </c>
    </row>
    <row r="225" spans="1:42" ht="12" customHeight="1">
      <c r="A225" s="173">
        <f t="shared" si="12"/>
        <v>225</v>
      </c>
      <c r="B225" s="159">
        <f t="shared" si="11"/>
        <v>0</v>
      </c>
      <c r="C225" s="132">
        <v>0.8</v>
      </c>
      <c r="AO225" s="239" t="s">
        <v>671</v>
      </c>
      <c r="AP225" s="239" t="s">
        <v>58</v>
      </c>
    </row>
    <row r="226" spans="1:42" ht="12" customHeight="1">
      <c r="A226" s="173">
        <f t="shared" si="12"/>
        <v>226</v>
      </c>
      <c r="B226" s="158">
        <f t="shared" si="11"/>
        <v>0</v>
      </c>
      <c r="C226" s="133">
        <v>0.8</v>
      </c>
      <c r="AO226" s="239" t="s">
        <v>672</v>
      </c>
      <c r="AP226" s="239" t="s">
        <v>59</v>
      </c>
    </row>
    <row r="227" spans="1:42" ht="12" customHeight="1">
      <c r="A227" s="173">
        <f t="shared" si="12"/>
        <v>227</v>
      </c>
      <c r="B227" s="159">
        <f t="shared" si="11"/>
        <v>0</v>
      </c>
      <c r="C227" s="132">
        <v>0.8</v>
      </c>
      <c r="AO227" s="239" t="s">
        <v>546</v>
      </c>
      <c r="AP227" s="239" t="s">
        <v>46</v>
      </c>
    </row>
    <row r="228" spans="1:42" ht="12" customHeight="1">
      <c r="A228" s="173">
        <f t="shared" si="12"/>
        <v>228</v>
      </c>
      <c r="B228" s="158">
        <f t="shared" si="11"/>
        <v>0</v>
      </c>
      <c r="C228" s="133">
        <v>0.8</v>
      </c>
      <c r="AO228" s="239" t="s">
        <v>547</v>
      </c>
      <c r="AP228" s="239" t="s">
        <v>46</v>
      </c>
    </row>
    <row r="229" spans="1:42" ht="12" customHeight="1">
      <c r="A229" s="173">
        <f t="shared" si="12"/>
        <v>229</v>
      </c>
      <c r="B229" s="159">
        <f t="shared" si="11"/>
        <v>0</v>
      </c>
      <c r="C229" s="132">
        <v>0.8</v>
      </c>
      <c r="AO229" s="239" t="s">
        <v>548</v>
      </c>
      <c r="AP229" s="239" t="s">
        <v>49</v>
      </c>
    </row>
    <row r="230" spans="1:42" ht="12" customHeight="1">
      <c r="A230" s="173">
        <f t="shared" si="12"/>
        <v>230</v>
      </c>
      <c r="B230" s="158">
        <f t="shared" si="11"/>
        <v>0</v>
      </c>
      <c r="C230" s="133">
        <v>0.8</v>
      </c>
      <c r="AO230" s="239" t="s">
        <v>670</v>
      </c>
      <c r="AP230" s="239" t="s">
        <v>45</v>
      </c>
    </row>
    <row r="231" spans="1:42" ht="12" customHeight="1">
      <c r="A231" s="173">
        <f t="shared" si="12"/>
        <v>231</v>
      </c>
      <c r="B231" s="159">
        <f t="shared" si="11"/>
        <v>0</v>
      </c>
      <c r="C231" s="132">
        <v>0.8</v>
      </c>
      <c r="AO231" s="239" t="s">
        <v>675</v>
      </c>
      <c r="AP231" s="239" t="s">
        <v>48</v>
      </c>
    </row>
    <row r="232" spans="1:42" ht="12" customHeight="1">
      <c r="A232" s="173">
        <f t="shared" si="12"/>
        <v>232</v>
      </c>
      <c r="B232" s="158">
        <f t="shared" si="11"/>
        <v>0</v>
      </c>
      <c r="C232" s="133">
        <v>0.8</v>
      </c>
      <c r="AO232" s="239" t="s">
        <v>549</v>
      </c>
      <c r="AP232" s="239" t="s">
        <v>46</v>
      </c>
    </row>
    <row r="233" spans="1:42" ht="12" customHeight="1">
      <c r="A233" s="173">
        <f t="shared" si="12"/>
        <v>233</v>
      </c>
      <c r="B233" s="159">
        <f t="shared" si="11"/>
        <v>0</v>
      </c>
      <c r="C233" s="132">
        <v>0.8</v>
      </c>
      <c r="AO233" s="239" t="s">
        <v>550</v>
      </c>
      <c r="AP233" s="239" t="s">
        <v>49</v>
      </c>
    </row>
    <row r="234" spans="1:42" ht="12" customHeight="1">
      <c r="A234" s="173">
        <f t="shared" si="12"/>
        <v>234</v>
      </c>
      <c r="B234" s="158">
        <f t="shared" si="11"/>
        <v>0</v>
      </c>
      <c r="C234" s="133">
        <v>0.8</v>
      </c>
      <c r="AO234" s="239" t="s">
        <v>551</v>
      </c>
      <c r="AP234" s="239" t="s">
        <v>49</v>
      </c>
    </row>
    <row r="235" spans="1:42" ht="12" customHeight="1">
      <c r="A235" s="173">
        <f t="shared" si="12"/>
        <v>235</v>
      </c>
      <c r="B235" s="159">
        <f t="shared" si="11"/>
        <v>0</v>
      </c>
      <c r="C235" s="132">
        <v>0.8</v>
      </c>
      <c r="AO235" s="239" t="s">
        <v>552</v>
      </c>
      <c r="AP235" s="239" t="s">
        <v>45</v>
      </c>
    </row>
    <row r="236" spans="1:42" ht="12" customHeight="1">
      <c r="A236" s="173">
        <f t="shared" si="12"/>
        <v>236</v>
      </c>
      <c r="B236" s="158">
        <f t="shared" si="11"/>
        <v>0</v>
      </c>
      <c r="C236" s="133">
        <v>0.8</v>
      </c>
      <c r="AO236" s="239" t="s">
        <v>553</v>
      </c>
      <c r="AP236" s="239" t="s">
        <v>46</v>
      </c>
    </row>
    <row r="237" spans="1:42" ht="12" customHeight="1">
      <c r="A237" s="173">
        <f t="shared" si="12"/>
        <v>237</v>
      </c>
      <c r="B237" s="159">
        <f t="shared" si="11"/>
        <v>0</v>
      </c>
      <c r="C237" s="132">
        <v>0.8</v>
      </c>
      <c r="AO237" s="239" t="s">
        <v>676</v>
      </c>
      <c r="AP237" s="239" t="s">
        <v>48</v>
      </c>
    </row>
    <row r="238" spans="1:42" ht="12" customHeight="1">
      <c r="A238" s="173">
        <f t="shared" si="12"/>
        <v>238</v>
      </c>
      <c r="B238" s="158">
        <f t="shared" si="11"/>
        <v>0</v>
      </c>
      <c r="C238" s="133">
        <v>0.8</v>
      </c>
      <c r="AO238" s="239" t="s">
        <v>677</v>
      </c>
      <c r="AP238" s="239" t="s">
        <v>58</v>
      </c>
    </row>
    <row r="239" spans="1:42" ht="12" customHeight="1">
      <c r="A239" s="173">
        <f t="shared" si="12"/>
        <v>239</v>
      </c>
      <c r="B239" s="159">
        <f t="shared" si="11"/>
        <v>0</v>
      </c>
      <c r="C239" s="132">
        <v>0.8</v>
      </c>
      <c r="AO239" s="239" t="s">
        <v>555</v>
      </c>
      <c r="AP239" s="239" t="s">
        <v>46</v>
      </c>
    </row>
    <row r="240" spans="1:42" ht="12" customHeight="1">
      <c r="A240" s="173">
        <f t="shared" si="12"/>
        <v>240</v>
      </c>
      <c r="B240" s="172">
        <f t="shared" si="11"/>
        <v>0</v>
      </c>
      <c r="C240" s="137">
        <v>0.8</v>
      </c>
      <c r="AO240" s="239" t="s">
        <v>556</v>
      </c>
      <c r="AP240" s="239" t="s">
        <v>46</v>
      </c>
    </row>
    <row r="241" spans="1:42" ht="12" customHeight="1">
      <c r="A241" s="173">
        <f t="shared" si="12"/>
        <v>241</v>
      </c>
      <c r="B241" s="159">
        <f t="shared" si="11"/>
        <v>0</v>
      </c>
      <c r="C241" s="132">
        <v>0.85</v>
      </c>
      <c r="AO241" s="239" t="s">
        <v>557</v>
      </c>
      <c r="AP241" s="239" t="s">
        <v>57</v>
      </c>
    </row>
    <row r="242" spans="1:42" ht="12" customHeight="1">
      <c r="A242" s="173">
        <f t="shared" si="12"/>
        <v>242</v>
      </c>
      <c r="B242" s="158">
        <f t="shared" si="11"/>
        <v>0</v>
      </c>
      <c r="C242" s="133">
        <v>0.85</v>
      </c>
      <c r="AO242" s="239" t="s">
        <v>558</v>
      </c>
      <c r="AP242" s="239" t="s">
        <v>57</v>
      </c>
    </row>
    <row r="243" spans="1:42" ht="12" customHeight="1">
      <c r="A243" s="173">
        <f t="shared" si="12"/>
        <v>243</v>
      </c>
      <c r="B243" s="159">
        <f t="shared" si="11"/>
        <v>0</v>
      </c>
      <c r="C243" s="132">
        <v>0.85</v>
      </c>
      <c r="AO243" s="239" t="s">
        <v>560</v>
      </c>
      <c r="AP243" s="239" t="s">
        <v>57</v>
      </c>
    </row>
    <row r="244" spans="1:42" ht="12" customHeight="1">
      <c r="A244" s="173">
        <f t="shared" si="12"/>
        <v>244</v>
      </c>
      <c r="B244" s="158">
        <f t="shared" si="11"/>
        <v>0</v>
      </c>
      <c r="C244" s="133">
        <v>0.85</v>
      </c>
      <c r="AO244" s="239" t="s">
        <v>561</v>
      </c>
      <c r="AP244" s="239" t="s">
        <v>49</v>
      </c>
    </row>
    <row r="245" spans="1:42" ht="12" customHeight="1">
      <c r="A245" s="173">
        <f t="shared" si="12"/>
        <v>245</v>
      </c>
      <c r="B245" s="159">
        <f t="shared" si="11"/>
        <v>0</v>
      </c>
      <c r="C245" s="132">
        <v>0.85</v>
      </c>
      <c r="AO245" s="239" t="s">
        <v>678</v>
      </c>
      <c r="AP245" s="239" t="s">
        <v>48</v>
      </c>
    </row>
    <row r="246" spans="1:42" ht="12" customHeight="1">
      <c r="A246" s="173">
        <f t="shared" si="12"/>
        <v>246</v>
      </c>
      <c r="B246" s="158">
        <f t="shared" si="11"/>
        <v>0</v>
      </c>
      <c r="C246" s="133">
        <v>0.85</v>
      </c>
      <c r="AO246" s="239" t="s">
        <v>679</v>
      </c>
      <c r="AP246" s="239" t="s">
        <v>58</v>
      </c>
    </row>
    <row r="247" spans="1:42" ht="12" customHeight="1">
      <c r="A247" s="173">
        <f t="shared" si="12"/>
        <v>247</v>
      </c>
      <c r="B247" s="159">
        <f t="shared" si="11"/>
        <v>0</v>
      </c>
      <c r="C247" s="132">
        <v>0.85</v>
      </c>
      <c r="AO247" s="239" t="s">
        <v>563</v>
      </c>
      <c r="AP247" s="239" t="s">
        <v>46</v>
      </c>
    </row>
    <row r="248" spans="1:42" ht="12" customHeight="1">
      <c r="A248" s="173">
        <f t="shared" si="12"/>
        <v>248</v>
      </c>
      <c r="B248" s="158">
        <f t="shared" si="11"/>
        <v>0</v>
      </c>
      <c r="C248" s="133">
        <v>0.85</v>
      </c>
      <c r="AO248" s="239" t="s">
        <v>680</v>
      </c>
      <c r="AP248" s="239" t="s">
        <v>49</v>
      </c>
    </row>
    <row r="249" spans="1:42" ht="12" customHeight="1">
      <c r="A249" s="173">
        <f t="shared" si="12"/>
        <v>249</v>
      </c>
      <c r="B249" s="159">
        <f t="shared" si="11"/>
        <v>0</v>
      </c>
      <c r="C249" s="132">
        <v>0.85</v>
      </c>
      <c r="AO249" s="239" t="s">
        <v>564</v>
      </c>
      <c r="AP249" s="239" t="s">
        <v>49</v>
      </c>
    </row>
    <row r="250" spans="1:42" ht="12" customHeight="1">
      <c r="A250" s="173">
        <f t="shared" si="12"/>
        <v>250</v>
      </c>
      <c r="B250" s="158">
        <f t="shared" si="11"/>
        <v>0</v>
      </c>
      <c r="C250" s="133">
        <v>0.85</v>
      </c>
      <c r="AO250" s="239" t="s">
        <v>565</v>
      </c>
      <c r="AP250" s="239" t="s">
        <v>49</v>
      </c>
    </row>
    <row r="251" spans="1:42" ht="12" customHeight="1">
      <c r="A251" s="173">
        <f t="shared" si="12"/>
        <v>251</v>
      </c>
      <c r="B251" s="159">
        <f t="shared" si="11"/>
        <v>0</v>
      </c>
      <c r="C251" s="132">
        <v>0.85</v>
      </c>
      <c r="AO251" s="239" t="s">
        <v>681</v>
      </c>
      <c r="AP251" s="239" t="s">
        <v>48</v>
      </c>
    </row>
    <row r="252" spans="1:42" ht="12" customHeight="1">
      <c r="A252" s="173">
        <f t="shared" si="12"/>
        <v>252</v>
      </c>
      <c r="B252" s="158">
        <f t="shared" si="11"/>
        <v>0</v>
      </c>
      <c r="C252" s="133">
        <v>0.85</v>
      </c>
      <c r="AO252" s="239" t="s">
        <v>682</v>
      </c>
      <c r="AP252" s="239" t="s">
        <v>59</v>
      </c>
    </row>
    <row r="253" spans="1:42" ht="12" customHeight="1">
      <c r="A253" s="173">
        <f t="shared" si="12"/>
        <v>253</v>
      </c>
      <c r="B253" s="159">
        <f t="shared" si="11"/>
        <v>0</v>
      </c>
      <c r="C253" s="132">
        <v>0.85</v>
      </c>
      <c r="AO253" s="239" t="s">
        <v>567</v>
      </c>
      <c r="AP253" s="239" t="s">
        <v>49</v>
      </c>
    </row>
    <row r="254" spans="1:42" ht="12" customHeight="1">
      <c r="A254" s="173">
        <f t="shared" si="12"/>
        <v>254</v>
      </c>
      <c r="B254" s="158">
        <f t="shared" si="11"/>
        <v>0</v>
      </c>
      <c r="C254" s="133">
        <v>0.85</v>
      </c>
      <c r="AO254" s="239" t="s">
        <v>568</v>
      </c>
      <c r="AP254" s="239" t="s">
        <v>46</v>
      </c>
    </row>
    <row r="255" spans="1:42" ht="12" customHeight="1">
      <c r="A255" s="173">
        <f t="shared" si="12"/>
        <v>255</v>
      </c>
      <c r="B255" s="159">
        <f t="shared" si="11"/>
        <v>0</v>
      </c>
      <c r="C255" s="132">
        <v>0.85</v>
      </c>
      <c r="AO255" s="239" t="s">
        <v>683</v>
      </c>
      <c r="AP255" s="239" t="s">
        <v>48</v>
      </c>
    </row>
    <row r="256" spans="1:42" ht="12" customHeight="1">
      <c r="A256" s="173">
        <f t="shared" si="12"/>
        <v>256</v>
      </c>
      <c r="B256" s="158">
        <f t="shared" si="11"/>
        <v>0</v>
      </c>
      <c r="C256" s="133">
        <v>0.85</v>
      </c>
      <c r="AO256" s="239" t="s">
        <v>684</v>
      </c>
      <c r="AP256" s="239" t="s">
        <v>58</v>
      </c>
    </row>
    <row r="257" spans="1:42" ht="12" customHeight="1">
      <c r="A257" s="173">
        <f t="shared" si="12"/>
        <v>257</v>
      </c>
      <c r="B257" s="159">
        <f t="shared" si="11"/>
        <v>0</v>
      </c>
      <c r="C257" s="132">
        <v>0.85</v>
      </c>
      <c r="AO257" s="239" t="s">
        <v>569</v>
      </c>
      <c r="AP257" s="239" t="s">
        <v>46</v>
      </c>
    </row>
    <row r="258" spans="1:42" ht="12" customHeight="1">
      <c r="A258" s="173">
        <f t="shared" si="12"/>
        <v>258</v>
      </c>
      <c r="B258" s="158">
        <f t="shared" si="11"/>
        <v>0</v>
      </c>
      <c r="C258" s="133">
        <v>0.85</v>
      </c>
      <c r="AO258" s="239" t="s">
        <v>685</v>
      </c>
      <c r="AP258" s="239" t="s">
        <v>48</v>
      </c>
    </row>
    <row r="259" spans="1:42" ht="12" customHeight="1">
      <c r="A259" s="173">
        <f t="shared" si="12"/>
        <v>259</v>
      </c>
      <c r="B259" s="159">
        <f t="shared" ref="B259:B322" si="13">A259*$B$366</f>
        <v>0</v>
      </c>
      <c r="C259" s="132">
        <v>0.85</v>
      </c>
      <c r="AO259" s="239" t="s">
        <v>686</v>
      </c>
      <c r="AP259" s="239" t="s">
        <v>58</v>
      </c>
    </row>
    <row r="260" spans="1:42" ht="12" customHeight="1">
      <c r="A260" s="173">
        <f t="shared" si="12"/>
        <v>260</v>
      </c>
      <c r="B260" s="158">
        <f t="shared" si="13"/>
        <v>0</v>
      </c>
      <c r="C260" s="133">
        <v>0.85</v>
      </c>
      <c r="AO260" s="239" t="s">
        <v>362</v>
      </c>
      <c r="AP260" s="239" t="s">
        <v>49</v>
      </c>
    </row>
    <row r="261" spans="1:42" ht="12" customHeight="1">
      <c r="A261" s="173">
        <f t="shared" ref="A261:A324" si="14">A260+1</f>
        <v>261</v>
      </c>
      <c r="B261" s="159">
        <f t="shared" si="13"/>
        <v>0</v>
      </c>
      <c r="C261" s="132">
        <v>0.85</v>
      </c>
      <c r="AO261" s="239" t="s">
        <v>687</v>
      </c>
      <c r="AP261" s="239" t="s">
        <v>45</v>
      </c>
    </row>
    <row r="262" spans="1:42" ht="12" customHeight="1">
      <c r="A262" s="173">
        <f t="shared" si="14"/>
        <v>262</v>
      </c>
      <c r="B262" s="158">
        <f t="shared" si="13"/>
        <v>0</v>
      </c>
      <c r="C262" s="133">
        <v>0.85</v>
      </c>
      <c r="AO262" s="239" t="s">
        <v>570</v>
      </c>
      <c r="AP262" s="239" t="s">
        <v>49</v>
      </c>
    </row>
    <row r="263" spans="1:42" ht="12" customHeight="1">
      <c r="A263" s="173">
        <f t="shared" si="14"/>
        <v>263</v>
      </c>
      <c r="B263" s="159">
        <f t="shared" si="13"/>
        <v>0</v>
      </c>
      <c r="C263" s="132">
        <v>0.85</v>
      </c>
      <c r="AO263" s="239" t="s">
        <v>688</v>
      </c>
      <c r="AP263" s="239" t="s">
        <v>45</v>
      </c>
    </row>
    <row r="264" spans="1:42" ht="12" customHeight="1">
      <c r="A264" s="173">
        <f t="shared" si="14"/>
        <v>264</v>
      </c>
      <c r="B264" s="158">
        <f t="shared" si="13"/>
        <v>0</v>
      </c>
      <c r="C264" s="133">
        <v>0.85</v>
      </c>
      <c r="AO264" s="239" t="s">
        <v>571</v>
      </c>
      <c r="AP264" s="239" t="s">
        <v>46</v>
      </c>
    </row>
    <row r="265" spans="1:42" ht="12" customHeight="1">
      <c r="A265" s="173">
        <f t="shared" si="14"/>
        <v>265</v>
      </c>
      <c r="B265" s="159">
        <f t="shared" si="13"/>
        <v>0</v>
      </c>
      <c r="C265" s="132">
        <v>0.85</v>
      </c>
      <c r="AO265" s="239" t="s">
        <v>689</v>
      </c>
      <c r="AP265" s="239" t="s">
        <v>58</v>
      </c>
    </row>
    <row r="266" spans="1:42" ht="12" customHeight="1">
      <c r="A266" s="173">
        <f t="shared" si="14"/>
        <v>266</v>
      </c>
      <c r="B266" s="158">
        <f t="shared" si="13"/>
        <v>0</v>
      </c>
      <c r="C266" s="133">
        <v>0.85</v>
      </c>
      <c r="AO266" s="239" t="s">
        <v>690</v>
      </c>
      <c r="AP266" s="239" t="s">
        <v>59</v>
      </c>
    </row>
    <row r="267" spans="1:42" ht="12" customHeight="1">
      <c r="A267" s="173">
        <f t="shared" si="14"/>
        <v>267</v>
      </c>
      <c r="B267" s="159">
        <f t="shared" si="13"/>
        <v>0</v>
      </c>
      <c r="C267" s="132">
        <v>0.85</v>
      </c>
      <c r="AO267" s="239" t="s">
        <v>572</v>
      </c>
      <c r="AP267" s="239" t="s">
        <v>46</v>
      </c>
    </row>
    <row r="268" spans="1:42" ht="12" customHeight="1">
      <c r="A268" s="173">
        <f t="shared" si="14"/>
        <v>268</v>
      </c>
      <c r="B268" s="158">
        <f t="shared" si="13"/>
        <v>0</v>
      </c>
      <c r="C268" s="133">
        <v>0.85</v>
      </c>
      <c r="AO268" s="239" t="s">
        <v>691</v>
      </c>
      <c r="AP268" s="239" t="s">
        <v>58</v>
      </c>
    </row>
    <row r="269" spans="1:42" ht="12" customHeight="1">
      <c r="A269" s="173">
        <f t="shared" si="14"/>
        <v>269</v>
      </c>
      <c r="B269" s="159">
        <f t="shared" si="13"/>
        <v>0</v>
      </c>
      <c r="C269" s="132">
        <v>0.85</v>
      </c>
      <c r="AO269" s="239" t="s">
        <v>692</v>
      </c>
      <c r="AP269" s="239" t="s">
        <v>59</v>
      </c>
    </row>
    <row r="270" spans="1:42" ht="12" customHeight="1">
      <c r="A270" s="173">
        <f t="shared" si="14"/>
        <v>270</v>
      </c>
      <c r="B270" s="172">
        <f t="shared" si="13"/>
        <v>0</v>
      </c>
      <c r="C270" s="137">
        <v>0.85</v>
      </c>
      <c r="AO270" s="239" t="s">
        <v>573</v>
      </c>
      <c r="AP270" s="239" t="s">
        <v>46</v>
      </c>
    </row>
    <row r="271" spans="1:42" ht="12" customHeight="1">
      <c r="A271" s="173">
        <f t="shared" si="14"/>
        <v>271</v>
      </c>
      <c r="B271" s="159">
        <f t="shared" si="13"/>
        <v>0</v>
      </c>
      <c r="C271" s="132">
        <v>0.9</v>
      </c>
      <c r="AO271" s="239" t="s">
        <v>693</v>
      </c>
      <c r="AP271" s="239" t="s">
        <v>58</v>
      </c>
    </row>
    <row r="272" spans="1:42" ht="12" customHeight="1">
      <c r="A272" s="173">
        <f t="shared" si="14"/>
        <v>272</v>
      </c>
      <c r="B272" s="158">
        <f t="shared" si="13"/>
        <v>0</v>
      </c>
      <c r="C272" s="133">
        <v>0.9</v>
      </c>
      <c r="AO272" s="239" t="s">
        <v>694</v>
      </c>
      <c r="AP272" s="239" t="s">
        <v>59</v>
      </c>
    </row>
    <row r="273" spans="1:42" ht="12" customHeight="1">
      <c r="A273" s="173">
        <f t="shared" si="14"/>
        <v>273</v>
      </c>
      <c r="B273" s="159">
        <f t="shared" si="13"/>
        <v>0</v>
      </c>
      <c r="C273" s="132">
        <v>0.9</v>
      </c>
      <c r="AO273" s="239" t="s">
        <v>574</v>
      </c>
      <c r="AP273" s="239" t="s">
        <v>57</v>
      </c>
    </row>
    <row r="274" spans="1:42" ht="12" customHeight="1">
      <c r="A274" s="173">
        <f t="shared" si="14"/>
        <v>274</v>
      </c>
      <c r="B274" s="158">
        <f t="shared" si="13"/>
        <v>0</v>
      </c>
      <c r="C274" s="133">
        <v>0.9</v>
      </c>
      <c r="AO274" s="239" t="s">
        <v>695</v>
      </c>
      <c r="AP274" s="239" t="s">
        <v>49</v>
      </c>
    </row>
    <row r="275" spans="1:42" ht="12" customHeight="1">
      <c r="A275" s="173">
        <f t="shared" si="14"/>
        <v>275</v>
      </c>
      <c r="B275" s="159">
        <f t="shared" si="13"/>
        <v>0</v>
      </c>
      <c r="C275" s="132">
        <v>0.9</v>
      </c>
      <c r="AO275" s="239" t="s">
        <v>576</v>
      </c>
      <c r="AP275" s="239" t="s">
        <v>57</v>
      </c>
    </row>
    <row r="276" spans="1:42" ht="12" customHeight="1">
      <c r="A276" s="173">
        <f t="shared" si="14"/>
        <v>276</v>
      </c>
      <c r="B276" s="158">
        <f t="shared" si="13"/>
        <v>0</v>
      </c>
      <c r="C276" s="133">
        <v>0.9</v>
      </c>
      <c r="AO276" s="239" t="s">
        <v>696</v>
      </c>
      <c r="AP276" s="239" t="s">
        <v>48</v>
      </c>
    </row>
    <row r="277" spans="1:42" ht="12" customHeight="1">
      <c r="A277" s="173">
        <f t="shared" si="14"/>
        <v>277</v>
      </c>
      <c r="B277" s="159">
        <f t="shared" si="13"/>
        <v>0</v>
      </c>
      <c r="C277" s="132">
        <v>0.9</v>
      </c>
      <c r="AO277" s="239" t="s">
        <v>577</v>
      </c>
      <c r="AP277" s="239" t="s">
        <v>49</v>
      </c>
    </row>
    <row r="278" spans="1:42" ht="12" customHeight="1">
      <c r="A278" s="173">
        <f t="shared" si="14"/>
        <v>278</v>
      </c>
      <c r="B278" s="158">
        <f t="shared" si="13"/>
        <v>0</v>
      </c>
      <c r="C278" s="133">
        <v>0.9</v>
      </c>
      <c r="AO278" s="239" t="s">
        <v>578</v>
      </c>
      <c r="AP278" s="239" t="s">
        <v>46</v>
      </c>
    </row>
    <row r="279" spans="1:42" ht="12" customHeight="1">
      <c r="A279" s="173">
        <f t="shared" si="14"/>
        <v>279</v>
      </c>
      <c r="B279" s="159">
        <f t="shared" si="13"/>
        <v>0</v>
      </c>
      <c r="C279" s="132">
        <v>0.9</v>
      </c>
      <c r="AO279" s="239" t="s">
        <v>580</v>
      </c>
      <c r="AP279" s="239" t="s">
        <v>49</v>
      </c>
    </row>
    <row r="280" spans="1:42" ht="12" customHeight="1">
      <c r="A280" s="173">
        <f t="shared" si="14"/>
        <v>280</v>
      </c>
      <c r="B280" s="158">
        <f t="shared" si="13"/>
        <v>0</v>
      </c>
      <c r="C280" s="133">
        <v>0.9</v>
      </c>
      <c r="AO280" s="239" t="s">
        <v>697</v>
      </c>
      <c r="AP280" s="239" t="s">
        <v>58</v>
      </c>
    </row>
    <row r="281" spans="1:42" ht="12" customHeight="1">
      <c r="A281" s="173">
        <f t="shared" si="14"/>
        <v>281</v>
      </c>
      <c r="B281" s="159">
        <f t="shared" si="13"/>
        <v>0</v>
      </c>
      <c r="C281" s="132">
        <v>0.9</v>
      </c>
      <c r="AO281" s="239" t="s">
        <v>698</v>
      </c>
      <c r="AP281" s="239" t="s">
        <v>59</v>
      </c>
    </row>
    <row r="282" spans="1:42" ht="12" customHeight="1">
      <c r="A282" s="173">
        <f t="shared" si="14"/>
        <v>282</v>
      </c>
      <c r="B282" s="158">
        <f t="shared" si="13"/>
        <v>0</v>
      </c>
      <c r="C282" s="133">
        <v>0.9</v>
      </c>
      <c r="AO282" s="239" t="s">
        <v>582</v>
      </c>
      <c r="AP282" s="239" t="s">
        <v>49</v>
      </c>
    </row>
    <row r="283" spans="1:42" ht="12" customHeight="1">
      <c r="A283" s="173">
        <f t="shared" si="14"/>
        <v>283</v>
      </c>
      <c r="B283" s="159">
        <f t="shared" si="13"/>
        <v>0</v>
      </c>
      <c r="C283" s="132">
        <v>0.9</v>
      </c>
      <c r="AO283" s="239" t="s">
        <v>699</v>
      </c>
      <c r="AP283" s="239" t="s">
        <v>58</v>
      </c>
    </row>
    <row r="284" spans="1:42" ht="12" customHeight="1">
      <c r="A284" s="173">
        <f t="shared" si="14"/>
        <v>284</v>
      </c>
      <c r="B284" s="158">
        <f t="shared" si="13"/>
        <v>0</v>
      </c>
      <c r="C284" s="133">
        <v>0.9</v>
      </c>
      <c r="AO284" s="239" t="s">
        <v>700</v>
      </c>
      <c r="AP284" s="239" t="s">
        <v>59</v>
      </c>
    </row>
    <row r="285" spans="1:42" ht="12" customHeight="1">
      <c r="A285" s="173">
        <f t="shared" si="14"/>
        <v>285</v>
      </c>
      <c r="B285" s="159">
        <f t="shared" si="13"/>
        <v>0</v>
      </c>
      <c r="C285" s="132">
        <v>0.9</v>
      </c>
      <c r="AO285" s="239" t="s">
        <v>583</v>
      </c>
      <c r="AP285" s="239" t="s">
        <v>46</v>
      </c>
    </row>
    <row r="286" spans="1:42" ht="12" customHeight="1">
      <c r="A286" s="173">
        <f t="shared" si="14"/>
        <v>286</v>
      </c>
      <c r="B286" s="158">
        <f t="shared" si="13"/>
        <v>0</v>
      </c>
      <c r="C286" s="133">
        <v>0.9</v>
      </c>
      <c r="AO286" s="239" t="s">
        <v>585</v>
      </c>
      <c r="AP286" s="239" t="s">
        <v>45</v>
      </c>
    </row>
    <row r="287" spans="1:42" ht="12" customHeight="1">
      <c r="A287" s="173">
        <f t="shared" si="14"/>
        <v>287</v>
      </c>
      <c r="B287" s="159">
        <f t="shared" si="13"/>
        <v>0</v>
      </c>
      <c r="C287" s="132">
        <v>0.9</v>
      </c>
      <c r="AO287" s="239" t="s">
        <v>586</v>
      </c>
      <c r="AP287" s="239" t="s">
        <v>49</v>
      </c>
    </row>
    <row r="288" spans="1:42" ht="12" customHeight="1">
      <c r="A288" s="173">
        <f t="shared" si="14"/>
        <v>288</v>
      </c>
      <c r="B288" s="158">
        <f t="shared" si="13"/>
        <v>0</v>
      </c>
      <c r="C288" s="133">
        <v>0.9</v>
      </c>
      <c r="AO288" s="239" t="s">
        <v>587</v>
      </c>
      <c r="AP288" s="239" t="s">
        <v>49</v>
      </c>
    </row>
    <row r="289" spans="1:42" ht="12" customHeight="1">
      <c r="A289" s="173">
        <f t="shared" si="14"/>
        <v>289</v>
      </c>
      <c r="B289" s="159">
        <f t="shared" si="13"/>
        <v>0</v>
      </c>
      <c r="C289" s="132">
        <v>0.9</v>
      </c>
      <c r="AO289" s="239" t="s">
        <v>701</v>
      </c>
      <c r="AP289" s="239" t="s">
        <v>58</v>
      </c>
    </row>
    <row r="290" spans="1:42" ht="12" customHeight="1">
      <c r="A290" s="173">
        <f t="shared" si="14"/>
        <v>290</v>
      </c>
      <c r="B290" s="158">
        <f t="shared" si="13"/>
        <v>0</v>
      </c>
      <c r="C290" s="133">
        <v>0.9</v>
      </c>
      <c r="AO290" s="239" t="s">
        <v>702</v>
      </c>
      <c r="AP290" s="239" t="s">
        <v>59</v>
      </c>
    </row>
    <row r="291" spans="1:42" ht="12" customHeight="1">
      <c r="A291" s="173">
        <f t="shared" si="14"/>
        <v>291</v>
      </c>
      <c r="B291" s="159">
        <f t="shared" si="13"/>
        <v>0</v>
      </c>
      <c r="C291" s="132">
        <v>0.9</v>
      </c>
      <c r="AO291" s="239" t="s">
        <v>588</v>
      </c>
      <c r="AP291" s="239" t="s">
        <v>46</v>
      </c>
    </row>
    <row r="292" spans="1:42" ht="12" customHeight="1">
      <c r="A292" s="173">
        <f t="shared" si="14"/>
        <v>292</v>
      </c>
      <c r="B292" s="158">
        <f t="shared" si="13"/>
        <v>0</v>
      </c>
      <c r="C292" s="133">
        <v>0.9</v>
      </c>
      <c r="AO292" s="239" t="s">
        <v>703</v>
      </c>
      <c r="AP292" s="239" t="s">
        <v>58</v>
      </c>
    </row>
    <row r="293" spans="1:42" ht="12" customHeight="1">
      <c r="A293" s="173">
        <f t="shared" si="14"/>
        <v>293</v>
      </c>
      <c r="B293" s="159">
        <f t="shared" si="13"/>
        <v>0</v>
      </c>
      <c r="C293" s="132">
        <v>0.9</v>
      </c>
      <c r="AO293" s="239" t="s">
        <v>589</v>
      </c>
      <c r="AP293" s="239" t="s">
        <v>49</v>
      </c>
    </row>
    <row r="294" spans="1:42" ht="12" customHeight="1">
      <c r="A294" s="173">
        <f t="shared" si="14"/>
        <v>294</v>
      </c>
      <c r="B294" s="158">
        <f t="shared" si="13"/>
        <v>0</v>
      </c>
      <c r="C294" s="133">
        <v>0.9</v>
      </c>
      <c r="AO294" s="239" t="s">
        <v>704</v>
      </c>
      <c r="AP294" s="239" t="s">
        <v>58</v>
      </c>
    </row>
    <row r="295" spans="1:42" ht="12" customHeight="1">
      <c r="A295" s="173">
        <f t="shared" si="14"/>
        <v>295</v>
      </c>
      <c r="B295" s="159">
        <f t="shared" si="13"/>
        <v>0</v>
      </c>
      <c r="C295" s="132">
        <v>0.9</v>
      </c>
      <c r="AO295" s="239" t="s">
        <v>705</v>
      </c>
      <c r="AP295" s="239" t="s">
        <v>59</v>
      </c>
    </row>
    <row r="296" spans="1:42" ht="12" customHeight="1">
      <c r="A296" s="173">
        <f t="shared" si="14"/>
        <v>296</v>
      </c>
      <c r="B296" s="158">
        <f t="shared" si="13"/>
        <v>0</v>
      </c>
      <c r="C296" s="133">
        <v>0.9</v>
      </c>
      <c r="AO296" s="239" t="s">
        <v>591</v>
      </c>
      <c r="AP296" s="239" t="s">
        <v>46</v>
      </c>
    </row>
    <row r="297" spans="1:42" ht="12" customHeight="1">
      <c r="A297" s="173">
        <f t="shared" si="14"/>
        <v>297</v>
      </c>
      <c r="B297" s="159">
        <f t="shared" si="13"/>
        <v>0</v>
      </c>
      <c r="C297" s="132">
        <v>0.9</v>
      </c>
      <c r="AO297" s="239" t="s">
        <v>706</v>
      </c>
      <c r="AP297" s="239" t="s">
        <v>58</v>
      </c>
    </row>
    <row r="298" spans="1:42" ht="12" customHeight="1">
      <c r="A298" s="173">
        <f t="shared" si="14"/>
        <v>298</v>
      </c>
      <c r="B298" s="158">
        <f t="shared" si="13"/>
        <v>0</v>
      </c>
      <c r="C298" s="133">
        <v>0.9</v>
      </c>
      <c r="AO298" s="239" t="s">
        <v>707</v>
      </c>
      <c r="AP298" s="239" t="s">
        <v>59</v>
      </c>
    </row>
    <row r="299" spans="1:42" ht="12" customHeight="1">
      <c r="A299" s="173">
        <f t="shared" si="14"/>
        <v>299</v>
      </c>
      <c r="B299" s="159">
        <f t="shared" si="13"/>
        <v>0</v>
      </c>
      <c r="C299" s="132">
        <v>0.9</v>
      </c>
      <c r="AO299" s="239" t="s">
        <v>592</v>
      </c>
      <c r="AP299" s="239" t="s">
        <v>49</v>
      </c>
    </row>
    <row r="300" spans="1:42" ht="12" customHeight="1">
      <c r="A300" s="173">
        <f t="shared" si="14"/>
        <v>300</v>
      </c>
      <c r="B300" s="172">
        <f t="shared" si="13"/>
        <v>0</v>
      </c>
      <c r="C300" s="137">
        <v>0.9</v>
      </c>
    </row>
    <row r="301" spans="1:42" ht="12" customHeight="1">
      <c r="A301" s="173">
        <f t="shared" si="14"/>
        <v>301</v>
      </c>
      <c r="B301" s="159">
        <f t="shared" si="13"/>
        <v>0</v>
      </c>
      <c r="C301" s="132">
        <v>0.95</v>
      </c>
    </row>
    <row r="302" spans="1:42" ht="12" customHeight="1">
      <c r="A302" s="173">
        <f t="shared" si="14"/>
        <v>302</v>
      </c>
      <c r="B302" s="158">
        <f t="shared" si="13"/>
        <v>0</v>
      </c>
      <c r="C302" s="133">
        <v>0.95</v>
      </c>
    </row>
    <row r="303" spans="1:42" ht="12" customHeight="1">
      <c r="A303" s="173">
        <f t="shared" si="14"/>
        <v>303</v>
      </c>
      <c r="B303" s="159">
        <f t="shared" si="13"/>
        <v>0</v>
      </c>
      <c r="C303" s="132">
        <v>0.95</v>
      </c>
    </row>
    <row r="304" spans="1:42" ht="12" customHeight="1">
      <c r="A304" s="173">
        <f t="shared" si="14"/>
        <v>304</v>
      </c>
      <c r="B304" s="158">
        <f t="shared" si="13"/>
        <v>0</v>
      </c>
      <c r="C304" s="133">
        <v>0.95</v>
      </c>
    </row>
    <row r="305" spans="1:3" ht="12" customHeight="1">
      <c r="A305" s="173">
        <f t="shared" si="14"/>
        <v>305</v>
      </c>
      <c r="B305" s="159">
        <f t="shared" si="13"/>
        <v>0</v>
      </c>
      <c r="C305" s="132">
        <v>0.95</v>
      </c>
    </row>
    <row r="306" spans="1:3" ht="12" customHeight="1">
      <c r="A306" s="173">
        <f t="shared" si="14"/>
        <v>306</v>
      </c>
      <c r="B306" s="158">
        <f t="shared" si="13"/>
        <v>0</v>
      </c>
      <c r="C306" s="133">
        <v>0.95</v>
      </c>
    </row>
    <row r="307" spans="1:3" ht="12" customHeight="1">
      <c r="A307" s="173">
        <f t="shared" si="14"/>
        <v>307</v>
      </c>
      <c r="B307" s="159">
        <f t="shared" si="13"/>
        <v>0</v>
      </c>
      <c r="C307" s="132">
        <v>0.95</v>
      </c>
    </row>
    <row r="308" spans="1:3" ht="12" customHeight="1">
      <c r="A308" s="173">
        <f t="shared" si="14"/>
        <v>308</v>
      </c>
      <c r="B308" s="158">
        <f t="shared" si="13"/>
        <v>0</v>
      </c>
      <c r="C308" s="133">
        <v>0.95</v>
      </c>
    </row>
    <row r="309" spans="1:3" ht="12" customHeight="1">
      <c r="A309" s="173">
        <f t="shared" si="14"/>
        <v>309</v>
      </c>
      <c r="B309" s="159">
        <f t="shared" si="13"/>
        <v>0</v>
      </c>
      <c r="C309" s="132">
        <v>0.95</v>
      </c>
    </row>
    <row r="310" spans="1:3" ht="12" customHeight="1">
      <c r="A310" s="173">
        <f t="shared" si="14"/>
        <v>310</v>
      </c>
      <c r="B310" s="158">
        <f t="shared" si="13"/>
        <v>0</v>
      </c>
      <c r="C310" s="133">
        <v>0.95</v>
      </c>
    </row>
    <row r="311" spans="1:3" ht="12" customHeight="1">
      <c r="A311" s="173">
        <f t="shared" si="14"/>
        <v>311</v>
      </c>
      <c r="B311" s="159">
        <f t="shared" si="13"/>
        <v>0</v>
      </c>
      <c r="C311" s="132">
        <v>0.95</v>
      </c>
    </row>
    <row r="312" spans="1:3" ht="12" customHeight="1">
      <c r="A312" s="173">
        <f t="shared" si="14"/>
        <v>312</v>
      </c>
      <c r="B312" s="158">
        <f t="shared" si="13"/>
        <v>0</v>
      </c>
      <c r="C312" s="133">
        <v>0.95</v>
      </c>
    </row>
    <row r="313" spans="1:3" ht="12" customHeight="1">
      <c r="A313" s="173">
        <f t="shared" si="14"/>
        <v>313</v>
      </c>
      <c r="B313" s="159">
        <f t="shared" si="13"/>
        <v>0</v>
      </c>
      <c r="C313" s="132">
        <v>0.95</v>
      </c>
    </row>
    <row r="314" spans="1:3" ht="12" customHeight="1">
      <c r="A314" s="173">
        <f t="shared" si="14"/>
        <v>314</v>
      </c>
      <c r="B314" s="158">
        <f t="shared" si="13"/>
        <v>0</v>
      </c>
      <c r="C314" s="133">
        <v>0.95</v>
      </c>
    </row>
    <row r="315" spans="1:3" ht="12" customHeight="1">
      <c r="A315" s="173">
        <f t="shared" si="14"/>
        <v>315</v>
      </c>
      <c r="B315" s="159">
        <f t="shared" si="13"/>
        <v>0</v>
      </c>
      <c r="C315" s="132">
        <v>0.95</v>
      </c>
    </row>
    <row r="316" spans="1:3" ht="12" customHeight="1">
      <c r="A316" s="173">
        <f t="shared" si="14"/>
        <v>316</v>
      </c>
      <c r="B316" s="158">
        <f t="shared" si="13"/>
        <v>0</v>
      </c>
      <c r="C316" s="133">
        <v>0.95</v>
      </c>
    </row>
    <row r="317" spans="1:3" ht="12" customHeight="1">
      <c r="A317" s="173">
        <f t="shared" si="14"/>
        <v>317</v>
      </c>
      <c r="B317" s="159">
        <f t="shared" si="13"/>
        <v>0</v>
      </c>
      <c r="C317" s="132">
        <v>0.95</v>
      </c>
    </row>
    <row r="318" spans="1:3" ht="12" customHeight="1">
      <c r="A318" s="173">
        <f t="shared" si="14"/>
        <v>318</v>
      </c>
      <c r="B318" s="158">
        <f t="shared" si="13"/>
        <v>0</v>
      </c>
      <c r="C318" s="133">
        <v>0.95</v>
      </c>
    </row>
    <row r="319" spans="1:3" ht="12" customHeight="1">
      <c r="A319" s="173">
        <f t="shared" si="14"/>
        <v>319</v>
      </c>
      <c r="B319" s="159">
        <f t="shared" si="13"/>
        <v>0</v>
      </c>
      <c r="C319" s="132">
        <v>0.95</v>
      </c>
    </row>
    <row r="320" spans="1:3" ht="12" customHeight="1">
      <c r="A320" s="173">
        <f t="shared" si="14"/>
        <v>320</v>
      </c>
      <c r="B320" s="158">
        <f t="shared" si="13"/>
        <v>0</v>
      </c>
      <c r="C320" s="133">
        <v>0.95</v>
      </c>
    </row>
    <row r="321" spans="1:3" ht="12" customHeight="1">
      <c r="A321" s="173">
        <f t="shared" si="14"/>
        <v>321</v>
      </c>
      <c r="B321" s="159">
        <f t="shared" si="13"/>
        <v>0</v>
      </c>
      <c r="C321" s="132">
        <v>0.95</v>
      </c>
    </row>
    <row r="322" spans="1:3" ht="12" customHeight="1">
      <c r="A322" s="173">
        <f t="shared" si="14"/>
        <v>322</v>
      </c>
      <c r="B322" s="158">
        <f t="shared" si="13"/>
        <v>0</v>
      </c>
      <c r="C322" s="133">
        <v>0.95</v>
      </c>
    </row>
    <row r="323" spans="1:3" ht="12" customHeight="1">
      <c r="A323" s="173">
        <f t="shared" si="14"/>
        <v>323</v>
      </c>
      <c r="B323" s="159">
        <f t="shared" ref="B323:B365" si="15">A323*$B$366</f>
        <v>0</v>
      </c>
      <c r="C323" s="132">
        <v>0.95</v>
      </c>
    </row>
    <row r="324" spans="1:3" ht="12" customHeight="1">
      <c r="A324" s="173">
        <f t="shared" si="14"/>
        <v>324</v>
      </c>
      <c r="B324" s="158">
        <f t="shared" si="15"/>
        <v>0</v>
      </c>
      <c r="C324" s="133">
        <v>0.95</v>
      </c>
    </row>
    <row r="325" spans="1:3" ht="12" customHeight="1">
      <c r="A325" s="173">
        <f t="shared" ref="A325:A366" si="16">A324+1</f>
        <v>325</v>
      </c>
      <c r="B325" s="159">
        <f t="shared" si="15"/>
        <v>0</v>
      </c>
      <c r="C325" s="132">
        <v>0.95</v>
      </c>
    </row>
    <row r="326" spans="1:3" ht="12" customHeight="1">
      <c r="A326" s="173">
        <f t="shared" si="16"/>
        <v>326</v>
      </c>
      <c r="B326" s="158">
        <f t="shared" si="15"/>
        <v>0</v>
      </c>
      <c r="C326" s="133">
        <v>0.95</v>
      </c>
    </row>
    <row r="327" spans="1:3" ht="12" customHeight="1">
      <c r="A327" s="173">
        <f t="shared" si="16"/>
        <v>327</v>
      </c>
      <c r="B327" s="159">
        <f t="shared" si="15"/>
        <v>0</v>
      </c>
      <c r="C327" s="132">
        <v>0.95</v>
      </c>
    </row>
    <row r="328" spans="1:3" ht="12" customHeight="1">
      <c r="A328" s="173">
        <f t="shared" si="16"/>
        <v>328</v>
      </c>
      <c r="B328" s="158">
        <f t="shared" si="15"/>
        <v>0</v>
      </c>
      <c r="C328" s="133">
        <v>0.95</v>
      </c>
    </row>
    <row r="329" spans="1:3" ht="12" customHeight="1">
      <c r="A329" s="173">
        <f t="shared" si="16"/>
        <v>329</v>
      </c>
      <c r="B329" s="159">
        <f t="shared" si="15"/>
        <v>0</v>
      </c>
      <c r="C329" s="132">
        <v>0.95</v>
      </c>
    </row>
    <row r="330" spans="1:3" ht="12" customHeight="1">
      <c r="A330" s="173">
        <f t="shared" si="16"/>
        <v>330</v>
      </c>
      <c r="B330" s="172">
        <f t="shared" si="15"/>
        <v>0</v>
      </c>
      <c r="C330" s="137">
        <v>0.95</v>
      </c>
    </row>
    <row r="331" spans="1:3" ht="12" customHeight="1">
      <c r="A331" s="173">
        <f t="shared" si="16"/>
        <v>331</v>
      </c>
      <c r="B331" s="159">
        <f t="shared" si="15"/>
        <v>0</v>
      </c>
      <c r="C331" s="132">
        <v>1</v>
      </c>
    </row>
    <row r="332" spans="1:3" ht="12" customHeight="1">
      <c r="A332" s="173">
        <f t="shared" si="16"/>
        <v>332</v>
      </c>
      <c r="B332" s="158">
        <f t="shared" si="15"/>
        <v>0</v>
      </c>
      <c r="C332" s="133">
        <v>1</v>
      </c>
    </row>
    <row r="333" spans="1:3" ht="12" customHeight="1">
      <c r="A333" s="173">
        <f t="shared" si="16"/>
        <v>333</v>
      </c>
      <c r="B333" s="159">
        <f t="shared" si="15"/>
        <v>0</v>
      </c>
      <c r="C333" s="132">
        <v>1</v>
      </c>
    </row>
    <row r="334" spans="1:3" ht="12" customHeight="1">
      <c r="A334" s="173">
        <f t="shared" si="16"/>
        <v>334</v>
      </c>
      <c r="B334" s="158">
        <f t="shared" si="15"/>
        <v>0</v>
      </c>
      <c r="C334" s="133">
        <v>1</v>
      </c>
    </row>
    <row r="335" spans="1:3" ht="12" customHeight="1">
      <c r="A335" s="173">
        <f t="shared" si="16"/>
        <v>335</v>
      </c>
      <c r="B335" s="159">
        <f t="shared" si="15"/>
        <v>0</v>
      </c>
      <c r="C335" s="132">
        <v>1</v>
      </c>
    </row>
    <row r="336" spans="1:3" ht="12" customHeight="1">
      <c r="A336" s="173">
        <f t="shared" si="16"/>
        <v>336</v>
      </c>
      <c r="B336" s="158">
        <f t="shared" si="15"/>
        <v>0</v>
      </c>
      <c r="C336" s="133">
        <v>1</v>
      </c>
    </row>
    <row r="337" spans="1:3" ht="12" customHeight="1">
      <c r="A337" s="173">
        <f t="shared" si="16"/>
        <v>337</v>
      </c>
      <c r="B337" s="159">
        <f t="shared" si="15"/>
        <v>0</v>
      </c>
      <c r="C337" s="132">
        <v>1</v>
      </c>
    </row>
    <row r="338" spans="1:3" ht="12" customHeight="1">
      <c r="A338" s="173">
        <f t="shared" si="16"/>
        <v>338</v>
      </c>
      <c r="B338" s="158">
        <f t="shared" si="15"/>
        <v>0</v>
      </c>
      <c r="C338" s="133">
        <v>1</v>
      </c>
    </row>
    <row r="339" spans="1:3" ht="12" customHeight="1">
      <c r="A339" s="173">
        <f t="shared" si="16"/>
        <v>339</v>
      </c>
      <c r="B339" s="159">
        <f t="shared" si="15"/>
        <v>0</v>
      </c>
      <c r="C339" s="132">
        <v>1</v>
      </c>
    </row>
    <row r="340" spans="1:3" ht="12" customHeight="1">
      <c r="A340" s="173">
        <f t="shared" si="16"/>
        <v>340</v>
      </c>
      <c r="B340" s="158">
        <f t="shared" si="15"/>
        <v>0</v>
      </c>
      <c r="C340" s="133">
        <v>1</v>
      </c>
    </row>
    <row r="341" spans="1:3" ht="12" customHeight="1">
      <c r="A341" s="173">
        <f t="shared" si="16"/>
        <v>341</v>
      </c>
      <c r="B341" s="159">
        <f t="shared" si="15"/>
        <v>0</v>
      </c>
      <c r="C341" s="132">
        <v>1</v>
      </c>
    </row>
    <row r="342" spans="1:3" ht="12" customHeight="1">
      <c r="A342" s="173">
        <f t="shared" si="16"/>
        <v>342</v>
      </c>
      <c r="B342" s="158">
        <f t="shared" si="15"/>
        <v>0</v>
      </c>
      <c r="C342" s="133">
        <v>1</v>
      </c>
    </row>
    <row r="343" spans="1:3" ht="12" customHeight="1">
      <c r="A343" s="173">
        <f t="shared" si="16"/>
        <v>343</v>
      </c>
      <c r="B343" s="159">
        <f t="shared" si="15"/>
        <v>0</v>
      </c>
      <c r="C343" s="132">
        <v>1</v>
      </c>
    </row>
    <row r="344" spans="1:3" ht="12" customHeight="1">
      <c r="A344" s="173">
        <f t="shared" si="16"/>
        <v>344</v>
      </c>
      <c r="B344" s="158">
        <f t="shared" si="15"/>
        <v>0</v>
      </c>
      <c r="C344" s="133">
        <v>1</v>
      </c>
    </row>
    <row r="345" spans="1:3" ht="12" customHeight="1">
      <c r="A345" s="173">
        <f t="shared" si="16"/>
        <v>345</v>
      </c>
      <c r="B345" s="159">
        <f t="shared" si="15"/>
        <v>0</v>
      </c>
      <c r="C345" s="132">
        <v>1</v>
      </c>
    </row>
    <row r="346" spans="1:3" ht="12" customHeight="1">
      <c r="A346" s="173">
        <f t="shared" si="16"/>
        <v>346</v>
      </c>
      <c r="B346" s="158">
        <f t="shared" si="15"/>
        <v>0</v>
      </c>
      <c r="C346" s="133">
        <v>1</v>
      </c>
    </row>
    <row r="347" spans="1:3" ht="12" customHeight="1">
      <c r="A347" s="173">
        <f t="shared" si="16"/>
        <v>347</v>
      </c>
      <c r="B347" s="159">
        <f t="shared" si="15"/>
        <v>0</v>
      </c>
      <c r="C347" s="132">
        <v>1</v>
      </c>
    </row>
    <row r="348" spans="1:3" ht="12" customHeight="1">
      <c r="A348" s="173">
        <f t="shared" si="16"/>
        <v>348</v>
      </c>
      <c r="B348" s="158">
        <f t="shared" si="15"/>
        <v>0</v>
      </c>
      <c r="C348" s="133">
        <v>1</v>
      </c>
    </row>
    <row r="349" spans="1:3" ht="12" customHeight="1">
      <c r="A349" s="173">
        <f t="shared" si="16"/>
        <v>349</v>
      </c>
      <c r="B349" s="159">
        <f t="shared" si="15"/>
        <v>0</v>
      </c>
      <c r="C349" s="132">
        <v>1</v>
      </c>
    </row>
    <row r="350" spans="1:3" ht="12" customHeight="1">
      <c r="A350" s="173">
        <f t="shared" si="16"/>
        <v>350</v>
      </c>
      <c r="B350" s="158">
        <f t="shared" si="15"/>
        <v>0</v>
      </c>
      <c r="C350" s="133">
        <v>1</v>
      </c>
    </row>
    <row r="351" spans="1:3" ht="12" customHeight="1">
      <c r="A351" s="173">
        <f t="shared" si="16"/>
        <v>351</v>
      </c>
      <c r="B351" s="159">
        <f t="shared" si="15"/>
        <v>0</v>
      </c>
      <c r="C351" s="132">
        <v>1</v>
      </c>
    </row>
    <row r="352" spans="1:3" ht="12" customHeight="1">
      <c r="A352" s="173">
        <f t="shared" si="16"/>
        <v>352</v>
      </c>
      <c r="B352" s="158">
        <f t="shared" si="15"/>
        <v>0</v>
      </c>
      <c r="C352" s="133">
        <v>1</v>
      </c>
    </row>
    <row r="353" spans="1:3" ht="12" customHeight="1">
      <c r="A353" s="173">
        <f t="shared" si="16"/>
        <v>353</v>
      </c>
      <c r="B353" s="159">
        <f t="shared" si="15"/>
        <v>0</v>
      </c>
      <c r="C353" s="132">
        <v>1</v>
      </c>
    </row>
    <row r="354" spans="1:3" ht="12" customHeight="1">
      <c r="A354" s="173">
        <f t="shared" si="16"/>
        <v>354</v>
      </c>
      <c r="B354" s="158">
        <f t="shared" si="15"/>
        <v>0</v>
      </c>
      <c r="C354" s="133">
        <v>1</v>
      </c>
    </row>
    <row r="355" spans="1:3" ht="12" customHeight="1">
      <c r="A355" s="173">
        <f t="shared" si="16"/>
        <v>355</v>
      </c>
      <c r="B355" s="159">
        <f t="shared" si="15"/>
        <v>0</v>
      </c>
      <c r="C355" s="132">
        <v>1</v>
      </c>
    </row>
    <row r="356" spans="1:3" ht="12" customHeight="1">
      <c r="A356" s="173">
        <f t="shared" si="16"/>
        <v>356</v>
      </c>
      <c r="B356" s="158">
        <f t="shared" si="15"/>
        <v>0</v>
      </c>
      <c r="C356" s="133">
        <v>1</v>
      </c>
    </row>
    <row r="357" spans="1:3" ht="12" customHeight="1">
      <c r="A357" s="173">
        <f t="shared" si="16"/>
        <v>357</v>
      </c>
      <c r="B357" s="159">
        <f t="shared" si="15"/>
        <v>0</v>
      </c>
      <c r="C357" s="132">
        <v>1</v>
      </c>
    </row>
    <row r="358" spans="1:3" ht="12" customHeight="1">
      <c r="A358" s="173">
        <f t="shared" si="16"/>
        <v>358</v>
      </c>
      <c r="B358" s="158">
        <f t="shared" si="15"/>
        <v>0</v>
      </c>
      <c r="C358" s="133">
        <v>1</v>
      </c>
    </row>
    <row r="359" spans="1:3" ht="12" customHeight="1">
      <c r="A359" s="173">
        <f t="shared" si="16"/>
        <v>359</v>
      </c>
      <c r="B359" s="159">
        <f t="shared" si="15"/>
        <v>0</v>
      </c>
      <c r="C359" s="132">
        <v>1</v>
      </c>
    </row>
    <row r="360" spans="1:3" ht="12" customHeight="1">
      <c r="A360" s="173">
        <f t="shared" si="16"/>
        <v>360</v>
      </c>
      <c r="B360" s="158">
        <f t="shared" si="15"/>
        <v>0</v>
      </c>
      <c r="C360" s="133">
        <v>1</v>
      </c>
    </row>
    <row r="361" spans="1:3" ht="12" customHeight="1">
      <c r="A361" s="173">
        <f t="shared" si="16"/>
        <v>361</v>
      </c>
      <c r="B361" s="159">
        <f t="shared" si="15"/>
        <v>0</v>
      </c>
      <c r="C361" s="132">
        <v>1</v>
      </c>
    </row>
    <row r="362" spans="1:3" ht="12" customHeight="1">
      <c r="A362" s="173">
        <f t="shared" si="16"/>
        <v>362</v>
      </c>
      <c r="B362" s="158">
        <f t="shared" si="15"/>
        <v>0</v>
      </c>
      <c r="C362" s="133">
        <v>1</v>
      </c>
    </row>
    <row r="363" spans="1:3" ht="12" customHeight="1">
      <c r="A363" s="173">
        <f t="shared" si="16"/>
        <v>363</v>
      </c>
      <c r="B363" s="159">
        <f t="shared" si="15"/>
        <v>0</v>
      </c>
      <c r="C363" s="132">
        <v>1</v>
      </c>
    </row>
    <row r="364" spans="1:3" ht="12" customHeight="1">
      <c r="A364" s="173">
        <f t="shared" si="16"/>
        <v>364</v>
      </c>
      <c r="B364" s="158">
        <f t="shared" si="15"/>
        <v>0</v>
      </c>
      <c r="C364" s="133">
        <v>1</v>
      </c>
    </row>
    <row r="365" spans="1:3" ht="12" customHeight="1">
      <c r="A365" s="173">
        <f t="shared" si="16"/>
        <v>365</v>
      </c>
      <c r="B365" s="160">
        <f t="shared" si="15"/>
        <v>0</v>
      </c>
      <c r="C365" s="146">
        <v>1</v>
      </c>
    </row>
    <row r="366" spans="1:3" ht="12" customHeight="1">
      <c r="A366" s="173">
        <f t="shared" si="16"/>
        <v>366</v>
      </c>
      <c r="B366" s="205">
        <f>IF(COTIZACION!D7="ANUAL",0,1)</f>
        <v>0</v>
      </c>
      <c r="C366" s="206">
        <v>1</v>
      </c>
    </row>
  </sheetData>
  <sheetProtection algorithmName="SHA-512" hashValue="G/gUkU+C5thSDjllncerslHHSPqE22HJUUZFzpEKQG0nmfawY0DV41Xy93rheFHr83fxUFMFwiO14YwNypHmMg==" saltValue="IZpACo+JjDkgcU8Z8COKWg==" spinCount="100000" sheet="1" objects="1" scenarios="1"/>
  <dataConsolidate function="count">
    <dataRefs count="1">
      <dataRef ref="F2:F51" sheet="FACTORES"/>
    </dataRefs>
  </dataConsolidate>
  <mergeCells count="4">
    <mergeCell ref="B1:C1"/>
    <mergeCell ref="N16:O16"/>
    <mergeCell ref="I29:O29"/>
    <mergeCell ref="I2:O2"/>
  </mergeCells>
  <pageMargins left="0.75" right="0.75" top="1" bottom="1" header="0" footer="0"/>
  <pageSetup scale="90" orientation="landscape" horizontalDpi="300" verticalDpi="300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9">
    <pageSetUpPr fitToPage="1"/>
  </sheetPr>
  <dimension ref="A1:L33"/>
  <sheetViews>
    <sheetView showGridLines="0" showRowColHeaders="0" tabSelected="1" zoomScaleNormal="100" zoomScaleSheetLayoutView="110" workbookViewId="0">
      <selection activeCell="GGG5555" sqref="GGG5555"/>
    </sheetView>
  </sheetViews>
  <sheetFormatPr baseColWidth="10" defaultColWidth="0" defaultRowHeight="12.5" zeroHeight="1"/>
  <cols>
    <col min="1" max="11" width="15.54296875" customWidth="1"/>
    <col min="12" max="12" width="15.54296875" hidden="1" customWidth="1"/>
    <col min="13" max="16384" width="11.453125" hidden="1"/>
  </cols>
  <sheetData>
    <row r="1" spans="1:11" ht="9" customHeight="1">
      <c r="A1" s="76"/>
      <c r="B1" s="76"/>
      <c r="C1" s="76"/>
      <c r="D1" s="76"/>
      <c r="E1" s="76"/>
      <c r="F1" s="76"/>
      <c r="G1" s="76"/>
      <c r="H1" s="76"/>
      <c r="I1" s="76"/>
      <c r="J1" s="76"/>
      <c r="K1" s="76"/>
    </row>
    <row r="2" spans="1:11" ht="9" customHeight="1">
      <c r="A2" s="76"/>
      <c r="B2" s="76"/>
      <c r="C2" s="76"/>
      <c r="D2" s="76"/>
      <c r="E2" s="76"/>
      <c r="F2" s="76"/>
      <c r="G2" s="76"/>
      <c r="H2" s="76"/>
      <c r="I2" s="76"/>
      <c r="J2" s="76"/>
      <c r="K2" s="76"/>
    </row>
    <row r="3" spans="1:11" ht="6" customHeight="1">
      <c r="A3" s="76"/>
      <c r="B3" s="76"/>
      <c r="C3" s="76"/>
      <c r="D3" s="76"/>
      <c r="E3" s="76"/>
      <c r="F3" s="76"/>
      <c r="G3" s="76"/>
      <c r="H3" s="76"/>
      <c r="I3" s="76"/>
      <c r="J3" s="76"/>
      <c r="K3" s="76"/>
    </row>
    <row r="4" spans="1:11" ht="6" customHeight="1">
      <c r="A4" s="76"/>
      <c r="B4" s="76"/>
      <c r="C4" s="76"/>
      <c r="D4" s="76"/>
      <c r="E4" s="76"/>
      <c r="F4" s="76"/>
      <c r="G4" s="76"/>
      <c r="H4" s="76"/>
      <c r="I4" s="76"/>
      <c r="J4" s="76"/>
      <c r="K4" s="76"/>
    </row>
    <row r="5" spans="1:11" ht="6" customHeight="1">
      <c r="A5" s="76"/>
      <c r="B5" s="76"/>
      <c r="C5" s="76"/>
      <c r="D5" s="76"/>
      <c r="E5" s="76"/>
      <c r="F5" s="76"/>
      <c r="G5" s="76"/>
      <c r="H5" s="76"/>
      <c r="I5" s="76"/>
      <c r="J5" s="76"/>
      <c r="K5" s="76"/>
    </row>
    <row r="6" spans="1:11">
      <c r="A6" s="76"/>
      <c r="B6" s="76"/>
      <c r="C6" s="76"/>
      <c r="D6" s="76"/>
      <c r="E6" s="76"/>
      <c r="F6" s="76"/>
      <c r="G6" s="76"/>
      <c r="H6" s="76"/>
      <c r="I6" s="76"/>
      <c r="J6" s="76"/>
      <c r="K6" s="76"/>
    </row>
    <row r="7" spans="1:11">
      <c r="A7" s="76"/>
      <c r="B7" s="76"/>
      <c r="C7" s="76"/>
      <c r="D7" s="76"/>
      <c r="E7" s="76"/>
      <c r="F7" s="76"/>
      <c r="G7" s="76"/>
      <c r="H7" s="76"/>
      <c r="I7" s="76"/>
      <c r="J7" s="76"/>
      <c r="K7" s="76"/>
    </row>
    <row r="8" spans="1:11">
      <c r="A8" s="76"/>
      <c r="B8" s="76"/>
      <c r="C8" s="76"/>
      <c r="D8" s="76"/>
      <c r="E8" s="76"/>
      <c r="F8" s="76"/>
      <c r="G8" s="76"/>
      <c r="H8" s="76"/>
      <c r="I8" s="76"/>
      <c r="J8" s="76"/>
      <c r="K8" s="76"/>
    </row>
    <row r="9" spans="1:11">
      <c r="A9" s="76"/>
      <c r="B9" s="76"/>
      <c r="C9" s="76"/>
      <c r="D9" s="76"/>
      <c r="E9" s="76"/>
      <c r="F9" s="76"/>
      <c r="G9" s="76"/>
      <c r="H9" s="76"/>
      <c r="I9" s="76"/>
      <c r="J9" s="76"/>
      <c r="K9" s="76"/>
    </row>
    <row r="10" spans="1:11">
      <c r="A10" s="76"/>
      <c r="B10" s="76"/>
      <c r="C10" s="76"/>
      <c r="D10" s="76"/>
      <c r="E10" s="76"/>
      <c r="F10" s="76"/>
      <c r="G10" s="76"/>
      <c r="H10" s="76"/>
      <c r="I10" s="76"/>
      <c r="J10" s="76"/>
      <c r="K10" s="76"/>
    </row>
    <row r="11" spans="1:11">
      <c r="A11" s="76"/>
      <c r="B11" s="76"/>
      <c r="C11" s="76"/>
      <c r="D11" s="76"/>
      <c r="E11" s="76"/>
      <c r="F11" s="76"/>
      <c r="G11" s="76"/>
      <c r="H11" s="76"/>
      <c r="I11" s="76"/>
      <c r="J11" s="76"/>
      <c r="K11" s="76"/>
    </row>
    <row r="12" spans="1:11">
      <c r="A12" s="76"/>
      <c r="B12" s="76"/>
      <c r="C12" s="76"/>
      <c r="D12" s="76"/>
      <c r="E12" s="76"/>
      <c r="F12" s="76"/>
      <c r="G12" s="76"/>
      <c r="H12" s="76"/>
      <c r="I12" s="76"/>
      <c r="J12" s="76"/>
      <c r="K12" s="76"/>
    </row>
    <row r="13" spans="1:11">
      <c r="A13" s="76"/>
      <c r="B13" s="76"/>
      <c r="C13" s="76"/>
      <c r="D13" s="76"/>
      <c r="E13" s="76"/>
      <c r="F13" s="76"/>
      <c r="G13" s="76"/>
      <c r="H13" s="76"/>
      <c r="I13" s="76"/>
      <c r="J13" s="76"/>
      <c r="K13" s="76"/>
    </row>
    <row r="14" spans="1:11">
      <c r="A14" s="76"/>
      <c r="B14" s="76"/>
      <c r="C14" s="76"/>
      <c r="D14" s="76"/>
      <c r="E14" s="76"/>
      <c r="F14" s="76"/>
      <c r="G14" s="76"/>
      <c r="H14" s="76"/>
      <c r="I14" s="76"/>
      <c r="J14" s="76"/>
      <c r="K14" s="76"/>
    </row>
    <row r="15" spans="1:11">
      <c r="A15" s="76"/>
      <c r="B15" s="76"/>
      <c r="C15" s="76"/>
      <c r="D15" s="76"/>
      <c r="E15" s="76"/>
      <c r="F15" s="76"/>
      <c r="G15" s="76"/>
      <c r="H15" s="76"/>
      <c r="I15" s="76"/>
      <c r="J15" s="76"/>
      <c r="K15" s="76"/>
    </row>
    <row r="16" spans="1:11">
      <c r="A16" s="76"/>
      <c r="B16" s="76"/>
      <c r="C16" s="76"/>
      <c r="D16" s="76"/>
      <c r="E16" s="76"/>
      <c r="F16" s="76"/>
      <c r="G16" s="76"/>
      <c r="H16" s="76"/>
      <c r="I16" s="76"/>
      <c r="J16" s="76"/>
      <c r="K16" s="76"/>
    </row>
    <row r="17" spans="1:11">
      <c r="A17" s="76"/>
      <c r="B17" s="76"/>
      <c r="C17" s="76"/>
      <c r="D17" s="76"/>
      <c r="E17" s="76"/>
      <c r="F17" s="76"/>
      <c r="G17" s="76"/>
      <c r="H17" s="76"/>
      <c r="I17" s="76"/>
      <c r="J17" s="76"/>
      <c r="K17" s="76"/>
    </row>
    <row r="18" spans="1:11">
      <c r="A18" s="76"/>
      <c r="B18" s="76"/>
      <c r="C18" s="76"/>
      <c r="D18" s="76"/>
      <c r="E18" s="76"/>
      <c r="F18" s="76"/>
      <c r="G18" s="76"/>
      <c r="H18" s="76"/>
      <c r="I18" s="76"/>
      <c r="J18" s="76"/>
      <c r="K18" s="76"/>
    </row>
    <row r="19" spans="1:11">
      <c r="A19" s="76"/>
      <c r="B19" s="76"/>
      <c r="C19" s="76"/>
      <c r="D19" s="76"/>
      <c r="E19" s="76"/>
      <c r="F19" s="76"/>
      <c r="G19" s="76"/>
      <c r="H19" s="76"/>
      <c r="I19" s="76"/>
      <c r="J19" s="76"/>
      <c r="K19" s="76"/>
    </row>
    <row r="20" spans="1:11">
      <c r="A20" s="76"/>
      <c r="B20" s="76"/>
      <c r="C20" s="76"/>
      <c r="D20" s="76"/>
      <c r="E20" s="76"/>
      <c r="F20" s="76"/>
      <c r="G20" s="76"/>
      <c r="H20" s="76"/>
      <c r="I20" s="76"/>
      <c r="J20" s="76"/>
      <c r="K20" s="76"/>
    </row>
    <row r="21" spans="1:11">
      <c r="A21" s="76"/>
      <c r="B21" s="76"/>
      <c r="C21" s="76"/>
      <c r="D21" s="76"/>
      <c r="E21" s="76"/>
      <c r="F21" s="76"/>
      <c r="G21" s="76"/>
      <c r="H21" s="76"/>
      <c r="I21" s="76"/>
      <c r="J21" s="76"/>
      <c r="K21" s="76"/>
    </row>
    <row r="22" spans="1:11">
      <c r="A22" s="76"/>
      <c r="B22" s="76"/>
      <c r="C22" s="76"/>
      <c r="D22" s="76"/>
      <c r="E22" s="76"/>
      <c r="F22" s="76"/>
      <c r="G22" s="76"/>
      <c r="H22" s="76"/>
      <c r="I22" s="76"/>
      <c r="J22" s="76"/>
      <c r="K22" s="76"/>
    </row>
    <row r="23" spans="1:11">
      <c r="A23" s="76"/>
      <c r="B23" s="76"/>
      <c r="C23" s="76"/>
      <c r="D23" s="76"/>
      <c r="E23" s="76"/>
      <c r="F23" s="76"/>
      <c r="G23" s="76"/>
      <c r="H23" s="76"/>
      <c r="I23" s="76"/>
      <c r="J23" s="76"/>
      <c r="K23" s="76"/>
    </row>
    <row r="24" spans="1:11">
      <c r="A24" s="76"/>
      <c r="B24" s="76"/>
      <c r="C24" s="76"/>
      <c r="D24" s="76"/>
      <c r="E24" s="76"/>
      <c r="F24" s="76"/>
      <c r="G24" s="76"/>
      <c r="H24" s="76"/>
      <c r="I24" s="76"/>
      <c r="J24" s="76"/>
      <c r="K24" s="76"/>
    </row>
    <row r="25" spans="1:11">
      <c r="A25" s="76"/>
      <c r="B25" s="76"/>
      <c r="C25" s="76"/>
      <c r="D25" s="76"/>
      <c r="E25" s="76"/>
      <c r="F25" s="76"/>
      <c r="G25" s="76"/>
      <c r="H25" s="76"/>
      <c r="I25" s="76"/>
      <c r="J25" s="76"/>
      <c r="K25" s="76"/>
    </row>
    <row r="26" spans="1:11">
      <c r="A26" s="76"/>
      <c r="B26" s="76"/>
      <c r="C26" s="76"/>
      <c r="D26" s="76"/>
      <c r="E26" s="76"/>
      <c r="F26" s="76"/>
      <c r="G26" s="76"/>
      <c r="H26" s="76"/>
      <c r="I26" s="76"/>
      <c r="J26" s="76"/>
      <c r="K26" s="76"/>
    </row>
    <row r="27" spans="1:11">
      <c r="A27" s="76"/>
      <c r="B27" s="76"/>
      <c r="C27" s="76"/>
      <c r="D27" s="76"/>
      <c r="E27" s="76"/>
      <c r="F27" s="76"/>
      <c r="G27" s="76"/>
      <c r="H27" s="76"/>
      <c r="I27" s="76"/>
      <c r="J27" s="76"/>
      <c r="K27" s="76"/>
    </row>
    <row r="28" spans="1:11" hidden="1">
      <c r="A28" s="76"/>
      <c r="B28" s="76"/>
      <c r="C28" s="76"/>
      <c r="D28" s="76"/>
      <c r="E28" s="76"/>
      <c r="F28" s="76"/>
      <c r="G28" s="76"/>
      <c r="H28" s="76"/>
      <c r="I28" s="76"/>
      <c r="J28" s="76"/>
      <c r="K28" s="76"/>
    </row>
    <row r="29" spans="1:11" hidden="1">
      <c r="A29" s="76"/>
      <c r="B29" s="76"/>
      <c r="C29" s="76"/>
      <c r="D29" s="76"/>
      <c r="E29" s="76"/>
      <c r="F29" s="76"/>
      <c r="G29" s="76"/>
      <c r="H29" s="76"/>
      <c r="I29" s="76"/>
      <c r="J29" s="76"/>
      <c r="K29" s="76"/>
    </row>
    <row r="30" spans="1:11" hidden="1">
      <c r="A30" s="76"/>
      <c r="B30" s="76"/>
      <c r="C30" s="76"/>
      <c r="D30" s="76"/>
      <c r="E30" s="76"/>
      <c r="F30" s="76"/>
      <c r="G30" s="76"/>
      <c r="H30" s="76"/>
      <c r="I30" s="76"/>
      <c r="J30" s="76"/>
      <c r="K30" s="76"/>
    </row>
    <row r="31" spans="1:11" hidden="1">
      <c r="A31" s="76"/>
      <c r="B31" s="76"/>
      <c r="C31" s="76"/>
      <c r="D31" s="76"/>
      <c r="E31" s="76"/>
      <c r="F31" s="76"/>
      <c r="G31" s="76"/>
      <c r="H31" s="76"/>
      <c r="I31" s="76"/>
      <c r="J31" s="76"/>
      <c r="K31" s="76"/>
    </row>
    <row r="32" spans="1:11" hidden="1">
      <c r="A32" s="76"/>
      <c r="B32" s="76"/>
      <c r="C32" s="76"/>
      <c r="D32" s="76"/>
      <c r="E32" s="76"/>
      <c r="F32" s="76"/>
      <c r="G32" s="76"/>
      <c r="H32" s="76"/>
      <c r="I32" s="76"/>
      <c r="J32" s="76"/>
      <c r="K32" s="76"/>
    </row>
    <row r="33" spans="1:11" hidden="1">
      <c r="A33" s="76"/>
      <c r="B33" s="76"/>
      <c r="C33" s="76"/>
      <c r="D33" s="76"/>
      <c r="E33" s="76"/>
      <c r="F33" s="76"/>
      <c r="G33" s="76"/>
      <c r="H33" s="76"/>
      <c r="I33" s="76"/>
      <c r="J33" s="76"/>
      <c r="K33" s="76"/>
    </row>
  </sheetData>
  <sheetProtection password="ED7E" sheet="1" objects="1" scenarios="1" selectLockedCells="1" selectUnlockedCells="1"/>
  <printOptions horizontalCentered="1" verticalCentered="1"/>
  <pageMargins left="0.70866141732283472" right="0.70866141732283472" top="0.74803149606299213" bottom="0.74803149606299213" header="0.31496062992125984" footer="0.31496062992125984"/>
  <pageSetup orientation="landscape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BF232"/>
  <sheetViews>
    <sheetView showGridLines="0" zoomScale="85" zoomScaleNormal="85" workbookViewId="0">
      <pane xSplit="1" ySplit="2" topLeftCell="B3" activePane="bottomRight" state="frozen"/>
      <selection activeCell="J18" sqref="J18"/>
      <selection pane="topRight" activeCell="J18" sqref="J18"/>
      <selection pane="bottomLeft" activeCell="J18" sqref="J18"/>
      <selection pane="bottomRight" activeCell="B17" sqref="B17"/>
    </sheetView>
  </sheetViews>
  <sheetFormatPr baseColWidth="10" defaultColWidth="11.453125" defaultRowHeight="12.5"/>
  <cols>
    <col min="1" max="1" width="67" bestFit="1" customWidth="1"/>
    <col min="2" max="3" width="26.7265625" customWidth="1"/>
    <col min="4" max="4" width="15.1796875" bestFit="1" customWidth="1"/>
    <col min="5" max="5" width="3.7265625" bestFit="1" customWidth="1"/>
    <col min="6" max="7" width="6.54296875" bestFit="1" customWidth="1"/>
    <col min="8" max="9" width="9.453125" bestFit="1" customWidth="1"/>
    <col min="10" max="10" width="6.54296875" bestFit="1" customWidth="1"/>
    <col min="15" max="15" width="47.453125" customWidth="1"/>
    <col min="16" max="16" width="20.81640625" customWidth="1"/>
  </cols>
  <sheetData>
    <row r="1" spans="1:58" ht="15" customHeight="1">
      <c r="A1" s="337" t="s">
        <v>327</v>
      </c>
      <c r="B1" s="339" t="s">
        <v>338</v>
      </c>
      <c r="C1" s="340"/>
      <c r="D1" s="341" t="s">
        <v>339</v>
      </c>
      <c r="E1" s="342"/>
      <c r="F1" s="342"/>
      <c r="G1" s="342"/>
      <c r="H1" s="342"/>
      <c r="I1" s="342"/>
      <c r="J1" s="342"/>
    </row>
    <row r="2" spans="1:58" ht="106.5" customHeight="1" thickBot="1">
      <c r="A2" s="338"/>
      <c r="B2" s="214" t="s">
        <v>328</v>
      </c>
      <c r="C2" s="214" t="s">
        <v>329</v>
      </c>
      <c r="D2" s="216" t="s">
        <v>330</v>
      </c>
      <c r="E2" s="214" t="s">
        <v>331</v>
      </c>
      <c r="F2" s="214" t="s">
        <v>332</v>
      </c>
      <c r="G2" s="214" t="s">
        <v>333</v>
      </c>
      <c r="H2" s="217" t="s">
        <v>334</v>
      </c>
      <c r="I2" s="214" t="s">
        <v>335</v>
      </c>
      <c r="J2" s="231" t="s">
        <v>336</v>
      </c>
    </row>
    <row r="3" spans="1:58" ht="15" customHeight="1">
      <c r="A3" s="211" t="s">
        <v>86</v>
      </c>
      <c r="B3" s="211" t="s">
        <v>87</v>
      </c>
      <c r="C3" s="211" t="s">
        <v>88</v>
      </c>
      <c r="D3" s="211" t="s">
        <v>89</v>
      </c>
      <c r="E3" s="211" t="s">
        <v>90</v>
      </c>
      <c r="F3" s="211" t="s">
        <v>90</v>
      </c>
      <c r="G3" s="211" t="s">
        <v>90</v>
      </c>
      <c r="H3" s="211" t="s">
        <v>90</v>
      </c>
      <c r="I3" s="211" t="s">
        <v>90</v>
      </c>
      <c r="J3" s="232" t="s">
        <v>90</v>
      </c>
      <c r="BB3" s="218" t="s">
        <v>338</v>
      </c>
      <c r="BE3" s="218" t="s">
        <v>338</v>
      </c>
      <c r="BF3" s="218" t="s">
        <v>339</v>
      </c>
    </row>
    <row r="4" spans="1:58" ht="15" customHeight="1">
      <c r="A4" s="212" t="s">
        <v>91</v>
      </c>
      <c r="B4" s="212" t="s">
        <v>87</v>
      </c>
      <c r="C4" s="212" t="s">
        <v>88</v>
      </c>
      <c r="D4" s="212" t="s">
        <v>89</v>
      </c>
      <c r="E4" s="212" t="s">
        <v>90</v>
      </c>
      <c r="F4" s="212" t="s">
        <v>90</v>
      </c>
      <c r="G4" s="212" t="s">
        <v>90</v>
      </c>
      <c r="H4" s="212" t="s">
        <v>90</v>
      </c>
      <c r="I4" s="212" t="s">
        <v>90</v>
      </c>
      <c r="J4" s="233" t="s">
        <v>90</v>
      </c>
      <c r="BB4" s="218" t="s">
        <v>339</v>
      </c>
      <c r="BE4" t="s">
        <v>328</v>
      </c>
      <c r="BF4" t="s">
        <v>330</v>
      </c>
    </row>
    <row r="5" spans="1:58" ht="15" customHeight="1">
      <c r="A5" s="212" t="s">
        <v>92</v>
      </c>
      <c r="B5" s="212" t="s">
        <v>3</v>
      </c>
      <c r="C5" s="212" t="s">
        <v>90</v>
      </c>
      <c r="D5" s="212" t="s">
        <v>89</v>
      </c>
      <c r="E5" s="212" t="s">
        <v>90</v>
      </c>
      <c r="F5" s="212" t="s">
        <v>90</v>
      </c>
      <c r="G5" s="212" t="s">
        <v>90</v>
      </c>
      <c r="H5" s="212" t="s">
        <v>90</v>
      </c>
      <c r="I5" s="212" t="s">
        <v>90</v>
      </c>
      <c r="J5" s="233" t="s">
        <v>90</v>
      </c>
      <c r="BE5" t="s">
        <v>329</v>
      </c>
      <c r="BF5" t="s">
        <v>331</v>
      </c>
    </row>
    <row r="6" spans="1:58" ht="15" customHeight="1">
      <c r="A6" s="212" t="s">
        <v>93</v>
      </c>
      <c r="B6" s="212" t="s">
        <v>87</v>
      </c>
      <c r="C6" s="212" t="s">
        <v>88</v>
      </c>
      <c r="D6" s="212" t="s">
        <v>89</v>
      </c>
      <c r="E6" s="212" t="s">
        <v>90</v>
      </c>
      <c r="F6" s="212" t="s">
        <v>90</v>
      </c>
      <c r="G6" s="212" t="s">
        <v>90</v>
      </c>
      <c r="H6" s="212" t="s">
        <v>90</v>
      </c>
      <c r="I6" s="212" t="s">
        <v>90</v>
      </c>
      <c r="J6" s="233" t="s">
        <v>90</v>
      </c>
      <c r="BE6" s="101"/>
      <c r="BF6" t="s">
        <v>332</v>
      </c>
    </row>
    <row r="7" spans="1:58" ht="15" customHeight="1">
      <c r="A7" s="212" t="s">
        <v>94</v>
      </c>
      <c r="B7" s="212" t="s">
        <v>90</v>
      </c>
      <c r="C7" s="212" t="s">
        <v>90</v>
      </c>
      <c r="D7" s="212" t="s">
        <v>90</v>
      </c>
      <c r="E7" s="212" t="s">
        <v>90</v>
      </c>
      <c r="F7" s="212" t="s">
        <v>90</v>
      </c>
      <c r="G7" s="212" t="s">
        <v>90</v>
      </c>
      <c r="H7" s="212" t="s">
        <v>90</v>
      </c>
      <c r="I7" s="212" t="s">
        <v>90</v>
      </c>
      <c r="J7" s="233" t="s">
        <v>95</v>
      </c>
      <c r="BF7" t="s">
        <v>333</v>
      </c>
    </row>
    <row r="8" spans="1:58" ht="15" customHeight="1">
      <c r="A8" s="212" t="s">
        <v>96</v>
      </c>
      <c r="B8" s="212" t="s">
        <v>87</v>
      </c>
      <c r="C8" s="212" t="s">
        <v>88</v>
      </c>
      <c r="D8" s="212" t="s">
        <v>90</v>
      </c>
      <c r="E8" s="212" t="s">
        <v>90</v>
      </c>
      <c r="F8" s="212" t="s">
        <v>90</v>
      </c>
      <c r="G8" s="212" t="s">
        <v>90</v>
      </c>
      <c r="H8" s="212" t="s">
        <v>90</v>
      </c>
      <c r="I8" s="212" t="s">
        <v>90</v>
      </c>
      <c r="J8" s="233" t="s">
        <v>90</v>
      </c>
      <c r="BF8" t="s">
        <v>334</v>
      </c>
    </row>
    <row r="9" spans="1:58" ht="15" customHeight="1">
      <c r="A9" s="212" t="s">
        <v>97</v>
      </c>
      <c r="B9" s="212" t="s">
        <v>87</v>
      </c>
      <c r="C9" s="212" t="s">
        <v>88</v>
      </c>
      <c r="D9" s="212" t="s">
        <v>90</v>
      </c>
      <c r="E9" s="212" t="s">
        <v>98</v>
      </c>
      <c r="F9" s="212" t="s">
        <v>90</v>
      </c>
      <c r="G9" s="212" t="s">
        <v>88</v>
      </c>
      <c r="H9" s="212" t="s">
        <v>98</v>
      </c>
      <c r="I9" s="212" t="s">
        <v>90</v>
      </c>
      <c r="J9" s="233" t="s">
        <v>90</v>
      </c>
      <c r="BF9" t="s">
        <v>335</v>
      </c>
    </row>
    <row r="10" spans="1:58" ht="15" customHeight="1">
      <c r="A10" s="212" t="s">
        <v>99</v>
      </c>
      <c r="B10" s="212" t="s">
        <v>87</v>
      </c>
      <c r="C10" s="212" t="s">
        <v>88</v>
      </c>
      <c r="D10" s="212" t="s">
        <v>90</v>
      </c>
      <c r="E10" s="212" t="s">
        <v>90</v>
      </c>
      <c r="F10" s="212" t="s">
        <v>90</v>
      </c>
      <c r="G10" s="212" t="s">
        <v>90</v>
      </c>
      <c r="H10" s="212" t="s">
        <v>90</v>
      </c>
      <c r="I10" s="212" t="s">
        <v>90</v>
      </c>
      <c r="J10" s="233" t="s">
        <v>90</v>
      </c>
      <c r="BF10" t="s">
        <v>336</v>
      </c>
    </row>
    <row r="11" spans="1:58" ht="15.5">
      <c r="A11" s="212" t="s">
        <v>100</v>
      </c>
      <c r="B11" s="212" t="s">
        <v>90</v>
      </c>
      <c r="C11" s="212" t="s">
        <v>90</v>
      </c>
      <c r="D11" s="212" t="s">
        <v>90</v>
      </c>
      <c r="E11" s="212" t="s">
        <v>101</v>
      </c>
      <c r="F11" s="212" t="s">
        <v>101</v>
      </c>
      <c r="G11" s="212" t="s">
        <v>102</v>
      </c>
      <c r="H11" s="212" t="s">
        <v>102</v>
      </c>
      <c r="I11" s="212" t="s">
        <v>90</v>
      </c>
      <c r="J11" s="233" t="s">
        <v>90</v>
      </c>
    </row>
    <row r="12" spans="1:58" ht="15" customHeight="1">
      <c r="A12" s="212" t="s">
        <v>103</v>
      </c>
      <c r="B12" s="212" t="s">
        <v>87</v>
      </c>
      <c r="C12" s="212" t="s">
        <v>88</v>
      </c>
      <c r="D12" s="212" t="s">
        <v>89</v>
      </c>
      <c r="E12" s="212" t="s">
        <v>90</v>
      </c>
      <c r="F12" s="212" t="s">
        <v>90</v>
      </c>
      <c r="G12" s="212" t="s">
        <v>90</v>
      </c>
      <c r="H12" s="212" t="s">
        <v>90</v>
      </c>
      <c r="I12" s="212" t="s">
        <v>90</v>
      </c>
      <c r="J12" s="233" t="s">
        <v>90</v>
      </c>
    </row>
    <row r="13" spans="1:58" ht="15" customHeight="1">
      <c r="A13" s="212" t="s">
        <v>104</v>
      </c>
      <c r="B13" s="212" t="s">
        <v>87</v>
      </c>
      <c r="C13" s="212" t="s">
        <v>88</v>
      </c>
      <c r="D13" s="212" t="s">
        <v>89</v>
      </c>
      <c r="E13" s="212" t="s">
        <v>90</v>
      </c>
      <c r="F13" s="212" t="s">
        <v>87</v>
      </c>
      <c r="G13" s="212" t="s">
        <v>88</v>
      </c>
      <c r="H13" s="212" t="s">
        <v>105</v>
      </c>
      <c r="I13" s="212" t="s">
        <v>101</v>
      </c>
      <c r="J13" s="233" t="s">
        <v>90</v>
      </c>
    </row>
    <row r="14" spans="1:58" ht="15" customHeight="1">
      <c r="A14" s="212" t="s">
        <v>106</v>
      </c>
      <c r="B14" s="212" t="s">
        <v>90</v>
      </c>
      <c r="C14" s="212" t="s">
        <v>90</v>
      </c>
      <c r="D14" s="212" t="s">
        <v>90</v>
      </c>
      <c r="E14" s="212" t="s">
        <v>90</v>
      </c>
      <c r="F14" s="212" t="s">
        <v>101</v>
      </c>
      <c r="G14" s="212" t="s">
        <v>90</v>
      </c>
      <c r="H14" s="212" t="s">
        <v>101</v>
      </c>
      <c r="I14" s="212" t="s">
        <v>90</v>
      </c>
      <c r="J14" s="233" t="s">
        <v>90</v>
      </c>
    </row>
    <row r="15" spans="1:58" ht="15" customHeight="1">
      <c r="A15" s="212" t="s">
        <v>107</v>
      </c>
      <c r="B15" s="212" t="s">
        <v>90</v>
      </c>
      <c r="C15" s="212" t="s">
        <v>90</v>
      </c>
      <c r="D15" s="212" t="s">
        <v>90</v>
      </c>
      <c r="E15" s="212" t="s">
        <v>90</v>
      </c>
      <c r="F15" s="212" t="s">
        <v>90</v>
      </c>
      <c r="G15" s="212" t="s">
        <v>90</v>
      </c>
      <c r="H15" s="212" t="s">
        <v>90</v>
      </c>
      <c r="I15" s="212" t="s">
        <v>90</v>
      </c>
      <c r="J15" s="233" t="s">
        <v>108</v>
      </c>
    </row>
    <row r="16" spans="1:58" ht="15" customHeight="1">
      <c r="A16" s="212" t="s">
        <v>109</v>
      </c>
      <c r="B16" s="212" t="s">
        <v>90</v>
      </c>
      <c r="C16" s="212" t="s">
        <v>90</v>
      </c>
      <c r="D16" s="212" t="s">
        <v>89</v>
      </c>
      <c r="E16" s="212" t="s">
        <v>90</v>
      </c>
      <c r="F16" s="212" t="s">
        <v>90</v>
      </c>
      <c r="G16" s="212" t="s">
        <v>90</v>
      </c>
      <c r="H16" s="212" t="s">
        <v>90</v>
      </c>
      <c r="I16" s="212" t="s">
        <v>90</v>
      </c>
      <c r="J16" s="233" t="s">
        <v>90</v>
      </c>
    </row>
    <row r="17" spans="1:10" ht="15" customHeight="1">
      <c r="A17" s="212" t="s">
        <v>110</v>
      </c>
      <c r="B17" s="212" t="s">
        <v>87</v>
      </c>
      <c r="C17" s="212" t="s">
        <v>88</v>
      </c>
      <c r="D17" s="212" t="s">
        <v>90</v>
      </c>
      <c r="E17" s="212" t="s">
        <v>90</v>
      </c>
      <c r="F17" s="212" t="s">
        <v>90</v>
      </c>
      <c r="G17" s="212" t="s">
        <v>90</v>
      </c>
      <c r="H17" s="212" t="s">
        <v>90</v>
      </c>
      <c r="I17" s="212" t="s">
        <v>90</v>
      </c>
      <c r="J17" s="233" t="s">
        <v>87</v>
      </c>
    </row>
    <row r="18" spans="1:10" ht="15" customHeight="1">
      <c r="A18" s="212" t="s">
        <v>111</v>
      </c>
      <c r="B18" s="212" t="s">
        <v>87</v>
      </c>
      <c r="C18" s="212" t="s">
        <v>88</v>
      </c>
      <c r="D18" s="212" t="s">
        <v>89</v>
      </c>
      <c r="E18" s="212" t="s">
        <v>90</v>
      </c>
      <c r="F18" s="212" t="s">
        <v>90</v>
      </c>
      <c r="G18" s="212" t="s">
        <v>90</v>
      </c>
      <c r="H18" s="212" t="s">
        <v>90</v>
      </c>
      <c r="I18" s="212" t="s">
        <v>90</v>
      </c>
      <c r="J18" s="233" t="s">
        <v>90</v>
      </c>
    </row>
    <row r="19" spans="1:10" ht="15" customHeight="1">
      <c r="A19" s="212" t="s">
        <v>112</v>
      </c>
      <c r="B19" s="212" t="s">
        <v>87</v>
      </c>
      <c r="C19" s="212" t="s">
        <v>88</v>
      </c>
      <c r="D19" s="212" t="s">
        <v>90</v>
      </c>
      <c r="E19" s="212" t="s">
        <v>90</v>
      </c>
      <c r="F19" s="212" t="s">
        <v>87</v>
      </c>
      <c r="G19" s="212" t="s">
        <v>87</v>
      </c>
      <c r="H19" s="212" t="s">
        <v>90</v>
      </c>
      <c r="I19" s="212" t="s">
        <v>90</v>
      </c>
      <c r="J19" s="233" t="s">
        <v>90</v>
      </c>
    </row>
    <row r="20" spans="1:10" ht="15" customHeight="1">
      <c r="A20" s="212" t="s">
        <v>113</v>
      </c>
      <c r="B20" s="212" t="s">
        <v>87</v>
      </c>
      <c r="C20" s="212" t="s">
        <v>88</v>
      </c>
      <c r="D20" s="212" t="s">
        <v>87</v>
      </c>
      <c r="E20" s="212" t="s">
        <v>98</v>
      </c>
      <c r="F20" s="212" t="s">
        <v>88</v>
      </c>
      <c r="G20" s="212" t="s">
        <v>90</v>
      </c>
      <c r="H20" s="212" t="s">
        <v>98</v>
      </c>
      <c r="I20" s="212" t="s">
        <v>90</v>
      </c>
      <c r="J20" s="233" t="s">
        <v>90</v>
      </c>
    </row>
    <row r="21" spans="1:10" ht="15.5">
      <c r="A21" s="212" t="s">
        <v>114</v>
      </c>
      <c r="B21" s="212" t="s">
        <v>87</v>
      </c>
      <c r="C21" s="212" t="s">
        <v>88</v>
      </c>
      <c r="D21" s="212" t="s">
        <v>90</v>
      </c>
      <c r="E21" s="212" t="s">
        <v>90</v>
      </c>
      <c r="F21" s="212" t="s">
        <v>98</v>
      </c>
      <c r="G21" s="212" t="s">
        <v>90</v>
      </c>
      <c r="H21" s="212" t="s">
        <v>90</v>
      </c>
      <c r="I21" s="212" t="s">
        <v>90</v>
      </c>
      <c r="J21" s="233" t="s">
        <v>90</v>
      </c>
    </row>
    <row r="22" spans="1:10" ht="15" customHeight="1">
      <c r="A22" s="212" t="s">
        <v>115</v>
      </c>
      <c r="B22" s="212" t="s">
        <v>90</v>
      </c>
      <c r="C22" s="212" t="s">
        <v>90</v>
      </c>
      <c r="D22" s="212" t="s">
        <v>89</v>
      </c>
      <c r="E22" s="212" t="s">
        <v>90</v>
      </c>
      <c r="F22" s="212" t="s">
        <v>90</v>
      </c>
      <c r="G22" s="212" t="s">
        <v>90</v>
      </c>
      <c r="H22" s="212" t="s">
        <v>90</v>
      </c>
      <c r="I22" s="212" t="s">
        <v>90</v>
      </c>
      <c r="J22" s="233" t="s">
        <v>90</v>
      </c>
    </row>
    <row r="23" spans="1:10" ht="15" customHeight="1">
      <c r="A23" s="212" t="s">
        <v>116</v>
      </c>
      <c r="B23" s="212" t="s">
        <v>87</v>
      </c>
      <c r="C23" s="212" t="s">
        <v>88</v>
      </c>
      <c r="D23" s="212" t="s">
        <v>89</v>
      </c>
      <c r="E23" s="212" t="s">
        <v>98</v>
      </c>
      <c r="F23" s="212" t="s">
        <v>90</v>
      </c>
      <c r="G23" s="212" t="s">
        <v>90</v>
      </c>
      <c r="H23" s="212" t="s">
        <v>90</v>
      </c>
      <c r="I23" s="212" t="s">
        <v>90</v>
      </c>
      <c r="J23" s="233" t="s">
        <v>90</v>
      </c>
    </row>
    <row r="24" spans="1:10" ht="15" customHeight="1">
      <c r="A24" s="212" t="s">
        <v>117</v>
      </c>
      <c r="B24" s="212" t="s">
        <v>87</v>
      </c>
      <c r="C24" s="212" t="s">
        <v>88</v>
      </c>
      <c r="D24" s="212" t="s">
        <v>89</v>
      </c>
      <c r="E24" s="212" t="s">
        <v>88</v>
      </c>
      <c r="F24" s="212" t="s">
        <v>98</v>
      </c>
      <c r="G24" s="212" t="s">
        <v>88</v>
      </c>
      <c r="H24" s="212" t="s">
        <v>98</v>
      </c>
      <c r="I24" s="212" t="s">
        <v>105</v>
      </c>
      <c r="J24" s="233" t="s">
        <v>90</v>
      </c>
    </row>
    <row r="25" spans="1:10" ht="15" customHeight="1">
      <c r="A25" s="212" t="s">
        <v>118</v>
      </c>
      <c r="B25" s="212" t="s">
        <v>90</v>
      </c>
      <c r="C25" s="212" t="s">
        <v>90</v>
      </c>
      <c r="D25" s="212" t="s">
        <v>90</v>
      </c>
      <c r="E25" s="212" t="s">
        <v>90</v>
      </c>
      <c r="F25" s="212" t="s">
        <v>90</v>
      </c>
      <c r="G25" s="212" t="s">
        <v>90</v>
      </c>
      <c r="H25" s="212" t="s">
        <v>90</v>
      </c>
      <c r="I25" s="212" t="s">
        <v>90</v>
      </c>
      <c r="J25" s="233" t="s">
        <v>88</v>
      </c>
    </row>
    <row r="26" spans="1:10" ht="15" customHeight="1">
      <c r="A26" s="212" t="s">
        <v>119</v>
      </c>
      <c r="B26" s="212" t="s">
        <v>90</v>
      </c>
      <c r="C26" s="212" t="s">
        <v>90</v>
      </c>
      <c r="D26" s="212" t="s">
        <v>90</v>
      </c>
      <c r="E26" s="212" t="s">
        <v>90</v>
      </c>
      <c r="F26" s="212" t="s">
        <v>90</v>
      </c>
      <c r="G26" s="212" t="s">
        <v>90</v>
      </c>
      <c r="H26" s="212" t="s">
        <v>90</v>
      </c>
      <c r="I26" s="212" t="s">
        <v>90</v>
      </c>
      <c r="J26" s="233" t="s">
        <v>89</v>
      </c>
    </row>
    <row r="27" spans="1:10" ht="15.5">
      <c r="A27" s="212" t="s">
        <v>120</v>
      </c>
      <c r="B27" s="212" t="s">
        <v>87</v>
      </c>
      <c r="C27" s="212" t="s">
        <v>88</v>
      </c>
      <c r="D27" s="212" t="s">
        <v>89</v>
      </c>
      <c r="E27" s="212" t="s">
        <v>90</v>
      </c>
      <c r="F27" s="212" t="s">
        <v>90</v>
      </c>
      <c r="G27" s="212" t="s">
        <v>90</v>
      </c>
      <c r="H27" s="212" t="s">
        <v>90</v>
      </c>
      <c r="I27" s="212" t="s">
        <v>90</v>
      </c>
      <c r="J27" s="233" t="s">
        <v>90</v>
      </c>
    </row>
    <row r="28" spans="1:10" ht="15" customHeight="1">
      <c r="A28" s="212" t="s">
        <v>121</v>
      </c>
      <c r="B28" s="212" t="s">
        <v>87</v>
      </c>
      <c r="C28" s="212" t="s">
        <v>88</v>
      </c>
      <c r="D28" s="212" t="s">
        <v>89</v>
      </c>
      <c r="E28" s="212" t="s">
        <v>88</v>
      </c>
      <c r="F28" s="212" t="s">
        <v>87</v>
      </c>
      <c r="G28" s="212" t="s">
        <v>90</v>
      </c>
      <c r="H28" s="212" t="s">
        <v>88</v>
      </c>
      <c r="I28" s="212" t="s">
        <v>90</v>
      </c>
      <c r="J28" s="233" t="s">
        <v>90</v>
      </c>
    </row>
    <row r="29" spans="1:10" ht="15" customHeight="1">
      <c r="A29" s="212" t="s">
        <v>122</v>
      </c>
      <c r="B29" s="212" t="s">
        <v>90</v>
      </c>
      <c r="C29" s="212" t="s">
        <v>90</v>
      </c>
      <c r="D29" s="212" t="s">
        <v>87</v>
      </c>
      <c r="E29" s="212" t="s">
        <v>90</v>
      </c>
      <c r="F29" s="212" t="s">
        <v>90</v>
      </c>
      <c r="G29" s="212" t="s">
        <v>90</v>
      </c>
      <c r="H29" s="212" t="s">
        <v>90</v>
      </c>
      <c r="I29" s="212" t="s">
        <v>90</v>
      </c>
      <c r="J29" s="233" t="s">
        <v>90</v>
      </c>
    </row>
    <row r="30" spans="1:10" ht="15.5">
      <c r="A30" s="212" t="s">
        <v>123</v>
      </c>
      <c r="B30" s="212" t="s">
        <v>90</v>
      </c>
      <c r="C30" s="212" t="s">
        <v>88</v>
      </c>
      <c r="D30" s="212" t="s">
        <v>90</v>
      </c>
      <c r="E30" s="212" t="s">
        <v>90</v>
      </c>
      <c r="F30" s="212" t="s">
        <v>90</v>
      </c>
      <c r="G30" s="212" t="s">
        <v>90</v>
      </c>
      <c r="H30" s="212" t="s">
        <v>90</v>
      </c>
      <c r="I30" s="212" t="s">
        <v>90</v>
      </c>
      <c r="J30" s="233" t="s">
        <v>98</v>
      </c>
    </row>
    <row r="31" spans="1:10" ht="15" customHeight="1">
      <c r="A31" s="212" t="s">
        <v>124</v>
      </c>
      <c r="B31" s="212" t="s">
        <v>90</v>
      </c>
      <c r="C31" s="212" t="s">
        <v>90</v>
      </c>
      <c r="D31" s="212" t="s">
        <v>90</v>
      </c>
      <c r="E31" s="212" t="s">
        <v>90</v>
      </c>
      <c r="F31" s="212" t="s">
        <v>90</v>
      </c>
      <c r="G31" s="212" t="s">
        <v>90</v>
      </c>
      <c r="H31" s="212" t="s">
        <v>90</v>
      </c>
      <c r="I31" s="212" t="s">
        <v>90</v>
      </c>
      <c r="J31" s="233" t="s">
        <v>125</v>
      </c>
    </row>
    <row r="32" spans="1:10" ht="15" customHeight="1">
      <c r="A32" s="212" t="s">
        <v>126</v>
      </c>
      <c r="B32" s="212" t="s">
        <v>90</v>
      </c>
      <c r="C32" s="212" t="s">
        <v>90</v>
      </c>
      <c r="D32" s="212" t="s">
        <v>89</v>
      </c>
      <c r="E32" s="212" t="s">
        <v>90</v>
      </c>
      <c r="F32" s="212" t="s">
        <v>90</v>
      </c>
      <c r="G32" s="212" t="s">
        <v>90</v>
      </c>
      <c r="H32" s="212" t="s">
        <v>90</v>
      </c>
      <c r="I32" s="212" t="s">
        <v>90</v>
      </c>
      <c r="J32" s="233" t="s">
        <v>90</v>
      </c>
    </row>
    <row r="33" spans="1:10" ht="15" customHeight="1">
      <c r="A33" s="212" t="s">
        <v>127</v>
      </c>
      <c r="B33" s="212" t="s">
        <v>90</v>
      </c>
      <c r="C33" s="212" t="s">
        <v>90</v>
      </c>
      <c r="D33" s="212" t="s">
        <v>90</v>
      </c>
      <c r="E33" s="212" t="s">
        <v>90</v>
      </c>
      <c r="F33" s="212" t="s">
        <v>90</v>
      </c>
      <c r="G33" s="212" t="s">
        <v>90</v>
      </c>
      <c r="H33" s="212" t="s">
        <v>90</v>
      </c>
      <c r="I33" s="212" t="s">
        <v>90</v>
      </c>
      <c r="J33" s="233" t="s">
        <v>98</v>
      </c>
    </row>
    <row r="34" spans="1:10" ht="15" customHeight="1">
      <c r="A34" s="212" t="s">
        <v>128</v>
      </c>
      <c r="B34" s="212" t="s">
        <v>90</v>
      </c>
      <c r="C34" s="212" t="s">
        <v>90</v>
      </c>
      <c r="D34" s="212" t="s">
        <v>89</v>
      </c>
      <c r="E34" s="212" t="s">
        <v>90</v>
      </c>
      <c r="F34" s="212" t="s">
        <v>90</v>
      </c>
      <c r="G34" s="212" t="s">
        <v>90</v>
      </c>
      <c r="H34" s="212" t="s">
        <v>90</v>
      </c>
      <c r="I34" s="212" t="s">
        <v>90</v>
      </c>
      <c r="J34" s="233" t="s">
        <v>90</v>
      </c>
    </row>
    <row r="35" spans="1:10" ht="15.5">
      <c r="A35" s="212" t="s">
        <v>129</v>
      </c>
      <c r="B35" s="212" t="s">
        <v>90</v>
      </c>
      <c r="C35" s="212" t="s">
        <v>90</v>
      </c>
      <c r="D35" s="212" t="s">
        <v>87</v>
      </c>
      <c r="E35" s="212" t="s">
        <v>90</v>
      </c>
      <c r="F35" s="212" t="s">
        <v>90</v>
      </c>
      <c r="G35" s="212" t="s">
        <v>90</v>
      </c>
      <c r="H35" s="212" t="s">
        <v>90</v>
      </c>
      <c r="I35" s="212" t="s">
        <v>90</v>
      </c>
      <c r="J35" s="233" t="s">
        <v>108</v>
      </c>
    </row>
    <row r="36" spans="1:10" ht="15" customHeight="1">
      <c r="A36" s="212" t="s">
        <v>130</v>
      </c>
      <c r="B36" s="212" t="s">
        <v>90</v>
      </c>
      <c r="C36" s="212" t="s">
        <v>90</v>
      </c>
      <c r="D36" s="212" t="s">
        <v>90</v>
      </c>
      <c r="E36" s="212" t="s">
        <v>90</v>
      </c>
      <c r="F36" s="212" t="s">
        <v>88</v>
      </c>
      <c r="G36" s="212" t="s">
        <v>98</v>
      </c>
      <c r="H36" s="212" t="s">
        <v>105</v>
      </c>
      <c r="I36" s="212" t="s">
        <v>90</v>
      </c>
      <c r="J36" s="233" t="s">
        <v>90</v>
      </c>
    </row>
    <row r="37" spans="1:10" ht="15" customHeight="1">
      <c r="A37" s="212" t="s">
        <v>131</v>
      </c>
      <c r="B37" s="212" t="s">
        <v>90</v>
      </c>
      <c r="C37" s="212" t="s">
        <v>90</v>
      </c>
      <c r="D37" s="212" t="s">
        <v>90</v>
      </c>
      <c r="E37" s="212" t="s">
        <v>90</v>
      </c>
      <c r="F37" s="212" t="s">
        <v>90</v>
      </c>
      <c r="G37" s="212" t="s">
        <v>90</v>
      </c>
      <c r="H37" s="212" t="s">
        <v>90</v>
      </c>
      <c r="I37" s="212" t="s">
        <v>90</v>
      </c>
      <c r="J37" s="233" t="s">
        <v>108</v>
      </c>
    </row>
    <row r="38" spans="1:10" ht="15" customHeight="1">
      <c r="A38" s="212" t="s">
        <v>132</v>
      </c>
      <c r="B38" s="212" t="s">
        <v>90</v>
      </c>
      <c r="C38" s="212" t="s">
        <v>88</v>
      </c>
      <c r="D38" s="212" t="s">
        <v>87</v>
      </c>
      <c r="E38" s="212" t="s">
        <v>90</v>
      </c>
      <c r="F38" s="212" t="s">
        <v>90</v>
      </c>
      <c r="G38" s="212" t="s">
        <v>90</v>
      </c>
      <c r="H38" s="212" t="s">
        <v>90</v>
      </c>
      <c r="I38" s="212" t="s">
        <v>90</v>
      </c>
      <c r="J38" s="233" t="s">
        <v>90</v>
      </c>
    </row>
    <row r="39" spans="1:10" ht="15" customHeight="1">
      <c r="A39" s="213" t="s">
        <v>133</v>
      </c>
      <c r="B39" s="212" t="s">
        <v>90</v>
      </c>
      <c r="C39" s="212" t="s">
        <v>90</v>
      </c>
      <c r="D39" s="212" t="s">
        <v>90</v>
      </c>
      <c r="E39" s="212" t="s">
        <v>90</v>
      </c>
      <c r="F39" s="212" t="s">
        <v>90</v>
      </c>
      <c r="G39" s="212" t="s">
        <v>90</v>
      </c>
      <c r="H39" s="212" t="s">
        <v>90</v>
      </c>
      <c r="I39" s="212" t="s">
        <v>90</v>
      </c>
      <c r="J39" s="233" t="s">
        <v>125</v>
      </c>
    </row>
    <row r="40" spans="1:10" ht="15" customHeight="1">
      <c r="A40" s="213" t="s">
        <v>134</v>
      </c>
      <c r="B40" s="212" t="s">
        <v>90</v>
      </c>
      <c r="C40" s="212" t="s">
        <v>90</v>
      </c>
      <c r="D40" s="212" t="s">
        <v>90</v>
      </c>
      <c r="E40" s="212" t="s">
        <v>90</v>
      </c>
      <c r="F40" s="212" t="s">
        <v>90</v>
      </c>
      <c r="G40" s="212" t="s">
        <v>90</v>
      </c>
      <c r="H40" s="212" t="s">
        <v>90</v>
      </c>
      <c r="I40" s="212" t="s">
        <v>90</v>
      </c>
      <c r="J40" s="233" t="s">
        <v>125</v>
      </c>
    </row>
    <row r="41" spans="1:10" ht="15.5">
      <c r="A41" s="212" t="s">
        <v>135</v>
      </c>
      <c r="B41" s="212" t="s">
        <v>90</v>
      </c>
      <c r="C41" s="212" t="s">
        <v>90</v>
      </c>
      <c r="D41" s="212" t="s">
        <v>89</v>
      </c>
      <c r="E41" s="212" t="s">
        <v>90</v>
      </c>
      <c r="F41" s="212" t="s">
        <v>90</v>
      </c>
      <c r="G41" s="212" t="s">
        <v>90</v>
      </c>
      <c r="H41" s="212" t="s">
        <v>90</v>
      </c>
      <c r="I41" s="212" t="s">
        <v>90</v>
      </c>
      <c r="J41" s="233" t="s">
        <v>90</v>
      </c>
    </row>
    <row r="42" spans="1:10" ht="15.5">
      <c r="A42" s="212" t="s">
        <v>136</v>
      </c>
      <c r="B42" s="212" t="s">
        <v>90</v>
      </c>
      <c r="C42" s="212" t="s">
        <v>90</v>
      </c>
      <c r="D42" s="212" t="s">
        <v>90</v>
      </c>
      <c r="E42" s="212" t="s">
        <v>90</v>
      </c>
      <c r="F42" s="212" t="s">
        <v>89</v>
      </c>
      <c r="G42" s="212" t="s">
        <v>90</v>
      </c>
      <c r="H42" s="212" t="s">
        <v>90</v>
      </c>
      <c r="I42" s="212" t="s">
        <v>90</v>
      </c>
      <c r="J42" s="233" t="s">
        <v>90</v>
      </c>
    </row>
    <row r="43" spans="1:10" ht="15" customHeight="1">
      <c r="A43" s="212" t="s">
        <v>137</v>
      </c>
      <c r="B43" s="212" t="s">
        <v>90</v>
      </c>
      <c r="C43" s="212" t="s">
        <v>90</v>
      </c>
      <c r="D43" s="212" t="s">
        <v>98</v>
      </c>
      <c r="E43" s="212" t="s">
        <v>90</v>
      </c>
      <c r="F43" s="212" t="s">
        <v>90</v>
      </c>
      <c r="G43" s="212" t="s">
        <v>90</v>
      </c>
      <c r="H43" s="212" t="s">
        <v>90</v>
      </c>
      <c r="I43" s="212" t="s">
        <v>90</v>
      </c>
      <c r="J43" s="233" t="s">
        <v>90</v>
      </c>
    </row>
    <row r="44" spans="1:10" ht="15" customHeight="1">
      <c r="A44" s="212" t="s">
        <v>138</v>
      </c>
      <c r="B44" s="212" t="s">
        <v>87</v>
      </c>
      <c r="C44" s="212" t="s">
        <v>88</v>
      </c>
      <c r="D44" s="212" t="s">
        <v>90</v>
      </c>
      <c r="E44" s="212" t="s">
        <v>88</v>
      </c>
      <c r="F44" s="212" t="s">
        <v>90</v>
      </c>
      <c r="G44" s="212" t="s">
        <v>98</v>
      </c>
      <c r="H44" s="212" t="s">
        <v>105</v>
      </c>
      <c r="I44" s="212" t="s">
        <v>101</v>
      </c>
      <c r="J44" s="233" t="s">
        <v>90</v>
      </c>
    </row>
    <row r="45" spans="1:10" ht="15" customHeight="1">
      <c r="A45" s="212" t="s">
        <v>139</v>
      </c>
      <c r="B45" s="212" t="s">
        <v>87</v>
      </c>
      <c r="C45" s="212" t="s">
        <v>88</v>
      </c>
      <c r="D45" s="212" t="s">
        <v>90</v>
      </c>
      <c r="E45" s="212" t="s">
        <v>90</v>
      </c>
      <c r="F45" s="212" t="s">
        <v>90</v>
      </c>
      <c r="G45" s="212" t="s">
        <v>90</v>
      </c>
      <c r="H45" s="212" t="s">
        <v>90</v>
      </c>
      <c r="I45" s="212" t="s">
        <v>90</v>
      </c>
      <c r="J45" s="233" t="s">
        <v>90</v>
      </c>
    </row>
    <row r="46" spans="1:10" ht="15" customHeight="1">
      <c r="A46" s="212" t="s">
        <v>140</v>
      </c>
      <c r="B46" s="212" t="s">
        <v>90</v>
      </c>
      <c r="C46" s="212" t="s">
        <v>90</v>
      </c>
      <c r="D46" s="212" t="s">
        <v>90</v>
      </c>
      <c r="E46" s="212" t="s">
        <v>90</v>
      </c>
      <c r="F46" s="212" t="s">
        <v>90</v>
      </c>
      <c r="G46" s="212" t="s">
        <v>90</v>
      </c>
      <c r="H46" s="212" t="s">
        <v>90</v>
      </c>
      <c r="I46" s="212" t="s">
        <v>90</v>
      </c>
      <c r="J46" s="233" t="s">
        <v>95</v>
      </c>
    </row>
    <row r="47" spans="1:10" ht="15" customHeight="1">
      <c r="A47" s="212" t="s">
        <v>141</v>
      </c>
      <c r="B47" s="212" t="s">
        <v>90</v>
      </c>
      <c r="C47" s="212" t="s">
        <v>90</v>
      </c>
      <c r="D47" s="212" t="s">
        <v>90</v>
      </c>
      <c r="E47" s="212" t="s">
        <v>90</v>
      </c>
      <c r="F47" s="212" t="s">
        <v>90</v>
      </c>
      <c r="G47" s="212" t="s">
        <v>90</v>
      </c>
      <c r="H47" s="212" t="s">
        <v>90</v>
      </c>
      <c r="I47" s="212" t="s">
        <v>90</v>
      </c>
      <c r="J47" s="233" t="s">
        <v>98</v>
      </c>
    </row>
    <row r="48" spans="1:10" ht="15" customHeight="1">
      <c r="A48" s="212" t="s">
        <v>142</v>
      </c>
      <c r="B48" s="212" t="s">
        <v>87</v>
      </c>
      <c r="C48" s="212" t="s">
        <v>88</v>
      </c>
      <c r="D48" s="212" t="s">
        <v>90</v>
      </c>
      <c r="E48" s="212" t="s">
        <v>87</v>
      </c>
      <c r="F48" s="212" t="s">
        <v>90</v>
      </c>
      <c r="G48" s="212" t="s">
        <v>88</v>
      </c>
      <c r="H48" s="212" t="s">
        <v>98</v>
      </c>
      <c r="I48" s="212" t="s">
        <v>90</v>
      </c>
      <c r="J48" s="233" t="s">
        <v>90</v>
      </c>
    </row>
    <row r="49" spans="1:10" ht="15" customHeight="1">
      <c r="A49" s="212" t="s">
        <v>143</v>
      </c>
      <c r="B49" s="212" t="s">
        <v>87</v>
      </c>
      <c r="C49" s="212" t="s">
        <v>88</v>
      </c>
      <c r="D49" s="212" t="s">
        <v>88</v>
      </c>
      <c r="E49" s="212" t="s">
        <v>90</v>
      </c>
      <c r="F49" s="212" t="s">
        <v>90</v>
      </c>
      <c r="G49" s="212" t="s">
        <v>90</v>
      </c>
      <c r="H49" s="212" t="s">
        <v>90</v>
      </c>
      <c r="I49" s="212" t="s">
        <v>90</v>
      </c>
      <c r="J49" s="233" t="s">
        <v>90</v>
      </c>
    </row>
    <row r="50" spans="1:10" ht="15" customHeight="1">
      <c r="A50" s="212" t="s">
        <v>144</v>
      </c>
      <c r="B50" s="212" t="s">
        <v>87</v>
      </c>
      <c r="C50" s="212" t="s">
        <v>88</v>
      </c>
      <c r="D50" s="212" t="s">
        <v>90</v>
      </c>
      <c r="E50" s="212" t="s">
        <v>90</v>
      </c>
      <c r="F50" s="212" t="s">
        <v>90</v>
      </c>
      <c r="G50" s="212" t="s">
        <v>90</v>
      </c>
      <c r="H50" s="212" t="s">
        <v>90</v>
      </c>
      <c r="I50" s="212" t="s">
        <v>90</v>
      </c>
      <c r="J50" s="233" t="s">
        <v>90</v>
      </c>
    </row>
    <row r="51" spans="1:10" ht="15" customHeight="1">
      <c r="A51" s="212" t="s">
        <v>145</v>
      </c>
      <c r="B51" s="212" t="s">
        <v>102</v>
      </c>
      <c r="C51" s="212" t="s">
        <v>102</v>
      </c>
      <c r="D51" s="212" t="s">
        <v>90</v>
      </c>
      <c r="E51" s="212" t="s">
        <v>90</v>
      </c>
      <c r="F51" s="212" t="s">
        <v>90</v>
      </c>
      <c r="G51" s="212" t="s">
        <v>90</v>
      </c>
      <c r="H51" s="212" t="s">
        <v>90</v>
      </c>
      <c r="I51" s="212" t="s">
        <v>90</v>
      </c>
      <c r="J51" s="233" t="s">
        <v>90</v>
      </c>
    </row>
    <row r="52" spans="1:10" ht="15" customHeight="1">
      <c r="A52" s="212" t="s">
        <v>146</v>
      </c>
      <c r="B52" s="212" t="s">
        <v>90</v>
      </c>
      <c r="C52" s="212" t="s">
        <v>90</v>
      </c>
      <c r="D52" s="212" t="s">
        <v>88</v>
      </c>
      <c r="E52" s="212" t="s">
        <v>90</v>
      </c>
      <c r="F52" s="212" t="s">
        <v>90</v>
      </c>
      <c r="G52" s="212" t="s">
        <v>90</v>
      </c>
      <c r="H52" s="212" t="s">
        <v>90</v>
      </c>
      <c r="I52" s="212" t="s">
        <v>90</v>
      </c>
      <c r="J52" s="233" t="s">
        <v>90</v>
      </c>
    </row>
    <row r="53" spans="1:10" ht="15" customHeight="1">
      <c r="A53" s="212" t="s">
        <v>147</v>
      </c>
      <c r="B53" s="212" t="s">
        <v>90</v>
      </c>
      <c r="C53" s="212" t="s">
        <v>90</v>
      </c>
      <c r="D53" s="212" t="s">
        <v>87</v>
      </c>
      <c r="E53" s="212" t="s">
        <v>90</v>
      </c>
      <c r="F53" s="212" t="s">
        <v>90</v>
      </c>
      <c r="G53" s="212" t="s">
        <v>90</v>
      </c>
      <c r="H53" s="212" t="s">
        <v>90</v>
      </c>
      <c r="I53" s="212" t="s">
        <v>90</v>
      </c>
      <c r="J53" s="233" t="s">
        <v>90</v>
      </c>
    </row>
    <row r="54" spans="1:10" ht="15" customHeight="1">
      <c r="A54" s="212" t="s">
        <v>148</v>
      </c>
      <c r="B54" s="212" t="s">
        <v>87</v>
      </c>
      <c r="C54" s="212" t="s">
        <v>88</v>
      </c>
      <c r="D54" s="212" t="s">
        <v>89</v>
      </c>
      <c r="E54" s="212" t="s">
        <v>90</v>
      </c>
      <c r="F54" s="212" t="s">
        <v>90</v>
      </c>
      <c r="G54" s="212" t="s">
        <v>90</v>
      </c>
      <c r="H54" s="212" t="s">
        <v>90</v>
      </c>
      <c r="I54" s="212" t="s">
        <v>90</v>
      </c>
      <c r="J54" s="233" t="s">
        <v>90</v>
      </c>
    </row>
    <row r="55" spans="1:10" ht="15" customHeight="1">
      <c r="A55" s="212" t="s">
        <v>149</v>
      </c>
      <c r="B55" s="212" t="s">
        <v>87</v>
      </c>
      <c r="C55" s="212" t="s">
        <v>88</v>
      </c>
      <c r="D55" s="212" t="s">
        <v>89</v>
      </c>
      <c r="E55" s="212" t="s">
        <v>98</v>
      </c>
      <c r="F55" s="212" t="s">
        <v>90</v>
      </c>
      <c r="G55" s="212" t="s">
        <v>90</v>
      </c>
      <c r="H55" s="212" t="s">
        <v>90</v>
      </c>
      <c r="I55" s="212" t="s">
        <v>90</v>
      </c>
      <c r="J55" s="233" t="s">
        <v>90</v>
      </c>
    </row>
    <row r="56" spans="1:10" ht="15" customHeight="1">
      <c r="A56" s="212" t="s">
        <v>150</v>
      </c>
      <c r="B56" s="212" t="s">
        <v>90</v>
      </c>
      <c r="C56" s="212" t="s">
        <v>90</v>
      </c>
      <c r="D56" s="212" t="s">
        <v>89</v>
      </c>
      <c r="E56" s="212" t="s">
        <v>90</v>
      </c>
      <c r="F56" s="212" t="s">
        <v>90</v>
      </c>
      <c r="G56" s="212" t="s">
        <v>90</v>
      </c>
      <c r="H56" s="212" t="s">
        <v>90</v>
      </c>
      <c r="I56" s="212" t="s">
        <v>90</v>
      </c>
      <c r="J56" s="233" t="s">
        <v>90</v>
      </c>
    </row>
    <row r="57" spans="1:10" ht="15" customHeight="1">
      <c r="A57" s="212" t="s">
        <v>151</v>
      </c>
      <c r="B57" s="212" t="s">
        <v>87</v>
      </c>
      <c r="C57" s="212" t="s">
        <v>88</v>
      </c>
      <c r="D57" s="212" t="s">
        <v>90</v>
      </c>
      <c r="E57" s="212" t="s">
        <v>98</v>
      </c>
      <c r="F57" s="212" t="s">
        <v>90</v>
      </c>
      <c r="G57" s="212" t="s">
        <v>90</v>
      </c>
      <c r="H57" s="212" t="s">
        <v>105</v>
      </c>
      <c r="I57" s="212" t="s">
        <v>101</v>
      </c>
      <c r="J57" s="233" t="s">
        <v>90</v>
      </c>
    </row>
    <row r="58" spans="1:10" ht="15" customHeight="1">
      <c r="A58" s="212" t="s">
        <v>152</v>
      </c>
      <c r="B58" s="212" t="s">
        <v>87</v>
      </c>
      <c r="C58" s="212" t="s">
        <v>88</v>
      </c>
      <c r="D58" s="212" t="s">
        <v>90</v>
      </c>
      <c r="E58" s="212" t="s">
        <v>88</v>
      </c>
      <c r="F58" s="212" t="s">
        <v>90</v>
      </c>
      <c r="G58" s="212" t="s">
        <v>90</v>
      </c>
      <c r="H58" s="212" t="s">
        <v>90</v>
      </c>
      <c r="I58" s="212" t="s">
        <v>90</v>
      </c>
      <c r="J58" s="233" t="s">
        <v>98</v>
      </c>
    </row>
    <row r="59" spans="1:10" ht="15" customHeight="1">
      <c r="A59" s="213" t="s">
        <v>153</v>
      </c>
      <c r="B59" s="212" t="s">
        <v>90</v>
      </c>
      <c r="C59" s="212" t="s">
        <v>90</v>
      </c>
      <c r="D59" s="212" t="s">
        <v>90</v>
      </c>
      <c r="E59" s="212" t="s">
        <v>90</v>
      </c>
      <c r="F59" s="212" t="s">
        <v>90</v>
      </c>
      <c r="G59" s="212" t="s">
        <v>90</v>
      </c>
      <c r="H59" s="212" t="s">
        <v>90</v>
      </c>
      <c r="I59" s="212" t="s">
        <v>90</v>
      </c>
      <c r="J59" s="233" t="s">
        <v>125</v>
      </c>
    </row>
    <row r="60" spans="1:10" ht="15" customHeight="1">
      <c r="A60" s="212" t="s">
        <v>154</v>
      </c>
      <c r="B60" s="212" t="s">
        <v>87</v>
      </c>
      <c r="C60" s="212" t="s">
        <v>88</v>
      </c>
      <c r="D60" s="212" t="s">
        <v>89</v>
      </c>
      <c r="E60" s="212" t="s">
        <v>90</v>
      </c>
      <c r="F60" s="212" t="s">
        <v>90</v>
      </c>
      <c r="G60" s="212" t="s">
        <v>90</v>
      </c>
      <c r="H60" s="212" t="s">
        <v>90</v>
      </c>
      <c r="I60" s="212" t="s">
        <v>90</v>
      </c>
      <c r="J60" s="233" t="s">
        <v>90</v>
      </c>
    </row>
    <row r="61" spans="1:10" ht="15" customHeight="1">
      <c r="A61" s="212" t="s">
        <v>155</v>
      </c>
      <c r="B61" s="212" t="s">
        <v>90</v>
      </c>
      <c r="C61" s="212" t="s">
        <v>90</v>
      </c>
      <c r="D61" s="212" t="s">
        <v>90</v>
      </c>
      <c r="E61" s="212" t="s">
        <v>90</v>
      </c>
      <c r="F61" s="212" t="s">
        <v>90</v>
      </c>
      <c r="G61" s="212" t="s">
        <v>90</v>
      </c>
      <c r="H61" s="212" t="s">
        <v>90</v>
      </c>
      <c r="I61" s="212" t="s">
        <v>90</v>
      </c>
      <c r="J61" s="233" t="s">
        <v>125</v>
      </c>
    </row>
    <row r="62" spans="1:10" ht="15" customHeight="1">
      <c r="A62" s="212" t="s">
        <v>156</v>
      </c>
      <c r="B62" s="212" t="s">
        <v>90</v>
      </c>
      <c r="C62" s="212" t="s">
        <v>90</v>
      </c>
      <c r="D62" s="212" t="s">
        <v>89</v>
      </c>
      <c r="E62" s="212" t="s">
        <v>87</v>
      </c>
      <c r="F62" s="212" t="s">
        <v>90</v>
      </c>
      <c r="G62" s="212" t="s">
        <v>90</v>
      </c>
      <c r="H62" s="212" t="s">
        <v>88</v>
      </c>
      <c r="I62" s="212" t="s">
        <v>90</v>
      </c>
      <c r="J62" s="233" t="s">
        <v>90</v>
      </c>
    </row>
    <row r="63" spans="1:10" ht="15" customHeight="1">
      <c r="A63" s="212" t="s">
        <v>157</v>
      </c>
      <c r="B63" s="212" t="s">
        <v>87</v>
      </c>
      <c r="C63" s="212" t="s">
        <v>88</v>
      </c>
      <c r="D63" s="212" t="s">
        <v>87</v>
      </c>
      <c r="E63" s="212" t="s">
        <v>90</v>
      </c>
      <c r="F63" s="212" t="s">
        <v>90</v>
      </c>
      <c r="G63" s="212" t="s">
        <v>90</v>
      </c>
      <c r="H63" s="212" t="s">
        <v>90</v>
      </c>
      <c r="I63" s="212" t="s">
        <v>90</v>
      </c>
      <c r="J63" s="233" t="s">
        <v>90</v>
      </c>
    </row>
    <row r="64" spans="1:10" ht="15" customHeight="1">
      <c r="A64" s="212" t="s">
        <v>158</v>
      </c>
      <c r="B64" s="212" t="s">
        <v>101</v>
      </c>
      <c r="C64" s="212" t="s">
        <v>101</v>
      </c>
      <c r="D64" s="212" t="s">
        <v>90</v>
      </c>
      <c r="E64" s="212" t="s">
        <v>90</v>
      </c>
      <c r="F64" s="212" t="s">
        <v>90</v>
      </c>
      <c r="G64" s="212" t="s">
        <v>90</v>
      </c>
      <c r="H64" s="212" t="s">
        <v>90</v>
      </c>
      <c r="I64" s="212" t="s">
        <v>90</v>
      </c>
      <c r="J64" s="233" t="s">
        <v>90</v>
      </c>
    </row>
    <row r="65" spans="1:10" ht="15" customHeight="1">
      <c r="A65" s="212" t="s">
        <v>159</v>
      </c>
      <c r="B65" s="212" t="s">
        <v>98</v>
      </c>
      <c r="C65" s="212" t="s">
        <v>101</v>
      </c>
      <c r="D65" s="212" t="s">
        <v>90</v>
      </c>
      <c r="E65" s="212" t="s">
        <v>90</v>
      </c>
      <c r="F65" s="212" t="s">
        <v>90</v>
      </c>
      <c r="G65" s="212" t="s">
        <v>90</v>
      </c>
      <c r="H65" s="212" t="s">
        <v>90</v>
      </c>
      <c r="I65" s="212" t="s">
        <v>90</v>
      </c>
      <c r="J65" s="233" t="s">
        <v>90</v>
      </c>
    </row>
    <row r="66" spans="1:10" ht="15" customHeight="1">
      <c r="A66" s="212" t="s">
        <v>160</v>
      </c>
      <c r="B66" s="212" t="s">
        <v>98</v>
      </c>
      <c r="C66" s="212" t="s">
        <v>105</v>
      </c>
      <c r="D66" s="212" t="s">
        <v>90</v>
      </c>
      <c r="E66" s="212" t="s">
        <v>90</v>
      </c>
      <c r="F66" s="212" t="s">
        <v>90</v>
      </c>
      <c r="G66" s="212" t="s">
        <v>90</v>
      </c>
      <c r="H66" s="212" t="s">
        <v>90</v>
      </c>
      <c r="I66" s="212" t="s">
        <v>90</v>
      </c>
      <c r="J66" s="233" t="s">
        <v>90</v>
      </c>
    </row>
    <row r="67" spans="1:10" ht="15" customHeight="1">
      <c r="A67" s="212" t="s">
        <v>161</v>
      </c>
      <c r="B67" s="212" t="s">
        <v>101</v>
      </c>
      <c r="C67" s="212" t="s">
        <v>102</v>
      </c>
      <c r="D67" s="212" t="s">
        <v>90</v>
      </c>
      <c r="E67" s="212" t="s">
        <v>90</v>
      </c>
      <c r="F67" s="212" t="s">
        <v>90</v>
      </c>
      <c r="G67" s="212" t="s">
        <v>90</v>
      </c>
      <c r="H67" s="212" t="s">
        <v>90</v>
      </c>
      <c r="I67" s="212" t="s">
        <v>90</v>
      </c>
      <c r="J67" s="233" t="s">
        <v>90</v>
      </c>
    </row>
    <row r="68" spans="1:10" ht="15" customHeight="1">
      <c r="A68" s="212" t="s">
        <v>162</v>
      </c>
      <c r="B68" s="212" t="s">
        <v>88</v>
      </c>
      <c r="C68" s="212" t="s">
        <v>98</v>
      </c>
      <c r="D68" s="212" t="s">
        <v>90</v>
      </c>
      <c r="E68" s="212" t="s">
        <v>90</v>
      </c>
      <c r="F68" s="212" t="s">
        <v>90</v>
      </c>
      <c r="G68" s="212" t="s">
        <v>90</v>
      </c>
      <c r="H68" s="212" t="s">
        <v>90</v>
      </c>
      <c r="I68" s="212" t="s">
        <v>90</v>
      </c>
      <c r="J68" s="233" t="s">
        <v>90</v>
      </c>
    </row>
    <row r="69" spans="1:10" ht="15" customHeight="1">
      <c r="A69" s="212" t="s">
        <v>163</v>
      </c>
      <c r="B69" s="212" t="s">
        <v>98</v>
      </c>
      <c r="C69" s="212" t="s">
        <v>98</v>
      </c>
      <c r="D69" s="212" t="s">
        <v>90</v>
      </c>
      <c r="E69" s="212" t="s">
        <v>90</v>
      </c>
      <c r="F69" s="212" t="s">
        <v>90</v>
      </c>
      <c r="G69" s="212" t="s">
        <v>90</v>
      </c>
      <c r="H69" s="212" t="s">
        <v>90</v>
      </c>
      <c r="I69" s="212" t="s">
        <v>90</v>
      </c>
      <c r="J69" s="233" t="s">
        <v>90</v>
      </c>
    </row>
    <row r="70" spans="1:10" ht="15" customHeight="1">
      <c r="A70" s="213" t="s">
        <v>164</v>
      </c>
      <c r="B70" s="212" t="s">
        <v>98</v>
      </c>
      <c r="C70" s="212" t="s">
        <v>98</v>
      </c>
      <c r="D70" s="212" t="s">
        <v>90</v>
      </c>
      <c r="E70" s="212" t="s">
        <v>90</v>
      </c>
      <c r="F70" s="212" t="s">
        <v>90</v>
      </c>
      <c r="G70" s="212" t="s">
        <v>90</v>
      </c>
      <c r="H70" s="212" t="s">
        <v>90</v>
      </c>
      <c r="I70" s="212" t="s">
        <v>90</v>
      </c>
      <c r="J70" s="233" t="s">
        <v>90</v>
      </c>
    </row>
    <row r="71" spans="1:10" ht="15" customHeight="1">
      <c r="A71" s="213" t="s">
        <v>165</v>
      </c>
      <c r="B71" s="212" t="s">
        <v>98</v>
      </c>
      <c r="C71" s="212" t="s">
        <v>101</v>
      </c>
      <c r="D71" s="212" t="s">
        <v>90</v>
      </c>
      <c r="E71" s="212" t="s">
        <v>90</v>
      </c>
      <c r="F71" s="212" t="s">
        <v>90</v>
      </c>
      <c r="G71" s="212" t="s">
        <v>90</v>
      </c>
      <c r="H71" s="212" t="s">
        <v>90</v>
      </c>
      <c r="I71" s="212" t="s">
        <v>90</v>
      </c>
      <c r="J71" s="233" t="s">
        <v>90</v>
      </c>
    </row>
    <row r="72" spans="1:10" ht="15" customHeight="1">
      <c r="A72" s="212" t="s">
        <v>166</v>
      </c>
      <c r="B72" s="212" t="s">
        <v>105</v>
      </c>
      <c r="C72" s="212" t="s">
        <v>101</v>
      </c>
      <c r="D72" s="212" t="s">
        <v>90</v>
      </c>
      <c r="E72" s="212" t="s">
        <v>90</v>
      </c>
      <c r="F72" s="212" t="s">
        <v>90</v>
      </c>
      <c r="G72" s="212" t="s">
        <v>90</v>
      </c>
      <c r="H72" s="212" t="s">
        <v>90</v>
      </c>
      <c r="I72" s="212" t="s">
        <v>90</v>
      </c>
      <c r="J72" s="233" t="s">
        <v>90</v>
      </c>
    </row>
    <row r="73" spans="1:10" ht="15" customHeight="1">
      <c r="A73" s="212" t="s">
        <v>167</v>
      </c>
      <c r="B73" s="212" t="s">
        <v>88</v>
      </c>
      <c r="C73" s="212" t="s">
        <v>98</v>
      </c>
      <c r="D73" s="212" t="s">
        <v>90</v>
      </c>
      <c r="E73" s="212" t="s">
        <v>90</v>
      </c>
      <c r="F73" s="212" t="s">
        <v>90</v>
      </c>
      <c r="G73" s="212" t="s">
        <v>90</v>
      </c>
      <c r="H73" s="212" t="s">
        <v>90</v>
      </c>
      <c r="I73" s="212" t="s">
        <v>90</v>
      </c>
      <c r="J73" s="233" t="s">
        <v>90</v>
      </c>
    </row>
    <row r="74" spans="1:10" ht="15" customHeight="1">
      <c r="A74" s="212" t="s">
        <v>168</v>
      </c>
      <c r="B74" s="212" t="s">
        <v>87</v>
      </c>
      <c r="C74" s="212" t="s">
        <v>88</v>
      </c>
      <c r="D74" s="212" t="s">
        <v>89</v>
      </c>
      <c r="E74" s="212" t="s">
        <v>90</v>
      </c>
      <c r="F74" s="212" t="s">
        <v>90</v>
      </c>
      <c r="G74" s="212" t="s">
        <v>87</v>
      </c>
      <c r="H74" s="212" t="s">
        <v>90</v>
      </c>
      <c r="I74" s="212" t="s">
        <v>90</v>
      </c>
      <c r="J74" s="233" t="s">
        <v>90</v>
      </c>
    </row>
    <row r="75" spans="1:10" ht="15" customHeight="1">
      <c r="A75" s="212" t="s">
        <v>169</v>
      </c>
      <c r="B75" s="212" t="s">
        <v>90</v>
      </c>
      <c r="C75" s="212" t="s">
        <v>90</v>
      </c>
      <c r="D75" s="212" t="s">
        <v>88</v>
      </c>
      <c r="E75" s="212" t="s">
        <v>90</v>
      </c>
      <c r="F75" s="212" t="s">
        <v>90</v>
      </c>
      <c r="G75" s="212" t="s">
        <v>90</v>
      </c>
      <c r="H75" s="212" t="s">
        <v>90</v>
      </c>
      <c r="I75" s="212" t="s">
        <v>90</v>
      </c>
      <c r="J75" s="233" t="s">
        <v>90</v>
      </c>
    </row>
    <row r="76" spans="1:10" ht="15" customHeight="1">
      <c r="A76" s="212" t="s">
        <v>170</v>
      </c>
      <c r="B76" s="212" t="s">
        <v>90</v>
      </c>
      <c r="C76" s="212" t="s">
        <v>90</v>
      </c>
      <c r="D76" s="212" t="s">
        <v>87</v>
      </c>
      <c r="E76" s="212" t="s">
        <v>90</v>
      </c>
      <c r="F76" s="212" t="s">
        <v>90</v>
      </c>
      <c r="G76" s="212" t="s">
        <v>90</v>
      </c>
      <c r="H76" s="212" t="s">
        <v>90</v>
      </c>
      <c r="I76" s="212" t="s">
        <v>90</v>
      </c>
      <c r="J76" s="233" t="s">
        <v>90</v>
      </c>
    </row>
    <row r="77" spans="1:10" ht="15" customHeight="1">
      <c r="A77" s="212" t="s">
        <v>171</v>
      </c>
      <c r="B77" s="212" t="s">
        <v>87</v>
      </c>
      <c r="C77" s="212" t="s">
        <v>88</v>
      </c>
      <c r="D77" s="212" t="s">
        <v>89</v>
      </c>
      <c r="E77" s="212" t="s">
        <v>90</v>
      </c>
      <c r="F77" s="212" t="s">
        <v>90</v>
      </c>
      <c r="G77" s="212" t="s">
        <v>90</v>
      </c>
      <c r="H77" s="212" t="s">
        <v>90</v>
      </c>
      <c r="I77" s="212" t="s">
        <v>90</v>
      </c>
      <c r="J77" s="233" t="s">
        <v>90</v>
      </c>
    </row>
    <row r="78" spans="1:10" ht="15" customHeight="1">
      <c r="A78" s="212" t="s">
        <v>172</v>
      </c>
      <c r="B78" s="212" t="s">
        <v>90</v>
      </c>
      <c r="C78" s="212" t="s">
        <v>88</v>
      </c>
      <c r="D78" s="212" t="s">
        <v>89</v>
      </c>
      <c r="E78" s="212" t="s">
        <v>90</v>
      </c>
      <c r="F78" s="212" t="s">
        <v>90</v>
      </c>
      <c r="G78" s="212" t="s">
        <v>90</v>
      </c>
      <c r="H78" s="212" t="s">
        <v>90</v>
      </c>
      <c r="I78" s="212" t="s">
        <v>90</v>
      </c>
      <c r="J78" s="233" t="s">
        <v>90</v>
      </c>
    </row>
    <row r="79" spans="1:10" ht="15" customHeight="1">
      <c r="A79" s="212" t="s">
        <v>173</v>
      </c>
      <c r="B79" s="212" t="s">
        <v>87</v>
      </c>
      <c r="C79" s="212" t="s">
        <v>88</v>
      </c>
      <c r="D79" s="212" t="s">
        <v>90</v>
      </c>
      <c r="E79" s="212" t="s">
        <v>90</v>
      </c>
      <c r="F79" s="212" t="s">
        <v>90</v>
      </c>
      <c r="G79" s="212" t="s">
        <v>90</v>
      </c>
      <c r="H79" s="212" t="s">
        <v>90</v>
      </c>
      <c r="I79" s="212" t="s">
        <v>90</v>
      </c>
      <c r="J79" s="233" t="s">
        <v>90</v>
      </c>
    </row>
    <row r="80" spans="1:10" ht="15" customHeight="1">
      <c r="A80" s="212" t="s">
        <v>174</v>
      </c>
      <c r="B80" s="212" t="s">
        <v>90</v>
      </c>
      <c r="C80" s="212" t="s">
        <v>90</v>
      </c>
      <c r="D80" s="212" t="s">
        <v>89</v>
      </c>
      <c r="E80" s="212" t="s">
        <v>90</v>
      </c>
      <c r="F80" s="212" t="s">
        <v>90</v>
      </c>
      <c r="G80" s="212" t="s">
        <v>90</v>
      </c>
      <c r="H80" s="212" t="s">
        <v>90</v>
      </c>
      <c r="I80" s="212" t="s">
        <v>90</v>
      </c>
      <c r="J80" s="233" t="s">
        <v>90</v>
      </c>
    </row>
    <row r="81" spans="1:10" ht="15" customHeight="1">
      <c r="A81" s="212" t="s">
        <v>175</v>
      </c>
      <c r="B81" s="212" t="s">
        <v>90</v>
      </c>
      <c r="C81" s="212" t="s">
        <v>90</v>
      </c>
      <c r="D81" s="212" t="s">
        <v>90</v>
      </c>
      <c r="E81" s="212" t="s">
        <v>90</v>
      </c>
      <c r="F81" s="212" t="s">
        <v>90</v>
      </c>
      <c r="G81" s="212" t="s">
        <v>90</v>
      </c>
      <c r="H81" s="212" t="s">
        <v>90</v>
      </c>
      <c r="I81" s="212" t="s">
        <v>90</v>
      </c>
      <c r="J81" s="233" t="s">
        <v>125</v>
      </c>
    </row>
    <row r="82" spans="1:10" ht="15" customHeight="1">
      <c r="A82" s="212" t="s">
        <v>176</v>
      </c>
      <c r="B82" s="212" t="s">
        <v>87</v>
      </c>
      <c r="C82" s="212" t="s">
        <v>88</v>
      </c>
      <c r="D82" s="212" t="s">
        <v>89</v>
      </c>
      <c r="E82" s="212" t="s">
        <v>90</v>
      </c>
      <c r="F82" s="212" t="s">
        <v>90</v>
      </c>
      <c r="G82" s="212" t="s">
        <v>90</v>
      </c>
      <c r="H82" s="212" t="s">
        <v>87</v>
      </c>
      <c r="I82" s="212" t="s">
        <v>88</v>
      </c>
      <c r="J82" s="233" t="s">
        <v>90</v>
      </c>
    </row>
    <row r="83" spans="1:10" ht="15.5">
      <c r="A83" s="212" t="s">
        <v>177</v>
      </c>
      <c r="B83" s="212" t="s">
        <v>87</v>
      </c>
      <c r="C83" s="212" t="s">
        <v>88</v>
      </c>
      <c r="D83" s="212" t="s">
        <v>89</v>
      </c>
      <c r="E83" s="212" t="s">
        <v>90</v>
      </c>
      <c r="F83" s="212" t="s">
        <v>90</v>
      </c>
      <c r="G83" s="212" t="s">
        <v>90</v>
      </c>
      <c r="H83" s="212" t="s">
        <v>90</v>
      </c>
      <c r="I83" s="212" t="s">
        <v>90</v>
      </c>
      <c r="J83" s="233" t="s">
        <v>90</v>
      </c>
    </row>
    <row r="84" spans="1:10" ht="15" customHeight="1">
      <c r="A84" s="212" t="s">
        <v>178</v>
      </c>
      <c r="B84" s="212" t="s">
        <v>87</v>
      </c>
      <c r="C84" s="212" t="s">
        <v>88</v>
      </c>
      <c r="D84" s="212" t="s">
        <v>90</v>
      </c>
      <c r="E84" s="212" t="s">
        <v>98</v>
      </c>
      <c r="F84" s="212" t="s">
        <v>90</v>
      </c>
      <c r="G84" s="212" t="s">
        <v>105</v>
      </c>
      <c r="H84" s="212" t="s">
        <v>105</v>
      </c>
      <c r="I84" s="212" t="s">
        <v>101</v>
      </c>
      <c r="J84" s="233" t="s">
        <v>90</v>
      </c>
    </row>
    <row r="85" spans="1:10" ht="15" customHeight="1">
      <c r="A85" s="212" t="s">
        <v>179</v>
      </c>
      <c r="B85" s="212" t="s">
        <v>90</v>
      </c>
      <c r="C85" s="212" t="s">
        <v>90</v>
      </c>
      <c r="D85" s="212" t="s">
        <v>90</v>
      </c>
      <c r="E85" s="212" t="s">
        <v>90</v>
      </c>
      <c r="F85" s="212" t="s">
        <v>90</v>
      </c>
      <c r="G85" s="212" t="s">
        <v>90</v>
      </c>
      <c r="H85" s="212" t="s">
        <v>90</v>
      </c>
      <c r="I85" s="212" t="s">
        <v>90</v>
      </c>
      <c r="J85" s="233" t="s">
        <v>87</v>
      </c>
    </row>
    <row r="86" spans="1:10" ht="15" customHeight="1">
      <c r="A86" s="212" t="s">
        <v>180</v>
      </c>
      <c r="B86" s="212" t="s">
        <v>90</v>
      </c>
      <c r="C86" s="212" t="s">
        <v>88</v>
      </c>
      <c r="D86" s="212" t="s">
        <v>89</v>
      </c>
      <c r="E86" s="212" t="s">
        <v>90</v>
      </c>
      <c r="F86" s="212" t="s">
        <v>90</v>
      </c>
      <c r="G86" s="212" t="s">
        <v>90</v>
      </c>
      <c r="H86" s="212" t="s">
        <v>90</v>
      </c>
      <c r="I86" s="212" t="s">
        <v>90</v>
      </c>
      <c r="J86" s="233" t="s">
        <v>90</v>
      </c>
    </row>
    <row r="87" spans="1:10" ht="15" customHeight="1">
      <c r="A87" s="212" t="s">
        <v>181</v>
      </c>
      <c r="B87" s="212" t="s">
        <v>90</v>
      </c>
      <c r="C87" s="212" t="s">
        <v>90</v>
      </c>
      <c r="D87" s="212" t="s">
        <v>90</v>
      </c>
      <c r="E87" s="212" t="s">
        <v>88</v>
      </c>
      <c r="F87" s="212" t="s">
        <v>90</v>
      </c>
      <c r="G87" s="212" t="s">
        <v>88</v>
      </c>
      <c r="H87" s="212" t="s">
        <v>90</v>
      </c>
      <c r="I87" s="212" t="s">
        <v>90</v>
      </c>
      <c r="J87" s="233" t="s">
        <v>90</v>
      </c>
    </row>
    <row r="88" spans="1:10" ht="15" customHeight="1">
      <c r="A88" s="212" t="s">
        <v>182</v>
      </c>
      <c r="B88" s="212" t="s">
        <v>87</v>
      </c>
      <c r="C88" s="212" t="s">
        <v>88</v>
      </c>
      <c r="D88" s="212" t="s">
        <v>89</v>
      </c>
      <c r="E88" s="212" t="s">
        <v>88</v>
      </c>
      <c r="F88" s="212" t="s">
        <v>90</v>
      </c>
      <c r="G88" s="212" t="s">
        <v>90</v>
      </c>
      <c r="H88" s="212" t="s">
        <v>105</v>
      </c>
      <c r="I88" s="212" t="s">
        <v>105</v>
      </c>
      <c r="J88" s="233" t="s">
        <v>90</v>
      </c>
    </row>
    <row r="89" spans="1:10" ht="15" customHeight="1">
      <c r="A89" s="212" t="s">
        <v>183</v>
      </c>
      <c r="B89" s="212" t="s">
        <v>87</v>
      </c>
      <c r="C89" s="212" t="s">
        <v>88</v>
      </c>
      <c r="D89" s="212" t="s">
        <v>89</v>
      </c>
      <c r="E89" s="212" t="s">
        <v>98</v>
      </c>
      <c r="F89" s="212" t="s">
        <v>88</v>
      </c>
      <c r="G89" s="212" t="s">
        <v>101</v>
      </c>
      <c r="H89" s="212" t="s">
        <v>98</v>
      </c>
      <c r="I89" s="212" t="s">
        <v>101</v>
      </c>
      <c r="J89" s="233" t="s">
        <v>90</v>
      </c>
    </row>
    <row r="90" spans="1:10" ht="15" customHeight="1">
      <c r="A90" s="212" t="s">
        <v>184</v>
      </c>
      <c r="B90" s="212" t="s">
        <v>87</v>
      </c>
      <c r="C90" s="212" t="s">
        <v>88</v>
      </c>
      <c r="D90" s="212" t="s">
        <v>89</v>
      </c>
      <c r="E90" s="212" t="s">
        <v>88</v>
      </c>
      <c r="F90" s="212" t="s">
        <v>88</v>
      </c>
      <c r="G90" s="212" t="s">
        <v>98</v>
      </c>
      <c r="H90" s="212" t="s">
        <v>98</v>
      </c>
      <c r="I90" s="212" t="s">
        <v>105</v>
      </c>
      <c r="J90" s="233" t="s">
        <v>90</v>
      </c>
    </row>
    <row r="91" spans="1:10" ht="15" customHeight="1">
      <c r="A91" s="212" t="s">
        <v>185</v>
      </c>
      <c r="B91" s="212" t="s">
        <v>87</v>
      </c>
      <c r="C91" s="212" t="s">
        <v>88</v>
      </c>
      <c r="D91" s="212" t="s">
        <v>87</v>
      </c>
      <c r="E91" s="212" t="s">
        <v>90</v>
      </c>
      <c r="F91" s="212" t="s">
        <v>90</v>
      </c>
      <c r="G91" s="212" t="s">
        <v>88</v>
      </c>
      <c r="H91" s="212" t="s">
        <v>90</v>
      </c>
      <c r="I91" s="212" t="s">
        <v>90</v>
      </c>
      <c r="J91" s="233" t="s">
        <v>90</v>
      </c>
    </row>
    <row r="92" spans="1:10" ht="15" customHeight="1">
      <c r="A92" s="212" t="s">
        <v>186</v>
      </c>
      <c r="B92" s="212" t="s">
        <v>87</v>
      </c>
      <c r="C92" s="212" t="s">
        <v>88</v>
      </c>
      <c r="D92" s="212" t="s">
        <v>89</v>
      </c>
      <c r="E92" s="212" t="s">
        <v>90</v>
      </c>
      <c r="F92" s="212" t="s">
        <v>90</v>
      </c>
      <c r="G92" s="212" t="s">
        <v>90</v>
      </c>
      <c r="H92" s="212" t="s">
        <v>90</v>
      </c>
      <c r="I92" s="212" t="s">
        <v>90</v>
      </c>
      <c r="J92" s="233" t="s">
        <v>90</v>
      </c>
    </row>
    <row r="93" spans="1:10" ht="15" customHeight="1">
      <c r="A93" s="212" t="s">
        <v>187</v>
      </c>
      <c r="B93" s="212" t="s">
        <v>87</v>
      </c>
      <c r="C93" s="212" t="s">
        <v>88</v>
      </c>
      <c r="D93" s="212" t="s">
        <v>89</v>
      </c>
      <c r="E93" s="212" t="s">
        <v>90</v>
      </c>
      <c r="F93" s="212" t="s">
        <v>90</v>
      </c>
      <c r="G93" s="212" t="s">
        <v>88</v>
      </c>
      <c r="H93" s="212" t="s">
        <v>90</v>
      </c>
      <c r="I93" s="212" t="s">
        <v>90</v>
      </c>
      <c r="J93" s="233" t="s">
        <v>90</v>
      </c>
    </row>
    <row r="94" spans="1:10" ht="15" customHeight="1">
      <c r="A94" s="212" t="s">
        <v>188</v>
      </c>
      <c r="B94" s="212" t="s">
        <v>87</v>
      </c>
      <c r="C94" s="212" t="s">
        <v>88</v>
      </c>
      <c r="D94" s="212" t="s">
        <v>89</v>
      </c>
      <c r="E94" s="212" t="s">
        <v>88</v>
      </c>
      <c r="F94" s="212" t="s">
        <v>90</v>
      </c>
      <c r="G94" s="212" t="s">
        <v>98</v>
      </c>
      <c r="H94" s="212" t="s">
        <v>90</v>
      </c>
      <c r="I94" s="212" t="s">
        <v>90</v>
      </c>
      <c r="J94" s="233" t="s">
        <v>90</v>
      </c>
    </row>
    <row r="95" spans="1:10" ht="15" customHeight="1">
      <c r="A95" s="212" t="s">
        <v>189</v>
      </c>
      <c r="B95" s="212" t="s">
        <v>90</v>
      </c>
      <c r="C95" s="212" t="s">
        <v>90</v>
      </c>
      <c r="D95" s="212" t="s">
        <v>90</v>
      </c>
      <c r="E95" s="212" t="s">
        <v>90</v>
      </c>
      <c r="F95" s="212" t="s">
        <v>101</v>
      </c>
      <c r="G95" s="212" t="s">
        <v>101</v>
      </c>
      <c r="H95" s="212" t="s">
        <v>90</v>
      </c>
      <c r="I95" s="212" t="s">
        <v>90</v>
      </c>
      <c r="J95" s="233" t="s">
        <v>90</v>
      </c>
    </row>
    <row r="96" spans="1:10" ht="15" customHeight="1">
      <c r="A96" s="212" t="s">
        <v>190</v>
      </c>
      <c r="B96" s="212" t="s">
        <v>90</v>
      </c>
      <c r="C96" s="212" t="s">
        <v>90</v>
      </c>
      <c r="D96" s="212" t="s">
        <v>90</v>
      </c>
      <c r="E96" s="212" t="s">
        <v>90</v>
      </c>
      <c r="F96" s="212" t="s">
        <v>90</v>
      </c>
      <c r="G96" s="212" t="s">
        <v>90</v>
      </c>
      <c r="H96" s="212" t="s">
        <v>90</v>
      </c>
      <c r="I96" s="212" t="s">
        <v>90</v>
      </c>
      <c r="J96" s="233" t="s">
        <v>87</v>
      </c>
    </row>
    <row r="97" spans="1:10" ht="15" customHeight="1">
      <c r="A97" s="212" t="s">
        <v>191</v>
      </c>
      <c r="B97" s="212" t="s">
        <v>87</v>
      </c>
      <c r="C97" s="212" t="s">
        <v>88</v>
      </c>
      <c r="D97" s="212" t="s">
        <v>89</v>
      </c>
      <c r="E97" s="212" t="s">
        <v>90</v>
      </c>
      <c r="F97" s="212" t="s">
        <v>90</v>
      </c>
      <c r="G97" s="212" t="s">
        <v>90</v>
      </c>
      <c r="H97" s="212" t="s">
        <v>90</v>
      </c>
      <c r="I97" s="212" t="s">
        <v>90</v>
      </c>
      <c r="J97" s="233" t="s">
        <v>90</v>
      </c>
    </row>
    <row r="98" spans="1:10" ht="15" customHeight="1">
      <c r="A98" s="212" t="s">
        <v>192</v>
      </c>
      <c r="B98" s="212" t="s">
        <v>90</v>
      </c>
      <c r="C98" s="212" t="s">
        <v>90</v>
      </c>
      <c r="D98" s="212" t="s">
        <v>89</v>
      </c>
      <c r="E98" s="212" t="s">
        <v>90</v>
      </c>
      <c r="F98" s="212" t="s">
        <v>90</v>
      </c>
      <c r="G98" s="212" t="s">
        <v>90</v>
      </c>
      <c r="H98" s="212" t="s">
        <v>90</v>
      </c>
      <c r="I98" s="212" t="s">
        <v>90</v>
      </c>
      <c r="J98" s="233" t="s">
        <v>90</v>
      </c>
    </row>
    <row r="99" spans="1:10" ht="15" customHeight="1">
      <c r="A99" s="212" t="s">
        <v>193</v>
      </c>
      <c r="B99" s="212" t="s">
        <v>87</v>
      </c>
      <c r="C99" s="212" t="s">
        <v>88</v>
      </c>
      <c r="D99" s="212" t="s">
        <v>88</v>
      </c>
      <c r="E99" s="212" t="s">
        <v>90</v>
      </c>
      <c r="F99" s="212" t="s">
        <v>90</v>
      </c>
      <c r="G99" s="212" t="s">
        <v>90</v>
      </c>
      <c r="H99" s="212" t="s">
        <v>90</v>
      </c>
      <c r="I99" s="212" t="s">
        <v>90</v>
      </c>
      <c r="J99" s="233" t="s">
        <v>90</v>
      </c>
    </row>
    <row r="100" spans="1:10" ht="15" customHeight="1">
      <c r="A100" s="212" t="s">
        <v>194</v>
      </c>
      <c r="B100" s="212" t="s">
        <v>87</v>
      </c>
      <c r="C100" s="212" t="s">
        <v>88</v>
      </c>
      <c r="D100" s="212" t="s">
        <v>89</v>
      </c>
      <c r="E100" s="212" t="s">
        <v>88</v>
      </c>
      <c r="F100" s="212" t="s">
        <v>98</v>
      </c>
      <c r="G100" s="212" t="s">
        <v>102</v>
      </c>
      <c r="H100" s="212" t="s">
        <v>102</v>
      </c>
      <c r="I100" s="212" t="s">
        <v>95</v>
      </c>
      <c r="J100" s="233" t="s">
        <v>90</v>
      </c>
    </row>
    <row r="101" spans="1:10" ht="15.5">
      <c r="A101" s="212" t="s">
        <v>195</v>
      </c>
      <c r="B101" s="212" t="s">
        <v>87</v>
      </c>
      <c r="C101" s="212" t="s">
        <v>88</v>
      </c>
      <c r="D101" s="212" t="s">
        <v>89</v>
      </c>
      <c r="E101" s="212" t="s">
        <v>90</v>
      </c>
      <c r="F101" s="212" t="s">
        <v>90</v>
      </c>
      <c r="G101" s="212" t="s">
        <v>90</v>
      </c>
      <c r="H101" s="212" t="s">
        <v>90</v>
      </c>
      <c r="I101" s="212" t="s">
        <v>90</v>
      </c>
      <c r="J101" s="233" t="s">
        <v>98</v>
      </c>
    </row>
    <row r="102" spans="1:10" ht="15" customHeight="1">
      <c r="A102" s="212" t="s">
        <v>196</v>
      </c>
      <c r="B102" s="212" t="s">
        <v>87</v>
      </c>
      <c r="C102" s="212" t="s">
        <v>88</v>
      </c>
      <c r="D102" s="212" t="s">
        <v>87</v>
      </c>
      <c r="E102" s="212" t="s">
        <v>90</v>
      </c>
      <c r="F102" s="212" t="s">
        <v>90</v>
      </c>
      <c r="G102" s="212" t="s">
        <v>90</v>
      </c>
      <c r="H102" s="212" t="s">
        <v>90</v>
      </c>
      <c r="I102" s="212" t="s">
        <v>90</v>
      </c>
      <c r="J102" s="233" t="s">
        <v>90</v>
      </c>
    </row>
    <row r="103" spans="1:10" ht="15" customHeight="1">
      <c r="A103" s="212" t="s">
        <v>197</v>
      </c>
      <c r="B103" s="212" t="s">
        <v>87</v>
      </c>
      <c r="C103" s="212" t="s">
        <v>88</v>
      </c>
      <c r="D103" s="212" t="s">
        <v>89</v>
      </c>
      <c r="E103" s="212" t="s">
        <v>90</v>
      </c>
      <c r="F103" s="212" t="s">
        <v>90</v>
      </c>
      <c r="G103" s="212" t="s">
        <v>90</v>
      </c>
      <c r="H103" s="212" t="s">
        <v>90</v>
      </c>
      <c r="I103" s="212" t="s">
        <v>90</v>
      </c>
      <c r="J103" s="233" t="s">
        <v>90</v>
      </c>
    </row>
    <row r="104" spans="1:10" ht="15" customHeight="1">
      <c r="A104" s="212" t="s">
        <v>198</v>
      </c>
      <c r="B104" s="212" t="s">
        <v>90</v>
      </c>
      <c r="C104" s="212" t="s">
        <v>90</v>
      </c>
      <c r="D104" s="212" t="s">
        <v>90</v>
      </c>
      <c r="E104" s="212" t="s">
        <v>90</v>
      </c>
      <c r="F104" s="212" t="s">
        <v>90</v>
      </c>
      <c r="G104" s="212" t="s">
        <v>90</v>
      </c>
      <c r="H104" s="212" t="s">
        <v>90</v>
      </c>
      <c r="I104" s="212" t="s">
        <v>102</v>
      </c>
      <c r="J104" s="233" t="s">
        <v>90</v>
      </c>
    </row>
    <row r="105" spans="1:10" ht="15" customHeight="1">
      <c r="A105" s="212" t="s">
        <v>199</v>
      </c>
      <c r="B105" s="212" t="s">
        <v>87</v>
      </c>
      <c r="C105" s="212" t="s">
        <v>88</v>
      </c>
      <c r="D105" s="212" t="s">
        <v>89</v>
      </c>
      <c r="E105" s="212" t="s">
        <v>88</v>
      </c>
      <c r="F105" s="212" t="s">
        <v>88</v>
      </c>
      <c r="G105" s="212" t="s">
        <v>88</v>
      </c>
      <c r="H105" s="212" t="s">
        <v>98</v>
      </c>
      <c r="I105" s="212" t="s">
        <v>102</v>
      </c>
      <c r="J105" s="233" t="s">
        <v>90</v>
      </c>
    </row>
    <row r="106" spans="1:10" ht="15" customHeight="1">
      <c r="A106" s="212" t="s">
        <v>200</v>
      </c>
      <c r="B106" s="212" t="s">
        <v>87</v>
      </c>
      <c r="C106" s="212" t="s">
        <v>88</v>
      </c>
      <c r="D106" s="212" t="s">
        <v>89</v>
      </c>
      <c r="E106" s="212" t="s">
        <v>98</v>
      </c>
      <c r="F106" s="212" t="s">
        <v>88</v>
      </c>
      <c r="G106" s="212" t="s">
        <v>88</v>
      </c>
      <c r="H106" s="212" t="s">
        <v>105</v>
      </c>
      <c r="I106" s="212" t="s">
        <v>102</v>
      </c>
      <c r="J106" s="233" t="s">
        <v>90</v>
      </c>
    </row>
    <row r="107" spans="1:10" ht="15" customHeight="1">
      <c r="A107" s="212" t="s">
        <v>201</v>
      </c>
      <c r="B107" s="212" t="s">
        <v>87</v>
      </c>
      <c r="C107" s="212" t="s">
        <v>88</v>
      </c>
      <c r="D107" s="212" t="s">
        <v>89</v>
      </c>
      <c r="E107" s="212" t="s">
        <v>90</v>
      </c>
      <c r="F107" s="212" t="s">
        <v>90</v>
      </c>
      <c r="G107" s="212" t="s">
        <v>90</v>
      </c>
      <c r="H107" s="212" t="s">
        <v>90</v>
      </c>
      <c r="I107" s="212" t="s">
        <v>90</v>
      </c>
      <c r="J107" s="233" t="s">
        <v>90</v>
      </c>
    </row>
    <row r="108" spans="1:10" ht="15" customHeight="1">
      <c r="A108" s="212" t="s">
        <v>202</v>
      </c>
      <c r="B108" s="212" t="s">
        <v>87</v>
      </c>
      <c r="C108" s="212" t="s">
        <v>88</v>
      </c>
      <c r="D108" s="212" t="s">
        <v>87</v>
      </c>
      <c r="E108" s="212" t="s">
        <v>90</v>
      </c>
      <c r="F108" s="212" t="s">
        <v>90</v>
      </c>
      <c r="G108" s="212" t="s">
        <v>90</v>
      </c>
      <c r="H108" s="212" t="s">
        <v>90</v>
      </c>
      <c r="I108" s="212" t="s">
        <v>90</v>
      </c>
      <c r="J108" s="233" t="s">
        <v>90</v>
      </c>
    </row>
    <row r="109" spans="1:10" ht="15" customHeight="1">
      <c r="A109" s="212" t="s">
        <v>203</v>
      </c>
      <c r="B109" s="212" t="s">
        <v>90</v>
      </c>
      <c r="C109" s="212" t="s">
        <v>90</v>
      </c>
      <c r="D109" s="212" t="s">
        <v>90</v>
      </c>
      <c r="E109" s="212" t="s">
        <v>90</v>
      </c>
      <c r="F109" s="212" t="s">
        <v>90</v>
      </c>
      <c r="G109" s="212" t="s">
        <v>90</v>
      </c>
      <c r="H109" s="212" t="s">
        <v>90</v>
      </c>
      <c r="I109" s="212" t="s">
        <v>90</v>
      </c>
      <c r="J109" s="233" t="s">
        <v>101</v>
      </c>
    </row>
    <row r="110" spans="1:10" ht="15" customHeight="1">
      <c r="A110" s="212" t="s">
        <v>204</v>
      </c>
      <c r="B110" s="212" t="s">
        <v>87</v>
      </c>
      <c r="C110" s="212" t="s">
        <v>88</v>
      </c>
      <c r="D110" s="212" t="s">
        <v>89</v>
      </c>
      <c r="E110" s="212" t="s">
        <v>90</v>
      </c>
      <c r="F110" s="212" t="s">
        <v>90</v>
      </c>
      <c r="G110" s="212" t="s">
        <v>88</v>
      </c>
      <c r="H110" s="212" t="s">
        <v>90</v>
      </c>
      <c r="I110" s="212" t="s">
        <v>90</v>
      </c>
      <c r="J110" s="233" t="s">
        <v>90</v>
      </c>
    </row>
    <row r="111" spans="1:10" ht="15" customHeight="1">
      <c r="A111" s="212" t="s">
        <v>205</v>
      </c>
      <c r="B111" s="212" t="s">
        <v>87</v>
      </c>
      <c r="C111" s="212" t="s">
        <v>88</v>
      </c>
      <c r="D111" s="212" t="s">
        <v>89</v>
      </c>
      <c r="E111" s="212" t="s">
        <v>90</v>
      </c>
      <c r="F111" s="212" t="s">
        <v>90</v>
      </c>
      <c r="G111" s="212" t="s">
        <v>88</v>
      </c>
      <c r="H111" s="212" t="s">
        <v>98</v>
      </c>
      <c r="I111" s="212" t="s">
        <v>90</v>
      </c>
      <c r="J111" s="233" t="s">
        <v>90</v>
      </c>
    </row>
    <row r="112" spans="1:10" ht="15" customHeight="1">
      <c r="A112" s="212" t="s">
        <v>206</v>
      </c>
      <c r="B112" s="212" t="s">
        <v>87</v>
      </c>
      <c r="C112" s="212" t="s">
        <v>88</v>
      </c>
      <c r="D112" s="212" t="s">
        <v>88</v>
      </c>
      <c r="E112" s="212" t="s">
        <v>90</v>
      </c>
      <c r="F112" s="212" t="s">
        <v>90</v>
      </c>
      <c r="G112" s="212" t="s">
        <v>90</v>
      </c>
      <c r="H112" s="212" t="s">
        <v>102</v>
      </c>
      <c r="I112" s="212" t="s">
        <v>102</v>
      </c>
      <c r="J112" s="233" t="s">
        <v>90</v>
      </c>
    </row>
    <row r="113" spans="1:10" ht="15" customHeight="1">
      <c r="A113" s="212" t="s">
        <v>207</v>
      </c>
      <c r="B113" s="212" t="s">
        <v>90</v>
      </c>
      <c r="C113" s="212" t="s">
        <v>90</v>
      </c>
      <c r="D113" s="212" t="s">
        <v>90</v>
      </c>
      <c r="E113" s="212" t="s">
        <v>90</v>
      </c>
      <c r="F113" s="212" t="s">
        <v>90</v>
      </c>
      <c r="G113" s="212" t="s">
        <v>90</v>
      </c>
      <c r="H113" s="212" t="s">
        <v>90</v>
      </c>
      <c r="I113" s="212" t="s">
        <v>90</v>
      </c>
      <c r="J113" s="233" t="s">
        <v>98</v>
      </c>
    </row>
    <row r="114" spans="1:10" ht="15" customHeight="1">
      <c r="A114" s="212" t="s">
        <v>208</v>
      </c>
      <c r="B114" s="212" t="s">
        <v>87</v>
      </c>
      <c r="C114" s="212" t="s">
        <v>88</v>
      </c>
      <c r="D114" s="212" t="s">
        <v>90</v>
      </c>
      <c r="E114" s="212" t="s">
        <v>98</v>
      </c>
      <c r="F114" s="212" t="s">
        <v>90</v>
      </c>
      <c r="G114" s="212" t="s">
        <v>90</v>
      </c>
      <c r="H114" s="212" t="s">
        <v>90</v>
      </c>
      <c r="I114" s="212" t="s">
        <v>90</v>
      </c>
      <c r="J114" s="233" t="s">
        <v>90</v>
      </c>
    </row>
    <row r="115" spans="1:10" ht="15" customHeight="1">
      <c r="A115" s="212" t="s">
        <v>209</v>
      </c>
      <c r="B115" s="212" t="s">
        <v>87</v>
      </c>
      <c r="C115" s="212" t="s">
        <v>88</v>
      </c>
      <c r="D115" s="212" t="s">
        <v>89</v>
      </c>
      <c r="E115" s="212" t="s">
        <v>90</v>
      </c>
      <c r="F115" s="212" t="s">
        <v>90</v>
      </c>
      <c r="G115" s="212" t="s">
        <v>90</v>
      </c>
      <c r="H115" s="212" t="s">
        <v>90</v>
      </c>
      <c r="I115" s="212" t="s">
        <v>90</v>
      </c>
      <c r="J115" s="233" t="s">
        <v>88</v>
      </c>
    </row>
    <row r="116" spans="1:10" ht="15" customHeight="1">
      <c r="A116" s="212" t="s">
        <v>210</v>
      </c>
      <c r="B116" s="212" t="s">
        <v>87</v>
      </c>
      <c r="C116" s="212" t="s">
        <v>88</v>
      </c>
      <c r="D116" s="212" t="s">
        <v>89</v>
      </c>
      <c r="E116" s="212" t="s">
        <v>98</v>
      </c>
      <c r="F116" s="212" t="s">
        <v>88</v>
      </c>
      <c r="G116" s="212" t="s">
        <v>98</v>
      </c>
      <c r="H116" s="212" t="s">
        <v>98</v>
      </c>
      <c r="I116" s="212" t="s">
        <v>90</v>
      </c>
      <c r="J116" s="233" t="s">
        <v>90</v>
      </c>
    </row>
    <row r="117" spans="1:10" ht="15" customHeight="1">
      <c r="A117" s="212" t="s">
        <v>211</v>
      </c>
      <c r="B117" s="212" t="s">
        <v>90</v>
      </c>
      <c r="C117" s="212" t="s">
        <v>90</v>
      </c>
      <c r="D117" s="212" t="s">
        <v>90</v>
      </c>
      <c r="E117" s="212" t="s">
        <v>90</v>
      </c>
      <c r="F117" s="212" t="s">
        <v>90</v>
      </c>
      <c r="G117" s="212" t="s">
        <v>90</v>
      </c>
      <c r="H117" s="212" t="s">
        <v>90</v>
      </c>
      <c r="I117" s="212" t="s">
        <v>90</v>
      </c>
      <c r="J117" s="233" t="s">
        <v>105</v>
      </c>
    </row>
    <row r="118" spans="1:10" ht="15" customHeight="1">
      <c r="A118" s="212" t="s">
        <v>212</v>
      </c>
      <c r="B118" s="212" t="s">
        <v>87</v>
      </c>
      <c r="C118" s="212" t="s">
        <v>88</v>
      </c>
      <c r="D118" s="212" t="s">
        <v>89</v>
      </c>
      <c r="E118" s="212" t="s">
        <v>90</v>
      </c>
      <c r="F118" s="212" t="s">
        <v>90</v>
      </c>
      <c r="G118" s="212" t="s">
        <v>90</v>
      </c>
      <c r="H118" s="212" t="s">
        <v>90</v>
      </c>
      <c r="I118" s="212" t="s">
        <v>90</v>
      </c>
      <c r="J118" s="233" t="s">
        <v>90</v>
      </c>
    </row>
    <row r="119" spans="1:10" ht="15" customHeight="1">
      <c r="A119" s="212" t="s">
        <v>213</v>
      </c>
      <c r="B119" s="212" t="s">
        <v>87</v>
      </c>
      <c r="C119" s="212" t="s">
        <v>88</v>
      </c>
      <c r="D119" s="212" t="s">
        <v>89</v>
      </c>
      <c r="E119" s="212" t="s">
        <v>98</v>
      </c>
      <c r="F119" s="212" t="s">
        <v>90</v>
      </c>
      <c r="G119" s="212" t="s">
        <v>102</v>
      </c>
      <c r="H119" s="212" t="s">
        <v>98</v>
      </c>
      <c r="I119" s="212" t="s">
        <v>98</v>
      </c>
      <c r="J119" s="233" t="s">
        <v>90</v>
      </c>
    </row>
    <row r="120" spans="1:10" ht="15" customHeight="1">
      <c r="A120" s="212" t="s">
        <v>214</v>
      </c>
      <c r="B120" s="212" t="s">
        <v>87</v>
      </c>
      <c r="C120" s="212" t="s">
        <v>88</v>
      </c>
      <c r="D120" s="212" t="s">
        <v>89</v>
      </c>
      <c r="E120" s="212" t="s">
        <v>98</v>
      </c>
      <c r="F120" s="212" t="s">
        <v>90</v>
      </c>
      <c r="G120" s="212" t="s">
        <v>102</v>
      </c>
      <c r="H120" s="212" t="s">
        <v>98</v>
      </c>
      <c r="I120" s="212" t="s">
        <v>98</v>
      </c>
      <c r="J120" s="233" t="s">
        <v>90</v>
      </c>
    </row>
    <row r="121" spans="1:10" ht="15" customHeight="1">
      <c r="A121" s="212" t="s">
        <v>215</v>
      </c>
      <c r="B121" s="212" t="s">
        <v>87</v>
      </c>
      <c r="C121" s="212" t="s">
        <v>88</v>
      </c>
      <c r="D121" s="212" t="s">
        <v>89</v>
      </c>
      <c r="E121" s="212" t="s">
        <v>90</v>
      </c>
      <c r="F121" s="212" t="s">
        <v>90</v>
      </c>
      <c r="G121" s="212" t="s">
        <v>88</v>
      </c>
      <c r="H121" s="212" t="s">
        <v>98</v>
      </c>
      <c r="I121" s="212" t="s">
        <v>90</v>
      </c>
      <c r="J121" s="233" t="s">
        <v>90</v>
      </c>
    </row>
    <row r="122" spans="1:10" ht="15" customHeight="1">
      <c r="A122" s="212" t="s">
        <v>216</v>
      </c>
      <c r="B122" s="212" t="s">
        <v>87</v>
      </c>
      <c r="C122" s="212" t="s">
        <v>88</v>
      </c>
      <c r="D122" s="212" t="s">
        <v>89</v>
      </c>
      <c r="E122" s="212" t="s">
        <v>90</v>
      </c>
      <c r="F122" s="212" t="s">
        <v>90</v>
      </c>
      <c r="G122" s="212" t="s">
        <v>90</v>
      </c>
      <c r="H122" s="212" t="s">
        <v>90</v>
      </c>
      <c r="I122" s="212" t="s">
        <v>90</v>
      </c>
      <c r="J122" s="233" t="s">
        <v>90</v>
      </c>
    </row>
    <row r="123" spans="1:10" ht="15" customHeight="1">
      <c r="A123" s="212" t="s">
        <v>217</v>
      </c>
      <c r="B123" s="212" t="s">
        <v>87</v>
      </c>
      <c r="C123" s="212" t="s">
        <v>88</v>
      </c>
      <c r="D123" s="212" t="s">
        <v>89</v>
      </c>
      <c r="E123" s="212" t="s">
        <v>88</v>
      </c>
      <c r="F123" s="212" t="s">
        <v>90</v>
      </c>
      <c r="G123" s="212" t="s">
        <v>90</v>
      </c>
      <c r="H123" s="212" t="s">
        <v>88</v>
      </c>
      <c r="I123" s="212" t="s">
        <v>105</v>
      </c>
      <c r="J123" s="233" t="s">
        <v>90</v>
      </c>
    </row>
    <row r="124" spans="1:10" ht="15" customHeight="1">
      <c r="A124" s="212" t="s">
        <v>218</v>
      </c>
      <c r="B124" s="212" t="s">
        <v>87</v>
      </c>
      <c r="C124" s="212" t="s">
        <v>88</v>
      </c>
      <c r="D124" s="212" t="s">
        <v>89</v>
      </c>
      <c r="E124" s="212" t="s">
        <v>98</v>
      </c>
      <c r="F124" s="212" t="s">
        <v>90</v>
      </c>
      <c r="G124" s="212" t="s">
        <v>90</v>
      </c>
      <c r="H124" s="212" t="s">
        <v>105</v>
      </c>
      <c r="I124" s="212" t="s">
        <v>101</v>
      </c>
      <c r="J124" s="233" t="s">
        <v>90</v>
      </c>
    </row>
    <row r="125" spans="1:10" ht="15" customHeight="1">
      <c r="A125" s="212" t="s">
        <v>219</v>
      </c>
      <c r="B125" s="212" t="s">
        <v>87</v>
      </c>
      <c r="C125" s="212" t="s">
        <v>88</v>
      </c>
      <c r="D125" s="212" t="s">
        <v>89</v>
      </c>
      <c r="E125" s="212" t="s">
        <v>90</v>
      </c>
      <c r="F125" s="212" t="s">
        <v>90</v>
      </c>
      <c r="G125" s="212" t="s">
        <v>90</v>
      </c>
      <c r="H125" s="212" t="s">
        <v>90</v>
      </c>
      <c r="I125" s="212" t="s">
        <v>90</v>
      </c>
      <c r="J125" s="233" t="s">
        <v>90</v>
      </c>
    </row>
    <row r="126" spans="1:10" ht="15" customHeight="1">
      <c r="A126" s="212" t="s">
        <v>220</v>
      </c>
      <c r="B126" s="212" t="s">
        <v>87</v>
      </c>
      <c r="C126" s="212" t="s">
        <v>88</v>
      </c>
      <c r="D126" s="212" t="s">
        <v>89</v>
      </c>
      <c r="E126" s="212" t="s">
        <v>98</v>
      </c>
      <c r="F126" s="212" t="s">
        <v>90</v>
      </c>
      <c r="G126" s="212" t="s">
        <v>90</v>
      </c>
      <c r="H126" s="212" t="s">
        <v>105</v>
      </c>
      <c r="I126" s="212" t="s">
        <v>101</v>
      </c>
      <c r="J126" s="233" t="s">
        <v>90</v>
      </c>
    </row>
    <row r="127" spans="1:10" ht="15" customHeight="1">
      <c r="A127" s="212" t="s">
        <v>221</v>
      </c>
      <c r="B127" s="212" t="s">
        <v>90</v>
      </c>
      <c r="C127" s="212" t="s">
        <v>90</v>
      </c>
      <c r="D127" s="212" t="s">
        <v>90</v>
      </c>
      <c r="E127" s="212" t="s">
        <v>90</v>
      </c>
      <c r="F127" s="212" t="s">
        <v>87</v>
      </c>
      <c r="G127" s="212" t="s">
        <v>88</v>
      </c>
      <c r="H127" s="212" t="s">
        <v>90</v>
      </c>
      <c r="I127" s="212" t="s">
        <v>90</v>
      </c>
      <c r="J127" s="233" t="s">
        <v>90</v>
      </c>
    </row>
    <row r="128" spans="1:10" ht="15.5">
      <c r="A128" s="212" t="s">
        <v>222</v>
      </c>
      <c r="B128" s="212" t="s">
        <v>90</v>
      </c>
      <c r="C128" s="212" t="s">
        <v>90</v>
      </c>
      <c r="D128" s="212" t="s">
        <v>90</v>
      </c>
      <c r="E128" s="212" t="s">
        <v>90</v>
      </c>
      <c r="F128" s="212" t="s">
        <v>90</v>
      </c>
      <c r="G128" s="212" t="s">
        <v>90</v>
      </c>
      <c r="H128" s="212" t="s">
        <v>90</v>
      </c>
      <c r="I128" s="212" t="s">
        <v>90</v>
      </c>
      <c r="J128" s="233" t="s">
        <v>125</v>
      </c>
    </row>
    <row r="129" spans="1:10" ht="15.5">
      <c r="A129" s="212" t="s">
        <v>223</v>
      </c>
      <c r="B129" s="212" t="s">
        <v>87</v>
      </c>
      <c r="C129" s="212" t="s">
        <v>88</v>
      </c>
      <c r="D129" s="212" t="s">
        <v>89</v>
      </c>
      <c r="E129" s="212" t="s">
        <v>90</v>
      </c>
      <c r="F129" s="212" t="s">
        <v>90</v>
      </c>
      <c r="G129" s="212" t="s">
        <v>88</v>
      </c>
      <c r="H129" s="212" t="s">
        <v>90</v>
      </c>
      <c r="I129" s="212" t="s">
        <v>90</v>
      </c>
      <c r="J129" s="233" t="s">
        <v>90</v>
      </c>
    </row>
    <row r="130" spans="1:10" ht="15" customHeight="1">
      <c r="A130" s="212" t="s">
        <v>224</v>
      </c>
      <c r="B130" s="212" t="s">
        <v>87</v>
      </c>
      <c r="C130" s="212" t="s">
        <v>90</v>
      </c>
      <c r="D130" s="212" t="s">
        <v>89</v>
      </c>
      <c r="E130" s="212" t="s">
        <v>98</v>
      </c>
      <c r="F130" s="212" t="s">
        <v>90</v>
      </c>
      <c r="G130" s="212" t="s">
        <v>90</v>
      </c>
      <c r="H130" s="212" t="s">
        <v>98</v>
      </c>
      <c r="I130" s="212" t="s">
        <v>90</v>
      </c>
      <c r="J130" s="233" t="s">
        <v>90</v>
      </c>
    </row>
    <row r="131" spans="1:10" ht="15" customHeight="1">
      <c r="A131" s="212" t="s">
        <v>225</v>
      </c>
      <c r="B131" s="212" t="s">
        <v>90</v>
      </c>
      <c r="C131" s="212" t="s">
        <v>90</v>
      </c>
      <c r="D131" s="212" t="s">
        <v>90</v>
      </c>
      <c r="E131" s="212" t="s">
        <v>90</v>
      </c>
      <c r="F131" s="212" t="s">
        <v>90</v>
      </c>
      <c r="G131" s="212" t="s">
        <v>90</v>
      </c>
      <c r="H131" s="212" t="s">
        <v>98</v>
      </c>
      <c r="I131" s="212" t="s">
        <v>90</v>
      </c>
      <c r="J131" s="233" t="s">
        <v>90</v>
      </c>
    </row>
    <row r="132" spans="1:10" ht="15" customHeight="1">
      <c r="A132" s="212" t="s">
        <v>226</v>
      </c>
      <c r="B132" s="212" t="s">
        <v>90</v>
      </c>
      <c r="C132" s="212" t="s">
        <v>90</v>
      </c>
      <c r="D132" s="212" t="s">
        <v>90</v>
      </c>
      <c r="E132" s="212" t="s">
        <v>90</v>
      </c>
      <c r="F132" s="212" t="s">
        <v>90</v>
      </c>
      <c r="G132" s="212" t="s">
        <v>90</v>
      </c>
      <c r="H132" s="212" t="s">
        <v>90</v>
      </c>
      <c r="I132" s="212" t="s">
        <v>90</v>
      </c>
      <c r="J132" s="233" t="s">
        <v>87</v>
      </c>
    </row>
    <row r="133" spans="1:10" ht="15" customHeight="1">
      <c r="A133" s="212" t="s">
        <v>227</v>
      </c>
      <c r="B133" s="212" t="s">
        <v>87</v>
      </c>
      <c r="C133" s="212" t="s">
        <v>88</v>
      </c>
      <c r="D133" s="212" t="s">
        <v>89</v>
      </c>
      <c r="E133" s="212" t="s">
        <v>98</v>
      </c>
      <c r="F133" s="212" t="s">
        <v>90</v>
      </c>
      <c r="G133" s="212" t="s">
        <v>90</v>
      </c>
      <c r="H133" s="212" t="s">
        <v>101</v>
      </c>
      <c r="I133" s="212" t="s">
        <v>102</v>
      </c>
      <c r="J133" s="233" t="s">
        <v>90</v>
      </c>
    </row>
    <row r="134" spans="1:10" ht="15" customHeight="1">
      <c r="A134" s="212" t="s">
        <v>228</v>
      </c>
      <c r="B134" s="212" t="s">
        <v>87</v>
      </c>
      <c r="C134" s="212" t="s">
        <v>88</v>
      </c>
      <c r="D134" s="212" t="s">
        <v>89</v>
      </c>
      <c r="E134" s="212" t="s">
        <v>90</v>
      </c>
      <c r="F134" s="212" t="s">
        <v>90</v>
      </c>
      <c r="G134" s="212" t="s">
        <v>90</v>
      </c>
      <c r="H134" s="212" t="s">
        <v>90</v>
      </c>
      <c r="I134" s="212" t="s">
        <v>90</v>
      </c>
      <c r="J134" s="233" t="s">
        <v>90</v>
      </c>
    </row>
    <row r="135" spans="1:10" ht="15" customHeight="1">
      <c r="A135" s="212" t="s">
        <v>229</v>
      </c>
      <c r="B135" s="215" t="s">
        <v>88</v>
      </c>
      <c r="C135" s="215" t="s">
        <v>105</v>
      </c>
      <c r="D135" s="215" t="s">
        <v>89</v>
      </c>
      <c r="E135" s="215" t="s">
        <v>98</v>
      </c>
      <c r="F135" s="215" t="s">
        <v>90</v>
      </c>
      <c r="G135" s="215" t="s">
        <v>90</v>
      </c>
      <c r="H135" s="215" t="s">
        <v>105</v>
      </c>
      <c r="I135" s="215" t="s">
        <v>101</v>
      </c>
      <c r="J135" s="234" t="s">
        <v>90</v>
      </c>
    </row>
    <row r="136" spans="1:10" ht="15.5">
      <c r="A136" s="212" t="s">
        <v>230</v>
      </c>
      <c r="B136" s="212" t="s">
        <v>87</v>
      </c>
      <c r="C136" s="212" t="s">
        <v>88</v>
      </c>
      <c r="D136" s="212" t="s">
        <v>89</v>
      </c>
      <c r="E136" s="212" t="s">
        <v>90</v>
      </c>
      <c r="F136" s="212" t="s">
        <v>90</v>
      </c>
      <c r="G136" s="212" t="s">
        <v>90</v>
      </c>
      <c r="H136" s="212" t="s">
        <v>90</v>
      </c>
      <c r="I136" s="212" t="s">
        <v>90</v>
      </c>
      <c r="J136" s="233" t="s">
        <v>90</v>
      </c>
    </row>
    <row r="137" spans="1:10" ht="15" customHeight="1">
      <c r="A137" s="212" t="s">
        <v>231</v>
      </c>
      <c r="B137" s="212" t="s">
        <v>90</v>
      </c>
      <c r="C137" s="212" t="s">
        <v>90</v>
      </c>
      <c r="D137" s="212" t="s">
        <v>90</v>
      </c>
      <c r="E137" s="212" t="s">
        <v>90</v>
      </c>
      <c r="F137" s="212" t="s">
        <v>90</v>
      </c>
      <c r="G137" s="212" t="s">
        <v>90</v>
      </c>
      <c r="H137" s="212" t="s">
        <v>90</v>
      </c>
      <c r="I137" s="212" t="s">
        <v>90</v>
      </c>
      <c r="J137" s="233" t="s">
        <v>95</v>
      </c>
    </row>
    <row r="138" spans="1:10" ht="15" customHeight="1">
      <c r="A138" s="212" t="s">
        <v>232</v>
      </c>
      <c r="B138" s="212" t="s">
        <v>90</v>
      </c>
      <c r="C138" s="212" t="s">
        <v>90</v>
      </c>
      <c r="D138" s="212" t="s">
        <v>89</v>
      </c>
      <c r="E138" s="212" t="s">
        <v>88</v>
      </c>
      <c r="F138" s="212" t="s">
        <v>90</v>
      </c>
      <c r="G138" s="212" t="s">
        <v>90</v>
      </c>
      <c r="H138" s="212" t="s">
        <v>90</v>
      </c>
      <c r="I138" s="212" t="s">
        <v>105</v>
      </c>
      <c r="J138" s="233" t="s">
        <v>90</v>
      </c>
    </row>
    <row r="139" spans="1:10" ht="15" customHeight="1">
      <c r="A139" s="212" t="s">
        <v>233</v>
      </c>
      <c r="B139" s="212" t="s">
        <v>87</v>
      </c>
      <c r="C139" s="212" t="s">
        <v>88</v>
      </c>
      <c r="D139" s="212" t="s">
        <v>89</v>
      </c>
      <c r="E139" s="212" t="s">
        <v>90</v>
      </c>
      <c r="F139" s="212" t="s">
        <v>90</v>
      </c>
      <c r="G139" s="212" t="s">
        <v>90</v>
      </c>
      <c r="H139" s="212" t="s">
        <v>90</v>
      </c>
      <c r="I139" s="212" t="s">
        <v>90</v>
      </c>
      <c r="J139" s="233" t="s">
        <v>90</v>
      </c>
    </row>
    <row r="140" spans="1:10" ht="15" customHeight="1">
      <c r="A140" s="212" t="s">
        <v>234</v>
      </c>
      <c r="B140" s="212" t="s">
        <v>87</v>
      </c>
      <c r="C140" s="212" t="s">
        <v>88</v>
      </c>
      <c r="D140" s="212" t="s">
        <v>89</v>
      </c>
      <c r="E140" s="212" t="s">
        <v>98</v>
      </c>
      <c r="F140" s="212" t="s">
        <v>90</v>
      </c>
      <c r="G140" s="212" t="s">
        <v>90</v>
      </c>
      <c r="H140" s="212" t="s">
        <v>102</v>
      </c>
      <c r="I140" s="212" t="s">
        <v>102</v>
      </c>
      <c r="J140" s="233" t="s">
        <v>90</v>
      </c>
    </row>
    <row r="141" spans="1:10" ht="15" customHeight="1">
      <c r="A141" s="212" t="s">
        <v>235</v>
      </c>
      <c r="B141" s="212" t="s">
        <v>90</v>
      </c>
      <c r="C141" s="212" t="s">
        <v>90</v>
      </c>
      <c r="D141" s="212" t="s">
        <v>89</v>
      </c>
      <c r="E141" s="212" t="s">
        <v>90</v>
      </c>
      <c r="F141" s="212" t="s">
        <v>90</v>
      </c>
      <c r="G141" s="212" t="s">
        <v>90</v>
      </c>
      <c r="H141" s="212" t="s">
        <v>90</v>
      </c>
      <c r="I141" s="212" t="s">
        <v>90</v>
      </c>
      <c r="J141" s="233" t="s">
        <v>90</v>
      </c>
    </row>
    <row r="142" spans="1:10" ht="15" customHeight="1">
      <c r="A142" s="212" t="s">
        <v>236</v>
      </c>
      <c r="B142" s="212" t="s">
        <v>90</v>
      </c>
      <c r="C142" s="212" t="s">
        <v>90</v>
      </c>
      <c r="D142" s="212" t="s">
        <v>90</v>
      </c>
      <c r="E142" s="212" t="s">
        <v>90</v>
      </c>
      <c r="F142" s="212" t="s">
        <v>90</v>
      </c>
      <c r="G142" s="212" t="s">
        <v>90</v>
      </c>
      <c r="H142" s="212" t="s">
        <v>90</v>
      </c>
      <c r="I142" s="212" t="s">
        <v>90</v>
      </c>
      <c r="J142" s="233" t="s">
        <v>98</v>
      </c>
    </row>
    <row r="143" spans="1:10" ht="15" customHeight="1">
      <c r="A143" s="212" t="s">
        <v>237</v>
      </c>
      <c r="B143" s="212" t="s">
        <v>90</v>
      </c>
      <c r="C143" s="212" t="s">
        <v>90</v>
      </c>
      <c r="D143" s="212" t="s">
        <v>90</v>
      </c>
      <c r="E143" s="212" t="s">
        <v>90</v>
      </c>
      <c r="F143" s="212" t="s">
        <v>90</v>
      </c>
      <c r="G143" s="212" t="s">
        <v>90</v>
      </c>
      <c r="H143" s="212" t="s">
        <v>90</v>
      </c>
      <c r="I143" s="212" t="s">
        <v>90</v>
      </c>
      <c r="J143" s="233" t="s">
        <v>102</v>
      </c>
    </row>
    <row r="144" spans="1:10" ht="15" customHeight="1">
      <c r="A144" s="212" t="s">
        <v>238</v>
      </c>
      <c r="B144" s="212" t="s">
        <v>90</v>
      </c>
      <c r="C144" s="212" t="s">
        <v>90</v>
      </c>
      <c r="D144" s="212" t="s">
        <v>90</v>
      </c>
      <c r="E144" s="212" t="s">
        <v>90</v>
      </c>
      <c r="F144" s="212" t="s">
        <v>90</v>
      </c>
      <c r="G144" s="212" t="s">
        <v>90</v>
      </c>
      <c r="H144" s="212" t="s">
        <v>90</v>
      </c>
      <c r="I144" s="212" t="s">
        <v>90</v>
      </c>
      <c r="J144" s="233" t="s">
        <v>88</v>
      </c>
    </row>
    <row r="145" spans="1:10" ht="15" customHeight="1">
      <c r="A145" s="212" t="s">
        <v>239</v>
      </c>
      <c r="B145" s="212" t="s">
        <v>87</v>
      </c>
      <c r="C145" s="212" t="s">
        <v>88</v>
      </c>
      <c r="D145" s="212" t="s">
        <v>89</v>
      </c>
      <c r="E145" s="212" t="s">
        <v>90</v>
      </c>
      <c r="F145" s="212" t="s">
        <v>90</v>
      </c>
      <c r="G145" s="212" t="s">
        <v>90</v>
      </c>
      <c r="H145" s="212" t="s">
        <v>90</v>
      </c>
      <c r="I145" s="212" t="s">
        <v>90</v>
      </c>
      <c r="J145" s="233" t="s">
        <v>90</v>
      </c>
    </row>
    <row r="146" spans="1:10" ht="15" customHeight="1">
      <c r="A146" s="212" t="s">
        <v>240</v>
      </c>
      <c r="B146" s="212" t="s">
        <v>87</v>
      </c>
      <c r="C146" s="212" t="s">
        <v>88</v>
      </c>
      <c r="D146" s="212" t="s">
        <v>87</v>
      </c>
      <c r="E146" s="212" t="s">
        <v>88</v>
      </c>
      <c r="F146" s="212" t="s">
        <v>90</v>
      </c>
      <c r="G146" s="212" t="s">
        <v>90</v>
      </c>
      <c r="H146" s="212" t="s">
        <v>102</v>
      </c>
      <c r="I146" s="212" t="s">
        <v>102</v>
      </c>
      <c r="J146" s="233" t="s">
        <v>90</v>
      </c>
    </row>
    <row r="147" spans="1:10" ht="15" customHeight="1">
      <c r="A147" s="212" t="s">
        <v>241</v>
      </c>
      <c r="B147" s="212" t="s">
        <v>87</v>
      </c>
      <c r="C147" s="212" t="s">
        <v>88</v>
      </c>
      <c r="D147" s="212" t="s">
        <v>89</v>
      </c>
      <c r="E147" s="212" t="s">
        <v>98</v>
      </c>
      <c r="F147" s="212" t="s">
        <v>90</v>
      </c>
      <c r="G147" s="212" t="s">
        <v>90</v>
      </c>
      <c r="H147" s="212" t="s">
        <v>90</v>
      </c>
      <c r="I147" s="212" t="s">
        <v>90</v>
      </c>
      <c r="J147" s="233" t="s">
        <v>90</v>
      </c>
    </row>
    <row r="148" spans="1:10" ht="15" customHeight="1">
      <c r="A148" s="212" t="s">
        <v>242</v>
      </c>
      <c r="B148" s="212" t="s">
        <v>87</v>
      </c>
      <c r="C148" s="212" t="s">
        <v>88</v>
      </c>
      <c r="D148" s="212" t="s">
        <v>89</v>
      </c>
      <c r="E148" s="212" t="s">
        <v>98</v>
      </c>
      <c r="F148" s="212" t="s">
        <v>98</v>
      </c>
      <c r="G148" s="212" t="s">
        <v>105</v>
      </c>
      <c r="H148" s="212" t="s">
        <v>101</v>
      </c>
      <c r="I148" s="212" t="s">
        <v>102</v>
      </c>
      <c r="J148" s="233" t="s">
        <v>90</v>
      </c>
    </row>
    <row r="149" spans="1:10" ht="15" customHeight="1">
      <c r="A149" s="212" t="s">
        <v>243</v>
      </c>
      <c r="B149" s="212" t="s">
        <v>87</v>
      </c>
      <c r="C149" s="212" t="s">
        <v>88</v>
      </c>
      <c r="D149" s="212" t="s">
        <v>87</v>
      </c>
      <c r="E149" s="212" t="s">
        <v>90</v>
      </c>
      <c r="F149" s="212" t="s">
        <v>90</v>
      </c>
      <c r="G149" s="212" t="s">
        <v>90</v>
      </c>
      <c r="H149" s="212" t="s">
        <v>90</v>
      </c>
      <c r="I149" s="212" t="s">
        <v>90</v>
      </c>
      <c r="J149" s="233" t="s">
        <v>90</v>
      </c>
    </row>
    <row r="150" spans="1:10" ht="15" customHeight="1">
      <c r="A150" s="212" t="s">
        <v>244</v>
      </c>
      <c r="B150" s="212" t="s">
        <v>87</v>
      </c>
      <c r="C150" s="212" t="s">
        <v>88</v>
      </c>
      <c r="D150" s="212" t="s">
        <v>89</v>
      </c>
      <c r="E150" s="212" t="s">
        <v>90</v>
      </c>
      <c r="F150" s="212" t="s">
        <v>90</v>
      </c>
      <c r="G150" s="212" t="s">
        <v>90</v>
      </c>
      <c r="H150" s="212" t="s">
        <v>90</v>
      </c>
      <c r="I150" s="212" t="s">
        <v>90</v>
      </c>
      <c r="J150" s="233" t="s">
        <v>90</v>
      </c>
    </row>
    <row r="151" spans="1:10" ht="15.5">
      <c r="A151" s="212" t="s">
        <v>245</v>
      </c>
      <c r="B151" s="212" t="s">
        <v>90</v>
      </c>
      <c r="C151" s="212" t="s">
        <v>90</v>
      </c>
      <c r="D151" s="212" t="s">
        <v>87</v>
      </c>
      <c r="E151" s="212" t="s">
        <v>89</v>
      </c>
      <c r="F151" s="212" t="s">
        <v>90</v>
      </c>
      <c r="G151" s="212" t="s">
        <v>90</v>
      </c>
      <c r="H151" s="212" t="s">
        <v>90</v>
      </c>
      <c r="I151" s="212" t="s">
        <v>90</v>
      </c>
      <c r="J151" s="233" t="s">
        <v>88</v>
      </c>
    </row>
    <row r="152" spans="1:10" ht="15" customHeight="1">
      <c r="A152" s="212" t="s">
        <v>246</v>
      </c>
      <c r="B152" s="212" t="s">
        <v>87</v>
      </c>
      <c r="C152" s="212" t="s">
        <v>88</v>
      </c>
      <c r="D152" s="212" t="s">
        <v>89</v>
      </c>
      <c r="E152" s="212" t="s">
        <v>90</v>
      </c>
      <c r="F152" s="212" t="s">
        <v>90</v>
      </c>
      <c r="G152" s="212" t="s">
        <v>90</v>
      </c>
      <c r="H152" s="212" t="s">
        <v>90</v>
      </c>
      <c r="I152" s="212" t="s">
        <v>90</v>
      </c>
      <c r="J152" s="233" t="s">
        <v>90</v>
      </c>
    </row>
    <row r="153" spans="1:10" ht="15" customHeight="1">
      <c r="A153" s="212" t="s">
        <v>247</v>
      </c>
      <c r="B153" s="212" t="s">
        <v>87</v>
      </c>
      <c r="C153" s="212" t="s">
        <v>88</v>
      </c>
      <c r="D153" s="212" t="s">
        <v>89</v>
      </c>
      <c r="E153" s="212" t="s">
        <v>3</v>
      </c>
      <c r="F153" s="212" t="s">
        <v>3</v>
      </c>
      <c r="G153" s="212" t="s">
        <v>3</v>
      </c>
      <c r="H153" s="212" t="s">
        <v>3</v>
      </c>
      <c r="I153" s="212" t="s">
        <v>3</v>
      </c>
      <c r="J153" s="233" t="s">
        <v>90</v>
      </c>
    </row>
    <row r="154" spans="1:10" ht="15" customHeight="1">
      <c r="A154" s="212" t="s">
        <v>248</v>
      </c>
      <c r="B154" s="212" t="s">
        <v>87</v>
      </c>
      <c r="C154" s="212" t="s">
        <v>88</v>
      </c>
      <c r="D154" s="212" t="s">
        <v>87</v>
      </c>
      <c r="E154" s="212" t="s">
        <v>90</v>
      </c>
      <c r="F154" s="212" t="s">
        <v>90</v>
      </c>
      <c r="G154" s="212" t="s">
        <v>90</v>
      </c>
      <c r="H154" s="212" t="s">
        <v>90</v>
      </c>
      <c r="I154" s="212" t="s">
        <v>90</v>
      </c>
      <c r="J154" s="233" t="s">
        <v>90</v>
      </c>
    </row>
    <row r="155" spans="1:10" ht="15.5">
      <c r="A155" s="212" t="s">
        <v>249</v>
      </c>
      <c r="B155" s="212" t="s">
        <v>87</v>
      </c>
      <c r="C155" s="212" t="s">
        <v>88</v>
      </c>
      <c r="D155" s="212" t="s">
        <v>87</v>
      </c>
      <c r="E155" s="212" t="s">
        <v>90</v>
      </c>
      <c r="F155" s="212" t="s">
        <v>90</v>
      </c>
      <c r="G155" s="212" t="s">
        <v>90</v>
      </c>
      <c r="H155" s="212" t="s">
        <v>90</v>
      </c>
      <c r="I155" s="212" t="s">
        <v>90</v>
      </c>
      <c r="J155" s="233" t="s">
        <v>90</v>
      </c>
    </row>
    <row r="156" spans="1:10" ht="15.5">
      <c r="A156" s="212" t="s">
        <v>250</v>
      </c>
      <c r="B156" s="212" t="s">
        <v>87</v>
      </c>
      <c r="C156" s="212" t="s">
        <v>88</v>
      </c>
      <c r="D156" s="212" t="s">
        <v>89</v>
      </c>
      <c r="E156" s="212" t="s">
        <v>90</v>
      </c>
      <c r="F156" s="212" t="s">
        <v>90</v>
      </c>
      <c r="G156" s="212" t="s">
        <v>90</v>
      </c>
      <c r="H156" s="212" t="s">
        <v>90</v>
      </c>
      <c r="I156" s="212" t="s">
        <v>90</v>
      </c>
      <c r="J156" s="233" t="s">
        <v>90</v>
      </c>
    </row>
    <row r="157" spans="1:10" ht="15" customHeight="1">
      <c r="A157" s="212" t="s">
        <v>251</v>
      </c>
      <c r="B157" s="212" t="s">
        <v>87</v>
      </c>
      <c r="C157" s="212" t="s">
        <v>88</v>
      </c>
      <c r="D157" s="212" t="s">
        <v>89</v>
      </c>
      <c r="E157" s="212" t="s">
        <v>88</v>
      </c>
      <c r="F157" s="212" t="s">
        <v>90</v>
      </c>
      <c r="G157" s="212" t="s">
        <v>90</v>
      </c>
      <c r="H157" s="212" t="s">
        <v>98</v>
      </c>
      <c r="I157" s="212" t="s">
        <v>105</v>
      </c>
      <c r="J157" s="233" t="s">
        <v>90</v>
      </c>
    </row>
    <row r="158" spans="1:10" ht="15" customHeight="1">
      <c r="A158" s="212" t="s">
        <v>252</v>
      </c>
      <c r="B158" s="212" t="s">
        <v>90</v>
      </c>
      <c r="C158" s="212" t="s">
        <v>90</v>
      </c>
      <c r="D158" s="212" t="s">
        <v>90</v>
      </c>
      <c r="E158" s="212" t="s">
        <v>90</v>
      </c>
      <c r="F158" s="212" t="s">
        <v>90</v>
      </c>
      <c r="G158" s="212" t="s">
        <v>90</v>
      </c>
      <c r="H158" s="212" t="s">
        <v>90</v>
      </c>
      <c r="I158" s="212" t="s">
        <v>90</v>
      </c>
      <c r="J158" s="233" t="s">
        <v>102</v>
      </c>
    </row>
    <row r="159" spans="1:10" ht="15.5">
      <c r="A159" s="212" t="s">
        <v>253</v>
      </c>
      <c r="B159" s="212" t="s">
        <v>90</v>
      </c>
      <c r="C159" s="212" t="s">
        <v>90</v>
      </c>
      <c r="D159" s="212" t="s">
        <v>88</v>
      </c>
      <c r="E159" s="212" t="s">
        <v>90</v>
      </c>
      <c r="F159" s="212" t="s">
        <v>90</v>
      </c>
      <c r="G159" s="212" t="s">
        <v>90</v>
      </c>
      <c r="H159" s="212" t="s">
        <v>90</v>
      </c>
      <c r="I159" s="212" t="s">
        <v>90</v>
      </c>
      <c r="J159" s="233" t="s">
        <v>90</v>
      </c>
    </row>
    <row r="160" spans="1:10" ht="15" customHeight="1">
      <c r="A160" s="212" t="s">
        <v>254</v>
      </c>
      <c r="B160" s="212" t="s">
        <v>87</v>
      </c>
      <c r="C160" s="212" t="s">
        <v>88</v>
      </c>
      <c r="D160" s="212" t="s">
        <v>89</v>
      </c>
      <c r="E160" s="212" t="s">
        <v>88</v>
      </c>
      <c r="F160" s="212" t="s">
        <v>88</v>
      </c>
      <c r="G160" s="212" t="s">
        <v>98</v>
      </c>
      <c r="H160" s="212" t="s">
        <v>105</v>
      </c>
      <c r="I160" s="212" t="s">
        <v>102</v>
      </c>
      <c r="J160" s="233" t="s">
        <v>90</v>
      </c>
    </row>
    <row r="161" spans="1:10" ht="15.5">
      <c r="A161" s="212" t="s">
        <v>255</v>
      </c>
      <c r="B161" s="212" t="s">
        <v>87</v>
      </c>
      <c r="C161" s="212" t="s">
        <v>88</v>
      </c>
      <c r="D161" s="212" t="s">
        <v>88</v>
      </c>
      <c r="E161" s="212" t="s">
        <v>90</v>
      </c>
      <c r="F161" s="212" t="s">
        <v>90</v>
      </c>
      <c r="G161" s="212" t="s">
        <v>90</v>
      </c>
      <c r="H161" s="212" t="s">
        <v>90</v>
      </c>
      <c r="I161" s="212" t="s">
        <v>90</v>
      </c>
      <c r="J161" s="233" t="s">
        <v>90</v>
      </c>
    </row>
    <row r="162" spans="1:10" ht="15" customHeight="1">
      <c r="A162" s="212" t="s">
        <v>256</v>
      </c>
      <c r="B162" s="212" t="s">
        <v>87</v>
      </c>
      <c r="C162" s="212" t="s">
        <v>88</v>
      </c>
      <c r="D162" s="212" t="s">
        <v>89</v>
      </c>
      <c r="E162" s="212" t="s">
        <v>90</v>
      </c>
      <c r="F162" s="212" t="s">
        <v>90</v>
      </c>
      <c r="G162" s="212" t="s">
        <v>90</v>
      </c>
      <c r="H162" s="212" t="s">
        <v>90</v>
      </c>
      <c r="I162" s="212" t="s">
        <v>90</v>
      </c>
      <c r="J162" s="233" t="s">
        <v>90</v>
      </c>
    </row>
    <row r="163" spans="1:10" ht="15" customHeight="1">
      <c r="A163" s="212" t="s">
        <v>257</v>
      </c>
      <c r="B163" s="212" t="s">
        <v>87</v>
      </c>
      <c r="C163" s="212" t="s">
        <v>88</v>
      </c>
      <c r="D163" s="212" t="s">
        <v>89</v>
      </c>
      <c r="E163" s="212" t="s">
        <v>90</v>
      </c>
      <c r="F163" s="212" t="s">
        <v>90</v>
      </c>
      <c r="G163" s="212" t="s">
        <v>90</v>
      </c>
      <c r="H163" s="212" t="s">
        <v>90</v>
      </c>
      <c r="I163" s="212" t="s">
        <v>90</v>
      </c>
      <c r="J163" s="233" t="s">
        <v>90</v>
      </c>
    </row>
    <row r="164" spans="1:10" ht="15" customHeight="1">
      <c r="A164" s="212" t="s">
        <v>258</v>
      </c>
      <c r="B164" s="212" t="s">
        <v>90</v>
      </c>
      <c r="C164" s="212" t="s">
        <v>90</v>
      </c>
      <c r="D164" s="212" t="s">
        <v>89</v>
      </c>
      <c r="E164" s="212" t="s">
        <v>90</v>
      </c>
      <c r="F164" s="212" t="s">
        <v>90</v>
      </c>
      <c r="G164" s="212" t="s">
        <v>90</v>
      </c>
      <c r="H164" s="212" t="s">
        <v>90</v>
      </c>
      <c r="I164" s="212" t="s">
        <v>90</v>
      </c>
      <c r="J164" s="233" t="s">
        <v>90</v>
      </c>
    </row>
    <row r="165" spans="1:10" ht="15" customHeight="1">
      <c r="A165" s="212" t="s">
        <v>259</v>
      </c>
      <c r="B165" s="212" t="s">
        <v>90</v>
      </c>
      <c r="C165" s="212" t="s">
        <v>90</v>
      </c>
      <c r="D165" s="212" t="s">
        <v>88</v>
      </c>
      <c r="E165" s="212" t="s">
        <v>90</v>
      </c>
      <c r="F165" s="212" t="s">
        <v>90</v>
      </c>
      <c r="G165" s="212" t="s">
        <v>90</v>
      </c>
      <c r="H165" s="212" t="s">
        <v>90</v>
      </c>
      <c r="I165" s="212" t="s">
        <v>90</v>
      </c>
      <c r="J165" s="233" t="s">
        <v>90</v>
      </c>
    </row>
    <row r="166" spans="1:10" ht="15" customHeight="1">
      <c r="A166" s="212" t="s">
        <v>260</v>
      </c>
      <c r="B166" s="212" t="s">
        <v>90</v>
      </c>
      <c r="C166" s="212" t="s">
        <v>90</v>
      </c>
      <c r="D166" s="212" t="s">
        <v>89</v>
      </c>
      <c r="E166" s="212" t="s">
        <v>90</v>
      </c>
      <c r="F166" s="212" t="s">
        <v>90</v>
      </c>
      <c r="G166" s="212" t="s">
        <v>90</v>
      </c>
      <c r="H166" s="212" t="s">
        <v>90</v>
      </c>
      <c r="I166" s="212" t="s">
        <v>90</v>
      </c>
      <c r="J166" s="233" t="s">
        <v>90</v>
      </c>
    </row>
    <row r="167" spans="1:10" ht="15" customHeight="1">
      <c r="A167" s="212" t="s">
        <v>261</v>
      </c>
      <c r="B167" s="212" t="s">
        <v>87</v>
      </c>
      <c r="C167" s="212" t="s">
        <v>88</v>
      </c>
      <c r="D167" s="212" t="s">
        <v>88</v>
      </c>
      <c r="E167" s="212" t="s">
        <v>90</v>
      </c>
      <c r="F167" s="212" t="s">
        <v>90</v>
      </c>
      <c r="G167" s="212" t="s">
        <v>90</v>
      </c>
      <c r="H167" s="212" t="s">
        <v>90</v>
      </c>
      <c r="I167" s="212" t="s">
        <v>90</v>
      </c>
      <c r="J167" s="233" t="s">
        <v>90</v>
      </c>
    </row>
    <row r="168" spans="1:10" ht="15" customHeight="1">
      <c r="A168" s="212" t="s">
        <v>262</v>
      </c>
      <c r="B168" s="212" t="s">
        <v>98</v>
      </c>
      <c r="C168" s="212" t="s">
        <v>98</v>
      </c>
      <c r="D168" s="212" t="s">
        <v>89</v>
      </c>
      <c r="E168" s="212" t="s">
        <v>90</v>
      </c>
      <c r="F168" s="212" t="s">
        <v>90</v>
      </c>
      <c r="G168" s="212" t="s">
        <v>90</v>
      </c>
      <c r="H168" s="212" t="s">
        <v>90</v>
      </c>
      <c r="I168" s="212" t="s">
        <v>90</v>
      </c>
      <c r="J168" s="233" t="s">
        <v>90</v>
      </c>
    </row>
    <row r="169" spans="1:10" ht="15" customHeight="1">
      <c r="A169" s="212" t="s">
        <v>263</v>
      </c>
      <c r="B169" s="212" t="s">
        <v>87</v>
      </c>
      <c r="C169" s="212" t="s">
        <v>88</v>
      </c>
      <c r="D169" s="212" t="s">
        <v>89</v>
      </c>
      <c r="E169" s="212" t="s">
        <v>88</v>
      </c>
      <c r="F169" s="212" t="s">
        <v>90</v>
      </c>
      <c r="G169" s="212" t="s">
        <v>90</v>
      </c>
      <c r="H169" s="212" t="s">
        <v>98</v>
      </c>
      <c r="I169" s="212" t="s">
        <v>105</v>
      </c>
      <c r="J169" s="233" t="s">
        <v>90</v>
      </c>
    </row>
    <row r="170" spans="1:10" ht="15" customHeight="1">
      <c r="A170" s="212" t="s">
        <v>264</v>
      </c>
      <c r="B170" s="212" t="s">
        <v>87</v>
      </c>
      <c r="C170" s="212" t="s">
        <v>88</v>
      </c>
      <c r="D170" s="212" t="s">
        <v>87</v>
      </c>
      <c r="E170" s="212" t="s">
        <v>90</v>
      </c>
      <c r="F170" s="212" t="s">
        <v>90</v>
      </c>
      <c r="G170" s="212" t="s">
        <v>90</v>
      </c>
      <c r="H170" s="212" t="s">
        <v>90</v>
      </c>
      <c r="I170" s="212" t="s">
        <v>90</v>
      </c>
      <c r="J170" s="233" t="s">
        <v>90</v>
      </c>
    </row>
    <row r="171" spans="1:10" ht="15" customHeight="1">
      <c r="A171" s="212" t="s">
        <v>265</v>
      </c>
      <c r="B171" s="212" t="s">
        <v>87</v>
      </c>
      <c r="C171" s="212" t="s">
        <v>88</v>
      </c>
      <c r="D171" s="212" t="s">
        <v>87</v>
      </c>
      <c r="E171" s="212" t="s">
        <v>90</v>
      </c>
      <c r="F171" s="212" t="s">
        <v>90</v>
      </c>
      <c r="G171" s="212" t="s">
        <v>90</v>
      </c>
      <c r="H171" s="212" t="s">
        <v>90</v>
      </c>
      <c r="I171" s="212" t="s">
        <v>90</v>
      </c>
      <c r="J171" s="233" t="s">
        <v>90</v>
      </c>
    </row>
    <row r="172" spans="1:10" ht="15" customHeight="1">
      <c r="A172" s="212" t="s">
        <v>266</v>
      </c>
      <c r="B172" s="212" t="s">
        <v>87</v>
      </c>
      <c r="C172" s="212" t="s">
        <v>88</v>
      </c>
      <c r="D172" s="212" t="s">
        <v>89</v>
      </c>
      <c r="E172" s="212" t="s">
        <v>88</v>
      </c>
      <c r="F172" s="212" t="s">
        <v>98</v>
      </c>
      <c r="G172" s="212" t="s">
        <v>105</v>
      </c>
      <c r="H172" s="212" t="s">
        <v>101</v>
      </c>
      <c r="I172" s="212" t="s">
        <v>102</v>
      </c>
      <c r="J172" s="233" t="s">
        <v>90</v>
      </c>
    </row>
    <row r="173" spans="1:10" ht="15" customHeight="1">
      <c r="A173" s="212" t="s">
        <v>267</v>
      </c>
      <c r="B173" s="212" t="s">
        <v>90</v>
      </c>
      <c r="C173" s="212" t="s">
        <v>90</v>
      </c>
      <c r="D173" s="212" t="s">
        <v>88</v>
      </c>
      <c r="E173" s="212" t="s">
        <v>90</v>
      </c>
      <c r="F173" s="212" t="s">
        <v>90</v>
      </c>
      <c r="G173" s="212" t="s">
        <v>90</v>
      </c>
      <c r="H173" s="212" t="s">
        <v>90</v>
      </c>
      <c r="I173" s="212" t="s">
        <v>90</v>
      </c>
      <c r="J173" s="233" t="s">
        <v>90</v>
      </c>
    </row>
    <row r="174" spans="1:10" ht="15" customHeight="1">
      <c r="A174" s="212" t="s">
        <v>268</v>
      </c>
      <c r="B174" s="212" t="s">
        <v>90</v>
      </c>
      <c r="C174" s="212" t="s">
        <v>88</v>
      </c>
      <c r="D174" s="212" t="s">
        <v>90</v>
      </c>
      <c r="E174" s="212" t="s">
        <v>105</v>
      </c>
      <c r="F174" s="212" t="s">
        <v>102</v>
      </c>
      <c r="G174" s="212" t="s">
        <v>102</v>
      </c>
      <c r="H174" s="212" t="s">
        <v>102</v>
      </c>
      <c r="I174" s="212" t="s">
        <v>102</v>
      </c>
      <c r="J174" s="233" t="s">
        <v>90</v>
      </c>
    </row>
    <row r="175" spans="1:10" ht="15" customHeight="1">
      <c r="A175" s="212" t="s">
        <v>269</v>
      </c>
      <c r="B175" s="212" t="s">
        <v>90</v>
      </c>
      <c r="C175" s="212" t="s">
        <v>88</v>
      </c>
      <c r="D175" s="212" t="s">
        <v>90</v>
      </c>
      <c r="E175" s="212" t="s">
        <v>98</v>
      </c>
      <c r="F175" s="212" t="s">
        <v>102</v>
      </c>
      <c r="G175" s="212" t="s">
        <v>102</v>
      </c>
      <c r="H175" s="212" t="s">
        <v>102</v>
      </c>
      <c r="I175" s="212" t="s">
        <v>102</v>
      </c>
      <c r="J175" s="233" t="s">
        <v>90</v>
      </c>
    </row>
    <row r="176" spans="1:10" ht="15" customHeight="1">
      <c r="A176" s="212" t="s">
        <v>270</v>
      </c>
      <c r="B176" s="212" t="s">
        <v>87</v>
      </c>
      <c r="C176" s="212" t="s">
        <v>88</v>
      </c>
      <c r="D176" s="212" t="s">
        <v>89</v>
      </c>
      <c r="E176" s="212" t="s">
        <v>90</v>
      </c>
      <c r="F176" s="212" t="s">
        <v>90</v>
      </c>
      <c r="G176" s="212" t="s">
        <v>90</v>
      </c>
      <c r="H176" s="212" t="s">
        <v>90</v>
      </c>
      <c r="I176" s="212" t="s">
        <v>90</v>
      </c>
      <c r="J176" s="233" t="s">
        <v>90</v>
      </c>
    </row>
    <row r="177" spans="1:10" ht="15" customHeight="1">
      <c r="A177" s="212" t="s">
        <v>271</v>
      </c>
      <c r="B177" s="212" t="s">
        <v>90</v>
      </c>
      <c r="C177" s="212" t="s">
        <v>90</v>
      </c>
      <c r="D177" s="212" t="s">
        <v>90</v>
      </c>
      <c r="E177" s="212" t="s">
        <v>90</v>
      </c>
      <c r="F177" s="212" t="s">
        <v>90</v>
      </c>
      <c r="G177" s="212" t="s">
        <v>90</v>
      </c>
      <c r="H177" s="212" t="s">
        <v>90</v>
      </c>
      <c r="I177" s="212" t="s">
        <v>90</v>
      </c>
      <c r="J177" s="233" t="s">
        <v>102</v>
      </c>
    </row>
    <row r="178" spans="1:10" ht="15" customHeight="1">
      <c r="A178" s="212" t="s">
        <v>272</v>
      </c>
      <c r="B178" s="212" t="s">
        <v>87</v>
      </c>
      <c r="C178" s="212" t="s">
        <v>88</v>
      </c>
      <c r="D178" s="212" t="s">
        <v>89</v>
      </c>
      <c r="E178" s="212" t="s">
        <v>98</v>
      </c>
      <c r="F178" s="212" t="s">
        <v>90</v>
      </c>
      <c r="G178" s="212" t="s">
        <v>105</v>
      </c>
      <c r="H178" s="212" t="s">
        <v>101</v>
      </c>
      <c r="I178" s="212" t="s">
        <v>102</v>
      </c>
      <c r="J178" s="233" t="s">
        <v>90</v>
      </c>
    </row>
    <row r="179" spans="1:10" ht="15" customHeight="1">
      <c r="A179" s="212" t="s">
        <v>273</v>
      </c>
      <c r="B179" s="212" t="s">
        <v>90</v>
      </c>
      <c r="C179" s="212" t="s">
        <v>90</v>
      </c>
      <c r="D179" s="212" t="s">
        <v>90</v>
      </c>
      <c r="E179" s="212" t="s">
        <v>90</v>
      </c>
      <c r="F179" s="212" t="s">
        <v>90</v>
      </c>
      <c r="G179" s="212" t="s">
        <v>90</v>
      </c>
      <c r="H179" s="212" t="s">
        <v>90</v>
      </c>
      <c r="I179" s="212" t="s">
        <v>90</v>
      </c>
      <c r="J179" s="233" t="s">
        <v>90</v>
      </c>
    </row>
    <row r="180" spans="1:10" ht="15" customHeight="1">
      <c r="A180" s="212" t="s">
        <v>274</v>
      </c>
      <c r="B180" s="212" t="s">
        <v>87</v>
      </c>
      <c r="C180" s="212" t="s">
        <v>88</v>
      </c>
      <c r="D180" s="212" t="s">
        <v>87</v>
      </c>
      <c r="E180" s="212" t="s">
        <v>90</v>
      </c>
      <c r="F180" s="212" t="s">
        <v>90</v>
      </c>
      <c r="G180" s="212" t="s">
        <v>90</v>
      </c>
      <c r="H180" s="212" t="s">
        <v>90</v>
      </c>
      <c r="I180" s="212" t="s">
        <v>90</v>
      </c>
      <c r="J180" s="233" t="s">
        <v>90</v>
      </c>
    </row>
    <row r="181" spans="1:10" ht="15" customHeight="1">
      <c r="A181" s="212" t="s">
        <v>275</v>
      </c>
      <c r="B181" s="212" t="s">
        <v>87</v>
      </c>
      <c r="C181" s="212" t="s">
        <v>88</v>
      </c>
      <c r="D181" s="212" t="s">
        <v>89</v>
      </c>
      <c r="E181" s="212" t="s">
        <v>98</v>
      </c>
      <c r="F181" s="212" t="s">
        <v>90</v>
      </c>
      <c r="G181" s="212" t="s">
        <v>90</v>
      </c>
      <c r="H181" s="212" t="s">
        <v>105</v>
      </c>
      <c r="I181" s="212" t="s">
        <v>90</v>
      </c>
      <c r="J181" s="233" t="s">
        <v>90</v>
      </c>
    </row>
    <row r="182" spans="1:10" ht="15" customHeight="1">
      <c r="A182" s="212" t="s">
        <v>276</v>
      </c>
      <c r="B182" s="212" t="s">
        <v>87</v>
      </c>
      <c r="C182" s="212" t="s">
        <v>88</v>
      </c>
      <c r="D182" s="212" t="s">
        <v>89</v>
      </c>
      <c r="E182" s="212" t="s">
        <v>87</v>
      </c>
      <c r="F182" s="212" t="s">
        <v>87</v>
      </c>
      <c r="G182" s="212" t="s">
        <v>88</v>
      </c>
      <c r="H182" s="212" t="s">
        <v>98</v>
      </c>
      <c r="I182" s="212" t="s">
        <v>105</v>
      </c>
      <c r="J182" s="233" t="s">
        <v>90</v>
      </c>
    </row>
    <row r="183" spans="1:10" ht="15" customHeight="1">
      <c r="A183" s="212" t="s">
        <v>277</v>
      </c>
      <c r="B183" s="212" t="s">
        <v>87</v>
      </c>
      <c r="C183" s="212" t="s">
        <v>88</v>
      </c>
      <c r="D183" s="212" t="s">
        <v>89</v>
      </c>
      <c r="E183" s="212" t="s">
        <v>98</v>
      </c>
      <c r="F183" s="212" t="s">
        <v>90</v>
      </c>
      <c r="G183" s="212" t="s">
        <v>105</v>
      </c>
      <c r="H183" s="212" t="s">
        <v>101</v>
      </c>
      <c r="I183" s="212" t="s">
        <v>102</v>
      </c>
      <c r="J183" s="233" t="s">
        <v>90</v>
      </c>
    </row>
    <row r="184" spans="1:10" ht="15.5">
      <c r="A184" s="212" t="s">
        <v>278</v>
      </c>
      <c r="B184" s="212" t="s">
        <v>90</v>
      </c>
      <c r="C184" s="212" t="s">
        <v>90</v>
      </c>
      <c r="D184" s="212" t="s">
        <v>90</v>
      </c>
      <c r="E184" s="212" t="s">
        <v>90</v>
      </c>
      <c r="F184" s="212" t="s">
        <v>90</v>
      </c>
      <c r="G184" s="212" t="s">
        <v>90</v>
      </c>
      <c r="H184" s="212" t="s">
        <v>90</v>
      </c>
      <c r="I184" s="212" t="s">
        <v>90</v>
      </c>
      <c r="J184" s="233" t="s">
        <v>105</v>
      </c>
    </row>
    <row r="185" spans="1:10" ht="15" customHeight="1">
      <c r="A185" s="212" t="s">
        <v>279</v>
      </c>
      <c r="B185" s="212" t="s">
        <v>87</v>
      </c>
      <c r="C185" s="212" t="s">
        <v>88</v>
      </c>
      <c r="D185" s="212" t="s">
        <v>89</v>
      </c>
      <c r="E185" s="212" t="s">
        <v>90</v>
      </c>
      <c r="F185" s="212" t="s">
        <v>90</v>
      </c>
      <c r="G185" s="212" t="s">
        <v>90</v>
      </c>
      <c r="H185" s="212" t="s">
        <v>90</v>
      </c>
      <c r="I185" s="212" t="s">
        <v>90</v>
      </c>
      <c r="J185" s="233" t="s">
        <v>90</v>
      </c>
    </row>
    <row r="186" spans="1:10" ht="15" customHeight="1">
      <c r="A186" s="212" t="s">
        <v>280</v>
      </c>
      <c r="B186" s="212" t="s">
        <v>87</v>
      </c>
      <c r="C186" s="212" t="s">
        <v>88</v>
      </c>
      <c r="D186" s="212" t="s">
        <v>89</v>
      </c>
      <c r="E186" s="212" t="s">
        <v>90</v>
      </c>
      <c r="F186" s="212" t="s">
        <v>90</v>
      </c>
      <c r="G186" s="212" t="s">
        <v>90</v>
      </c>
      <c r="H186" s="212" t="s">
        <v>90</v>
      </c>
      <c r="I186" s="212" t="s">
        <v>90</v>
      </c>
      <c r="J186" s="233" t="s">
        <v>90</v>
      </c>
    </row>
    <row r="187" spans="1:10" ht="15" customHeight="1">
      <c r="A187" s="212" t="s">
        <v>281</v>
      </c>
      <c r="B187" s="212" t="s">
        <v>87</v>
      </c>
      <c r="C187" s="212" t="s">
        <v>88</v>
      </c>
      <c r="D187" s="212" t="s">
        <v>89</v>
      </c>
      <c r="E187" s="212" t="s">
        <v>88</v>
      </c>
      <c r="F187" s="212" t="s">
        <v>90</v>
      </c>
      <c r="G187" s="212" t="s">
        <v>88</v>
      </c>
      <c r="H187" s="212" t="s">
        <v>98</v>
      </c>
      <c r="I187" s="212" t="s">
        <v>105</v>
      </c>
      <c r="J187" s="233" t="s">
        <v>90</v>
      </c>
    </row>
    <row r="188" spans="1:10" ht="15" customHeight="1">
      <c r="A188" s="212" t="s">
        <v>282</v>
      </c>
      <c r="B188" s="212" t="s">
        <v>87</v>
      </c>
      <c r="C188" s="212" t="s">
        <v>88</v>
      </c>
      <c r="D188" s="212" t="s">
        <v>89</v>
      </c>
      <c r="E188" s="212" t="s">
        <v>88</v>
      </c>
      <c r="F188" s="212" t="s">
        <v>90</v>
      </c>
      <c r="G188" s="212" t="s">
        <v>90</v>
      </c>
      <c r="H188" s="212" t="s">
        <v>90</v>
      </c>
      <c r="I188" s="212" t="s">
        <v>90</v>
      </c>
      <c r="J188" s="233" t="s">
        <v>90</v>
      </c>
    </row>
    <row r="189" spans="1:10" ht="15.5">
      <c r="A189" s="212" t="s">
        <v>283</v>
      </c>
      <c r="B189" s="212" t="s">
        <v>87</v>
      </c>
      <c r="C189" s="212" t="s">
        <v>88</v>
      </c>
      <c r="D189" s="212" t="s">
        <v>87</v>
      </c>
      <c r="E189" s="212" t="s">
        <v>88</v>
      </c>
      <c r="F189" s="212" t="s">
        <v>90</v>
      </c>
      <c r="G189" s="212" t="s">
        <v>90</v>
      </c>
      <c r="H189" s="212" t="s">
        <v>90</v>
      </c>
      <c r="I189" s="212" t="s">
        <v>90</v>
      </c>
      <c r="J189" s="233" t="s">
        <v>90</v>
      </c>
    </row>
    <row r="190" spans="1:10" ht="15" customHeight="1">
      <c r="A190" s="212" t="s">
        <v>284</v>
      </c>
      <c r="B190" s="212" t="s">
        <v>87</v>
      </c>
      <c r="C190" s="212" t="s">
        <v>88</v>
      </c>
      <c r="D190" s="212" t="s">
        <v>88</v>
      </c>
      <c r="E190" s="212" t="s">
        <v>90</v>
      </c>
      <c r="F190" s="212" t="s">
        <v>90</v>
      </c>
      <c r="G190" s="212" t="s">
        <v>90</v>
      </c>
      <c r="H190" s="212" t="s">
        <v>90</v>
      </c>
      <c r="I190" s="212" t="s">
        <v>90</v>
      </c>
      <c r="J190" s="233" t="s">
        <v>90</v>
      </c>
    </row>
    <row r="191" spans="1:10" ht="15" customHeight="1">
      <c r="A191" s="212" t="s">
        <v>285</v>
      </c>
      <c r="B191" s="212" t="s">
        <v>87</v>
      </c>
      <c r="C191" s="212" t="s">
        <v>88</v>
      </c>
      <c r="D191" s="212" t="s">
        <v>98</v>
      </c>
      <c r="E191" s="212" t="s">
        <v>90</v>
      </c>
      <c r="F191" s="212" t="s">
        <v>90</v>
      </c>
      <c r="G191" s="212" t="s">
        <v>90</v>
      </c>
      <c r="H191" s="212" t="s">
        <v>90</v>
      </c>
      <c r="I191" s="212" t="s">
        <v>90</v>
      </c>
      <c r="J191" s="233" t="s">
        <v>90</v>
      </c>
    </row>
    <row r="192" spans="1:10" ht="15" customHeight="1">
      <c r="A192" s="212" t="s">
        <v>286</v>
      </c>
      <c r="B192" s="212" t="s">
        <v>87</v>
      </c>
      <c r="C192" s="212" t="s">
        <v>88</v>
      </c>
      <c r="D192" s="212" t="s">
        <v>89</v>
      </c>
      <c r="E192" s="212" t="s">
        <v>88</v>
      </c>
      <c r="F192" s="212" t="s">
        <v>90</v>
      </c>
      <c r="G192" s="212" t="s">
        <v>88</v>
      </c>
      <c r="H192" s="212" t="s">
        <v>105</v>
      </c>
      <c r="I192" s="212" t="s">
        <v>101</v>
      </c>
      <c r="J192" s="233" t="s">
        <v>90</v>
      </c>
    </row>
    <row r="193" spans="1:10" ht="15" customHeight="1">
      <c r="A193" s="212" t="s">
        <v>287</v>
      </c>
      <c r="B193" s="212" t="s">
        <v>90</v>
      </c>
      <c r="C193" s="212" t="s">
        <v>90</v>
      </c>
      <c r="D193" s="212" t="s">
        <v>90</v>
      </c>
      <c r="E193" s="212" t="s">
        <v>90</v>
      </c>
      <c r="F193" s="212" t="s">
        <v>90</v>
      </c>
      <c r="G193" s="212" t="s">
        <v>90</v>
      </c>
      <c r="H193" s="212" t="s">
        <v>90</v>
      </c>
      <c r="I193" s="212" t="s">
        <v>90</v>
      </c>
      <c r="J193" s="233" t="s">
        <v>101</v>
      </c>
    </row>
    <row r="194" spans="1:10" ht="15" customHeight="1">
      <c r="A194" s="212" t="s">
        <v>288</v>
      </c>
      <c r="B194" s="212" t="s">
        <v>87</v>
      </c>
      <c r="C194" s="212" t="s">
        <v>88</v>
      </c>
      <c r="D194" s="212" t="s">
        <v>89</v>
      </c>
      <c r="E194" s="212" t="s">
        <v>90</v>
      </c>
      <c r="F194" s="212" t="s">
        <v>90</v>
      </c>
      <c r="G194" s="212" t="s">
        <v>90</v>
      </c>
      <c r="H194" s="212" t="s">
        <v>90</v>
      </c>
      <c r="I194" s="212" t="s">
        <v>90</v>
      </c>
      <c r="J194" s="233" t="s">
        <v>90</v>
      </c>
    </row>
    <row r="195" spans="1:10" ht="15" customHeight="1">
      <c r="A195" s="212" t="s">
        <v>289</v>
      </c>
      <c r="B195" s="212" t="s">
        <v>87</v>
      </c>
      <c r="C195" s="212" t="s">
        <v>88</v>
      </c>
      <c r="D195" s="212" t="s">
        <v>98</v>
      </c>
      <c r="E195" s="212" t="s">
        <v>90</v>
      </c>
      <c r="F195" s="212" t="s">
        <v>90</v>
      </c>
      <c r="G195" s="212" t="s">
        <v>90</v>
      </c>
      <c r="H195" s="212" t="s">
        <v>90</v>
      </c>
      <c r="I195" s="212" t="s">
        <v>90</v>
      </c>
      <c r="J195" s="233" t="s">
        <v>90</v>
      </c>
    </row>
    <row r="196" spans="1:10" ht="15" customHeight="1">
      <c r="A196" s="212" t="s">
        <v>290</v>
      </c>
      <c r="B196" s="212" t="s">
        <v>87</v>
      </c>
      <c r="C196" s="212" t="s">
        <v>88</v>
      </c>
      <c r="D196" s="212" t="s">
        <v>89</v>
      </c>
      <c r="E196" s="212" t="s">
        <v>90</v>
      </c>
      <c r="F196" s="212" t="s">
        <v>90</v>
      </c>
      <c r="G196" s="212" t="s">
        <v>90</v>
      </c>
      <c r="H196" s="212" t="s">
        <v>90</v>
      </c>
      <c r="I196" s="212" t="s">
        <v>90</v>
      </c>
      <c r="J196" s="233" t="s">
        <v>90</v>
      </c>
    </row>
    <row r="197" spans="1:10" ht="15" customHeight="1">
      <c r="A197" s="212" t="s">
        <v>291</v>
      </c>
      <c r="B197" s="212" t="s">
        <v>87</v>
      </c>
      <c r="C197" s="212" t="s">
        <v>88</v>
      </c>
      <c r="D197" s="212" t="s">
        <v>89</v>
      </c>
      <c r="E197" s="212" t="s">
        <v>90</v>
      </c>
      <c r="F197" s="212" t="s">
        <v>90</v>
      </c>
      <c r="G197" s="212" t="s">
        <v>90</v>
      </c>
      <c r="H197" s="212" t="s">
        <v>90</v>
      </c>
      <c r="I197" s="212" t="s">
        <v>90</v>
      </c>
      <c r="J197" s="233" t="s">
        <v>90</v>
      </c>
    </row>
    <row r="198" spans="1:10" ht="15" customHeight="1">
      <c r="A198" s="212" t="s">
        <v>292</v>
      </c>
      <c r="B198" s="212" t="s">
        <v>90</v>
      </c>
      <c r="C198" s="212" t="s">
        <v>90</v>
      </c>
      <c r="D198" s="212" t="s">
        <v>90</v>
      </c>
      <c r="E198" s="212" t="s">
        <v>90</v>
      </c>
      <c r="F198" s="212" t="s">
        <v>90</v>
      </c>
      <c r="G198" s="212" t="s">
        <v>90</v>
      </c>
      <c r="H198" s="212" t="s">
        <v>90</v>
      </c>
      <c r="I198" s="212" t="s">
        <v>90</v>
      </c>
      <c r="J198" s="233" t="s">
        <v>102</v>
      </c>
    </row>
    <row r="199" spans="1:10" ht="15" customHeight="1">
      <c r="A199" s="212" t="s">
        <v>293</v>
      </c>
      <c r="B199" s="212" t="s">
        <v>87</v>
      </c>
      <c r="C199" s="212" t="s">
        <v>88</v>
      </c>
      <c r="D199" s="212" t="s">
        <v>89</v>
      </c>
      <c r="E199" s="212" t="s">
        <v>90</v>
      </c>
      <c r="F199" s="212" t="s">
        <v>90</v>
      </c>
      <c r="G199" s="212" t="s">
        <v>90</v>
      </c>
      <c r="H199" s="212" t="s">
        <v>90</v>
      </c>
      <c r="I199" s="212" t="s">
        <v>90</v>
      </c>
      <c r="J199" s="233" t="s">
        <v>90</v>
      </c>
    </row>
    <row r="200" spans="1:10" ht="15" customHeight="1">
      <c r="A200" s="212" t="s">
        <v>294</v>
      </c>
      <c r="B200" s="212" t="s">
        <v>87</v>
      </c>
      <c r="C200" s="212" t="s">
        <v>88</v>
      </c>
      <c r="D200" s="212" t="s">
        <v>89</v>
      </c>
      <c r="E200" s="212" t="s">
        <v>98</v>
      </c>
      <c r="F200" s="212" t="s">
        <v>90</v>
      </c>
      <c r="G200" s="212" t="s">
        <v>90</v>
      </c>
      <c r="H200" s="212" t="s">
        <v>105</v>
      </c>
      <c r="I200" s="212" t="s">
        <v>101</v>
      </c>
      <c r="J200" s="233" t="s">
        <v>90</v>
      </c>
    </row>
    <row r="201" spans="1:10" ht="15" customHeight="1">
      <c r="A201" s="212" t="s">
        <v>295</v>
      </c>
      <c r="B201" s="212" t="s">
        <v>90</v>
      </c>
      <c r="C201" s="212" t="s">
        <v>90</v>
      </c>
      <c r="D201" s="212" t="s">
        <v>90</v>
      </c>
      <c r="E201" s="212" t="s">
        <v>90</v>
      </c>
      <c r="F201" s="212" t="s">
        <v>90</v>
      </c>
      <c r="G201" s="212" t="s">
        <v>90</v>
      </c>
      <c r="H201" s="212" t="s">
        <v>90</v>
      </c>
      <c r="I201" s="212" t="s">
        <v>90</v>
      </c>
      <c r="J201" s="233" t="s">
        <v>101</v>
      </c>
    </row>
    <row r="202" spans="1:10" ht="15.5">
      <c r="A202" s="212" t="s">
        <v>296</v>
      </c>
      <c r="B202" s="212" t="s">
        <v>87</v>
      </c>
      <c r="C202" s="212" t="s">
        <v>88</v>
      </c>
      <c r="D202" s="212" t="s">
        <v>89</v>
      </c>
      <c r="E202" s="212" t="s">
        <v>90</v>
      </c>
      <c r="F202" s="212" t="s">
        <v>90</v>
      </c>
      <c r="G202" s="212" t="s">
        <v>88</v>
      </c>
      <c r="H202" s="212" t="s">
        <v>90</v>
      </c>
      <c r="I202" s="212" t="s">
        <v>90</v>
      </c>
      <c r="J202" s="233" t="s">
        <v>90</v>
      </c>
    </row>
    <row r="203" spans="1:10" ht="15" customHeight="1">
      <c r="A203" s="212" t="s">
        <v>297</v>
      </c>
      <c r="B203" s="212" t="s">
        <v>90</v>
      </c>
      <c r="C203" s="212" t="s">
        <v>90</v>
      </c>
      <c r="D203" s="212" t="s">
        <v>90</v>
      </c>
      <c r="E203" s="212" t="s">
        <v>90</v>
      </c>
      <c r="F203" s="212" t="s">
        <v>90</v>
      </c>
      <c r="G203" s="212" t="s">
        <v>90</v>
      </c>
      <c r="H203" s="212" t="s">
        <v>90</v>
      </c>
      <c r="I203" s="212" t="s">
        <v>90</v>
      </c>
      <c r="J203" s="233" t="s">
        <v>88</v>
      </c>
    </row>
    <row r="204" spans="1:10" ht="15" customHeight="1">
      <c r="A204" s="212" t="s">
        <v>298</v>
      </c>
      <c r="B204" s="212" t="s">
        <v>87</v>
      </c>
      <c r="C204" s="212" t="s">
        <v>88</v>
      </c>
      <c r="D204" s="212" t="s">
        <v>90</v>
      </c>
      <c r="E204" s="212" t="s">
        <v>98</v>
      </c>
      <c r="F204" s="212" t="s">
        <v>90</v>
      </c>
      <c r="G204" s="212" t="s">
        <v>101</v>
      </c>
      <c r="H204" s="212" t="s">
        <v>105</v>
      </c>
      <c r="I204" s="212" t="s">
        <v>102</v>
      </c>
      <c r="J204" s="233" t="s">
        <v>90</v>
      </c>
    </row>
    <row r="205" spans="1:10" ht="15" customHeight="1">
      <c r="A205" s="212" t="s">
        <v>299</v>
      </c>
      <c r="B205" s="212" t="s">
        <v>90</v>
      </c>
      <c r="C205" s="212" t="s">
        <v>90</v>
      </c>
      <c r="D205" s="212" t="s">
        <v>90</v>
      </c>
      <c r="E205" s="212" t="s">
        <v>90</v>
      </c>
      <c r="F205" s="212" t="s">
        <v>90</v>
      </c>
      <c r="G205" s="212" t="s">
        <v>90</v>
      </c>
      <c r="H205" s="212" t="s">
        <v>90</v>
      </c>
      <c r="I205" s="212" t="s">
        <v>90</v>
      </c>
      <c r="J205" s="233" t="s">
        <v>90</v>
      </c>
    </row>
    <row r="206" spans="1:10" ht="15" customHeight="1">
      <c r="A206" s="212" t="s">
        <v>300</v>
      </c>
      <c r="B206" s="212" t="s">
        <v>90</v>
      </c>
      <c r="C206" s="212" t="s">
        <v>88</v>
      </c>
      <c r="D206" s="212" t="s">
        <v>90</v>
      </c>
      <c r="E206" s="212" t="s">
        <v>88</v>
      </c>
      <c r="F206" s="212" t="s">
        <v>90</v>
      </c>
      <c r="G206" s="212" t="s">
        <v>90</v>
      </c>
      <c r="H206" s="212" t="s">
        <v>90</v>
      </c>
      <c r="I206" s="212" t="s">
        <v>90</v>
      </c>
      <c r="J206" s="233" t="s">
        <v>90</v>
      </c>
    </row>
    <row r="207" spans="1:10" ht="15" customHeight="1">
      <c r="A207" s="212" t="s">
        <v>301</v>
      </c>
      <c r="B207" s="212" t="s">
        <v>87</v>
      </c>
      <c r="C207" s="212" t="s">
        <v>88</v>
      </c>
      <c r="D207" s="212" t="s">
        <v>89</v>
      </c>
      <c r="E207" s="212" t="s">
        <v>88</v>
      </c>
      <c r="F207" s="212" t="s">
        <v>90</v>
      </c>
      <c r="G207" s="212" t="s">
        <v>90</v>
      </c>
      <c r="H207" s="212" t="s">
        <v>105</v>
      </c>
      <c r="I207" s="212" t="s">
        <v>101</v>
      </c>
      <c r="J207" s="233" t="s">
        <v>90</v>
      </c>
    </row>
    <row r="208" spans="1:10" ht="15" customHeight="1">
      <c r="A208" s="212" t="s">
        <v>302</v>
      </c>
      <c r="B208" s="212" t="s">
        <v>87</v>
      </c>
      <c r="C208" s="212" t="s">
        <v>88</v>
      </c>
      <c r="D208" s="212" t="s">
        <v>89</v>
      </c>
      <c r="E208" s="212" t="s">
        <v>88</v>
      </c>
      <c r="F208" s="212" t="s">
        <v>90</v>
      </c>
      <c r="G208" s="212" t="s">
        <v>90</v>
      </c>
      <c r="H208" s="212" t="s">
        <v>105</v>
      </c>
      <c r="I208" s="212" t="s">
        <v>101</v>
      </c>
      <c r="J208" s="233" t="s">
        <v>90</v>
      </c>
    </row>
    <row r="209" spans="1:10" ht="15" customHeight="1">
      <c r="A209" s="212" t="s">
        <v>303</v>
      </c>
      <c r="B209" s="212" t="s">
        <v>90</v>
      </c>
      <c r="C209" s="212" t="s">
        <v>90</v>
      </c>
      <c r="D209" s="212" t="s">
        <v>89</v>
      </c>
      <c r="E209" s="212" t="s">
        <v>88</v>
      </c>
      <c r="F209" s="212" t="s">
        <v>87</v>
      </c>
      <c r="G209" s="212" t="s">
        <v>98</v>
      </c>
      <c r="H209" s="212" t="s">
        <v>90</v>
      </c>
      <c r="I209" s="212" t="s">
        <v>90</v>
      </c>
      <c r="J209" s="233" t="s">
        <v>90</v>
      </c>
    </row>
    <row r="210" spans="1:10" ht="15" customHeight="1">
      <c r="A210" s="212" t="s">
        <v>304</v>
      </c>
      <c r="B210" s="212" t="s">
        <v>87</v>
      </c>
      <c r="C210" s="212" t="s">
        <v>88</v>
      </c>
      <c r="D210" s="212" t="s">
        <v>89</v>
      </c>
      <c r="E210" s="212" t="s">
        <v>88</v>
      </c>
      <c r="F210" s="212" t="s">
        <v>98</v>
      </c>
      <c r="G210" s="212" t="s">
        <v>90</v>
      </c>
      <c r="H210" s="212" t="s">
        <v>98</v>
      </c>
      <c r="I210" s="212" t="s">
        <v>90</v>
      </c>
      <c r="J210" s="233" t="s">
        <v>90</v>
      </c>
    </row>
    <row r="211" spans="1:10" ht="15" customHeight="1">
      <c r="A211" s="212" t="s">
        <v>305</v>
      </c>
      <c r="B211" s="212" t="s">
        <v>87</v>
      </c>
      <c r="C211" s="212" t="s">
        <v>88</v>
      </c>
      <c r="D211" s="212" t="s">
        <v>89</v>
      </c>
      <c r="E211" s="212" t="s">
        <v>88</v>
      </c>
      <c r="F211" s="212" t="s">
        <v>102</v>
      </c>
      <c r="G211" s="212" t="s">
        <v>102</v>
      </c>
      <c r="H211" s="212" t="s">
        <v>101</v>
      </c>
      <c r="I211" s="212" t="s">
        <v>102</v>
      </c>
      <c r="J211" s="233" t="s">
        <v>90</v>
      </c>
    </row>
    <row r="212" spans="1:10" ht="15" customHeight="1">
      <c r="A212" s="212" t="s">
        <v>306</v>
      </c>
      <c r="B212" s="212" t="s">
        <v>87</v>
      </c>
      <c r="C212" s="212" t="s">
        <v>88</v>
      </c>
      <c r="D212" s="212" t="s">
        <v>89</v>
      </c>
      <c r="E212" s="212" t="s">
        <v>88</v>
      </c>
      <c r="F212" s="212" t="s">
        <v>102</v>
      </c>
      <c r="G212" s="212" t="s">
        <v>102</v>
      </c>
      <c r="H212" s="212" t="s">
        <v>101</v>
      </c>
      <c r="I212" s="212" t="s">
        <v>102</v>
      </c>
      <c r="J212" s="233" t="s">
        <v>90</v>
      </c>
    </row>
    <row r="213" spans="1:10" ht="15" customHeight="1">
      <c r="A213" s="212" t="s">
        <v>307</v>
      </c>
      <c r="B213" s="212" t="s">
        <v>87</v>
      </c>
      <c r="C213" s="212" t="s">
        <v>88</v>
      </c>
      <c r="D213" s="212" t="s">
        <v>89</v>
      </c>
      <c r="E213" s="212" t="s">
        <v>88</v>
      </c>
      <c r="F213" s="212" t="s">
        <v>88</v>
      </c>
      <c r="G213" s="212" t="s">
        <v>98</v>
      </c>
      <c r="H213" s="212" t="s">
        <v>101</v>
      </c>
      <c r="I213" s="212" t="s">
        <v>102</v>
      </c>
      <c r="J213" s="233" t="s">
        <v>90</v>
      </c>
    </row>
    <row r="214" spans="1:10" ht="15" customHeight="1">
      <c r="A214" s="212" t="s">
        <v>308</v>
      </c>
      <c r="B214" s="212" t="s">
        <v>90</v>
      </c>
      <c r="C214" s="212" t="s">
        <v>88</v>
      </c>
      <c r="D214" s="212" t="s">
        <v>89</v>
      </c>
      <c r="E214" s="212" t="s">
        <v>90</v>
      </c>
      <c r="F214" s="212" t="s">
        <v>90</v>
      </c>
      <c r="G214" s="212" t="s">
        <v>90</v>
      </c>
      <c r="H214" s="212" t="s">
        <v>90</v>
      </c>
      <c r="I214" s="212" t="s">
        <v>90</v>
      </c>
      <c r="J214" s="233" t="s">
        <v>90</v>
      </c>
    </row>
    <row r="215" spans="1:10" ht="15" customHeight="1">
      <c r="A215" s="212" t="s">
        <v>309</v>
      </c>
      <c r="B215" s="212" t="s">
        <v>90</v>
      </c>
      <c r="C215" s="212" t="s">
        <v>90</v>
      </c>
      <c r="D215" s="212" t="s">
        <v>90</v>
      </c>
      <c r="E215" s="212" t="s">
        <v>90</v>
      </c>
      <c r="F215" s="212" t="s">
        <v>90</v>
      </c>
      <c r="G215" s="212" t="s">
        <v>90</v>
      </c>
      <c r="H215" s="212" t="s">
        <v>90</v>
      </c>
      <c r="I215" s="212" t="s">
        <v>90</v>
      </c>
      <c r="J215" s="233" t="s">
        <v>88</v>
      </c>
    </row>
    <row r="216" spans="1:10" ht="15" customHeight="1">
      <c r="A216" s="212" t="s">
        <v>310</v>
      </c>
      <c r="B216" s="212" t="s">
        <v>87</v>
      </c>
      <c r="C216" s="212" t="s">
        <v>88</v>
      </c>
      <c r="D216" s="212" t="s">
        <v>89</v>
      </c>
      <c r="E216" s="212" t="s">
        <v>88</v>
      </c>
      <c r="F216" s="212" t="s">
        <v>90</v>
      </c>
      <c r="G216" s="212" t="s">
        <v>90</v>
      </c>
      <c r="H216" s="212" t="s">
        <v>105</v>
      </c>
      <c r="I216" s="212" t="s">
        <v>90</v>
      </c>
      <c r="J216" s="233" t="s">
        <v>90</v>
      </c>
    </row>
    <row r="217" spans="1:10" ht="15" customHeight="1">
      <c r="A217" s="212" t="s">
        <v>311</v>
      </c>
      <c r="B217" s="212" t="s">
        <v>90</v>
      </c>
      <c r="C217" s="212" t="s">
        <v>90</v>
      </c>
      <c r="D217" s="212" t="s">
        <v>88</v>
      </c>
      <c r="E217" s="212" t="s">
        <v>90</v>
      </c>
      <c r="F217" s="212" t="s">
        <v>90</v>
      </c>
      <c r="G217" s="212" t="s">
        <v>90</v>
      </c>
      <c r="H217" s="212" t="s">
        <v>90</v>
      </c>
      <c r="I217" s="212" t="s">
        <v>90</v>
      </c>
      <c r="J217" s="233" t="s">
        <v>90</v>
      </c>
    </row>
    <row r="218" spans="1:10" ht="15" customHeight="1">
      <c r="A218" s="212" t="s">
        <v>312</v>
      </c>
      <c r="B218" s="212" t="s">
        <v>87</v>
      </c>
      <c r="C218" s="212" t="s">
        <v>88</v>
      </c>
      <c r="D218" s="212" t="s">
        <v>89</v>
      </c>
      <c r="E218" s="212" t="s">
        <v>90</v>
      </c>
      <c r="F218" s="212" t="s">
        <v>90</v>
      </c>
      <c r="G218" s="212" t="s">
        <v>90</v>
      </c>
      <c r="H218" s="212" t="s">
        <v>90</v>
      </c>
      <c r="I218" s="212" t="s">
        <v>90</v>
      </c>
      <c r="J218" s="233" t="s">
        <v>88</v>
      </c>
    </row>
    <row r="219" spans="1:10" ht="15.5">
      <c r="A219" s="212" t="s">
        <v>313</v>
      </c>
      <c r="B219" s="212" t="s">
        <v>90</v>
      </c>
      <c r="C219" s="212" t="s">
        <v>90</v>
      </c>
      <c r="D219" s="212" t="s">
        <v>90</v>
      </c>
      <c r="E219" s="212" t="s">
        <v>90</v>
      </c>
      <c r="F219" s="212" t="s">
        <v>90</v>
      </c>
      <c r="G219" s="212" t="s">
        <v>90</v>
      </c>
      <c r="H219" s="212" t="s">
        <v>90</v>
      </c>
      <c r="I219" s="212" t="s">
        <v>90</v>
      </c>
      <c r="J219" s="233" t="s">
        <v>125</v>
      </c>
    </row>
    <row r="220" spans="1:10" ht="15" customHeight="1">
      <c r="A220" s="212" t="s">
        <v>314</v>
      </c>
      <c r="B220" s="212" t="s">
        <v>87</v>
      </c>
      <c r="C220" s="212" t="s">
        <v>88</v>
      </c>
      <c r="D220" s="212" t="s">
        <v>89</v>
      </c>
      <c r="E220" s="212" t="s">
        <v>98</v>
      </c>
      <c r="F220" s="212" t="s">
        <v>90</v>
      </c>
      <c r="G220" s="212" t="s">
        <v>90</v>
      </c>
      <c r="H220" s="212" t="s">
        <v>101</v>
      </c>
      <c r="I220" s="212" t="s">
        <v>102</v>
      </c>
      <c r="J220" s="233" t="s">
        <v>90</v>
      </c>
    </row>
    <row r="221" spans="1:10" ht="15" customHeight="1">
      <c r="A221" s="212" t="s">
        <v>315</v>
      </c>
      <c r="B221" s="212" t="s">
        <v>90</v>
      </c>
      <c r="C221" s="212" t="s">
        <v>90</v>
      </c>
      <c r="D221" s="212" t="s">
        <v>90</v>
      </c>
      <c r="E221" s="212" t="s">
        <v>90</v>
      </c>
      <c r="F221" s="212" t="s">
        <v>90</v>
      </c>
      <c r="G221" s="212" t="s">
        <v>90</v>
      </c>
      <c r="H221" s="212" t="s">
        <v>90</v>
      </c>
      <c r="I221" s="212" t="s">
        <v>90</v>
      </c>
      <c r="J221" s="233" t="s">
        <v>125</v>
      </c>
    </row>
    <row r="222" spans="1:10" ht="15" customHeight="1">
      <c r="A222" s="212" t="s">
        <v>316</v>
      </c>
      <c r="B222" s="212" t="s">
        <v>87</v>
      </c>
      <c r="C222" s="212" t="s">
        <v>88</v>
      </c>
      <c r="D222" s="212" t="s">
        <v>89</v>
      </c>
      <c r="E222" s="212" t="s">
        <v>98</v>
      </c>
      <c r="F222" s="212" t="s">
        <v>90</v>
      </c>
      <c r="G222" s="212" t="s">
        <v>90</v>
      </c>
      <c r="H222" s="212" t="s">
        <v>101</v>
      </c>
      <c r="I222" s="212" t="s">
        <v>102</v>
      </c>
      <c r="J222" s="233" t="s">
        <v>90</v>
      </c>
    </row>
    <row r="223" spans="1:10" ht="15" customHeight="1">
      <c r="A223" s="212" t="s">
        <v>317</v>
      </c>
      <c r="B223" s="212" t="s">
        <v>87</v>
      </c>
      <c r="C223" s="212" t="s">
        <v>88</v>
      </c>
      <c r="D223" s="212" t="s">
        <v>89</v>
      </c>
      <c r="E223" s="212" t="s">
        <v>90</v>
      </c>
      <c r="F223" s="212" t="s">
        <v>90</v>
      </c>
      <c r="G223" s="212" t="s">
        <v>90</v>
      </c>
      <c r="H223" s="212" t="s">
        <v>90</v>
      </c>
      <c r="I223" s="212" t="s">
        <v>90</v>
      </c>
      <c r="J223" s="233" t="s">
        <v>90</v>
      </c>
    </row>
    <row r="224" spans="1:10" ht="15" customHeight="1">
      <c r="A224" s="212" t="s">
        <v>318</v>
      </c>
      <c r="B224" s="212" t="s">
        <v>90</v>
      </c>
      <c r="C224" s="212" t="s">
        <v>90</v>
      </c>
      <c r="D224" s="212" t="s">
        <v>90</v>
      </c>
      <c r="E224" s="212" t="s">
        <v>90</v>
      </c>
      <c r="F224" s="212" t="s">
        <v>90</v>
      </c>
      <c r="G224" s="212" t="s">
        <v>90</v>
      </c>
      <c r="H224" s="212" t="s">
        <v>90</v>
      </c>
      <c r="I224" s="212" t="s">
        <v>90</v>
      </c>
      <c r="J224" s="233" t="s">
        <v>105</v>
      </c>
    </row>
    <row r="225" spans="1:10" ht="15" customHeight="1">
      <c r="A225" s="212" t="s">
        <v>319</v>
      </c>
      <c r="B225" s="212" t="s">
        <v>90</v>
      </c>
      <c r="C225" s="212" t="s">
        <v>90</v>
      </c>
      <c r="D225" s="212" t="s">
        <v>98</v>
      </c>
      <c r="E225" s="212" t="s">
        <v>90</v>
      </c>
      <c r="F225" s="212" t="s">
        <v>90</v>
      </c>
      <c r="G225" s="212" t="s">
        <v>90</v>
      </c>
      <c r="H225" s="212" t="s">
        <v>90</v>
      </c>
      <c r="I225" s="212" t="s">
        <v>90</v>
      </c>
      <c r="J225" s="233" t="s">
        <v>90</v>
      </c>
    </row>
    <row r="226" spans="1:10" ht="15" customHeight="1">
      <c r="A226" s="212" t="s">
        <v>320</v>
      </c>
      <c r="B226" s="212" t="s">
        <v>87</v>
      </c>
      <c r="C226" s="212" t="s">
        <v>88</v>
      </c>
      <c r="D226" s="212" t="s">
        <v>89</v>
      </c>
      <c r="E226" s="212" t="s">
        <v>98</v>
      </c>
      <c r="F226" s="212" t="s">
        <v>90</v>
      </c>
      <c r="G226" s="212" t="s">
        <v>90</v>
      </c>
      <c r="H226" s="212" t="s">
        <v>90</v>
      </c>
      <c r="I226" s="212" t="s">
        <v>90</v>
      </c>
      <c r="J226" s="233" t="s">
        <v>90</v>
      </c>
    </row>
    <row r="227" spans="1:10" ht="15" customHeight="1">
      <c r="A227" s="212" t="s">
        <v>321</v>
      </c>
      <c r="B227" s="212" t="s">
        <v>87</v>
      </c>
      <c r="C227" s="212" t="s">
        <v>88</v>
      </c>
      <c r="D227" s="212" t="s">
        <v>89</v>
      </c>
      <c r="E227" s="212" t="s">
        <v>98</v>
      </c>
      <c r="F227" s="212" t="s">
        <v>105</v>
      </c>
      <c r="G227" s="212" t="s">
        <v>105</v>
      </c>
      <c r="H227" s="212" t="s">
        <v>101</v>
      </c>
      <c r="I227" s="212" t="s">
        <v>102</v>
      </c>
      <c r="J227" s="233" t="s">
        <v>90</v>
      </c>
    </row>
    <row r="228" spans="1:10" ht="15" customHeight="1">
      <c r="A228" s="212" t="s">
        <v>322</v>
      </c>
      <c r="B228" s="212" t="s">
        <v>87</v>
      </c>
      <c r="C228" s="212" t="s">
        <v>88</v>
      </c>
      <c r="D228" s="212" t="s">
        <v>89</v>
      </c>
      <c r="E228" s="212" t="s">
        <v>88</v>
      </c>
      <c r="F228" s="212" t="s">
        <v>90</v>
      </c>
      <c r="G228" s="212" t="s">
        <v>90</v>
      </c>
      <c r="H228" s="212" t="s">
        <v>101</v>
      </c>
      <c r="I228" s="212" t="s">
        <v>90</v>
      </c>
      <c r="J228" s="233" t="s">
        <v>90</v>
      </c>
    </row>
    <row r="229" spans="1:10" ht="15" customHeight="1">
      <c r="A229" s="212" t="s">
        <v>323</v>
      </c>
      <c r="B229" s="212" t="s">
        <v>87</v>
      </c>
      <c r="C229" s="212" t="s">
        <v>88</v>
      </c>
      <c r="D229" s="212" t="s">
        <v>89</v>
      </c>
      <c r="E229" s="212" t="s">
        <v>98</v>
      </c>
      <c r="F229" s="212" t="s">
        <v>98</v>
      </c>
      <c r="G229" s="212" t="s">
        <v>105</v>
      </c>
      <c r="H229" s="212" t="s">
        <v>101</v>
      </c>
      <c r="I229" s="212" t="s">
        <v>102</v>
      </c>
      <c r="J229" s="233" t="s">
        <v>90</v>
      </c>
    </row>
    <row r="230" spans="1:10" ht="15" customHeight="1">
      <c r="A230" s="212" t="s">
        <v>324</v>
      </c>
      <c r="B230" s="212" t="s">
        <v>90</v>
      </c>
      <c r="C230" s="212" t="s">
        <v>90</v>
      </c>
      <c r="D230" s="212" t="s">
        <v>90</v>
      </c>
      <c r="E230" s="212" t="s">
        <v>90</v>
      </c>
      <c r="F230" s="212" t="s">
        <v>90</v>
      </c>
      <c r="G230" s="212" t="s">
        <v>90</v>
      </c>
      <c r="H230" s="212" t="s">
        <v>90</v>
      </c>
      <c r="I230" s="212" t="s">
        <v>90</v>
      </c>
      <c r="J230" s="233" t="s">
        <v>95</v>
      </c>
    </row>
    <row r="231" spans="1:10" ht="15" customHeight="1">
      <c r="A231" s="212" t="s">
        <v>325</v>
      </c>
      <c r="B231" s="212" t="s">
        <v>87</v>
      </c>
      <c r="C231" s="212" t="s">
        <v>88</v>
      </c>
      <c r="D231" s="212" t="s">
        <v>89</v>
      </c>
      <c r="E231" s="212" t="s">
        <v>88</v>
      </c>
      <c r="F231" s="212" t="s">
        <v>98</v>
      </c>
      <c r="G231" s="212" t="s">
        <v>105</v>
      </c>
      <c r="H231" s="212" t="s">
        <v>101</v>
      </c>
      <c r="I231" s="212" t="s">
        <v>102</v>
      </c>
      <c r="J231" s="233" t="s">
        <v>90</v>
      </c>
    </row>
    <row r="232" spans="1:10" ht="15" customHeight="1">
      <c r="A232" s="212" t="s">
        <v>326</v>
      </c>
      <c r="B232" s="212" t="s">
        <v>90</v>
      </c>
      <c r="C232" s="212" t="s">
        <v>88</v>
      </c>
      <c r="D232" s="212" t="s">
        <v>90</v>
      </c>
      <c r="E232" s="212" t="s">
        <v>90</v>
      </c>
      <c r="F232" s="212" t="s">
        <v>90</v>
      </c>
      <c r="G232" s="212" t="s">
        <v>90</v>
      </c>
      <c r="H232" s="212" t="s">
        <v>90</v>
      </c>
      <c r="I232" s="212" t="s">
        <v>90</v>
      </c>
      <c r="J232" s="233" t="s">
        <v>101</v>
      </c>
    </row>
  </sheetData>
  <sheetProtection password="ED7E" sheet="1" objects="1" scenarios="1"/>
  <mergeCells count="3">
    <mergeCell ref="A1:A2"/>
    <mergeCell ref="B1:C1"/>
    <mergeCell ref="D1:J1"/>
  </mergeCells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0"/>
  <dimension ref="A1:M69"/>
  <sheetViews>
    <sheetView showGridLines="0" topLeftCell="A14" zoomScale="85" zoomScaleNormal="85" workbookViewId="0">
      <selection activeCell="A37" sqref="A37"/>
    </sheetView>
  </sheetViews>
  <sheetFormatPr baseColWidth="10" defaultColWidth="0" defaultRowHeight="12.5" zeroHeight="1"/>
  <cols>
    <col min="1" max="8" width="11.453125" customWidth="1"/>
    <col min="9" max="9" width="16.81640625" customWidth="1"/>
    <col min="10" max="10" width="11.453125" customWidth="1"/>
    <col min="11" max="12" width="11.453125" hidden="1" customWidth="1"/>
    <col min="13" max="13" width="47.81640625" hidden="1" customWidth="1"/>
    <col min="14" max="16384" width="11.453125" hidden="1"/>
  </cols>
  <sheetData>
    <row r="1" spans="1:10">
      <c r="A1" s="3"/>
      <c r="B1" s="3"/>
      <c r="C1" s="3"/>
      <c r="D1" s="3"/>
      <c r="E1" s="3"/>
      <c r="F1" s="3"/>
      <c r="G1" s="3"/>
      <c r="H1" s="3"/>
      <c r="I1" s="6"/>
    </row>
    <row r="2" spans="1:10">
      <c r="A2" s="3"/>
      <c r="B2" s="3"/>
      <c r="C2" s="3"/>
      <c r="D2" s="3"/>
      <c r="E2" s="3"/>
      <c r="F2" s="3"/>
      <c r="G2" s="3"/>
      <c r="H2" s="3"/>
      <c r="I2" s="6"/>
    </row>
    <row r="3" spans="1:10">
      <c r="A3" s="3"/>
      <c r="B3" s="3"/>
      <c r="C3" s="3"/>
      <c r="D3" s="3"/>
      <c r="E3" s="3"/>
      <c r="F3" s="3"/>
      <c r="G3" s="3"/>
      <c r="H3" s="3"/>
      <c r="I3" s="6"/>
    </row>
    <row r="4" spans="1:10">
      <c r="A4" s="3"/>
      <c r="B4" s="3"/>
      <c r="C4" s="3"/>
      <c r="D4" s="3"/>
      <c r="E4" s="3"/>
      <c r="F4" s="3"/>
      <c r="G4" s="3"/>
      <c r="H4" s="3"/>
      <c r="I4" s="3"/>
    </row>
    <row r="5" spans="1:10">
      <c r="A5" s="3"/>
      <c r="B5" s="3"/>
      <c r="C5" s="3"/>
      <c r="D5" s="3"/>
      <c r="E5" s="3"/>
      <c r="F5" s="3"/>
      <c r="G5" s="3"/>
      <c r="H5" s="3"/>
      <c r="I5" s="3"/>
    </row>
    <row r="6" spans="1:10">
      <c r="A6" s="3"/>
      <c r="B6" s="3"/>
      <c r="C6" s="3"/>
      <c r="D6" s="3"/>
      <c r="E6" s="3"/>
      <c r="F6" s="3"/>
      <c r="G6" s="3"/>
      <c r="H6" s="3"/>
      <c r="I6" s="3"/>
    </row>
    <row r="7" spans="1:10">
      <c r="A7" s="3"/>
      <c r="B7" s="4"/>
      <c r="C7" s="4"/>
      <c r="D7" s="4"/>
      <c r="E7" s="4"/>
      <c r="F7" s="4"/>
      <c r="G7" s="4"/>
      <c r="H7" s="4"/>
      <c r="I7" s="11">
        <f ca="1">TODAY()</f>
        <v>45744</v>
      </c>
    </row>
    <row r="8" spans="1:10">
      <c r="A8" s="3"/>
      <c r="B8" s="4"/>
      <c r="C8" s="4"/>
      <c r="D8" s="4"/>
      <c r="E8" s="4"/>
      <c r="F8" s="4"/>
      <c r="G8" s="4"/>
      <c r="H8" s="4"/>
      <c r="I8" s="4"/>
    </row>
    <row r="9" spans="1:10">
      <c r="A9" s="3"/>
      <c r="B9" s="4"/>
      <c r="C9" s="4"/>
      <c r="D9" s="5"/>
      <c r="E9" s="5"/>
      <c r="F9" s="3"/>
      <c r="G9" s="2"/>
      <c r="H9" s="2"/>
    </row>
    <row r="10" spans="1:10" ht="14.25" customHeight="1">
      <c r="A10" s="1"/>
      <c r="B10" s="351" t="s">
        <v>19</v>
      </c>
      <c r="C10" s="351"/>
      <c r="D10" s="351"/>
      <c r="E10" s="351"/>
      <c r="F10" s="351"/>
      <c r="G10" s="351"/>
      <c r="H10" s="351"/>
      <c r="I10" s="351"/>
    </row>
    <row r="11" spans="1:10" ht="14">
      <c r="A11" s="1"/>
      <c r="B11" s="230"/>
      <c r="C11" s="230"/>
      <c r="D11" s="230"/>
      <c r="E11" s="230"/>
      <c r="F11" s="230"/>
      <c r="G11" s="230"/>
      <c r="H11" s="230"/>
      <c r="I11" s="230"/>
    </row>
    <row r="12" spans="1:10" ht="12.75" customHeight="1">
      <c r="A12" s="1"/>
      <c r="B12" s="347" t="s">
        <v>26</v>
      </c>
      <c r="C12" s="347"/>
      <c r="D12" s="347"/>
      <c r="E12" s="347"/>
      <c r="F12" s="347"/>
      <c r="G12" s="347"/>
      <c r="H12" s="347"/>
      <c r="I12" s="347"/>
      <c r="J12" s="83"/>
    </row>
    <row r="13" spans="1:10" ht="18" customHeight="1">
      <c r="A13" s="1"/>
      <c r="B13" s="350" t="s">
        <v>25</v>
      </c>
      <c r="C13" s="350"/>
      <c r="D13" s="350"/>
      <c r="E13" s="350"/>
      <c r="F13" s="350"/>
      <c r="G13" s="350"/>
      <c r="H13" s="350"/>
      <c r="I13" s="350"/>
      <c r="J13" s="83"/>
    </row>
    <row r="14" spans="1:10" ht="12.75" customHeight="1">
      <c r="A14" s="1"/>
      <c r="B14" s="352"/>
      <c r="C14" s="352"/>
      <c r="D14" s="352"/>
      <c r="E14" s="352"/>
      <c r="F14" s="352"/>
      <c r="G14" s="352"/>
      <c r="H14" s="352"/>
      <c r="I14" s="352"/>
      <c r="J14" s="80"/>
    </row>
    <row r="15" spans="1:10" ht="12.75" customHeight="1">
      <c r="A15" s="1"/>
      <c r="B15" s="229"/>
      <c r="C15" s="229"/>
      <c r="D15" s="229"/>
      <c r="E15" s="229"/>
      <c r="F15" s="229"/>
      <c r="G15" s="229"/>
      <c r="H15" s="229"/>
      <c r="I15" s="229"/>
      <c r="J15" s="80"/>
    </row>
    <row r="16" spans="1:10">
      <c r="A16" s="1"/>
      <c r="B16" s="228"/>
      <c r="C16" s="228"/>
      <c r="D16" s="228"/>
      <c r="E16" s="228"/>
      <c r="F16" s="228"/>
      <c r="G16" s="228"/>
      <c r="H16" s="228"/>
      <c r="I16" s="228"/>
      <c r="J16" s="82"/>
    </row>
    <row r="17" spans="1:10" ht="12.75" customHeight="1">
      <c r="A17" s="1"/>
      <c r="B17" s="347" t="s">
        <v>364</v>
      </c>
      <c r="C17" s="347"/>
      <c r="D17" s="347"/>
      <c r="E17" s="347"/>
      <c r="F17" s="347"/>
      <c r="G17" s="347"/>
      <c r="H17" s="347"/>
      <c r="I17" s="347"/>
    </row>
    <row r="18" spans="1:10" ht="12.75" customHeight="1">
      <c r="A18" s="1"/>
      <c r="B18" s="347" t="s">
        <v>351</v>
      </c>
      <c r="C18" s="347"/>
      <c r="D18" s="347"/>
      <c r="E18" s="347"/>
      <c r="F18" s="347"/>
      <c r="G18" s="347"/>
      <c r="H18" s="347"/>
      <c r="I18" s="347"/>
    </row>
    <row r="19" spans="1:10" ht="12.75" customHeight="1">
      <c r="A19" s="1"/>
      <c r="B19" s="347" t="s">
        <v>365</v>
      </c>
      <c r="C19" s="347"/>
      <c r="D19" s="347"/>
      <c r="E19" s="347"/>
      <c r="F19" s="347"/>
      <c r="G19" s="347"/>
      <c r="H19" s="347"/>
      <c r="I19" s="347"/>
    </row>
    <row r="20" spans="1:10" ht="12.75" customHeight="1">
      <c r="A20" s="1"/>
      <c r="B20" s="347" t="s">
        <v>366</v>
      </c>
      <c r="C20" s="347"/>
      <c r="D20" s="347"/>
      <c r="E20" s="347"/>
      <c r="F20" s="347"/>
      <c r="G20" s="347"/>
      <c r="H20" s="347"/>
      <c r="I20" s="347"/>
    </row>
    <row r="21" spans="1:10" ht="12.75" customHeight="1">
      <c r="A21" s="1"/>
      <c r="B21" s="347" t="s">
        <v>367</v>
      </c>
      <c r="C21" s="347"/>
      <c r="D21" s="347"/>
      <c r="E21" s="347"/>
      <c r="F21" s="347"/>
      <c r="G21" s="347"/>
      <c r="H21" s="347"/>
      <c r="I21" s="347"/>
    </row>
    <row r="22" spans="1:10" ht="12.75" customHeight="1">
      <c r="A22" s="1"/>
      <c r="B22" s="347" t="s">
        <v>368</v>
      </c>
      <c r="C22" s="347"/>
      <c r="D22" s="347"/>
      <c r="E22" s="347"/>
      <c r="F22" s="347"/>
      <c r="G22" s="347"/>
      <c r="H22" s="347"/>
      <c r="I22" s="347"/>
    </row>
    <row r="23" spans="1:10" ht="12.75" customHeight="1">
      <c r="A23" s="1"/>
      <c r="B23" s="347" t="s">
        <v>369</v>
      </c>
      <c r="C23" s="347"/>
      <c r="D23" s="347"/>
      <c r="E23" s="347"/>
      <c r="F23" s="347"/>
      <c r="G23" s="347"/>
      <c r="H23" s="347"/>
      <c r="I23" s="347"/>
    </row>
    <row r="24" spans="1:10" ht="12.75" customHeight="1">
      <c r="A24" s="1"/>
      <c r="B24" s="343" t="s">
        <v>349</v>
      </c>
      <c r="C24" s="343"/>
      <c r="D24" s="343"/>
      <c r="E24" s="343"/>
      <c r="F24" s="343"/>
      <c r="G24" s="343"/>
      <c r="H24" s="343"/>
      <c r="I24" s="343"/>
    </row>
    <row r="25" spans="1:10" ht="12.75" customHeight="1">
      <c r="A25" s="1"/>
      <c r="B25" s="344" t="s">
        <v>708</v>
      </c>
      <c r="C25" s="344"/>
      <c r="D25" s="344"/>
      <c r="E25" s="344"/>
      <c r="F25" s="344"/>
      <c r="G25" s="344"/>
      <c r="H25" s="344"/>
      <c r="I25" s="344"/>
      <c r="J25" s="344"/>
    </row>
    <row r="26" spans="1:10" ht="12.75" customHeight="1">
      <c r="A26" s="1"/>
      <c r="B26" s="348" t="s">
        <v>710</v>
      </c>
      <c r="C26" s="348"/>
      <c r="D26" s="348"/>
      <c r="E26" s="348"/>
      <c r="F26" s="348"/>
      <c r="G26" s="348"/>
      <c r="H26" s="348"/>
      <c r="I26" s="348"/>
    </row>
    <row r="27" spans="1:10" ht="12.75" customHeight="1">
      <c r="A27" s="1"/>
      <c r="B27" s="348"/>
      <c r="C27" s="348"/>
      <c r="D27" s="348"/>
      <c r="E27" s="348"/>
      <c r="F27" s="348"/>
      <c r="G27" s="348"/>
      <c r="H27" s="348"/>
      <c r="I27" s="348"/>
    </row>
    <row r="28" spans="1:10" ht="12.75" customHeight="1">
      <c r="A28" s="1"/>
      <c r="B28" s="348"/>
      <c r="C28" s="348"/>
      <c r="D28" s="348"/>
      <c r="E28" s="348"/>
      <c r="F28" s="348"/>
      <c r="G28" s="348"/>
      <c r="H28" s="348"/>
      <c r="I28" s="348"/>
    </row>
    <row r="29" spans="1:10" ht="12" customHeight="1">
      <c r="A29" s="1"/>
      <c r="B29" s="252"/>
      <c r="C29" s="252"/>
      <c r="D29" s="252"/>
      <c r="E29" s="252"/>
      <c r="F29" s="252"/>
      <c r="G29" s="252"/>
      <c r="H29" s="252"/>
      <c r="I29" s="252"/>
    </row>
    <row r="30" spans="1:10">
      <c r="A30" s="1"/>
      <c r="B30" s="347" t="s">
        <v>713</v>
      </c>
      <c r="C30" s="347"/>
      <c r="D30" s="347"/>
      <c r="E30" s="347"/>
      <c r="F30" s="347"/>
      <c r="G30" s="347"/>
      <c r="H30" s="347"/>
      <c r="I30" s="347"/>
    </row>
    <row r="31" spans="1:10" ht="12.75" customHeight="1">
      <c r="A31" s="1"/>
      <c r="B31" s="347" t="s">
        <v>714</v>
      </c>
      <c r="C31" s="347"/>
      <c r="D31" s="347"/>
      <c r="E31" s="347"/>
      <c r="F31" s="347"/>
      <c r="G31" s="347"/>
      <c r="H31" s="347"/>
      <c r="I31" s="347"/>
    </row>
    <row r="32" spans="1:10" ht="12.75" customHeight="1">
      <c r="A32" s="1"/>
      <c r="B32" s="347" t="s">
        <v>715</v>
      </c>
      <c r="C32" s="347"/>
      <c r="D32" s="347"/>
      <c r="E32" s="347"/>
      <c r="F32" s="347"/>
      <c r="G32" s="347"/>
      <c r="H32" s="347"/>
      <c r="I32" s="347"/>
      <c r="J32" s="81"/>
    </row>
    <row r="33" spans="1:10" ht="12.75" customHeight="1">
      <c r="A33" s="23"/>
      <c r="B33" s="343" t="s">
        <v>350</v>
      </c>
      <c r="C33" s="343"/>
      <c r="D33" s="343"/>
      <c r="E33" s="343"/>
      <c r="F33" s="343"/>
      <c r="G33" s="343"/>
      <c r="H33" s="343"/>
      <c r="I33" s="343"/>
      <c r="J33" s="79"/>
    </row>
    <row r="34" spans="1:10" ht="12.75" customHeight="1">
      <c r="A34" s="23"/>
      <c r="B34" s="279" t="s">
        <v>728</v>
      </c>
      <c r="C34" s="278"/>
      <c r="D34" s="278"/>
      <c r="E34" s="278"/>
      <c r="F34" s="278"/>
      <c r="G34" s="278"/>
      <c r="H34" s="278"/>
      <c r="I34" s="278"/>
      <c r="J34" s="79"/>
    </row>
    <row r="35" spans="1:10" ht="12.75" customHeight="1">
      <c r="A35" s="23"/>
      <c r="B35" s="345"/>
      <c r="C35" s="345"/>
      <c r="D35" s="345"/>
      <c r="E35" s="345"/>
      <c r="F35" s="345"/>
      <c r="G35" s="345"/>
      <c r="H35" s="345"/>
      <c r="I35" s="345"/>
      <c r="J35" s="79"/>
    </row>
    <row r="36" spans="1:10" ht="12.75" customHeight="1">
      <c r="A36" s="23"/>
      <c r="B36" s="349" t="s">
        <v>724</v>
      </c>
      <c r="C36" s="349"/>
      <c r="D36" s="349"/>
      <c r="E36" s="349"/>
      <c r="F36" s="349"/>
      <c r="G36" s="349"/>
      <c r="H36" s="349"/>
      <c r="I36" s="349"/>
      <c r="J36" s="79"/>
    </row>
    <row r="37" spans="1:10" ht="12.75" customHeight="1">
      <c r="A37" s="23"/>
      <c r="B37" s="349"/>
      <c r="C37" s="349"/>
      <c r="D37" s="349"/>
      <c r="E37" s="349"/>
      <c r="F37" s="349"/>
      <c r="G37" s="349"/>
      <c r="H37" s="349"/>
      <c r="I37" s="349"/>
      <c r="J37" s="79"/>
    </row>
    <row r="38" spans="1:10" ht="12.75" customHeight="1">
      <c r="A38" s="23"/>
      <c r="B38" s="349"/>
      <c r="C38" s="349"/>
      <c r="D38" s="349"/>
      <c r="E38" s="349"/>
      <c r="F38" s="349"/>
      <c r="G38" s="349"/>
      <c r="H38" s="349"/>
      <c r="I38" s="349"/>
      <c r="J38" s="79"/>
    </row>
    <row r="39" spans="1:10" ht="12.75" customHeight="1">
      <c r="A39" s="23"/>
      <c r="J39" s="79"/>
    </row>
    <row r="40" spans="1:10" ht="12.75" hidden="1" customHeight="1">
      <c r="A40" s="23"/>
      <c r="J40" s="79"/>
    </row>
    <row r="41" spans="1:10" hidden="1">
      <c r="A41" s="23"/>
      <c r="J41" s="81"/>
    </row>
    <row r="42" spans="1:10" hidden="1">
      <c r="A42" s="23"/>
      <c r="B42" s="346"/>
      <c r="C42" s="346"/>
      <c r="D42" s="346"/>
      <c r="E42" s="346"/>
      <c r="F42" s="346"/>
      <c r="G42" s="346"/>
      <c r="H42" s="346"/>
      <c r="I42" s="346"/>
    </row>
    <row r="43" spans="1:10" hidden="1">
      <c r="A43" s="1"/>
      <c r="B43" s="126"/>
      <c r="C43" s="126"/>
      <c r="D43" s="126"/>
      <c r="E43" s="126"/>
      <c r="F43" s="126"/>
      <c r="G43" s="126"/>
      <c r="H43" s="126"/>
      <c r="I43" s="126"/>
    </row>
    <row r="44" spans="1:10" hidden="1">
      <c r="A44" s="1"/>
      <c r="B44" s="1"/>
      <c r="C44" s="1"/>
      <c r="D44" s="1"/>
      <c r="E44" s="1"/>
      <c r="F44" s="1"/>
      <c r="G44" s="1"/>
      <c r="H44" s="1"/>
      <c r="I44" s="1"/>
    </row>
    <row r="45" spans="1:10" hidden="1">
      <c r="A45" s="1"/>
      <c r="B45" s="1"/>
      <c r="C45" s="1"/>
      <c r="D45" s="1"/>
      <c r="E45" s="1"/>
      <c r="F45" s="1"/>
      <c r="G45" s="1"/>
      <c r="H45" s="1"/>
      <c r="I45" s="1"/>
    </row>
    <row r="46" spans="1:10" hidden="1">
      <c r="A46" s="1"/>
      <c r="B46" s="1"/>
      <c r="C46" s="1"/>
      <c r="D46" s="1"/>
      <c r="E46" s="1"/>
      <c r="F46" s="1"/>
      <c r="G46" s="1"/>
      <c r="H46" s="1"/>
      <c r="I46" s="1"/>
    </row>
    <row r="47" spans="1:10" hidden="1">
      <c r="A47" s="1"/>
      <c r="B47" s="1"/>
      <c r="C47" s="1"/>
      <c r="D47" s="1"/>
      <c r="E47" s="1"/>
      <c r="F47" s="1"/>
      <c r="G47" s="1"/>
      <c r="H47" s="1"/>
      <c r="I47" s="1"/>
    </row>
    <row r="48" spans="1:10" hidden="1">
      <c r="A48" s="1"/>
    </row>
    <row r="49" spans="1:1" hidden="1">
      <c r="A49" s="1"/>
    </row>
    <row r="50" spans="1:1" hidden="1">
      <c r="A50" s="1"/>
    </row>
    <row r="51" spans="1:1" hidden="1">
      <c r="A51" s="1"/>
    </row>
    <row r="67"/>
    <row r="68"/>
    <row r="69"/>
  </sheetData>
  <sheetProtection algorithmName="SHA-512" hashValue="EbNtAqtjIelFcW4tDnUmmc7QpaFslqQZBUCmmDsOwC6hbWYduiWmN1xQyuVMMVklwqRvKmYAz1c1h/iH+gnpOw==" saltValue="a7+D2SMnXjAbCaUEGmXS3g==" spinCount="100000" sheet="1" objects="1" scenarios="1" selectLockedCells="1"/>
  <mergeCells count="21">
    <mergeCell ref="B20:I20"/>
    <mergeCell ref="B22:I22"/>
    <mergeCell ref="B23:I23"/>
    <mergeCell ref="B13:I13"/>
    <mergeCell ref="B10:I10"/>
    <mergeCell ref="B17:I17"/>
    <mergeCell ref="B18:I18"/>
    <mergeCell ref="B19:I19"/>
    <mergeCell ref="B21:I21"/>
    <mergeCell ref="B12:I12"/>
    <mergeCell ref="B14:I14"/>
    <mergeCell ref="B24:I24"/>
    <mergeCell ref="B25:J25"/>
    <mergeCell ref="B35:I35"/>
    <mergeCell ref="B42:I42"/>
    <mergeCell ref="B32:I32"/>
    <mergeCell ref="B33:I33"/>
    <mergeCell ref="B26:I28"/>
    <mergeCell ref="B31:I31"/>
    <mergeCell ref="B30:I30"/>
    <mergeCell ref="B36:I38"/>
  </mergeCells>
  <printOptions horizontalCentered="1"/>
  <pageMargins left="0.70866141732283472" right="0.70866141732283472" top="0.74803149606299213" bottom="0.74803149606299213" header="0.31496062992125984" footer="0.31496062992125984"/>
  <pageSetup scale="79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">
    <tabColor indexed="47"/>
    <pageSetUpPr fitToPage="1"/>
  </sheetPr>
  <dimension ref="A1:M264"/>
  <sheetViews>
    <sheetView showGridLines="0" zoomScale="85" zoomScaleNormal="85" zoomScaleSheetLayoutView="100" workbookViewId="0">
      <selection activeCell="F58" sqref="F58"/>
    </sheetView>
  </sheetViews>
  <sheetFormatPr baseColWidth="10" defaultColWidth="0" defaultRowHeight="10.5" customHeight="1" zeroHeight="1"/>
  <cols>
    <col min="1" max="1" width="1.26953125" style="1" customWidth="1"/>
    <col min="2" max="2" width="1.54296875" style="1" customWidth="1"/>
    <col min="3" max="3" width="27.7265625" style="1" customWidth="1"/>
    <col min="4" max="4" width="10.26953125" style="1" customWidth="1"/>
    <col min="5" max="5" width="15.1796875" style="1" customWidth="1"/>
    <col min="6" max="6" width="11.54296875" style="1" customWidth="1"/>
    <col min="7" max="7" width="78.26953125" style="1" bestFit="1" customWidth="1"/>
    <col min="8" max="8" width="7.7265625" style="1" bestFit="1" customWidth="1"/>
    <col min="9" max="9" width="16.54296875" style="1" bestFit="1" customWidth="1"/>
    <col min="10" max="10" width="12.7265625" style="1" bestFit="1" customWidth="1"/>
    <col min="11" max="11" width="13.81640625" style="1" customWidth="1"/>
    <col min="12" max="12" width="16" style="1" customWidth="1"/>
    <col min="13" max="13" width="11.453125" style="1" customWidth="1"/>
    <col min="14" max="16384" width="11.453125" style="1" hidden="1"/>
  </cols>
  <sheetData>
    <row r="1" spans="1:12" s="2" customFormat="1" ht="9" customHeight="1">
      <c r="B1" s="3"/>
      <c r="C1" s="3"/>
      <c r="D1" s="3"/>
      <c r="E1" s="3"/>
      <c r="F1" s="3"/>
      <c r="G1" s="3"/>
      <c r="H1" s="3"/>
      <c r="I1" s="3"/>
      <c r="J1" s="3"/>
    </row>
    <row r="2" spans="1:12" s="2" customFormat="1" ht="7">
      <c r="B2" s="3"/>
      <c r="C2" s="3"/>
      <c r="D2" s="3"/>
      <c r="E2" s="3"/>
      <c r="F2" s="3"/>
      <c r="G2" s="3"/>
      <c r="H2" s="3"/>
      <c r="I2" s="3"/>
      <c r="J2" s="3"/>
    </row>
    <row r="3" spans="1:12" s="2" customFormat="1" ht="7">
      <c r="B3" s="3"/>
      <c r="C3" s="3"/>
      <c r="D3" s="3"/>
      <c r="E3" s="3"/>
      <c r="F3" s="3"/>
      <c r="G3" s="3"/>
      <c r="H3" s="3"/>
      <c r="I3" s="3"/>
      <c r="J3" s="3"/>
    </row>
    <row r="4" spans="1:12" s="2" customFormat="1" ht="7">
      <c r="B4" s="3"/>
      <c r="C4" s="3"/>
      <c r="D4" s="3"/>
      <c r="E4" s="3"/>
      <c r="F4" s="3"/>
      <c r="G4" s="3"/>
      <c r="H4" s="3"/>
      <c r="I4" s="3"/>
      <c r="J4" s="3"/>
    </row>
    <row r="5" spans="1:12" s="19" customFormat="1" ht="15.75" customHeight="1">
      <c r="B5" s="17"/>
      <c r="C5" s="17"/>
      <c r="D5" s="17"/>
      <c r="E5" s="17"/>
      <c r="F5" s="17"/>
      <c r="G5" s="17"/>
      <c r="H5" s="17"/>
      <c r="I5" s="17"/>
      <c r="J5" s="17"/>
    </row>
    <row r="6" spans="1:12" s="2" customFormat="1" ht="12.75" customHeight="1">
      <c r="B6" s="3"/>
      <c r="C6" s="4"/>
      <c r="D6" s="4"/>
      <c r="E6" s="4"/>
      <c r="F6" s="5"/>
      <c r="G6" s="5"/>
      <c r="H6" s="3"/>
      <c r="K6" s="281">
        <f ca="1">TODAY()</f>
        <v>45744</v>
      </c>
      <c r="L6" s="281"/>
    </row>
    <row r="7" spans="1:12" s="2" customFormat="1" ht="11.5">
      <c r="B7" s="3"/>
      <c r="C7" s="4"/>
      <c r="D7" s="4"/>
      <c r="E7" s="4"/>
      <c r="F7" s="5"/>
      <c r="G7" s="5"/>
      <c r="H7" s="3"/>
      <c r="I7" s="3"/>
      <c r="J7" s="84"/>
    </row>
    <row r="8" spans="1:12" s="2" customFormat="1" ht="11.5">
      <c r="B8" s="3"/>
      <c r="C8" s="4"/>
      <c r="D8" s="4"/>
      <c r="E8" s="4"/>
      <c r="F8" s="5"/>
      <c r="G8" s="5"/>
      <c r="H8" s="3"/>
      <c r="J8" s="84"/>
    </row>
    <row r="9" spans="1:12" s="2" customFormat="1" ht="15" customHeight="1">
      <c r="B9" s="78" t="str">
        <f>"Apreciable  "&amp;COTIZACION!C24</f>
        <v xml:space="preserve">Apreciable  </v>
      </c>
      <c r="C9" s="8"/>
      <c r="D9" s="4"/>
      <c r="E9" s="4"/>
      <c r="F9" s="5"/>
      <c r="G9" s="5"/>
      <c r="H9" s="3"/>
      <c r="J9" s="3"/>
    </row>
    <row r="10" spans="1:12" s="2" customFormat="1" ht="15" customHeight="1">
      <c r="B10" s="286" t="str">
        <f>IF(COTIZACION!$D$7="ANUAL","Agradecemos de antemano su preferencia y esperamos que la presente propuesta de Accidentes Personales "&amp;COTIZACION!D7&amp;" cumpla sus expectativas.","Agradecemos de antemano su preferencia y esperamos que la presente propuesta de Accidentes Personales "&amp;COTIZACION!D7&amp;" por "&amp;COTIZACION!$D$8&amp;" días cumpla sus expectativas.")</f>
        <v>Agradecemos de antemano su preferencia y esperamos que la presente propuesta de Accidentes Personales ANUAL cumpla sus expectativas.</v>
      </c>
      <c r="C10" s="286"/>
      <c r="D10" s="286"/>
      <c r="E10" s="286"/>
      <c r="F10" s="286"/>
      <c r="G10" s="286"/>
      <c r="H10" s="286"/>
      <c r="I10" s="286"/>
      <c r="J10" s="286"/>
    </row>
    <row r="11" spans="1:12" s="2" customFormat="1" ht="15" customHeight="1">
      <c r="B11" s="286"/>
      <c r="C11" s="286"/>
      <c r="D11" s="286"/>
      <c r="E11" s="286"/>
      <c r="F11" s="286"/>
      <c r="G11" s="286"/>
      <c r="H11" s="286"/>
      <c r="I11" s="286"/>
      <c r="J11" s="286"/>
    </row>
    <row r="12" spans="1:12" s="2" customFormat="1" ht="15.75" customHeight="1">
      <c r="A12" s="1"/>
      <c r="B12" s="282" t="s">
        <v>2</v>
      </c>
      <c r="C12" s="282"/>
      <c r="D12" s="282"/>
      <c r="E12" s="282"/>
      <c r="F12" s="282"/>
      <c r="G12" s="282"/>
      <c r="H12" s="282"/>
      <c r="I12" s="282"/>
      <c r="J12" s="282"/>
      <c r="K12" s="282"/>
      <c r="L12" s="282"/>
    </row>
    <row r="13" spans="1:12" s="2" customFormat="1" ht="13.5" customHeight="1">
      <c r="B13" s="121" t="s">
        <v>3</v>
      </c>
      <c r="C13" s="97" t="s">
        <v>82</v>
      </c>
      <c r="D13" s="94"/>
      <c r="E13" s="95"/>
      <c r="F13" s="95"/>
      <c r="G13" s="95"/>
      <c r="H13" s="95"/>
      <c r="J13" s="175">
        <f>COTIZACION!$D$14</f>
        <v>0</v>
      </c>
      <c r="K13" s="95" t="str">
        <f>IF(J13="Excluido","","M.N")</f>
        <v>M.N</v>
      </c>
    </row>
    <row r="14" spans="1:12" s="2" customFormat="1" ht="13.5" customHeight="1">
      <c r="B14" s="121" t="s">
        <v>3</v>
      </c>
      <c r="C14" s="97" t="str">
        <f>IF(OR(COTIZACION!C18="",COTIZACION!C18="-"),"Péridas Orgánicas A o B",IF(COTIZACION!C18="PERDIDAS ORGANICAS TIPO A","Pérdidas Orgánicas Tipo A","Péridas Orgánicas Tipo B"))</f>
        <v>Péridas Orgánicas A o B</v>
      </c>
      <c r="D14" s="94"/>
      <c r="E14" s="95"/>
      <c r="F14" s="95"/>
      <c r="G14" s="95"/>
      <c r="H14" s="95"/>
      <c r="J14" s="175" t="str">
        <f>IF(OR(COTIZACION!B18="",COTIZACION!B18="-"),"Excluido",COTIZACION!D18)</f>
        <v>Excluido</v>
      </c>
      <c r="K14" s="95" t="str">
        <f>IF(J14="Excluido","","M.N")</f>
        <v/>
      </c>
    </row>
    <row r="15" spans="1:12" s="2" customFormat="1" ht="13.5" customHeight="1">
      <c r="B15" s="121" t="s">
        <v>3</v>
      </c>
      <c r="C15" s="128" t="s">
        <v>725</v>
      </c>
      <c r="D15" s="94"/>
      <c r="E15" s="95"/>
      <c r="F15" s="98"/>
      <c r="G15" s="98"/>
      <c r="H15" s="95"/>
      <c r="J15" s="175" t="str">
        <f>IF(OR(COTIZACION!$C$19="-",COTIZACION!$C$19=""),"Excluido",COTIZACION!$D$19)</f>
        <v>Excluido</v>
      </c>
      <c r="K15" s="95" t="str">
        <f>IF(J15="Excluido","","M.N")</f>
        <v/>
      </c>
    </row>
    <row r="16" spans="1:12" s="2" customFormat="1" ht="13.5" customHeight="1">
      <c r="B16" s="236" t="s">
        <v>3</v>
      </c>
      <c r="C16" s="125" t="s">
        <v>363</v>
      </c>
      <c r="D16" s="10"/>
      <c r="E16" s="7"/>
      <c r="F16" s="7"/>
      <c r="G16" s="8"/>
      <c r="H16" s="69"/>
      <c r="J16" s="175" t="str">
        <f>IF(OR(COTIZACION!$C$19="-",COTIZACION!$C$19=""),"No Aplica",COTIZACION!$E$19)</f>
        <v>No Aplica</v>
      </c>
      <c r="K16" s="95" t="str">
        <f>IF(J16="No Aplica","","M.N")</f>
        <v/>
      </c>
    </row>
    <row r="17" spans="1:12" ht="12.75" customHeight="1">
      <c r="A17" s="2"/>
      <c r="B17" s="99"/>
      <c r="C17" s="100"/>
      <c r="D17" s="99"/>
      <c r="E17" s="101"/>
      <c r="F17" s="101"/>
      <c r="G17" s="101"/>
      <c r="H17" s="101"/>
      <c r="I17" s="102"/>
      <c r="J17" s="101"/>
    </row>
    <row r="18" spans="1:12" ht="18" customHeight="1">
      <c r="B18" s="283" t="s">
        <v>5</v>
      </c>
      <c r="C18" s="283"/>
      <c r="D18" s="283"/>
      <c r="E18" s="283"/>
      <c r="F18" s="283"/>
      <c r="G18" s="283"/>
      <c r="H18" s="283"/>
      <c r="I18" s="283"/>
      <c r="J18" s="283"/>
      <c r="K18" s="283"/>
      <c r="L18" s="283"/>
    </row>
    <row r="19" spans="1:12" s="100" customFormat="1" ht="12.75" customHeight="1">
      <c r="B19" s="109"/>
      <c r="C19" s="109"/>
      <c r="D19" s="109"/>
      <c r="E19" s="109"/>
      <c r="F19" s="109"/>
      <c r="G19" s="109"/>
      <c r="H19" s="109"/>
      <c r="I19" s="109"/>
      <c r="J19" s="109"/>
    </row>
    <row r="20" spans="1:12" s="2" customFormat="1" ht="11.25" customHeight="1">
      <c r="A20" s="1"/>
      <c r="B20" s="296" t="s">
        <v>6</v>
      </c>
      <c r="C20" s="296"/>
      <c r="D20" s="296"/>
      <c r="E20" s="296"/>
      <c r="F20" s="296"/>
      <c r="G20" s="287" t="s">
        <v>709</v>
      </c>
      <c r="H20" s="287" t="s">
        <v>7</v>
      </c>
      <c r="I20" s="287" t="s">
        <v>4</v>
      </c>
      <c r="J20" s="287" t="s">
        <v>8</v>
      </c>
      <c r="K20" s="287" t="s">
        <v>85</v>
      </c>
      <c r="L20" s="284" t="s">
        <v>32</v>
      </c>
    </row>
    <row r="21" spans="1:12" s="2" customFormat="1" ht="11.25" customHeight="1">
      <c r="B21" s="296"/>
      <c r="C21" s="296"/>
      <c r="D21" s="296"/>
      <c r="E21" s="296"/>
      <c r="F21" s="296"/>
      <c r="G21" s="288"/>
      <c r="H21" s="288"/>
      <c r="I21" s="288"/>
      <c r="J21" s="288"/>
      <c r="K21" s="288"/>
      <c r="L21" s="285"/>
    </row>
    <row r="22" spans="1:12" s="2" customFormat="1" ht="11.5">
      <c r="A22" s="74">
        <f t="shared" ref="A22:A29" si="0">IF(AND(I22&lt;&gt;"",I22&gt;69),1,0)</f>
        <v>0</v>
      </c>
      <c r="B22" s="302" t="str">
        <f>IF(OR(COTIZACION!$E24="",COTIZACION!$C24="",COTIZACION!$F24="",COTIZACION!$D24=""),"",IF(COTIZACION!$E$36=0,"",COTIZACION!C24))</f>
        <v/>
      </c>
      <c r="C22" s="302" t="e">
        <f>IF(OR(COTIZACION!$E24="",COTIZACION!#REF!="",COTIZACION!$C24="",COTIZACION!$F24="",COTIZACION!#REF!="",COTIZACION!#REF!=""),"",COTIZACION!A24)</f>
        <v>#REF!</v>
      </c>
      <c r="D22" s="302" t="e">
        <f>IF(OR(COTIZACION!$E24="",COTIZACION!#REF!="",COTIZACION!$C24="",COTIZACION!$F24="",COTIZACION!#REF!="",COTIZACION!#REF!=""),"",COTIZACION!B24)</f>
        <v>#REF!</v>
      </c>
      <c r="E22" s="302" t="e">
        <f>IF(OR(COTIZACION!$E24="",COTIZACION!#REF!="",COTIZACION!$C24="",COTIZACION!$F24="",COTIZACION!#REF!="",COTIZACION!#REF!=""),"",COTIZACION!C24)</f>
        <v>#REF!</v>
      </c>
      <c r="F22" s="302" t="e">
        <f>IF(OR(COTIZACION!$E24="",COTIZACION!#REF!="",COTIZACION!$C24="",COTIZACION!$F24="",COTIZACION!#REF!="",COTIZACION!#REF!=""),"",COTIZACION!#REF!)</f>
        <v>#REF!</v>
      </c>
      <c r="G22" s="241" t="str">
        <f>IF(B22="","",COTIZACION!F24)</f>
        <v/>
      </c>
      <c r="H22" s="77" t="str">
        <f>IF(B22="","",COTIZACION!D24)</f>
        <v/>
      </c>
      <c r="I22" s="77" t="str">
        <f>IF(OR(COTIZACION!$E24="",COTIZACION!$C24="",COTIZACION!$F24=""),"",IF(COTIZACION!$E$36=0,"",COTIZACION!E24))</f>
        <v/>
      </c>
      <c r="J22" s="77" t="str">
        <f>IF(I22="","",COTIZACION!B24)</f>
        <v/>
      </c>
      <c r="K22" s="77" t="str">
        <f>IF(J22="","",VLOOKUP(COTIZACION!F24,FACTORES!$AO$2:$AP$299,2,0))</f>
        <v/>
      </c>
      <c r="L22" s="103" t="str">
        <f>+'IMPRESION AGENTE'!L22</f>
        <v/>
      </c>
    </row>
    <row r="23" spans="1:12" s="2" customFormat="1" ht="11.5">
      <c r="A23" s="74">
        <f t="shared" si="0"/>
        <v>0</v>
      </c>
      <c r="B23" s="300" t="str">
        <f>IF(OR(COTIZACION!$E25="",COTIZACION!$C25="",COTIZACION!$F25="",COTIZACION!$D25=""),"",IF(COTIZACION!$E$36=0,"",COTIZACION!C25))</f>
        <v/>
      </c>
      <c r="C23" s="300" t="e">
        <f>IF(OR(COTIZACION!$E25="",COTIZACION!#REF!="",COTIZACION!$C25="",COTIZACION!$F25="",COTIZACION!#REF!="",COTIZACION!#REF!=""),"",COTIZACION!A25)</f>
        <v>#REF!</v>
      </c>
      <c r="D23" s="300" t="e">
        <f>IF(OR(COTIZACION!$E25="",COTIZACION!#REF!="",COTIZACION!$C25="",COTIZACION!$F25="",COTIZACION!#REF!="",COTIZACION!#REF!=""),"",COTIZACION!B25)</f>
        <v>#REF!</v>
      </c>
      <c r="E23" s="300" t="e">
        <f>IF(OR(COTIZACION!$E25="",COTIZACION!#REF!="",COTIZACION!$C25="",COTIZACION!$F25="",COTIZACION!#REF!="",COTIZACION!#REF!=""),"",COTIZACION!C25)</f>
        <v>#REF!</v>
      </c>
      <c r="F23" s="300" t="e">
        <f>IF(OR(COTIZACION!$E25="",COTIZACION!#REF!="",COTIZACION!$C25="",COTIZACION!$F25="",COTIZACION!#REF!="",COTIZACION!#REF!=""),"",COTIZACION!#REF!)</f>
        <v>#REF!</v>
      </c>
      <c r="G23" s="249" t="str">
        <f>IF(B23="","",COTIZACION!F25)</f>
        <v/>
      </c>
      <c r="H23" s="114" t="str">
        <f>IF(B23="","",COTIZACION!D25)</f>
        <v/>
      </c>
      <c r="I23" s="114" t="str">
        <f>IF(OR(COTIZACION!$E25="",COTIZACION!$C25="",COTIZACION!$F25=""),"",IF(COTIZACION!$E$36=0,"",COTIZACION!E25))</f>
        <v/>
      </c>
      <c r="J23" s="114" t="str">
        <f>IF(I23="","",COTIZACION!B25)</f>
        <v/>
      </c>
      <c r="K23" s="114" t="str">
        <f>IF(J23="","",VLOOKUP(COTIZACION!F25,FACTORES!$AO$2:$AP$299,2,0))</f>
        <v/>
      </c>
      <c r="L23" s="115" t="str">
        <f>+'IMPRESION AGENTE'!L23</f>
        <v/>
      </c>
    </row>
    <row r="24" spans="1:12" s="2" customFormat="1" ht="11.5">
      <c r="A24" s="74">
        <f t="shared" si="0"/>
        <v>0</v>
      </c>
      <c r="B24" s="299" t="str">
        <f>IF(OR(COTIZACION!$E26="",COTIZACION!$C26="",COTIZACION!$F26="",COTIZACION!$D26=""),"",IF(COTIZACION!$E$36=0,"",COTIZACION!C26))</f>
        <v/>
      </c>
      <c r="C24" s="299" t="e">
        <f>IF(OR(COTIZACION!$E26="",COTIZACION!#REF!="",COTIZACION!$C26="",COTIZACION!$F26="",COTIZACION!#REF!="",COTIZACION!#REF!=""),"",COTIZACION!A26)</f>
        <v>#REF!</v>
      </c>
      <c r="D24" s="299" t="e">
        <f>IF(OR(COTIZACION!$E26="",COTIZACION!#REF!="",COTIZACION!$C26="",COTIZACION!$F26="",COTIZACION!#REF!="",COTIZACION!#REF!=""),"",COTIZACION!B26)</f>
        <v>#REF!</v>
      </c>
      <c r="E24" s="299" t="e">
        <f>IF(OR(COTIZACION!$E26="",COTIZACION!#REF!="",COTIZACION!$C26="",COTIZACION!$F26="",COTIZACION!#REF!="",COTIZACION!#REF!=""),"",COTIZACION!C26)</f>
        <v>#REF!</v>
      </c>
      <c r="F24" s="299" t="e">
        <f>IF(OR(COTIZACION!$E26="",COTIZACION!#REF!="",COTIZACION!$C26="",COTIZACION!$F26="",COTIZACION!#REF!="",COTIZACION!#REF!=""),"",COTIZACION!#REF!)</f>
        <v>#REF!</v>
      </c>
      <c r="G24" s="241" t="str">
        <f>IF(B24="","",COTIZACION!F26)</f>
        <v/>
      </c>
      <c r="H24" s="77" t="str">
        <f>IF(B24="","",COTIZACION!D26)</f>
        <v/>
      </c>
      <c r="I24" s="77" t="str">
        <f>IF(OR(COTIZACION!$E26="",COTIZACION!$C26="",COTIZACION!$F26=""),"",IF(COTIZACION!$E$36=0,"",COTIZACION!E26))</f>
        <v/>
      </c>
      <c r="J24" s="77" t="str">
        <f>IF(I24="","",COTIZACION!B26)</f>
        <v/>
      </c>
      <c r="K24" s="77" t="str">
        <f>IF(J24="","",VLOOKUP(COTIZACION!F26,FACTORES!$AO$2:$AP$299,2,0))</f>
        <v/>
      </c>
      <c r="L24" s="103" t="str">
        <f>+'IMPRESION AGENTE'!L24</f>
        <v/>
      </c>
    </row>
    <row r="25" spans="1:12" s="2" customFormat="1" ht="11.5">
      <c r="A25" s="74">
        <f t="shared" si="0"/>
        <v>0</v>
      </c>
      <c r="B25" s="300" t="str">
        <f>IF(OR(COTIZACION!$E27="",COTIZACION!$C27="",COTIZACION!$F27="",COTIZACION!$D27=""),"",IF(COTIZACION!$E$36=0,"",COTIZACION!C27))</f>
        <v/>
      </c>
      <c r="C25" s="300" t="e">
        <f>IF(OR(COTIZACION!$E27="",COTIZACION!#REF!="",COTIZACION!$C27="",COTIZACION!$F27="",COTIZACION!#REF!="",COTIZACION!#REF!=""),"",COTIZACION!A27)</f>
        <v>#REF!</v>
      </c>
      <c r="D25" s="300" t="e">
        <f>IF(OR(COTIZACION!$E27="",COTIZACION!#REF!="",COTIZACION!$C27="",COTIZACION!$F27="",COTIZACION!#REF!="",COTIZACION!#REF!=""),"",COTIZACION!B27)</f>
        <v>#REF!</v>
      </c>
      <c r="E25" s="300" t="e">
        <f>IF(OR(COTIZACION!$E27="",COTIZACION!#REF!="",COTIZACION!$C27="",COTIZACION!$F27="",COTIZACION!#REF!="",COTIZACION!#REF!=""),"",COTIZACION!C27)</f>
        <v>#REF!</v>
      </c>
      <c r="F25" s="300" t="e">
        <f>IF(OR(COTIZACION!$E27="",COTIZACION!#REF!="",COTIZACION!$C27="",COTIZACION!$F27="",COTIZACION!#REF!="",COTIZACION!#REF!=""),"",COTIZACION!#REF!)</f>
        <v>#REF!</v>
      </c>
      <c r="G25" s="249" t="str">
        <f>IF(B25="","",COTIZACION!F27)</f>
        <v/>
      </c>
      <c r="H25" s="114" t="str">
        <f>IF(B25="","",COTIZACION!D27)</f>
        <v/>
      </c>
      <c r="I25" s="114" t="str">
        <f>IF(OR(COTIZACION!$E27="",COTIZACION!$C27="",COTIZACION!$F27=""),"",IF(COTIZACION!$E$36=0,"",COTIZACION!E27))</f>
        <v/>
      </c>
      <c r="J25" s="114" t="str">
        <f>IF(I25="","",COTIZACION!B27)</f>
        <v/>
      </c>
      <c r="K25" s="114" t="str">
        <f>IF(J25="","",VLOOKUP(COTIZACION!F27,FACTORES!$AO$2:$AP$299,2,0))</f>
        <v/>
      </c>
      <c r="L25" s="116" t="str">
        <f>+'IMPRESION AGENTE'!L25</f>
        <v/>
      </c>
    </row>
    <row r="26" spans="1:12" s="2" customFormat="1" ht="11.5">
      <c r="A26" s="74">
        <f t="shared" si="0"/>
        <v>0</v>
      </c>
      <c r="B26" s="299" t="str">
        <f>IF(OR(COTIZACION!$E28="",COTIZACION!$C28="",COTIZACION!$F28="",COTIZACION!$D28=""),"",IF(COTIZACION!$E$36=0,"",COTIZACION!C28))</f>
        <v/>
      </c>
      <c r="C26" s="299" t="e">
        <f>IF(OR(COTIZACION!$E28="",COTIZACION!#REF!="",COTIZACION!$C28="",COTIZACION!$F28="",COTIZACION!#REF!="",COTIZACION!#REF!=""),"",COTIZACION!A28)</f>
        <v>#REF!</v>
      </c>
      <c r="D26" s="299" t="e">
        <f>IF(OR(COTIZACION!$E28="",COTIZACION!#REF!="",COTIZACION!$C28="",COTIZACION!$F28="",COTIZACION!#REF!="",COTIZACION!#REF!=""),"",COTIZACION!B28)</f>
        <v>#REF!</v>
      </c>
      <c r="E26" s="299" t="e">
        <f>IF(OR(COTIZACION!$E28="",COTIZACION!#REF!="",COTIZACION!$C28="",COTIZACION!$F28="",COTIZACION!#REF!="",COTIZACION!#REF!=""),"",COTIZACION!C28)</f>
        <v>#REF!</v>
      </c>
      <c r="F26" s="299" t="e">
        <f>IF(OR(COTIZACION!$E28="",COTIZACION!#REF!="",COTIZACION!$C28="",COTIZACION!$F28="",COTIZACION!#REF!="",COTIZACION!#REF!=""),"",COTIZACION!#REF!)</f>
        <v>#REF!</v>
      </c>
      <c r="G26" s="241" t="str">
        <f>IF(B26="","",COTIZACION!F28)</f>
        <v/>
      </c>
      <c r="H26" s="77" t="str">
        <f>IF(B26="","",COTIZACION!D28)</f>
        <v/>
      </c>
      <c r="I26" s="77" t="str">
        <f>IF(OR(COTIZACION!$E28="",COTIZACION!$C28="",COTIZACION!$F28=""),"",IF(COTIZACION!$E$36=0,"",COTIZACION!E28))</f>
        <v/>
      </c>
      <c r="J26" s="77" t="str">
        <f>IF(I26="","",COTIZACION!B28)</f>
        <v/>
      </c>
      <c r="K26" s="77" t="str">
        <f>IF(J26="","",VLOOKUP(COTIZACION!F28,FACTORES!$AO$2:$AP$299,2,0))</f>
        <v/>
      </c>
      <c r="L26" s="104" t="str">
        <f>+'IMPRESION AGENTE'!L26</f>
        <v/>
      </c>
    </row>
    <row r="27" spans="1:12" s="2" customFormat="1" ht="11.5">
      <c r="A27" s="74">
        <f t="shared" si="0"/>
        <v>0</v>
      </c>
      <c r="B27" s="300" t="str">
        <f>IF(OR(COTIZACION!$E29="",COTIZACION!$C29="",COTIZACION!$F29="",COTIZACION!$D29=""),"",IF(COTIZACION!$E$36=0,"",COTIZACION!C29))</f>
        <v/>
      </c>
      <c r="C27" s="300" t="e">
        <f>IF(OR(COTIZACION!$E29="",COTIZACION!#REF!="",COTIZACION!$C29="",COTIZACION!$F29="",COTIZACION!#REF!="",COTIZACION!#REF!=""),"",COTIZACION!A29)</f>
        <v>#REF!</v>
      </c>
      <c r="D27" s="300" t="e">
        <f>IF(OR(COTIZACION!$E29="",COTIZACION!#REF!="",COTIZACION!$C29="",COTIZACION!$F29="",COTIZACION!#REF!="",COTIZACION!#REF!=""),"",COTIZACION!B29)</f>
        <v>#REF!</v>
      </c>
      <c r="E27" s="300" t="e">
        <f>IF(OR(COTIZACION!$E29="",COTIZACION!#REF!="",COTIZACION!$C29="",COTIZACION!$F29="",COTIZACION!#REF!="",COTIZACION!#REF!=""),"",COTIZACION!C29)</f>
        <v>#REF!</v>
      </c>
      <c r="F27" s="300" t="e">
        <f>IF(OR(COTIZACION!$E29="",COTIZACION!#REF!="",COTIZACION!$C29="",COTIZACION!$F29="",COTIZACION!#REF!="",COTIZACION!#REF!=""),"",COTIZACION!#REF!)</f>
        <v>#REF!</v>
      </c>
      <c r="G27" s="249" t="str">
        <f>IF(B27="","",COTIZACION!F29)</f>
        <v/>
      </c>
      <c r="H27" s="114" t="str">
        <f>IF(B27="","",COTIZACION!D29)</f>
        <v/>
      </c>
      <c r="I27" s="114" t="str">
        <f>IF(OR(COTIZACION!$E29="",COTIZACION!$C29="",COTIZACION!$F29=""),"",IF(COTIZACION!$E$36=0,"",COTIZACION!E29))</f>
        <v/>
      </c>
      <c r="J27" s="114" t="str">
        <f>IF(I27="","",COTIZACION!B29)</f>
        <v/>
      </c>
      <c r="K27" s="114" t="str">
        <f>IF(J27="","",VLOOKUP(COTIZACION!F29,FACTORES!$AO$2:$AP$299,2,0))</f>
        <v/>
      </c>
      <c r="L27" s="116" t="str">
        <f>+'IMPRESION AGENTE'!L27</f>
        <v/>
      </c>
    </row>
    <row r="28" spans="1:12" s="2" customFormat="1" ht="11.5">
      <c r="A28" s="74">
        <f t="shared" si="0"/>
        <v>0</v>
      </c>
      <c r="B28" s="299" t="str">
        <f>IF(OR(COTIZACION!$E30="",COTIZACION!$C30="",COTIZACION!$F30="",COTIZACION!$D30=""),"",IF(COTIZACION!$E$36=0,"",COTIZACION!C30))</f>
        <v/>
      </c>
      <c r="C28" s="299" t="e">
        <f>IF(OR(COTIZACION!$E30="",COTIZACION!#REF!="",COTIZACION!$C30="",COTIZACION!$F30="",COTIZACION!#REF!="",COTIZACION!#REF!=""),"",COTIZACION!A30)</f>
        <v>#REF!</v>
      </c>
      <c r="D28" s="299" t="e">
        <f>IF(OR(COTIZACION!$E30="",COTIZACION!#REF!="",COTIZACION!$C30="",COTIZACION!$F30="",COTIZACION!#REF!="",COTIZACION!#REF!=""),"",COTIZACION!B30)</f>
        <v>#REF!</v>
      </c>
      <c r="E28" s="299" t="e">
        <f>IF(OR(COTIZACION!$E30="",COTIZACION!#REF!="",COTIZACION!$C30="",COTIZACION!$F30="",COTIZACION!#REF!="",COTIZACION!#REF!=""),"",COTIZACION!C30)</f>
        <v>#REF!</v>
      </c>
      <c r="F28" s="299" t="e">
        <f>IF(OR(COTIZACION!$E30="",COTIZACION!#REF!="",COTIZACION!$C30="",COTIZACION!$F30="",COTIZACION!#REF!="",COTIZACION!#REF!=""),"",COTIZACION!#REF!)</f>
        <v>#REF!</v>
      </c>
      <c r="G28" s="241" t="str">
        <f>IF(B28="","",COTIZACION!F30)</f>
        <v/>
      </c>
      <c r="H28" s="77" t="str">
        <f>IF(B28="","",COTIZACION!D30)</f>
        <v/>
      </c>
      <c r="I28" s="77" t="str">
        <f>IF(OR(COTIZACION!$E30="",COTIZACION!$C30="",COTIZACION!$F30=""),"",IF(COTIZACION!$E$36=0,"",COTIZACION!E30))</f>
        <v/>
      </c>
      <c r="J28" s="77" t="str">
        <f>IF(I28="","",COTIZACION!B30)</f>
        <v/>
      </c>
      <c r="K28" s="77" t="str">
        <f>IF(J28="","",VLOOKUP(COTIZACION!F30,FACTORES!$AO$2:$AP$299,2,0))</f>
        <v/>
      </c>
      <c r="L28" s="104" t="str">
        <f>+'IMPRESION AGENTE'!L28</f>
        <v/>
      </c>
    </row>
    <row r="29" spans="1:12" s="2" customFormat="1" ht="11.5">
      <c r="A29" s="74">
        <f t="shared" si="0"/>
        <v>0</v>
      </c>
      <c r="B29" s="301" t="str">
        <f>IF(OR(COTIZACION!$E31="",COTIZACION!$C31="",COTIZACION!$F31="",COTIZACION!$D31=""),"",IF(COTIZACION!$E$36=0,"",COTIZACION!C31))</f>
        <v/>
      </c>
      <c r="C29" s="301" t="e">
        <f>IF(OR(COTIZACION!$E31="",COTIZACION!#REF!="",COTIZACION!$C31="",COTIZACION!$F31="",COTIZACION!#REF!="",COTIZACION!#REF!=""),"",COTIZACION!A31)</f>
        <v>#REF!</v>
      </c>
      <c r="D29" s="301" t="e">
        <f>IF(OR(COTIZACION!$E31="",COTIZACION!#REF!="",COTIZACION!$C31="",COTIZACION!$F31="",COTIZACION!#REF!="",COTIZACION!#REF!=""),"",COTIZACION!B31)</f>
        <v>#REF!</v>
      </c>
      <c r="E29" s="301" t="e">
        <f>IF(OR(COTIZACION!$E31="",COTIZACION!#REF!="",COTIZACION!$C31="",COTIZACION!$F31="",COTIZACION!#REF!="",COTIZACION!#REF!=""),"",COTIZACION!C31)</f>
        <v>#REF!</v>
      </c>
      <c r="F29" s="301" t="e">
        <f>IF(OR(COTIZACION!$E31="",COTIZACION!#REF!="",COTIZACION!$C31="",COTIZACION!$F31="",COTIZACION!#REF!="",COTIZACION!#REF!=""),"",COTIZACION!#REF!)</f>
        <v>#REF!</v>
      </c>
      <c r="G29" s="248" t="str">
        <f>IF(B29="","",COTIZACION!F31)</f>
        <v/>
      </c>
      <c r="H29" s="117" t="str">
        <f>IF(B29="","",COTIZACION!D31)</f>
        <v/>
      </c>
      <c r="I29" s="117" t="str">
        <f>IF(OR(COTIZACION!$E31="",COTIZACION!$C31="",COTIZACION!$F31=""),"",IF(COTIZACION!$E$36=0,"",COTIZACION!E31))</f>
        <v/>
      </c>
      <c r="J29" s="117" t="str">
        <f>IF(I29="","",COTIZACION!B31)</f>
        <v/>
      </c>
      <c r="K29" s="117" t="str">
        <f>IF(J29="","",VLOOKUP(COTIZACION!F31,FACTORES!$AO$2:$AP$299,2,0))</f>
        <v/>
      </c>
      <c r="L29" s="118" t="str">
        <f>+'IMPRESION AGENTE'!L29</f>
        <v/>
      </c>
    </row>
    <row r="30" spans="1:12" s="2" customFormat="1" ht="11.5">
      <c r="B30" s="1"/>
      <c r="C30" s="1"/>
      <c r="D30" s="1"/>
      <c r="E30" s="1"/>
      <c r="F30" s="1"/>
      <c r="G30" s="1"/>
      <c r="J30" s="12" t="str">
        <f>+IF(COTIZACION!$D$7="ANUAL","Prima Total Anual","Prima Total")</f>
        <v>Prima Total Anual</v>
      </c>
      <c r="K30" s="13"/>
      <c r="L30" s="14">
        <f>+'IMPRESION AGENTE'!L30</f>
        <v>0</v>
      </c>
    </row>
    <row r="31" spans="1:12" s="2" customFormat="1" ht="11.5">
      <c r="B31" s="1"/>
      <c r="C31" s="1"/>
      <c r="D31" s="1"/>
      <c r="E31" s="1"/>
      <c r="F31" s="1"/>
      <c r="G31" s="9"/>
      <c r="J31" s="15" t="s">
        <v>9</v>
      </c>
      <c r="K31" s="15"/>
      <c r="L31" s="16">
        <f>+'IMPRESION AGENTE'!L31</f>
        <v>0</v>
      </c>
    </row>
    <row r="32" spans="1:12" s="2" customFormat="1" ht="11.5">
      <c r="B32" s="1"/>
      <c r="C32" s="1"/>
      <c r="D32" s="1"/>
      <c r="E32" s="1"/>
      <c r="F32" s="1"/>
      <c r="G32" s="9"/>
      <c r="J32" s="15" t="s">
        <v>10</v>
      </c>
      <c r="K32" s="15"/>
      <c r="L32" s="14">
        <f>+'IMPRESION AGENTE'!L32</f>
        <v>0</v>
      </c>
    </row>
    <row r="33" spans="1:12" s="2" customFormat="1" ht="15.75" customHeight="1">
      <c r="B33" s="1"/>
      <c r="E33" s="9"/>
      <c r="F33" s="9"/>
      <c r="G33" s="9"/>
      <c r="J33" s="15" t="s">
        <v>11</v>
      </c>
      <c r="K33" s="15"/>
      <c r="L33" s="16">
        <f>+'IMPRESION AGENTE'!L33</f>
        <v>0</v>
      </c>
    </row>
    <row r="34" spans="1:12" ht="12.75" customHeight="1">
      <c r="A34" s="2"/>
      <c r="E34" s="9"/>
      <c r="F34" s="9"/>
      <c r="G34" s="9"/>
      <c r="J34" s="119" t="str">
        <f>+IF(COTIZACION!$D$7="ANUAL","Prima Total Anual","Prima Total")</f>
        <v>Prima Total Anual</v>
      </c>
      <c r="K34" s="119"/>
      <c r="L34" s="120">
        <f>+'IMPRESION AGENTE'!L34</f>
        <v>0</v>
      </c>
    </row>
    <row r="35" spans="1:12" ht="12.75" customHeight="1">
      <c r="A35" s="2"/>
      <c r="E35" s="9"/>
      <c r="F35" s="9"/>
      <c r="G35" s="9"/>
    </row>
    <row r="36" spans="1:12" ht="12.75" customHeight="1">
      <c r="A36" s="2"/>
      <c r="G36" s="9"/>
    </row>
    <row r="37" spans="1:12" ht="15.5">
      <c r="B37" s="297" t="s">
        <v>33</v>
      </c>
      <c r="C37" s="298"/>
      <c r="D37" s="293" t="str">
        <f>IF(COTIZACION!C49="","",CONCATENATE(COTIZACION!C49," ",COTIZACION!D49))</f>
        <v/>
      </c>
      <c r="E37" s="294"/>
      <c r="F37" s="295"/>
    </row>
    <row r="38" spans="1:12" ht="16.5" customHeight="1">
      <c r="B38" s="122"/>
      <c r="C38" s="122"/>
      <c r="D38" s="123"/>
      <c r="E38" s="123"/>
      <c r="F38" s="123"/>
    </row>
    <row r="39" spans="1:12" ht="23">
      <c r="B39" s="291" t="s">
        <v>36</v>
      </c>
      <c r="C39" s="292"/>
      <c r="D39" s="112" t="s">
        <v>37</v>
      </c>
      <c r="E39" s="112" t="s">
        <v>38</v>
      </c>
      <c r="F39" s="112" t="s">
        <v>39</v>
      </c>
      <c r="G39" s="9"/>
    </row>
    <row r="40" spans="1:12" ht="13" customHeight="1">
      <c r="B40" s="91" t="str">
        <f>+COTIZACION!B36</f>
        <v>ANUAL</v>
      </c>
      <c r="C40" s="90"/>
      <c r="D40" s="226">
        <f>+'IMPRESION AGENTE'!D40</f>
        <v>0</v>
      </c>
      <c r="E40" s="227">
        <f>+'IMPRESION AGENTE'!E40</f>
        <v>0</v>
      </c>
      <c r="F40" s="226">
        <f>+'IMPRESION AGENTE'!F40</f>
        <v>0</v>
      </c>
      <c r="G40" s="9"/>
    </row>
    <row r="41" spans="1:12" ht="13" customHeight="1">
      <c r="B41" s="91" t="str">
        <f>"SEMESTRAL    (Recargo "&amp;COTIZACION!C43*100&amp;"%)"</f>
        <v>SEMESTRAL    (Recargo 4.73%)</v>
      </c>
      <c r="C41" s="90"/>
      <c r="D41" s="227">
        <f>+'IMPRESION AGENTE'!D41</f>
        <v>0</v>
      </c>
      <c r="E41" s="227">
        <f>+'IMPRESION AGENTE'!E41</f>
        <v>0</v>
      </c>
      <c r="F41" s="226">
        <f>+'IMPRESION AGENTE'!F41</f>
        <v>0</v>
      </c>
      <c r="G41" s="9"/>
    </row>
    <row r="42" spans="1:12" ht="13" customHeight="1">
      <c r="B42" s="91" t="str">
        <f>"TRIMESTRAL  (Recargo "&amp;COTIZACION!C44*100&amp;"%)"</f>
        <v>TRIMESTRAL  (Recargo 6.99%)</v>
      </c>
      <c r="C42" s="92"/>
      <c r="D42" s="227">
        <f>+'IMPRESION AGENTE'!D42</f>
        <v>0</v>
      </c>
      <c r="E42" s="227">
        <f>+'IMPRESION AGENTE'!E42</f>
        <v>0</v>
      </c>
      <c r="F42" s="226">
        <f>+'IMPRESION AGENTE'!F42</f>
        <v>0</v>
      </c>
    </row>
    <row r="43" spans="1:12" ht="13" customHeight="1">
      <c r="B43" s="91" t="str">
        <f>"MENSUAL        (Recargo "&amp;COTIZACION!C45*100&amp;"%)"</f>
        <v>MENSUAL        (Recargo 9.99%)</v>
      </c>
      <c r="C43" s="92"/>
      <c r="D43" s="227">
        <f>+'IMPRESION AGENTE'!D43</f>
        <v>0</v>
      </c>
      <c r="E43" s="227">
        <f>+'IMPRESION AGENTE'!E43</f>
        <v>0</v>
      </c>
      <c r="F43" s="226">
        <f>+'IMPRESION AGENTE'!F43</f>
        <v>0</v>
      </c>
    </row>
    <row r="44" spans="1:12" ht="13" customHeight="1">
      <c r="B44" s="245"/>
      <c r="C44" s="246"/>
      <c r="D44" s="42"/>
      <c r="E44" s="42"/>
      <c r="F44" s="247"/>
    </row>
    <row r="45" spans="1:12" ht="10"/>
    <row r="46" spans="1:12" ht="12.75" customHeight="1">
      <c r="A46" s="257"/>
      <c r="B46" s="280" t="s">
        <v>16</v>
      </c>
      <c r="C46" s="280"/>
      <c r="D46" s="280"/>
      <c r="E46" s="280"/>
      <c r="F46" s="280"/>
      <c r="G46" s="280"/>
      <c r="H46" s="280"/>
      <c r="I46" s="280"/>
      <c r="J46" s="280"/>
      <c r="K46" s="257"/>
      <c r="L46" s="257"/>
    </row>
    <row r="47" spans="1:12" ht="12.75" customHeight="1">
      <c r="A47" s="257"/>
      <c r="B47" s="258" t="s">
        <v>27</v>
      </c>
      <c r="C47" s="256"/>
      <c r="D47" s="256"/>
      <c r="E47" s="256"/>
      <c r="F47" s="256"/>
      <c r="G47" s="256"/>
      <c r="H47" s="256"/>
      <c r="I47" s="256"/>
      <c r="J47" s="256"/>
      <c r="K47" s="257"/>
      <c r="L47" s="257"/>
    </row>
    <row r="48" spans="1:12" ht="12.75" customHeight="1">
      <c r="A48" s="257"/>
      <c r="B48" s="258" t="s">
        <v>28</v>
      </c>
      <c r="C48" s="256"/>
      <c r="D48" s="256"/>
      <c r="E48" s="256"/>
      <c r="F48" s="256"/>
      <c r="G48" s="256"/>
      <c r="H48" s="256"/>
      <c r="I48" s="256"/>
      <c r="J48" s="256"/>
      <c r="K48" s="257"/>
      <c r="L48" s="257"/>
    </row>
    <row r="49" spans="1:12" ht="2.25" customHeight="1">
      <c r="A49" s="257"/>
      <c r="B49" s="258"/>
      <c r="C49" s="256"/>
      <c r="D49" s="256"/>
      <c r="E49" s="256"/>
      <c r="F49" s="256"/>
      <c r="G49" s="256"/>
      <c r="H49" s="256"/>
      <c r="I49" s="256"/>
      <c r="J49" s="256"/>
      <c r="K49" s="257"/>
      <c r="L49" s="257"/>
    </row>
    <row r="50" spans="1:12" ht="10.5" customHeight="1">
      <c r="A50" s="257"/>
      <c r="B50" s="280" t="s">
        <v>726</v>
      </c>
      <c r="C50" s="280"/>
      <c r="D50" s="280"/>
      <c r="E50" s="280"/>
      <c r="F50" s="280"/>
      <c r="G50" s="280"/>
      <c r="H50" s="280"/>
      <c r="I50" s="280"/>
      <c r="J50" s="280"/>
      <c r="K50" s="257"/>
      <c r="L50" s="257"/>
    </row>
    <row r="51" spans="1:12" ht="0.75" customHeight="1">
      <c r="A51" s="257"/>
      <c r="B51" s="82"/>
      <c r="C51" s="82"/>
      <c r="D51" s="82"/>
      <c r="E51" s="82"/>
      <c r="F51" s="82"/>
      <c r="G51" s="82"/>
      <c r="H51" s="82"/>
      <c r="I51" s="82"/>
      <c r="J51" s="82"/>
      <c r="K51" s="257"/>
      <c r="L51" s="257"/>
    </row>
    <row r="52" spans="1:12" ht="15.75" customHeight="1">
      <c r="A52" s="257"/>
      <c r="B52" s="280" t="s">
        <v>716</v>
      </c>
      <c r="C52" s="280"/>
      <c r="D52" s="280"/>
      <c r="E52" s="280"/>
      <c r="F52" s="280"/>
      <c r="G52" s="280"/>
      <c r="H52" s="280"/>
      <c r="I52" s="280"/>
      <c r="J52" s="280"/>
      <c r="K52" s="280"/>
      <c r="L52" s="280"/>
    </row>
    <row r="53" spans="1:12" ht="15.75" customHeight="1">
      <c r="A53" s="257"/>
      <c r="B53" s="280" t="s">
        <v>727</v>
      </c>
      <c r="C53" s="280"/>
      <c r="D53" s="280"/>
      <c r="E53" s="280"/>
      <c r="F53" s="280"/>
      <c r="G53" s="280"/>
      <c r="H53" s="82"/>
      <c r="I53" s="82"/>
      <c r="J53" s="82"/>
      <c r="K53" s="82"/>
      <c r="L53" s="82"/>
    </row>
    <row r="54" spans="1:12" ht="15.75" customHeight="1">
      <c r="A54" s="257"/>
      <c r="B54" s="280" t="s">
        <v>717</v>
      </c>
      <c r="C54" s="280"/>
      <c r="D54" s="280"/>
      <c r="E54" s="280"/>
      <c r="F54" s="280"/>
      <c r="G54" s="280"/>
      <c r="H54" s="82"/>
      <c r="I54" s="82"/>
      <c r="J54" s="82"/>
      <c r="K54" s="82"/>
      <c r="L54" s="82"/>
    </row>
    <row r="55" spans="1:12" ht="15.75" customHeight="1">
      <c r="A55" s="257"/>
      <c r="B55" s="280" t="s">
        <v>718</v>
      </c>
      <c r="C55" s="280"/>
      <c r="D55" s="280"/>
      <c r="E55" s="280"/>
      <c r="F55" s="280"/>
      <c r="G55" s="280"/>
      <c r="H55" s="82"/>
      <c r="I55" s="82"/>
      <c r="J55" s="82"/>
      <c r="K55" s="82"/>
      <c r="L55" s="82"/>
    </row>
    <row r="56" spans="1:12" ht="13.5" customHeight="1">
      <c r="A56" s="257"/>
      <c r="B56" s="259" t="s">
        <v>729</v>
      </c>
      <c r="C56" s="82"/>
      <c r="D56" s="82"/>
      <c r="E56" s="82"/>
      <c r="F56" s="82"/>
      <c r="G56" s="82"/>
      <c r="H56" s="82"/>
      <c r="I56" s="82"/>
      <c r="J56" s="82"/>
      <c r="K56" s="257"/>
      <c r="L56" s="257"/>
    </row>
    <row r="57" spans="1:12" ht="11.25" customHeight="1">
      <c r="A57" s="85">
        <f>SUM(A22:A29)</f>
        <v>0</v>
      </c>
      <c r="B57" s="93"/>
    </row>
    <row r="58" spans="1:12" ht="15.75" customHeight="1">
      <c r="B58" s="2"/>
      <c r="C58" s="2"/>
      <c r="D58" s="2"/>
      <c r="E58" s="2"/>
    </row>
    <row r="59" spans="1:12" ht="14.25" customHeight="1">
      <c r="B59" s="2"/>
      <c r="C59" s="2"/>
      <c r="D59" s="2"/>
      <c r="E59" s="2"/>
    </row>
    <row r="60" spans="1:12" ht="15.75" customHeight="1">
      <c r="B60" s="2"/>
      <c r="C60" s="2"/>
      <c r="D60" s="2"/>
      <c r="E60" s="2"/>
    </row>
    <row r="61" spans="1:12" ht="10">
      <c r="B61" s="2"/>
      <c r="C61" s="2"/>
      <c r="D61" s="2"/>
      <c r="E61" s="2"/>
    </row>
    <row r="62" spans="1:12" ht="10" hidden="1">
      <c r="B62" s="2"/>
      <c r="C62" s="2"/>
      <c r="D62" s="2"/>
      <c r="E62" s="2"/>
    </row>
    <row r="63" spans="1:12" ht="10" hidden="1">
      <c r="C63" s="19"/>
      <c r="D63" s="19"/>
      <c r="E63" s="19"/>
    </row>
    <row r="64" spans="1:12" ht="10" hidden="1"/>
    <row r="65" ht="10" hidden="1"/>
    <row r="66" ht="10" hidden="1"/>
    <row r="67" ht="10" hidden="1"/>
    <row r="68" ht="10" hidden="1"/>
    <row r="69" ht="10" hidden="1"/>
    <row r="70" ht="10" hidden="1"/>
    <row r="71" ht="10" hidden="1"/>
    <row r="72" ht="10" hidden="1"/>
    <row r="73" ht="10" hidden="1"/>
    <row r="74" ht="10" hidden="1"/>
    <row r="75" ht="10" hidden="1"/>
    <row r="76" ht="10" hidden="1"/>
    <row r="77" ht="10" hidden="1"/>
    <row r="78" ht="10" hidden="1"/>
    <row r="79" ht="10" hidden="1"/>
    <row r="80" ht="10" hidden="1"/>
    <row r="81" ht="10" hidden="1"/>
    <row r="82" ht="10" hidden="1"/>
    <row r="83" ht="10" hidden="1"/>
    <row r="84" ht="10" hidden="1"/>
    <row r="85" ht="10" hidden="1"/>
    <row r="86" ht="10" hidden="1"/>
    <row r="87" ht="10" hidden="1"/>
    <row r="88" ht="10" hidden="1"/>
    <row r="89" ht="10" hidden="1"/>
    <row r="90" ht="10" hidden="1"/>
    <row r="91" ht="10" hidden="1"/>
    <row r="92" ht="10" hidden="1"/>
    <row r="93" ht="10" hidden="1"/>
    <row r="94" ht="10" hidden="1"/>
    <row r="95" ht="10" hidden="1"/>
    <row r="96" ht="10" hidden="1"/>
    <row r="97" ht="10" hidden="1"/>
    <row r="98" ht="10" hidden="1"/>
    <row r="99" ht="10" hidden="1"/>
    <row r="100" ht="10" hidden="1"/>
    <row r="101" ht="10" hidden="1"/>
    <row r="102" ht="10" hidden="1"/>
    <row r="103" ht="10" hidden="1"/>
    <row r="104" ht="10" hidden="1"/>
    <row r="105" ht="10" hidden="1"/>
    <row r="106" ht="10" hidden="1"/>
    <row r="107" ht="10" hidden="1"/>
    <row r="108" ht="10" hidden="1"/>
    <row r="109" ht="10" hidden="1"/>
    <row r="110" ht="10" hidden="1"/>
    <row r="111" ht="10" hidden="1"/>
    <row r="112" ht="10" hidden="1"/>
    <row r="113" ht="10" hidden="1"/>
    <row r="114" ht="10" hidden="1"/>
    <row r="115" ht="10" hidden="1"/>
    <row r="116" ht="10" hidden="1"/>
    <row r="117" ht="10" hidden="1"/>
    <row r="118" ht="10" hidden="1"/>
    <row r="119" ht="10" hidden="1"/>
    <row r="120" ht="10" hidden="1"/>
    <row r="121" ht="10" hidden="1"/>
    <row r="122" ht="10" hidden="1"/>
    <row r="123" ht="10" hidden="1"/>
    <row r="124" ht="10" hidden="1"/>
    <row r="125" ht="10" hidden="1"/>
    <row r="126" ht="10" hidden="1"/>
    <row r="127" ht="10" hidden="1"/>
    <row r="128" ht="10" hidden="1"/>
    <row r="129" ht="10" hidden="1"/>
    <row r="130" ht="10" hidden="1"/>
    <row r="131" ht="10" hidden="1"/>
    <row r="132" ht="10" hidden="1"/>
    <row r="133" ht="10" hidden="1"/>
    <row r="134" ht="10" hidden="1"/>
    <row r="135" ht="10" hidden="1"/>
    <row r="136" ht="10" hidden="1"/>
    <row r="137" ht="10" hidden="1"/>
    <row r="138" ht="10" hidden="1"/>
    <row r="139" ht="10" hidden="1"/>
    <row r="140" ht="10" hidden="1"/>
    <row r="141" ht="10" hidden="1"/>
    <row r="142" ht="10" hidden="1"/>
    <row r="143" ht="10" hidden="1"/>
    <row r="144" ht="10" hidden="1"/>
    <row r="145" ht="10" hidden="1"/>
    <row r="146" ht="10" hidden="1"/>
    <row r="147" ht="10" hidden="1"/>
    <row r="148" ht="10" hidden="1"/>
    <row r="149" ht="10" hidden="1"/>
    <row r="150" ht="10" hidden="1"/>
    <row r="151" ht="10" hidden="1"/>
    <row r="152" ht="10" hidden="1"/>
    <row r="153" ht="10" hidden="1"/>
    <row r="154" ht="10" hidden="1"/>
    <row r="155" ht="10" hidden="1"/>
    <row r="156" ht="10" hidden="1"/>
    <row r="157" ht="10" hidden="1"/>
    <row r="158" ht="10" hidden="1"/>
    <row r="159" ht="10" hidden="1"/>
    <row r="160" ht="10" hidden="1"/>
    <row r="161" spans="1:4" ht="12" hidden="1" customHeight="1"/>
    <row r="162" spans="1:4" ht="10" hidden="1"/>
    <row r="163" spans="1:4" ht="10" hidden="1"/>
    <row r="164" spans="1:4" ht="10" hidden="1"/>
    <row r="165" spans="1:4" ht="10" hidden="1"/>
    <row r="166" spans="1:4" ht="10" hidden="1"/>
    <row r="167" spans="1:4" s="9" customFormat="1" hidden="1" thickTop="1">
      <c r="A167" s="63"/>
      <c r="B167" s="123"/>
      <c r="C167" s="123"/>
      <c r="D167" s="123"/>
    </row>
    <row r="168" spans="1:4" s="9" customFormat="1" ht="10" hidden="1">
      <c r="A168" s="64"/>
      <c r="B168" s="123"/>
      <c r="C168" s="123"/>
      <c r="D168" s="123"/>
    </row>
    <row r="169" spans="1:4" s="9" customFormat="1" ht="10" hidden="1">
      <c r="A169" s="64"/>
      <c r="B169" s="123"/>
      <c r="C169" s="123"/>
      <c r="D169" s="123"/>
    </row>
    <row r="170" spans="1:4" s="9" customFormat="1" ht="10" hidden="1">
      <c r="A170" s="64"/>
      <c r="B170" s="123"/>
      <c r="C170" s="123"/>
      <c r="D170" s="123"/>
    </row>
    <row r="171" spans="1:4" s="9" customFormat="1" ht="10" hidden="1">
      <c r="A171" s="64"/>
      <c r="B171" s="123"/>
      <c r="C171" s="123"/>
      <c r="D171" s="123"/>
    </row>
    <row r="172" spans="1:4" s="9" customFormat="1" ht="10" hidden="1">
      <c r="A172" s="64"/>
      <c r="B172" s="123"/>
      <c r="C172" s="123"/>
      <c r="D172" s="123"/>
    </row>
    <row r="173" spans="1:4" s="9" customFormat="1" ht="10" hidden="1">
      <c r="A173" s="64"/>
      <c r="B173" s="123"/>
      <c r="C173" s="123"/>
      <c r="D173" s="123"/>
    </row>
    <row r="174" spans="1:4" s="9" customFormat="1" hidden="1" thickBot="1">
      <c r="A174" s="65"/>
      <c r="B174" s="123"/>
      <c r="C174" s="123"/>
      <c r="D174" s="123"/>
    </row>
    <row r="175" spans="1:4" s="9" customFormat="1" ht="10" hidden="1">
      <c r="A175" s="66"/>
    </row>
    <row r="176" spans="1:4" s="9" customFormat="1" ht="10" hidden="1">
      <c r="A176" s="67" t="s">
        <v>15</v>
      </c>
    </row>
    <row r="177" spans="1:1" s="9" customFormat="1" ht="10" hidden="1">
      <c r="A177" s="67" t="e">
        <f>IF(#REF!="ANUAL",1,IF(#REF!="SEMESTRAL",2,IF(#REF!="TRIMESTRAL",4,IF(#REF!="MENSUAL",12,1))))</f>
        <v>#REF!</v>
      </c>
    </row>
    <row r="178" spans="1:1" s="9" customFormat="1" ht="10" hidden="1">
      <c r="A178" s="66"/>
    </row>
    <row r="179" spans="1:1" s="9" customFormat="1" ht="10" hidden="1">
      <c r="A179" s="66" t="s">
        <v>1</v>
      </c>
    </row>
    <row r="180" spans="1:1" s="9" customFormat="1" ht="10" hidden="1">
      <c r="A180" s="68">
        <v>0.1</v>
      </c>
    </row>
    <row r="181" spans="1:1" s="9" customFormat="1" ht="10" hidden="1">
      <c r="A181" s="68">
        <v>0.15</v>
      </c>
    </row>
    <row r="182" spans="1:1" s="9" customFormat="1" ht="10" hidden="1">
      <c r="A182" s="66"/>
    </row>
    <row r="183" spans="1:1" s="9" customFormat="1" ht="10" hidden="1">
      <c r="A183" s="66"/>
    </row>
    <row r="184" spans="1:1" s="9" customFormat="1" ht="10" hidden="1">
      <c r="A184" s="66"/>
    </row>
    <row r="185" spans="1:1" s="9" customFormat="1" ht="10" hidden="1">
      <c r="A185" s="66"/>
    </row>
    <row r="186" spans="1:1" s="9" customFormat="1" ht="10" hidden="1">
      <c r="A186" s="66"/>
    </row>
    <row r="187" spans="1:1" s="9" customFormat="1" ht="10" hidden="1">
      <c r="A187" s="66"/>
    </row>
    <row r="188" spans="1:1" s="9" customFormat="1" ht="10" hidden="1">
      <c r="A188" s="66"/>
    </row>
    <row r="189" spans="1:1" s="9" customFormat="1" ht="10" hidden="1">
      <c r="A189" s="66"/>
    </row>
    <row r="190" spans="1:1" s="9" customFormat="1" ht="10" hidden="1">
      <c r="A190" s="66"/>
    </row>
    <row r="191" spans="1:1" s="9" customFormat="1" ht="10" hidden="1">
      <c r="A191" s="66"/>
    </row>
    <row r="192" spans="1:1" s="9" customFormat="1" ht="10" hidden="1">
      <c r="A192" s="66"/>
    </row>
    <row r="193" spans="1:1" s="9" customFormat="1" ht="10" hidden="1">
      <c r="A193" s="66"/>
    </row>
    <row r="194" spans="1:1" s="9" customFormat="1" ht="10" hidden="1">
      <c r="A194" s="66"/>
    </row>
    <row r="195" spans="1:1" s="9" customFormat="1" ht="10" hidden="1">
      <c r="A195" s="66"/>
    </row>
    <row r="196" spans="1:1" s="9" customFormat="1" ht="10" hidden="1">
      <c r="A196" s="66"/>
    </row>
    <row r="197" spans="1:1" ht="10" hidden="1"/>
    <row r="198" spans="1:1" ht="10" hidden="1"/>
    <row r="199" spans="1:1" ht="10" hidden="1"/>
    <row r="200" spans="1:1" ht="10" hidden="1"/>
    <row r="201" spans="1:1" ht="10" hidden="1"/>
    <row r="202" spans="1:1" ht="10" hidden="1"/>
    <row r="203" spans="1:1" ht="10" hidden="1"/>
    <row r="204" spans="1:1" ht="10" hidden="1"/>
    <row r="205" spans="1:1" ht="10" hidden="1"/>
    <row r="206" spans="1:1" ht="10" hidden="1"/>
    <row r="207" spans="1:1" ht="10" hidden="1"/>
    <row r="208" spans="1:1" ht="10" hidden="1"/>
    <row r="209" ht="10" hidden="1"/>
    <row r="210" ht="10" hidden="1"/>
    <row r="211" ht="10" hidden="1"/>
    <row r="212" ht="10" hidden="1"/>
    <row r="213" ht="10" hidden="1"/>
    <row r="214" ht="10" hidden="1"/>
    <row r="215" ht="10" hidden="1"/>
    <row r="216" ht="10" hidden="1"/>
    <row r="217" ht="10" hidden="1"/>
    <row r="218" ht="10" hidden="1"/>
    <row r="219" ht="10" hidden="1"/>
    <row r="220" ht="10" hidden="1"/>
    <row r="221" ht="10" hidden="1"/>
    <row r="222" ht="10" hidden="1"/>
    <row r="223" ht="10" hidden="1"/>
    <row r="224" ht="10" hidden="1"/>
    <row r="225" ht="10" hidden="1"/>
    <row r="226" ht="10" hidden="1"/>
    <row r="227" ht="10" hidden="1"/>
    <row r="228" ht="10" hidden="1"/>
    <row r="229" ht="10" hidden="1"/>
    <row r="230" ht="10" hidden="1"/>
    <row r="231" ht="10" hidden="1"/>
    <row r="232" ht="10" hidden="1"/>
    <row r="233" ht="10" hidden="1"/>
    <row r="234" ht="10" hidden="1"/>
    <row r="235" ht="10" hidden="1"/>
    <row r="236" ht="10" hidden="1"/>
    <row r="237" ht="10" hidden="1"/>
    <row r="238" ht="10" hidden="1"/>
    <row r="239" ht="10" hidden="1"/>
    <row r="240" ht="10" hidden="1"/>
    <row r="241" ht="10" hidden="1"/>
    <row r="242" ht="10" hidden="1"/>
    <row r="243" ht="10" hidden="1"/>
    <row r="244" ht="10" hidden="1"/>
    <row r="245" ht="10" hidden="1"/>
    <row r="246" ht="10" hidden="1"/>
    <row r="247" ht="10" hidden="1"/>
    <row r="248" ht="10" hidden="1"/>
    <row r="249" ht="10" hidden="1"/>
    <row r="250" ht="10" hidden="1"/>
    <row r="251" ht="10" hidden="1"/>
    <row r="252" ht="10" hidden="1"/>
    <row r="253" ht="10" hidden="1"/>
    <row r="254" ht="10" hidden="1"/>
    <row r="255" ht="10" hidden="1"/>
    <row r="256" ht="10" hidden="1"/>
    <row r="257" ht="10" hidden="1"/>
    <row r="258" ht="10" hidden="1"/>
    <row r="259" ht="10" hidden="1"/>
    <row r="260" ht="10" hidden="1"/>
    <row r="261" ht="10" hidden="1"/>
    <row r="262" ht="10" hidden="1"/>
    <row r="263" ht="10"/>
    <row r="264" ht="10"/>
  </sheetData>
  <sheetProtection algorithmName="SHA-512" hashValue="gdqFp9P26fA5yjj61qTR5W+/CGm88x2DkvDu2Q7idPuX54KiZjXJ7jy9U54BZr6eCxIJkiT99PxwfXNJDL4DoA==" saltValue="1pTPHW3CD7yL/wqxIBhThg==" spinCount="100000" sheet="1" objects="1" scenarios="1" selectLockedCells="1"/>
  <mergeCells count="28">
    <mergeCell ref="K6:L6"/>
    <mergeCell ref="B23:F23"/>
    <mergeCell ref="B24:F24"/>
    <mergeCell ref="B25:F25"/>
    <mergeCell ref="B26:F26"/>
    <mergeCell ref="I20:I21"/>
    <mergeCell ref="D37:F37"/>
    <mergeCell ref="B39:C39"/>
    <mergeCell ref="J20:J21"/>
    <mergeCell ref="K20:K21"/>
    <mergeCell ref="L20:L21"/>
    <mergeCell ref="B22:F22"/>
    <mergeCell ref="B53:G53"/>
    <mergeCell ref="B54:G54"/>
    <mergeCell ref="B55:G55"/>
    <mergeCell ref="B27:F27"/>
    <mergeCell ref="B10:J11"/>
    <mergeCell ref="B12:L12"/>
    <mergeCell ref="B18:L18"/>
    <mergeCell ref="B20:F21"/>
    <mergeCell ref="G20:G21"/>
    <mergeCell ref="H20:H21"/>
    <mergeCell ref="B50:J50"/>
    <mergeCell ref="B52:L52"/>
    <mergeCell ref="B46:J46"/>
    <mergeCell ref="B28:F28"/>
    <mergeCell ref="B29:F29"/>
    <mergeCell ref="B37:C37"/>
  </mergeCells>
  <printOptions horizontalCentered="1" verticalCentered="1"/>
  <pageMargins left="0.39370078740157483" right="0.39370078740157483" top="0.19685039370078741" bottom="0.35433070866141736" header="0" footer="0.23622047244094491"/>
  <pageSetup paperSize="9" scale="64" orientation="landscape" r:id="rId1"/>
  <headerFooter alignWithMargins="0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C343"/>
  <sheetViews>
    <sheetView workbookViewId="0">
      <selection activeCell="D37" sqref="D37:F37"/>
    </sheetView>
  </sheetViews>
  <sheetFormatPr baseColWidth="10" defaultColWidth="0" defaultRowHeight="12.5" zeroHeight="1"/>
  <cols>
    <col min="1" max="1" width="80" bestFit="1" customWidth="1"/>
    <col min="2" max="2" width="11.453125" customWidth="1"/>
    <col min="3" max="3" width="11.453125" style="244" customWidth="1"/>
    <col min="4" max="16384" width="11.453125" hidden="1"/>
  </cols>
  <sheetData>
    <row r="1" spans="1:2">
      <c r="A1" s="327" t="s">
        <v>327</v>
      </c>
      <c r="B1" s="330" t="s">
        <v>593</v>
      </c>
    </row>
    <row r="2" spans="1:2">
      <c r="A2" s="327"/>
      <c r="B2" s="330"/>
    </row>
    <row r="3" spans="1:2">
      <c r="A3" s="239" t="s">
        <v>370</v>
      </c>
      <c r="B3" s="239" t="s">
        <v>57</v>
      </c>
    </row>
    <row r="4" spans="1:2">
      <c r="A4" s="239" t="s">
        <v>594</v>
      </c>
      <c r="B4" s="239" t="s">
        <v>46</v>
      </c>
    </row>
    <row r="5" spans="1:2">
      <c r="A5" s="239" t="s">
        <v>595</v>
      </c>
      <c r="B5" s="239" t="s">
        <v>49</v>
      </c>
    </row>
    <row r="6" spans="1:2">
      <c r="A6" s="240" t="s">
        <v>371</v>
      </c>
      <c r="B6" s="240" t="s">
        <v>598</v>
      </c>
    </row>
    <row r="7" spans="1:2">
      <c r="A7" s="239" t="s">
        <v>372</v>
      </c>
      <c r="B7" s="239" t="s">
        <v>57</v>
      </c>
    </row>
    <row r="8" spans="1:2">
      <c r="A8" s="239" t="s">
        <v>373</v>
      </c>
      <c r="B8" s="239" t="s">
        <v>57</v>
      </c>
    </row>
    <row r="9" spans="1:2">
      <c r="A9" s="239" t="s">
        <v>596</v>
      </c>
      <c r="B9" s="239" t="s">
        <v>46</v>
      </c>
    </row>
    <row r="10" spans="1:2">
      <c r="A10" s="239" t="s">
        <v>597</v>
      </c>
      <c r="B10" s="239" t="s">
        <v>49</v>
      </c>
    </row>
    <row r="11" spans="1:2">
      <c r="A11" s="240" t="s">
        <v>374</v>
      </c>
      <c r="B11" s="240" t="s">
        <v>598</v>
      </c>
    </row>
    <row r="12" spans="1:2">
      <c r="A12" s="239" t="s">
        <v>599</v>
      </c>
      <c r="B12" s="239" t="s">
        <v>46</v>
      </c>
    </row>
    <row r="13" spans="1:2">
      <c r="A13" s="239" t="s">
        <v>600</v>
      </c>
      <c r="B13" s="239" t="s">
        <v>49</v>
      </c>
    </row>
    <row r="14" spans="1:2">
      <c r="A14" s="239" t="s">
        <v>375</v>
      </c>
      <c r="B14" s="239" t="s">
        <v>46</v>
      </c>
    </row>
    <row r="15" spans="1:2">
      <c r="A15" s="239" t="s">
        <v>601</v>
      </c>
      <c r="B15" s="239" t="s">
        <v>45</v>
      </c>
    </row>
    <row r="16" spans="1:2">
      <c r="A16" s="239" t="s">
        <v>602</v>
      </c>
      <c r="B16" s="239" t="s">
        <v>49</v>
      </c>
    </row>
    <row r="17" spans="1:2">
      <c r="A17" s="239" t="s">
        <v>376</v>
      </c>
      <c r="B17" s="239" t="s">
        <v>49</v>
      </c>
    </row>
    <row r="18" spans="1:2">
      <c r="A18" s="239" t="s">
        <v>603</v>
      </c>
      <c r="B18" s="239" t="s">
        <v>58</v>
      </c>
    </row>
    <row r="19" spans="1:2">
      <c r="A19" s="239" t="s">
        <v>604</v>
      </c>
      <c r="B19" s="239" t="s">
        <v>59</v>
      </c>
    </row>
    <row r="20" spans="1:2">
      <c r="A20" s="239" t="s">
        <v>377</v>
      </c>
      <c r="B20" s="239" t="s">
        <v>49</v>
      </c>
    </row>
    <row r="21" spans="1:2">
      <c r="A21" s="239" t="s">
        <v>378</v>
      </c>
      <c r="B21" s="239" t="s">
        <v>46</v>
      </c>
    </row>
    <row r="22" spans="1:2">
      <c r="A22" s="239" t="s">
        <v>605</v>
      </c>
      <c r="B22" s="239" t="s">
        <v>48</v>
      </c>
    </row>
    <row r="23" spans="1:2">
      <c r="A23" s="239" t="s">
        <v>379</v>
      </c>
      <c r="B23" s="239" t="s">
        <v>58</v>
      </c>
    </row>
    <row r="24" spans="1:2">
      <c r="A24" s="240" t="s">
        <v>380</v>
      </c>
      <c r="B24" s="240" t="s">
        <v>598</v>
      </c>
    </row>
    <row r="25" spans="1:2">
      <c r="A25" s="239" t="s">
        <v>353</v>
      </c>
      <c r="B25" s="239" t="s">
        <v>57</v>
      </c>
    </row>
    <row r="26" spans="1:2">
      <c r="A26" s="240" t="s">
        <v>381</v>
      </c>
      <c r="B26" s="240" t="s">
        <v>598</v>
      </c>
    </row>
    <row r="27" spans="1:2">
      <c r="A27" s="239" t="s">
        <v>382</v>
      </c>
      <c r="B27" s="239" t="s">
        <v>46</v>
      </c>
    </row>
    <row r="28" spans="1:2">
      <c r="A28" s="239" t="s">
        <v>606</v>
      </c>
      <c r="B28" s="239" t="s">
        <v>49</v>
      </c>
    </row>
    <row r="29" spans="1:2">
      <c r="A29" s="239" t="s">
        <v>383</v>
      </c>
      <c r="B29" s="239" t="s">
        <v>46</v>
      </c>
    </row>
    <row r="30" spans="1:2">
      <c r="A30" s="239" t="s">
        <v>384</v>
      </c>
      <c r="B30" s="239" t="s">
        <v>49</v>
      </c>
    </row>
    <row r="31" spans="1:2">
      <c r="A31" s="239" t="s">
        <v>607</v>
      </c>
      <c r="B31" s="239" t="s">
        <v>45</v>
      </c>
    </row>
    <row r="32" spans="1:2">
      <c r="A32" s="239" t="s">
        <v>385</v>
      </c>
      <c r="B32" s="239" t="s">
        <v>46</v>
      </c>
    </row>
    <row r="33" spans="1:2">
      <c r="A33" s="239" t="s">
        <v>386</v>
      </c>
      <c r="B33" s="239" t="s">
        <v>57</v>
      </c>
    </row>
    <row r="34" spans="1:2">
      <c r="A34" s="239" t="s">
        <v>387</v>
      </c>
      <c r="B34" s="239" t="s">
        <v>46</v>
      </c>
    </row>
    <row r="35" spans="1:2">
      <c r="A35" s="239" t="s">
        <v>388</v>
      </c>
      <c r="B35" s="239" t="s">
        <v>46</v>
      </c>
    </row>
    <row r="36" spans="1:2">
      <c r="A36" s="239" t="s">
        <v>608</v>
      </c>
      <c r="B36" s="239" t="s">
        <v>45</v>
      </c>
    </row>
    <row r="37" spans="1:2">
      <c r="A37" s="239" t="s">
        <v>609</v>
      </c>
      <c r="B37" s="239" t="s">
        <v>48</v>
      </c>
    </row>
    <row r="38" spans="1:2">
      <c r="A38" s="240" t="s">
        <v>389</v>
      </c>
      <c r="B38" s="240" t="s">
        <v>598</v>
      </c>
    </row>
    <row r="39" spans="1:2">
      <c r="A39" s="239" t="s">
        <v>390</v>
      </c>
      <c r="B39" s="239" t="s">
        <v>57</v>
      </c>
    </row>
    <row r="40" spans="1:2">
      <c r="A40" s="239" t="s">
        <v>391</v>
      </c>
      <c r="B40" s="239" t="s">
        <v>57</v>
      </c>
    </row>
    <row r="41" spans="1:2">
      <c r="A41" s="239" t="s">
        <v>610</v>
      </c>
      <c r="B41" s="239" t="s">
        <v>49</v>
      </c>
    </row>
    <row r="42" spans="1:2">
      <c r="A42" s="239" t="s">
        <v>392</v>
      </c>
      <c r="B42" s="239" t="s">
        <v>46</v>
      </c>
    </row>
    <row r="43" spans="1:2">
      <c r="A43" s="239" t="s">
        <v>611</v>
      </c>
      <c r="B43" s="239" t="s">
        <v>49</v>
      </c>
    </row>
    <row r="44" spans="1:2">
      <c r="A44" s="239" t="s">
        <v>393</v>
      </c>
      <c r="B44" s="239" t="s">
        <v>46</v>
      </c>
    </row>
    <row r="45" spans="1:2">
      <c r="A45" s="239" t="s">
        <v>394</v>
      </c>
      <c r="B45" s="239" t="s">
        <v>49</v>
      </c>
    </row>
    <row r="46" spans="1:2">
      <c r="A46" s="240" t="s">
        <v>395</v>
      </c>
      <c r="B46" s="240" t="s">
        <v>598</v>
      </c>
    </row>
    <row r="47" spans="1:2">
      <c r="A47" s="239" t="s">
        <v>396</v>
      </c>
      <c r="B47" s="239" t="s">
        <v>57</v>
      </c>
    </row>
    <row r="48" spans="1:2">
      <c r="A48" s="240" t="s">
        <v>397</v>
      </c>
      <c r="B48" s="240" t="s">
        <v>598</v>
      </c>
    </row>
    <row r="49" spans="1:2">
      <c r="A49" s="239" t="s">
        <v>398</v>
      </c>
      <c r="B49" s="239" t="s">
        <v>57</v>
      </c>
    </row>
    <row r="50" spans="1:2">
      <c r="A50" s="239" t="s">
        <v>399</v>
      </c>
      <c r="B50" s="239" t="s">
        <v>46</v>
      </c>
    </row>
    <row r="51" spans="1:2">
      <c r="A51" s="239" t="s">
        <v>400</v>
      </c>
      <c r="B51" s="239" t="s">
        <v>49</v>
      </c>
    </row>
    <row r="52" spans="1:2">
      <c r="A52" s="239" t="s">
        <v>612</v>
      </c>
      <c r="B52" s="239" t="s">
        <v>48</v>
      </c>
    </row>
    <row r="53" spans="1:2">
      <c r="A53" s="240" t="s">
        <v>401</v>
      </c>
      <c r="B53" s="240" t="s">
        <v>598</v>
      </c>
    </row>
    <row r="54" spans="1:2">
      <c r="A54" s="239" t="s">
        <v>402</v>
      </c>
      <c r="B54" s="239" t="s">
        <v>46</v>
      </c>
    </row>
    <row r="55" spans="1:2">
      <c r="A55" s="240" t="s">
        <v>403</v>
      </c>
      <c r="B55" s="240" t="s">
        <v>598</v>
      </c>
    </row>
    <row r="56" spans="1:2">
      <c r="A56" s="240" t="s">
        <v>404</v>
      </c>
      <c r="B56" s="240" t="s">
        <v>598</v>
      </c>
    </row>
    <row r="57" spans="1:2">
      <c r="A57" s="239" t="s">
        <v>405</v>
      </c>
      <c r="B57" s="239" t="s">
        <v>57</v>
      </c>
    </row>
    <row r="58" spans="1:2">
      <c r="A58" s="239" t="s">
        <v>406</v>
      </c>
      <c r="B58" s="239" t="s">
        <v>57</v>
      </c>
    </row>
    <row r="59" spans="1:2">
      <c r="A59" s="239" t="s">
        <v>407</v>
      </c>
      <c r="B59" s="239" t="s">
        <v>45</v>
      </c>
    </row>
    <row r="60" spans="1:2">
      <c r="A60" s="239" t="s">
        <v>408</v>
      </c>
      <c r="B60" s="239" t="s">
        <v>46</v>
      </c>
    </row>
    <row r="61" spans="1:2">
      <c r="A61" s="239" t="s">
        <v>614</v>
      </c>
      <c r="B61" s="239" t="s">
        <v>48</v>
      </c>
    </row>
    <row r="62" spans="1:2">
      <c r="A62" s="239" t="s">
        <v>613</v>
      </c>
      <c r="B62" s="239" t="s">
        <v>58</v>
      </c>
    </row>
    <row r="63" spans="1:2">
      <c r="A63" s="239" t="s">
        <v>409</v>
      </c>
      <c r="B63" s="239" t="s">
        <v>46</v>
      </c>
    </row>
    <row r="64" spans="1:2">
      <c r="A64" s="240" t="s">
        <v>410</v>
      </c>
      <c r="B64" s="240" t="s">
        <v>598</v>
      </c>
    </row>
    <row r="65" spans="1:2">
      <c r="A65" s="240" t="s">
        <v>411</v>
      </c>
      <c r="B65" s="240" t="s">
        <v>598</v>
      </c>
    </row>
    <row r="66" spans="1:2">
      <c r="A66" s="239" t="s">
        <v>412</v>
      </c>
      <c r="B66" s="239" t="s">
        <v>46</v>
      </c>
    </row>
    <row r="67" spans="1:2">
      <c r="A67" s="239" t="s">
        <v>615</v>
      </c>
      <c r="B67" s="239" t="s">
        <v>45</v>
      </c>
    </row>
    <row r="68" spans="1:2">
      <c r="A68" s="240" t="s">
        <v>413</v>
      </c>
      <c r="B68" s="240" t="s">
        <v>598</v>
      </c>
    </row>
    <row r="69" spans="1:2">
      <c r="A69" s="239" t="s">
        <v>414</v>
      </c>
      <c r="B69" s="239" t="s">
        <v>46</v>
      </c>
    </row>
    <row r="70" spans="1:2">
      <c r="A70" s="239" t="s">
        <v>415</v>
      </c>
      <c r="B70" s="239" t="s">
        <v>59</v>
      </c>
    </row>
    <row r="71" spans="1:2">
      <c r="A71" s="239" t="s">
        <v>416</v>
      </c>
      <c r="B71" s="239" t="s">
        <v>49</v>
      </c>
    </row>
    <row r="72" spans="1:2">
      <c r="A72" s="239" t="s">
        <v>417</v>
      </c>
      <c r="B72" s="239" t="s">
        <v>46</v>
      </c>
    </row>
    <row r="73" spans="1:2">
      <c r="A73" s="239" t="s">
        <v>352</v>
      </c>
      <c r="B73" s="239" t="s">
        <v>46</v>
      </c>
    </row>
    <row r="74" spans="1:2">
      <c r="A74" s="239" t="s">
        <v>616</v>
      </c>
      <c r="B74" s="239" t="s">
        <v>49</v>
      </c>
    </row>
    <row r="75" spans="1:2">
      <c r="A75" s="239" t="s">
        <v>418</v>
      </c>
      <c r="B75" s="239" t="s">
        <v>46</v>
      </c>
    </row>
    <row r="76" spans="1:2">
      <c r="A76" s="239" t="s">
        <v>617</v>
      </c>
      <c r="B76" s="239" t="s">
        <v>49</v>
      </c>
    </row>
    <row r="77" spans="1:2">
      <c r="A77" s="239" t="s">
        <v>419</v>
      </c>
      <c r="B77" s="239" t="s">
        <v>57</v>
      </c>
    </row>
    <row r="78" spans="1:2">
      <c r="A78" s="239" t="s">
        <v>420</v>
      </c>
      <c r="B78" s="239" t="s">
        <v>49</v>
      </c>
    </row>
    <row r="79" spans="1:2">
      <c r="A79" s="239" t="s">
        <v>618</v>
      </c>
      <c r="B79" s="239" t="s">
        <v>48</v>
      </c>
    </row>
    <row r="80" spans="1:2">
      <c r="A80" s="239" t="s">
        <v>619</v>
      </c>
      <c r="B80" s="239" t="s">
        <v>58</v>
      </c>
    </row>
    <row r="81" spans="1:2">
      <c r="A81" s="239" t="s">
        <v>421</v>
      </c>
      <c r="B81" s="239" t="s">
        <v>49</v>
      </c>
    </row>
    <row r="82" spans="1:2">
      <c r="A82" s="240" t="s">
        <v>360</v>
      </c>
      <c r="B82" s="240" t="s">
        <v>598</v>
      </c>
    </row>
    <row r="83" spans="1:2">
      <c r="A83" s="239" t="s">
        <v>422</v>
      </c>
      <c r="B83" s="239" t="s">
        <v>49</v>
      </c>
    </row>
    <row r="84" spans="1:2">
      <c r="A84" s="240" t="s">
        <v>361</v>
      </c>
      <c r="B84" s="240" t="s">
        <v>598</v>
      </c>
    </row>
    <row r="85" spans="1:2">
      <c r="A85" s="239" t="s">
        <v>423</v>
      </c>
      <c r="B85" s="239" t="s">
        <v>46</v>
      </c>
    </row>
    <row r="86" spans="1:2">
      <c r="A86" s="239" t="s">
        <v>620</v>
      </c>
      <c r="B86" s="239" t="s">
        <v>49</v>
      </c>
    </row>
    <row r="87" spans="1:2">
      <c r="A87" s="239" t="s">
        <v>424</v>
      </c>
      <c r="B87" s="239" t="s">
        <v>46</v>
      </c>
    </row>
    <row r="88" spans="1:2">
      <c r="A88" s="239" t="s">
        <v>425</v>
      </c>
      <c r="B88" s="239" t="s">
        <v>58</v>
      </c>
    </row>
    <row r="89" spans="1:2">
      <c r="A89" s="240" t="s">
        <v>426</v>
      </c>
      <c r="B89" s="240" t="s">
        <v>598</v>
      </c>
    </row>
    <row r="90" spans="1:2">
      <c r="A90" s="239" t="s">
        <v>427</v>
      </c>
      <c r="B90" s="255" t="s">
        <v>48</v>
      </c>
    </row>
    <row r="91" spans="1:2">
      <c r="A91" s="239" t="s">
        <v>428</v>
      </c>
      <c r="B91" s="239" t="s">
        <v>58</v>
      </c>
    </row>
    <row r="92" spans="1:2">
      <c r="A92" s="239" t="s">
        <v>429</v>
      </c>
      <c r="B92" s="239" t="s">
        <v>49</v>
      </c>
    </row>
    <row r="93" spans="1:2">
      <c r="A93" s="239" t="s">
        <v>430</v>
      </c>
      <c r="B93" s="239" t="s">
        <v>45</v>
      </c>
    </row>
    <row r="94" spans="1:2">
      <c r="A94" s="239" t="s">
        <v>431</v>
      </c>
      <c r="B94" s="239" t="s">
        <v>45</v>
      </c>
    </row>
    <row r="95" spans="1:2">
      <c r="A95" s="239" t="s">
        <v>432</v>
      </c>
      <c r="B95" s="239" t="s">
        <v>45</v>
      </c>
    </row>
    <row r="96" spans="1:2">
      <c r="A96" s="240" t="s">
        <v>433</v>
      </c>
      <c r="B96" s="240" t="s">
        <v>598</v>
      </c>
    </row>
    <row r="97" spans="1:2">
      <c r="A97" s="239" t="s">
        <v>434</v>
      </c>
      <c r="B97" s="239" t="s">
        <v>45</v>
      </c>
    </row>
    <row r="98" spans="1:2">
      <c r="A98" s="239" t="s">
        <v>435</v>
      </c>
      <c r="B98" s="239" t="s">
        <v>46</v>
      </c>
    </row>
    <row r="99" spans="1:2">
      <c r="A99" s="239" t="s">
        <v>436</v>
      </c>
      <c r="B99" s="239" t="s">
        <v>49</v>
      </c>
    </row>
    <row r="100" spans="1:2">
      <c r="A100" s="239" t="s">
        <v>437</v>
      </c>
      <c r="B100" s="239" t="s">
        <v>46</v>
      </c>
    </row>
    <row r="101" spans="1:2">
      <c r="A101" s="239" t="s">
        <v>438</v>
      </c>
      <c r="B101" s="239" t="s">
        <v>46</v>
      </c>
    </row>
    <row r="102" spans="1:2">
      <c r="A102" s="239" t="s">
        <v>439</v>
      </c>
      <c r="B102" s="239" t="s">
        <v>49</v>
      </c>
    </row>
    <row r="103" spans="1:2">
      <c r="A103" s="239" t="s">
        <v>440</v>
      </c>
      <c r="B103" s="239" t="s">
        <v>46</v>
      </c>
    </row>
    <row r="104" spans="1:2">
      <c r="A104" s="239" t="s">
        <v>621</v>
      </c>
      <c r="B104" s="239" t="s">
        <v>49</v>
      </c>
    </row>
    <row r="105" spans="1:2">
      <c r="A105" s="239" t="s">
        <v>441</v>
      </c>
      <c r="B105" s="239" t="s">
        <v>57</v>
      </c>
    </row>
    <row r="106" spans="1:2">
      <c r="A106" s="240" t="s">
        <v>442</v>
      </c>
      <c r="B106" s="240" t="s">
        <v>598</v>
      </c>
    </row>
    <row r="107" spans="1:2">
      <c r="A107" s="239" t="s">
        <v>443</v>
      </c>
      <c r="B107" s="239" t="s">
        <v>46</v>
      </c>
    </row>
    <row r="108" spans="1:2">
      <c r="A108" s="239" t="s">
        <v>622</v>
      </c>
      <c r="B108" s="239" t="s">
        <v>49</v>
      </c>
    </row>
    <row r="109" spans="1:2">
      <c r="A109" s="239" t="s">
        <v>444</v>
      </c>
      <c r="B109" s="239" t="s">
        <v>46</v>
      </c>
    </row>
    <row r="110" spans="1:2">
      <c r="A110" s="239" t="s">
        <v>623</v>
      </c>
      <c r="B110" s="239" t="s">
        <v>49</v>
      </c>
    </row>
    <row r="111" spans="1:2">
      <c r="A111" s="239" t="s">
        <v>445</v>
      </c>
      <c r="B111" s="239" t="s">
        <v>46</v>
      </c>
    </row>
    <row r="112" spans="1:2">
      <c r="A112" s="239" t="s">
        <v>624</v>
      </c>
      <c r="B112" s="239" t="s">
        <v>48</v>
      </c>
    </row>
    <row r="113" spans="1:2">
      <c r="A113" s="239" t="s">
        <v>625</v>
      </c>
      <c r="B113" s="239" t="s">
        <v>58</v>
      </c>
    </row>
    <row r="114" spans="1:2">
      <c r="A114" s="239" t="s">
        <v>446</v>
      </c>
      <c r="B114" s="239" t="s">
        <v>46</v>
      </c>
    </row>
    <row r="115" spans="1:2">
      <c r="A115" s="239" t="s">
        <v>447</v>
      </c>
      <c r="B115" s="239" t="s">
        <v>49</v>
      </c>
    </row>
    <row r="116" spans="1:2">
      <c r="A116" s="239" t="s">
        <v>448</v>
      </c>
      <c r="B116" s="239" t="s">
        <v>49</v>
      </c>
    </row>
    <row r="117" spans="1:2">
      <c r="A117" s="239" t="s">
        <v>449</v>
      </c>
      <c r="B117" s="239" t="s">
        <v>46</v>
      </c>
    </row>
    <row r="118" spans="1:2">
      <c r="A118" s="239" t="s">
        <v>626</v>
      </c>
      <c r="B118" s="239" t="s">
        <v>48</v>
      </c>
    </row>
    <row r="119" spans="1:2">
      <c r="A119" s="239" t="s">
        <v>450</v>
      </c>
      <c r="B119" s="239" t="s">
        <v>46</v>
      </c>
    </row>
    <row r="120" spans="1:2">
      <c r="A120" s="239" t="s">
        <v>627</v>
      </c>
      <c r="B120" s="239" t="s">
        <v>45</v>
      </c>
    </row>
    <row r="121" spans="1:2">
      <c r="A121" s="239" t="s">
        <v>628</v>
      </c>
      <c r="B121" s="239" t="s">
        <v>58</v>
      </c>
    </row>
    <row r="122" spans="1:2">
      <c r="A122" s="239" t="s">
        <v>451</v>
      </c>
      <c r="B122" s="239" t="s">
        <v>46</v>
      </c>
    </row>
    <row r="123" spans="1:2">
      <c r="A123" s="239" t="s">
        <v>629</v>
      </c>
      <c r="B123" s="239" t="s">
        <v>45</v>
      </c>
    </row>
    <row r="124" spans="1:2">
      <c r="A124" s="239" t="s">
        <v>630</v>
      </c>
      <c r="B124" s="239" t="s">
        <v>48</v>
      </c>
    </row>
    <row r="125" spans="1:2">
      <c r="A125" s="239" t="s">
        <v>452</v>
      </c>
      <c r="B125" s="239" t="s">
        <v>46</v>
      </c>
    </row>
    <row r="126" spans="1:2">
      <c r="A126" s="239" t="s">
        <v>631</v>
      </c>
      <c r="B126" s="239" t="s">
        <v>49</v>
      </c>
    </row>
    <row r="127" spans="1:2">
      <c r="A127" s="239" t="s">
        <v>453</v>
      </c>
      <c r="B127" s="239" t="s">
        <v>57</v>
      </c>
    </row>
    <row r="128" spans="1:2">
      <c r="A128" s="239" t="s">
        <v>454</v>
      </c>
      <c r="B128" s="239" t="s">
        <v>49</v>
      </c>
    </row>
    <row r="129" spans="1:2">
      <c r="A129" s="239" t="s">
        <v>455</v>
      </c>
      <c r="B129" s="239" t="s">
        <v>46</v>
      </c>
    </row>
    <row r="130" spans="1:2">
      <c r="A130" s="239" t="s">
        <v>632</v>
      </c>
      <c r="B130" s="239" t="s">
        <v>49</v>
      </c>
    </row>
    <row r="131" spans="1:2">
      <c r="A131" s="239" t="s">
        <v>633</v>
      </c>
      <c r="B131" s="239" t="s">
        <v>45</v>
      </c>
    </row>
    <row r="132" spans="1:2">
      <c r="A132" s="239" t="s">
        <v>456</v>
      </c>
      <c r="B132" s="239" t="s">
        <v>58</v>
      </c>
    </row>
    <row r="133" spans="1:2">
      <c r="A133" s="239" t="s">
        <v>457</v>
      </c>
      <c r="B133" s="239" t="s">
        <v>46</v>
      </c>
    </row>
    <row r="134" spans="1:2">
      <c r="A134" s="239" t="s">
        <v>458</v>
      </c>
      <c r="B134" s="239" t="s">
        <v>57</v>
      </c>
    </row>
    <row r="135" spans="1:2">
      <c r="A135" s="239" t="s">
        <v>459</v>
      </c>
      <c r="B135" s="239" t="s">
        <v>57</v>
      </c>
    </row>
    <row r="136" spans="1:2">
      <c r="A136" s="239" t="s">
        <v>460</v>
      </c>
      <c r="B136" s="239" t="s">
        <v>46</v>
      </c>
    </row>
    <row r="137" spans="1:2">
      <c r="A137" s="239" t="s">
        <v>461</v>
      </c>
      <c r="B137" s="239" t="s">
        <v>49</v>
      </c>
    </row>
    <row r="138" spans="1:2">
      <c r="A138" s="239" t="s">
        <v>634</v>
      </c>
      <c r="B138" s="239" t="s">
        <v>59</v>
      </c>
    </row>
    <row r="139" spans="1:2">
      <c r="A139" s="239" t="s">
        <v>635</v>
      </c>
      <c r="B139" s="239" t="s">
        <v>60</v>
      </c>
    </row>
    <row r="140" spans="1:2">
      <c r="A140" s="239" t="s">
        <v>462</v>
      </c>
      <c r="B140" s="239" t="s">
        <v>46</v>
      </c>
    </row>
    <row r="141" spans="1:2">
      <c r="A141" s="239" t="s">
        <v>463</v>
      </c>
      <c r="B141" s="239" t="s">
        <v>46</v>
      </c>
    </row>
    <row r="142" spans="1:2">
      <c r="A142" s="239" t="s">
        <v>464</v>
      </c>
      <c r="B142" s="239" t="s">
        <v>46</v>
      </c>
    </row>
    <row r="143" spans="1:2">
      <c r="A143" s="239" t="s">
        <v>465</v>
      </c>
      <c r="B143" s="239" t="s">
        <v>59</v>
      </c>
    </row>
    <row r="144" spans="1:2">
      <c r="A144" s="239" t="s">
        <v>466</v>
      </c>
      <c r="B144" s="239" t="s">
        <v>49</v>
      </c>
    </row>
    <row r="145" spans="1:2">
      <c r="A145" s="239" t="s">
        <v>636</v>
      </c>
      <c r="B145" s="239" t="s">
        <v>45</v>
      </c>
    </row>
    <row r="146" spans="1:2">
      <c r="A146" s="239" t="s">
        <v>637</v>
      </c>
      <c r="B146" s="239" t="s">
        <v>59</v>
      </c>
    </row>
    <row r="147" spans="1:2">
      <c r="A147" s="239" t="s">
        <v>467</v>
      </c>
      <c r="B147" s="239" t="s">
        <v>46</v>
      </c>
    </row>
    <row r="148" spans="1:2">
      <c r="A148" s="239" t="s">
        <v>638</v>
      </c>
      <c r="B148" s="239" t="s">
        <v>48</v>
      </c>
    </row>
    <row r="149" spans="1:2">
      <c r="A149" s="239" t="s">
        <v>639</v>
      </c>
      <c r="B149" s="239" t="s">
        <v>59</v>
      </c>
    </row>
    <row r="150" spans="1:2">
      <c r="A150" s="239" t="s">
        <v>468</v>
      </c>
      <c r="B150" s="239" t="s">
        <v>46</v>
      </c>
    </row>
    <row r="151" spans="1:2">
      <c r="A151" s="240" t="s">
        <v>469</v>
      </c>
      <c r="B151" s="240" t="s">
        <v>598</v>
      </c>
    </row>
    <row r="152" spans="1:2">
      <c r="A152" s="240" t="s">
        <v>470</v>
      </c>
      <c r="B152" s="240" t="s">
        <v>598</v>
      </c>
    </row>
    <row r="153" spans="1:2">
      <c r="A153" s="239" t="s">
        <v>471</v>
      </c>
      <c r="B153" s="239" t="s">
        <v>46</v>
      </c>
    </row>
    <row r="154" spans="1:2">
      <c r="A154" s="239" t="s">
        <v>472</v>
      </c>
      <c r="B154" s="239" t="s">
        <v>46</v>
      </c>
    </row>
    <row r="155" spans="1:2">
      <c r="A155" s="239" t="s">
        <v>640</v>
      </c>
      <c r="B155" s="239" t="s">
        <v>45</v>
      </c>
    </row>
    <row r="156" spans="1:2">
      <c r="A156" s="239" t="s">
        <v>473</v>
      </c>
      <c r="B156" s="239" t="s">
        <v>49</v>
      </c>
    </row>
    <row r="157" spans="1:2">
      <c r="A157" s="239" t="s">
        <v>641</v>
      </c>
      <c r="B157" s="239" t="s">
        <v>59</v>
      </c>
    </row>
    <row r="158" spans="1:2">
      <c r="A158" s="239" t="s">
        <v>642</v>
      </c>
      <c r="B158" s="239" t="s">
        <v>59</v>
      </c>
    </row>
    <row r="159" spans="1:2">
      <c r="A159" s="240" t="s">
        <v>474</v>
      </c>
      <c r="B159" s="240" t="s">
        <v>598</v>
      </c>
    </row>
    <row r="160" spans="1:2">
      <c r="A160" s="239" t="s">
        <v>475</v>
      </c>
      <c r="B160" s="239" t="s">
        <v>46</v>
      </c>
    </row>
    <row r="161" spans="1:2">
      <c r="A161" s="239" t="s">
        <v>476</v>
      </c>
      <c r="B161" s="239" t="s">
        <v>46</v>
      </c>
    </row>
    <row r="162" spans="1:2">
      <c r="A162" s="239" t="s">
        <v>477</v>
      </c>
      <c r="B162" s="239" t="s">
        <v>46</v>
      </c>
    </row>
    <row r="163" spans="1:2">
      <c r="A163" s="239" t="s">
        <v>643</v>
      </c>
      <c r="B163" s="239" t="s">
        <v>45</v>
      </c>
    </row>
    <row r="164" spans="1:2">
      <c r="A164" s="239" t="s">
        <v>478</v>
      </c>
      <c r="B164" s="239" t="s">
        <v>48</v>
      </c>
    </row>
    <row r="165" spans="1:2">
      <c r="A165" s="239" t="s">
        <v>479</v>
      </c>
      <c r="B165" s="239" t="s">
        <v>46</v>
      </c>
    </row>
    <row r="166" spans="1:2">
      <c r="A166" s="239" t="s">
        <v>480</v>
      </c>
      <c r="B166" s="239" t="s">
        <v>49</v>
      </c>
    </row>
    <row r="167" spans="1:2">
      <c r="A167" s="239" t="s">
        <v>644</v>
      </c>
      <c r="B167" s="239" t="s">
        <v>59</v>
      </c>
    </row>
    <row r="168" spans="1:2">
      <c r="A168" s="239" t="s">
        <v>481</v>
      </c>
      <c r="B168" s="239" t="s">
        <v>49</v>
      </c>
    </row>
    <row r="169" spans="1:2">
      <c r="A169" s="239" t="s">
        <v>645</v>
      </c>
      <c r="B169" s="239" t="s">
        <v>59</v>
      </c>
    </row>
    <row r="170" spans="1:2">
      <c r="A170" s="239" t="s">
        <v>482</v>
      </c>
      <c r="B170" s="239" t="s">
        <v>49</v>
      </c>
    </row>
    <row r="171" spans="1:2">
      <c r="A171" s="239" t="s">
        <v>646</v>
      </c>
      <c r="B171" s="239" t="s">
        <v>45</v>
      </c>
    </row>
    <row r="172" spans="1:2">
      <c r="A172" s="239" t="s">
        <v>483</v>
      </c>
      <c r="B172" s="239" t="s">
        <v>46</v>
      </c>
    </row>
    <row r="173" spans="1:2">
      <c r="A173" s="239" t="s">
        <v>484</v>
      </c>
      <c r="B173" s="239" t="s">
        <v>46</v>
      </c>
    </row>
    <row r="174" spans="1:2">
      <c r="A174" s="239" t="s">
        <v>647</v>
      </c>
      <c r="B174" s="239" t="s">
        <v>49</v>
      </c>
    </row>
    <row r="175" spans="1:2">
      <c r="A175" s="239" t="s">
        <v>648</v>
      </c>
      <c r="B175" s="239" t="s">
        <v>48</v>
      </c>
    </row>
    <row r="176" spans="1:2">
      <c r="A176" s="239" t="s">
        <v>485</v>
      </c>
      <c r="B176" s="239" t="s">
        <v>46</v>
      </c>
    </row>
    <row r="177" spans="1:2">
      <c r="A177" s="239" t="s">
        <v>649</v>
      </c>
      <c r="B177" s="239" t="s">
        <v>48</v>
      </c>
    </row>
    <row r="178" spans="1:2">
      <c r="A178" s="239" t="s">
        <v>650</v>
      </c>
      <c r="B178" s="239" t="s">
        <v>58</v>
      </c>
    </row>
    <row r="179" spans="1:2">
      <c r="A179" s="239" t="s">
        <v>486</v>
      </c>
      <c r="B179" s="239" t="s">
        <v>57</v>
      </c>
    </row>
    <row r="180" spans="1:2">
      <c r="A180" s="239" t="s">
        <v>487</v>
      </c>
      <c r="B180" s="239" t="s">
        <v>46</v>
      </c>
    </row>
    <row r="181" spans="1:2">
      <c r="A181" s="239" t="s">
        <v>651</v>
      </c>
      <c r="B181" s="239" t="s">
        <v>48</v>
      </c>
    </row>
    <row r="182" spans="1:2">
      <c r="A182" s="239" t="s">
        <v>652</v>
      </c>
      <c r="B182" s="239" t="s">
        <v>58</v>
      </c>
    </row>
    <row r="183" spans="1:2">
      <c r="A183" s="239" t="s">
        <v>488</v>
      </c>
      <c r="B183" s="239" t="s">
        <v>46</v>
      </c>
    </row>
    <row r="184" spans="1:2">
      <c r="A184" s="240" t="s">
        <v>489</v>
      </c>
      <c r="B184" s="240" t="s">
        <v>598</v>
      </c>
    </row>
    <row r="185" spans="1:2">
      <c r="A185" s="239" t="s">
        <v>490</v>
      </c>
      <c r="B185" s="239" t="s">
        <v>46</v>
      </c>
    </row>
    <row r="186" spans="1:2">
      <c r="A186" s="239" t="s">
        <v>491</v>
      </c>
      <c r="B186" s="239" t="s">
        <v>57</v>
      </c>
    </row>
    <row r="187" spans="1:2">
      <c r="A187" s="239" t="s">
        <v>653</v>
      </c>
      <c r="B187" s="239" t="s">
        <v>45</v>
      </c>
    </row>
    <row r="188" spans="1:2">
      <c r="A188" s="239" t="s">
        <v>492</v>
      </c>
      <c r="B188" s="239" t="s">
        <v>45</v>
      </c>
    </row>
    <row r="189" spans="1:2">
      <c r="A189" s="239" t="s">
        <v>493</v>
      </c>
      <c r="B189" s="239" t="s">
        <v>46</v>
      </c>
    </row>
    <row r="190" spans="1:2">
      <c r="A190" s="239" t="s">
        <v>494</v>
      </c>
      <c r="B190" s="239" t="s">
        <v>46</v>
      </c>
    </row>
    <row r="191" spans="1:2">
      <c r="A191" s="239" t="s">
        <v>654</v>
      </c>
      <c r="B191" s="239" t="s">
        <v>58</v>
      </c>
    </row>
    <row r="192" spans="1:2">
      <c r="A192" s="239" t="s">
        <v>655</v>
      </c>
      <c r="B192" s="239" t="s">
        <v>59</v>
      </c>
    </row>
    <row r="193" spans="1:2">
      <c r="A193" s="239" t="s">
        <v>495</v>
      </c>
      <c r="B193" s="239" t="s">
        <v>46</v>
      </c>
    </row>
    <row r="194" spans="1:2">
      <c r="A194" s="239" t="s">
        <v>496</v>
      </c>
      <c r="B194" s="239" t="s">
        <v>49</v>
      </c>
    </row>
    <row r="195" spans="1:2">
      <c r="A195" s="239" t="s">
        <v>497</v>
      </c>
      <c r="B195" s="239" t="s">
        <v>57</v>
      </c>
    </row>
    <row r="196" spans="1:2">
      <c r="A196" s="240" t="s">
        <v>498</v>
      </c>
      <c r="B196" s="240" t="s">
        <v>598</v>
      </c>
    </row>
    <row r="197" spans="1:2">
      <c r="A197" s="239" t="s">
        <v>499</v>
      </c>
      <c r="B197" s="255" t="s">
        <v>49</v>
      </c>
    </row>
    <row r="198" spans="1:2">
      <c r="A198" s="239" t="s">
        <v>656</v>
      </c>
      <c r="B198" s="239" t="s">
        <v>48</v>
      </c>
    </row>
    <row r="199" spans="1:2">
      <c r="A199" s="239" t="s">
        <v>500</v>
      </c>
      <c r="B199" s="239" t="s">
        <v>46</v>
      </c>
    </row>
    <row r="200" spans="1:2">
      <c r="A200" s="239" t="s">
        <v>501</v>
      </c>
      <c r="B200" s="239" t="s">
        <v>49</v>
      </c>
    </row>
    <row r="201" spans="1:2">
      <c r="A201" s="239" t="s">
        <v>657</v>
      </c>
      <c r="B201" s="239" t="s">
        <v>59</v>
      </c>
    </row>
    <row r="202" spans="1:2">
      <c r="A202" s="239" t="s">
        <v>502</v>
      </c>
      <c r="B202" s="239" t="s">
        <v>57</v>
      </c>
    </row>
    <row r="203" spans="1:2">
      <c r="A203" s="240" t="s">
        <v>503</v>
      </c>
      <c r="B203" s="240" t="s">
        <v>598</v>
      </c>
    </row>
    <row r="204" spans="1:2">
      <c r="A204" s="240" t="s">
        <v>504</v>
      </c>
      <c r="B204" s="240" t="s">
        <v>598</v>
      </c>
    </row>
    <row r="205" spans="1:2">
      <c r="A205" s="239" t="s">
        <v>505</v>
      </c>
      <c r="B205" s="239" t="s">
        <v>49</v>
      </c>
    </row>
    <row r="206" spans="1:2">
      <c r="A206" s="239" t="s">
        <v>506</v>
      </c>
      <c r="B206" s="239" t="s">
        <v>46</v>
      </c>
    </row>
    <row r="207" spans="1:2">
      <c r="A207" s="239" t="s">
        <v>507</v>
      </c>
      <c r="B207" s="239" t="s">
        <v>46</v>
      </c>
    </row>
    <row r="208" spans="1:2">
      <c r="A208" s="239" t="s">
        <v>658</v>
      </c>
      <c r="B208" s="239" t="s">
        <v>59</v>
      </c>
    </row>
    <row r="209" spans="1:2">
      <c r="A209" s="239" t="s">
        <v>508</v>
      </c>
      <c r="B209" s="239" t="s">
        <v>46</v>
      </c>
    </row>
    <row r="210" spans="1:2">
      <c r="A210" s="239" t="s">
        <v>509</v>
      </c>
      <c r="B210" s="239" t="s">
        <v>49</v>
      </c>
    </row>
    <row r="211" spans="1:2">
      <c r="A211" s="239" t="s">
        <v>659</v>
      </c>
      <c r="B211" s="239" t="s">
        <v>58</v>
      </c>
    </row>
    <row r="212" spans="1:2">
      <c r="A212" s="239" t="s">
        <v>660</v>
      </c>
      <c r="B212" s="239" t="s">
        <v>59</v>
      </c>
    </row>
    <row r="213" spans="1:2">
      <c r="A213" s="240" t="s">
        <v>510</v>
      </c>
      <c r="B213" s="240" t="s">
        <v>598</v>
      </c>
    </row>
    <row r="214" spans="1:2">
      <c r="A214" s="239" t="s">
        <v>511</v>
      </c>
      <c r="B214" s="239" t="s">
        <v>49</v>
      </c>
    </row>
    <row r="215" spans="1:2">
      <c r="A215" s="239" t="s">
        <v>512</v>
      </c>
      <c r="B215" s="239" t="s">
        <v>57</v>
      </c>
    </row>
    <row r="216" spans="1:2">
      <c r="A216" s="239" t="s">
        <v>513</v>
      </c>
      <c r="B216" s="239" t="s">
        <v>57</v>
      </c>
    </row>
    <row r="217" spans="1:2">
      <c r="A217" s="240" t="s">
        <v>514</v>
      </c>
      <c r="B217" s="240" t="s">
        <v>598</v>
      </c>
    </row>
    <row r="218" spans="1:2">
      <c r="A218" s="239" t="s">
        <v>515</v>
      </c>
      <c r="B218" s="239" t="s">
        <v>46</v>
      </c>
    </row>
    <row r="219" spans="1:2">
      <c r="A219" s="239" t="s">
        <v>516</v>
      </c>
      <c r="B219" s="239" t="s">
        <v>57</v>
      </c>
    </row>
    <row r="220" spans="1:2">
      <c r="A220" s="239" t="s">
        <v>517</v>
      </c>
      <c r="B220" s="239" t="s">
        <v>57</v>
      </c>
    </row>
    <row r="221" spans="1:2">
      <c r="A221" s="239" t="s">
        <v>518</v>
      </c>
      <c r="B221" s="239" t="s">
        <v>46</v>
      </c>
    </row>
    <row r="222" spans="1:2">
      <c r="A222" s="239" t="s">
        <v>661</v>
      </c>
      <c r="B222" s="239" t="s">
        <v>45</v>
      </c>
    </row>
    <row r="223" spans="1:2">
      <c r="A223" s="239" t="s">
        <v>662</v>
      </c>
      <c r="B223" s="239" t="s">
        <v>48</v>
      </c>
    </row>
    <row r="224" spans="1:2">
      <c r="A224" s="240" t="s">
        <v>519</v>
      </c>
      <c r="B224" s="240" t="s">
        <v>598</v>
      </c>
    </row>
    <row r="225" spans="1:2">
      <c r="A225" s="239" t="s">
        <v>520</v>
      </c>
      <c r="B225" s="239" t="s">
        <v>49</v>
      </c>
    </row>
    <row r="226" spans="1:2">
      <c r="A226" s="239" t="s">
        <v>521</v>
      </c>
      <c r="B226" s="239" t="s">
        <v>46</v>
      </c>
    </row>
    <row r="227" spans="1:2">
      <c r="A227" s="239" t="s">
        <v>663</v>
      </c>
      <c r="B227" s="239" t="s">
        <v>48</v>
      </c>
    </row>
    <row r="228" spans="1:2">
      <c r="A228" s="239" t="s">
        <v>664</v>
      </c>
      <c r="B228" s="239" t="s">
        <v>59</v>
      </c>
    </row>
    <row r="229" spans="1:2">
      <c r="A229" s="239" t="s">
        <v>522</v>
      </c>
      <c r="B229" s="239" t="s">
        <v>46</v>
      </c>
    </row>
    <row r="230" spans="1:2">
      <c r="A230" s="239" t="s">
        <v>523</v>
      </c>
      <c r="B230" s="239" t="s">
        <v>46</v>
      </c>
    </row>
    <row r="231" spans="1:2">
      <c r="A231" s="239" t="s">
        <v>524</v>
      </c>
      <c r="B231" s="239" t="s">
        <v>46</v>
      </c>
    </row>
    <row r="232" spans="1:2">
      <c r="A232" s="239" t="s">
        <v>525</v>
      </c>
      <c r="B232" s="239" t="s">
        <v>57</v>
      </c>
    </row>
    <row r="233" spans="1:2">
      <c r="A233" s="239" t="s">
        <v>526</v>
      </c>
      <c r="B233" s="239" t="s">
        <v>49</v>
      </c>
    </row>
    <row r="234" spans="1:2">
      <c r="A234" s="239" t="s">
        <v>527</v>
      </c>
      <c r="B234" s="239" t="s">
        <v>57</v>
      </c>
    </row>
    <row r="235" spans="1:2">
      <c r="A235" s="239" t="s">
        <v>528</v>
      </c>
      <c r="B235" s="239" t="s">
        <v>46</v>
      </c>
    </row>
    <row r="236" spans="1:2">
      <c r="A236" s="239" t="s">
        <v>529</v>
      </c>
      <c r="B236" s="255" t="s">
        <v>57</v>
      </c>
    </row>
    <row r="237" spans="1:2">
      <c r="A237" s="239" t="s">
        <v>530</v>
      </c>
      <c r="B237" s="239" t="s">
        <v>46</v>
      </c>
    </row>
    <row r="238" spans="1:2">
      <c r="A238" s="239" t="s">
        <v>665</v>
      </c>
      <c r="B238" s="239" t="s">
        <v>45</v>
      </c>
    </row>
    <row r="239" spans="1:2">
      <c r="A239" s="239" t="s">
        <v>666</v>
      </c>
      <c r="B239" s="239" t="s">
        <v>48</v>
      </c>
    </row>
    <row r="240" spans="1:2">
      <c r="A240" s="239" t="s">
        <v>531</v>
      </c>
      <c r="B240" s="239" t="s">
        <v>57</v>
      </c>
    </row>
    <row r="241" spans="1:2">
      <c r="A241" s="239" t="s">
        <v>532</v>
      </c>
      <c r="B241" s="239" t="s">
        <v>46</v>
      </c>
    </row>
    <row r="242" spans="1:2">
      <c r="A242" s="239" t="s">
        <v>533</v>
      </c>
      <c r="B242" s="239" t="s">
        <v>49</v>
      </c>
    </row>
    <row r="243" spans="1:2">
      <c r="A243" s="239" t="s">
        <v>667</v>
      </c>
      <c r="B243" s="239" t="s">
        <v>58</v>
      </c>
    </row>
    <row r="244" spans="1:2">
      <c r="A244" s="239" t="s">
        <v>668</v>
      </c>
      <c r="B244" s="239" t="s">
        <v>59</v>
      </c>
    </row>
    <row r="245" spans="1:2">
      <c r="A245" s="239" t="s">
        <v>534</v>
      </c>
      <c r="B245" s="239" t="s">
        <v>49</v>
      </c>
    </row>
    <row r="246" spans="1:2">
      <c r="A246" s="240" t="s">
        <v>535</v>
      </c>
      <c r="B246" s="240" t="s">
        <v>598</v>
      </c>
    </row>
    <row r="247" spans="1:2">
      <c r="A247" s="240" t="s">
        <v>536</v>
      </c>
      <c r="B247" s="240" t="s">
        <v>598</v>
      </c>
    </row>
    <row r="248" spans="1:2">
      <c r="A248" s="240" t="s">
        <v>537</v>
      </c>
      <c r="B248" s="240" t="s">
        <v>598</v>
      </c>
    </row>
    <row r="249" spans="1:2">
      <c r="A249" s="239" t="s">
        <v>538</v>
      </c>
      <c r="B249" s="239" t="s">
        <v>59</v>
      </c>
    </row>
    <row r="250" spans="1:2">
      <c r="A250" s="240" t="s">
        <v>539</v>
      </c>
      <c r="B250" s="240" t="s">
        <v>598</v>
      </c>
    </row>
    <row r="251" spans="1:2">
      <c r="A251" s="240" t="s">
        <v>540</v>
      </c>
      <c r="B251" s="240" t="s">
        <v>598</v>
      </c>
    </row>
    <row r="252" spans="1:2">
      <c r="A252" s="239" t="s">
        <v>541</v>
      </c>
      <c r="B252" s="239" t="s">
        <v>46</v>
      </c>
    </row>
    <row r="253" spans="1:2">
      <c r="A253" s="239" t="s">
        <v>542</v>
      </c>
      <c r="B253" s="239" t="s">
        <v>46</v>
      </c>
    </row>
    <row r="254" spans="1:2">
      <c r="A254" s="239" t="s">
        <v>669</v>
      </c>
      <c r="B254" s="239" t="s">
        <v>48</v>
      </c>
    </row>
    <row r="255" spans="1:2">
      <c r="A255" s="239" t="s">
        <v>543</v>
      </c>
      <c r="B255" s="239" t="s">
        <v>46</v>
      </c>
    </row>
    <row r="256" spans="1:2">
      <c r="A256" s="239" t="s">
        <v>674</v>
      </c>
      <c r="B256" s="239" t="s">
        <v>45</v>
      </c>
    </row>
    <row r="257" spans="1:2">
      <c r="A257" s="239" t="s">
        <v>673</v>
      </c>
      <c r="B257" s="239" t="s">
        <v>48</v>
      </c>
    </row>
    <row r="258" spans="1:2">
      <c r="A258" s="239" t="s">
        <v>544</v>
      </c>
      <c r="B258" s="239" t="s">
        <v>46</v>
      </c>
    </row>
    <row r="259" spans="1:2">
      <c r="A259" s="239" t="s">
        <v>671</v>
      </c>
      <c r="B259" s="239" t="s">
        <v>58</v>
      </c>
    </row>
    <row r="260" spans="1:2">
      <c r="A260" s="239" t="s">
        <v>672</v>
      </c>
      <c r="B260" s="239" t="s">
        <v>59</v>
      </c>
    </row>
    <row r="261" spans="1:2">
      <c r="A261" s="240" t="s">
        <v>545</v>
      </c>
      <c r="B261" s="240" t="s">
        <v>598</v>
      </c>
    </row>
    <row r="262" spans="1:2">
      <c r="A262" s="239" t="s">
        <v>546</v>
      </c>
      <c r="B262" s="239" t="s">
        <v>46</v>
      </c>
    </row>
    <row r="263" spans="1:2">
      <c r="A263" s="239" t="s">
        <v>547</v>
      </c>
      <c r="B263" s="239" t="s">
        <v>46</v>
      </c>
    </row>
    <row r="264" spans="1:2">
      <c r="A264" s="239" t="s">
        <v>548</v>
      </c>
      <c r="B264" s="239" t="s">
        <v>49</v>
      </c>
    </row>
    <row r="265" spans="1:2">
      <c r="A265" s="239" t="s">
        <v>670</v>
      </c>
      <c r="B265" s="239" t="s">
        <v>45</v>
      </c>
    </row>
    <row r="266" spans="1:2">
      <c r="A266" s="239" t="s">
        <v>675</v>
      </c>
      <c r="B266" s="239" t="s">
        <v>48</v>
      </c>
    </row>
    <row r="267" spans="1:2">
      <c r="A267" s="239" t="s">
        <v>549</v>
      </c>
      <c r="B267" s="239" t="s">
        <v>46</v>
      </c>
    </row>
    <row r="268" spans="1:2">
      <c r="A268" s="239" t="s">
        <v>550</v>
      </c>
      <c r="B268" s="239" t="s">
        <v>49</v>
      </c>
    </row>
    <row r="269" spans="1:2">
      <c r="A269" s="239" t="s">
        <v>551</v>
      </c>
      <c r="B269" s="255" t="s">
        <v>46</v>
      </c>
    </row>
    <row r="270" spans="1:2">
      <c r="A270" s="239" t="s">
        <v>552</v>
      </c>
      <c r="B270" s="239" t="s">
        <v>45</v>
      </c>
    </row>
    <row r="271" spans="1:2">
      <c r="A271" s="239" t="s">
        <v>553</v>
      </c>
      <c r="B271" s="239" t="s">
        <v>46</v>
      </c>
    </row>
    <row r="272" spans="1:2">
      <c r="A272" s="239" t="s">
        <v>676</v>
      </c>
      <c r="B272" s="239" t="s">
        <v>48</v>
      </c>
    </row>
    <row r="273" spans="1:2">
      <c r="A273" s="239" t="s">
        <v>677</v>
      </c>
      <c r="B273" s="239" t="s">
        <v>58</v>
      </c>
    </row>
    <row r="274" spans="1:2">
      <c r="A274" s="240" t="s">
        <v>554</v>
      </c>
      <c r="B274" s="240" t="s">
        <v>598</v>
      </c>
    </row>
    <row r="275" spans="1:2">
      <c r="A275" s="239" t="s">
        <v>555</v>
      </c>
      <c r="B275" s="239" t="s">
        <v>46</v>
      </c>
    </row>
    <row r="276" spans="1:2">
      <c r="A276" s="239" t="s">
        <v>556</v>
      </c>
      <c r="B276" s="239" t="s">
        <v>46</v>
      </c>
    </row>
    <row r="277" spans="1:2">
      <c r="A277" s="239" t="s">
        <v>557</v>
      </c>
      <c r="B277" s="239" t="s">
        <v>57</v>
      </c>
    </row>
    <row r="278" spans="1:2">
      <c r="A278" s="239" t="s">
        <v>558</v>
      </c>
      <c r="B278" s="239" t="s">
        <v>57</v>
      </c>
    </row>
    <row r="279" spans="1:2">
      <c r="A279" s="240" t="s">
        <v>559</v>
      </c>
      <c r="B279" s="240" t="s">
        <v>598</v>
      </c>
    </row>
    <row r="280" spans="1:2">
      <c r="A280" s="239" t="s">
        <v>560</v>
      </c>
      <c r="B280" s="239" t="s">
        <v>57</v>
      </c>
    </row>
    <row r="281" spans="1:2">
      <c r="A281" s="239" t="s">
        <v>561</v>
      </c>
      <c r="B281" s="239" t="s">
        <v>49</v>
      </c>
    </row>
    <row r="282" spans="1:2">
      <c r="A282" s="239" t="s">
        <v>678</v>
      </c>
      <c r="B282" s="239" t="s">
        <v>48</v>
      </c>
    </row>
    <row r="283" spans="1:2">
      <c r="A283" s="239" t="s">
        <v>679</v>
      </c>
      <c r="B283" s="239" t="s">
        <v>58</v>
      </c>
    </row>
    <row r="284" spans="1:2">
      <c r="A284" s="240" t="s">
        <v>562</v>
      </c>
      <c r="B284" s="240" t="s">
        <v>598</v>
      </c>
    </row>
    <row r="285" spans="1:2">
      <c r="A285" s="239" t="s">
        <v>563</v>
      </c>
      <c r="B285" s="239" t="s">
        <v>46</v>
      </c>
    </row>
    <row r="286" spans="1:2">
      <c r="A286" s="239" t="s">
        <v>680</v>
      </c>
      <c r="B286" s="239" t="s">
        <v>49</v>
      </c>
    </row>
    <row r="287" spans="1:2">
      <c r="A287" s="239" t="s">
        <v>564</v>
      </c>
      <c r="B287" s="239" t="s">
        <v>49</v>
      </c>
    </row>
    <row r="288" spans="1:2">
      <c r="A288" s="239" t="s">
        <v>565</v>
      </c>
      <c r="B288" s="239" t="s">
        <v>49</v>
      </c>
    </row>
    <row r="289" spans="1:2">
      <c r="A289" s="239" t="s">
        <v>681</v>
      </c>
      <c r="B289" s="239" t="s">
        <v>48</v>
      </c>
    </row>
    <row r="290" spans="1:2">
      <c r="A290" s="239" t="s">
        <v>682</v>
      </c>
      <c r="B290" s="239" t="s">
        <v>59</v>
      </c>
    </row>
    <row r="291" spans="1:2">
      <c r="A291" s="240" t="s">
        <v>566</v>
      </c>
      <c r="B291" s="240" t="s">
        <v>598</v>
      </c>
    </row>
    <row r="292" spans="1:2">
      <c r="A292" s="239" t="s">
        <v>567</v>
      </c>
      <c r="B292" s="239" t="s">
        <v>49</v>
      </c>
    </row>
    <row r="293" spans="1:2">
      <c r="A293" s="239" t="s">
        <v>568</v>
      </c>
      <c r="B293" s="239" t="s">
        <v>46</v>
      </c>
    </row>
    <row r="294" spans="1:2">
      <c r="A294" s="239" t="s">
        <v>683</v>
      </c>
      <c r="B294" s="239" t="s">
        <v>48</v>
      </c>
    </row>
    <row r="295" spans="1:2">
      <c r="A295" s="239" t="s">
        <v>684</v>
      </c>
      <c r="B295" s="239" t="s">
        <v>58</v>
      </c>
    </row>
    <row r="296" spans="1:2">
      <c r="A296" s="239" t="s">
        <v>569</v>
      </c>
      <c r="B296" s="239" t="s">
        <v>46</v>
      </c>
    </row>
    <row r="297" spans="1:2">
      <c r="A297" s="239" t="s">
        <v>685</v>
      </c>
      <c r="B297" s="239" t="s">
        <v>48</v>
      </c>
    </row>
    <row r="298" spans="1:2">
      <c r="A298" s="239" t="s">
        <v>686</v>
      </c>
      <c r="B298" s="239" t="s">
        <v>58</v>
      </c>
    </row>
    <row r="299" spans="1:2">
      <c r="A299" s="239" t="s">
        <v>362</v>
      </c>
      <c r="B299" s="239" t="s">
        <v>49</v>
      </c>
    </row>
    <row r="300" spans="1:2">
      <c r="A300" s="239" t="s">
        <v>687</v>
      </c>
      <c r="B300" s="239" t="s">
        <v>45</v>
      </c>
    </row>
    <row r="301" spans="1:2">
      <c r="A301" s="239" t="s">
        <v>570</v>
      </c>
      <c r="B301" s="239" t="s">
        <v>49</v>
      </c>
    </row>
    <row r="302" spans="1:2">
      <c r="A302" s="239" t="s">
        <v>688</v>
      </c>
      <c r="B302" s="239" t="s">
        <v>45</v>
      </c>
    </row>
    <row r="303" spans="1:2">
      <c r="A303" s="239" t="s">
        <v>571</v>
      </c>
      <c r="B303" s="239" t="s">
        <v>46</v>
      </c>
    </row>
    <row r="304" spans="1:2">
      <c r="A304" s="239" t="s">
        <v>689</v>
      </c>
      <c r="B304" s="239" t="s">
        <v>58</v>
      </c>
    </row>
    <row r="305" spans="1:2">
      <c r="A305" s="239" t="s">
        <v>690</v>
      </c>
      <c r="B305" s="239" t="s">
        <v>59</v>
      </c>
    </row>
    <row r="306" spans="1:2">
      <c r="A306" s="239" t="s">
        <v>572</v>
      </c>
      <c r="B306" s="239" t="s">
        <v>46</v>
      </c>
    </row>
    <row r="307" spans="1:2">
      <c r="A307" s="239" t="s">
        <v>691</v>
      </c>
      <c r="B307" s="239" t="s">
        <v>58</v>
      </c>
    </row>
    <row r="308" spans="1:2">
      <c r="A308" s="239" t="s">
        <v>692</v>
      </c>
      <c r="B308" s="239" t="s">
        <v>59</v>
      </c>
    </row>
    <row r="309" spans="1:2">
      <c r="A309" s="239" t="s">
        <v>573</v>
      </c>
      <c r="B309" s="239" t="s">
        <v>46</v>
      </c>
    </row>
    <row r="310" spans="1:2">
      <c r="A310" s="239" t="s">
        <v>693</v>
      </c>
      <c r="B310" s="239" t="s">
        <v>58</v>
      </c>
    </row>
    <row r="311" spans="1:2">
      <c r="A311" s="239" t="s">
        <v>694</v>
      </c>
      <c r="B311" s="239" t="s">
        <v>59</v>
      </c>
    </row>
    <row r="312" spans="1:2">
      <c r="A312" s="239" t="s">
        <v>574</v>
      </c>
      <c r="B312" s="239" t="s">
        <v>57</v>
      </c>
    </row>
    <row r="313" spans="1:2">
      <c r="A313" s="239" t="s">
        <v>695</v>
      </c>
      <c r="B313" s="239" t="s">
        <v>49</v>
      </c>
    </row>
    <row r="314" spans="1:2">
      <c r="A314" s="240" t="s">
        <v>575</v>
      </c>
      <c r="B314" s="240" t="s">
        <v>598</v>
      </c>
    </row>
    <row r="315" spans="1:2">
      <c r="A315" s="239" t="s">
        <v>576</v>
      </c>
      <c r="B315" s="239" t="s">
        <v>57</v>
      </c>
    </row>
    <row r="316" spans="1:2">
      <c r="A316" s="239" t="s">
        <v>696</v>
      </c>
      <c r="B316" s="239" t="s">
        <v>48</v>
      </c>
    </row>
    <row r="317" spans="1:2">
      <c r="A317" s="239" t="s">
        <v>577</v>
      </c>
      <c r="B317" s="239" t="s">
        <v>49</v>
      </c>
    </row>
    <row r="318" spans="1:2">
      <c r="A318" s="239" t="s">
        <v>578</v>
      </c>
      <c r="B318" s="239" t="s">
        <v>46</v>
      </c>
    </row>
    <row r="319" spans="1:2">
      <c r="A319" s="240" t="s">
        <v>579</v>
      </c>
      <c r="B319" s="240" t="s">
        <v>598</v>
      </c>
    </row>
    <row r="320" spans="1:2">
      <c r="A320" s="239" t="s">
        <v>580</v>
      </c>
      <c r="B320" s="239" t="s">
        <v>49</v>
      </c>
    </row>
    <row r="321" spans="1:2">
      <c r="A321" s="239" t="s">
        <v>697</v>
      </c>
      <c r="B321" s="239" t="s">
        <v>58</v>
      </c>
    </row>
    <row r="322" spans="1:2">
      <c r="A322" s="239" t="s">
        <v>698</v>
      </c>
      <c r="B322" s="239" t="s">
        <v>59</v>
      </c>
    </row>
    <row r="323" spans="1:2">
      <c r="A323" s="240" t="s">
        <v>581</v>
      </c>
      <c r="B323" s="240" t="s">
        <v>598</v>
      </c>
    </row>
    <row r="324" spans="1:2">
      <c r="A324" s="239" t="s">
        <v>582</v>
      </c>
      <c r="B324" s="239" t="s">
        <v>49</v>
      </c>
    </row>
    <row r="325" spans="1:2">
      <c r="A325" s="239" t="s">
        <v>699</v>
      </c>
      <c r="B325" s="239" t="s">
        <v>58</v>
      </c>
    </row>
    <row r="326" spans="1:2">
      <c r="A326" s="239" t="s">
        <v>700</v>
      </c>
      <c r="B326" s="239" t="s">
        <v>59</v>
      </c>
    </row>
    <row r="327" spans="1:2">
      <c r="A327" s="239" t="s">
        <v>583</v>
      </c>
      <c r="B327" s="239" t="s">
        <v>46</v>
      </c>
    </row>
    <row r="328" spans="1:2">
      <c r="A328" s="240" t="s">
        <v>584</v>
      </c>
      <c r="B328" s="240" t="s">
        <v>598</v>
      </c>
    </row>
    <row r="329" spans="1:2">
      <c r="A329" s="239" t="s">
        <v>585</v>
      </c>
      <c r="B329" s="239" t="s">
        <v>45</v>
      </c>
    </row>
    <row r="330" spans="1:2">
      <c r="A330" s="239" t="s">
        <v>586</v>
      </c>
      <c r="B330" s="239" t="s">
        <v>49</v>
      </c>
    </row>
    <row r="331" spans="1:2">
      <c r="A331" s="239" t="s">
        <v>587</v>
      </c>
      <c r="B331" s="239" t="s">
        <v>49</v>
      </c>
    </row>
    <row r="332" spans="1:2">
      <c r="A332" s="239" t="s">
        <v>701</v>
      </c>
      <c r="B332" s="239" t="s">
        <v>58</v>
      </c>
    </row>
    <row r="333" spans="1:2">
      <c r="A333" s="239" t="s">
        <v>702</v>
      </c>
      <c r="B333" s="239" t="s">
        <v>59</v>
      </c>
    </row>
    <row r="334" spans="1:2">
      <c r="A334" s="239" t="s">
        <v>588</v>
      </c>
      <c r="B334" s="239" t="s">
        <v>46</v>
      </c>
    </row>
    <row r="335" spans="1:2">
      <c r="A335" s="239" t="s">
        <v>703</v>
      </c>
      <c r="B335" s="239" t="s">
        <v>58</v>
      </c>
    </row>
    <row r="336" spans="1:2">
      <c r="A336" s="239" t="s">
        <v>589</v>
      </c>
      <c r="B336" s="239" t="s">
        <v>49</v>
      </c>
    </row>
    <row r="337" spans="1:2">
      <c r="A337" s="239" t="s">
        <v>704</v>
      </c>
      <c r="B337" s="239" t="s">
        <v>58</v>
      </c>
    </row>
    <row r="338" spans="1:2">
      <c r="A338" s="239" t="s">
        <v>705</v>
      </c>
      <c r="B338" s="239" t="s">
        <v>59</v>
      </c>
    </row>
    <row r="339" spans="1:2">
      <c r="A339" s="240" t="s">
        <v>590</v>
      </c>
      <c r="B339" s="240" t="s">
        <v>598</v>
      </c>
    </row>
    <row r="340" spans="1:2">
      <c r="A340" s="239" t="s">
        <v>591</v>
      </c>
      <c r="B340" s="239" t="s">
        <v>46</v>
      </c>
    </row>
    <row r="341" spans="1:2">
      <c r="A341" s="239" t="s">
        <v>706</v>
      </c>
      <c r="B341" s="239" t="s">
        <v>58</v>
      </c>
    </row>
    <row r="342" spans="1:2">
      <c r="A342" s="239" t="s">
        <v>707</v>
      </c>
      <c r="B342" s="239" t="s">
        <v>59</v>
      </c>
    </row>
    <row r="343" spans="1:2">
      <c r="A343" s="239" t="s">
        <v>592</v>
      </c>
      <c r="B343" s="239" t="s">
        <v>49</v>
      </c>
    </row>
  </sheetData>
  <sheetProtection password="ED7E" sheet="1" objects="1" scenarios="1" selectLockedCells="1"/>
  <mergeCells count="2">
    <mergeCell ref="A1:A2"/>
    <mergeCell ref="B1:B2"/>
  </mergeCell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8</vt:i4>
      </vt:variant>
      <vt:variant>
        <vt:lpstr>Rangos con nombre</vt:lpstr>
      </vt:variant>
      <vt:variant>
        <vt:i4>6</vt:i4>
      </vt:variant>
    </vt:vector>
  </HeadingPairs>
  <TitlesOfParts>
    <vt:vector size="14" baseType="lpstr">
      <vt:lpstr>IMPRESION AGENTE</vt:lpstr>
      <vt:lpstr>COTIZACION</vt:lpstr>
      <vt:lpstr>FACTORES</vt:lpstr>
      <vt:lpstr>Cotizador</vt:lpstr>
      <vt:lpstr>ACTIVIDADES AMIS</vt:lpstr>
      <vt:lpstr>Instrucciones</vt:lpstr>
      <vt:lpstr>IMPRESION CONTRATANTE</vt:lpstr>
      <vt:lpstr>Profesiones</vt:lpstr>
      <vt:lpstr>Cotizador!Área_de_impresión</vt:lpstr>
      <vt:lpstr>'IMPRESION AGENTE'!Área_de_impresión</vt:lpstr>
      <vt:lpstr>'IMPRESION CONTRATANTE'!Área_de_impresión</vt:lpstr>
      <vt:lpstr>DESPLAZÁNDOSE_CON_MUCHA_FRECUENCIA</vt:lpstr>
      <vt:lpstr>EN_LUGARES_FIJOS</vt:lpstr>
      <vt:lpstr>Lugar</vt:lpstr>
    </vt:vector>
  </TitlesOfParts>
  <Company>GENERALI MEXICO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GENERALI MEXICO</dc:creator>
  <cp:lastModifiedBy>ADMIN</cp:lastModifiedBy>
  <cp:lastPrinted>2017-02-13T15:14:33Z</cp:lastPrinted>
  <dcterms:created xsi:type="dcterms:W3CDTF">2002-01-09T15:02:34Z</dcterms:created>
  <dcterms:modified xsi:type="dcterms:W3CDTF">2025-03-28T22:10:53Z</dcterms:modified>
</cp:coreProperties>
</file>