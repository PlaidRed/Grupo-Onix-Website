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v7q1JPjtLVIkwTZX11tXRpWkLe7I80+TDU2zR/6YXgqmIKtNo6eCxgmKAlJhL7X1UbWe23/ZrsapTctdJbvBpg==" workbookSaltValue="565t5gauHd/s6SYAIBBBmQ==" workbookSpinCount="100000" lockStructure="1"/>
  <bookViews>
    <workbookView xWindow="0" yWindow="0" windowWidth="19200" windowHeight="705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20" r:id="rId11"/>
    <sheet name="CAMBIOS ME" sheetId="21" state="hidden" r:id="rId12"/>
  </sheets>
  <definedNames>
    <definedName name="_xlnm._FilterDatabase" localSheetId="6" hidden="1">COTIZACION!$C$309:$E$341</definedName>
    <definedName name="ADIC">TITULAR!$G$20</definedName>
    <definedName name="_xlnm.Print_Area" localSheetId="2">TARIFARIO!$E$2:$H$26</definedName>
    <definedName name="_xlnm.Print_Area" localSheetId="6">COTIZACION!$B$2:$J$36</definedName>
    <definedName name="_xlnm.Print_Area" localSheetId="5">CuadroEspecificacionesTARIFARIO!$A$1:$K$65</definedName>
    <definedName name="_xlnm.Print_Area" localSheetId="3">TARIFARIO!$I$2:$M$26</definedName>
    <definedName name="_xlnm.Print_Area" localSheetId="0">FACTORES!$A$1:$N$52</definedName>
    <definedName name="_xlnm.Print_Area" localSheetId="7">IMPRESION!$A$1:$N$104</definedName>
    <definedName name="_xlnm.Print_Area" localSheetId="9">Instrucciones!$A$1:$J$31</definedName>
    <definedName name="_xlnm.Print_Area" localSheetId="8">TARIFARIO!$A$1:$M$99</definedName>
    <definedName name="_xlnm.Print_Area" localSheetId="1">TARIFARIO!$A$2:$D$26</definedName>
    <definedName name="Base" localSheetId="7">IMPRESION!#REF!</definedName>
    <definedName name="Base">COTIZACION!$H$253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COTIZACION!$H$23</definedName>
    <definedName name="EDUCA">TITULAR!$G$22</definedName>
    <definedName name="ENFGVES">TITULAR!$G$11</definedName>
    <definedName name="IKE">TITULAR!$G$21</definedName>
    <definedName name="IVA">COTIZACION!$D$20</definedName>
    <definedName name="PARTO">TITULAR!$G$18</definedName>
    <definedName name="RMES">FACTORES!$P$4</definedName>
    <definedName name="RSEM">FACTORES!$P$2</definedName>
    <definedName name="RTRIM">FACTORES!$P$3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8" i="2" l="1"/>
  <c r="G22" i="2" l="1"/>
  <c r="G18" i="2" l="1"/>
  <c r="S3" i="2" l="1"/>
  <c r="O7" i="2"/>
  <c r="O3" i="2"/>
  <c r="K21" i="2" l="1"/>
  <c r="G21" i="2" s="1"/>
  <c r="K23" i="2"/>
  <c r="G23" i="2" s="1"/>
  <c r="K19" i="2"/>
  <c r="G19" i="2" s="1"/>
  <c r="B44" i="13"/>
  <c r="C83" i="16" s="1"/>
  <c r="M41" i="1" l="1"/>
  <c r="M40" i="1"/>
  <c r="M39" i="1"/>
  <c r="M38" i="1"/>
  <c r="M37" i="1"/>
  <c r="M36" i="1"/>
  <c r="M35" i="1"/>
  <c r="M34" i="1"/>
  <c r="K25" i="2" l="1"/>
  <c r="L18" i="2" l="1"/>
  <c r="B98" i="15" l="1"/>
  <c r="I7" i="19" l="1"/>
  <c r="P18" i="2" l="1"/>
  <c r="M21" i="2" l="1"/>
  <c r="T18" i="2"/>
  <c r="K20" i="2" l="1"/>
  <c r="G20" i="2" s="1"/>
  <c r="Q21" i="2"/>
  <c r="T19" i="2"/>
  <c r="T23" i="2"/>
  <c r="T21" i="2"/>
  <c r="T20" i="2" l="1"/>
  <c r="I61" i="16"/>
  <c r="H80" i="16" l="1"/>
  <c r="H79" i="16"/>
  <c r="H78" i="16"/>
  <c r="H77" i="16"/>
  <c r="H76" i="16"/>
  <c r="H75" i="16"/>
  <c r="H74" i="16"/>
  <c r="H7" i="2" l="1"/>
  <c r="E7" i="2"/>
  <c r="H246" i="13" l="1"/>
  <c r="H245" i="13"/>
  <c r="A37" i="1" s="1"/>
  <c r="E9" i="13" s="1"/>
  <c r="H244" i="13"/>
  <c r="B238" i="1" l="1"/>
  <c r="B237" i="1"/>
  <c r="B236" i="1"/>
  <c r="B235" i="1"/>
  <c r="B234" i="1"/>
  <c r="B233" i="1"/>
  <c r="B232" i="1"/>
  <c r="B231" i="1"/>
  <c r="B2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29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E8" i="13" l="1"/>
  <c r="B100" i="16" s="1"/>
  <c r="F27" i="13" l="1"/>
  <c r="E12" i="13"/>
  <c r="K77" i="16" l="1"/>
  <c r="K80" i="16"/>
  <c r="K76" i="16"/>
  <c r="K79" i="16"/>
  <c r="K75" i="16"/>
  <c r="K78" i="16"/>
  <c r="F28" i="13"/>
  <c r="J40" i="16" l="1"/>
  <c r="K6" i="16"/>
  <c r="H73" i="16"/>
  <c r="B13" i="13" l="1"/>
  <c r="A34" i="13" l="1"/>
  <c r="A33" i="13"/>
  <c r="A32" i="13"/>
  <c r="A31" i="13"/>
  <c r="A30" i="13"/>
  <c r="A29" i="13"/>
  <c r="A28" i="13"/>
  <c r="A27" i="13"/>
  <c r="D7" i="15" l="1"/>
  <c r="F34" i="13" l="1"/>
  <c r="F33" i="13"/>
  <c r="F32" i="13"/>
  <c r="F31" i="13"/>
  <c r="F30" i="13"/>
  <c r="F29" i="13"/>
  <c r="A75" i="16" l="1"/>
  <c r="A74" i="16"/>
  <c r="G13" i="10" l="1"/>
  <c r="E85" i="16" l="1"/>
  <c r="E87" i="16"/>
  <c r="C93" i="16"/>
  <c r="C92" i="16"/>
  <c r="I15" i="16"/>
  <c r="D15" i="13" l="1"/>
  <c r="G36" i="1" s="1"/>
  <c r="B9" i="16"/>
  <c r="B7" i="16"/>
  <c r="G37" i="1" l="1"/>
  <c r="H36" i="1"/>
  <c r="L7" i="15"/>
  <c r="G16" i="2"/>
  <c r="B82" i="15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J18" i="15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F17" i="15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B17" i="15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I253" i="13"/>
  <c r="I60" i="16"/>
  <c r="E12" i="2"/>
  <c r="G12" i="2" s="1"/>
  <c r="B22" i="10"/>
  <c r="B22" i="11"/>
  <c r="B28" i="2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4" i="13"/>
  <c r="J80" i="16" s="1"/>
  <c r="B33" i="13"/>
  <c r="B32" i="13"/>
  <c r="B31" i="13"/>
  <c r="J77" i="16" s="1"/>
  <c r="B30" i="13"/>
  <c r="J76" i="16" s="1"/>
  <c r="B29" i="13"/>
  <c r="J75" i="16" s="1"/>
  <c r="B28" i="13"/>
  <c r="J74" i="16" s="1"/>
  <c r="E11" i="2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C91" i="16"/>
  <c r="E5" i="2"/>
  <c r="D9" i="15" s="1"/>
  <c r="A76" i="16"/>
  <c r="C76" i="16"/>
  <c r="E6" i="2"/>
  <c r="G7" i="2" s="1"/>
  <c r="I74" i="16"/>
  <c r="K74" i="16" s="1"/>
  <c r="C75" i="16"/>
  <c r="O4" i="1"/>
  <c r="P4" i="1" s="1"/>
  <c r="O3" i="1"/>
  <c r="P3" i="1" s="1"/>
  <c r="O2" i="1"/>
  <c r="P2" i="1" s="1"/>
  <c r="H42" i="12"/>
  <c r="I73" i="16"/>
  <c r="E8" i="2"/>
  <c r="I19" i="16" s="1"/>
  <c r="H25" i="12"/>
  <c r="I24" i="2"/>
  <c r="G14" i="11"/>
  <c r="I18" i="11" s="1"/>
  <c r="I75" i="16"/>
  <c r="I18" i="10"/>
  <c r="I76" i="16"/>
  <c r="C77" i="16"/>
  <c r="C78" i="16"/>
  <c r="C79" i="16"/>
  <c r="C80" i="16"/>
  <c r="K82" i="16"/>
  <c r="E5" i="11"/>
  <c r="H9" i="15" s="1"/>
  <c r="E7" i="10"/>
  <c r="L11" i="15" s="1"/>
  <c r="E5" i="10"/>
  <c r="L9" i="15" s="1"/>
  <c r="A264" i="13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K19" i="11"/>
  <c r="N19" i="11"/>
  <c r="E17" i="2"/>
  <c r="I77" i="16"/>
  <c r="A77" i="16"/>
  <c r="I78" i="16"/>
  <c r="A78" i="16"/>
  <c r="I79" i="16"/>
  <c r="A79" i="16"/>
  <c r="E3" i="11"/>
  <c r="F3" i="11" s="1"/>
  <c r="E6" i="11"/>
  <c r="H10" i="15" s="1"/>
  <c r="E7" i="11"/>
  <c r="H11" i="15" s="1"/>
  <c r="E14" i="11"/>
  <c r="K225" i="13"/>
  <c r="D266" i="13"/>
  <c r="E3" i="2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E3" i="10"/>
  <c r="E13" i="10"/>
  <c r="E6" i="10"/>
  <c r="L10" i="15" s="1"/>
  <c r="C90" i="16"/>
  <c r="C74" i="16"/>
  <c r="C73" i="16"/>
  <c r="J79" i="16"/>
  <c r="J78" i="16"/>
  <c r="J73" i="16"/>
  <c r="A80" i="16"/>
  <c r="I80" i="16"/>
  <c r="A220" i="16"/>
  <c r="E10" i="2"/>
  <c r="A17" i="4"/>
  <c r="A18" i="4" s="1"/>
  <c r="A19" i="4" s="1"/>
  <c r="A20" i="4" s="1"/>
  <c r="A21" i="4" s="1"/>
  <c r="A22" i="4" s="1"/>
  <c r="A23" i="4" s="1"/>
  <c r="A24" i="4" s="1"/>
  <c r="I22" i="16"/>
  <c r="J34" i="16"/>
  <c r="J36" i="16"/>
  <c r="J33" i="16"/>
  <c r="B139" i="1" l="1"/>
  <c r="B134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37" i="1"/>
  <c r="B132" i="1"/>
  <c r="B211" i="1"/>
  <c r="B203" i="1"/>
  <c r="B191" i="1"/>
  <c r="B179" i="1"/>
  <c r="B167" i="1"/>
  <c r="B155" i="1"/>
  <c r="B143" i="1"/>
  <c r="B138" i="1"/>
  <c r="B133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36" i="1"/>
  <c r="B215" i="1"/>
  <c r="B199" i="1"/>
  <c r="B187" i="1"/>
  <c r="B171" i="1"/>
  <c r="B159" i="1"/>
  <c r="B147" i="1"/>
  <c r="B140" i="1"/>
  <c r="B135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41" i="1"/>
  <c r="B219" i="1"/>
  <c r="B207" i="1"/>
  <c r="B195" i="1"/>
  <c r="B183" i="1"/>
  <c r="B175" i="1"/>
  <c r="B163" i="1"/>
  <c r="B151" i="1"/>
  <c r="G8" i="2"/>
  <c r="G7" i="10" s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23" i="10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G11" i="2"/>
  <c r="H17" i="12"/>
  <c r="I17" i="12" s="1"/>
  <c r="G5" i="2"/>
  <c r="A73" i="16"/>
  <c r="A100" i="16" s="1"/>
  <c r="H19" i="12"/>
  <c r="I17" i="16"/>
  <c r="H22" i="12"/>
  <c r="E19" i="13"/>
  <c r="I2" i="2"/>
  <c r="I2" i="11"/>
  <c r="J12" i="12"/>
  <c r="D11" i="15"/>
  <c r="D75" i="15" s="1"/>
  <c r="D73" i="15"/>
  <c r="F3" i="2"/>
  <c r="I2" i="10"/>
  <c r="F3" i="10"/>
  <c r="J15" i="16"/>
  <c r="D10" i="15"/>
  <c r="D74" i="15" s="1"/>
  <c r="G6" i="2"/>
  <c r="I59" i="16"/>
  <c r="J59" i="16" s="1"/>
  <c r="G7" i="11" l="1"/>
  <c r="F141" i="1"/>
  <c r="E141" i="1"/>
  <c r="D141" i="1"/>
  <c r="C141" i="1"/>
  <c r="F170" i="1"/>
  <c r="E170" i="1"/>
  <c r="D170" i="1"/>
  <c r="C170" i="1"/>
  <c r="F202" i="1"/>
  <c r="E202" i="1"/>
  <c r="D202" i="1"/>
  <c r="C202" i="1"/>
  <c r="F147" i="1"/>
  <c r="E147" i="1"/>
  <c r="D147" i="1"/>
  <c r="C147" i="1"/>
  <c r="F164" i="1"/>
  <c r="E164" i="1"/>
  <c r="D164" i="1"/>
  <c r="C164" i="1"/>
  <c r="F196" i="1"/>
  <c r="E196" i="1"/>
  <c r="D196" i="1"/>
  <c r="C196" i="1"/>
  <c r="F138" i="1"/>
  <c r="E138" i="1"/>
  <c r="D138" i="1"/>
  <c r="C138" i="1"/>
  <c r="C132" i="1"/>
  <c r="F132" i="1"/>
  <c r="E132" i="1"/>
  <c r="D132" i="1"/>
  <c r="F153" i="1"/>
  <c r="E153" i="1"/>
  <c r="D153" i="1"/>
  <c r="C153" i="1"/>
  <c r="F169" i="1"/>
  <c r="E169" i="1"/>
  <c r="D169" i="1"/>
  <c r="C169" i="1"/>
  <c r="F185" i="1"/>
  <c r="E185" i="1"/>
  <c r="D185" i="1"/>
  <c r="C185" i="1"/>
  <c r="F217" i="1"/>
  <c r="E217" i="1"/>
  <c r="D217" i="1"/>
  <c r="C217" i="1"/>
  <c r="F151" i="1"/>
  <c r="E151" i="1"/>
  <c r="D151" i="1"/>
  <c r="C151" i="1"/>
  <c r="F195" i="1"/>
  <c r="E195" i="1"/>
  <c r="D195" i="1"/>
  <c r="C195" i="1"/>
  <c r="F142" i="1"/>
  <c r="E142" i="1"/>
  <c r="D142" i="1"/>
  <c r="C142" i="1"/>
  <c r="F158" i="1"/>
  <c r="E158" i="1"/>
  <c r="D158" i="1"/>
  <c r="C158" i="1"/>
  <c r="F174" i="1"/>
  <c r="E174" i="1"/>
  <c r="D174" i="1"/>
  <c r="C174" i="1"/>
  <c r="F190" i="1"/>
  <c r="E190" i="1"/>
  <c r="D190" i="1"/>
  <c r="C190" i="1"/>
  <c r="F206" i="1"/>
  <c r="E206" i="1"/>
  <c r="D206" i="1"/>
  <c r="C206" i="1"/>
  <c r="C222" i="1"/>
  <c r="F222" i="1"/>
  <c r="E222" i="1"/>
  <c r="D222" i="1"/>
  <c r="F159" i="1"/>
  <c r="E159" i="1"/>
  <c r="D159" i="1"/>
  <c r="C159" i="1"/>
  <c r="F215" i="1"/>
  <c r="E215" i="1"/>
  <c r="D215" i="1"/>
  <c r="C215" i="1"/>
  <c r="F152" i="1"/>
  <c r="E152" i="1"/>
  <c r="D152" i="1"/>
  <c r="C152" i="1"/>
  <c r="F168" i="1"/>
  <c r="E168" i="1"/>
  <c r="D168" i="1"/>
  <c r="C168" i="1"/>
  <c r="F184" i="1"/>
  <c r="E184" i="1"/>
  <c r="D184" i="1"/>
  <c r="C184" i="1"/>
  <c r="F200" i="1"/>
  <c r="E200" i="1"/>
  <c r="D200" i="1"/>
  <c r="C200" i="1"/>
  <c r="F216" i="1"/>
  <c r="E216" i="1"/>
  <c r="D216" i="1"/>
  <c r="C216" i="1"/>
  <c r="F143" i="1"/>
  <c r="E143" i="1"/>
  <c r="D143" i="1"/>
  <c r="C143" i="1"/>
  <c r="F191" i="1"/>
  <c r="E191" i="1"/>
  <c r="D191" i="1"/>
  <c r="C191" i="1"/>
  <c r="C137" i="1"/>
  <c r="F137" i="1"/>
  <c r="E137" i="1"/>
  <c r="D137" i="1"/>
  <c r="F157" i="1"/>
  <c r="E157" i="1"/>
  <c r="D157" i="1"/>
  <c r="C157" i="1"/>
  <c r="F173" i="1"/>
  <c r="E173" i="1"/>
  <c r="D173" i="1"/>
  <c r="C173" i="1"/>
  <c r="F189" i="1"/>
  <c r="E189" i="1"/>
  <c r="D189" i="1"/>
  <c r="C189" i="1"/>
  <c r="F205" i="1"/>
  <c r="E205" i="1"/>
  <c r="D205" i="1"/>
  <c r="C205" i="1"/>
  <c r="C221" i="1"/>
  <c r="F221" i="1"/>
  <c r="E221" i="1"/>
  <c r="D221" i="1"/>
  <c r="F154" i="1"/>
  <c r="E154" i="1"/>
  <c r="D154" i="1"/>
  <c r="C154" i="1"/>
  <c r="F186" i="1"/>
  <c r="E186" i="1"/>
  <c r="D186" i="1"/>
  <c r="C186" i="1"/>
  <c r="F218" i="1"/>
  <c r="E218" i="1"/>
  <c r="D218" i="1"/>
  <c r="C218" i="1"/>
  <c r="F148" i="1"/>
  <c r="E148" i="1"/>
  <c r="D148" i="1"/>
  <c r="C148" i="1"/>
  <c r="F180" i="1"/>
  <c r="E180" i="1"/>
  <c r="D180" i="1"/>
  <c r="C180" i="1"/>
  <c r="F212" i="1"/>
  <c r="E212" i="1"/>
  <c r="D212" i="1"/>
  <c r="C212" i="1"/>
  <c r="F179" i="1"/>
  <c r="E179" i="1"/>
  <c r="D179" i="1"/>
  <c r="C179" i="1"/>
  <c r="F201" i="1"/>
  <c r="E201" i="1"/>
  <c r="D201" i="1"/>
  <c r="C201" i="1"/>
  <c r="F163" i="1"/>
  <c r="E163" i="1"/>
  <c r="D163" i="1"/>
  <c r="C163" i="1"/>
  <c r="F207" i="1"/>
  <c r="E207" i="1"/>
  <c r="D207" i="1"/>
  <c r="C207" i="1"/>
  <c r="F146" i="1"/>
  <c r="E146" i="1"/>
  <c r="D146" i="1"/>
  <c r="C146" i="1"/>
  <c r="F162" i="1"/>
  <c r="E162" i="1"/>
  <c r="D162" i="1"/>
  <c r="C162" i="1"/>
  <c r="F178" i="1"/>
  <c r="E178" i="1"/>
  <c r="D178" i="1"/>
  <c r="C178" i="1"/>
  <c r="F194" i="1"/>
  <c r="E194" i="1"/>
  <c r="D194" i="1"/>
  <c r="C194" i="1"/>
  <c r="F210" i="1"/>
  <c r="E210" i="1"/>
  <c r="D210" i="1"/>
  <c r="C210" i="1"/>
  <c r="C135" i="1"/>
  <c r="F135" i="1"/>
  <c r="E135" i="1"/>
  <c r="D135" i="1"/>
  <c r="F171" i="1"/>
  <c r="E171" i="1"/>
  <c r="D171" i="1"/>
  <c r="C171" i="1"/>
  <c r="C136" i="1"/>
  <c r="E136" i="1"/>
  <c r="F136" i="1"/>
  <c r="D136" i="1"/>
  <c r="F156" i="1"/>
  <c r="E156" i="1"/>
  <c r="D156" i="1"/>
  <c r="C156" i="1"/>
  <c r="F172" i="1"/>
  <c r="E172" i="1"/>
  <c r="D172" i="1"/>
  <c r="C172" i="1"/>
  <c r="F188" i="1"/>
  <c r="E188" i="1"/>
  <c r="D188" i="1"/>
  <c r="C188" i="1"/>
  <c r="F204" i="1"/>
  <c r="E204" i="1"/>
  <c r="D204" i="1"/>
  <c r="C204" i="1"/>
  <c r="F220" i="1"/>
  <c r="E220" i="1"/>
  <c r="D220" i="1"/>
  <c r="C220" i="1"/>
  <c r="F155" i="1"/>
  <c r="E155" i="1"/>
  <c r="D155" i="1"/>
  <c r="C155" i="1"/>
  <c r="F203" i="1"/>
  <c r="E203" i="1"/>
  <c r="D203" i="1"/>
  <c r="C203" i="1"/>
  <c r="F145" i="1"/>
  <c r="E145" i="1"/>
  <c r="D145" i="1"/>
  <c r="C145" i="1"/>
  <c r="F161" i="1"/>
  <c r="E161" i="1"/>
  <c r="D161" i="1"/>
  <c r="C161" i="1"/>
  <c r="F177" i="1"/>
  <c r="E177" i="1"/>
  <c r="D177" i="1"/>
  <c r="C177" i="1"/>
  <c r="F193" i="1"/>
  <c r="E193" i="1"/>
  <c r="D193" i="1"/>
  <c r="C193" i="1"/>
  <c r="F209" i="1"/>
  <c r="E209" i="1"/>
  <c r="D209" i="1"/>
  <c r="C209" i="1"/>
  <c r="C134" i="1"/>
  <c r="F134" i="1"/>
  <c r="D134" i="1"/>
  <c r="E134" i="1"/>
  <c r="F183" i="1"/>
  <c r="E183" i="1"/>
  <c r="D183" i="1"/>
  <c r="C183" i="1"/>
  <c r="F199" i="1"/>
  <c r="E199" i="1"/>
  <c r="D199" i="1"/>
  <c r="C199" i="1"/>
  <c r="F175" i="1"/>
  <c r="E175" i="1"/>
  <c r="D175" i="1"/>
  <c r="C175" i="1"/>
  <c r="F219" i="1"/>
  <c r="E219" i="1"/>
  <c r="D219" i="1"/>
  <c r="C219" i="1"/>
  <c r="F150" i="1"/>
  <c r="E150" i="1"/>
  <c r="D150" i="1"/>
  <c r="C150" i="1"/>
  <c r="F166" i="1"/>
  <c r="E166" i="1"/>
  <c r="D166" i="1"/>
  <c r="C166" i="1"/>
  <c r="F182" i="1"/>
  <c r="E182" i="1"/>
  <c r="D182" i="1"/>
  <c r="C182" i="1"/>
  <c r="F198" i="1"/>
  <c r="E198" i="1"/>
  <c r="D198" i="1"/>
  <c r="C198" i="1"/>
  <c r="F214" i="1"/>
  <c r="E214" i="1"/>
  <c r="D214" i="1"/>
  <c r="C214" i="1"/>
  <c r="F140" i="1"/>
  <c r="E140" i="1"/>
  <c r="D140" i="1"/>
  <c r="C140" i="1"/>
  <c r="F187" i="1"/>
  <c r="E187" i="1"/>
  <c r="D187" i="1"/>
  <c r="C187" i="1"/>
  <c r="F144" i="1"/>
  <c r="E144" i="1"/>
  <c r="D144" i="1"/>
  <c r="C144" i="1"/>
  <c r="F160" i="1"/>
  <c r="E160" i="1"/>
  <c r="D160" i="1"/>
  <c r="C160" i="1"/>
  <c r="F176" i="1"/>
  <c r="E176" i="1"/>
  <c r="D176" i="1"/>
  <c r="C176" i="1"/>
  <c r="F192" i="1"/>
  <c r="E192" i="1"/>
  <c r="D192" i="1"/>
  <c r="C192" i="1"/>
  <c r="F208" i="1"/>
  <c r="E208" i="1"/>
  <c r="D208" i="1"/>
  <c r="C208" i="1"/>
  <c r="C133" i="1"/>
  <c r="E133" i="1"/>
  <c r="F133" i="1"/>
  <c r="D133" i="1"/>
  <c r="F167" i="1"/>
  <c r="E167" i="1"/>
  <c r="D167" i="1"/>
  <c r="C167" i="1"/>
  <c r="F211" i="1"/>
  <c r="E211" i="1"/>
  <c r="D211" i="1"/>
  <c r="C211" i="1"/>
  <c r="F149" i="1"/>
  <c r="E149" i="1"/>
  <c r="D149" i="1"/>
  <c r="C149" i="1"/>
  <c r="F165" i="1"/>
  <c r="E165" i="1"/>
  <c r="D165" i="1"/>
  <c r="C165" i="1"/>
  <c r="F181" i="1"/>
  <c r="E181" i="1"/>
  <c r="D181" i="1"/>
  <c r="C181" i="1"/>
  <c r="F197" i="1"/>
  <c r="E197" i="1"/>
  <c r="D197" i="1"/>
  <c r="C197" i="1"/>
  <c r="F213" i="1"/>
  <c r="E213" i="1"/>
  <c r="D213" i="1"/>
  <c r="C213" i="1"/>
  <c r="F139" i="1"/>
  <c r="E139" i="1"/>
  <c r="D139" i="1"/>
  <c r="C139" i="1"/>
  <c r="G5" i="11"/>
  <c r="G5" i="10"/>
  <c r="G6" i="11"/>
  <c r="G6" i="10"/>
  <c r="C43" i="1" l="1"/>
  <c r="E43" i="1" s="1"/>
  <c r="G43" i="1" s="1"/>
  <c r="E25" i="10" s="1"/>
  <c r="B46" i="1"/>
  <c r="D46" i="1" s="1"/>
  <c r="F46" i="1" s="1"/>
  <c r="D28" i="10" s="1"/>
  <c r="F28" i="10" s="1"/>
  <c r="H28" i="10" s="1"/>
  <c r="J28" i="10" s="1"/>
  <c r="K18" i="15" s="1"/>
  <c r="B120" i="1"/>
  <c r="D120" i="1" s="1"/>
  <c r="F120" i="1" s="1"/>
  <c r="D102" i="11" s="1"/>
  <c r="F102" i="11" s="1"/>
  <c r="H102" i="11" s="1"/>
  <c r="J102" i="11" s="1"/>
  <c r="B104" i="1"/>
  <c r="D104" i="1" s="1"/>
  <c r="F104" i="1" s="1"/>
  <c r="D92" i="2" s="1"/>
  <c r="F92" i="2" s="1"/>
  <c r="H92" i="2" s="1"/>
  <c r="J92" i="2" s="1"/>
  <c r="C63" i="15" s="1"/>
  <c r="B88" i="1"/>
  <c r="D88" i="1" s="1"/>
  <c r="F88" i="1" s="1"/>
  <c r="D76" i="2" s="1"/>
  <c r="F76" i="2" s="1"/>
  <c r="H76" i="2" s="1"/>
  <c r="J76" i="2" s="1"/>
  <c r="C47" i="15" s="1"/>
  <c r="B72" i="1"/>
  <c r="D72" i="1" s="1"/>
  <c r="F72" i="1" s="1"/>
  <c r="D54" i="11" s="1"/>
  <c r="M54" i="11" s="1"/>
  <c r="B56" i="1"/>
  <c r="D56" i="1" s="1"/>
  <c r="F56" i="1" s="1"/>
  <c r="D38" i="10" s="1"/>
  <c r="F38" i="10" s="1"/>
  <c r="H38" i="10" s="1"/>
  <c r="J38" i="10" s="1"/>
  <c r="K28" i="15" s="1"/>
  <c r="B118" i="1"/>
  <c r="D118" i="1" s="1"/>
  <c r="F118" i="1" s="1"/>
  <c r="D106" i="2" s="1"/>
  <c r="F106" i="2" s="1"/>
  <c r="H106" i="2" s="1"/>
  <c r="J106" i="2" s="1"/>
  <c r="B74" i="1"/>
  <c r="D74" i="1" s="1"/>
  <c r="F74" i="1" s="1"/>
  <c r="D56" i="11" s="1"/>
  <c r="B115" i="1"/>
  <c r="D115" i="1" s="1"/>
  <c r="F115" i="1" s="1"/>
  <c r="D97" i="11" s="1"/>
  <c r="F97" i="11" s="1"/>
  <c r="H97" i="11" s="1"/>
  <c r="J97" i="11" s="1"/>
  <c r="B99" i="1"/>
  <c r="D99" i="1" s="1"/>
  <c r="F99" i="1" s="1"/>
  <c r="D87" i="2" s="1"/>
  <c r="F87" i="2" s="1"/>
  <c r="H87" i="2" s="1"/>
  <c r="J87" i="2" s="1"/>
  <c r="C58" i="15" s="1"/>
  <c r="B83" i="1"/>
  <c r="D83" i="1" s="1"/>
  <c r="F83" i="1" s="1"/>
  <c r="D65" i="11" s="1"/>
  <c r="M65" i="11" s="1"/>
  <c r="B67" i="1"/>
  <c r="D67" i="1" s="1"/>
  <c r="F67" i="1" s="1"/>
  <c r="D49" i="11" s="1"/>
  <c r="M49" i="11" s="1"/>
  <c r="B51" i="1"/>
  <c r="D51" i="1" s="1"/>
  <c r="F51" i="1" s="1"/>
  <c r="D39" i="2" s="1"/>
  <c r="F39" i="2" s="1"/>
  <c r="H39" i="2" s="1"/>
  <c r="J39" i="2" s="1"/>
  <c r="C87" i="15" s="1"/>
  <c r="B94" i="1"/>
  <c r="D94" i="1" s="1"/>
  <c r="F94" i="1" s="1"/>
  <c r="D82" i="2" s="1"/>
  <c r="F82" i="2" s="1"/>
  <c r="H82" i="2" s="1"/>
  <c r="J82" i="2" s="1"/>
  <c r="C53" i="15" s="1"/>
  <c r="B47" i="1"/>
  <c r="D47" i="1" s="1"/>
  <c r="F47" i="1" s="1"/>
  <c r="D29" i="10" s="1"/>
  <c r="F29" i="10" s="1"/>
  <c r="H29" i="10" s="1"/>
  <c r="J29" i="10" s="1"/>
  <c r="K19" i="15" s="1"/>
  <c r="B121" i="1"/>
  <c r="D121" i="1" s="1"/>
  <c r="F121" i="1" s="1"/>
  <c r="D109" i="2" s="1"/>
  <c r="F109" i="2" s="1"/>
  <c r="H109" i="2" s="1"/>
  <c r="J109" i="2" s="1"/>
  <c r="B105" i="1"/>
  <c r="D105" i="1" s="1"/>
  <c r="F105" i="1" s="1"/>
  <c r="D87" i="11" s="1"/>
  <c r="F87" i="11" s="1"/>
  <c r="H87" i="11" s="1"/>
  <c r="J87" i="11" s="1"/>
  <c r="G64" i="15" s="1"/>
  <c r="B89" i="1"/>
  <c r="D89" i="1" s="1"/>
  <c r="F89" i="1" s="1"/>
  <c r="D71" i="11" s="1"/>
  <c r="F71" i="11" s="1"/>
  <c r="H71" i="11" s="1"/>
  <c r="J71" i="11" s="1"/>
  <c r="G48" i="15" s="1"/>
  <c r="B73" i="1"/>
  <c r="D73" i="1" s="1"/>
  <c r="F73" i="1" s="1"/>
  <c r="D55" i="11" s="1"/>
  <c r="M55" i="11" s="1"/>
  <c r="B57" i="1"/>
  <c r="D57" i="1" s="1"/>
  <c r="F57" i="1" s="1"/>
  <c r="D39" i="10" s="1"/>
  <c r="F39" i="10" s="1"/>
  <c r="C46" i="1"/>
  <c r="E46" i="1" s="1"/>
  <c r="G46" i="1" s="1"/>
  <c r="E28" i="11" s="1"/>
  <c r="G28" i="11" s="1"/>
  <c r="I28" i="11" s="1"/>
  <c r="K28" i="11" s="1"/>
  <c r="C120" i="1"/>
  <c r="E120" i="1" s="1"/>
  <c r="G120" i="1" s="1"/>
  <c r="E102" i="11" s="1"/>
  <c r="G102" i="11" s="1"/>
  <c r="I102" i="11" s="1"/>
  <c r="K102" i="11" s="1"/>
  <c r="C104" i="1"/>
  <c r="E104" i="1" s="1"/>
  <c r="G104" i="1" s="1"/>
  <c r="E92" i="2" s="1"/>
  <c r="G92" i="2" s="1"/>
  <c r="I92" i="2" s="1"/>
  <c r="K92" i="2" s="1"/>
  <c r="D63" i="15" s="1"/>
  <c r="C88" i="1"/>
  <c r="E88" i="1" s="1"/>
  <c r="G88" i="1" s="1"/>
  <c r="E70" i="11" s="1"/>
  <c r="C72" i="1"/>
  <c r="E72" i="1" s="1"/>
  <c r="G72" i="1" s="1"/>
  <c r="E60" i="2" s="1"/>
  <c r="G60" i="2" s="1"/>
  <c r="I60" i="2" s="1"/>
  <c r="K60" i="2" s="1"/>
  <c r="D31" i="15" s="1"/>
  <c r="C56" i="1"/>
  <c r="E56" i="1" s="1"/>
  <c r="G56" i="1" s="1"/>
  <c r="E38" i="10" s="1"/>
  <c r="G38" i="10" s="1"/>
  <c r="C118" i="1"/>
  <c r="E118" i="1" s="1"/>
  <c r="G118" i="1" s="1"/>
  <c r="E100" i="11" s="1"/>
  <c r="G100" i="11" s="1"/>
  <c r="I100" i="11" s="1"/>
  <c r="K100" i="11" s="1"/>
  <c r="C74" i="1"/>
  <c r="E74" i="1" s="1"/>
  <c r="G74" i="1" s="1"/>
  <c r="E56" i="11" s="1"/>
  <c r="N56" i="11" s="1"/>
  <c r="C115" i="1"/>
  <c r="E115" i="1" s="1"/>
  <c r="G115" i="1" s="1"/>
  <c r="E103" i="2" s="1"/>
  <c r="G103" i="2" s="1"/>
  <c r="I103" i="2" s="1"/>
  <c r="K103" i="2" s="1"/>
  <c r="C99" i="1"/>
  <c r="E99" i="1" s="1"/>
  <c r="G99" i="1" s="1"/>
  <c r="E81" i="11" s="1"/>
  <c r="G81" i="11" s="1"/>
  <c r="C83" i="1"/>
  <c r="E83" i="1" s="1"/>
  <c r="G83" i="1" s="1"/>
  <c r="E71" i="2" s="1"/>
  <c r="G71" i="2" s="1"/>
  <c r="I71" i="2" s="1"/>
  <c r="K71" i="2" s="1"/>
  <c r="D42" i="15" s="1"/>
  <c r="C67" i="1"/>
  <c r="E67" i="1" s="1"/>
  <c r="G67" i="1" s="1"/>
  <c r="E49" i="11" s="1"/>
  <c r="N49" i="11" s="1"/>
  <c r="C51" i="1"/>
  <c r="E51" i="1" s="1"/>
  <c r="G51" i="1" s="1"/>
  <c r="E33" i="11" s="1"/>
  <c r="G33" i="11" s="1"/>
  <c r="I33" i="11" s="1"/>
  <c r="K33" i="11" s="1"/>
  <c r="C94" i="1"/>
  <c r="E94" i="1" s="1"/>
  <c r="G94" i="1" s="1"/>
  <c r="E76" i="11" s="1"/>
  <c r="G76" i="11" s="1"/>
  <c r="I76" i="11" s="1"/>
  <c r="K76" i="11" s="1"/>
  <c r="H53" i="15" s="1"/>
  <c r="C47" i="1"/>
  <c r="E47" i="1" s="1"/>
  <c r="G47" i="1" s="1"/>
  <c r="E35" i="2" s="1"/>
  <c r="G35" i="2" s="1"/>
  <c r="I35" i="2" s="1"/>
  <c r="K35" i="2" s="1"/>
  <c r="D83" i="15" s="1"/>
  <c r="C121" i="1"/>
  <c r="E121" i="1" s="1"/>
  <c r="G121" i="1" s="1"/>
  <c r="E109" i="2" s="1"/>
  <c r="G109" i="2" s="1"/>
  <c r="I109" i="2" s="1"/>
  <c r="K109" i="2" s="1"/>
  <c r="C105" i="1"/>
  <c r="E105" i="1" s="1"/>
  <c r="G105" i="1" s="1"/>
  <c r="E93" i="2" s="1"/>
  <c r="G93" i="2" s="1"/>
  <c r="I93" i="2" s="1"/>
  <c r="K93" i="2" s="1"/>
  <c r="D64" i="15" s="1"/>
  <c r="C89" i="1"/>
  <c r="E89" i="1" s="1"/>
  <c r="G89" i="1" s="1"/>
  <c r="E77" i="2" s="1"/>
  <c r="G77" i="2" s="1"/>
  <c r="I77" i="2" s="1"/>
  <c r="K77" i="2" s="1"/>
  <c r="D48" i="15" s="1"/>
  <c r="C73" i="1"/>
  <c r="E73" i="1" s="1"/>
  <c r="G73" i="1" s="1"/>
  <c r="E61" i="2" s="1"/>
  <c r="G61" i="2" s="1"/>
  <c r="I61" i="2" s="1"/>
  <c r="K61" i="2" s="1"/>
  <c r="D32" i="15" s="1"/>
  <c r="C57" i="1"/>
  <c r="E57" i="1" s="1"/>
  <c r="G57" i="1" s="1"/>
  <c r="E39" i="11" s="1"/>
  <c r="C82" i="1"/>
  <c r="E82" i="1" s="1"/>
  <c r="G82" i="1" s="1"/>
  <c r="E64" i="11" s="1"/>
  <c r="G64" i="11" s="1"/>
  <c r="I64" i="11" s="1"/>
  <c r="K64" i="11" s="1"/>
  <c r="H41" i="15" s="1"/>
  <c r="C106" i="1"/>
  <c r="E106" i="1" s="1"/>
  <c r="G106" i="1" s="1"/>
  <c r="E88" i="11" s="1"/>
  <c r="G88" i="11" s="1"/>
  <c r="I88" i="11" s="1"/>
  <c r="K88" i="11" s="1"/>
  <c r="H65" i="15" s="1"/>
  <c r="C90" i="1"/>
  <c r="E90" i="1" s="1"/>
  <c r="G90" i="1" s="1"/>
  <c r="E78" i="2" s="1"/>
  <c r="G78" i="2" s="1"/>
  <c r="I78" i="2" s="1"/>
  <c r="K78" i="2" s="1"/>
  <c r="D49" i="15" s="1"/>
  <c r="C41" i="1"/>
  <c r="E41" i="1" s="1"/>
  <c r="G41" i="1" s="1"/>
  <c r="E29" i="2" s="1"/>
  <c r="G29" i="2" s="1"/>
  <c r="I29" i="2" s="1"/>
  <c r="K29" i="2" s="1"/>
  <c r="C116" i="1"/>
  <c r="E116" i="1" s="1"/>
  <c r="G116" i="1" s="1"/>
  <c r="E98" i="11" s="1"/>
  <c r="N98" i="11" s="1"/>
  <c r="C100" i="1"/>
  <c r="E100" i="1" s="1"/>
  <c r="G100" i="1" s="1"/>
  <c r="E88" i="2" s="1"/>
  <c r="G88" i="2" s="1"/>
  <c r="I88" i="2" s="1"/>
  <c r="K88" i="2" s="1"/>
  <c r="D59" i="15" s="1"/>
  <c r="C84" i="1"/>
  <c r="E84" i="1" s="1"/>
  <c r="G84" i="1" s="1"/>
  <c r="E72" i="2" s="1"/>
  <c r="G72" i="2" s="1"/>
  <c r="I72" i="2" s="1"/>
  <c r="K72" i="2" s="1"/>
  <c r="D43" i="15" s="1"/>
  <c r="C68" i="1"/>
  <c r="E68" i="1" s="1"/>
  <c r="G68" i="1" s="1"/>
  <c r="E56" i="2" s="1"/>
  <c r="G56" i="2" s="1"/>
  <c r="I56" i="2" s="1"/>
  <c r="K56" i="2" s="1"/>
  <c r="D27" i="15" s="1"/>
  <c r="C52" i="1"/>
  <c r="E52" i="1" s="1"/>
  <c r="G52" i="1" s="1"/>
  <c r="E40" i="2" s="1"/>
  <c r="G40" i="2" s="1"/>
  <c r="I40" i="2" s="1"/>
  <c r="K40" i="2" s="1"/>
  <c r="D88" i="15" s="1"/>
  <c r="C110" i="1"/>
  <c r="E110" i="1" s="1"/>
  <c r="G110" i="1" s="1"/>
  <c r="E92" i="11" s="1"/>
  <c r="N92" i="11" s="1"/>
  <c r="C62" i="1"/>
  <c r="E62" i="1" s="1"/>
  <c r="G62" i="1" s="1"/>
  <c r="E44" i="11" s="1"/>
  <c r="G44" i="11" s="1"/>
  <c r="I44" i="11" s="1"/>
  <c r="K44" i="11" s="1"/>
  <c r="H21" i="15" s="1"/>
  <c r="C111" i="1"/>
  <c r="E111" i="1" s="1"/>
  <c r="G111" i="1" s="1"/>
  <c r="E99" i="2" s="1"/>
  <c r="G99" i="2" s="1"/>
  <c r="I99" i="2" s="1"/>
  <c r="K99" i="2" s="1"/>
  <c r="C95" i="1"/>
  <c r="E95" i="1" s="1"/>
  <c r="G95" i="1" s="1"/>
  <c r="E77" i="11" s="1"/>
  <c r="G77" i="11" s="1"/>
  <c r="I77" i="11" s="1"/>
  <c r="K77" i="11" s="1"/>
  <c r="H54" i="15" s="1"/>
  <c r="C79" i="1"/>
  <c r="E79" i="1" s="1"/>
  <c r="G79" i="1" s="1"/>
  <c r="E67" i="2" s="1"/>
  <c r="G67" i="2" s="1"/>
  <c r="I67" i="2" s="1"/>
  <c r="K67" i="2" s="1"/>
  <c r="D38" i="15" s="1"/>
  <c r="C63" i="1"/>
  <c r="E63" i="1" s="1"/>
  <c r="G63" i="1" s="1"/>
  <c r="E51" i="2" s="1"/>
  <c r="G51" i="2" s="1"/>
  <c r="I51" i="2" s="1"/>
  <c r="K51" i="2" s="1"/>
  <c r="D22" i="15" s="1"/>
  <c r="C78" i="1"/>
  <c r="E78" i="1" s="1"/>
  <c r="G78" i="1" s="1"/>
  <c r="E60" i="11" s="1"/>
  <c r="N60" i="11" s="1"/>
  <c r="C117" i="1"/>
  <c r="E117" i="1" s="1"/>
  <c r="G117" i="1" s="1"/>
  <c r="E105" i="2" s="1"/>
  <c r="G105" i="2" s="1"/>
  <c r="I105" i="2" s="1"/>
  <c r="K105" i="2" s="1"/>
  <c r="C101" i="1"/>
  <c r="E101" i="1" s="1"/>
  <c r="G101" i="1" s="1"/>
  <c r="E83" i="11" s="1"/>
  <c r="N83" i="11" s="1"/>
  <c r="C85" i="1"/>
  <c r="E85" i="1" s="1"/>
  <c r="G85" i="1" s="1"/>
  <c r="E67" i="11" s="1"/>
  <c r="N67" i="11" s="1"/>
  <c r="C69" i="1"/>
  <c r="E69" i="1" s="1"/>
  <c r="G69" i="1" s="1"/>
  <c r="E51" i="11" s="1"/>
  <c r="G51" i="11" s="1"/>
  <c r="I51" i="11" s="1"/>
  <c r="K51" i="11" s="1"/>
  <c r="H28" i="15" s="1"/>
  <c r="C53" i="1"/>
  <c r="E53" i="1" s="1"/>
  <c r="G53" i="1" s="1"/>
  <c r="E35" i="11" s="1"/>
  <c r="G35" i="11" s="1"/>
  <c r="I35" i="11" s="1"/>
  <c r="K35" i="11" s="1"/>
  <c r="C114" i="1"/>
  <c r="E114" i="1" s="1"/>
  <c r="G114" i="1" s="1"/>
  <c r="E102" i="2" s="1"/>
  <c r="G102" i="2" s="1"/>
  <c r="I102" i="2" s="1"/>
  <c r="K102" i="2" s="1"/>
  <c r="C70" i="1"/>
  <c r="E70" i="1" s="1"/>
  <c r="G70" i="1" s="1"/>
  <c r="E58" i="2" s="1"/>
  <c r="G58" i="2" s="1"/>
  <c r="I58" i="2" s="1"/>
  <c r="K58" i="2" s="1"/>
  <c r="D29" i="15" s="1"/>
  <c r="C108" i="1"/>
  <c r="E108" i="1" s="1"/>
  <c r="G108" i="1" s="1"/>
  <c r="E96" i="2" s="1"/>
  <c r="G96" i="2" s="1"/>
  <c r="I96" i="2" s="1"/>
  <c r="K96" i="2" s="1"/>
  <c r="D67" i="15" s="1"/>
  <c r="C86" i="1"/>
  <c r="E86" i="1" s="1"/>
  <c r="G86" i="1" s="1"/>
  <c r="E68" i="11" s="1"/>
  <c r="N68" i="11" s="1"/>
  <c r="C119" i="1"/>
  <c r="E119" i="1" s="1"/>
  <c r="G119" i="1" s="1"/>
  <c r="E101" i="11" s="1"/>
  <c r="N101" i="11" s="1"/>
  <c r="C87" i="1"/>
  <c r="E87" i="1" s="1"/>
  <c r="G87" i="1" s="1"/>
  <c r="E69" i="11" s="1"/>
  <c r="G69" i="11" s="1"/>
  <c r="I69" i="11" s="1"/>
  <c r="K69" i="11" s="1"/>
  <c r="H46" i="15" s="1"/>
  <c r="C55" i="1"/>
  <c r="E55" i="1" s="1"/>
  <c r="G55" i="1" s="1"/>
  <c r="E43" i="2" s="1"/>
  <c r="G43" i="2" s="1"/>
  <c r="I43" i="2" s="1"/>
  <c r="K43" i="2" s="1"/>
  <c r="D91" i="15" s="1"/>
  <c r="C93" i="1"/>
  <c r="E93" i="1" s="1"/>
  <c r="G93" i="1" s="1"/>
  <c r="E75" i="11" s="1"/>
  <c r="G75" i="11" s="1"/>
  <c r="I75" i="11" s="1"/>
  <c r="K75" i="11" s="1"/>
  <c r="H52" i="15" s="1"/>
  <c r="C61" i="1"/>
  <c r="E61" i="1" s="1"/>
  <c r="G61" i="1" s="1"/>
  <c r="E43" i="11" s="1"/>
  <c r="G43" i="11" s="1"/>
  <c r="I43" i="11" s="1"/>
  <c r="K43" i="11" s="1"/>
  <c r="H20" i="15" s="1"/>
  <c r="C112" i="1"/>
  <c r="E112" i="1" s="1"/>
  <c r="G112" i="1" s="1"/>
  <c r="E94" i="11" s="1"/>
  <c r="G94" i="11" s="1"/>
  <c r="I94" i="11" s="1"/>
  <c r="K94" i="11" s="1"/>
  <c r="C96" i="1"/>
  <c r="E96" i="1" s="1"/>
  <c r="G96" i="1" s="1"/>
  <c r="E78" i="11" s="1"/>
  <c r="N78" i="11" s="1"/>
  <c r="C80" i="1"/>
  <c r="E80" i="1" s="1"/>
  <c r="G80" i="1" s="1"/>
  <c r="E62" i="11" s="1"/>
  <c r="N62" i="11" s="1"/>
  <c r="C64" i="1"/>
  <c r="E64" i="1" s="1"/>
  <c r="G64" i="1" s="1"/>
  <c r="E52" i="2" s="1"/>
  <c r="G52" i="2" s="1"/>
  <c r="I52" i="2" s="1"/>
  <c r="K52" i="2" s="1"/>
  <c r="D23" i="15" s="1"/>
  <c r="C98" i="1"/>
  <c r="E98" i="1" s="1"/>
  <c r="G98" i="1" s="1"/>
  <c r="E86" i="2" s="1"/>
  <c r="G86" i="2" s="1"/>
  <c r="I86" i="2" s="1"/>
  <c r="K86" i="2" s="1"/>
  <c r="D57" i="15" s="1"/>
  <c r="C50" i="1"/>
  <c r="E50" i="1" s="1"/>
  <c r="G50" i="1" s="1"/>
  <c r="E32" i="11" s="1"/>
  <c r="G32" i="11" s="1"/>
  <c r="I32" i="11" s="1"/>
  <c r="K32" i="11" s="1"/>
  <c r="C123" i="1"/>
  <c r="E123" i="1" s="1"/>
  <c r="G123" i="1" s="1"/>
  <c r="E111" i="2" s="1"/>
  <c r="G111" i="2" s="1"/>
  <c r="I111" i="2" s="1"/>
  <c r="K111" i="2" s="1"/>
  <c r="C107" i="1"/>
  <c r="E107" i="1" s="1"/>
  <c r="G107" i="1" s="1"/>
  <c r="E95" i="2" s="1"/>
  <c r="G95" i="2" s="1"/>
  <c r="I95" i="2" s="1"/>
  <c r="K95" i="2" s="1"/>
  <c r="D66" i="15" s="1"/>
  <c r="C91" i="1"/>
  <c r="E91" i="1" s="1"/>
  <c r="G91" i="1" s="1"/>
  <c r="E73" i="11" s="1"/>
  <c r="N73" i="11" s="1"/>
  <c r="C75" i="1"/>
  <c r="E75" i="1" s="1"/>
  <c r="G75" i="1" s="1"/>
  <c r="E57" i="11" s="1"/>
  <c r="N57" i="11" s="1"/>
  <c r="C59" i="1"/>
  <c r="E59" i="1" s="1"/>
  <c r="G59" i="1" s="1"/>
  <c r="E47" i="2" s="1"/>
  <c r="G47" i="2" s="1"/>
  <c r="I47" i="2" s="1"/>
  <c r="K47" i="2" s="1"/>
  <c r="D18" i="15" s="1"/>
  <c r="C122" i="1"/>
  <c r="E122" i="1" s="1"/>
  <c r="G122" i="1" s="1"/>
  <c r="E104" i="11" s="1"/>
  <c r="N104" i="11" s="1"/>
  <c r="C66" i="1"/>
  <c r="E66" i="1" s="1"/>
  <c r="G66" i="1" s="1"/>
  <c r="E48" i="11" s="1"/>
  <c r="G48" i="11" s="1"/>
  <c r="I48" i="11" s="1"/>
  <c r="K48" i="11" s="1"/>
  <c r="H25" i="15" s="1"/>
  <c r="C113" i="1"/>
  <c r="E113" i="1" s="1"/>
  <c r="G113" i="1" s="1"/>
  <c r="E101" i="2" s="1"/>
  <c r="G101" i="2" s="1"/>
  <c r="I101" i="2" s="1"/>
  <c r="K101" i="2" s="1"/>
  <c r="C97" i="1"/>
  <c r="E97" i="1" s="1"/>
  <c r="G97" i="1" s="1"/>
  <c r="E79" i="11" s="1"/>
  <c r="G79" i="11" s="1"/>
  <c r="I79" i="11" s="1"/>
  <c r="K79" i="11" s="1"/>
  <c r="H56" i="15" s="1"/>
  <c r="C81" i="1"/>
  <c r="E81" i="1" s="1"/>
  <c r="G81" i="1" s="1"/>
  <c r="E63" i="11" s="1"/>
  <c r="G63" i="11" s="1"/>
  <c r="I63" i="11" s="1"/>
  <c r="K63" i="11" s="1"/>
  <c r="H40" i="15" s="1"/>
  <c r="C65" i="1"/>
  <c r="E65" i="1" s="1"/>
  <c r="G65" i="1" s="1"/>
  <c r="E47" i="11" s="1"/>
  <c r="G47" i="11" s="1"/>
  <c r="I47" i="11" s="1"/>
  <c r="K47" i="11" s="1"/>
  <c r="H24" i="15" s="1"/>
  <c r="C49" i="1"/>
  <c r="E49" i="1" s="1"/>
  <c r="G49" i="1" s="1"/>
  <c r="E31" i="10" s="1"/>
  <c r="G31" i="10" s="1"/>
  <c r="I31" i="10" s="1"/>
  <c r="K31" i="10" s="1"/>
  <c r="L21" i="15" s="1"/>
  <c r="C102" i="1"/>
  <c r="E102" i="1" s="1"/>
  <c r="G102" i="1" s="1"/>
  <c r="E84" i="11" s="1"/>
  <c r="G84" i="11" s="1"/>
  <c r="I84" i="11" s="1"/>
  <c r="K84" i="11" s="1"/>
  <c r="H61" i="15" s="1"/>
  <c r="C58" i="1"/>
  <c r="E58" i="1" s="1"/>
  <c r="G58" i="1" s="1"/>
  <c r="E40" i="11" s="1"/>
  <c r="G40" i="11" s="1"/>
  <c r="I40" i="11" s="1"/>
  <c r="K40" i="11" s="1"/>
  <c r="H17" i="15" s="1"/>
  <c r="C124" i="1"/>
  <c r="E124" i="1" s="1"/>
  <c r="G124" i="1" s="1"/>
  <c r="C92" i="1"/>
  <c r="E92" i="1" s="1"/>
  <c r="G92" i="1" s="1"/>
  <c r="E74" i="11" s="1"/>
  <c r="N74" i="11" s="1"/>
  <c r="C76" i="1"/>
  <c r="E76" i="1" s="1"/>
  <c r="G76" i="1" s="1"/>
  <c r="E64" i="2" s="1"/>
  <c r="G64" i="2" s="1"/>
  <c r="I64" i="2" s="1"/>
  <c r="K64" i="2" s="1"/>
  <c r="D35" i="15" s="1"/>
  <c r="C60" i="1"/>
  <c r="E60" i="1" s="1"/>
  <c r="G60" i="1" s="1"/>
  <c r="E42" i="11" s="1"/>
  <c r="G42" i="11" s="1"/>
  <c r="I42" i="11" s="1"/>
  <c r="K42" i="11" s="1"/>
  <c r="H19" i="15" s="1"/>
  <c r="C45" i="1"/>
  <c r="E45" i="1" s="1"/>
  <c r="G45" i="1" s="1"/>
  <c r="E33" i="2" s="1"/>
  <c r="G33" i="2" s="1"/>
  <c r="I33" i="2" s="1"/>
  <c r="K33" i="2" s="1"/>
  <c r="D81" i="15" s="1"/>
  <c r="C103" i="1"/>
  <c r="E103" i="1" s="1"/>
  <c r="G103" i="1" s="1"/>
  <c r="E85" i="11" s="1"/>
  <c r="G85" i="11" s="1"/>
  <c r="C71" i="1"/>
  <c r="E71" i="1" s="1"/>
  <c r="G71" i="1" s="1"/>
  <c r="B82" i="1"/>
  <c r="D82" i="1" s="1"/>
  <c r="F82" i="1" s="1"/>
  <c r="D64" i="11" s="1"/>
  <c r="F64" i="11" s="1"/>
  <c r="H64" i="11" s="1"/>
  <c r="J64" i="11" s="1"/>
  <c r="G41" i="15" s="1"/>
  <c r="B106" i="1"/>
  <c r="D106" i="1" s="1"/>
  <c r="F106" i="1" s="1"/>
  <c r="D94" i="2" s="1"/>
  <c r="F94" i="2" s="1"/>
  <c r="H94" i="2" s="1"/>
  <c r="J94" i="2" s="1"/>
  <c r="C65" i="15" s="1"/>
  <c r="B90" i="1"/>
  <c r="D90" i="1" s="1"/>
  <c r="F90" i="1" s="1"/>
  <c r="D78" i="2" s="1"/>
  <c r="F78" i="2" s="1"/>
  <c r="H78" i="2" s="1"/>
  <c r="J78" i="2" s="1"/>
  <c r="C49" i="15" s="1"/>
  <c r="B116" i="1"/>
  <c r="D116" i="1" s="1"/>
  <c r="F116" i="1" s="1"/>
  <c r="D98" i="11" s="1"/>
  <c r="F98" i="11" s="1"/>
  <c r="H98" i="11" s="1"/>
  <c r="J98" i="11" s="1"/>
  <c r="B100" i="1"/>
  <c r="D100" i="1" s="1"/>
  <c r="F100" i="1" s="1"/>
  <c r="D88" i="2" s="1"/>
  <c r="F88" i="2" s="1"/>
  <c r="H88" i="2" s="1"/>
  <c r="J88" i="2" s="1"/>
  <c r="C59" i="15" s="1"/>
  <c r="B84" i="1"/>
  <c r="D84" i="1" s="1"/>
  <c r="F84" i="1" s="1"/>
  <c r="D72" i="2" s="1"/>
  <c r="F72" i="2" s="1"/>
  <c r="H72" i="2" s="1"/>
  <c r="J72" i="2" s="1"/>
  <c r="C43" i="15" s="1"/>
  <c r="B68" i="1"/>
  <c r="D68" i="1" s="1"/>
  <c r="F68" i="1" s="1"/>
  <c r="D50" i="11" s="1"/>
  <c r="F50" i="11" s="1"/>
  <c r="H50" i="11" s="1"/>
  <c r="J50" i="11" s="1"/>
  <c r="G27" i="15" s="1"/>
  <c r="B52" i="1"/>
  <c r="D52" i="1" s="1"/>
  <c r="F52" i="1" s="1"/>
  <c r="D40" i="2" s="1"/>
  <c r="F40" i="2" s="1"/>
  <c r="H40" i="2" s="1"/>
  <c r="J40" i="2" s="1"/>
  <c r="C88" i="15" s="1"/>
  <c r="B110" i="1"/>
  <c r="D110" i="1" s="1"/>
  <c r="F110" i="1" s="1"/>
  <c r="D92" i="11" s="1"/>
  <c r="M92" i="11" s="1"/>
  <c r="B62" i="1"/>
  <c r="D62" i="1" s="1"/>
  <c r="F62" i="1" s="1"/>
  <c r="D44" i="10" s="1"/>
  <c r="F44" i="10" s="1"/>
  <c r="H44" i="10" s="1"/>
  <c r="J44" i="10" s="1"/>
  <c r="K34" i="15" s="1"/>
  <c r="B111" i="1"/>
  <c r="D111" i="1" s="1"/>
  <c r="F111" i="1" s="1"/>
  <c r="D99" i="2" s="1"/>
  <c r="F99" i="2" s="1"/>
  <c r="H99" i="2" s="1"/>
  <c r="J99" i="2" s="1"/>
  <c r="B95" i="1"/>
  <c r="D95" i="1" s="1"/>
  <c r="F95" i="1" s="1"/>
  <c r="D77" i="11" s="1"/>
  <c r="F77" i="11" s="1"/>
  <c r="H77" i="11" s="1"/>
  <c r="J77" i="11" s="1"/>
  <c r="G54" i="15" s="1"/>
  <c r="B79" i="1"/>
  <c r="D79" i="1" s="1"/>
  <c r="F79" i="1" s="1"/>
  <c r="D61" i="11" s="1"/>
  <c r="F61" i="11" s="1"/>
  <c r="H61" i="11" s="1"/>
  <c r="J61" i="11" s="1"/>
  <c r="G38" i="15" s="1"/>
  <c r="B63" i="1"/>
  <c r="D63" i="1" s="1"/>
  <c r="F63" i="1" s="1"/>
  <c r="D45" i="10" s="1"/>
  <c r="F45" i="10" s="1"/>
  <c r="H45" i="10" s="1"/>
  <c r="J45" i="10" s="1"/>
  <c r="K35" i="15" s="1"/>
  <c r="B78" i="1"/>
  <c r="D78" i="1" s="1"/>
  <c r="F78" i="1" s="1"/>
  <c r="D60" i="11" s="1"/>
  <c r="F60" i="11" s="1"/>
  <c r="H60" i="11" s="1"/>
  <c r="J60" i="11" s="1"/>
  <c r="G37" i="15" s="1"/>
  <c r="C42" i="1"/>
  <c r="E42" i="1" s="1"/>
  <c r="G42" i="1" s="1"/>
  <c r="E24" i="10" s="1"/>
  <c r="G24" i="10" s="1"/>
  <c r="B117" i="1"/>
  <c r="D117" i="1" s="1"/>
  <c r="F117" i="1" s="1"/>
  <c r="D105" i="2" s="1"/>
  <c r="F105" i="2" s="1"/>
  <c r="H105" i="2" s="1"/>
  <c r="J105" i="2" s="1"/>
  <c r="B101" i="1"/>
  <c r="D101" i="1" s="1"/>
  <c r="F101" i="1" s="1"/>
  <c r="D83" i="11" s="1"/>
  <c r="M83" i="11" s="1"/>
  <c r="B85" i="1"/>
  <c r="D85" i="1" s="1"/>
  <c r="F85" i="1" s="1"/>
  <c r="D73" i="2" s="1"/>
  <c r="F73" i="2" s="1"/>
  <c r="H73" i="2" s="1"/>
  <c r="J73" i="2" s="1"/>
  <c r="C44" i="15" s="1"/>
  <c r="B69" i="1"/>
  <c r="D69" i="1" s="1"/>
  <c r="F69" i="1" s="1"/>
  <c r="D51" i="11" s="1"/>
  <c r="M51" i="11" s="1"/>
  <c r="B53" i="1"/>
  <c r="D53" i="1" s="1"/>
  <c r="F53" i="1" s="1"/>
  <c r="D35" i="10" s="1"/>
  <c r="F35" i="10" s="1"/>
  <c r="H35" i="10" s="1"/>
  <c r="J35" i="10" s="1"/>
  <c r="K25" i="15" s="1"/>
  <c r="B114" i="1"/>
  <c r="D114" i="1" s="1"/>
  <c r="F114" i="1" s="1"/>
  <c r="D96" i="11" s="1"/>
  <c r="M96" i="11" s="1"/>
  <c r="B70" i="1"/>
  <c r="D70" i="1" s="1"/>
  <c r="F70" i="1" s="1"/>
  <c r="D52" i="11" s="1"/>
  <c r="M52" i="11" s="1"/>
  <c r="B108" i="1"/>
  <c r="D108" i="1" s="1"/>
  <c r="F108" i="1" s="1"/>
  <c r="D90" i="11" s="1"/>
  <c r="M90" i="11" s="1"/>
  <c r="B86" i="1"/>
  <c r="D86" i="1" s="1"/>
  <c r="F86" i="1" s="1"/>
  <c r="D68" i="11" s="1"/>
  <c r="F68" i="11" s="1"/>
  <c r="H68" i="11" s="1"/>
  <c r="J68" i="11" s="1"/>
  <c r="G45" i="15" s="1"/>
  <c r="B119" i="1"/>
  <c r="D119" i="1" s="1"/>
  <c r="F119" i="1" s="1"/>
  <c r="D107" i="2" s="1"/>
  <c r="F107" i="2" s="1"/>
  <c r="H107" i="2" s="1"/>
  <c r="J107" i="2" s="1"/>
  <c r="B87" i="1"/>
  <c r="D87" i="1" s="1"/>
  <c r="F87" i="1" s="1"/>
  <c r="D69" i="11" s="1"/>
  <c r="F69" i="11" s="1"/>
  <c r="H69" i="11" s="1"/>
  <c r="J69" i="11" s="1"/>
  <c r="G46" i="15" s="1"/>
  <c r="B55" i="1"/>
  <c r="D55" i="1" s="1"/>
  <c r="F55" i="1" s="1"/>
  <c r="D43" i="2" s="1"/>
  <c r="F43" i="2" s="1"/>
  <c r="H43" i="2" s="1"/>
  <c r="J43" i="2" s="1"/>
  <c r="C91" i="15" s="1"/>
  <c r="B93" i="1"/>
  <c r="D93" i="1" s="1"/>
  <c r="F93" i="1" s="1"/>
  <c r="D75" i="11" s="1"/>
  <c r="F75" i="11" s="1"/>
  <c r="H75" i="11" s="1"/>
  <c r="J75" i="11" s="1"/>
  <c r="G52" i="15" s="1"/>
  <c r="B61" i="1"/>
  <c r="D61" i="1" s="1"/>
  <c r="F61" i="1" s="1"/>
  <c r="D49" i="2" s="1"/>
  <c r="F49" i="2" s="1"/>
  <c r="H49" i="2" s="1"/>
  <c r="J49" i="2" s="1"/>
  <c r="C20" i="15" s="1"/>
  <c r="B112" i="1"/>
  <c r="D112" i="1" s="1"/>
  <c r="F112" i="1" s="1"/>
  <c r="D100" i="2" s="1"/>
  <c r="F100" i="2" s="1"/>
  <c r="H100" i="2" s="1"/>
  <c r="J100" i="2" s="1"/>
  <c r="B96" i="1"/>
  <c r="D96" i="1" s="1"/>
  <c r="F96" i="1" s="1"/>
  <c r="D84" i="2" s="1"/>
  <c r="F84" i="2" s="1"/>
  <c r="H84" i="2" s="1"/>
  <c r="J84" i="2" s="1"/>
  <c r="C55" i="15" s="1"/>
  <c r="B80" i="1"/>
  <c r="D80" i="1" s="1"/>
  <c r="F80" i="1" s="1"/>
  <c r="D68" i="2" s="1"/>
  <c r="F68" i="2" s="1"/>
  <c r="H68" i="2" s="1"/>
  <c r="J68" i="2" s="1"/>
  <c r="C39" i="15" s="1"/>
  <c r="B64" i="1"/>
  <c r="D64" i="1" s="1"/>
  <c r="F64" i="1" s="1"/>
  <c r="D46" i="11" s="1"/>
  <c r="M46" i="11" s="1"/>
  <c r="C44" i="1"/>
  <c r="E44" i="1" s="1"/>
  <c r="G44" i="1" s="1"/>
  <c r="E26" i="11" s="1"/>
  <c r="N26" i="11" s="1"/>
  <c r="B98" i="1"/>
  <c r="D98" i="1" s="1"/>
  <c r="F98" i="1" s="1"/>
  <c r="D86" i="2" s="1"/>
  <c r="F86" i="2" s="1"/>
  <c r="H86" i="2" s="1"/>
  <c r="J86" i="2" s="1"/>
  <c r="C57" i="15" s="1"/>
  <c r="B50" i="1"/>
  <c r="D50" i="1" s="1"/>
  <c r="F50" i="1" s="1"/>
  <c r="D38" i="2" s="1"/>
  <c r="F38" i="2" s="1"/>
  <c r="H38" i="2" s="1"/>
  <c r="J38" i="2" s="1"/>
  <c r="C86" i="15" s="1"/>
  <c r="B123" i="1"/>
  <c r="D123" i="1" s="1"/>
  <c r="F123" i="1" s="1"/>
  <c r="D111" i="2" s="1"/>
  <c r="F111" i="2" s="1"/>
  <c r="H111" i="2" s="1"/>
  <c r="J111" i="2" s="1"/>
  <c r="B107" i="1"/>
  <c r="D107" i="1" s="1"/>
  <c r="F107" i="1" s="1"/>
  <c r="D89" i="11" s="1"/>
  <c r="F89" i="11" s="1"/>
  <c r="H89" i="11" s="1"/>
  <c r="J89" i="11" s="1"/>
  <c r="G66" i="15" s="1"/>
  <c r="B91" i="1"/>
  <c r="D91" i="1" s="1"/>
  <c r="F91" i="1" s="1"/>
  <c r="D73" i="11" s="1"/>
  <c r="F73" i="11" s="1"/>
  <c r="H73" i="11" s="1"/>
  <c r="J73" i="11" s="1"/>
  <c r="G50" i="15" s="1"/>
  <c r="B75" i="1"/>
  <c r="D75" i="1" s="1"/>
  <c r="F75" i="1" s="1"/>
  <c r="D63" i="2" s="1"/>
  <c r="F63" i="2" s="1"/>
  <c r="H63" i="2" s="1"/>
  <c r="J63" i="2" s="1"/>
  <c r="C34" i="15" s="1"/>
  <c r="B59" i="1"/>
  <c r="D59" i="1" s="1"/>
  <c r="F59" i="1" s="1"/>
  <c r="D41" i="10" s="1"/>
  <c r="F41" i="10" s="1"/>
  <c r="B122" i="1"/>
  <c r="D122" i="1" s="1"/>
  <c r="F122" i="1" s="1"/>
  <c r="D110" i="2" s="1"/>
  <c r="F110" i="2" s="1"/>
  <c r="H110" i="2" s="1"/>
  <c r="J110" i="2" s="1"/>
  <c r="B66" i="1"/>
  <c r="D66" i="1" s="1"/>
  <c r="F66" i="1" s="1"/>
  <c r="D54" i="2" s="1"/>
  <c r="F54" i="2" s="1"/>
  <c r="H54" i="2" s="1"/>
  <c r="J54" i="2" s="1"/>
  <c r="C25" i="15" s="1"/>
  <c r="B113" i="1"/>
  <c r="D113" i="1" s="1"/>
  <c r="F113" i="1" s="1"/>
  <c r="D101" i="2" s="1"/>
  <c r="F101" i="2" s="1"/>
  <c r="H101" i="2" s="1"/>
  <c r="J101" i="2" s="1"/>
  <c r="B97" i="1"/>
  <c r="D97" i="1" s="1"/>
  <c r="F97" i="1" s="1"/>
  <c r="D85" i="2" s="1"/>
  <c r="F85" i="2" s="1"/>
  <c r="H85" i="2" s="1"/>
  <c r="J85" i="2" s="1"/>
  <c r="C56" i="15" s="1"/>
  <c r="B81" i="1"/>
  <c r="D81" i="1" s="1"/>
  <c r="F81" i="1" s="1"/>
  <c r="D63" i="11" s="1"/>
  <c r="M63" i="11" s="1"/>
  <c r="B65" i="1"/>
  <c r="D65" i="1" s="1"/>
  <c r="F65" i="1" s="1"/>
  <c r="D47" i="11" s="1"/>
  <c r="F47" i="11" s="1"/>
  <c r="H47" i="11" s="1"/>
  <c r="J47" i="11" s="1"/>
  <c r="G24" i="15" s="1"/>
  <c r="B49" i="1"/>
  <c r="D49" i="1" s="1"/>
  <c r="F49" i="1" s="1"/>
  <c r="D31" i="11" s="1"/>
  <c r="F31" i="11" s="1"/>
  <c r="H31" i="11" s="1"/>
  <c r="J31" i="11" s="1"/>
  <c r="B102" i="1"/>
  <c r="D102" i="1" s="1"/>
  <c r="F102" i="1" s="1"/>
  <c r="D84" i="11" s="1"/>
  <c r="F84" i="11" s="1"/>
  <c r="H84" i="11" s="1"/>
  <c r="J84" i="11" s="1"/>
  <c r="G61" i="15" s="1"/>
  <c r="B58" i="1"/>
  <c r="D58" i="1" s="1"/>
  <c r="F58" i="1" s="1"/>
  <c r="D40" i="11" s="1"/>
  <c r="F40" i="11" s="1"/>
  <c r="H40" i="11" s="1"/>
  <c r="J40" i="11" s="1"/>
  <c r="G17" i="15" s="1"/>
  <c r="B124" i="1"/>
  <c r="D124" i="1" s="1"/>
  <c r="F124" i="1" s="1"/>
  <c r="B92" i="1"/>
  <c r="D92" i="1" s="1"/>
  <c r="F92" i="1" s="1"/>
  <c r="D80" i="2" s="1"/>
  <c r="F80" i="2" s="1"/>
  <c r="H80" i="2" s="1"/>
  <c r="J80" i="2" s="1"/>
  <c r="C51" i="15" s="1"/>
  <c r="C54" i="1"/>
  <c r="E54" i="1" s="1"/>
  <c r="G54" i="1" s="1"/>
  <c r="E42" i="2" s="1"/>
  <c r="G42" i="2" s="1"/>
  <c r="I42" i="2" s="1"/>
  <c r="K42" i="2" s="1"/>
  <c r="D90" i="15" s="1"/>
  <c r="C109" i="1"/>
  <c r="E109" i="1" s="1"/>
  <c r="G109" i="1" s="1"/>
  <c r="E91" i="11" s="1"/>
  <c r="G91" i="11" s="1"/>
  <c r="C77" i="1"/>
  <c r="E77" i="1" s="1"/>
  <c r="G77" i="1" s="1"/>
  <c r="E65" i="2" s="1"/>
  <c r="G65" i="2" s="1"/>
  <c r="I65" i="2" s="1"/>
  <c r="K65" i="2" s="1"/>
  <c r="D36" i="15" s="1"/>
  <c r="C48" i="1"/>
  <c r="E48" i="1" s="1"/>
  <c r="G48" i="1" s="1"/>
  <c r="E30" i="10" s="1"/>
  <c r="G30" i="10" s="1"/>
  <c r="I30" i="10" s="1"/>
  <c r="K30" i="10" s="1"/>
  <c r="L20" i="15" s="1"/>
  <c r="B40" i="1"/>
  <c r="D40" i="1" s="1"/>
  <c r="F40" i="1" s="1"/>
  <c r="D22" i="11" s="1"/>
  <c r="M22" i="11" s="1"/>
  <c r="B41" i="1"/>
  <c r="D41" i="1" s="1"/>
  <c r="F41" i="1" s="1"/>
  <c r="D23" i="10" s="1"/>
  <c r="F23" i="10" s="1"/>
  <c r="H23" i="10" s="1"/>
  <c r="J23" i="10" s="1"/>
  <c r="B43" i="1"/>
  <c r="D43" i="1" s="1"/>
  <c r="F43" i="1" s="1"/>
  <c r="D31" i="2" s="1"/>
  <c r="F31" i="2" s="1"/>
  <c r="H31" i="2" s="1"/>
  <c r="J31" i="2" s="1"/>
  <c r="B42" i="1"/>
  <c r="D42" i="1" s="1"/>
  <c r="F42" i="1" s="1"/>
  <c r="D24" i="11" s="1"/>
  <c r="M24" i="11" s="1"/>
  <c r="B44" i="1"/>
  <c r="D44" i="1" s="1"/>
  <c r="F44" i="1" s="1"/>
  <c r="D26" i="10" s="1"/>
  <c r="F26" i="10" s="1"/>
  <c r="H26" i="10" s="1"/>
  <c r="J26" i="10" s="1"/>
  <c r="K16" i="15" s="1"/>
  <c r="B39" i="1"/>
  <c r="D39" i="1" s="1"/>
  <c r="F39" i="1" s="1"/>
  <c r="D27" i="2" s="1"/>
  <c r="F27" i="2" s="1"/>
  <c r="H27" i="2" s="1"/>
  <c r="J27" i="2" s="1"/>
  <c r="C40" i="1"/>
  <c r="E40" i="1" s="1"/>
  <c r="G40" i="1" s="1"/>
  <c r="E28" i="2" s="1"/>
  <c r="G28" i="2" s="1"/>
  <c r="B76" i="1"/>
  <c r="D76" i="1" s="1"/>
  <c r="F76" i="1" s="1"/>
  <c r="D64" i="2" s="1"/>
  <c r="F64" i="2" s="1"/>
  <c r="H64" i="2" s="1"/>
  <c r="J64" i="2" s="1"/>
  <c r="C35" i="15" s="1"/>
  <c r="B60" i="1"/>
  <c r="D60" i="1" s="1"/>
  <c r="F60" i="1" s="1"/>
  <c r="D42" i="10" s="1"/>
  <c r="F42" i="10" s="1"/>
  <c r="H42" i="10" s="1"/>
  <c r="J42" i="10" s="1"/>
  <c r="K32" i="15" s="1"/>
  <c r="C39" i="1"/>
  <c r="E39" i="1" s="1"/>
  <c r="G39" i="1" s="1"/>
  <c r="E21" i="11" s="1"/>
  <c r="N21" i="11" s="1"/>
  <c r="B45" i="1"/>
  <c r="D45" i="1" s="1"/>
  <c r="F45" i="1" s="1"/>
  <c r="D27" i="11" s="1"/>
  <c r="F27" i="11" s="1"/>
  <c r="H27" i="11" s="1"/>
  <c r="J27" i="11" s="1"/>
  <c r="B103" i="1"/>
  <c r="D103" i="1" s="1"/>
  <c r="F103" i="1" s="1"/>
  <c r="D91" i="2" s="1"/>
  <c r="F91" i="2" s="1"/>
  <c r="H91" i="2" s="1"/>
  <c r="J91" i="2" s="1"/>
  <c r="C62" i="15" s="1"/>
  <c r="B71" i="1"/>
  <c r="D71" i="1" s="1"/>
  <c r="F71" i="1" s="1"/>
  <c r="D53" i="11" s="1"/>
  <c r="M53" i="11" s="1"/>
  <c r="B54" i="1"/>
  <c r="D54" i="1" s="1"/>
  <c r="F54" i="1" s="1"/>
  <c r="D42" i="2" s="1"/>
  <c r="F42" i="2" s="1"/>
  <c r="H42" i="2" s="1"/>
  <c r="J42" i="2" s="1"/>
  <c r="C90" i="15" s="1"/>
  <c r="B109" i="1"/>
  <c r="D109" i="1" s="1"/>
  <c r="F109" i="1" s="1"/>
  <c r="D91" i="11" s="1"/>
  <c r="F91" i="11" s="1"/>
  <c r="H91" i="11" s="1"/>
  <c r="J91" i="11" s="1"/>
  <c r="B77" i="1"/>
  <c r="D77" i="1" s="1"/>
  <c r="F77" i="1" s="1"/>
  <c r="D59" i="11" s="1"/>
  <c r="F59" i="11" s="1"/>
  <c r="H59" i="11" s="1"/>
  <c r="J59" i="11" s="1"/>
  <c r="G36" i="15" s="1"/>
  <c r="B48" i="1"/>
  <c r="D48" i="1" s="1"/>
  <c r="F48" i="1" s="1"/>
  <c r="D30" i="11" s="1"/>
  <c r="F30" i="11" s="1"/>
  <c r="H30" i="11" s="1"/>
  <c r="J30" i="11" s="1"/>
  <c r="E80" i="2"/>
  <c r="G80" i="2" s="1"/>
  <c r="I80" i="2" s="1"/>
  <c r="K80" i="2" s="1"/>
  <c r="D51" i="15" s="1"/>
  <c r="E31" i="11"/>
  <c r="G31" i="11" s="1"/>
  <c r="I31" i="11" s="1"/>
  <c r="K31" i="11" s="1"/>
  <c r="E31" i="2"/>
  <c r="G31" i="2" s="1"/>
  <c r="I31" i="2" s="1"/>
  <c r="K31" i="2" s="1"/>
  <c r="E45" i="2"/>
  <c r="G45" i="2" s="1"/>
  <c r="I45" i="2" s="1"/>
  <c r="K45" i="2" s="1"/>
  <c r="D16" i="15" s="1"/>
  <c r="E39" i="10"/>
  <c r="G39" i="10" s="1"/>
  <c r="I39" i="10" s="1"/>
  <c r="K39" i="10" s="1"/>
  <c r="L29" i="15" s="1"/>
  <c r="D62" i="2"/>
  <c r="F62" i="2" s="1"/>
  <c r="H62" i="2" s="1"/>
  <c r="J62" i="2" s="1"/>
  <c r="C33" i="15" s="1"/>
  <c r="E55" i="2"/>
  <c r="G68" i="11"/>
  <c r="I68" i="11" s="1"/>
  <c r="K68" i="11" s="1"/>
  <c r="H45" i="15" s="1"/>
  <c r="G70" i="11"/>
  <c r="I70" i="11" s="1"/>
  <c r="K70" i="11" s="1"/>
  <c r="H47" i="15" s="1"/>
  <c r="G49" i="11"/>
  <c r="I49" i="11" s="1"/>
  <c r="K49" i="11" s="1"/>
  <c r="H26" i="15" s="1"/>
  <c r="G57" i="11"/>
  <c r="I57" i="11" s="1"/>
  <c r="K57" i="11" s="1"/>
  <c r="H34" i="15" s="1"/>
  <c r="G39" i="11"/>
  <c r="I39" i="11" s="1"/>
  <c r="K39" i="11" s="1"/>
  <c r="H16" i="15" s="1"/>
  <c r="F56" i="11"/>
  <c r="H56" i="11" s="1"/>
  <c r="J56" i="11" s="1"/>
  <c r="G33" i="15" s="1"/>
  <c r="G25" i="10"/>
  <c r="I25" i="10" s="1"/>
  <c r="K25" i="10" s="1"/>
  <c r="G78" i="11"/>
  <c r="I78" i="11" s="1"/>
  <c r="K78" i="11" s="1"/>
  <c r="H55" i="15" s="1"/>
  <c r="M56" i="11"/>
  <c r="N39" i="11"/>
  <c r="N70" i="11"/>
  <c r="N33" i="11"/>
  <c r="E90" i="11" l="1"/>
  <c r="N90" i="11" s="1"/>
  <c r="D103" i="11"/>
  <c r="M103" i="11" s="1"/>
  <c r="D95" i="2"/>
  <c r="F95" i="2" s="1"/>
  <c r="H95" i="2" s="1"/>
  <c r="J95" i="2" s="1"/>
  <c r="C66" i="15" s="1"/>
  <c r="E84" i="2"/>
  <c r="G84" i="2" s="1"/>
  <c r="I84" i="2" s="1"/>
  <c r="K84" i="2" s="1"/>
  <c r="D55" i="15" s="1"/>
  <c r="E37" i="2"/>
  <c r="G37" i="2" s="1"/>
  <c r="I37" i="2" s="1"/>
  <c r="K37" i="2" s="1"/>
  <c r="D85" i="15" s="1"/>
  <c r="F49" i="11"/>
  <c r="H49" i="11" s="1"/>
  <c r="J49" i="11" s="1"/>
  <c r="G26" i="15" s="1"/>
  <c r="D45" i="2"/>
  <c r="F45" i="2" s="1"/>
  <c r="H45" i="2" s="1"/>
  <c r="J45" i="2" s="1"/>
  <c r="C16" i="15" s="1"/>
  <c r="N28" i="11"/>
  <c r="M89" i="11"/>
  <c r="F63" i="11"/>
  <c r="H63" i="11" s="1"/>
  <c r="J63" i="11" s="1"/>
  <c r="G40" i="15" s="1"/>
  <c r="M60" i="11"/>
  <c r="D58" i="2"/>
  <c r="F58" i="2" s="1"/>
  <c r="H58" i="2" s="1"/>
  <c r="J58" i="2" s="1"/>
  <c r="C29" i="15" s="1"/>
  <c r="N85" i="11"/>
  <c r="F52" i="11"/>
  <c r="H52" i="11" s="1"/>
  <c r="J52" i="11" s="1"/>
  <c r="G29" i="15" s="1"/>
  <c r="D56" i="2"/>
  <c r="F56" i="2" s="1"/>
  <c r="H56" i="2" s="1"/>
  <c r="J56" i="2" s="1"/>
  <c r="C27" i="15" s="1"/>
  <c r="E37" i="10"/>
  <c r="G37" i="10" s="1"/>
  <c r="I37" i="10" s="1"/>
  <c r="K37" i="10" s="1"/>
  <c r="L27" i="15" s="1"/>
  <c r="E38" i="2"/>
  <c r="G38" i="2" s="1"/>
  <c r="I38" i="2" s="1"/>
  <c r="K38" i="2" s="1"/>
  <c r="D86" i="15" s="1"/>
  <c r="G74" i="11"/>
  <c r="I74" i="11" s="1"/>
  <c r="K74" i="11" s="1"/>
  <c r="H51" i="15" s="1"/>
  <c r="M69" i="11"/>
  <c r="D69" i="2"/>
  <c r="F69" i="2" s="1"/>
  <c r="H69" i="2" s="1"/>
  <c r="J69" i="2" s="1"/>
  <c r="C40" i="15" s="1"/>
  <c r="G26" i="11"/>
  <c r="I26" i="11" s="1"/>
  <c r="K26" i="11" s="1"/>
  <c r="D48" i="11"/>
  <c r="M48" i="11" s="1"/>
  <c r="M40" i="11"/>
  <c r="E32" i="10"/>
  <c r="G32" i="10" s="1"/>
  <c r="I32" i="10" s="1"/>
  <c r="K32" i="10" s="1"/>
  <c r="L22" i="15" s="1"/>
  <c r="E95" i="11"/>
  <c r="N95" i="11" s="1"/>
  <c r="D55" i="2"/>
  <c r="F55" i="2" s="1"/>
  <c r="H55" i="2" s="1"/>
  <c r="J55" i="2" s="1"/>
  <c r="C26" i="15" s="1"/>
  <c r="E23" i="10"/>
  <c r="G23" i="10" s="1"/>
  <c r="I23" i="10" s="1"/>
  <c r="K23" i="10" s="1"/>
  <c r="E93" i="11"/>
  <c r="G93" i="11" s="1"/>
  <c r="I93" i="11" s="1"/>
  <c r="K93" i="11" s="1"/>
  <c r="E32" i="2"/>
  <c r="G32" i="2" s="1"/>
  <c r="I32" i="2" s="1"/>
  <c r="K32" i="2" s="1"/>
  <c r="D80" i="15" s="1"/>
  <c r="E26" i="10"/>
  <c r="G26" i="10" s="1"/>
  <c r="I26" i="10" s="1"/>
  <c r="K26" i="10" s="1"/>
  <c r="L16" i="15" s="1"/>
  <c r="N51" i="11"/>
  <c r="D93" i="11"/>
  <c r="F93" i="11" s="1"/>
  <c r="H93" i="11" s="1"/>
  <c r="J93" i="11" s="1"/>
  <c r="D40" i="10"/>
  <c r="F40" i="10" s="1"/>
  <c r="H40" i="10" s="1"/>
  <c r="J40" i="10" s="1"/>
  <c r="K30" i="15" s="1"/>
  <c r="N84" i="11"/>
  <c r="F54" i="11"/>
  <c r="H54" i="11" s="1"/>
  <c r="J54" i="11" s="1"/>
  <c r="G31" i="15" s="1"/>
  <c r="N32" i="11"/>
  <c r="G60" i="11"/>
  <c r="I60" i="11" s="1"/>
  <c r="K60" i="11" s="1"/>
  <c r="H37" i="15" s="1"/>
  <c r="G56" i="11"/>
  <c r="I56" i="11" s="1"/>
  <c r="K56" i="11" s="1"/>
  <c r="H33" i="15" s="1"/>
  <c r="D70" i="11"/>
  <c r="F70" i="11" s="1"/>
  <c r="H70" i="11" s="1"/>
  <c r="J70" i="11" s="1"/>
  <c r="G47" i="15" s="1"/>
  <c r="E28" i="10"/>
  <c r="G28" i="10" s="1"/>
  <c r="I28" i="10" s="1"/>
  <c r="K28" i="10" s="1"/>
  <c r="L18" i="15" s="1"/>
  <c r="E25" i="11"/>
  <c r="N25" i="11" s="1"/>
  <c r="E103" i="11"/>
  <c r="N103" i="11" s="1"/>
  <c r="D67" i="11"/>
  <c r="M67" i="11" s="1"/>
  <c r="E37" i="11"/>
  <c r="G37" i="11" s="1"/>
  <c r="I37" i="11" s="1"/>
  <c r="K37" i="11" s="1"/>
  <c r="D46" i="2"/>
  <c r="F46" i="2" s="1"/>
  <c r="H46" i="2" s="1"/>
  <c r="J46" i="2" s="1"/>
  <c r="C17" i="15" s="1"/>
  <c r="E57" i="2"/>
  <c r="G57" i="2" s="1"/>
  <c r="I57" i="2" s="1"/>
  <c r="K57" i="2" s="1"/>
  <c r="D28" i="15" s="1"/>
  <c r="D104" i="11"/>
  <c r="M104" i="11" s="1"/>
  <c r="M50" i="11"/>
  <c r="E76" i="2"/>
  <c r="G76" i="2" s="1"/>
  <c r="I76" i="2" s="1"/>
  <c r="K76" i="2" s="1"/>
  <c r="D47" i="15" s="1"/>
  <c r="E62" i="2"/>
  <c r="G62" i="2" s="1"/>
  <c r="I62" i="2" s="1"/>
  <c r="K62" i="2" s="1"/>
  <c r="D33" i="15" s="1"/>
  <c r="D39" i="11"/>
  <c r="F39" i="11" s="1"/>
  <c r="H39" i="11" s="1"/>
  <c r="J39" i="11" s="1"/>
  <c r="G16" i="15" s="1"/>
  <c r="E50" i="11"/>
  <c r="N50" i="11" s="1"/>
  <c r="E66" i="2"/>
  <c r="G66" i="2" s="1"/>
  <c r="I66" i="2" s="1"/>
  <c r="K66" i="2" s="1"/>
  <c r="D37" i="15" s="1"/>
  <c r="D75" i="2"/>
  <c r="F75" i="2" s="1"/>
  <c r="H75" i="2" s="1"/>
  <c r="J75" i="2" s="1"/>
  <c r="C46" i="15" s="1"/>
  <c r="E23" i="11"/>
  <c r="G23" i="11" s="1"/>
  <c r="I23" i="11" s="1"/>
  <c r="K23" i="11" s="1"/>
  <c r="E63" i="2"/>
  <c r="G63" i="2" s="1"/>
  <c r="I63" i="2" s="1"/>
  <c r="K63" i="2" s="1"/>
  <c r="D34" i="15" s="1"/>
  <c r="D94" i="11"/>
  <c r="F94" i="11" s="1"/>
  <c r="H94" i="11" s="1"/>
  <c r="J94" i="11" s="1"/>
  <c r="D72" i="11"/>
  <c r="M72" i="11" s="1"/>
  <c r="D66" i="2"/>
  <c r="F66" i="2" s="1"/>
  <c r="H66" i="2" s="1"/>
  <c r="J66" i="2" s="1"/>
  <c r="C37" i="15" s="1"/>
  <c r="E91" i="2"/>
  <c r="G91" i="2" s="1"/>
  <c r="I91" i="2" s="1"/>
  <c r="K91" i="2" s="1"/>
  <c r="D62" i="15" s="1"/>
  <c r="M97" i="11"/>
  <c r="G62" i="11"/>
  <c r="I62" i="11" s="1"/>
  <c r="K62" i="11" s="1"/>
  <c r="H39" i="15" s="1"/>
  <c r="D93" i="2"/>
  <c r="F93" i="2" s="1"/>
  <c r="H93" i="2" s="1"/>
  <c r="J93" i="2" s="1"/>
  <c r="C64" i="15" s="1"/>
  <c r="M98" i="11"/>
  <c r="G98" i="11"/>
  <c r="I98" i="11" s="1"/>
  <c r="K98" i="11" s="1"/>
  <c r="D34" i="2"/>
  <c r="F34" i="2" s="1"/>
  <c r="H34" i="2" s="1"/>
  <c r="J34" i="2" s="1"/>
  <c r="C82" i="15" s="1"/>
  <c r="D60" i="2"/>
  <c r="F60" i="2" s="1"/>
  <c r="H60" i="2" s="1"/>
  <c r="J60" i="2" s="1"/>
  <c r="C31" i="15" s="1"/>
  <c r="E30" i="2"/>
  <c r="G30" i="2" s="1"/>
  <c r="I30" i="2" s="1"/>
  <c r="K30" i="2" s="1"/>
  <c r="E73" i="2"/>
  <c r="G73" i="2" s="1"/>
  <c r="I73" i="2" s="1"/>
  <c r="K73" i="2" s="1"/>
  <c r="D44" i="15" s="1"/>
  <c r="D120" i="11"/>
  <c r="F120" i="11" s="1"/>
  <c r="H120" i="11" s="1"/>
  <c r="J120" i="11" s="1"/>
  <c r="D116" i="11"/>
  <c r="F116" i="11" s="1"/>
  <c r="H116" i="11" s="1"/>
  <c r="J116" i="11" s="1"/>
  <c r="D112" i="11"/>
  <c r="F112" i="11" s="1"/>
  <c r="H112" i="11" s="1"/>
  <c r="J112" i="11" s="1"/>
  <c r="D108" i="11"/>
  <c r="F108" i="11" s="1"/>
  <c r="H108" i="11" s="1"/>
  <c r="J108" i="11" s="1"/>
  <c r="D127" i="2"/>
  <c r="F127" i="2" s="1"/>
  <c r="D121" i="2"/>
  <c r="F121" i="2" s="1"/>
  <c r="H121" i="2" s="1"/>
  <c r="J121" i="2" s="1"/>
  <c r="D117" i="2"/>
  <c r="F117" i="2" s="1"/>
  <c r="H117" i="2" s="1"/>
  <c r="J117" i="2" s="1"/>
  <c r="D115" i="2"/>
  <c r="F115" i="2" s="1"/>
  <c r="H115" i="2" s="1"/>
  <c r="J115" i="2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6" i="2"/>
  <c r="F126" i="2" s="1"/>
  <c r="H126" i="2" s="1"/>
  <c r="J126" i="2" s="1"/>
  <c r="D124" i="2"/>
  <c r="F124" i="2" s="1"/>
  <c r="H124" i="2" s="1"/>
  <c r="J124" i="2" s="1"/>
  <c r="D122" i="2"/>
  <c r="F122" i="2" s="1"/>
  <c r="H122" i="2" s="1"/>
  <c r="J122" i="2" s="1"/>
  <c r="D120" i="2"/>
  <c r="F120" i="2" s="1"/>
  <c r="H120" i="2" s="1"/>
  <c r="J120" i="2" s="1"/>
  <c r="D118" i="2"/>
  <c r="F118" i="2" s="1"/>
  <c r="H118" i="2" s="1"/>
  <c r="J118" i="2" s="1"/>
  <c r="D116" i="2"/>
  <c r="F116" i="2" s="1"/>
  <c r="H116" i="2" s="1"/>
  <c r="J116" i="2" s="1"/>
  <c r="D114" i="2"/>
  <c r="F114" i="2" s="1"/>
  <c r="H114" i="2" s="1"/>
  <c r="J114" i="2" s="1"/>
  <c r="D112" i="2"/>
  <c r="F112" i="2" s="1"/>
  <c r="H112" i="2" s="1"/>
  <c r="J112" i="2" s="1"/>
  <c r="D118" i="11"/>
  <c r="F118" i="11" s="1"/>
  <c r="H118" i="11" s="1"/>
  <c r="J118" i="11" s="1"/>
  <c r="D114" i="11"/>
  <c r="F114" i="11" s="1"/>
  <c r="H114" i="11" s="1"/>
  <c r="J114" i="11" s="1"/>
  <c r="D110" i="11"/>
  <c r="F110" i="11" s="1"/>
  <c r="H110" i="11" s="1"/>
  <c r="J110" i="11" s="1"/>
  <c r="D106" i="11"/>
  <c r="F106" i="11" s="1"/>
  <c r="H106" i="11" s="1"/>
  <c r="J106" i="11" s="1"/>
  <c r="D125" i="2"/>
  <c r="F125" i="2" s="1"/>
  <c r="H125" i="2" s="1"/>
  <c r="J125" i="2" s="1"/>
  <c r="D123" i="2"/>
  <c r="F123" i="2" s="1"/>
  <c r="H123" i="2" s="1"/>
  <c r="J123" i="2" s="1"/>
  <c r="D119" i="2"/>
  <c r="F119" i="2" s="1"/>
  <c r="H119" i="2" s="1"/>
  <c r="J119" i="2" s="1"/>
  <c r="D113" i="2"/>
  <c r="F113" i="2" s="1"/>
  <c r="H113" i="2" s="1"/>
  <c r="J113" i="2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6" i="2"/>
  <c r="G126" i="2" s="1"/>
  <c r="I126" i="2" s="1"/>
  <c r="K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0" i="11"/>
  <c r="G110" i="11" s="1"/>
  <c r="I110" i="11" s="1"/>
  <c r="K110" i="11" s="1"/>
  <c r="E106" i="11"/>
  <c r="N106" i="11" s="1"/>
  <c r="E125" i="2"/>
  <c r="G125" i="2" s="1"/>
  <c r="I125" i="2" s="1"/>
  <c r="K125" i="2" s="1"/>
  <c r="E119" i="2"/>
  <c r="G119" i="2" s="1"/>
  <c r="I119" i="2" s="1"/>
  <c r="K119" i="2" s="1"/>
  <c r="E115" i="2"/>
  <c r="G115" i="2" s="1"/>
  <c r="I115" i="2" s="1"/>
  <c r="K115" i="2" s="1"/>
  <c r="E120" i="11"/>
  <c r="G120" i="11" s="1"/>
  <c r="I120" i="11" s="1"/>
  <c r="K120" i="11" s="1"/>
  <c r="E112" i="11"/>
  <c r="G112" i="11" s="1"/>
  <c r="I112" i="11" s="1"/>
  <c r="K112" i="11" s="1"/>
  <c r="E108" i="11"/>
  <c r="G108" i="11" s="1"/>
  <c r="I108" i="11" s="1"/>
  <c r="K108" i="11" s="1"/>
  <c r="E127" i="2"/>
  <c r="G127" i="2" s="1"/>
  <c r="I127" i="2" s="1"/>
  <c r="K127" i="2" s="1"/>
  <c r="E123" i="2"/>
  <c r="G123" i="2" s="1"/>
  <c r="I123" i="2" s="1"/>
  <c r="K123" i="2" s="1"/>
  <c r="E121" i="2"/>
  <c r="G121" i="2" s="1"/>
  <c r="I121" i="2" s="1"/>
  <c r="K121" i="2" s="1"/>
  <c r="E117" i="2"/>
  <c r="G117" i="2" s="1"/>
  <c r="I117" i="2" s="1"/>
  <c r="K117" i="2" s="1"/>
  <c r="E113" i="2"/>
  <c r="G113" i="2" s="1"/>
  <c r="I113" i="2" s="1"/>
  <c r="K113" i="2" s="1"/>
  <c r="I85" i="11"/>
  <c r="K85" i="11" s="1"/>
  <c r="H62" i="15" s="1"/>
  <c r="D53" i="2"/>
  <c r="F53" i="2" s="1"/>
  <c r="H53" i="2" s="1"/>
  <c r="J53" i="2" s="1"/>
  <c r="C24" i="15" s="1"/>
  <c r="D29" i="11"/>
  <c r="F29" i="11" s="1"/>
  <c r="H29" i="11" s="1"/>
  <c r="J29" i="11" s="1"/>
  <c r="F55" i="11"/>
  <c r="H55" i="11" s="1"/>
  <c r="J55" i="11" s="1"/>
  <c r="G32" i="15" s="1"/>
  <c r="D100" i="11"/>
  <c r="F100" i="11" s="1"/>
  <c r="H100" i="11" s="1"/>
  <c r="J100" i="11" s="1"/>
  <c r="F22" i="11"/>
  <c r="H22" i="11" s="1"/>
  <c r="J22" i="11" s="1"/>
  <c r="N43" i="11"/>
  <c r="M102" i="11"/>
  <c r="M47" i="11"/>
  <c r="F90" i="11"/>
  <c r="H90" i="11" s="1"/>
  <c r="J90" i="11" s="1"/>
  <c r="G67" i="15" s="1"/>
  <c r="D80" i="11"/>
  <c r="F80" i="11" s="1"/>
  <c r="H80" i="11" s="1"/>
  <c r="J80" i="11" s="1"/>
  <c r="G57" i="15" s="1"/>
  <c r="M77" i="11"/>
  <c r="N31" i="11"/>
  <c r="M73" i="11"/>
  <c r="F51" i="11"/>
  <c r="H51" i="11" s="1"/>
  <c r="J51" i="11" s="1"/>
  <c r="G28" i="15" s="1"/>
  <c r="E68" i="2"/>
  <c r="G68" i="2" s="1"/>
  <c r="I68" i="2" s="1"/>
  <c r="K68" i="2" s="1"/>
  <c r="D39" i="15" s="1"/>
  <c r="D59" i="2"/>
  <c r="F59" i="2" s="1"/>
  <c r="H59" i="2" s="1"/>
  <c r="J59" i="2" s="1"/>
  <c r="C30" i="15" s="1"/>
  <c r="N64" i="11"/>
  <c r="N77" i="11"/>
  <c r="N75" i="11"/>
  <c r="E33" i="10"/>
  <c r="G33" i="10" s="1"/>
  <c r="I33" i="10" s="1"/>
  <c r="K33" i="10" s="1"/>
  <c r="L23" i="15" s="1"/>
  <c r="E54" i="11"/>
  <c r="G54" i="11" s="1"/>
  <c r="I54" i="11" s="1"/>
  <c r="K54" i="11" s="1"/>
  <c r="H31" i="15" s="1"/>
  <c r="D104" i="2"/>
  <c r="F104" i="2" s="1"/>
  <c r="H104" i="2" s="1"/>
  <c r="J104" i="2" s="1"/>
  <c r="E41" i="2"/>
  <c r="G41" i="2" s="1"/>
  <c r="I41" i="2" s="1"/>
  <c r="K41" i="2" s="1"/>
  <c r="D89" i="15" s="1"/>
  <c r="E34" i="11"/>
  <c r="G34" i="11" s="1"/>
  <c r="I34" i="11" s="1"/>
  <c r="K34" i="11" s="1"/>
  <c r="E70" i="2"/>
  <c r="G70" i="2" s="1"/>
  <c r="I70" i="2" s="1"/>
  <c r="K70" i="2" s="1"/>
  <c r="D41" i="15" s="1"/>
  <c r="D83" i="2"/>
  <c r="F83" i="2" s="1"/>
  <c r="H83" i="2" s="1"/>
  <c r="J83" i="2" s="1"/>
  <c r="C54" i="15" s="1"/>
  <c r="D57" i="2"/>
  <c r="F57" i="2" s="1"/>
  <c r="H57" i="2" s="1"/>
  <c r="J57" i="2" s="1"/>
  <c r="C28" i="15" s="1"/>
  <c r="E24" i="11"/>
  <c r="N24" i="11" s="1"/>
  <c r="D78" i="11"/>
  <c r="M78" i="11" s="1"/>
  <c r="D79" i="2"/>
  <c r="F79" i="2" s="1"/>
  <c r="H79" i="2" s="1"/>
  <c r="J79" i="2" s="1"/>
  <c r="C50" i="15" s="1"/>
  <c r="D37" i="11"/>
  <c r="F37" i="11" s="1"/>
  <c r="H37" i="11" s="1"/>
  <c r="J37" i="11" s="1"/>
  <c r="E105" i="11"/>
  <c r="N105" i="11" s="1"/>
  <c r="E104" i="2"/>
  <c r="G104" i="2" s="1"/>
  <c r="I104" i="2" s="1"/>
  <c r="K104" i="2" s="1"/>
  <c r="E90" i="2"/>
  <c r="G90" i="2" s="1"/>
  <c r="I90" i="2" s="1"/>
  <c r="K90" i="2" s="1"/>
  <c r="D61" i="15" s="1"/>
  <c r="D33" i="10"/>
  <c r="F33" i="10" s="1"/>
  <c r="H33" i="10" s="1"/>
  <c r="J33" i="10" s="1"/>
  <c r="K23" i="15" s="1"/>
  <c r="E97" i="11"/>
  <c r="G97" i="11" s="1"/>
  <c r="I97" i="11" s="1"/>
  <c r="K97" i="11" s="1"/>
  <c r="D103" i="2"/>
  <c r="F103" i="2" s="1"/>
  <c r="H103" i="2" s="1"/>
  <c r="J103" i="2" s="1"/>
  <c r="E74" i="2"/>
  <c r="G74" i="2" s="1"/>
  <c r="I74" i="2" s="1"/>
  <c r="K74" i="2" s="1"/>
  <c r="D45" i="15" s="1"/>
  <c r="E87" i="11"/>
  <c r="G87" i="11" s="1"/>
  <c r="I87" i="11" s="1"/>
  <c r="K87" i="11" s="1"/>
  <c r="H64" i="15" s="1"/>
  <c r="D96" i="2"/>
  <c r="F96" i="2" s="1"/>
  <c r="H96" i="2" s="1"/>
  <c r="J96" i="2" s="1"/>
  <c r="C67" i="15" s="1"/>
  <c r="D34" i="10"/>
  <c r="F34" i="10" s="1"/>
  <c r="H34" i="10" s="1"/>
  <c r="J34" i="10" s="1"/>
  <c r="K24" i="15" s="1"/>
  <c r="E83" i="2"/>
  <c r="G83" i="2" s="1"/>
  <c r="I83" i="2" s="1"/>
  <c r="K83" i="2" s="1"/>
  <c r="D54" i="15" s="1"/>
  <c r="E41" i="10"/>
  <c r="G41" i="10" s="1"/>
  <c r="I41" i="10" s="1"/>
  <c r="K41" i="10" s="1"/>
  <c r="L31" i="15" s="1"/>
  <c r="E85" i="2"/>
  <c r="G85" i="2" s="1"/>
  <c r="I85" i="2" s="1"/>
  <c r="K85" i="2" s="1"/>
  <c r="D56" i="15" s="1"/>
  <c r="N35" i="11"/>
  <c r="M87" i="11"/>
  <c r="N79" i="11"/>
  <c r="D28" i="11"/>
  <c r="M28" i="11" s="1"/>
  <c r="E39" i="2"/>
  <c r="G39" i="2" s="1"/>
  <c r="I39" i="2" s="1"/>
  <c r="K39" i="2" s="1"/>
  <c r="D87" i="15" s="1"/>
  <c r="E34" i="2"/>
  <c r="G34" i="2" s="1"/>
  <c r="I34" i="2" s="1"/>
  <c r="K34" i="2" s="1"/>
  <c r="D82" i="15" s="1"/>
  <c r="D33" i="11"/>
  <c r="M33" i="11" s="1"/>
  <c r="D37" i="10"/>
  <c r="F37" i="10" s="1"/>
  <c r="H37" i="10" s="1"/>
  <c r="J37" i="10" s="1"/>
  <c r="K27" i="15" s="1"/>
  <c r="E34" i="10"/>
  <c r="G34" i="10" s="1"/>
  <c r="I34" i="10" s="1"/>
  <c r="K34" i="10" s="1"/>
  <c r="L24" i="15" s="1"/>
  <c r="E81" i="2"/>
  <c r="G81" i="2" s="1"/>
  <c r="I81" i="2" s="1"/>
  <c r="K81" i="2" s="1"/>
  <c r="D52" i="15" s="1"/>
  <c r="E41" i="11"/>
  <c r="E35" i="10"/>
  <c r="G35" i="10" s="1"/>
  <c r="I35" i="10" s="1"/>
  <c r="K35" i="10" s="1"/>
  <c r="L25" i="15" s="1"/>
  <c r="E99" i="11"/>
  <c r="D81" i="11"/>
  <c r="F81" i="11" s="1"/>
  <c r="H81" i="11" s="1"/>
  <c r="J81" i="11" s="1"/>
  <c r="G58" i="15" s="1"/>
  <c r="F65" i="11"/>
  <c r="H65" i="11" s="1"/>
  <c r="J65" i="11" s="1"/>
  <c r="G42" i="15" s="1"/>
  <c r="D86" i="11"/>
  <c r="F86" i="11" s="1"/>
  <c r="H86" i="11" s="1"/>
  <c r="J86" i="11" s="1"/>
  <c r="G63" i="15" s="1"/>
  <c r="E106" i="2"/>
  <c r="G106" i="2" s="1"/>
  <c r="I106" i="2" s="1"/>
  <c r="K106" i="2" s="1"/>
  <c r="D35" i="2"/>
  <c r="F35" i="2" s="1"/>
  <c r="H35" i="2" s="1"/>
  <c r="J35" i="2" s="1"/>
  <c r="C83" i="15" s="1"/>
  <c r="E66" i="11"/>
  <c r="G66" i="11" s="1"/>
  <c r="I66" i="11" s="1"/>
  <c r="K66" i="11" s="1"/>
  <c r="H43" i="15" s="1"/>
  <c r="D71" i="2"/>
  <c r="F71" i="2" s="1"/>
  <c r="H71" i="2" s="1"/>
  <c r="J71" i="2" s="1"/>
  <c r="C42" i="15" s="1"/>
  <c r="E29" i="11"/>
  <c r="N29" i="11" s="1"/>
  <c r="D61" i="2"/>
  <c r="F61" i="2" s="1"/>
  <c r="H61" i="2" s="1"/>
  <c r="J61" i="2" s="1"/>
  <c r="C32" i="15" s="1"/>
  <c r="E45" i="10"/>
  <c r="G45" i="10" s="1"/>
  <c r="I45" i="10" s="1"/>
  <c r="K45" i="10" s="1"/>
  <c r="L35" i="15" s="1"/>
  <c r="N100" i="11"/>
  <c r="E86" i="11"/>
  <c r="G86" i="11" s="1"/>
  <c r="I86" i="11" s="1"/>
  <c r="K86" i="11" s="1"/>
  <c r="H63" i="15" s="1"/>
  <c r="E97" i="2"/>
  <c r="G97" i="2" s="1"/>
  <c r="I97" i="2" s="1"/>
  <c r="K97" i="2" s="1"/>
  <c r="D34" i="11"/>
  <c r="F34" i="11" s="1"/>
  <c r="H34" i="11" s="1"/>
  <c r="J34" i="11" s="1"/>
  <c r="E58" i="11"/>
  <c r="N58" i="11" s="1"/>
  <c r="N94" i="11"/>
  <c r="D89" i="2"/>
  <c r="F89" i="2" s="1"/>
  <c r="H89" i="2" s="1"/>
  <c r="J89" i="2" s="1"/>
  <c r="C60" i="15" s="1"/>
  <c r="M59" i="11"/>
  <c r="D88" i="11"/>
  <c r="F88" i="11" s="1"/>
  <c r="H88" i="11" s="1"/>
  <c r="J88" i="11" s="1"/>
  <c r="G65" i="15" s="1"/>
  <c r="D105" i="11"/>
  <c r="F105" i="11" s="1"/>
  <c r="H105" i="11" s="1"/>
  <c r="J105" i="11" s="1"/>
  <c r="D44" i="11"/>
  <c r="M44" i="11" s="1"/>
  <c r="N69" i="11"/>
  <c r="F24" i="11"/>
  <c r="H24" i="11" s="1"/>
  <c r="J24" i="11" s="1"/>
  <c r="D102" i="2"/>
  <c r="F102" i="2" s="1"/>
  <c r="H102" i="2" s="1"/>
  <c r="J102" i="2" s="1"/>
  <c r="E52" i="11"/>
  <c r="N52" i="11" s="1"/>
  <c r="D50" i="2"/>
  <c r="F50" i="2" s="1"/>
  <c r="H50" i="2" s="1"/>
  <c r="J50" i="2" s="1"/>
  <c r="C21" i="15" s="1"/>
  <c r="E27" i="10"/>
  <c r="G27" i="10" s="1"/>
  <c r="I27" i="10" s="1"/>
  <c r="K27" i="10" s="1"/>
  <c r="L17" i="15" s="1"/>
  <c r="E59" i="11"/>
  <c r="N102" i="11"/>
  <c r="N76" i="11"/>
  <c r="M27" i="11"/>
  <c r="G101" i="11"/>
  <c r="I101" i="11" s="1"/>
  <c r="K101" i="11" s="1"/>
  <c r="D38" i="11"/>
  <c r="F38" i="11" s="1"/>
  <c r="H38" i="11" s="1"/>
  <c r="J38" i="11" s="1"/>
  <c r="E22" i="10"/>
  <c r="G22" i="10" s="1"/>
  <c r="I22" i="10" s="1"/>
  <c r="K22" i="10" s="1"/>
  <c r="E69" i="2"/>
  <c r="G69" i="2" s="1"/>
  <c r="I69" i="2" s="1"/>
  <c r="K69" i="2" s="1"/>
  <c r="D40" i="15" s="1"/>
  <c r="E48" i="2"/>
  <c r="G48" i="2" s="1"/>
  <c r="I48" i="2" s="1"/>
  <c r="K48" i="2" s="1"/>
  <c r="D19" i="15" s="1"/>
  <c r="M91" i="11"/>
  <c r="G83" i="11"/>
  <c r="I83" i="11" s="1"/>
  <c r="K83" i="11" s="1"/>
  <c r="H60" i="15" s="1"/>
  <c r="G104" i="11"/>
  <c r="I104" i="11" s="1"/>
  <c r="K104" i="11" s="1"/>
  <c r="E22" i="11"/>
  <c r="G22" i="11" s="1"/>
  <c r="I22" i="11" s="1"/>
  <c r="K22" i="11" s="1"/>
  <c r="D76" i="11"/>
  <c r="F76" i="11" s="1"/>
  <c r="H76" i="11" s="1"/>
  <c r="J76" i="11" s="1"/>
  <c r="G53" i="15" s="1"/>
  <c r="D82" i="11"/>
  <c r="F82" i="11" s="1"/>
  <c r="H82" i="11" s="1"/>
  <c r="J82" i="11" s="1"/>
  <c r="G59" i="15" s="1"/>
  <c r="E42" i="10"/>
  <c r="G42" i="10" s="1"/>
  <c r="I42" i="10" s="1"/>
  <c r="K42" i="10" s="1"/>
  <c r="L32" i="15" s="1"/>
  <c r="N81" i="11"/>
  <c r="M71" i="11"/>
  <c r="F92" i="11"/>
  <c r="H92" i="11" s="1"/>
  <c r="J92" i="11" s="1"/>
  <c r="D41" i="2"/>
  <c r="F41" i="2" s="1"/>
  <c r="H41" i="2" s="1"/>
  <c r="J41" i="2" s="1"/>
  <c r="C89" i="15" s="1"/>
  <c r="E89" i="11"/>
  <c r="G89" i="11" s="1"/>
  <c r="I89" i="11" s="1"/>
  <c r="K89" i="11" s="1"/>
  <c r="H66" i="15" s="1"/>
  <c r="E96" i="11"/>
  <c r="N96" i="11" s="1"/>
  <c r="D30" i="2"/>
  <c r="F30" i="2" s="1"/>
  <c r="H30" i="2" s="1"/>
  <c r="J30" i="2" s="1"/>
  <c r="M31" i="11"/>
  <c r="M61" i="11"/>
  <c r="M64" i="11"/>
  <c r="G92" i="11"/>
  <c r="I92" i="11" s="1"/>
  <c r="K92" i="11" s="1"/>
  <c r="D44" i="2"/>
  <c r="F44" i="2" s="1"/>
  <c r="H44" i="2" s="1"/>
  <c r="J44" i="2" s="1"/>
  <c r="C92" i="15" s="1"/>
  <c r="E71" i="11"/>
  <c r="E94" i="2"/>
  <c r="G94" i="2" s="1"/>
  <c r="I94" i="2" s="1"/>
  <c r="K94" i="2" s="1"/>
  <c r="D65" i="15" s="1"/>
  <c r="E82" i="11"/>
  <c r="G82" i="11" s="1"/>
  <c r="I82" i="11" s="1"/>
  <c r="K82" i="11" s="1"/>
  <c r="H59" i="15" s="1"/>
  <c r="D74" i="2"/>
  <c r="F74" i="2" s="1"/>
  <c r="H74" i="2" s="1"/>
  <c r="J74" i="2" s="1"/>
  <c r="C45" i="15" s="1"/>
  <c r="D32" i="11"/>
  <c r="D62" i="11"/>
  <c r="M62" i="11" s="1"/>
  <c r="D37" i="2"/>
  <c r="F37" i="2" s="1"/>
  <c r="H37" i="2" s="1"/>
  <c r="J37" i="2" s="1"/>
  <c r="C85" i="15" s="1"/>
  <c r="E89" i="2"/>
  <c r="G89" i="2" s="1"/>
  <c r="I89" i="2" s="1"/>
  <c r="K89" i="2" s="1"/>
  <c r="D60" i="15" s="1"/>
  <c r="D99" i="11"/>
  <c r="F99" i="11" s="1"/>
  <c r="H99" i="11" s="1"/>
  <c r="J99" i="11" s="1"/>
  <c r="D67" i="2"/>
  <c r="F67" i="2" s="1"/>
  <c r="H67" i="2" s="1"/>
  <c r="J67" i="2" s="1"/>
  <c r="C38" i="15" s="1"/>
  <c r="D36" i="11"/>
  <c r="F36" i="11" s="1"/>
  <c r="H36" i="11" s="1"/>
  <c r="J36" i="11" s="1"/>
  <c r="M68" i="11"/>
  <c r="N40" i="11"/>
  <c r="M75" i="11"/>
  <c r="N63" i="11"/>
  <c r="N88" i="11"/>
  <c r="N22" i="11"/>
  <c r="G21" i="11"/>
  <c r="I21" i="11" s="1"/>
  <c r="K21" i="11" s="1"/>
  <c r="E108" i="2"/>
  <c r="G108" i="2" s="1"/>
  <c r="I108" i="2" s="1"/>
  <c r="K108" i="2" s="1"/>
  <c r="D108" i="2"/>
  <c r="F108" i="2" s="1"/>
  <c r="H108" i="2" s="1"/>
  <c r="J108" i="2" s="1"/>
  <c r="E38" i="11"/>
  <c r="G38" i="11" s="1"/>
  <c r="I38" i="11" s="1"/>
  <c r="K38" i="11" s="1"/>
  <c r="E87" i="2"/>
  <c r="G87" i="2" s="1"/>
  <c r="I87" i="2" s="1"/>
  <c r="K87" i="2" s="1"/>
  <c r="D58" i="15" s="1"/>
  <c r="E107" i="2"/>
  <c r="G107" i="2" s="1"/>
  <c r="I107" i="2" s="1"/>
  <c r="K107" i="2" s="1"/>
  <c r="E82" i="2"/>
  <c r="G82" i="2" s="1"/>
  <c r="I82" i="2" s="1"/>
  <c r="K82" i="2" s="1"/>
  <c r="D53" i="15" s="1"/>
  <c r="D32" i="10"/>
  <c r="F32" i="10" s="1"/>
  <c r="H32" i="10" s="1"/>
  <c r="J32" i="10" s="1"/>
  <c r="K22" i="15" s="1"/>
  <c r="D70" i="2"/>
  <c r="F70" i="2" s="1"/>
  <c r="H70" i="2" s="1"/>
  <c r="J70" i="2" s="1"/>
  <c r="C41" i="15" s="1"/>
  <c r="D35" i="11"/>
  <c r="M35" i="11" s="1"/>
  <c r="E49" i="2"/>
  <c r="G49" i="2" s="1"/>
  <c r="I49" i="2" s="1"/>
  <c r="K49" i="2" s="1"/>
  <c r="D20" i="15" s="1"/>
  <c r="D98" i="2"/>
  <c r="F98" i="2" s="1"/>
  <c r="H98" i="2" s="1"/>
  <c r="J98" i="2" s="1"/>
  <c r="D95" i="11"/>
  <c r="D74" i="11"/>
  <c r="F74" i="11" s="1"/>
  <c r="H74" i="11" s="1"/>
  <c r="J74" i="11" s="1"/>
  <c r="G51" i="15" s="1"/>
  <c r="E40" i="10"/>
  <c r="G40" i="10" s="1"/>
  <c r="I40" i="10" s="1"/>
  <c r="K40" i="10" s="1"/>
  <c r="L30" i="15" s="1"/>
  <c r="D81" i="2"/>
  <c r="F81" i="2" s="1"/>
  <c r="H81" i="2" s="1"/>
  <c r="J81" i="2" s="1"/>
  <c r="C52" i="15" s="1"/>
  <c r="D57" i="11"/>
  <c r="F57" i="11" s="1"/>
  <c r="H57" i="11" s="1"/>
  <c r="J57" i="11" s="1"/>
  <c r="G34" i="15" s="1"/>
  <c r="E98" i="2"/>
  <c r="G98" i="2" s="1"/>
  <c r="I98" i="2" s="1"/>
  <c r="K98" i="2" s="1"/>
  <c r="E110" i="2"/>
  <c r="G110" i="2" s="1"/>
  <c r="I110" i="2" s="1"/>
  <c r="K110" i="2" s="1"/>
  <c r="N42" i="11"/>
  <c r="E44" i="2"/>
  <c r="G44" i="2" s="1"/>
  <c r="I44" i="2" s="1"/>
  <c r="K44" i="2" s="1"/>
  <c r="D92" i="15" s="1"/>
  <c r="D77" i="2"/>
  <c r="F77" i="2" s="1"/>
  <c r="H77" i="2" s="1"/>
  <c r="J77" i="2" s="1"/>
  <c r="C48" i="15" s="1"/>
  <c r="D31" i="10"/>
  <c r="F31" i="10" s="1"/>
  <c r="H31" i="10" s="1"/>
  <c r="J31" i="10" s="1"/>
  <c r="K21" i="15" s="1"/>
  <c r="E43" i="10"/>
  <c r="G43" i="10" s="1"/>
  <c r="I43" i="10" s="1"/>
  <c r="K43" i="10" s="1"/>
  <c r="L33" i="15" s="1"/>
  <c r="E61" i="11"/>
  <c r="N61" i="11" s="1"/>
  <c r="E46" i="11"/>
  <c r="G46" i="11" s="1"/>
  <c r="I46" i="11" s="1"/>
  <c r="K46" i="11" s="1"/>
  <c r="H23" i="15" s="1"/>
  <c r="E46" i="2"/>
  <c r="G46" i="2" s="1"/>
  <c r="I46" i="2" s="1"/>
  <c r="K46" i="2" s="1"/>
  <c r="D17" i="15" s="1"/>
  <c r="D27" i="10"/>
  <c r="F27" i="10" s="1"/>
  <c r="H27" i="10" s="1"/>
  <c r="J27" i="10" s="1"/>
  <c r="K17" i="15" s="1"/>
  <c r="D97" i="2"/>
  <c r="F97" i="2" s="1"/>
  <c r="H97" i="2" s="1"/>
  <c r="J97" i="2" s="1"/>
  <c r="N48" i="11"/>
  <c r="N44" i="11"/>
  <c r="N91" i="11"/>
  <c r="N47" i="11"/>
  <c r="F96" i="11"/>
  <c r="H96" i="11" s="1"/>
  <c r="J96" i="11" s="1"/>
  <c r="F83" i="11"/>
  <c r="H83" i="11" s="1"/>
  <c r="J83" i="11" s="1"/>
  <c r="G60" i="15" s="1"/>
  <c r="F46" i="11"/>
  <c r="H46" i="11" s="1"/>
  <c r="J46" i="11" s="1"/>
  <c r="G23" i="15" s="1"/>
  <c r="G67" i="11"/>
  <c r="I67" i="11" s="1"/>
  <c r="K67" i="11" s="1"/>
  <c r="H44" i="15" s="1"/>
  <c r="E72" i="11"/>
  <c r="E65" i="11"/>
  <c r="N65" i="11" s="1"/>
  <c r="E80" i="11"/>
  <c r="N80" i="11" s="1"/>
  <c r="E55" i="11"/>
  <c r="N55" i="11" s="1"/>
  <c r="D45" i="11"/>
  <c r="F45" i="11" s="1"/>
  <c r="H45" i="11" s="1"/>
  <c r="J45" i="11" s="1"/>
  <c r="G22" i="15" s="1"/>
  <c r="D43" i="10"/>
  <c r="F43" i="10" s="1"/>
  <c r="H43" i="10" s="1"/>
  <c r="J43" i="10" s="1"/>
  <c r="K33" i="15" s="1"/>
  <c r="D43" i="11"/>
  <c r="M43" i="11" s="1"/>
  <c r="E79" i="2"/>
  <c r="G79" i="2" s="1"/>
  <c r="I79" i="2" s="1"/>
  <c r="K79" i="2" s="1"/>
  <c r="D50" i="15" s="1"/>
  <c r="D66" i="11"/>
  <c r="F66" i="11" s="1"/>
  <c r="H66" i="11" s="1"/>
  <c r="J66" i="11" s="1"/>
  <c r="G43" i="15" s="1"/>
  <c r="E54" i="2"/>
  <c r="G54" i="2" s="1"/>
  <c r="I54" i="2" s="1"/>
  <c r="K54" i="2" s="1"/>
  <c r="D25" i="15" s="1"/>
  <c r="M84" i="11"/>
  <c r="G73" i="11"/>
  <c r="I73" i="11" s="1"/>
  <c r="K73" i="11" s="1"/>
  <c r="H50" i="15" s="1"/>
  <c r="D101" i="11"/>
  <c r="D21" i="11"/>
  <c r="F21" i="11" s="1"/>
  <c r="H21" i="11" s="1"/>
  <c r="J21" i="11" s="1"/>
  <c r="E75" i="2"/>
  <c r="G75" i="2" s="1"/>
  <c r="I75" i="2" s="1"/>
  <c r="K75" i="2" s="1"/>
  <c r="D46" i="15" s="1"/>
  <c r="E53" i="2"/>
  <c r="G53" i="2" s="1"/>
  <c r="I53" i="2" s="1"/>
  <c r="K53" i="2" s="1"/>
  <c r="D24" i="15" s="1"/>
  <c r="E27" i="2"/>
  <c r="G27" i="2" s="1"/>
  <c r="I27" i="2" s="1"/>
  <c r="K27" i="2" s="1"/>
  <c r="E29" i="10"/>
  <c r="G29" i="10" s="1"/>
  <c r="I29" i="10" s="1"/>
  <c r="K29" i="10" s="1"/>
  <c r="L19" i="15" s="1"/>
  <c r="D79" i="11"/>
  <c r="F79" i="11" s="1"/>
  <c r="H79" i="11" s="1"/>
  <c r="J79" i="11" s="1"/>
  <c r="G56" i="15" s="1"/>
  <c r="E27" i="11"/>
  <c r="N27" i="11" s="1"/>
  <c r="E50" i="2"/>
  <c r="G50" i="2" s="1"/>
  <c r="I50" i="2" s="1"/>
  <c r="K50" i="2" s="1"/>
  <c r="D21" i="15" s="1"/>
  <c r="E100" i="2"/>
  <c r="G100" i="2" s="1"/>
  <c r="I100" i="2" s="1"/>
  <c r="K100" i="2" s="1"/>
  <c r="D52" i="2"/>
  <c r="F52" i="2" s="1"/>
  <c r="H52" i="2" s="1"/>
  <c r="J52" i="2" s="1"/>
  <c r="C23" i="15" s="1"/>
  <c r="D41" i="11"/>
  <c r="M41" i="11" s="1"/>
  <c r="D21" i="10"/>
  <c r="F21" i="10" s="1"/>
  <c r="H21" i="10" s="1"/>
  <c r="J21" i="10" s="1"/>
  <c r="E44" i="10"/>
  <c r="G44" i="10" s="1"/>
  <c r="I44" i="10" s="1"/>
  <c r="K44" i="10" s="1"/>
  <c r="L34" i="15" s="1"/>
  <c r="D51" i="2"/>
  <c r="F51" i="2" s="1"/>
  <c r="H51" i="2" s="1"/>
  <c r="J51" i="2" s="1"/>
  <c r="C22" i="15" s="1"/>
  <c r="D36" i="10"/>
  <c r="F36" i="10" s="1"/>
  <c r="H36" i="10" s="1"/>
  <c r="J36" i="10" s="1"/>
  <c r="K26" i="15" s="1"/>
  <c r="D47" i="2"/>
  <c r="F47" i="2" s="1"/>
  <c r="H47" i="2" s="1"/>
  <c r="J47" i="2" s="1"/>
  <c r="C18" i="15" s="1"/>
  <c r="D29" i="2"/>
  <c r="F29" i="2" s="1"/>
  <c r="H29" i="2" s="1"/>
  <c r="J29" i="2" s="1"/>
  <c r="E45" i="11"/>
  <c r="D90" i="2"/>
  <c r="F90" i="2" s="1"/>
  <c r="H90" i="2" s="1"/>
  <c r="J90" i="2" s="1"/>
  <c r="C61" i="15" s="1"/>
  <c r="E21" i="10"/>
  <c r="G21" i="10" s="1"/>
  <c r="I21" i="10" s="1"/>
  <c r="K21" i="10" s="1"/>
  <c r="D23" i="11"/>
  <c r="F23" i="11" s="1"/>
  <c r="H23" i="11" s="1"/>
  <c r="J23" i="11" s="1"/>
  <c r="E59" i="2"/>
  <c r="G59" i="2" s="1"/>
  <c r="I59" i="2" s="1"/>
  <c r="K59" i="2" s="1"/>
  <c r="D30" i="15" s="1"/>
  <c r="E53" i="11"/>
  <c r="D85" i="11"/>
  <c r="F85" i="11" s="1"/>
  <c r="H85" i="11" s="1"/>
  <c r="J85" i="11" s="1"/>
  <c r="G62" i="15" s="1"/>
  <c r="M94" i="11"/>
  <c r="D65" i="2"/>
  <c r="F65" i="2" s="1"/>
  <c r="H65" i="2" s="1"/>
  <c r="J65" i="2" s="1"/>
  <c r="C36" i="15" s="1"/>
  <c r="D58" i="11"/>
  <c r="F58" i="11" s="1"/>
  <c r="H58" i="11" s="1"/>
  <c r="J58" i="11" s="1"/>
  <c r="G35" i="15" s="1"/>
  <c r="D24" i="10"/>
  <c r="F24" i="10" s="1"/>
  <c r="H24" i="10" s="1"/>
  <c r="J24" i="10" s="1"/>
  <c r="F53" i="11"/>
  <c r="H53" i="11" s="1"/>
  <c r="J53" i="11" s="1"/>
  <c r="G30" i="15" s="1"/>
  <c r="G90" i="11"/>
  <c r="I90" i="11" s="1"/>
  <c r="K90" i="11" s="1"/>
  <c r="H67" i="15" s="1"/>
  <c r="D42" i="11"/>
  <c r="D22" i="10"/>
  <c r="F22" i="10" s="1"/>
  <c r="H22" i="10" s="1"/>
  <c r="J22" i="10" s="1"/>
  <c r="M30" i="11"/>
  <c r="D48" i="2"/>
  <c r="F48" i="2" s="1"/>
  <c r="H48" i="2" s="1"/>
  <c r="J48" i="2" s="1"/>
  <c r="C19" i="15" s="1"/>
  <c r="D28" i="2"/>
  <c r="F28" i="2" s="1"/>
  <c r="H28" i="2" s="1"/>
  <c r="J28" i="2" s="1"/>
  <c r="D26" i="11"/>
  <c r="F26" i="11" s="1"/>
  <c r="H26" i="11" s="1"/>
  <c r="J26" i="11" s="1"/>
  <c r="D32" i="2"/>
  <c r="F32" i="2" s="1"/>
  <c r="H32" i="2" s="1"/>
  <c r="J32" i="2" s="1"/>
  <c r="C80" i="15" s="1"/>
  <c r="D33" i="2"/>
  <c r="F33" i="2" s="1"/>
  <c r="H33" i="2" s="1"/>
  <c r="J33" i="2" s="1"/>
  <c r="C81" i="15" s="1"/>
  <c r="E36" i="2"/>
  <c r="G36" i="2" s="1"/>
  <c r="I36" i="2" s="1"/>
  <c r="K36" i="2" s="1"/>
  <c r="D84" i="15" s="1"/>
  <c r="E30" i="11"/>
  <c r="D25" i="10"/>
  <c r="F25" i="10" s="1"/>
  <c r="H25" i="10" s="1"/>
  <c r="J25" i="10" s="1"/>
  <c r="D25" i="11"/>
  <c r="D30" i="10"/>
  <c r="F30" i="10" s="1"/>
  <c r="H30" i="10" s="1"/>
  <c r="J30" i="10" s="1"/>
  <c r="K20" i="15" s="1"/>
  <c r="D36" i="2"/>
  <c r="F36" i="2" s="1"/>
  <c r="H36" i="2" s="1"/>
  <c r="J36" i="2" s="1"/>
  <c r="C84" i="15" s="1"/>
  <c r="E36" i="11"/>
  <c r="E36" i="10"/>
  <c r="G36" i="10" s="1"/>
  <c r="I36" i="10" s="1"/>
  <c r="K36" i="10" s="1"/>
  <c r="L26" i="15" s="1"/>
  <c r="F103" i="11"/>
  <c r="H103" i="11" s="1"/>
  <c r="J103" i="11" s="1"/>
  <c r="G25" i="11"/>
  <c r="I25" i="11" s="1"/>
  <c r="K25" i="11" s="1"/>
  <c r="G55" i="2"/>
  <c r="I55" i="2" s="1"/>
  <c r="K55" i="2" s="1"/>
  <c r="D26" i="15" s="1"/>
  <c r="I81" i="11"/>
  <c r="K81" i="11" s="1"/>
  <c r="H58" i="15" s="1"/>
  <c r="I91" i="11"/>
  <c r="K91" i="11" s="1"/>
  <c r="H39" i="10"/>
  <c r="J39" i="10" s="1"/>
  <c r="K29" i="15" s="1"/>
  <c r="I28" i="2"/>
  <c r="K28" i="2" s="1"/>
  <c r="I38" i="10"/>
  <c r="K38" i="10" s="1"/>
  <c r="L28" i="15" s="1"/>
  <c r="H41" i="10"/>
  <c r="J41" i="10" s="1"/>
  <c r="K31" i="15" s="1"/>
  <c r="I24" i="10"/>
  <c r="K24" i="10" s="1"/>
  <c r="G95" i="11" l="1"/>
  <c r="I95" i="11" s="1"/>
  <c r="K95" i="11" s="1"/>
  <c r="F72" i="11"/>
  <c r="H72" i="11" s="1"/>
  <c r="J72" i="11" s="1"/>
  <c r="G49" i="15" s="1"/>
  <c r="G103" i="11"/>
  <c r="I103" i="11" s="1"/>
  <c r="K103" i="11" s="1"/>
  <c r="N23" i="11"/>
  <c r="M70" i="11"/>
  <c r="F104" i="11"/>
  <c r="H104" i="11" s="1"/>
  <c r="J104" i="11" s="1"/>
  <c r="M93" i="11"/>
  <c r="F48" i="11"/>
  <c r="H48" i="11" s="1"/>
  <c r="J48" i="11" s="1"/>
  <c r="G25" i="15" s="1"/>
  <c r="N93" i="11"/>
  <c r="N37" i="11"/>
  <c r="F67" i="11"/>
  <c r="H67" i="11" s="1"/>
  <c r="J67" i="11" s="1"/>
  <c r="G44" i="15" s="1"/>
  <c r="G50" i="11"/>
  <c r="I50" i="11" s="1"/>
  <c r="K50" i="11" s="1"/>
  <c r="H27" i="15" s="1"/>
  <c r="N46" i="11"/>
  <c r="M39" i="11"/>
  <c r="F78" i="11"/>
  <c r="H78" i="11" s="1"/>
  <c r="J78" i="11" s="1"/>
  <c r="G55" i="15" s="1"/>
  <c r="M29" i="11"/>
  <c r="G106" i="11"/>
  <c r="I106" i="11" s="1"/>
  <c r="K106" i="11" s="1"/>
  <c r="M106" i="11"/>
  <c r="M80" i="11"/>
  <c r="H127" i="2"/>
  <c r="J127" i="2" s="1"/>
  <c r="K73" i="16"/>
  <c r="K81" i="16" s="1"/>
  <c r="H30" i="13" s="1"/>
  <c r="I228" i="13" s="1"/>
  <c r="M100" i="11"/>
  <c r="N54" i="11"/>
  <c r="M66" i="11"/>
  <c r="F28" i="11"/>
  <c r="H28" i="11" s="1"/>
  <c r="J28" i="11" s="1"/>
  <c r="G24" i="11"/>
  <c r="I24" i="11" s="1"/>
  <c r="K24" i="11" s="1"/>
  <c r="F33" i="11"/>
  <c r="H33" i="11" s="1"/>
  <c r="J33" i="11" s="1"/>
  <c r="N34" i="11"/>
  <c r="G61" i="11"/>
  <c r="I61" i="11" s="1"/>
  <c r="K61" i="11" s="1"/>
  <c r="H38" i="15" s="1"/>
  <c r="G96" i="11"/>
  <c r="I96" i="11" s="1"/>
  <c r="K96" i="11" s="1"/>
  <c r="M76" i="11"/>
  <c r="N97" i="11"/>
  <c r="M45" i="11"/>
  <c r="F62" i="11"/>
  <c r="H62" i="11" s="1"/>
  <c r="J62" i="11" s="1"/>
  <c r="G39" i="15" s="1"/>
  <c r="G105" i="11"/>
  <c r="I105" i="11" s="1"/>
  <c r="K105" i="11" s="1"/>
  <c r="M57" i="11"/>
  <c r="N87" i="11"/>
  <c r="M38" i="11"/>
  <c r="M81" i="11"/>
  <c r="N41" i="11"/>
  <c r="G41" i="11"/>
  <c r="I41" i="11" s="1"/>
  <c r="K41" i="11" s="1"/>
  <c r="H18" i="15" s="1"/>
  <c r="M105" i="11"/>
  <c r="M37" i="11"/>
  <c r="G99" i="11"/>
  <c r="I99" i="11" s="1"/>
  <c r="K99" i="11" s="1"/>
  <c r="N99" i="11"/>
  <c r="N66" i="11"/>
  <c r="G58" i="11"/>
  <c r="I58" i="11" s="1"/>
  <c r="K58" i="11" s="1"/>
  <c r="H35" i="15" s="1"/>
  <c r="G27" i="11"/>
  <c r="I27" i="11" s="1"/>
  <c r="K27" i="11" s="1"/>
  <c r="G52" i="11"/>
  <c r="I52" i="11" s="1"/>
  <c r="K52" i="11" s="1"/>
  <c r="H29" i="15" s="1"/>
  <c r="M88" i="11"/>
  <c r="G55" i="11"/>
  <c r="I55" i="11" s="1"/>
  <c r="K55" i="11" s="1"/>
  <c r="H32" i="15" s="1"/>
  <c r="M86" i="11"/>
  <c r="N82" i="11"/>
  <c r="N86" i="11"/>
  <c r="N38" i="11"/>
  <c r="G29" i="11"/>
  <c r="I29" i="11" s="1"/>
  <c r="K29" i="11" s="1"/>
  <c r="F44" i="11"/>
  <c r="H44" i="11" s="1"/>
  <c r="J44" i="11" s="1"/>
  <c r="G21" i="15" s="1"/>
  <c r="M34" i="11"/>
  <c r="M99" i="11"/>
  <c r="N89" i="11"/>
  <c r="N59" i="11"/>
  <c r="G59" i="11"/>
  <c r="I59" i="11" s="1"/>
  <c r="K59" i="11" s="1"/>
  <c r="H36" i="15" s="1"/>
  <c r="M82" i="11"/>
  <c r="M79" i="11"/>
  <c r="M23" i="11"/>
  <c r="G80" i="11"/>
  <c r="I80" i="11" s="1"/>
  <c r="K80" i="11" s="1"/>
  <c r="H57" i="15" s="1"/>
  <c r="F43" i="11"/>
  <c r="H43" i="11" s="1"/>
  <c r="J43" i="11" s="1"/>
  <c r="G20" i="15" s="1"/>
  <c r="F95" i="11"/>
  <c r="H95" i="11" s="1"/>
  <c r="J95" i="11" s="1"/>
  <c r="M95" i="11"/>
  <c r="M74" i="11"/>
  <c r="M21" i="11"/>
  <c r="F35" i="11"/>
  <c r="H35" i="11" s="1"/>
  <c r="J35" i="11" s="1"/>
  <c r="M32" i="11"/>
  <c r="F32" i="11"/>
  <c r="H32" i="11" s="1"/>
  <c r="J32" i="11" s="1"/>
  <c r="G71" i="11"/>
  <c r="I71" i="11" s="1"/>
  <c r="K71" i="11" s="1"/>
  <c r="H48" i="15" s="1"/>
  <c r="N71" i="11"/>
  <c r="M36" i="11"/>
  <c r="G65" i="11"/>
  <c r="I65" i="11" s="1"/>
  <c r="K65" i="11" s="1"/>
  <c r="H42" i="15" s="1"/>
  <c r="F41" i="11"/>
  <c r="H41" i="11" s="1"/>
  <c r="J41" i="11" s="1"/>
  <c r="G18" i="15" s="1"/>
  <c r="N45" i="11"/>
  <c r="G45" i="11"/>
  <c r="I45" i="11" s="1"/>
  <c r="K45" i="11" s="1"/>
  <c r="H22" i="15" s="1"/>
  <c r="N72" i="11"/>
  <c r="G72" i="11"/>
  <c r="I72" i="11" s="1"/>
  <c r="K72" i="11" s="1"/>
  <c r="H49" i="15" s="1"/>
  <c r="G53" i="11"/>
  <c r="I53" i="11" s="1"/>
  <c r="K53" i="11" s="1"/>
  <c r="H30" i="15" s="1"/>
  <c r="N53" i="11"/>
  <c r="F101" i="11"/>
  <c r="H101" i="11" s="1"/>
  <c r="J101" i="11" s="1"/>
  <c r="M101" i="11"/>
  <c r="M85" i="11"/>
  <c r="M26" i="11"/>
  <c r="M58" i="11"/>
  <c r="M42" i="11"/>
  <c r="F42" i="11"/>
  <c r="H42" i="11" s="1"/>
  <c r="J42" i="11" s="1"/>
  <c r="G19" i="15" s="1"/>
  <c r="N30" i="11"/>
  <c r="G30" i="11"/>
  <c r="I30" i="11" s="1"/>
  <c r="K30" i="11" s="1"/>
  <c r="N36" i="11"/>
  <c r="G36" i="11"/>
  <c r="I36" i="11" s="1"/>
  <c r="K36" i="11" s="1"/>
  <c r="M25" i="11"/>
  <c r="F25" i="11"/>
  <c r="H25" i="11" s="1"/>
  <c r="J25" i="11" s="1"/>
  <c r="H28" i="13" l="1"/>
  <c r="E91" i="16" s="1"/>
  <c r="K83" i="16"/>
  <c r="K84" i="16" s="1"/>
  <c r="K85" i="16" s="1"/>
  <c r="K86" i="16" s="1"/>
  <c r="H27" i="13" s="1"/>
  <c r="H29" i="13"/>
  <c r="I227" i="13" s="1"/>
  <c r="E90" i="16"/>
  <c r="G90" i="16" s="1"/>
  <c r="E93" i="16"/>
  <c r="I30" i="13"/>
  <c r="J30" i="13" s="1"/>
  <c r="I29" i="13" l="1"/>
  <c r="J29" i="13" s="1"/>
  <c r="I226" i="13"/>
  <c r="I28" i="13"/>
  <c r="J28" i="13" s="1"/>
  <c r="E92" i="16"/>
  <c r="J27" i="13"/>
  <c r="I225" i="13"/>
  <c r="F93" i="16"/>
  <c r="G93" i="16" s="1"/>
  <c r="F92" i="16" l="1"/>
  <c r="G92" i="16" s="1"/>
  <c r="F91" i="16"/>
  <c r="G91" i="16" s="1"/>
</calcChain>
</file>

<file path=xl/sharedStrings.xml><?xml version="1.0" encoding="utf-8"?>
<sst xmlns="http://schemas.openxmlformats.org/spreadsheetml/2006/main" count="749" uniqueCount="360">
  <si>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</si>
  <si>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</si>
  <si>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</si>
  <si>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</si>
  <si>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</si>
  <si>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</si>
  <si>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</si>
  <si>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</si>
  <si>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</si>
  <si>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</si>
  <si>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</si>
  <si>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</si>
  <si>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</si>
  <si>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</si>
  <si>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</si>
  <si>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</si>
  <si>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</si>
  <si>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</si>
  <si>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</si>
  <si>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</si>
  <si>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</si>
  <si>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</si>
  <si>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</si>
  <si>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</si>
  <si>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</si>
  <si>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</si>
  <si>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</si>
  <si>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</si>
  <si>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</si>
  <si>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</si>
  <si>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</si>
  <si>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</si>
  <si>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</si>
  <si>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</si>
  <si>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</si>
  <si>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</si>
  <si>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</si>
  <si>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</si>
  <si>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</si>
  <si>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</si>
  <si>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</si>
  <si>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</si>
  <si>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</si>
  <si>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</si>
  <si>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</si>
  <si>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</si>
  <si>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</si>
  <si>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</si>
  <si>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</si>
  <si>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</si>
  <si>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</si>
  <si>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</si>
  <si>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</si>
  <si>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</si>
  <si>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</si>
  <si>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</si>
  <si>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</si>
  <si>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</si>
  <si>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</si>
  <si>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</si>
  <si>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</si>
  <si>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</si>
  <si>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</si>
  <si>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</si>
  <si>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</si>
  <si>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</si>
  <si>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Incluida</t>
  </si>
  <si>
    <t>Reinstalación automática de suma asegurada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</si>
  <si>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</si>
  <si>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</si>
  <si>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</si>
  <si>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</si>
  <si>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</si>
  <si>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</si>
  <si>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</si>
  <si>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</si>
  <si>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</si>
  <si>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</si>
  <si>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</si>
  <si>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</si>
  <si>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</si>
  <si>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</si>
  <si>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</si>
  <si>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</si>
  <si>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AGENTE</t>
  </si>
  <si>
    <t>SEXO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</si>
  <si>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</si>
  <si>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</si>
  <si>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</si>
  <si>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</si>
  <si>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</si>
  <si>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</si>
  <si>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</si>
  <si>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</si>
  <si>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</si>
  <si>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</si>
  <si>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</si>
  <si>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</si>
  <si>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</si>
  <si>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</si>
  <si>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</si>
  <si>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Reconocimiento de Antigüedad, previa comprobación</t>
  </si>
  <si>
    <t>M</t>
  </si>
  <si>
    <t>TITULAR</t>
  </si>
  <si>
    <t>T</t>
  </si>
  <si>
    <t>FP</t>
  </si>
  <si>
    <t>INDIVIDUAL</t>
  </si>
  <si>
    <t>FAMILIAR</t>
  </si>
  <si>
    <t>Tipo de Hospital</t>
  </si>
  <si>
    <t>Incremento al Catálogo</t>
  </si>
  <si>
    <t>Notas:</t>
  </si>
  <si>
    <t>REGIÓN DE TARIFA: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</si>
  <si>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</si>
  <si>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</si>
  <si>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</si>
  <si>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</si>
  <si>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</si>
  <si>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</si>
  <si>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Titular</t>
  </si>
  <si>
    <t>Base de Honorarios Quirúrgicos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</si>
  <si>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</si>
  <si>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</si>
  <si>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</si>
  <si>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</si>
  <si>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</si>
  <si>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</si>
  <si>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SA PARTO O CESAREA</t>
  </si>
  <si>
    <t>Prematurez siempre que el nacimiento ocurra después de 10 meses de</t>
  </si>
  <si>
    <t>Terapia Psicológica o Psiquiátrica</t>
  </si>
  <si>
    <t>Suma Asegurada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</si>
  <si>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</si>
  <si>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</si>
  <si>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</si>
  <si>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</si>
  <si>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</si>
  <si>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</si>
  <si>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</si>
  <si>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</si>
  <si>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</si>
  <si>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</si>
  <si>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</si>
  <si>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ASEGURADO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</si>
  <si>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</si>
  <si>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</si>
  <si>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</si>
  <si>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</si>
  <si>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</si>
  <si>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</si>
  <si>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</si>
  <si>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</si>
  <si>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</si>
  <si>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</si>
  <si>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</si>
  <si>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</si>
  <si>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</si>
  <si>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</si>
  <si>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</si>
  <si>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</si>
  <si>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</si>
  <si>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</si>
  <si>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</si>
  <si>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</si>
  <si>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</si>
  <si>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</si>
  <si>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Cobertura Sin Límite de Edad (de acuerdo a la cláusula de edad)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</si>
  <si>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</si>
  <si>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</si>
  <si>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</si>
  <si>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</si>
  <si>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</si>
  <si>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</si>
  <si>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Cobertura de Visión</t>
  </si>
  <si>
    <t>VISION</t>
  </si>
  <si>
    <t>Servicios de Asistencia</t>
  </si>
  <si>
    <t>Hospitales del Plan</t>
  </si>
  <si>
    <t>18</t>
  </si>
  <si>
    <t>0 - 5</t>
  </si>
  <si>
    <t>Catálogo del Plan</t>
  </si>
  <si>
    <t xml:space="preserve"> (El cotizador le asignará la Región que le corresponda)</t>
  </si>
  <si>
    <t>Estado</t>
  </si>
  <si>
    <t>AGUASCALIENTES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</si>
  <si>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</si>
  <si>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</si>
  <si>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</si>
  <si>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</si>
  <si>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</si>
  <si>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</si>
  <si>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</si>
  <si>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</si>
  <si>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</si>
  <si>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</si>
  <si>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JALISCO</t>
  </si>
  <si>
    <t>MORELOS</t>
  </si>
  <si>
    <t>NAYARIT</t>
  </si>
  <si>
    <t>OAXACA</t>
  </si>
  <si>
    <t>PUEBLA</t>
  </si>
  <si>
    <t>QUINTANA ROO</t>
  </si>
  <si>
    <t>SINALOA</t>
  </si>
  <si>
    <t>SONORA</t>
  </si>
  <si>
    <t>TABASCO</t>
  </si>
  <si>
    <t>TAMAULIPAS</t>
  </si>
  <si>
    <t>TLAXCALA</t>
  </si>
  <si>
    <t>VERACRUZ</t>
  </si>
  <si>
    <t>ZACATECAS</t>
  </si>
  <si>
    <t>FAVOR de Verificar si estos factores son los vigentes</t>
  </si>
  <si>
    <t xml:space="preserve"> ¡Estamos seguros, te será de gran utilidad!</t>
  </si>
  <si>
    <t>Se cobrara doble deducible y coaseguro de póliza, a los asegurados que se atiendan en Hospiten México S.A de C.V</t>
  </si>
  <si>
    <t>Xifósis, lordósis y escoliosis, con periodo de espera de 2 años,</t>
  </si>
  <si>
    <t>SIDA, siempre que el asegurado se encuentre cubierto en Seguros Banorte al</t>
  </si>
  <si>
    <t>CAMPECHE, CHIAPAS, GUERRERO, OAXACA, PUEBLA, QUINTANA ROO, TABASCO, TLAXCALA, VERACRUZ, YUCATAN</t>
  </si>
  <si>
    <t>HIDALGO, NAYARIT</t>
  </si>
  <si>
    <t>BAJA CALIFORNIA, BAJA CALIFORNIA SUR, MORELOS, QUERETARO, SAN LUIS POTOSI, SINALOA, SONORA</t>
  </si>
  <si>
    <t>Si el asegurado desea tratarse en hospitales o con médicos que no sean de la red del plan, se le aplicará el deducible contratado y un coaseguro</t>
  </si>
  <si>
    <t>PARTO</t>
  </si>
  <si>
    <t>Tabla de Deducible</t>
  </si>
  <si>
    <t>Tabla de Enfermedades Graves</t>
  </si>
  <si>
    <t>Tabla de Tarifas</t>
  </si>
  <si>
    <t>Se elimina la cobertura de Educasystem (maestro a domicilio)</t>
  </si>
  <si>
    <t>Modificación de costo de Derecho de Póliza a 700 pesos</t>
  </si>
  <si>
    <t>HOJA COTIZACION (COTIZADOR)</t>
  </si>
  <si>
    <t>HOJA IMPRESIÓN (formato Cotización y Cuadro de especificaciones)</t>
  </si>
  <si>
    <t>Se elimina de cuadro de coberturas la cobertura de Servicio de Maestro a Domicilio</t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</si>
  <si>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</si>
  <si>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</si>
  <si>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</si>
  <si>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</si>
  <si>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</si>
  <si>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</si>
  <si>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</si>
  <si>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</si>
  <si>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</si>
  <si>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</si>
  <si>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</si>
  <si>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</si>
  <si>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</si>
  <si>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</si>
  <si>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</si>
  <si>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</si>
  <si>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ESENCIAL</t>
  </si>
  <si>
    <t>Se agrega costo por cobertura de parto y cesárea (mujeres edades de 18 a 54 años ya sean titulares, cónyuge o dependientes)</t>
  </si>
  <si>
    <t xml:space="preserve">Suma Asegurada </t>
  </si>
  <si>
    <t>Básica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</si>
  <si>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</si>
  <si>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</si>
  <si>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</si>
  <si>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</si>
  <si>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</si>
  <si>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</si>
  <si>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</si>
  <si>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</si>
  <si>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TITULAR DEL COTIZADOR (CALCULO TARIFA)</t>
  </si>
  <si>
    <t>HOJA FACTORES (TABLAS DE CALCULO)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</si>
  <si>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</si>
  <si>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</si>
  <si>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</si>
  <si>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costos cobertura Adicionales (dental, PAQ_ADIC, ASIST_IKE, Cvisión)</t>
  </si>
  <si>
    <t>se deja deducible mínimo en 6,000</t>
  </si>
  <si>
    <t>Se MODIFICA en el cuadro de coberturas la Cobertura de Dental para agregar Visión</t>
  </si>
  <si>
    <t>Modificación de la leyenda de beneficio por pago directo y una leyenda en NOTAS</t>
  </si>
  <si>
    <t>Si la atención se da con médicos y hospitales de la red del plan, pero en una zona diferente a la de contratación, se aplicará deducible y coaseguro contratado</t>
  </si>
  <si>
    <t>se modifica Querétaro a zona 4</t>
  </si>
  <si>
    <t>MODIFICACION DE FORMATOS, TAMAÑO DE LETRA Y FORMATOS</t>
  </si>
  <si>
    <t>Solicitud</t>
  </si>
  <si>
    <t>carátula</t>
  </si>
  <si>
    <t>cuadro de especificaciones.</t>
  </si>
  <si>
    <t>Se modifica tabla de factores por región a quedar 4</t>
  </si>
  <si>
    <t>se modifican la tabla de estados por zona (sólo hay 4 zonas)</t>
  </si>
  <si>
    <t>*BUSCARV(G16,FACTORES!$F$30:$G$35,2,0)</t>
  </si>
  <si>
    <t>Cobertura de Visión Incremental</t>
  </si>
  <si>
    <t>Tipo de Póliza</t>
  </si>
  <si>
    <t xml:space="preserve">NUEVA </t>
  </si>
  <si>
    <t>RENOVADA</t>
  </si>
  <si>
    <t>zona de tarifa contratada o en una zona menor.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</si>
  <si>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</si>
  <si>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</si>
  <si>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</si>
  <si>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</si>
  <si>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NUEVOS</t>
  </si>
  <si>
    <t>Topes de COASEGURO</t>
  </si>
  <si>
    <t>NA</t>
  </si>
  <si>
    <t>$30,000</t>
  </si>
  <si>
    <t>Anterior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</si>
  <si>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</si>
  <si>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</si>
  <si>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</si>
  <si>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</si>
  <si>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</si>
  <si>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</si>
  <si>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</si>
  <si>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</si>
  <si>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del 20% sin tope de coaseguro, solo aplica pago vía reembolso.</t>
  </si>
  <si>
    <t xml:space="preserve">Si el asegurado se atiende con médico y hospital de red, se descuenta 3,000 de deducible y 5 puntos de coaseguro, siempre que la atención sea dentro de la misma </t>
  </si>
  <si>
    <t>* Esta cotización tiene una validez de 15 días a partir de su fecha de elaboración. La edad limite de aceptación es hasta los 64 años.
* El recargo por pago fraccionado está sujeto a cambio sin previo aviso.</t>
  </si>
  <si>
    <t>Renovada</t>
  </si>
  <si>
    <t>Nueva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</si>
  <si>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</si>
  <si>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Primera vigencia emitida en Seguros Banorte</t>
  </si>
  <si>
    <t>Coberturas Adicionales</t>
  </si>
  <si>
    <t>DATOS DE LA PÓLIZA</t>
  </si>
  <si>
    <t>Forma de Pago</t>
  </si>
  <si>
    <t>Primer Recibo</t>
  </si>
  <si>
    <t>Recibos Subsecuentes</t>
  </si>
  <si>
    <t>Total</t>
  </si>
  <si>
    <t>%</t>
  </si>
  <si>
    <t>Agente</t>
  </si>
  <si>
    <t>AGENTE:</t>
  </si>
  <si>
    <t>Forma de pago</t>
  </si>
  <si>
    <t>Primer recibo</t>
  </si>
  <si>
    <t>Recibos subsecuentes</t>
  </si>
  <si>
    <t>Prima Total Titular</t>
  </si>
  <si>
    <t>Prima Total Cónyuge</t>
  </si>
  <si>
    <t>Prima Total Dependiente</t>
  </si>
  <si>
    <t>Prima Total Titular Menor de Edad</t>
  </si>
  <si>
    <t>Región de tarifa</t>
  </si>
  <si>
    <t>Tipo de póliza</t>
  </si>
  <si>
    <t>ANTES DEL 01/10/2016</t>
  </si>
  <si>
    <t>A PARTIR DEL 01/10/2016</t>
  </si>
  <si>
    <t>Nombre de Zona</t>
  </si>
  <si>
    <t>Zona</t>
  </si>
  <si>
    <t>Auxiliar</t>
  </si>
  <si>
    <t>Zona 1</t>
  </si>
  <si>
    <t>Zona 2</t>
  </si>
  <si>
    <t>Zona 3</t>
  </si>
  <si>
    <t>Zona 4</t>
  </si>
  <si>
    <t>Zona 5</t>
  </si>
  <si>
    <t>Auxiliar por zona</t>
  </si>
  <si>
    <t>Indicador</t>
  </si>
  <si>
    <t>Tarifas de zona 1, 2, 3 y 5</t>
  </si>
  <si>
    <t>Tarifa de zona 4</t>
  </si>
  <si>
    <t>Tarifa 2015-2016</t>
  </si>
  <si>
    <t>Eliminación de deducible por accidente</t>
  </si>
  <si>
    <t>Prima riesgo dental incremental</t>
  </si>
  <si>
    <t>Prima riesgo visión opcional</t>
  </si>
  <si>
    <t>Gastos</t>
  </si>
  <si>
    <t>Asistencias</t>
  </si>
  <si>
    <t>PaQ Adicional</t>
  </si>
  <si>
    <t>Legrado</t>
  </si>
  <si>
    <t>Donacion de organos</t>
  </si>
  <si>
    <t>Renta</t>
  </si>
  <si>
    <t>Enfermedades catastroficas</t>
  </si>
  <si>
    <t>Transtornos</t>
  </si>
  <si>
    <t>Lente intracular</t>
  </si>
  <si>
    <t>terapia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</si>
  <si>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</si>
  <si>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</si>
  <si>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</si>
  <si>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</si>
  <si>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</si>
  <si>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</si>
  <si>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</si>
  <si>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6.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</si>
  <si>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</si>
  <si>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</si>
  <si>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9.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</si>
  <si>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10. Llene el </t>
    </r>
    <r>
      <rPr>
        <b/>
        <sz val="10"/>
        <color rgb="FFFF0000"/>
        <rFont val="Tahoma"/>
        <family val="2"/>
      </rPr>
      <t>NOMBRE, SEXO</t>
    </r>
    <r>
      <rPr>
        <sz val="10"/>
        <rFont val="Tahoma"/>
        <family val="2"/>
      </rPr>
      <t xml:space="preserve"> y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 (si fuera el caso)</t>
    </r>
  </si>
  <si>
    <t>11. Vaya al FORMATO DE IMPRESIÓN para obtener la COTIZACIÓN</t>
  </si>
  <si>
    <t>12. Si desea obtener las Tarifas por Edad, después de haber efectuado una COTIZACIÓN podrá consultarlas en TARIFARIO</t>
  </si>
  <si>
    <t>Enero 2021 - Febrero 2021</t>
  </si>
  <si>
    <t>Prima Neta Total Anual</t>
  </si>
  <si>
    <t>Tarifa Esencial Vig: Marzo 01,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</si>
</sst>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&quot;$&quot;\ #,##0.0000_);[Red]\(&quot;$&quot;\ #,##0.0000\)"/>
    <numFmt numFmtId="179" formatCode="_-&quot;$&quot;* #,##0_-;\-&quot;$&quot;* #,##0_-;_-&quot;$&quot;* &quot;-&quot;??_-;_-@_-"/>
    <numFmt numFmtId="180" formatCode="_-[$$-80A]* #,##0_-;\-[$$-80A]* #,##0_-;_-[$$-80A]* &quot;-&quot;??_-;_-@_-"/>
    <numFmt numFmtId="181" formatCode="#,##0.00_ ;\-#,##0.00\ "/>
    <numFmt numFmtId="182" formatCode="#,##0.0000000000_ ;\-#,##0.0000000000\ "/>
    <numFmt numFmtId="183" formatCode="0.000%"/>
    <numFmt numFmtId="184" formatCode="0.000"/>
  </numFmts>
  <fonts count="77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b/>
      <sz val="8"/>
      <color indexed="9"/>
      <name val="Tahoma"/>
      <family val="2"/>
    </font>
    <font>
      <b/>
      <sz val="7"/>
      <color indexed="10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5"/>
      <color indexed="60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8"/>
      <color indexed="10"/>
      <name val="Tahoma"/>
      <family val="2"/>
    </font>
    <font>
      <b/>
      <sz val="10"/>
      <color indexed="12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1"/>
      <color indexed="60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1"/>
      <name val="Tahoma"/>
      <family val="2"/>
    </font>
    <font>
      <b/>
      <sz val="10"/>
      <color rgb="FFC00000"/>
      <name val="Tahoma"/>
      <family val="2"/>
    </font>
    <font>
      <b/>
      <sz val="10"/>
      <color indexed="60"/>
      <name val="Tahoma"/>
      <family val="2"/>
    </font>
    <font>
      <i/>
      <sz val="10"/>
      <name val="Tahoma"/>
      <family val="2"/>
    </font>
    <font>
      <b/>
      <sz val="8"/>
      <color theme="1"/>
      <name val="Tahoma"/>
      <family val="2"/>
    </font>
    <font>
      <b/>
      <sz val="7"/>
      <color theme="0"/>
      <name val="Tahoma"/>
      <family val="2"/>
    </font>
    <font>
      <sz val="7"/>
      <color theme="0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b/>
      <sz val="10"/>
      <color theme="1"/>
      <name val="Tahoma"/>
      <family val="2"/>
    </font>
    <font>
      <sz val="10"/>
      <name val="ArialMT"/>
    </font>
    <font>
      <b/>
      <sz val="11"/>
      <color theme="0"/>
      <name val="Calibri"/>
      <family val="2"/>
      <scheme val="minor"/>
    </font>
    <font>
      <b/>
      <sz val="8"/>
      <color rgb="FFFF0000"/>
      <name val="Narkisim"/>
      <family val="2"/>
      <charset val="177"/>
    </font>
    <font>
      <b/>
      <sz val="11"/>
      <color rgb="FFFF0000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b/>
      <i/>
      <u/>
      <sz val="20"/>
      <color rgb="FFFF0000"/>
      <name val="Tahoma"/>
      <family val="2"/>
    </font>
    <font>
      <b/>
      <i/>
      <u/>
      <sz val="16"/>
      <color rgb="FFFF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rgb="FFFF0000"/>
      </right>
      <top/>
      <bottom/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0"/>
    <xf numFmtId="9" fontId="1" fillId="0" borderId="0" applyFont="0" applyFill="0" applyBorder="0" applyAlignment="0" applyProtection="0"/>
    <xf numFmtId="0" fontId="1" fillId="0" borderId="0" applyBorder="0"/>
    <xf numFmtId="43" fontId="1" fillId="0" borderId="0" applyFont="0" applyFill="0" applyBorder="0" applyAlignment="0" applyProtection="0"/>
  </cellStyleXfs>
  <cellXfs count="809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/>
    </xf>
    <xf numFmtId="3" fontId="2" fillId="0" borderId="0" xfId="0" applyNumberFormat="1" applyFont="1" applyFill="1" applyAlignment="1">
      <alignment horizontal="right" vertical="center"/>
    </xf>
    <xf numFmtId="9" fontId="2" fillId="0" borderId="0" xfId="0" applyNumberFormat="1" applyFont="1" applyFill="1" applyAlignment="1">
      <alignment horizontal="right"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 applyProtection="1">
      <alignment horizontal="centerContinuous" vertical="center"/>
    </xf>
    <xf numFmtId="0" fontId="3" fillId="0" borderId="11" xfId="0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Continuous" vertical="center"/>
    </xf>
    <xf numFmtId="0" fontId="3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3" fillId="2" borderId="19" xfId="0" applyFon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Continuous" vertical="center"/>
    </xf>
    <xf numFmtId="39" fontId="2" fillId="0" borderId="0" xfId="0" applyNumberFormat="1" applyFont="1" applyFill="1" applyBorder="1" applyAlignment="1" applyProtection="1">
      <alignment vertical="center"/>
    </xf>
    <xf numFmtId="0" fontId="4" fillId="0" borderId="25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Continuous" vertical="center"/>
    </xf>
    <xf numFmtId="4" fontId="3" fillId="0" borderId="0" xfId="0" applyNumberFormat="1" applyFont="1" applyFill="1" applyBorder="1" applyAlignment="1">
      <alignment horizontal="centerContinuous" vertical="center"/>
    </xf>
    <xf numFmtId="0" fontId="5" fillId="0" borderId="28" xfId="0" applyFont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 vertical="center"/>
    </xf>
    <xf numFmtId="9" fontId="7" fillId="0" borderId="29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3" fontId="3" fillId="0" borderId="34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9" fontId="2" fillId="2" borderId="7" xfId="0" applyNumberFormat="1" applyFont="1" applyFill="1" applyBorder="1" applyAlignment="1" applyProtection="1">
      <alignment vertical="center"/>
    </xf>
    <xf numFmtId="39" fontId="2" fillId="2" borderId="8" xfId="0" applyNumberFormat="1" applyFont="1" applyFill="1" applyBorder="1" applyAlignment="1" applyProtection="1">
      <alignment vertical="center"/>
    </xf>
    <xf numFmtId="39" fontId="2" fillId="2" borderId="36" xfId="0" applyNumberFormat="1" applyFont="1" applyFill="1" applyBorder="1" applyAlignment="1" applyProtection="1">
      <alignment vertical="center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left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40" xfId="0" applyFont="1" applyFill="1" applyBorder="1" applyAlignment="1">
      <alignment horizontal="centerContinuous" vertical="center"/>
    </xf>
    <xf numFmtId="0" fontId="3" fillId="0" borderId="41" xfId="0" applyFont="1" applyFill="1" applyBorder="1" applyAlignment="1" applyProtection="1">
      <alignment horizontal="centerContinuous" vertical="center"/>
    </xf>
    <xf numFmtId="0" fontId="3" fillId="0" borderId="42" xfId="0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4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21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7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3" xfId="0" applyFont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31" xfId="1" applyNumberFormat="1" applyFont="1" applyBorder="1" applyAlignment="1">
      <alignment horizontal="center" vertical="center"/>
    </xf>
    <xf numFmtId="3" fontId="5" fillId="0" borderId="22" xfId="0" applyNumberFormat="1" applyFont="1" applyBorder="1" applyAlignment="1">
      <alignment horizontal="center" vertical="center"/>
    </xf>
    <xf numFmtId="3" fontId="5" fillId="0" borderId="23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7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9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5" fillId="0" borderId="20" xfId="0" applyNumberFormat="1" applyFont="1" applyBorder="1" applyAlignment="1">
      <alignment horizontal="center" vertical="center"/>
    </xf>
    <xf numFmtId="4" fontId="5" fillId="0" borderId="47" xfId="0" applyNumberFormat="1" applyFont="1" applyBorder="1" applyAlignment="1" applyProtection="1">
      <alignment horizontal="center" vertical="center"/>
      <protection hidden="1"/>
    </xf>
    <xf numFmtId="168" fontId="5" fillId="0" borderId="27" xfId="0" applyNumberFormat="1" applyFont="1" applyBorder="1" applyAlignment="1" applyProtection="1">
      <alignment horizontal="center" vertical="center"/>
      <protection hidden="1"/>
    </xf>
    <xf numFmtId="0" fontId="11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39" fontId="2" fillId="0" borderId="0" xfId="0" applyNumberFormat="1" applyFont="1" applyAlignment="1">
      <alignment vertical="center"/>
    </xf>
    <xf numFmtId="168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50" xfId="0" applyNumberFormat="1" applyFont="1" applyBorder="1" applyAlignment="1" applyProtection="1">
      <alignment horizontal="center" vertical="center"/>
      <protection hidden="1"/>
    </xf>
    <xf numFmtId="0" fontId="16" fillId="0" borderId="51" xfId="0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4" fontId="16" fillId="0" borderId="51" xfId="0" applyNumberFormat="1" applyFont="1" applyBorder="1" applyAlignment="1">
      <alignment horizontal="center" vertical="center"/>
    </xf>
    <xf numFmtId="168" fontId="16" fillId="0" borderId="27" xfId="0" applyNumberFormat="1" applyFont="1" applyBorder="1" applyAlignment="1">
      <alignment horizontal="center" vertical="center"/>
    </xf>
    <xf numFmtId="4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27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8" fontId="16" fillId="0" borderId="27" xfId="0" applyNumberFormat="1" applyFont="1" applyBorder="1" applyAlignment="1" applyProtection="1">
      <alignment horizontal="center" vertical="center"/>
      <protection hidden="1"/>
    </xf>
    <xf numFmtId="168" fontId="16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3" fontId="11" fillId="4" borderId="0" xfId="1" applyFont="1" applyFill="1" applyProtection="1">
      <protection locked="0"/>
    </xf>
    <xf numFmtId="43" fontId="11" fillId="4" borderId="0" xfId="0" applyNumberFormat="1" applyFont="1" applyFill="1" applyProtection="1">
      <protection locked="0"/>
    </xf>
    <xf numFmtId="172" fontId="11" fillId="4" borderId="0" xfId="0" applyNumberFormat="1" applyFont="1" applyFill="1" applyProtection="1">
      <protection locked="0"/>
    </xf>
    <xf numFmtId="171" fontId="11" fillId="4" borderId="0" xfId="4" applyNumberFormat="1" applyFont="1" applyFill="1" applyAlignment="1" applyProtection="1">
      <alignment vertical="center"/>
      <protection locked="0"/>
    </xf>
    <xf numFmtId="4" fontId="11" fillId="4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4" fillId="0" borderId="27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4" fontId="18" fillId="5" borderId="4" xfId="0" applyNumberFormat="1" applyFont="1" applyFill="1" applyBorder="1" applyAlignment="1">
      <alignment horizontal="center" vertical="center"/>
    </xf>
    <xf numFmtId="4" fontId="18" fillId="5" borderId="6" xfId="0" applyNumberFormat="1" applyFont="1" applyFill="1" applyBorder="1" applyAlignment="1">
      <alignment horizontal="center" vertical="center"/>
    </xf>
    <xf numFmtId="4" fontId="18" fillId="5" borderId="3" xfId="0" applyNumberFormat="1" applyFont="1" applyFill="1" applyBorder="1" applyAlignment="1">
      <alignment horizontal="center" vertical="center"/>
    </xf>
    <xf numFmtId="4" fontId="18" fillId="5" borderId="5" xfId="0" applyNumberFormat="1" applyFont="1" applyFill="1" applyBorder="1" applyAlignment="1">
      <alignment horizontal="center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4" fontId="22" fillId="0" borderId="2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9" fontId="23" fillId="0" borderId="21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9" fontId="5" fillId="0" borderId="34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2" fillId="0" borderId="22" xfId="0" applyFont="1" applyBorder="1" applyAlignment="1">
      <alignment vertical="center"/>
    </xf>
    <xf numFmtId="9" fontId="22" fillId="0" borderId="22" xfId="0" applyNumberFormat="1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9" fontId="22" fillId="0" borderId="34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2" fillId="0" borderId="52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43" fontId="0" fillId="0" borderId="0" xfId="1" applyFont="1"/>
    <xf numFmtId="43" fontId="0" fillId="0" borderId="0" xfId="0" applyNumberFormat="1"/>
    <xf numFmtId="4" fontId="25" fillId="0" borderId="4" xfId="0" applyNumberFormat="1" applyFont="1" applyBorder="1" applyAlignment="1">
      <alignment horizontal="center" vertical="center"/>
    </xf>
    <xf numFmtId="4" fontId="25" fillId="0" borderId="6" xfId="0" applyNumberFormat="1" applyFont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4" fillId="0" borderId="27" xfId="1" applyFont="1" applyFill="1" applyBorder="1" applyAlignment="1">
      <alignment vertical="center"/>
    </xf>
    <xf numFmtId="3" fontId="3" fillId="0" borderId="53" xfId="0" applyNumberFormat="1" applyFont="1" applyFill="1" applyBorder="1" applyAlignment="1">
      <alignment horizontal="left" vertical="center"/>
    </xf>
    <xf numFmtId="43" fontId="3" fillId="0" borderId="37" xfId="0" applyNumberFormat="1" applyFont="1" applyFill="1" applyBorder="1" applyAlignment="1" applyProtection="1">
      <alignment horizontal="center" vertical="center"/>
    </xf>
    <xf numFmtId="3" fontId="3" fillId="0" borderId="53" xfId="0" applyNumberFormat="1" applyFont="1" applyFill="1" applyBorder="1" applyAlignment="1">
      <alignment horizontal="center" vertical="center"/>
    </xf>
    <xf numFmtId="43" fontId="2" fillId="0" borderId="0" xfId="1" applyFont="1" applyAlignment="1">
      <alignment vertical="center"/>
    </xf>
    <xf numFmtId="39" fontId="2" fillId="6" borderId="7" xfId="0" applyNumberFormat="1" applyFont="1" applyFill="1" applyBorder="1" applyAlignment="1" applyProtection="1">
      <alignment vertical="center"/>
    </xf>
    <xf numFmtId="39" fontId="2" fillId="6" borderId="8" xfId="0" applyNumberFormat="1" applyFont="1" applyFill="1" applyBorder="1" applyAlignment="1" applyProtection="1">
      <alignment vertical="center"/>
    </xf>
    <xf numFmtId="39" fontId="2" fillId="6" borderId="36" xfId="0" applyNumberFormat="1" applyFont="1" applyFill="1" applyBorder="1" applyAlignment="1" applyProtection="1">
      <alignment vertical="center"/>
    </xf>
    <xf numFmtId="9" fontId="0" fillId="0" borderId="3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17" fillId="4" borderId="0" xfId="0" applyFont="1" applyFill="1" applyBorder="1" applyAlignment="1" applyProtection="1">
      <alignment horizontal="center" vertical="justify"/>
    </xf>
    <xf numFmtId="0" fontId="11" fillId="4" borderId="0" xfId="0" applyFont="1" applyFill="1" applyBorder="1" applyProtection="1">
      <protection locked="0"/>
    </xf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170" fontId="0" fillId="0" borderId="3" xfId="1" applyNumberFormat="1" applyFont="1" applyBorder="1" applyAlignment="1">
      <alignment vertical="center"/>
    </xf>
    <xf numFmtId="3" fontId="18" fillId="5" borderId="3" xfId="0" applyNumberFormat="1" applyFont="1" applyFill="1" applyBorder="1" applyAlignment="1">
      <alignment horizontal="center" vertical="center"/>
    </xf>
    <xf numFmtId="170" fontId="0" fillId="0" borderId="3" xfId="1" applyNumberFormat="1" applyFont="1" applyBorder="1"/>
    <xf numFmtId="170" fontId="0" fillId="0" borderId="5" xfId="1" applyNumberFormat="1" applyFont="1" applyBorder="1"/>
    <xf numFmtId="0" fontId="32" fillId="7" borderId="19" xfId="3" applyFont="1" applyFill="1" applyBorder="1" applyAlignment="1">
      <alignment horizontal="center"/>
    </xf>
    <xf numFmtId="3" fontId="16" fillId="0" borderId="50" xfId="0" applyNumberFormat="1" applyFont="1" applyBorder="1" applyAlignment="1" applyProtection="1">
      <alignment horizontal="center" vertical="center"/>
      <protection hidden="1"/>
    </xf>
    <xf numFmtId="0" fontId="35" fillId="0" borderId="29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43" fontId="0" fillId="0" borderId="0" xfId="1" applyFont="1" applyAlignment="1">
      <alignment vertical="center"/>
    </xf>
    <xf numFmtId="0" fontId="4" fillId="4" borderId="0" xfId="0" applyFont="1" applyFill="1" applyProtection="1"/>
    <xf numFmtId="43" fontId="34" fillId="8" borderId="48" xfId="1" applyFont="1" applyFill="1" applyBorder="1"/>
    <xf numFmtId="43" fontId="34" fillId="8" borderId="55" xfId="1" applyFont="1" applyFill="1" applyBorder="1"/>
    <xf numFmtId="4" fontId="24" fillId="8" borderId="56" xfId="0" applyNumberFormat="1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43" fontId="4" fillId="0" borderId="27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7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170" fontId="2" fillId="0" borderId="3" xfId="1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0" fontId="2" fillId="0" borderId="50" xfId="4" applyNumberFormat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0" fontId="2" fillId="0" borderId="58" xfId="4" applyNumberFormat="1" applyFont="1" applyBorder="1" applyAlignment="1">
      <alignment vertical="center"/>
    </xf>
    <xf numFmtId="0" fontId="24" fillId="8" borderId="33" xfId="0" applyFont="1" applyFill="1" applyBorder="1" applyAlignment="1">
      <alignment horizontal="center" vertical="center"/>
    </xf>
    <xf numFmtId="0" fontId="24" fillId="8" borderId="59" xfId="0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center" vertical="center"/>
    </xf>
    <xf numFmtId="43" fontId="2" fillId="6" borderId="4" xfId="1" applyFont="1" applyFill="1" applyBorder="1" applyAlignment="1">
      <alignment vertical="center"/>
    </xf>
    <xf numFmtId="43" fontId="2" fillId="6" borderId="6" xfId="1" applyFont="1" applyFill="1" applyBorder="1" applyAlignment="1">
      <alignment vertical="center"/>
    </xf>
    <xf numFmtId="43" fontId="5" fillId="4" borderId="0" xfId="0" applyNumberFormat="1" applyFont="1" applyFill="1" applyProtection="1"/>
    <xf numFmtId="0" fontId="36" fillId="4" borderId="0" xfId="0" applyFont="1" applyFill="1" applyBorder="1" applyProtection="1"/>
    <xf numFmtId="0" fontId="36" fillId="4" borderId="0" xfId="0" applyFont="1" applyFill="1" applyAlignment="1" applyProtection="1">
      <alignment horizontal="left"/>
    </xf>
    <xf numFmtId="0" fontId="36" fillId="4" borderId="0" xfId="0" applyFont="1" applyFill="1" applyProtection="1"/>
    <xf numFmtId="44" fontId="36" fillId="4" borderId="0" xfId="2" applyFont="1" applyFill="1" applyProtection="1"/>
    <xf numFmtId="0" fontId="36" fillId="4" borderId="0" xfId="0" applyFont="1" applyFill="1" applyAlignment="1" applyProtection="1">
      <alignment vertical="center"/>
    </xf>
    <xf numFmtId="44" fontId="36" fillId="4" borderId="0" xfId="2" applyFont="1" applyFill="1" applyAlignment="1" applyProtection="1">
      <alignment vertical="center"/>
    </xf>
    <xf numFmtId="0" fontId="37" fillId="9" borderId="0" xfId="0" applyFont="1" applyFill="1" applyBorder="1" applyAlignment="1" applyProtection="1">
      <alignment vertical="center"/>
    </xf>
    <xf numFmtId="44" fontId="37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39" fontId="2" fillId="10" borderId="7" xfId="0" applyNumberFormat="1" applyFont="1" applyFill="1" applyBorder="1" applyAlignment="1" applyProtection="1">
      <alignment vertical="center"/>
    </xf>
    <xf numFmtId="39" fontId="2" fillId="10" borderId="8" xfId="0" applyNumberFormat="1" applyFont="1" applyFill="1" applyBorder="1" applyAlignment="1" applyProtection="1">
      <alignment vertical="center"/>
    </xf>
    <xf numFmtId="39" fontId="2" fillId="10" borderId="36" xfId="0" applyNumberFormat="1" applyFont="1" applyFill="1" applyBorder="1" applyAlignment="1" applyProtection="1">
      <alignment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170" fontId="34" fillId="8" borderId="48" xfId="1" applyNumberFormat="1" applyFont="1" applyFill="1" applyBorder="1"/>
    <xf numFmtId="170" fontId="34" fillId="8" borderId="55" xfId="1" applyNumberFormat="1" applyFont="1" applyFill="1" applyBorder="1"/>
    <xf numFmtId="170" fontId="0" fillId="0" borderId="0" xfId="1" applyNumberFormat="1" applyFont="1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center" vertical="center" wrapText="1"/>
    </xf>
    <xf numFmtId="0" fontId="14" fillId="4" borderId="0" xfId="0" applyFont="1" applyFill="1" applyBorder="1" applyAlignment="1" applyProtection="1">
      <alignment horizontal="left" vertical="center" wrapText="1"/>
    </xf>
    <xf numFmtId="43" fontId="4" fillId="11" borderId="27" xfId="1" applyFont="1" applyFill="1" applyBorder="1" applyAlignment="1">
      <alignment horizontal="right" vertical="center"/>
    </xf>
    <xf numFmtId="0" fontId="4" fillId="0" borderId="6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4" xfId="1" applyFont="1" applyFill="1" applyBorder="1" applyAlignment="1">
      <alignment vertical="center"/>
    </xf>
    <xf numFmtId="43" fontId="5" fillId="0" borderId="54" xfId="1" applyFont="1" applyBorder="1" applyAlignment="1">
      <alignment vertical="center"/>
    </xf>
    <xf numFmtId="43" fontId="5" fillId="0" borderId="20" xfId="1" applyFont="1" applyBorder="1" applyAlignment="1">
      <alignment vertical="center"/>
    </xf>
    <xf numFmtId="43" fontId="5" fillId="0" borderId="21" xfId="1" applyFont="1" applyBorder="1" applyAlignment="1">
      <alignment vertical="center"/>
    </xf>
    <xf numFmtId="4" fontId="16" fillId="0" borderId="50" xfId="0" applyNumberFormat="1" applyFont="1" applyBorder="1" applyAlignment="1">
      <alignment horizontal="center" vertical="center"/>
    </xf>
    <xf numFmtId="0" fontId="5" fillId="0" borderId="26" xfId="0" applyFont="1" applyFill="1" applyBorder="1" applyAlignment="1">
      <alignment vertical="center"/>
    </xf>
    <xf numFmtId="0" fontId="5" fillId="0" borderId="25" xfId="0" applyFont="1" applyFill="1" applyBorder="1" applyAlignment="1">
      <alignment vertical="center"/>
    </xf>
    <xf numFmtId="168" fontId="16" fillId="12" borderId="49" xfId="0" applyNumberFormat="1" applyFont="1" applyFill="1" applyBorder="1" applyAlignment="1" applyProtection="1">
      <alignment horizontal="center" vertical="center"/>
      <protection hidden="1"/>
    </xf>
    <xf numFmtId="4" fontId="16" fillId="12" borderId="50" xfId="0" applyNumberFormat="1" applyFont="1" applyFill="1" applyBorder="1" applyAlignment="1" applyProtection="1">
      <alignment horizontal="center" vertical="center"/>
      <protection hidden="1"/>
    </xf>
    <xf numFmtId="3" fontId="16" fillId="12" borderId="50" xfId="0" applyNumberFormat="1" applyFont="1" applyFill="1" applyBorder="1" applyAlignment="1" applyProtection="1">
      <alignment horizontal="center" vertical="center"/>
      <protection hidden="1"/>
    </xf>
    <xf numFmtId="4" fontId="16" fillId="12" borderId="49" xfId="0" applyNumberFormat="1" applyFont="1" applyFill="1" applyBorder="1" applyAlignment="1">
      <alignment horizontal="center" vertical="center"/>
    </xf>
    <xf numFmtId="4" fontId="16" fillId="12" borderId="5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3" fontId="16" fillId="0" borderId="50" xfId="0" applyNumberFormat="1" applyFont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6" fillId="0" borderId="0" xfId="0" applyFont="1" applyAlignment="1">
      <alignment vertical="center"/>
    </xf>
    <xf numFmtId="179" fontId="36" fillId="0" borderId="0" xfId="2" applyNumberFormat="1" applyFont="1" applyAlignment="1" applyProtection="1">
      <alignment vertical="center"/>
    </xf>
    <xf numFmtId="10" fontId="36" fillId="0" borderId="0" xfId="4" applyNumberFormat="1" applyFont="1" applyAlignment="1" applyProtection="1">
      <alignment vertical="center"/>
    </xf>
    <xf numFmtId="49" fontId="5" fillId="0" borderId="0" xfId="0" applyNumberFormat="1" applyFont="1" applyBorder="1" applyAlignment="1">
      <alignment horizontal="center" vertical="center"/>
    </xf>
    <xf numFmtId="170" fontId="5" fillId="0" borderId="0" xfId="1" applyNumberFormat="1" applyFont="1" applyBorder="1" applyAlignment="1" applyProtection="1">
      <alignment vertical="center"/>
    </xf>
    <xf numFmtId="0" fontId="9" fillId="4" borderId="0" xfId="0" applyFont="1" applyFill="1" applyBorder="1" applyAlignment="1" applyProtection="1">
      <alignment vertical="center"/>
    </xf>
    <xf numFmtId="0" fontId="36" fillId="4" borderId="0" xfId="0" applyFont="1" applyFill="1" applyBorder="1" applyAlignment="1" applyProtection="1">
      <alignment horizontal="center"/>
    </xf>
    <xf numFmtId="0" fontId="40" fillId="4" borderId="0" xfId="0" applyFont="1" applyFill="1" applyBorder="1" applyProtection="1"/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left" wrapText="1"/>
    </xf>
    <xf numFmtId="0" fontId="14" fillId="4" borderId="0" xfId="0" applyFont="1" applyFill="1" applyBorder="1" applyAlignment="1" applyProtection="1">
      <alignment vertical="center" wrapText="1"/>
    </xf>
    <xf numFmtId="0" fontId="31" fillId="0" borderId="0" xfId="0" applyFont="1" applyFill="1" applyBorder="1" applyAlignment="1" applyProtection="1"/>
    <xf numFmtId="0" fontId="31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/>
    </xf>
    <xf numFmtId="0" fontId="31" fillId="13" borderId="0" xfId="0" applyFont="1" applyFill="1" applyBorder="1" applyAlignment="1" applyProtection="1">
      <alignment horizontal="center"/>
    </xf>
    <xf numFmtId="0" fontId="45" fillId="0" borderId="0" xfId="0" applyFont="1" applyFill="1" applyBorder="1" applyAlignment="1" applyProtection="1">
      <alignment horizontal="left" vertical="center"/>
    </xf>
    <xf numFmtId="0" fontId="46" fillId="13" borderId="0" xfId="0" applyFont="1" applyFill="1" applyBorder="1" applyAlignment="1" applyProtection="1">
      <alignment horizontal="left" vertical="center" wrapText="1"/>
    </xf>
    <xf numFmtId="0" fontId="39" fillId="13" borderId="0" xfId="0" applyFont="1" applyFill="1" applyAlignment="1" applyProtection="1">
      <alignment horizontal="center"/>
    </xf>
    <xf numFmtId="0" fontId="7" fillId="2" borderId="19" xfId="0" applyFont="1" applyFill="1" applyBorder="1" applyAlignment="1" applyProtection="1">
      <alignment horizontal="center" vertical="center"/>
    </xf>
    <xf numFmtId="0" fontId="7" fillId="2" borderId="13" xfId="0" applyFont="1" applyFill="1" applyBorder="1" applyAlignment="1" applyProtection="1">
      <alignment horizontal="center" vertical="center"/>
    </xf>
    <xf numFmtId="3" fontId="4" fillId="0" borderId="20" xfId="0" applyNumberFormat="1" applyFont="1" applyBorder="1" applyAlignment="1" applyProtection="1">
      <alignment horizontal="center" vertical="center"/>
    </xf>
    <xf numFmtId="3" fontId="5" fillId="0" borderId="20" xfId="0" applyNumberFormat="1" applyFont="1" applyBorder="1" applyAlignment="1" applyProtection="1">
      <alignment horizontal="center" vertical="center"/>
    </xf>
    <xf numFmtId="0" fontId="47" fillId="4" borderId="0" xfId="0" applyFont="1" applyFill="1" applyProtection="1"/>
    <xf numFmtId="0" fontId="48" fillId="4" borderId="0" xfId="0" applyFont="1" applyFill="1" applyAlignment="1" applyProtection="1"/>
    <xf numFmtId="0" fontId="0" fillId="13" borderId="0" xfId="0" applyFill="1"/>
    <xf numFmtId="0" fontId="4" fillId="4" borderId="0" xfId="0" applyFont="1" applyFill="1" applyBorder="1" applyAlignment="1" applyProtection="1">
      <alignment horizontal="left" vertical="center"/>
    </xf>
    <xf numFmtId="0" fontId="14" fillId="4" borderId="0" xfId="0" applyFont="1" applyFill="1" applyBorder="1" applyAlignment="1" applyProtection="1">
      <alignment vertical="center"/>
    </xf>
    <xf numFmtId="9" fontId="1" fillId="4" borderId="0" xfId="4" applyFont="1" applyFill="1" applyBorder="1" applyAlignment="1" applyProtection="1">
      <alignment horizontal="left" vertical="center"/>
    </xf>
    <xf numFmtId="0" fontId="1" fillId="4" borderId="0" xfId="0" quotePrefix="1" applyFont="1" applyFill="1" applyAlignment="1" applyProtection="1">
      <alignment horizontal="left" vertical="center"/>
    </xf>
    <xf numFmtId="169" fontId="36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10" fillId="4" borderId="0" xfId="0" applyFont="1" applyFill="1" applyAlignment="1" applyProtection="1">
      <alignment horizontal="center" vertical="center" wrapText="1"/>
    </xf>
    <xf numFmtId="0" fontId="29" fillId="4" borderId="0" xfId="0" applyFont="1" applyFill="1" applyBorder="1" applyAlignment="1" applyProtection="1">
      <alignment horizontal="center" vertical="center" wrapText="1"/>
    </xf>
    <xf numFmtId="43" fontId="37" fillId="4" borderId="0" xfId="0" applyNumberFormat="1" applyFont="1" applyFill="1" applyAlignment="1" applyProtection="1">
      <alignment horizontal="center" vertical="center" wrapText="1"/>
    </xf>
    <xf numFmtId="0" fontId="11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47" fillId="13" borderId="0" xfId="0" applyFont="1" applyFill="1" applyProtection="1"/>
    <xf numFmtId="9" fontId="38" fillId="13" borderId="0" xfId="0" applyNumberFormat="1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1" fillId="0" borderId="0" xfId="0" applyFont="1" applyFill="1" applyProtection="1"/>
    <xf numFmtId="0" fontId="10" fillId="4" borderId="0" xfId="0" applyFont="1" applyFill="1" applyBorder="1" applyAlignment="1" applyProtection="1">
      <alignment vertical="center"/>
    </xf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0" fontId="10" fillId="4" borderId="0" xfId="0" applyFont="1" applyFill="1" applyAlignment="1" applyProtection="1">
      <alignment horizontal="right"/>
    </xf>
    <xf numFmtId="0" fontId="10" fillId="4" borderId="0" xfId="0" applyFont="1" applyFill="1" applyProtection="1"/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0" fontId="30" fillId="0" borderId="0" xfId="0" applyFont="1" applyFill="1" applyBorder="1" applyAlignment="1" applyProtection="1">
      <alignment horizontal="center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5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0" fontId="11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170" fontId="2" fillId="4" borderId="0" xfId="1" applyNumberFormat="1" applyFont="1" applyFill="1" applyProtection="1"/>
    <xf numFmtId="178" fontId="10" fillId="4" borderId="0" xfId="1" applyNumberFormat="1" applyFont="1" applyFill="1" applyProtection="1"/>
    <xf numFmtId="43" fontId="11" fillId="4" borderId="0" xfId="1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6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vertical="center"/>
    </xf>
    <xf numFmtId="0" fontId="0" fillId="0" borderId="0" xfId="0" applyBorder="1" applyAlignment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166" fontId="5" fillId="4" borderId="0" xfId="0" applyNumberFormat="1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9" fillId="4" borderId="0" xfId="0" applyFont="1" applyFill="1" applyBorder="1" applyAlignment="1" applyProtection="1">
      <alignment horizontal="center"/>
    </xf>
    <xf numFmtId="0" fontId="20" fillId="4" borderId="0" xfId="0" applyFont="1" applyFill="1" applyBorder="1" applyAlignment="1" applyProtection="1">
      <alignment horizontal="center" vertical="center"/>
    </xf>
    <xf numFmtId="0" fontId="21" fillId="4" borderId="0" xfId="0" applyFont="1" applyFill="1" applyBorder="1" applyProtection="1"/>
    <xf numFmtId="0" fontId="4" fillId="4" borderId="0" xfId="0" applyFont="1" applyFill="1" applyBorder="1" applyAlignment="1" applyProtection="1">
      <alignment wrapText="1"/>
    </xf>
    <xf numFmtId="0" fontId="5" fillId="2" borderId="14" xfId="0" applyFont="1" applyFill="1" applyBorder="1" applyAlignment="1" applyProtection="1">
      <alignment vertical="center"/>
    </xf>
    <xf numFmtId="0" fontId="5" fillId="2" borderId="15" xfId="0" applyFont="1" applyFill="1" applyBorder="1" applyAlignment="1" applyProtection="1">
      <alignment vertical="center"/>
    </xf>
    <xf numFmtId="3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9" fontId="5" fillId="0" borderId="22" xfId="0" applyNumberFormat="1" applyFont="1" applyBorder="1" applyAlignment="1" applyProtection="1">
      <alignment vertical="center"/>
    </xf>
    <xf numFmtId="3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vertical="center"/>
    </xf>
    <xf numFmtId="0" fontId="5" fillId="0" borderId="17" xfId="0" applyFont="1" applyBorder="1" applyAlignment="1" applyProtection="1">
      <alignment vertical="center"/>
    </xf>
    <xf numFmtId="0" fontId="5" fillId="0" borderId="18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4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19" xfId="0" applyFont="1" applyFill="1" applyBorder="1" applyAlignment="1" applyProtection="1">
      <alignment horizontal="left" vertical="center"/>
    </xf>
    <xf numFmtId="0" fontId="4" fillId="2" borderId="19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4" xfId="1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left" vertical="center"/>
    </xf>
    <xf numFmtId="0" fontId="4" fillId="2" borderId="20" xfId="0" applyFont="1" applyFill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horizontal="center" vertical="center"/>
    </xf>
    <xf numFmtId="9" fontId="5" fillId="0" borderId="0" xfId="0" applyNumberFormat="1" applyFont="1" applyBorder="1" applyAlignment="1" applyProtection="1">
      <alignment horizontal="center" vertical="center"/>
    </xf>
    <xf numFmtId="0" fontId="5" fillId="0" borderId="34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21" xfId="0" applyNumberFormat="1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3" fontId="5" fillId="0" borderId="21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7" fillId="2" borderId="19" xfId="0" applyFont="1" applyFill="1" applyBorder="1" applyAlignment="1" applyProtection="1">
      <alignment horizontal="center" vertical="center"/>
    </xf>
    <xf numFmtId="0" fontId="25" fillId="8" borderId="0" xfId="0" applyFont="1" applyFill="1" applyProtection="1"/>
    <xf numFmtId="4" fontId="5" fillId="0" borderId="34" xfId="0" applyNumberFormat="1" applyFont="1" applyBorder="1" applyAlignment="1" applyProtection="1">
      <alignment horizontal="center" vertical="center"/>
    </xf>
    <xf numFmtId="4" fontId="5" fillId="0" borderId="20" xfId="0" applyNumberFormat="1" applyFont="1" applyBorder="1" applyAlignment="1" applyProtection="1">
      <alignment horizontal="center" vertical="center"/>
    </xf>
    <xf numFmtId="4" fontId="5" fillId="0" borderId="21" xfId="0" applyNumberFormat="1" applyFont="1" applyBorder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left" vertical="center"/>
    </xf>
    <xf numFmtId="9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left" vertical="center"/>
    </xf>
    <xf numFmtId="9" fontId="4" fillId="0" borderId="20" xfId="0" applyNumberFormat="1" applyFont="1" applyBorder="1" applyAlignment="1" applyProtection="1">
      <alignment horizontal="center" vertical="center"/>
    </xf>
    <xf numFmtId="9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horizontal="left" vertical="center"/>
    </xf>
    <xf numFmtId="0" fontId="0" fillId="0" borderId="0" xfId="0" applyBorder="1" applyProtection="1"/>
    <xf numFmtId="3" fontId="18" fillId="5" borderId="3" xfId="0" applyNumberFormat="1" applyFont="1" applyFill="1" applyBorder="1" applyAlignment="1" applyProtection="1">
      <alignment horizontal="center" vertical="center"/>
    </xf>
    <xf numFmtId="3" fontId="18" fillId="5" borderId="5" xfId="0" applyNumberFormat="1" applyFont="1" applyFill="1" applyBorder="1" applyAlignment="1" applyProtection="1">
      <alignment horizontal="center" vertical="center"/>
    </xf>
    <xf numFmtId="0" fontId="52" fillId="4" borderId="0" xfId="0" applyFont="1" applyFill="1" applyProtection="1"/>
    <xf numFmtId="9" fontId="2" fillId="0" borderId="0" xfId="0" applyNumberFormat="1" applyFont="1" applyAlignment="1">
      <alignment vertical="center"/>
    </xf>
    <xf numFmtId="43" fontId="5" fillId="14" borderId="20" xfId="1" applyFont="1" applyFill="1" applyBorder="1" applyAlignment="1">
      <alignment vertical="center"/>
    </xf>
    <xf numFmtId="4" fontId="22" fillId="10" borderId="52" xfId="0" applyNumberFormat="1" applyFont="1" applyFill="1" applyBorder="1" applyAlignment="1">
      <alignment horizontal="center" vertical="center"/>
    </xf>
    <xf numFmtId="0" fontId="3" fillId="0" borderId="0" xfId="0" applyFont="1"/>
    <xf numFmtId="0" fontId="1" fillId="0" borderId="0" xfId="0" applyFont="1"/>
    <xf numFmtId="43" fontId="4" fillId="14" borderId="0" xfId="1" applyFont="1" applyFill="1" applyBorder="1" applyAlignment="1" applyProtection="1">
      <alignment horizontal="center" vertical="center"/>
      <protection locked="0"/>
    </xf>
    <xf numFmtId="43" fontId="5" fillId="14" borderId="21" xfId="1" applyFont="1" applyFill="1" applyBorder="1" applyAlignment="1">
      <alignment vertical="center"/>
    </xf>
    <xf numFmtId="0" fontId="1" fillId="4" borderId="0" xfId="0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vertical="center"/>
    </xf>
    <xf numFmtId="164" fontId="1" fillId="4" borderId="0" xfId="0" applyNumberFormat="1" applyFont="1" applyFill="1" applyBorder="1" applyAlignment="1" applyProtection="1">
      <alignment horizontal="left" vertical="center"/>
    </xf>
    <xf numFmtId="4" fontId="18" fillId="14" borderId="4" xfId="0" applyNumberFormat="1" applyFont="1" applyFill="1" applyBorder="1" applyAlignment="1">
      <alignment horizontal="center" vertical="center"/>
    </xf>
    <xf numFmtId="0" fontId="55" fillId="0" borderId="0" xfId="0" applyFont="1"/>
    <xf numFmtId="0" fontId="53" fillId="0" borderId="0" xfId="0" applyFont="1" applyAlignment="1">
      <alignment horizontal="left" vertical="center"/>
    </xf>
    <xf numFmtId="3" fontId="4" fillId="15" borderId="20" xfId="0" applyNumberFormat="1" applyFont="1" applyFill="1" applyBorder="1" applyAlignment="1" applyProtection="1">
      <alignment horizontal="center" vertical="center"/>
    </xf>
    <xf numFmtId="3" fontId="5" fillId="15" borderId="20" xfId="0" applyNumberFormat="1" applyFont="1" applyFill="1" applyBorder="1" applyAlignment="1" applyProtection="1">
      <alignment horizontal="center" vertical="center"/>
    </xf>
    <xf numFmtId="0" fontId="57" fillId="0" borderId="0" xfId="0" applyFont="1" applyFill="1" applyBorder="1" applyAlignment="1" applyProtection="1">
      <alignment horizontal="left"/>
    </xf>
    <xf numFmtId="0" fontId="3" fillId="0" borderId="8" xfId="0" applyNumberFormat="1" applyFont="1" applyFill="1" applyBorder="1" applyAlignment="1">
      <alignment vertical="center"/>
    </xf>
    <xf numFmtId="0" fontId="1" fillId="0" borderId="0" xfId="1" applyNumberFormat="1" applyFont="1" applyAlignment="1">
      <alignment vertical="center"/>
    </xf>
    <xf numFmtId="0" fontId="40" fillId="0" borderId="0" xfId="0" applyFont="1" applyFill="1" applyBorder="1" applyAlignment="1" applyProtection="1">
      <alignment horizontal="center" vertical="center"/>
    </xf>
    <xf numFmtId="0" fontId="4" fillId="4" borderId="67" xfId="0" quotePrefix="1" applyFont="1" applyFill="1" applyBorder="1" applyAlignment="1" applyProtection="1">
      <alignment horizontal="center" vertical="center"/>
    </xf>
    <xf numFmtId="0" fontId="2" fillId="4" borderId="67" xfId="0" quotePrefix="1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vertical="center"/>
    </xf>
    <xf numFmtId="0" fontId="1" fillId="14" borderId="67" xfId="0" applyFont="1" applyFill="1" applyBorder="1" applyAlignment="1" applyProtection="1">
      <alignment horizontal="left" vertical="center"/>
    </xf>
    <xf numFmtId="0" fontId="2" fillId="14" borderId="67" xfId="0" quotePrefix="1" applyFont="1" applyFill="1" applyBorder="1" applyAlignment="1" applyProtection="1">
      <alignment horizontal="left" vertical="center"/>
    </xf>
    <xf numFmtId="0" fontId="2" fillId="14" borderId="67" xfId="0" applyFont="1" applyFill="1" applyBorder="1" applyAlignment="1" applyProtection="1">
      <alignment vertical="center"/>
    </xf>
    <xf numFmtId="0" fontId="1" fillId="0" borderId="67" xfId="0" applyFont="1" applyFill="1" applyBorder="1" applyAlignment="1" applyProtection="1">
      <alignment horizontal="left" vertical="center"/>
    </xf>
    <xf numFmtId="0" fontId="2" fillId="0" borderId="67" xfId="0" quotePrefix="1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vertical="center"/>
    </xf>
    <xf numFmtId="0" fontId="4" fillId="4" borderId="67" xfId="0" applyFont="1" applyFill="1" applyBorder="1" applyAlignment="1" applyProtection="1">
      <alignment horizontal="center" vertical="center"/>
    </xf>
    <xf numFmtId="164" fontId="2" fillId="0" borderId="67" xfId="0" applyNumberFormat="1" applyFont="1" applyFill="1" applyBorder="1" applyAlignment="1" applyProtection="1">
      <alignment horizontal="left" vertical="center"/>
    </xf>
    <xf numFmtId="0" fontId="3" fillId="4" borderId="67" xfId="0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Protection="1"/>
    <xf numFmtId="0" fontId="37" fillId="0" borderId="67" xfId="0" applyFont="1" applyFill="1" applyBorder="1" applyAlignment="1" applyProtection="1"/>
    <xf numFmtId="0" fontId="4" fillId="0" borderId="67" xfId="0" applyFont="1" applyFill="1" applyBorder="1" applyAlignment="1" applyProtection="1">
      <alignment horizontal="left" wrapText="1"/>
    </xf>
    <xf numFmtId="44" fontId="36" fillId="4" borderId="0" xfId="2" applyFont="1" applyFill="1" applyBorder="1" applyAlignment="1" applyProtection="1">
      <alignment horizontal="center"/>
    </xf>
    <xf numFmtId="44" fontId="36" fillId="4" borderId="0" xfId="0" applyNumberFormat="1" applyFont="1" applyFill="1" applyBorder="1" applyAlignment="1" applyProtection="1">
      <alignment horizontal="center"/>
    </xf>
    <xf numFmtId="0" fontId="2" fillId="4" borderId="69" xfId="0" quotePrefix="1" applyFont="1" applyFill="1" applyBorder="1" applyAlignment="1" applyProtection="1">
      <alignment horizontal="left" vertical="center"/>
    </xf>
    <xf numFmtId="0" fontId="2" fillId="4" borderId="70" xfId="0" applyFont="1" applyFill="1" applyBorder="1" applyAlignment="1" applyProtection="1">
      <alignment vertical="center"/>
    </xf>
    <xf numFmtId="0" fontId="2" fillId="4" borderId="72" xfId="0" applyFont="1" applyFill="1" applyBorder="1" applyAlignment="1" applyProtection="1">
      <alignment vertical="center"/>
    </xf>
    <xf numFmtId="0" fontId="2" fillId="4" borderId="74" xfId="0" quotePrefix="1" applyFont="1" applyFill="1" applyBorder="1" applyAlignment="1" applyProtection="1">
      <alignment horizontal="left" vertical="center"/>
    </xf>
    <xf numFmtId="0" fontId="2" fillId="4" borderId="75" xfId="0" applyFont="1" applyFill="1" applyBorder="1" applyAlignment="1" applyProtection="1">
      <alignment vertical="center"/>
    </xf>
    <xf numFmtId="170" fontId="1" fillId="0" borderId="3" xfId="1" applyNumberFormat="1" applyFont="1" applyBorder="1" applyAlignment="1">
      <alignment vertical="center"/>
    </xf>
    <xf numFmtId="170" fontId="1" fillId="0" borderId="35" xfId="1" applyNumberFormat="1" applyFont="1" applyBorder="1" applyAlignment="1">
      <alignment vertical="center"/>
    </xf>
    <xf numFmtId="43" fontId="1" fillId="0" borderId="49" xfId="1" applyFont="1" applyBorder="1"/>
    <xf numFmtId="43" fontId="1" fillId="0" borderId="50" xfId="1" applyFont="1" applyBorder="1"/>
    <xf numFmtId="43" fontId="1" fillId="0" borderId="51" xfId="1" applyFont="1" applyBorder="1"/>
    <xf numFmtId="6" fontId="1" fillId="0" borderId="50" xfId="1" quotePrefix="1" applyNumberFormat="1" applyFont="1" applyBorder="1"/>
    <xf numFmtId="0" fontId="1" fillId="0" borderId="0" xfId="0" applyFont="1" applyAlignment="1">
      <alignment vertical="center"/>
    </xf>
    <xf numFmtId="168" fontId="22" fillId="10" borderId="4" xfId="0" applyNumberFormat="1" applyFont="1" applyFill="1" applyBorder="1" applyAlignment="1">
      <alignment horizontal="center" vertical="center"/>
    </xf>
    <xf numFmtId="168" fontId="2" fillId="0" borderId="0" xfId="0" applyNumberFormat="1" applyFont="1" applyAlignment="1">
      <alignment vertical="center"/>
    </xf>
    <xf numFmtId="39" fontId="1" fillId="0" borderId="0" xfId="0" applyNumberFormat="1" applyFont="1" applyAlignment="1">
      <alignment vertical="center"/>
    </xf>
    <xf numFmtId="0" fontId="40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Border="1" applyAlignment="1" applyProtection="1">
      <alignment vertical="center" wrapText="1"/>
    </xf>
    <xf numFmtId="0" fontId="40" fillId="4" borderId="0" xfId="0" applyFont="1" applyFill="1" applyProtection="1"/>
    <xf numFmtId="43" fontId="38" fillId="16" borderId="0" xfId="1" applyFont="1" applyFill="1" applyBorder="1" applyAlignment="1" applyProtection="1">
      <alignment horizontal="center" vertical="center"/>
      <protection locked="0"/>
    </xf>
    <xf numFmtId="43" fontId="4" fillId="19" borderId="0" xfId="1" applyFont="1" applyFill="1" applyBorder="1" applyAlignment="1" applyProtection="1">
      <alignment horizontal="center" vertical="center"/>
      <protection locked="0"/>
    </xf>
    <xf numFmtId="43" fontId="4" fillId="4" borderId="76" xfId="0" applyNumberFormat="1" applyFont="1" applyFill="1" applyBorder="1" applyAlignment="1" applyProtection="1">
      <alignment horizontal="center" vertical="center"/>
    </xf>
    <xf numFmtId="0" fontId="4" fillId="0" borderId="76" xfId="0" applyFont="1" applyFill="1" applyBorder="1" applyAlignment="1" applyProtection="1">
      <alignment vertical="center"/>
    </xf>
    <xf numFmtId="0" fontId="4" fillId="0" borderId="76" xfId="0" applyFont="1" applyFill="1" applyBorder="1" applyAlignment="1" applyProtection="1">
      <alignment vertical="center"/>
      <protection locked="0"/>
    </xf>
    <xf numFmtId="0" fontId="5" fillId="0" borderId="76" xfId="0" applyFont="1" applyFill="1" applyBorder="1" applyAlignment="1" applyProtection="1">
      <alignment horizontal="center" vertical="center"/>
      <protection locked="0"/>
    </xf>
    <xf numFmtId="0" fontId="4" fillId="4" borderId="76" xfId="0" applyFont="1" applyFill="1" applyBorder="1" applyAlignment="1" applyProtection="1">
      <alignment horizontal="left"/>
    </xf>
    <xf numFmtId="165" fontId="5" fillId="4" borderId="76" xfId="2" applyNumberFormat="1" applyFont="1" applyFill="1" applyBorder="1" applyAlignment="1" applyProtection="1">
      <alignment vertical="center"/>
    </xf>
    <xf numFmtId="0" fontId="49" fillId="4" borderId="76" xfId="0" applyFont="1" applyFill="1" applyBorder="1" applyAlignment="1" applyProtection="1">
      <alignment horizontal="left"/>
    </xf>
    <xf numFmtId="0" fontId="39" fillId="16" borderId="0" xfId="0" applyFont="1" applyFill="1" applyBorder="1" applyAlignment="1" applyProtection="1">
      <alignment horizontal="center" vertical="center"/>
    </xf>
    <xf numFmtId="4" fontId="5" fillId="4" borderId="76" xfId="0" applyNumberFormat="1" applyFont="1" applyFill="1" applyBorder="1" applyAlignment="1" applyProtection="1">
      <alignment horizontal="right" vertical="center"/>
    </xf>
    <xf numFmtId="0" fontId="4" fillId="4" borderId="76" xfId="0" applyFont="1" applyFill="1" applyBorder="1" applyAlignment="1" applyProtection="1">
      <alignment horizontal="left" vertical="center"/>
    </xf>
    <xf numFmtId="0" fontId="20" fillId="4" borderId="76" xfId="0" applyFont="1" applyFill="1" applyBorder="1" applyAlignment="1" applyProtection="1">
      <alignment horizontal="left" vertical="center"/>
    </xf>
    <xf numFmtId="0" fontId="36" fillId="18" borderId="0" xfId="0" applyFont="1" applyFill="1" applyBorder="1" applyProtection="1"/>
    <xf numFmtId="0" fontId="36" fillId="18" borderId="0" xfId="0" applyFont="1" applyFill="1" applyBorder="1" applyAlignment="1" applyProtection="1">
      <alignment horizontal="center"/>
    </xf>
    <xf numFmtId="44" fontId="36" fillId="18" borderId="0" xfId="2" applyFont="1" applyFill="1" applyBorder="1" applyAlignment="1" applyProtection="1">
      <alignment horizontal="center"/>
    </xf>
    <xf numFmtId="44" fontId="36" fillId="18" borderId="0" xfId="0" applyNumberFormat="1" applyFont="1" applyFill="1" applyBorder="1" applyAlignment="1" applyProtection="1">
      <alignment horizontal="center"/>
    </xf>
    <xf numFmtId="0" fontId="36" fillId="18" borderId="77" xfId="0" applyFont="1" applyFill="1" applyBorder="1" applyProtection="1"/>
    <xf numFmtId="0" fontId="36" fillId="18" borderId="77" xfId="0" applyFont="1" applyFill="1" applyBorder="1" applyAlignment="1" applyProtection="1">
      <alignment horizontal="center"/>
    </xf>
    <xf numFmtId="44" fontId="36" fillId="18" borderId="77" xfId="0" applyNumberFormat="1" applyFont="1" applyFill="1" applyBorder="1" applyAlignment="1" applyProtection="1">
      <alignment horizontal="center"/>
    </xf>
    <xf numFmtId="165" fontId="4" fillId="18" borderId="76" xfId="2" applyNumberFormat="1" applyFont="1" applyFill="1" applyBorder="1" applyAlignment="1" applyProtection="1">
      <alignment vertical="center"/>
    </xf>
    <xf numFmtId="180" fontId="4" fillId="17" borderId="0" xfId="1" applyNumberFormat="1" applyFont="1" applyFill="1" applyBorder="1" applyAlignment="1" applyProtection="1">
      <alignment horizontal="center" vertical="center"/>
      <protection locked="0"/>
    </xf>
    <xf numFmtId="180" fontId="4" fillId="19" borderId="0" xfId="1" applyNumberFormat="1" applyFont="1" applyFill="1" applyBorder="1" applyAlignment="1" applyProtection="1">
      <alignment horizontal="center" vertical="center"/>
      <protection locked="0"/>
    </xf>
    <xf numFmtId="9" fontId="4" fillId="13" borderId="0" xfId="4" applyFont="1" applyFill="1" applyBorder="1" applyAlignment="1" applyProtection="1">
      <alignment horizontal="center" vertical="center" wrapText="1"/>
    </xf>
    <xf numFmtId="179" fontId="4" fillId="19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/>
      <protection locked="0"/>
    </xf>
    <xf numFmtId="49" fontId="5" fillId="19" borderId="0" xfId="0" applyNumberFormat="1" applyFont="1" applyFill="1" applyBorder="1" applyAlignment="1">
      <alignment horizontal="center" vertical="center"/>
    </xf>
    <xf numFmtId="170" fontId="5" fillId="19" borderId="0" xfId="1" applyNumberFormat="1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  <protection locked="0"/>
    </xf>
    <xf numFmtId="0" fontId="5" fillId="0" borderId="79" xfId="0" applyFont="1" applyFill="1" applyBorder="1" applyAlignment="1" applyProtection="1">
      <alignment horizontal="center" vertical="center"/>
      <protection locked="0"/>
    </xf>
    <xf numFmtId="0" fontId="4" fillId="4" borderId="79" xfId="0" applyFont="1" applyFill="1" applyBorder="1" applyAlignment="1" applyProtection="1">
      <alignment horizontal="left"/>
    </xf>
    <xf numFmtId="165" fontId="5" fillId="4" borderId="79" xfId="2" applyNumberFormat="1" applyFont="1" applyFill="1" applyBorder="1" applyAlignment="1" applyProtection="1">
      <alignment vertical="center"/>
    </xf>
    <xf numFmtId="165" fontId="4" fillId="18" borderId="79" xfId="2" applyNumberFormat="1" applyFont="1" applyFill="1" applyBorder="1" applyAlignment="1" applyProtection="1">
      <alignment vertical="center"/>
    </xf>
    <xf numFmtId="0" fontId="63" fillId="16" borderId="78" xfId="0" applyFont="1" applyFill="1" applyBorder="1" applyAlignment="1" applyProtection="1">
      <alignment horizontal="center" vertical="center"/>
    </xf>
    <xf numFmtId="0" fontId="49" fillId="4" borderId="79" xfId="0" applyFont="1" applyFill="1" applyBorder="1" applyAlignment="1" applyProtection="1">
      <alignment horizontal="left"/>
    </xf>
    <xf numFmtId="0" fontId="62" fillId="16" borderId="78" xfId="0" applyFont="1" applyFill="1" applyBorder="1" applyAlignment="1" applyProtection="1">
      <alignment horizontal="center" vertical="center"/>
    </xf>
    <xf numFmtId="171" fontId="49" fillId="18" borderId="79" xfId="4" applyNumberFormat="1" applyFont="1" applyFill="1" applyBorder="1" applyProtection="1">
      <protection locked="0"/>
    </xf>
    <xf numFmtId="171" fontId="49" fillId="18" borderId="76" xfId="4" applyNumberFormat="1" applyFont="1" applyFill="1" applyBorder="1" applyProtection="1">
      <protection locked="0"/>
    </xf>
    <xf numFmtId="0" fontId="67" fillId="16" borderId="0" xfId="0" applyFont="1" applyFill="1" applyAlignment="1" applyProtection="1">
      <alignment horizontal="center"/>
    </xf>
    <xf numFmtId="0" fontId="68" fillId="16" borderId="78" xfId="0" applyFont="1" applyFill="1" applyBorder="1" applyAlignment="1" applyProtection="1">
      <alignment horizontal="center" vertical="center"/>
    </xf>
    <xf numFmtId="0" fontId="68" fillId="16" borderId="82" xfId="0" applyFont="1" applyFill="1" applyBorder="1" applyAlignment="1" applyProtection="1">
      <alignment horizontal="center" vertical="center"/>
    </xf>
    <xf numFmtId="4" fontId="5" fillId="4" borderId="79" xfId="0" applyNumberFormat="1" applyFont="1" applyFill="1" applyBorder="1" applyAlignment="1" applyProtection="1">
      <alignment horizontal="right" vertical="center"/>
    </xf>
    <xf numFmtId="0" fontId="69" fillId="16" borderId="78" xfId="0" applyFont="1" applyFill="1" applyBorder="1" applyAlignment="1" applyProtection="1">
      <alignment horizontal="center" vertical="center"/>
    </xf>
    <xf numFmtId="0" fontId="38" fillId="16" borderId="78" xfId="0" applyFont="1" applyFill="1" applyBorder="1" applyAlignment="1">
      <alignment horizontal="center" vertical="center"/>
    </xf>
    <xf numFmtId="0" fontId="4" fillId="4" borderId="92" xfId="0" applyFont="1" applyFill="1" applyBorder="1" applyAlignment="1" applyProtection="1">
      <alignment horizontal="center" vertical="center"/>
    </xf>
    <xf numFmtId="181" fontId="2" fillId="0" borderId="0" xfId="0" applyNumberFormat="1" applyFont="1" applyAlignment="1">
      <alignment vertical="center"/>
    </xf>
    <xf numFmtId="182" fontId="2" fillId="0" borderId="0" xfId="0" applyNumberFormat="1" applyFont="1" applyAlignment="1">
      <alignment vertical="center"/>
    </xf>
    <xf numFmtId="0" fontId="70" fillId="16" borderId="25" xfId="0" applyFont="1" applyFill="1" applyBorder="1" applyAlignment="1">
      <alignment horizontal="left" vertical="center"/>
    </xf>
    <xf numFmtId="0" fontId="70" fillId="16" borderId="26" xfId="0" applyFont="1" applyFill="1" applyBorder="1" applyAlignment="1">
      <alignment horizontal="center" vertical="center"/>
    </xf>
    <xf numFmtId="0" fontId="70" fillId="16" borderId="24" xfId="0" applyFont="1" applyFill="1" applyBorder="1" applyAlignment="1">
      <alignment horizontal="center" vertical="center"/>
    </xf>
    <xf numFmtId="0" fontId="71" fillId="0" borderId="93" xfId="0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60" xfId="0" applyFont="1" applyBorder="1" applyAlignment="1">
      <alignment horizontal="center" vertical="center"/>
    </xf>
    <xf numFmtId="0" fontId="71" fillId="0" borderId="94" xfId="0" applyFont="1" applyBorder="1" applyAlignment="1">
      <alignment horizontal="center" vertical="center"/>
    </xf>
    <xf numFmtId="0" fontId="71" fillId="0" borderId="47" xfId="0" applyFont="1" applyBorder="1" applyAlignment="1">
      <alignment horizontal="center" vertical="center"/>
    </xf>
    <xf numFmtId="0" fontId="71" fillId="0" borderId="95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96" xfId="0" applyFont="1" applyBorder="1" applyAlignment="1">
      <alignment horizontal="center" vertical="center"/>
    </xf>
    <xf numFmtId="0" fontId="71" fillId="0" borderId="46" xfId="0" applyFont="1" applyBorder="1" applyAlignment="1">
      <alignment horizontal="center" vertical="center"/>
    </xf>
    <xf numFmtId="0" fontId="71" fillId="0" borderId="97" xfId="0" applyFont="1" applyBorder="1" applyAlignment="1">
      <alignment horizontal="center" vertical="center"/>
    </xf>
    <xf numFmtId="0" fontId="71" fillId="0" borderId="27" xfId="0" applyFont="1" applyBorder="1" applyAlignment="1">
      <alignment horizontal="center" vertical="center"/>
    </xf>
    <xf numFmtId="43" fontId="71" fillId="20" borderId="94" xfId="6" applyFont="1" applyFill="1" applyBorder="1" applyAlignment="1">
      <alignment horizontal="center" vertical="center"/>
    </xf>
    <xf numFmtId="43" fontId="71" fillId="20" borderId="47" xfId="6" applyFont="1" applyFill="1" applyBorder="1" applyAlignment="1">
      <alignment horizontal="center" vertical="center"/>
    </xf>
    <xf numFmtId="0" fontId="71" fillId="20" borderId="47" xfId="6" applyNumberFormat="1" applyFont="1" applyFill="1" applyBorder="1" applyAlignment="1">
      <alignment horizontal="center" vertical="center"/>
    </xf>
    <xf numFmtId="0" fontId="71" fillId="20" borderId="95" xfId="6" applyNumberFormat="1" applyFont="1" applyFill="1" applyBorder="1" applyAlignment="1">
      <alignment horizontal="center" vertical="center"/>
    </xf>
    <xf numFmtId="0" fontId="72" fillId="0" borderId="27" xfId="5" applyFont="1" applyFill="1" applyBorder="1" applyAlignment="1">
      <alignment horizontal="center" vertical="center"/>
    </xf>
    <xf numFmtId="0" fontId="72" fillId="20" borderId="40" xfId="5" applyFont="1" applyFill="1" applyBorder="1" applyAlignment="1" applyProtection="1">
      <alignment horizontal="center" vertical="center"/>
    </xf>
    <xf numFmtId="0" fontId="72" fillId="20" borderId="98" xfId="5" applyFont="1" applyFill="1" applyBorder="1" applyAlignment="1" applyProtection="1">
      <alignment horizontal="center" vertical="center"/>
    </xf>
    <xf numFmtId="0" fontId="72" fillId="20" borderId="39" xfId="5" applyFont="1" applyFill="1" applyBorder="1" applyAlignment="1" applyProtection="1">
      <alignment horizontal="center" vertical="center"/>
    </xf>
    <xf numFmtId="0" fontId="71" fillId="0" borderId="50" xfId="5" applyFont="1" applyFill="1" applyBorder="1" applyAlignment="1" applyProtection="1">
      <alignment horizontal="center" vertical="center"/>
    </xf>
    <xf numFmtId="4" fontId="71" fillId="0" borderId="93" xfId="5" applyNumberFormat="1" applyFont="1" applyFill="1" applyBorder="1" applyAlignment="1" applyProtection="1">
      <alignment horizontal="center" vertical="center"/>
    </xf>
    <xf numFmtId="4" fontId="71" fillId="0" borderId="0" xfId="5" applyNumberFormat="1" applyFont="1" applyFill="1" applyBorder="1" applyAlignment="1" applyProtection="1">
      <alignment horizontal="center" vertical="center"/>
    </xf>
    <xf numFmtId="4" fontId="71" fillId="0" borderId="60" xfId="5" applyNumberFormat="1" applyFont="1" applyFill="1" applyBorder="1" applyAlignment="1" applyProtection="1">
      <alignment horizontal="center" vertical="center"/>
    </xf>
    <xf numFmtId="4" fontId="71" fillId="21" borderId="93" xfId="5" applyNumberFormat="1" applyFont="1" applyFill="1" applyBorder="1" applyAlignment="1" applyProtection="1">
      <alignment horizontal="center" vertical="center"/>
    </xf>
    <xf numFmtId="4" fontId="71" fillId="21" borderId="0" xfId="5" applyNumberFormat="1" applyFont="1" applyFill="1" applyBorder="1" applyAlignment="1" applyProtection="1">
      <alignment horizontal="center" vertical="center"/>
    </xf>
    <xf numFmtId="4" fontId="71" fillId="21" borderId="60" xfId="5" applyNumberFormat="1" applyFont="1" applyFill="1" applyBorder="1" applyAlignment="1" applyProtection="1">
      <alignment horizontal="center" vertical="center"/>
    </xf>
    <xf numFmtId="0" fontId="71" fillId="0" borderId="51" xfId="5" applyFont="1" applyFill="1" applyBorder="1" applyAlignment="1" applyProtection="1">
      <alignment horizontal="center" vertical="center"/>
    </xf>
    <xf numFmtId="4" fontId="71" fillId="21" borderId="94" xfId="5" applyNumberFormat="1" applyFont="1" applyFill="1" applyBorder="1" applyAlignment="1" applyProtection="1">
      <alignment horizontal="center" vertical="center"/>
    </xf>
    <xf numFmtId="4" fontId="71" fillId="21" borderId="47" xfId="5" applyNumberFormat="1" applyFont="1" applyFill="1" applyBorder="1" applyAlignment="1" applyProtection="1">
      <alignment horizontal="center" vertical="center"/>
    </xf>
    <xf numFmtId="4" fontId="71" fillId="21" borderId="95" xfId="5" applyNumberFormat="1" applyFont="1" applyFill="1" applyBorder="1" applyAlignment="1" applyProtection="1">
      <alignment horizontal="center" vertical="center"/>
    </xf>
    <xf numFmtId="43" fontId="71" fillId="20" borderId="93" xfId="6" applyFont="1" applyFill="1" applyBorder="1" applyAlignment="1">
      <alignment horizontal="center" vertical="center"/>
    </xf>
    <xf numFmtId="43" fontId="71" fillId="20" borderId="0" xfId="6" applyFont="1" applyFill="1" applyBorder="1" applyAlignment="1">
      <alignment horizontal="center" vertical="center"/>
    </xf>
    <xf numFmtId="0" fontId="71" fillId="20" borderId="0" xfId="6" applyNumberFormat="1" applyFont="1" applyFill="1" applyBorder="1" applyAlignment="1">
      <alignment horizontal="center" vertical="center"/>
    </xf>
    <xf numFmtId="0" fontId="71" fillId="20" borderId="60" xfId="6" applyNumberFormat="1" applyFont="1" applyFill="1" applyBorder="1" applyAlignment="1">
      <alignment horizontal="center" vertical="center"/>
    </xf>
    <xf numFmtId="0" fontId="71" fillId="0" borderId="50" xfId="0" applyFont="1" applyBorder="1" applyAlignment="1">
      <alignment horizontal="center" vertical="center"/>
    </xf>
    <xf numFmtId="4" fontId="71" fillId="22" borderId="93" xfId="5" applyNumberFormat="1" applyFont="1" applyFill="1" applyBorder="1" applyAlignment="1" applyProtection="1">
      <alignment horizontal="center" vertical="center"/>
    </xf>
    <xf numFmtId="4" fontId="71" fillId="22" borderId="0" xfId="5" applyNumberFormat="1" applyFont="1" applyFill="1" applyBorder="1" applyAlignment="1" applyProtection="1">
      <alignment horizontal="center" vertical="center"/>
    </xf>
    <xf numFmtId="4" fontId="71" fillId="22" borderId="60" xfId="5" applyNumberFormat="1" applyFont="1" applyFill="1" applyBorder="1" applyAlignment="1" applyProtection="1">
      <alignment horizontal="center" vertical="center"/>
    </xf>
    <xf numFmtId="39" fontId="71" fillId="2" borderId="0" xfId="0" applyNumberFormat="1" applyFont="1" applyFill="1" applyBorder="1" applyAlignment="1" applyProtection="1">
      <alignment horizontal="center" vertical="center"/>
    </xf>
    <xf numFmtId="39" fontId="71" fillId="10" borderId="0" xfId="0" applyNumberFormat="1" applyFont="1" applyFill="1" applyBorder="1" applyAlignment="1" applyProtection="1">
      <alignment horizontal="center" vertical="center"/>
    </xf>
    <xf numFmtId="0" fontId="71" fillId="0" borderId="93" xfId="0" applyFont="1" applyFill="1" applyBorder="1" applyAlignment="1" applyProtection="1">
      <alignment horizontal="center" vertical="center"/>
    </xf>
    <xf numFmtId="39" fontId="71" fillId="2" borderId="60" xfId="0" applyNumberFormat="1" applyFont="1" applyFill="1" applyBorder="1" applyAlignment="1" applyProtection="1">
      <alignment horizontal="center" vertical="center"/>
    </xf>
    <xf numFmtId="39" fontId="71" fillId="10" borderId="60" xfId="0" applyNumberFormat="1" applyFont="1" applyFill="1" applyBorder="1" applyAlignment="1" applyProtection="1">
      <alignment horizontal="center" vertical="center"/>
    </xf>
    <xf numFmtId="0" fontId="71" fillId="0" borderId="94" xfId="0" applyFont="1" applyFill="1" applyBorder="1" applyAlignment="1" applyProtection="1">
      <alignment horizontal="center" vertical="center"/>
    </xf>
    <xf numFmtId="39" fontId="71" fillId="10" borderId="47" xfId="0" applyNumberFormat="1" applyFont="1" applyFill="1" applyBorder="1" applyAlignment="1" applyProtection="1">
      <alignment horizontal="center" vertical="center"/>
    </xf>
    <xf numFmtId="39" fontId="71" fillId="10" borderId="95" xfId="0" applyNumberFormat="1" applyFont="1" applyFill="1" applyBorder="1" applyAlignment="1" applyProtection="1">
      <alignment horizontal="center" vertical="center"/>
    </xf>
    <xf numFmtId="0" fontId="72" fillId="0" borderId="27" xfId="0" applyFont="1" applyFill="1" applyBorder="1" applyAlignment="1">
      <alignment horizontal="center" vertical="center"/>
    </xf>
    <xf numFmtId="0" fontId="72" fillId="0" borderId="27" xfId="0" applyFont="1" applyFill="1" applyBorder="1" applyAlignment="1" applyProtection="1">
      <alignment horizontal="center" vertical="center"/>
    </xf>
    <xf numFmtId="43" fontId="1" fillId="0" borderId="0" xfId="1" applyFont="1" applyAlignment="1">
      <alignment vertical="center"/>
    </xf>
    <xf numFmtId="0" fontId="2" fillId="0" borderId="96" xfId="0" applyFont="1" applyBorder="1" applyAlignment="1">
      <alignment vertical="center"/>
    </xf>
    <xf numFmtId="0" fontId="3" fillId="0" borderId="93" xfId="0" applyFont="1" applyBorder="1" applyAlignment="1">
      <alignment horizontal="center" vertical="center"/>
    </xf>
    <xf numFmtId="0" fontId="2" fillId="0" borderId="93" xfId="0" applyFont="1" applyBorder="1" applyAlignment="1">
      <alignment vertical="center"/>
    </xf>
    <xf numFmtId="0" fontId="2" fillId="0" borderId="94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2" fillId="0" borderId="101" xfId="0" applyFont="1" applyBorder="1" applyAlignment="1">
      <alignment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" fillId="0" borderId="102" xfId="0" applyFont="1" applyBorder="1" applyAlignment="1">
      <alignment vertical="center"/>
    </xf>
    <xf numFmtId="0" fontId="2" fillId="0" borderId="103" xfId="0" applyFont="1" applyBorder="1" applyAlignment="1">
      <alignment vertical="center"/>
    </xf>
    <xf numFmtId="0" fontId="2" fillId="0" borderId="104" xfId="0" applyFont="1" applyBorder="1" applyAlignment="1">
      <alignment vertical="center"/>
    </xf>
    <xf numFmtId="0" fontId="2" fillId="0" borderId="10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3" fillId="0" borderId="106" xfId="0" applyFont="1" applyFill="1" applyBorder="1" applyAlignment="1">
      <alignment horizontal="center" vertical="center"/>
    </xf>
    <xf numFmtId="3" fontId="18" fillId="5" borderId="60" xfId="0" applyNumberFormat="1" applyFont="1" applyFill="1" applyBorder="1" applyAlignment="1">
      <alignment horizontal="center" vertical="center"/>
    </xf>
    <xf numFmtId="0" fontId="3" fillId="0" borderId="99" xfId="0" applyFont="1" applyFill="1" applyBorder="1" applyAlignment="1" applyProtection="1">
      <alignment horizontal="centerContinuous" vertical="center"/>
    </xf>
    <xf numFmtId="43" fontId="0" fillId="0" borderId="0" xfId="1" applyNumberFormat="1" applyFont="1"/>
    <xf numFmtId="2" fontId="0" fillId="0" borderId="0" xfId="0" applyNumberFormat="1"/>
    <xf numFmtId="0" fontId="1" fillId="0" borderId="0" xfId="0" applyFont="1" applyFill="1" applyBorder="1" applyAlignment="1" applyProtection="1">
      <alignment horizontal="left" vertical="center"/>
    </xf>
    <xf numFmtId="0" fontId="2" fillId="0" borderId="0" xfId="0" quotePrefix="1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3" fillId="4" borderId="0" xfId="0" applyFont="1" applyFill="1" applyBorder="1" applyAlignment="1" applyProtection="1">
      <alignment horizontal="left" vertical="center"/>
    </xf>
    <xf numFmtId="0" fontId="0" fillId="0" borderId="108" xfId="0" applyBorder="1"/>
    <xf numFmtId="0" fontId="0" fillId="10" borderId="101" xfId="0" applyFill="1" applyBorder="1"/>
    <xf numFmtId="0" fontId="0" fillId="0" borderId="109" xfId="0" applyBorder="1"/>
    <xf numFmtId="10" fontId="0" fillId="0" borderId="103" xfId="4" applyNumberFormat="1" applyFont="1" applyBorder="1"/>
    <xf numFmtId="0" fontId="0" fillId="0" borderId="110" xfId="0" applyBorder="1"/>
    <xf numFmtId="0" fontId="0" fillId="0" borderId="105" xfId="0" applyBorder="1"/>
    <xf numFmtId="2" fontId="0" fillId="0" borderId="105" xfId="0" applyNumberFormat="1" applyBorder="1"/>
    <xf numFmtId="43" fontId="5" fillId="0" borderId="0" xfId="1" applyFont="1" applyAlignment="1">
      <alignment vertical="center"/>
    </xf>
    <xf numFmtId="0" fontId="1" fillId="0" borderId="96" xfId="0" applyFont="1" applyBorder="1"/>
    <xf numFmtId="0" fontId="0" fillId="0" borderId="60" xfId="0" applyBorder="1"/>
    <xf numFmtId="0" fontId="0" fillId="0" borderId="95" xfId="0" applyBorder="1"/>
    <xf numFmtId="43" fontId="5" fillId="10" borderId="0" xfId="1" applyFont="1" applyFill="1" applyAlignment="1">
      <alignment horizontal="center" vertical="center"/>
    </xf>
    <xf numFmtId="43" fontId="5" fillId="10" borderId="0" xfId="1" applyFont="1" applyFill="1" applyAlignment="1">
      <alignment vertical="center"/>
    </xf>
    <xf numFmtId="10" fontId="0" fillId="0" borderId="0" xfId="4" applyNumberFormat="1" applyFont="1"/>
    <xf numFmtId="2" fontId="0" fillId="0" borderId="0" xfId="0" applyNumberFormat="1" applyBorder="1"/>
    <xf numFmtId="2" fontId="0" fillId="23" borderId="0" xfId="0" applyNumberFormat="1" applyFill="1" applyBorder="1"/>
    <xf numFmtId="2" fontId="0" fillId="23" borderId="47" xfId="0" applyNumberFormat="1" applyFill="1" applyBorder="1"/>
    <xf numFmtId="0" fontId="0" fillId="0" borderId="93" xfId="0" applyBorder="1" applyAlignment="1">
      <alignment horizontal="left"/>
    </xf>
    <xf numFmtId="2" fontId="0" fillId="10" borderId="46" xfId="0" applyNumberFormat="1" applyFill="1" applyBorder="1"/>
    <xf numFmtId="10" fontId="0" fillId="0" borderId="60" xfId="0" applyNumberFormat="1" applyBorder="1"/>
    <xf numFmtId="183" fontId="0" fillId="0" borderId="97" xfId="0" applyNumberFormat="1" applyBorder="1"/>
    <xf numFmtId="10" fontId="5" fillId="0" borderId="0" xfId="4" applyNumberFormat="1" applyFont="1" applyAlignment="1">
      <alignment vertical="center"/>
    </xf>
    <xf numFmtId="10" fontId="2" fillId="0" borderId="0" xfId="4" applyNumberFormat="1" applyFont="1" applyAlignment="1">
      <alignment vertical="center"/>
    </xf>
    <xf numFmtId="184" fontId="0" fillId="23" borderId="0" xfId="0" applyNumberFormat="1" applyFill="1" applyBorder="1"/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58" fillId="0" borderId="68" xfId="0" applyFont="1" applyBorder="1" applyAlignment="1" applyProtection="1">
      <alignment vertical="center"/>
    </xf>
    <xf numFmtId="0" fontId="58" fillId="0" borderId="71" xfId="0" applyFont="1" applyBorder="1" applyAlignment="1" applyProtection="1">
      <alignment vertical="center"/>
    </xf>
    <xf numFmtId="0" fontId="58" fillId="0" borderId="73" xfId="0" applyFont="1" applyBorder="1" applyAlignment="1" applyProtection="1">
      <alignment vertical="center"/>
    </xf>
    <xf numFmtId="0" fontId="28" fillId="4" borderId="0" xfId="0" applyFont="1" applyFill="1" applyBorder="1" applyAlignment="1" applyProtection="1">
      <alignment horizontal="right" wrapText="1"/>
    </xf>
    <xf numFmtId="0" fontId="28" fillId="0" borderId="67" xfId="0" applyFont="1" applyFill="1" applyBorder="1" applyAlignment="1" applyProtection="1">
      <alignment horizontal="right" wrapText="1"/>
    </xf>
    <xf numFmtId="0" fontId="28" fillId="0" borderId="0" xfId="0" applyFont="1" applyFill="1" applyBorder="1" applyAlignment="1" applyProtection="1">
      <alignment horizontal="right" wrapText="1"/>
    </xf>
    <xf numFmtId="0" fontId="5" fillId="4" borderId="67" xfId="0" applyFont="1" applyFill="1" applyBorder="1" applyAlignment="1" applyProtection="1"/>
    <xf numFmtId="0" fontId="4" fillId="13" borderId="0" xfId="0" applyFont="1" applyFill="1" applyBorder="1" applyAlignment="1" applyProtection="1">
      <alignment horizontal="left" vertical="center"/>
    </xf>
    <xf numFmtId="9" fontId="4" fillId="0" borderId="0" xfId="4" applyFont="1" applyFill="1" applyBorder="1" applyAlignment="1" applyProtection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4" borderId="0" xfId="0" applyFont="1" applyFill="1" applyAlignment="1">
      <alignment wrapText="1"/>
    </xf>
    <xf numFmtId="0" fontId="5" fillId="4" borderId="0" xfId="0" applyFont="1" applyFill="1" applyBorder="1" applyAlignment="1"/>
    <xf numFmtId="0" fontId="1" fillId="4" borderId="0" xfId="0" applyFont="1" applyFill="1" applyBorder="1" applyAlignment="1">
      <alignment wrapText="1"/>
    </xf>
    <xf numFmtId="0" fontId="0" fillId="0" borderId="0" xfId="0" applyBorder="1"/>
    <xf numFmtId="0" fontId="5" fillId="4" borderId="0" xfId="0" applyFont="1" applyFill="1" applyBorder="1" applyAlignment="1">
      <alignment horizontal="left" wrapText="1"/>
    </xf>
    <xf numFmtId="4" fontId="2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10" fontId="5" fillId="0" borderId="0" xfId="4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 wrapText="1"/>
    </xf>
    <xf numFmtId="43" fontId="2" fillId="0" borderId="0" xfId="0" applyNumberFormat="1" applyFont="1" applyAlignment="1">
      <alignment vertical="center"/>
    </xf>
    <xf numFmtId="0" fontId="75" fillId="4" borderId="0" xfId="0" applyFont="1" applyFill="1" applyProtection="1">
      <protection hidden="1"/>
    </xf>
    <xf numFmtId="0" fontId="76" fillId="4" borderId="0" xfId="0" applyFont="1" applyFill="1" applyProtection="1">
      <protection hidden="1"/>
    </xf>
    <xf numFmtId="170" fontId="2" fillId="0" borderId="0" xfId="1" applyNumberFormat="1" applyFont="1" applyAlignment="1">
      <alignment vertical="center"/>
    </xf>
    <xf numFmtId="170" fontId="0" fillId="0" borderId="0" xfId="1" applyNumberFormat="1" applyFont="1"/>
    <xf numFmtId="3" fontId="18" fillId="10" borderId="3" xfId="0" applyNumberFormat="1" applyFont="1" applyFill="1" applyBorder="1" applyAlignment="1">
      <alignment horizontal="center" vertical="center"/>
    </xf>
    <xf numFmtId="4" fontId="18" fillId="10" borderId="4" xfId="0" applyNumberFormat="1" applyFont="1" applyFill="1" applyBorder="1" applyAlignment="1">
      <alignment horizontal="center" vertical="center"/>
    </xf>
    <xf numFmtId="3" fontId="5" fillId="10" borderId="20" xfId="0" applyNumberFormat="1" applyFont="1" applyFill="1" applyBorder="1" applyAlignment="1" applyProtection="1">
      <alignment horizontal="center" vertical="center"/>
    </xf>
    <xf numFmtId="168" fontId="16" fillId="12" borderId="50" xfId="0" applyNumberFormat="1" applyFont="1" applyFill="1" applyBorder="1" applyAlignment="1" applyProtection="1">
      <alignment horizontal="center" vertical="center"/>
      <protection hidden="1"/>
    </xf>
    <xf numFmtId="0" fontId="24" fillId="8" borderId="13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3" fillId="8" borderId="61" xfId="0" applyFont="1" applyFill="1" applyBorder="1" applyAlignment="1" applyProtection="1">
      <alignment horizontal="center" vertical="center"/>
    </xf>
    <xf numFmtId="0" fontId="3" fillId="8" borderId="62" xfId="0" applyFont="1" applyFill="1" applyBorder="1" applyAlignment="1" applyProtection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62" xfId="0" applyFont="1" applyFill="1" applyBorder="1" applyAlignment="1" applyProtection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37" fillId="4" borderId="0" xfId="0" applyFont="1" applyFill="1" applyAlignment="1">
      <alignment horizontal="left" vertical="center" wrapText="1"/>
    </xf>
    <xf numFmtId="0" fontId="60" fillId="4" borderId="0" xfId="0" applyFont="1" applyFill="1" applyBorder="1" applyAlignment="1" applyProtection="1">
      <alignment horizontal="center" vertical="center" wrapText="1"/>
    </xf>
    <xf numFmtId="0" fontId="8" fillId="4" borderId="76" xfId="0" applyFont="1" applyFill="1" applyBorder="1" applyAlignment="1" applyProtection="1">
      <alignment horizontal="left"/>
      <protection locked="0"/>
    </xf>
    <xf numFmtId="0" fontId="3" fillId="4" borderId="0" xfId="0" applyFont="1" applyFill="1" applyAlignment="1" applyProtection="1">
      <alignment horizontal="center"/>
    </xf>
    <xf numFmtId="0" fontId="10" fillId="4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 wrapText="1"/>
    </xf>
    <xf numFmtId="0" fontId="64" fillId="16" borderId="80" xfId="0" applyFont="1" applyFill="1" applyBorder="1" applyAlignment="1" applyProtection="1">
      <alignment horizontal="center" vertical="center"/>
    </xf>
    <xf numFmtId="0" fontId="64" fillId="16" borderId="81" xfId="0" applyFont="1" applyFill="1" applyBorder="1" applyAlignment="1" applyProtection="1">
      <alignment horizontal="center" vertical="center"/>
    </xf>
    <xf numFmtId="0" fontId="64" fillId="16" borderId="82" xfId="0" applyFont="1" applyFill="1" applyBorder="1" applyAlignment="1" applyProtection="1">
      <alignment horizontal="center" vertical="center"/>
    </xf>
    <xf numFmtId="0" fontId="61" fillId="4" borderId="0" xfId="0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justify" vertical="center"/>
    </xf>
    <xf numFmtId="0" fontId="2" fillId="4" borderId="0" xfId="0" applyFont="1" applyFill="1" applyAlignment="1" applyProtection="1">
      <alignment horizontal="justify" vertical="center"/>
    </xf>
    <xf numFmtId="0" fontId="4" fillId="4" borderId="67" xfId="0" applyFont="1" applyFill="1" applyBorder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79" xfId="0" applyFont="1" applyFill="1" applyBorder="1" applyAlignment="1" applyProtection="1">
      <alignment horizontal="left" vertical="center"/>
    </xf>
    <xf numFmtId="0" fontId="69" fillId="16" borderId="80" xfId="0" applyFont="1" applyFill="1" applyBorder="1" applyAlignment="1" applyProtection="1">
      <alignment horizontal="center" vertical="center"/>
    </xf>
    <xf numFmtId="0" fontId="69" fillId="16" borderId="82" xfId="0" applyFont="1" applyFill="1" applyBorder="1" applyAlignment="1" applyProtection="1">
      <alignment horizontal="center" vertical="center"/>
    </xf>
    <xf numFmtId="0" fontId="31" fillId="16" borderId="80" xfId="0" applyFont="1" applyFill="1" applyBorder="1" applyAlignment="1" applyProtection="1">
      <alignment horizontal="center" vertical="center"/>
    </xf>
    <xf numFmtId="0" fontId="31" fillId="16" borderId="81" xfId="0" applyFont="1" applyFill="1" applyBorder="1" applyAlignment="1" applyProtection="1">
      <alignment horizontal="center" vertical="center"/>
    </xf>
    <xf numFmtId="0" fontId="31" fillId="16" borderId="82" xfId="0" applyFont="1" applyFill="1" applyBorder="1" applyAlignment="1" applyProtection="1">
      <alignment horizontal="center" vertical="center"/>
    </xf>
    <xf numFmtId="0" fontId="39" fillId="16" borderId="83" xfId="0" applyFont="1" applyFill="1" applyBorder="1" applyAlignment="1" applyProtection="1">
      <alignment horizontal="center" vertical="center"/>
    </xf>
    <xf numFmtId="0" fontId="39" fillId="16" borderId="84" xfId="0" applyFont="1" applyFill="1" applyBorder="1" applyAlignment="1" applyProtection="1">
      <alignment horizontal="center" vertical="center"/>
    </xf>
    <xf numFmtId="0" fontId="39" fillId="16" borderId="85" xfId="0" applyFont="1" applyFill="1" applyBorder="1" applyAlignment="1" applyProtection="1">
      <alignment horizontal="center" vertical="center"/>
    </xf>
    <xf numFmtId="0" fontId="39" fillId="16" borderId="86" xfId="0" applyFont="1" applyFill="1" applyBorder="1" applyAlignment="1" applyProtection="1">
      <alignment horizontal="center" vertical="center"/>
    </xf>
    <xf numFmtId="0" fontId="39" fillId="16" borderId="87" xfId="0" applyFont="1" applyFill="1" applyBorder="1" applyAlignment="1" applyProtection="1">
      <alignment horizontal="center" vertical="center"/>
    </xf>
    <xf numFmtId="0" fontId="39" fillId="16" borderId="88" xfId="0" applyFont="1" applyFill="1" applyBorder="1" applyAlignment="1" applyProtection="1">
      <alignment horizontal="center" vertical="center"/>
    </xf>
    <xf numFmtId="0" fontId="39" fillId="16" borderId="89" xfId="0" applyFont="1" applyFill="1" applyBorder="1" applyAlignment="1" applyProtection="1">
      <alignment horizontal="center" vertical="center"/>
    </xf>
    <xf numFmtId="0" fontId="39" fillId="16" borderId="90" xfId="0" applyFont="1" applyFill="1" applyBorder="1" applyAlignment="1" applyProtection="1">
      <alignment horizontal="center" vertical="center"/>
    </xf>
    <xf numFmtId="0" fontId="50" fillId="4" borderId="76" xfId="0" applyFont="1" applyFill="1" applyBorder="1" applyAlignment="1" applyProtection="1">
      <alignment horizontal="left"/>
    </xf>
    <xf numFmtId="0" fontId="59" fillId="16" borderId="0" xfId="0" applyFont="1" applyFill="1" applyAlignment="1" applyProtection="1">
      <alignment horizontal="center" vertical="center"/>
    </xf>
    <xf numFmtId="0" fontId="39" fillId="16" borderId="80" xfId="0" applyFont="1" applyFill="1" applyBorder="1" applyAlignment="1" applyProtection="1">
      <alignment horizontal="center" vertical="center"/>
    </xf>
    <xf numFmtId="0" fontId="39" fillId="16" borderId="81" xfId="0" applyFont="1" applyFill="1" applyBorder="1" applyAlignment="1" applyProtection="1">
      <alignment horizontal="center" vertical="center"/>
    </xf>
    <xf numFmtId="0" fontId="39" fillId="16" borderId="82" xfId="0" applyFont="1" applyFill="1" applyBorder="1" applyAlignment="1" applyProtection="1">
      <alignment horizontal="center" vertical="center"/>
    </xf>
    <xf numFmtId="0" fontId="59" fillId="16" borderId="0" xfId="0" applyFont="1" applyFill="1" applyBorder="1" applyAlignment="1" applyProtection="1">
      <alignment horizontal="center" vertical="center"/>
    </xf>
    <xf numFmtId="0" fontId="59" fillId="16" borderId="91" xfId="0" applyFont="1" applyFill="1" applyBorder="1" applyAlignment="1" applyProtection="1">
      <alignment horizontal="center" vertical="center"/>
    </xf>
    <xf numFmtId="0" fontId="1" fillId="4" borderId="107" xfId="0" applyFont="1" applyFill="1" applyBorder="1" applyAlignment="1" applyProtection="1">
      <alignment horizontal="center" vertical="center"/>
    </xf>
    <xf numFmtId="0" fontId="1" fillId="4" borderId="92" xfId="0" applyFont="1" applyFill="1" applyBorder="1" applyAlignment="1" applyProtection="1">
      <alignment horizontal="center" vertical="center"/>
    </xf>
    <xf numFmtId="0" fontId="65" fillId="16" borderId="80" xfId="0" applyFont="1" applyFill="1" applyBorder="1" applyAlignment="1">
      <alignment horizontal="center" vertical="center"/>
    </xf>
    <xf numFmtId="0" fontId="65" fillId="16" borderId="8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Alignment="1">
      <alignment horizontal="center" vertical="center"/>
    </xf>
    <xf numFmtId="0" fontId="66" fillId="16" borderId="83" xfId="0" applyFont="1" applyFill="1" applyBorder="1" applyAlignment="1">
      <alignment horizontal="center" vertical="center"/>
    </xf>
    <xf numFmtId="0" fontId="66" fillId="16" borderId="84" xfId="0" applyFont="1" applyFill="1" applyBorder="1" applyAlignment="1">
      <alignment horizontal="center" vertical="center"/>
    </xf>
    <xf numFmtId="0" fontId="66" fillId="16" borderId="85" xfId="0" applyFont="1" applyFill="1" applyBorder="1" applyAlignment="1">
      <alignment horizontal="center" vertical="center"/>
    </xf>
    <xf numFmtId="0" fontId="66" fillId="16" borderId="86" xfId="0" applyFont="1" applyFill="1" applyBorder="1" applyAlignment="1">
      <alignment horizontal="center" vertical="center"/>
    </xf>
    <xf numFmtId="0" fontId="66" fillId="16" borderId="87" xfId="0" applyFont="1" applyFill="1" applyBorder="1" applyAlignment="1">
      <alignment horizontal="center" vertical="center"/>
    </xf>
    <xf numFmtId="0" fontId="66" fillId="16" borderId="8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4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74" fillId="4" borderId="0" xfId="0" applyFont="1" applyFill="1" applyAlignment="1">
      <alignment horizontal="right" wrapText="1"/>
    </xf>
    <xf numFmtId="0" fontId="1" fillId="0" borderId="0" xfId="0" applyFont="1" applyFill="1" applyAlignment="1">
      <alignment horizontal="left" wrapText="1"/>
    </xf>
  </cellXfs>
  <cellStyles count="7">
    <cellStyle name="Millares" xfId="1" builtinId="3"/>
    <cellStyle name="Millares 2" xfId="6"/>
    <cellStyle name="Moneda" xfId="2" builtinId="4"/>
    <cellStyle name="Normal" xfId="0" builtinId="0"/>
    <cellStyle name="Normal 2" xfId="5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OTIZACION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51" name="Picture 11">
          <a:extLst>
            <a:ext uri="{FF2B5EF4-FFF2-40B4-BE49-F238E27FC236}">
              <a16:creationId xmlns:a16="http://schemas.microsoft.com/office/drawing/2014/main" id="{00000000-0008-0000-05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3</xdr:row>
          <xdr:rowOff>50800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169332</xdr:colOff>
      <xdr:row>1</xdr:row>
      <xdr:rowOff>21166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762749" y="7408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 editAs="oneCell">
    <xdr:from>
      <xdr:col>8</xdr:col>
      <xdr:colOff>971550</xdr:colOff>
      <xdr:row>42</xdr:row>
      <xdr:rowOff>123824</xdr:rowOff>
    </xdr:from>
    <xdr:to>
      <xdr:col>10</xdr:col>
      <xdr:colOff>44308</xdr:colOff>
      <xdr:row>43</xdr:row>
      <xdr:rowOff>161925</xdr:rowOff>
    </xdr:to>
    <xdr:pic macro="[0]!Cotizacion_ir_impresion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1087100" y="6829424"/>
          <a:ext cx="1206358" cy="3619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619125</xdr:colOff>
      <xdr:row>42</xdr:row>
      <xdr:rowOff>114300</xdr:rowOff>
    </xdr:from>
    <xdr:to>
      <xdr:col>6</xdr:col>
      <xdr:colOff>981076</xdr:colOff>
      <xdr:row>45</xdr:row>
      <xdr:rowOff>39687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8037419" y="7644653"/>
          <a:ext cx="1560981" cy="552916"/>
          <a:chOff x="7962900" y="8658225"/>
          <a:chExt cx="952501" cy="373062"/>
        </a:xfrm>
      </xdr:grpSpPr>
      <xdr:pic macro="[0]!Cotizacion_ir_tarifario">
        <xdr:nvPicPr>
          <xdr:cNvPr id="20" name="Picture 264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1" name="20 CuadroTexto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 txBox="1"/>
        </xdr:nvSpPr>
        <xdr:spPr>
          <a:xfrm>
            <a:off x="8229601" y="8705850"/>
            <a:ext cx="685800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9</xdr:col>
      <xdr:colOff>247650</xdr:colOff>
      <xdr:row>42</xdr:row>
      <xdr:rowOff>123825</xdr:rowOff>
    </xdr:from>
    <xdr:to>
      <xdr:col>10</xdr:col>
      <xdr:colOff>123826</xdr:colOff>
      <xdr:row>45</xdr:row>
      <xdr:rowOff>0</xdr:rowOff>
    </xdr:to>
    <xdr:sp macro="[0]!Cotizacion_ir_impresion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1544300" y="68294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7</xdr:col>
      <xdr:colOff>381000</xdr:colOff>
      <xdr:row>43</xdr:row>
      <xdr:rowOff>9521</xdr:rowOff>
    </xdr:from>
    <xdr:to>
      <xdr:col>8</xdr:col>
      <xdr:colOff>619125</xdr:colOff>
      <xdr:row>44</xdr:row>
      <xdr:rowOff>57146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10006853" y="7707962"/>
          <a:ext cx="1246654" cy="372596"/>
          <a:chOff x="5953124" y="8696325"/>
          <a:chExt cx="1247775" cy="248949"/>
        </a:xfrm>
      </xdr:grpSpPr>
      <xdr:sp macro="[0]!Cotizacion_volver_menu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6243869" y="8696326"/>
            <a:ext cx="957030" cy="2489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Cotizacion_volver_menu" textlink="">
        <xdr:nvSpPr>
          <xdr:cNvPr id="24" name="23 Flecha izquierda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57150</xdr:colOff>
      <xdr:row>2</xdr:row>
      <xdr:rowOff>0</xdr:rowOff>
    </xdr:from>
    <xdr:to>
      <xdr:col>2</xdr:col>
      <xdr:colOff>1488142</xdr:colOff>
      <xdr:row>3</xdr:row>
      <xdr:rowOff>148976</xdr:rowOff>
    </xdr:to>
    <xdr:pic>
      <xdr:nvPicPr>
        <xdr:cNvPr id="28" name="27 Imagen" descr="seguros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815975</xdr:colOff>
      <xdr:row>103</xdr:row>
      <xdr:rowOff>85725</xdr:rowOff>
    </xdr:from>
    <xdr:to>
      <xdr:col>10</xdr:col>
      <xdr:colOff>1154642</xdr:colOff>
      <xdr:row>106</xdr:row>
      <xdr:rowOff>5291</xdr:rowOff>
    </xdr:to>
    <xdr:pic macro="[0]!Imprimir">
      <xdr:nvPicPr>
        <xdr:cNvPr id="12" name="Picture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26475" y="15449550"/>
          <a:ext cx="1157817" cy="31961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133349</xdr:colOff>
      <xdr:row>104</xdr:row>
      <xdr:rowOff>3175</xdr:rowOff>
    </xdr:from>
    <xdr:to>
      <xdr:col>9</xdr:col>
      <xdr:colOff>364066</xdr:colOff>
      <xdr:row>105</xdr:row>
      <xdr:rowOff>103717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6915149" y="15681325"/>
          <a:ext cx="1259417" cy="233892"/>
          <a:chOff x="5953124" y="8696325"/>
          <a:chExt cx="1257284" cy="238125"/>
        </a:xfrm>
      </xdr:grpSpPr>
      <xdr:sp macro="[0]!Impresion_volver_menu" textlink="">
        <xdr:nvSpPr>
          <xdr:cNvPr id="14" name="13 CuadroTexto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6253378" y="8696326"/>
            <a:ext cx="957030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15" name="14 Flecha izquierda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116433</xdr:colOff>
      <xdr:row>0</xdr:row>
      <xdr:rowOff>30691</xdr:rowOff>
    </xdr:from>
    <xdr:ext cx="4022710" cy="677819"/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5640933" y="30691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6</xdr:col>
      <xdr:colOff>238125</xdr:colOff>
      <xdr:row>104</xdr:row>
      <xdr:rowOff>19050</xdr:rowOff>
    </xdr:from>
    <xdr:to>
      <xdr:col>7</xdr:col>
      <xdr:colOff>1102784</xdr:colOff>
      <xdr:row>105</xdr:row>
      <xdr:rowOff>119592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4848225" y="15697200"/>
          <a:ext cx="1779059" cy="233892"/>
          <a:chOff x="7858124" y="4762500"/>
          <a:chExt cx="1781176" cy="238125"/>
        </a:xfrm>
      </xdr:grpSpPr>
      <xdr:sp macro="[0]!Impresion_ir_cotizacion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9" name="18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85725</xdr:colOff>
      <xdr:row>2</xdr:row>
      <xdr:rowOff>9525</xdr:rowOff>
    </xdr:from>
    <xdr:to>
      <xdr:col>5</xdr:col>
      <xdr:colOff>592792</xdr:colOff>
      <xdr:row>4</xdr:row>
      <xdr:rowOff>91826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381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98</xdr:row>
      <xdr:rowOff>95250</xdr:rowOff>
    </xdr:from>
    <xdr:to>
      <xdr:col>12</xdr:col>
      <xdr:colOff>534459</xdr:colOff>
      <xdr:row>101</xdr:row>
      <xdr:rowOff>23283</xdr:rowOff>
    </xdr:to>
    <xdr:pic macro="[0]!imprimir_Tarifario">
      <xdr:nvPicPr>
        <xdr:cNvPr id="10" name="Pictur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86800" y="134874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7</xdr:col>
      <xdr:colOff>238125</xdr:colOff>
      <xdr:row>0</xdr:row>
      <xdr:rowOff>28575</xdr:rowOff>
    </xdr:from>
    <xdr:ext cx="4022710" cy="677819"/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314950" y="2857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9</xdr:col>
      <xdr:colOff>523875</xdr:colOff>
      <xdr:row>99</xdr:row>
      <xdr:rowOff>19050</xdr:rowOff>
    </xdr:from>
    <xdr:to>
      <xdr:col>11</xdr:col>
      <xdr:colOff>57150</xdr:colOff>
      <xdr:row>100</xdr:row>
      <xdr:rowOff>123825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639050" y="13496925"/>
          <a:ext cx="1247775" cy="238125"/>
          <a:chOff x="9239249" y="7067550"/>
          <a:chExt cx="981076" cy="266700"/>
        </a:xfrm>
      </xdr:grpSpPr>
      <xdr:sp macro="[0]!Tarifario_volver_menu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20" name="19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142875</xdr:colOff>
      <xdr:row>99</xdr:row>
      <xdr:rowOff>28575</xdr:rowOff>
    </xdr:from>
    <xdr:to>
      <xdr:col>9</xdr:col>
      <xdr:colOff>314326</xdr:colOff>
      <xdr:row>101</xdr:row>
      <xdr:rowOff>0</xdr:rowOff>
    </xdr:to>
    <xdr:grpSp>
      <xdr:nvGrpSpPr>
        <xdr:cNvPr id="21" name="20 Grupo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5543550" y="13506450"/>
          <a:ext cx="1885951" cy="238125"/>
          <a:chOff x="7858124" y="4762500"/>
          <a:chExt cx="1781176" cy="238125"/>
        </a:xfrm>
      </xdr:grpSpPr>
      <xdr:sp macro="[0]!Tarifario_ir_cotizacion" textlink="">
        <xdr:nvSpPr>
          <xdr:cNvPr id="22" name="21 CuadroTexto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3" name="22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1</xdr:row>
      <xdr:rowOff>38100</xdr:rowOff>
    </xdr:from>
    <xdr:to>
      <xdr:col>5</xdr:col>
      <xdr:colOff>97492</xdr:colOff>
      <xdr:row>3</xdr:row>
      <xdr:rowOff>82301</xdr:rowOff>
    </xdr:to>
    <xdr:pic>
      <xdr:nvPicPr>
        <xdr:cNvPr id="26" name="25 Imagen" descr="seguros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14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104775</xdr:rowOff>
    </xdr:from>
    <xdr:to>
      <xdr:col>9</xdr:col>
      <xdr:colOff>323849</xdr:colOff>
      <xdr:row>40</xdr:row>
      <xdr:rowOff>19050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5953124" y="6381750"/>
          <a:ext cx="1638300" cy="238125"/>
          <a:chOff x="5953124" y="8696325"/>
          <a:chExt cx="1247775" cy="238125"/>
        </a:xfrm>
      </xdr:grpSpPr>
      <xdr:sp macro="[0]!Instucciones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6243869" y="8696325"/>
            <a:ext cx="957030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7" name="6 Flecha izquierda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5</xdr:col>
      <xdr:colOff>447675</xdr:colOff>
      <xdr:row>38</xdr:row>
      <xdr:rowOff>91017</xdr:rowOff>
    </xdr:from>
    <xdr:to>
      <xdr:col>7</xdr:col>
      <xdr:colOff>77259</xdr:colOff>
      <xdr:row>40</xdr:row>
      <xdr:rowOff>95250</xdr:rowOff>
    </xdr:to>
    <xdr:pic macro="[0]!imprimir_Instrucciones">
      <xdr:nvPicPr>
        <xdr:cNvPr id="8" name="Pictur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257675" y="6367992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3" name="12 Imagen" descr="seguro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742949</xdr:colOff>
      <xdr:row>0</xdr:row>
      <xdr:rowOff>81496</xdr:rowOff>
    </xdr:from>
    <xdr:ext cx="5069418" cy="900637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972299" y="81496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5</xdr:col>
      <xdr:colOff>866773</xdr:colOff>
      <xdr:row>11</xdr:row>
      <xdr:rowOff>85726</xdr:rowOff>
    </xdr:from>
    <xdr:to>
      <xdr:col>7</xdr:col>
      <xdr:colOff>508000</xdr:colOff>
      <xdr:row>14</xdr:row>
      <xdr:rowOff>133351</xdr:rowOff>
    </xdr:to>
    <xdr:sp macro="[0]!Instrucciones_ver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6057898" y="186690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876298</xdr:colOff>
      <xdr:row>19</xdr:row>
      <xdr:rowOff>47626</xdr:rowOff>
    </xdr:from>
    <xdr:to>
      <xdr:col>7</xdr:col>
      <xdr:colOff>505883</xdr:colOff>
      <xdr:row>22</xdr:row>
      <xdr:rowOff>95251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67423" y="3124201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104775</xdr:colOff>
      <xdr:row>9</xdr:row>
      <xdr:rowOff>28575</xdr:rowOff>
    </xdr:from>
    <xdr:to>
      <xdr:col>5</xdr:col>
      <xdr:colOff>559193</xdr:colOff>
      <xdr:row>24</xdr:row>
      <xdr:rowOff>9526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9450" y="1485900"/>
          <a:ext cx="2530868" cy="2409826"/>
        </a:xfrm>
        <a:prstGeom prst="ellipse">
          <a:avLst/>
        </a:prstGeom>
        <a:ln>
          <a:solidFill>
            <a:srgbClr val="FF0000"/>
          </a:solidFill>
        </a:ln>
        <a:effectLst>
          <a:softEdge rad="112500"/>
        </a:effectLst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3</xdr:col>
      <xdr:colOff>621367</xdr:colOff>
      <xdr:row>2</xdr:row>
      <xdr:rowOff>139451</xdr:rowOff>
    </xdr:to>
    <xdr:pic>
      <xdr:nvPicPr>
        <xdr:cNvPr id="7" name="6 Imagen" descr="seguro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436"/>
  <sheetViews>
    <sheetView topLeftCell="AZ1" zoomScale="70" zoomScaleNormal="70" workbookViewId="0">
      <selection activeCell="AZ1" sqref="AZ1"/>
    </sheetView>
  </sheetViews>
  <sheetFormatPr baseColWidth="10" defaultColWidth="11.453125" defaultRowHeight="12.5" zeroHeight="1"/>
  <cols>
    <col min="1" max="1" width="34.81640625" style="1" hidden="1" customWidth="1"/>
    <col min="2" max="2" width="15.26953125" style="1" hidden="1" customWidth="1"/>
    <col min="3" max="3" width="13.1796875" style="1" hidden="1" customWidth="1"/>
    <col min="4" max="4" width="21.7265625" style="1" hidden="1" customWidth="1"/>
    <col min="5" max="5" width="17.1796875" style="1" hidden="1" customWidth="1"/>
    <col min="6" max="6" width="13.1796875" style="1" hidden="1" customWidth="1"/>
    <col min="7" max="7" width="12.453125" style="1" hidden="1" customWidth="1"/>
    <col min="8" max="8" width="3.453125" style="1" hidden="1" customWidth="1"/>
    <col min="9" max="9" width="25.26953125" style="1" hidden="1" customWidth="1"/>
    <col min="10" max="10" width="11.54296875" style="1" hidden="1" customWidth="1"/>
    <col min="11" max="11" width="7.453125" style="1" hidden="1" customWidth="1"/>
    <col min="12" max="12" width="10.26953125" style="1" hidden="1" customWidth="1"/>
    <col min="13" max="13" width="13.81640625" style="1" hidden="1" customWidth="1"/>
    <col min="14" max="14" width="19.1796875" style="1" hidden="1" customWidth="1"/>
    <col min="15" max="15" width="13.1796875" style="1" hidden="1" customWidth="1"/>
    <col min="16" max="16" width="14.453125" style="1" hidden="1" customWidth="1"/>
    <col min="17" max="17" width="13.1796875" style="1" hidden="1" customWidth="1"/>
    <col min="18" max="18" width="12.54296875" style="1" hidden="1" customWidth="1"/>
    <col min="19" max="19" width="11.453125" style="1" hidden="1" customWidth="1"/>
    <col min="20" max="20" width="13.1796875" style="1" hidden="1" customWidth="1"/>
    <col min="21" max="21" width="21.7265625" style="1" hidden="1" customWidth="1"/>
    <col min="22" max="22" width="13.1796875" style="1" hidden="1" customWidth="1"/>
    <col min="23" max="23" width="12.453125" style="1" hidden="1" customWidth="1"/>
    <col min="24" max="31" width="11.453125" style="1" hidden="1" customWidth="1"/>
    <col min="32" max="33" width="13.7265625" style="1" hidden="1" customWidth="1"/>
    <col min="34" max="51" width="11.453125" style="1" hidden="1" customWidth="1"/>
    <col min="52" max="16384" width="11.453125" style="1"/>
  </cols>
  <sheetData>
    <row r="1" spans="1:16" ht="18" customHeight="1" thickTop="1">
      <c r="A1" s="732" t="s">
        <v>2</v>
      </c>
      <c r="B1" s="733"/>
      <c r="C1" s="722" t="s">
        <v>3</v>
      </c>
      <c r="D1" s="723"/>
      <c r="E1" s="726" t="s">
        <v>22</v>
      </c>
      <c r="F1" s="727"/>
      <c r="I1" s="263" t="s">
        <v>146</v>
      </c>
      <c r="J1" s="263" t="s">
        <v>145</v>
      </c>
      <c r="K1" s="263"/>
      <c r="M1" s="287" t="s">
        <v>156</v>
      </c>
      <c r="N1" s="288" t="s">
        <v>159</v>
      </c>
      <c r="O1" s="288" t="s">
        <v>158</v>
      </c>
      <c r="P1" s="289" t="s">
        <v>160</v>
      </c>
    </row>
    <row r="2" spans="1:16" ht="14.5" hidden="1" thickTop="1">
      <c r="A2" s="525" t="s">
        <v>277</v>
      </c>
      <c r="B2" s="483"/>
      <c r="C2" s="233">
        <v>0</v>
      </c>
      <c r="D2" s="221">
        <v>1.1499999999999999</v>
      </c>
      <c r="E2" s="6"/>
      <c r="F2" s="203"/>
      <c r="I2" s="307"/>
      <c r="J2" s="271"/>
      <c r="K2" s="271"/>
      <c r="M2" s="283" t="s">
        <v>93</v>
      </c>
      <c r="N2" s="284">
        <v>4.7300000000000002E-2</v>
      </c>
      <c r="O2" s="284">
        <f>+COTIZACION!H36</f>
        <v>4.7300000000000002E-2</v>
      </c>
      <c r="P2" s="290">
        <f>IF(O2=0,1+N2,1+O2)</f>
        <v>1.0472999999999999</v>
      </c>
    </row>
    <row r="3" spans="1:16" ht="14" hidden="1">
      <c r="A3" s="282">
        <v>6000</v>
      </c>
      <c r="B3" s="531">
        <v>1</v>
      </c>
      <c r="C3" s="233">
        <v>0.05</v>
      </c>
      <c r="D3" s="221">
        <v>1.0900000000000001</v>
      </c>
      <c r="E3" s="9"/>
      <c r="F3" s="204"/>
      <c r="G3" s="532"/>
      <c r="I3" s="307"/>
      <c r="J3" s="271"/>
      <c r="K3" s="271"/>
      <c r="M3" s="283" t="s">
        <v>154</v>
      </c>
      <c r="N3" s="284">
        <v>7.0000000000000007E-2</v>
      </c>
      <c r="O3" s="284">
        <f>+COTIZACION!H37</f>
        <v>6.9900000000000004E-2</v>
      </c>
      <c r="P3" s="290">
        <f>IF(O3=0,1+N3,1+O3)</f>
        <v>1.0699000000000001</v>
      </c>
    </row>
    <row r="4" spans="1:16" ht="14.5" hidden="1" thickBot="1">
      <c r="A4" s="259">
        <v>8000</v>
      </c>
      <c r="B4" s="531">
        <v>0.94</v>
      </c>
      <c r="C4" s="233">
        <v>0.1</v>
      </c>
      <c r="D4" s="221">
        <v>1</v>
      </c>
      <c r="E4" s="12"/>
      <c r="F4" s="205"/>
      <c r="G4" s="532"/>
      <c r="I4" s="307">
        <v>5500</v>
      </c>
      <c r="J4" s="271">
        <v>1307.71</v>
      </c>
      <c r="K4" s="271"/>
      <c r="M4" s="285" t="s">
        <v>157</v>
      </c>
      <c r="N4" s="286">
        <v>0.1</v>
      </c>
      <c r="O4" s="286">
        <f>+COTIZACION!H38</f>
        <v>9.9900000000000003E-2</v>
      </c>
      <c r="P4" s="291">
        <f>IF(O4=0,1+N4,1+O4)</f>
        <v>1.0999000000000001</v>
      </c>
    </row>
    <row r="5" spans="1:16" ht="14.5" hidden="1" thickTop="1">
      <c r="A5" s="282">
        <v>10000</v>
      </c>
      <c r="B5" s="531">
        <v>0.88</v>
      </c>
      <c r="C5" s="233">
        <v>0.15</v>
      </c>
      <c r="D5" s="221">
        <v>0.98</v>
      </c>
      <c r="E5" s="726" t="s">
        <v>18</v>
      </c>
      <c r="F5" s="727"/>
      <c r="G5" s="716"/>
      <c r="I5" s="307">
        <v>6000</v>
      </c>
      <c r="J5" s="271">
        <v>1386.98</v>
      </c>
      <c r="K5" s="271"/>
      <c r="L5" s="15"/>
      <c r="M5" s="684"/>
    </row>
    <row r="6" spans="1:16" ht="14.5" hidden="1" thickBot="1">
      <c r="A6" s="259">
        <v>12000</v>
      </c>
      <c r="B6" s="531">
        <v>0.84499999999999997</v>
      </c>
      <c r="C6" s="234">
        <v>0.2</v>
      </c>
      <c r="D6" s="222">
        <v>0.92</v>
      </c>
      <c r="E6" s="6"/>
      <c r="F6" s="203"/>
      <c r="G6" s="716"/>
      <c r="I6" s="307">
        <v>7000</v>
      </c>
      <c r="J6" s="271">
        <v>1453.96</v>
      </c>
      <c r="K6" s="271"/>
      <c r="M6" s="684"/>
    </row>
    <row r="7" spans="1:16" ht="14.5" hidden="1" thickTop="1">
      <c r="A7" s="259">
        <v>15000</v>
      </c>
      <c r="B7" s="531">
        <v>0.75900000000000001</v>
      </c>
      <c r="C7" s="726" t="s">
        <v>98</v>
      </c>
      <c r="D7" s="727"/>
      <c r="E7" s="9"/>
      <c r="F7" s="204"/>
      <c r="G7" s="716"/>
      <c r="H7" s="223"/>
      <c r="I7" s="307">
        <v>8000</v>
      </c>
      <c r="J7" s="271">
        <v>1511.99</v>
      </c>
      <c r="K7" s="271"/>
      <c r="M7" s="684"/>
    </row>
    <row r="8" spans="1:16" ht="14.5" hidden="1" thickBot="1">
      <c r="A8" s="259">
        <v>20000</v>
      </c>
      <c r="B8" s="531">
        <v>0.65400000000000003</v>
      </c>
      <c r="C8" s="209"/>
      <c r="D8" s="210"/>
      <c r="E8" s="12"/>
      <c r="F8" s="205"/>
      <c r="G8" s="716"/>
      <c r="H8" s="223"/>
      <c r="I8" s="307">
        <v>9000</v>
      </c>
      <c r="J8" s="271">
        <v>1563.25</v>
      </c>
      <c r="K8" s="271"/>
      <c r="M8" s="684"/>
    </row>
    <row r="9" spans="1:16" ht="14.5" hidden="1" thickTop="1">
      <c r="A9" s="259">
        <v>25000</v>
      </c>
      <c r="B9" s="531">
        <v>0.56699999999999995</v>
      </c>
      <c r="C9" s="171"/>
      <c r="D9" s="207"/>
      <c r="E9" s="728" t="s">
        <v>21</v>
      </c>
      <c r="F9" s="729"/>
      <c r="G9" s="716"/>
      <c r="H9" s="223"/>
      <c r="I9" s="307">
        <v>10000</v>
      </c>
      <c r="J9" s="271">
        <v>1609.03</v>
      </c>
      <c r="K9" s="271"/>
      <c r="M9" s="684"/>
    </row>
    <row r="10" spans="1:16" ht="14" hidden="1">
      <c r="A10" s="259">
        <v>35000</v>
      </c>
      <c r="B10" s="531">
        <v>0.48599999999999999</v>
      </c>
      <c r="C10" s="171"/>
      <c r="D10" s="207"/>
      <c r="E10" s="7" t="s">
        <v>19</v>
      </c>
      <c r="F10" s="8">
        <v>0</v>
      </c>
      <c r="G10" s="716"/>
      <c r="H10" s="223"/>
      <c r="I10" s="307">
        <v>12000</v>
      </c>
      <c r="J10" s="271">
        <v>1679.53</v>
      </c>
      <c r="K10" s="271"/>
      <c r="L10" s="15"/>
      <c r="M10" s="684"/>
    </row>
    <row r="11" spans="1:16" ht="14" hidden="1">
      <c r="A11" s="259">
        <v>40000</v>
      </c>
      <c r="B11" s="531">
        <v>0.45700000000000002</v>
      </c>
      <c r="C11" s="171"/>
      <c r="D11" s="207"/>
      <c r="E11" s="10" t="s">
        <v>20</v>
      </c>
      <c r="F11" s="11">
        <v>4.7300000000000002E-2</v>
      </c>
      <c r="G11" s="716"/>
      <c r="H11" s="15"/>
      <c r="I11" s="307">
        <v>15000</v>
      </c>
      <c r="J11" s="271">
        <v>1785.28</v>
      </c>
      <c r="K11" s="271"/>
      <c r="M11" s="684"/>
    </row>
    <row r="12" spans="1:16" ht="14" hidden="1">
      <c r="A12" s="259">
        <v>50000</v>
      </c>
      <c r="B12" s="531">
        <v>0.40899999999999997</v>
      </c>
      <c r="C12" s="171"/>
      <c r="D12" s="207"/>
      <c r="E12" s="10" t="s">
        <v>23</v>
      </c>
      <c r="F12" s="11">
        <v>7.0000000000000007E-2</v>
      </c>
      <c r="G12" s="717"/>
      <c r="H12" s="15"/>
      <c r="I12" s="307">
        <v>20000</v>
      </c>
      <c r="J12" s="271">
        <v>1910.36</v>
      </c>
      <c r="K12" s="271"/>
      <c r="M12" s="684"/>
    </row>
    <row r="13" spans="1:16" ht="14.5" hidden="1" thickBot="1">
      <c r="A13" s="259"/>
      <c r="B13" s="204"/>
      <c r="C13" s="206"/>
      <c r="D13" s="208"/>
      <c r="E13" s="13" t="s">
        <v>142</v>
      </c>
      <c r="F13" s="14">
        <v>0.1</v>
      </c>
      <c r="G13" s="717"/>
      <c r="H13" s="15"/>
      <c r="I13" s="307">
        <v>25000</v>
      </c>
      <c r="J13" s="271">
        <v>2007.35</v>
      </c>
      <c r="K13" s="271"/>
      <c r="M13" s="684"/>
    </row>
    <row r="14" spans="1:16" ht="15" hidden="1" thickTop="1" thickBot="1">
      <c r="A14" s="524"/>
      <c r="B14" s="204"/>
      <c r="C14" s="219"/>
      <c r="D14" s="219"/>
      <c r="E14" s="219"/>
      <c r="F14" s="219"/>
      <c r="G14" s="717"/>
      <c r="H14" s="15"/>
      <c r="I14" s="307">
        <v>30000</v>
      </c>
      <c r="J14" s="271">
        <v>3198.17</v>
      </c>
      <c r="K14" s="271"/>
      <c r="M14" s="684"/>
    </row>
    <row r="15" spans="1:16" ht="14.5" hidden="1" thickTop="1">
      <c r="A15" s="259"/>
      <c r="B15" s="204"/>
      <c r="C15" s="722" t="s">
        <v>278</v>
      </c>
      <c r="D15" s="723"/>
      <c r="E15" s="219"/>
      <c r="F15" s="219"/>
      <c r="G15" s="717"/>
      <c r="H15" s="15"/>
      <c r="I15" s="307">
        <v>35000</v>
      </c>
      <c r="J15" s="271">
        <v>3300.93</v>
      </c>
      <c r="K15" s="271"/>
      <c r="M15" s="684"/>
    </row>
    <row r="16" spans="1:16" ht="14" hidden="1">
      <c r="A16" s="259"/>
      <c r="B16" s="204"/>
      <c r="C16" s="233">
        <v>0</v>
      </c>
      <c r="D16" s="526" t="s">
        <v>279</v>
      </c>
      <c r="E16" s="219"/>
      <c r="F16" s="219"/>
      <c r="G16" s="717"/>
      <c r="H16" s="15"/>
      <c r="I16" s="307">
        <v>40000</v>
      </c>
      <c r="J16" s="271">
        <v>3389.85</v>
      </c>
      <c r="K16" s="271"/>
      <c r="M16" s="684"/>
    </row>
    <row r="17" spans="1:13" ht="14" hidden="1">
      <c r="A17" s="259"/>
      <c r="B17" s="204"/>
      <c r="C17" s="233">
        <v>0.05</v>
      </c>
      <c r="D17" s="527" t="s">
        <v>279</v>
      </c>
      <c r="E17" s="219"/>
      <c r="F17" s="219"/>
      <c r="G17" s="717"/>
      <c r="H17" s="15"/>
      <c r="I17" s="307">
        <v>45000</v>
      </c>
      <c r="J17" s="271">
        <v>3468.34</v>
      </c>
      <c r="K17" s="271"/>
      <c r="M17" s="684"/>
    </row>
    <row r="18" spans="1:13" ht="14.5" hidden="1" thickBot="1">
      <c r="A18" s="259"/>
      <c r="B18" s="204"/>
      <c r="C18" s="233">
        <v>0.1</v>
      </c>
      <c r="D18" s="529" t="s">
        <v>280</v>
      </c>
      <c r="E18" s="219"/>
      <c r="F18" s="219"/>
      <c r="G18" s="717"/>
      <c r="H18" s="15"/>
      <c r="I18" s="308">
        <v>50000</v>
      </c>
      <c r="J18" s="272">
        <v>3538.5</v>
      </c>
      <c r="K18" s="272"/>
      <c r="M18" s="684"/>
    </row>
    <row r="19" spans="1:13" ht="13" hidden="1" thickTop="1">
      <c r="A19" s="261"/>
      <c r="B19" s="204"/>
      <c r="C19" s="233">
        <v>0.15</v>
      </c>
      <c r="D19" s="527" t="s">
        <v>279</v>
      </c>
      <c r="E19" s="219"/>
      <c r="F19" s="219"/>
      <c r="G19" s="219"/>
      <c r="H19" s="15"/>
      <c r="I19" s="309"/>
      <c r="J19" s="309"/>
      <c r="K19" s="15"/>
    </row>
    <row r="20" spans="1:13" ht="13" hidden="1" thickBot="1">
      <c r="A20" s="261"/>
      <c r="B20" s="204"/>
      <c r="C20" s="234">
        <v>0.2</v>
      </c>
      <c r="D20" s="528" t="s">
        <v>279</v>
      </c>
      <c r="E20" s="219"/>
      <c r="F20" s="219"/>
      <c r="G20" s="219"/>
      <c r="H20" s="15"/>
      <c r="I20" s="15"/>
      <c r="J20" s="15"/>
      <c r="K20" s="15"/>
    </row>
    <row r="21" spans="1:13" ht="13" hidden="1" thickTop="1">
      <c r="A21" s="261"/>
      <c r="B21" s="204"/>
      <c r="C21" s="219"/>
      <c r="D21" s="219"/>
      <c r="E21" s="219"/>
      <c r="F21" s="219"/>
      <c r="G21" s="219"/>
      <c r="H21" s="15"/>
      <c r="I21" s="15"/>
      <c r="J21" s="15"/>
      <c r="K21" s="15"/>
    </row>
    <row r="22" spans="1:13" hidden="1">
      <c r="A22" s="261"/>
      <c r="B22" s="204"/>
      <c r="C22" s="219"/>
      <c r="D22" s="219"/>
      <c r="E22" s="219"/>
      <c r="F22" s="219"/>
      <c r="G22" s="219"/>
      <c r="H22" s="15"/>
      <c r="I22" s="219"/>
      <c r="J22" s="219"/>
      <c r="K22" s="219"/>
    </row>
    <row r="23" spans="1:13" hidden="1">
      <c r="A23" s="261"/>
      <c r="B23" s="204"/>
      <c r="C23" s="219"/>
      <c r="D23" s="219"/>
      <c r="E23" s="219"/>
      <c r="F23" s="219"/>
      <c r="G23" s="219"/>
      <c r="H23" s="15"/>
      <c r="I23" s="269"/>
    </row>
    <row r="24" spans="1:13" hidden="1">
      <c r="A24" s="261"/>
      <c r="B24" s="204"/>
      <c r="C24" s="219"/>
      <c r="D24" s="219"/>
      <c r="E24" s="219"/>
      <c r="F24" s="219"/>
      <c r="G24" s="219"/>
      <c r="H24" s="15"/>
      <c r="I24" s="269"/>
    </row>
    <row r="25" spans="1:13" hidden="1">
      <c r="A25" s="261"/>
      <c r="B25" s="204"/>
      <c r="C25" s="219"/>
      <c r="D25" s="219"/>
      <c r="E25" s="219"/>
      <c r="F25" s="219"/>
      <c r="G25" s="219"/>
      <c r="H25" s="15"/>
      <c r="I25" s="269"/>
    </row>
    <row r="26" spans="1:13" hidden="1">
      <c r="A26" s="261"/>
      <c r="B26" s="204"/>
      <c r="C26" s="219"/>
      <c r="D26" s="219"/>
      <c r="E26" s="219"/>
      <c r="F26" s="219"/>
      <c r="G26" s="219"/>
      <c r="H26" s="15"/>
      <c r="I26" s="15"/>
    </row>
    <row r="27" spans="1:13" hidden="1">
      <c r="A27" s="261"/>
      <c r="B27" s="204"/>
      <c r="C27" s="219"/>
      <c r="D27" s="219"/>
      <c r="E27" s="219"/>
      <c r="F27" s="219"/>
      <c r="G27" s="219"/>
      <c r="H27" s="15"/>
      <c r="I27" s="15"/>
    </row>
    <row r="28" spans="1:13" ht="13" hidden="1" thickBot="1">
      <c r="A28" s="261"/>
      <c r="B28" s="204"/>
      <c r="C28" s="219"/>
      <c r="D28" s="219"/>
      <c r="E28" s="219"/>
      <c r="F28" s="219"/>
      <c r="G28" s="219"/>
      <c r="H28" s="15"/>
      <c r="I28" s="15"/>
    </row>
    <row r="29" spans="1:13" ht="13.5" hidden="1" thickTop="1" thickBot="1">
      <c r="A29" s="262"/>
      <c r="B29" s="205"/>
      <c r="C29" s="16"/>
      <c r="D29" s="16"/>
      <c r="E29" s="16"/>
      <c r="F29" s="273" t="s">
        <v>24</v>
      </c>
      <c r="G29" s="274" t="s">
        <v>5</v>
      </c>
      <c r="H29" s="530"/>
      <c r="I29"/>
      <c r="J29"/>
    </row>
    <row r="30" spans="1:13" ht="13" hidden="1" thickTop="1">
      <c r="A30" s="15"/>
      <c r="B30" s="15"/>
      <c r="C30" s="16"/>
      <c r="D30" s="16"/>
      <c r="E30" s="16"/>
      <c r="F30" s="106">
        <v>1</v>
      </c>
      <c r="G30" s="217">
        <v>0.52</v>
      </c>
      <c r="H30" s="217"/>
      <c r="I30"/>
      <c r="J30"/>
    </row>
    <row r="31" spans="1:13" ht="13" hidden="1" thickBot="1">
      <c r="F31" s="107">
        <v>2</v>
      </c>
      <c r="G31" s="218">
        <v>0.56999999999999995</v>
      </c>
      <c r="H31" s="218"/>
      <c r="I31"/>
      <c r="J31"/>
      <c r="K31"/>
      <c r="L31"/>
    </row>
    <row r="32" spans="1:13" ht="13" hidden="1" thickTop="1">
      <c r="A32" s="18" t="s">
        <v>0</v>
      </c>
      <c r="E32" s="21"/>
      <c r="F32" s="107">
        <v>3</v>
      </c>
      <c r="G32" s="218">
        <v>0.67</v>
      </c>
      <c r="H32" s="218"/>
      <c r="I32" s="722" t="s">
        <v>1</v>
      </c>
      <c r="J32" s="723"/>
      <c r="K32"/>
      <c r="L32" s="722" t="s">
        <v>150</v>
      </c>
      <c r="M32" s="723"/>
    </row>
    <row r="33" spans="1:58" hidden="1">
      <c r="A33" s="19" t="s">
        <v>1</v>
      </c>
      <c r="C33" s="20">
        <v>1000000</v>
      </c>
      <c r="D33" s="20"/>
      <c r="E33" s="21"/>
      <c r="F33" s="107">
        <v>4</v>
      </c>
      <c r="G33" s="218">
        <v>0.8</v>
      </c>
      <c r="H33" s="218"/>
      <c r="I33" s="260">
        <v>200000</v>
      </c>
      <c r="J33" s="197">
        <v>0.82</v>
      </c>
      <c r="K33"/>
      <c r="L33" s="199">
        <v>10000</v>
      </c>
      <c r="M33" s="491">
        <v>221.36</v>
      </c>
      <c r="N33" s="229"/>
      <c r="O33" s="684"/>
    </row>
    <row r="34" spans="1:58" hidden="1">
      <c r="A34" s="19" t="s">
        <v>2</v>
      </c>
      <c r="C34" s="20">
        <v>6000</v>
      </c>
      <c r="D34" s="20"/>
      <c r="E34" s="20"/>
      <c r="F34" s="107">
        <v>5</v>
      </c>
      <c r="G34" s="218">
        <v>1</v>
      </c>
      <c r="H34" s="215"/>
      <c r="I34" s="260">
        <v>250000</v>
      </c>
      <c r="J34" s="197">
        <v>0.84</v>
      </c>
      <c r="K34"/>
      <c r="L34" s="199">
        <v>20000</v>
      </c>
      <c r="M34" s="197">
        <f t="shared" ref="M34:M41" si="0">ROUND(L34/$L$33*$M$33,2)</f>
        <v>442.72</v>
      </c>
      <c r="N34" s="229"/>
      <c r="O34" s="684"/>
    </row>
    <row r="35" spans="1:58" ht="13" hidden="1" thickBot="1">
      <c r="A35" s="19" t="s">
        <v>3</v>
      </c>
      <c r="C35" s="21">
        <v>0.1</v>
      </c>
      <c r="D35" s="21"/>
      <c r="E35" s="21"/>
      <c r="F35" s="107"/>
      <c r="G35" s="218"/>
      <c r="H35" s="216"/>
      <c r="I35" s="260">
        <v>300000</v>
      </c>
      <c r="J35" s="197">
        <v>0.86</v>
      </c>
      <c r="K35"/>
      <c r="L35" s="199">
        <v>30000</v>
      </c>
      <c r="M35" s="197">
        <f t="shared" si="0"/>
        <v>664.08</v>
      </c>
      <c r="N35" s="229"/>
      <c r="O35" s="684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</row>
    <row r="36" spans="1:58" ht="13.5" hidden="1" thickTop="1" thickBot="1">
      <c r="A36" s="22"/>
      <c r="B36" s="730" t="s">
        <v>4</v>
      </c>
      <c r="C36" s="731"/>
      <c r="D36" s="724" t="s">
        <v>126</v>
      </c>
      <c r="E36" s="725"/>
      <c r="F36" s="112" t="s">
        <v>24</v>
      </c>
      <c r="G36" s="652">
        <f>+COTIZACION!D15</f>
        <v>5</v>
      </c>
      <c r="H36" s="654" t="str">
        <f>+VLOOKUP(G36,J228:K233,2,FALSE)</f>
        <v>A</v>
      </c>
      <c r="I36" s="653">
        <v>350000</v>
      </c>
      <c r="J36" s="197">
        <v>0.88</v>
      </c>
      <c r="K36"/>
      <c r="L36" s="199">
        <v>40000</v>
      </c>
      <c r="M36" s="197">
        <f t="shared" si="0"/>
        <v>885.44</v>
      </c>
      <c r="N36" s="229"/>
      <c r="O36" s="684"/>
      <c r="P36" s="54"/>
      <c r="Q36" s="86"/>
      <c r="R36" s="54"/>
      <c r="S36" s="86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</row>
    <row r="37" spans="1:58" hidden="1">
      <c r="A37" s="497">
        <f>VLOOKUP(CONCATENATE(COTIZACION!D8,COTIZACION!D9),COTIZACION!H244:I246,2,0)</f>
        <v>0</v>
      </c>
      <c r="B37" s="111" t="s">
        <v>91</v>
      </c>
      <c r="C37" s="226">
        <v>10000000</v>
      </c>
      <c r="D37" s="227">
        <v>15000</v>
      </c>
      <c r="E37" s="228"/>
      <c r="F37" s="113" t="s">
        <v>5</v>
      </c>
      <c r="G37" s="114">
        <f>VLOOKUP(G36,F30:G35,2,FALSE)</f>
        <v>1</v>
      </c>
      <c r="H37" s="23"/>
      <c r="I37" s="260">
        <v>400000</v>
      </c>
      <c r="J37" s="197">
        <v>0.9</v>
      </c>
      <c r="K37"/>
      <c r="L37" s="199">
        <v>50000</v>
      </c>
      <c r="M37" s="197">
        <f t="shared" si="0"/>
        <v>1106.8</v>
      </c>
      <c r="N37" s="229"/>
      <c r="O37" s="684"/>
      <c r="P37" s="23"/>
      <c r="Q37" s="86"/>
      <c r="R37" s="23"/>
      <c r="S37" s="87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</row>
    <row r="38" spans="1:58" ht="13" hidden="1" thickBot="1">
      <c r="A38" s="24" t="s">
        <v>6</v>
      </c>
      <c r="B38" s="25" t="s">
        <v>7</v>
      </c>
      <c r="C38" s="26" t="s">
        <v>8</v>
      </c>
      <c r="D38" s="25" t="s">
        <v>7</v>
      </c>
      <c r="E38" s="26" t="s">
        <v>8</v>
      </c>
      <c r="F38" s="115" t="s">
        <v>7</v>
      </c>
      <c r="G38" s="116" t="s">
        <v>8</v>
      </c>
      <c r="H38" s="54"/>
      <c r="I38" s="260">
        <v>450000</v>
      </c>
      <c r="J38" s="197">
        <v>0.91</v>
      </c>
      <c r="K38"/>
      <c r="L38" s="199">
        <v>75000</v>
      </c>
      <c r="M38" s="197">
        <f t="shared" si="0"/>
        <v>1660.2</v>
      </c>
      <c r="N38" s="229"/>
      <c r="O38" s="684"/>
      <c r="P38" s="54"/>
      <c r="Q38" s="23"/>
      <c r="R38" s="54"/>
      <c r="S38" s="23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</row>
    <row r="39" spans="1:58" ht="13" hidden="1" thickTop="1">
      <c r="A39" s="27">
        <v>0</v>
      </c>
      <c r="B39" s="108">
        <f t="shared" ref="B39:B70" si="1">IF($A$37=$C$130,ROUND(C132*(1-DESC),2),ROUND(E132*(1-DESC),2))</f>
        <v>13061.3</v>
      </c>
      <c r="C39" s="108">
        <f t="shared" ref="C39:C70" si="2">IF($A$37=$C$130,ROUND(D132*(1-DESC),2),ROUND(F132*(1-DESC),2))</f>
        <v>13116.05</v>
      </c>
      <c r="D39" s="230">
        <f>B39</f>
        <v>13061.3</v>
      </c>
      <c r="E39" s="230">
        <f>C39</f>
        <v>13116.05</v>
      </c>
      <c r="F39" s="303">
        <f t="shared" ref="F39:G44" si="3">ROUND(D39*$G$37,2)</f>
        <v>13061.3</v>
      </c>
      <c r="G39" s="303">
        <f t="shared" si="3"/>
        <v>13116.05</v>
      </c>
      <c r="H39" s="55"/>
      <c r="I39" s="260">
        <v>500000</v>
      </c>
      <c r="J39" s="197">
        <v>0.92</v>
      </c>
      <c r="K39" s="219"/>
      <c r="L39" s="199">
        <v>100000</v>
      </c>
      <c r="M39" s="197">
        <f t="shared" si="0"/>
        <v>2213.6</v>
      </c>
      <c r="N39" s="229"/>
      <c r="O39" s="684"/>
      <c r="P39" s="55"/>
      <c r="Q39" s="55"/>
      <c r="R39" s="55"/>
      <c r="S39" s="5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</row>
    <row r="40" spans="1:58" hidden="1">
      <c r="A40" s="27">
        <v>1</v>
      </c>
      <c r="B40" s="109">
        <f t="shared" si="1"/>
        <v>13061.3</v>
      </c>
      <c r="C40" s="109">
        <f t="shared" si="2"/>
        <v>13116.05</v>
      </c>
      <c r="D40" s="231">
        <f t="shared" ref="D40:D103" si="4">B40</f>
        <v>13061.3</v>
      </c>
      <c r="E40" s="231">
        <f t="shared" ref="E40:E71" si="5">C40</f>
        <v>13116.05</v>
      </c>
      <c r="F40" s="304">
        <f t="shared" si="3"/>
        <v>13061.3</v>
      </c>
      <c r="G40" s="304">
        <f t="shared" si="3"/>
        <v>13116.05</v>
      </c>
      <c r="H40" s="55"/>
      <c r="I40" s="260">
        <v>550000</v>
      </c>
      <c r="J40" s="197">
        <v>0.93</v>
      </c>
      <c r="K40" s="219"/>
      <c r="L40" s="199">
        <v>150000</v>
      </c>
      <c r="M40" s="197">
        <f t="shared" si="0"/>
        <v>3320.4</v>
      </c>
      <c r="N40" s="229"/>
      <c r="O40" s="684"/>
      <c r="P40" s="55"/>
      <c r="Q40" s="55"/>
      <c r="R40" s="55"/>
      <c r="S40" s="5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</row>
    <row r="41" spans="1:58" hidden="1">
      <c r="A41" s="27">
        <f>+A40+1</f>
        <v>2</v>
      </c>
      <c r="B41" s="109">
        <f t="shared" si="1"/>
        <v>13061.3</v>
      </c>
      <c r="C41" s="109">
        <f t="shared" si="2"/>
        <v>13116.05</v>
      </c>
      <c r="D41" s="231">
        <f t="shared" si="4"/>
        <v>13061.3</v>
      </c>
      <c r="E41" s="231">
        <f t="shared" si="5"/>
        <v>13116.05</v>
      </c>
      <c r="F41" s="304">
        <f t="shared" si="3"/>
        <v>13061.3</v>
      </c>
      <c r="G41" s="304">
        <f t="shared" si="3"/>
        <v>13116.05</v>
      </c>
      <c r="H41" s="55"/>
      <c r="I41" s="260">
        <v>600000</v>
      </c>
      <c r="J41" s="197">
        <v>0.94</v>
      </c>
      <c r="K41" s="219"/>
      <c r="L41" s="199">
        <v>200000</v>
      </c>
      <c r="M41" s="197">
        <f t="shared" si="0"/>
        <v>4427.2</v>
      </c>
      <c r="N41" s="229"/>
      <c r="O41" s="684"/>
      <c r="P41" s="55"/>
      <c r="Q41" s="55"/>
      <c r="R41" s="55"/>
      <c r="S41" s="5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</row>
    <row r="42" spans="1:58" hidden="1">
      <c r="A42" s="27">
        <f t="shared" ref="A42:A105" si="6">+A41+1</f>
        <v>3</v>
      </c>
      <c r="B42" s="109">
        <f t="shared" si="1"/>
        <v>13061.3</v>
      </c>
      <c r="C42" s="109">
        <f t="shared" si="2"/>
        <v>13116.05</v>
      </c>
      <c r="D42" s="231">
        <f t="shared" si="4"/>
        <v>13061.3</v>
      </c>
      <c r="E42" s="231">
        <f t="shared" si="5"/>
        <v>13116.05</v>
      </c>
      <c r="F42" s="304">
        <f t="shared" si="3"/>
        <v>13061.3</v>
      </c>
      <c r="G42" s="304">
        <f t="shared" si="3"/>
        <v>13116.05</v>
      </c>
      <c r="H42" s="55"/>
      <c r="I42" s="260">
        <v>650000</v>
      </c>
      <c r="J42" s="197">
        <v>0.95</v>
      </c>
      <c r="K42" s="219"/>
      <c r="L42" s="199">
        <v>250000</v>
      </c>
      <c r="M42" s="197">
        <f t="shared" ref="M42:M52" si="7">ROUND(L42/$L$33*$M$33,2)</f>
        <v>5534</v>
      </c>
      <c r="N42" s="229"/>
      <c r="O42" s="684"/>
      <c r="P42" s="55"/>
      <c r="Q42" s="55"/>
      <c r="R42" s="55"/>
      <c r="S42" s="5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</row>
    <row r="43" spans="1:58" hidden="1">
      <c r="A43" s="27">
        <f t="shared" si="6"/>
        <v>4</v>
      </c>
      <c r="B43" s="109">
        <f t="shared" si="1"/>
        <v>13061.3</v>
      </c>
      <c r="C43" s="109">
        <f t="shared" si="2"/>
        <v>13116.05</v>
      </c>
      <c r="D43" s="231">
        <f t="shared" si="4"/>
        <v>13061.3</v>
      </c>
      <c r="E43" s="231">
        <f t="shared" si="5"/>
        <v>13116.05</v>
      </c>
      <c r="F43" s="304">
        <f t="shared" si="3"/>
        <v>13061.3</v>
      </c>
      <c r="G43" s="304">
        <f t="shared" si="3"/>
        <v>13116.05</v>
      </c>
      <c r="H43" s="55"/>
      <c r="I43" s="260">
        <v>700000</v>
      </c>
      <c r="J43" s="197">
        <v>0.96</v>
      </c>
      <c r="K43" s="219"/>
      <c r="L43" s="199">
        <v>300000</v>
      </c>
      <c r="M43" s="197">
        <f t="shared" si="7"/>
        <v>6640.8</v>
      </c>
      <c r="N43" s="229"/>
      <c r="O43" s="684"/>
      <c r="P43" s="55"/>
      <c r="Q43" s="55"/>
      <c r="R43" s="55"/>
      <c r="S43" s="5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</row>
    <row r="44" spans="1:58" hidden="1">
      <c r="A44" s="27">
        <f t="shared" si="6"/>
        <v>5</v>
      </c>
      <c r="B44" s="109">
        <f t="shared" si="1"/>
        <v>13061.3</v>
      </c>
      <c r="C44" s="109">
        <f t="shared" si="2"/>
        <v>13116.05</v>
      </c>
      <c r="D44" s="231">
        <f t="shared" si="4"/>
        <v>13061.3</v>
      </c>
      <c r="E44" s="231">
        <f t="shared" si="5"/>
        <v>13116.05</v>
      </c>
      <c r="F44" s="304">
        <f t="shared" si="3"/>
        <v>13061.3</v>
      </c>
      <c r="G44" s="304">
        <f t="shared" si="3"/>
        <v>13116.05</v>
      </c>
      <c r="H44" s="55"/>
      <c r="I44" s="260">
        <v>750000</v>
      </c>
      <c r="J44" s="197">
        <v>0.97</v>
      </c>
      <c r="K44" s="219"/>
      <c r="L44" s="199">
        <v>350000</v>
      </c>
      <c r="M44" s="197">
        <f t="shared" si="7"/>
        <v>7747.6</v>
      </c>
      <c r="N44" s="229"/>
      <c r="O44" s="684"/>
      <c r="P44" s="55"/>
      <c r="Q44" s="55"/>
      <c r="R44" s="55"/>
      <c r="S44" s="5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</row>
    <row r="45" spans="1:58" hidden="1">
      <c r="A45" s="27">
        <f t="shared" si="6"/>
        <v>6</v>
      </c>
      <c r="B45" s="109">
        <f t="shared" si="1"/>
        <v>13061.3</v>
      </c>
      <c r="C45" s="109">
        <f t="shared" si="2"/>
        <v>13116.05</v>
      </c>
      <c r="D45" s="231">
        <f t="shared" si="4"/>
        <v>13061.3</v>
      </c>
      <c r="E45" s="231">
        <f t="shared" si="5"/>
        <v>13116.05</v>
      </c>
      <c r="F45" s="304">
        <f t="shared" ref="F45:F76" si="8">ROUND(D45*$G$37,2)</f>
        <v>13061.3</v>
      </c>
      <c r="G45" s="304">
        <f t="shared" ref="G45:G103" si="9">ROUND(E45*$G$37,2)</f>
        <v>13116.05</v>
      </c>
      <c r="H45" s="55"/>
      <c r="I45" s="260">
        <v>1000000</v>
      </c>
      <c r="J45" s="197">
        <v>1</v>
      </c>
      <c r="K45" s="219"/>
      <c r="L45" s="199">
        <v>400000</v>
      </c>
      <c r="M45" s="197">
        <f t="shared" si="7"/>
        <v>8854.4</v>
      </c>
      <c r="N45" s="229"/>
      <c r="O45" s="684"/>
      <c r="P45" s="55"/>
      <c r="Q45" s="55"/>
      <c r="R45" s="55"/>
      <c r="S45" s="5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</row>
    <row r="46" spans="1:58" hidden="1">
      <c r="A46" s="27">
        <f t="shared" si="6"/>
        <v>7</v>
      </c>
      <c r="B46" s="109">
        <f t="shared" si="1"/>
        <v>13061.3</v>
      </c>
      <c r="C46" s="109">
        <f t="shared" si="2"/>
        <v>13116.05</v>
      </c>
      <c r="D46" s="231">
        <f t="shared" si="4"/>
        <v>13061.3</v>
      </c>
      <c r="E46" s="231">
        <f t="shared" si="5"/>
        <v>13116.05</v>
      </c>
      <c r="F46" s="304">
        <f t="shared" si="8"/>
        <v>13061.3</v>
      </c>
      <c r="G46" s="304">
        <f t="shared" si="9"/>
        <v>13116.05</v>
      </c>
      <c r="H46" s="55"/>
      <c r="I46" s="260">
        <v>2000000</v>
      </c>
      <c r="J46" s="197">
        <v>1.08</v>
      </c>
      <c r="K46" s="219"/>
      <c r="L46" s="199">
        <v>450000</v>
      </c>
      <c r="M46" s="197">
        <f t="shared" si="7"/>
        <v>9961.2000000000007</v>
      </c>
      <c r="N46" s="229"/>
      <c r="O46" s="684"/>
      <c r="P46" s="55"/>
      <c r="Q46" s="55"/>
      <c r="R46" s="55"/>
      <c r="S46" s="5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</row>
    <row r="47" spans="1:58" hidden="1">
      <c r="A47" s="27">
        <f t="shared" si="6"/>
        <v>8</v>
      </c>
      <c r="B47" s="109">
        <f t="shared" si="1"/>
        <v>13061.3</v>
      </c>
      <c r="C47" s="109">
        <f t="shared" si="2"/>
        <v>13116.05</v>
      </c>
      <c r="D47" s="231">
        <f t="shared" si="4"/>
        <v>13061.3</v>
      </c>
      <c r="E47" s="231">
        <f t="shared" si="5"/>
        <v>13116.05</v>
      </c>
      <c r="F47" s="304">
        <f t="shared" si="8"/>
        <v>13061.3</v>
      </c>
      <c r="G47" s="304">
        <f t="shared" si="9"/>
        <v>13116.05</v>
      </c>
      <c r="H47" s="55"/>
      <c r="I47" s="260">
        <v>3000000</v>
      </c>
      <c r="J47" s="197">
        <v>1.1299999999999999</v>
      </c>
      <c r="K47" s="219"/>
      <c r="L47" s="199">
        <v>500000</v>
      </c>
      <c r="M47" s="197">
        <f t="shared" si="7"/>
        <v>11068</v>
      </c>
      <c r="N47" s="229"/>
      <c r="O47" s="684"/>
      <c r="P47" s="55"/>
      <c r="Q47" s="55"/>
      <c r="R47" s="55"/>
      <c r="S47" s="5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</row>
    <row r="48" spans="1:58" hidden="1">
      <c r="A48" s="27">
        <f t="shared" si="6"/>
        <v>9</v>
      </c>
      <c r="B48" s="109">
        <f t="shared" si="1"/>
        <v>13061.3</v>
      </c>
      <c r="C48" s="109">
        <f t="shared" si="2"/>
        <v>13116.05</v>
      </c>
      <c r="D48" s="231">
        <f t="shared" si="4"/>
        <v>13061.3</v>
      </c>
      <c r="E48" s="231">
        <f t="shared" si="5"/>
        <v>13116.05</v>
      </c>
      <c r="F48" s="304">
        <f t="shared" si="8"/>
        <v>13061.3</v>
      </c>
      <c r="G48" s="304">
        <f t="shared" si="9"/>
        <v>13116.05</v>
      </c>
      <c r="H48" s="55"/>
      <c r="I48" s="260">
        <v>4000000</v>
      </c>
      <c r="J48" s="197">
        <v>1.1599999999999999</v>
      </c>
      <c r="K48" s="219"/>
      <c r="L48" s="199">
        <v>550000</v>
      </c>
      <c r="M48" s="197">
        <f t="shared" si="7"/>
        <v>12174.8</v>
      </c>
      <c r="N48" s="229"/>
      <c r="O48" s="684"/>
      <c r="P48" s="55"/>
      <c r="Q48" s="55"/>
      <c r="R48" s="55"/>
      <c r="S48" s="5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</row>
    <row r="49" spans="1:58" hidden="1">
      <c r="A49" s="27">
        <f t="shared" si="6"/>
        <v>10</v>
      </c>
      <c r="B49" s="109">
        <f t="shared" si="1"/>
        <v>13061.3</v>
      </c>
      <c r="C49" s="109">
        <f t="shared" si="2"/>
        <v>13116.05</v>
      </c>
      <c r="D49" s="231">
        <f t="shared" si="4"/>
        <v>13061.3</v>
      </c>
      <c r="E49" s="231">
        <f t="shared" si="5"/>
        <v>13116.05</v>
      </c>
      <c r="F49" s="304">
        <f t="shared" si="8"/>
        <v>13061.3</v>
      </c>
      <c r="G49" s="304">
        <f t="shared" si="9"/>
        <v>13116.05</v>
      </c>
      <c r="H49" s="55"/>
      <c r="I49" s="260">
        <v>5000000</v>
      </c>
      <c r="J49" s="197">
        <v>1.18</v>
      </c>
      <c r="K49" s="219"/>
      <c r="L49" s="199">
        <v>600000</v>
      </c>
      <c r="M49" s="197">
        <f t="shared" si="7"/>
        <v>13281.6</v>
      </c>
      <c r="N49" s="229"/>
      <c r="O49" s="684"/>
      <c r="P49" s="55"/>
      <c r="Q49" s="55"/>
      <c r="R49" s="55"/>
      <c r="S49" s="5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</row>
    <row r="50" spans="1:58" hidden="1">
      <c r="A50" s="27">
        <f t="shared" si="6"/>
        <v>11</v>
      </c>
      <c r="B50" s="109">
        <f t="shared" si="1"/>
        <v>13209.16</v>
      </c>
      <c r="C50" s="109">
        <f t="shared" si="2"/>
        <v>13109.5</v>
      </c>
      <c r="D50" s="231">
        <f t="shared" si="4"/>
        <v>13209.16</v>
      </c>
      <c r="E50" s="231">
        <f t="shared" si="5"/>
        <v>13109.5</v>
      </c>
      <c r="F50" s="304">
        <f t="shared" si="8"/>
        <v>13209.16</v>
      </c>
      <c r="G50" s="304">
        <f t="shared" si="9"/>
        <v>13109.5</v>
      </c>
      <c r="H50" s="55"/>
      <c r="I50" s="260">
        <v>6000000</v>
      </c>
      <c r="J50" s="197">
        <v>1.2</v>
      </c>
      <c r="K50" s="219"/>
      <c r="L50" s="199">
        <v>650000</v>
      </c>
      <c r="M50" s="197">
        <f t="shared" si="7"/>
        <v>14388.4</v>
      </c>
      <c r="N50" s="229"/>
      <c r="O50" s="684"/>
      <c r="P50" s="55"/>
      <c r="Q50" s="55"/>
      <c r="R50" s="55"/>
      <c r="S50" s="5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</row>
    <row r="51" spans="1:58" hidden="1">
      <c r="A51" s="27">
        <f t="shared" si="6"/>
        <v>12</v>
      </c>
      <c r="B51" s="109">
        <f t="shared" si="1"/>
        <v>13160.04</v>
      </c>
      <c r="C51" s="109">
        <f t="shared" si="2"/>
        <v>13235.31</v>
      </c>
      <c r="D51" s="231">
        <f t="shared" si="4"/>
        <v>13160.04</v>
      </c>
      <c r="E51" s="231">
        <f t="shared" si="5"/>
        <v>13235.31</v>
      </c>
      <c r="F51" s="304">
        <f t="shared" si="8"/>
        <v>13160.04</v>
      </c>
      <c r="G51" s="304">
        <f t="shared" si="9"/>
        <v>13235.31</v>
      </c>
      <c r="H51" s="55"/>
      <c r="I51" s="260">
        <v>7000000</v>
      </c>
      <c r="J51" s="197">
        <v>1.22</v>
      </c>
      <c r="K51" s="219"/>
      <c r="L51" s="199">
        <v>700000</v>
      </c>
      <c r="M51" s="197">
        <f t="shared" si="7"/>
        <v>15495.2</v>
      </c>
      <c r="N51" s="229"/>
      <c r="O51" s="684"/>
      <c r="P51" s="55"/>
      <c r="Q51" s="55"/>
      <c r="R51" s="55"/>
      <c r="S51" s="5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</row>
    <row r="52" spans="1:58" hidden="1">
      <c r="A52" s="27">
        <f t="shared" si="6"/>
        <v>13</v>
      </c>
      <c r="B52" s="109">
        <f t="shared" si="1"/>
        <v>13062.51</v>
      </c>
      <c r="C52" s="109">
        <f t="shared" si="2"/>
        <v>13152.95</v>
      </c>
      <c r="D52" s="231">
        <f t="shared" si="4"/>
        <v>13062.51</v>
      </c>
      <c r="E52" s="231">
        <f t="shared" si="5"/>
        <v>13152.95</v>
      </c>
      <c r="F52" s="304">
        <f t="shared" si="8"/>
        <v>13062.51</v>
      </c>
      <c r="G52" s="304">
        <f t="shared" si="9"/>
        <v>13152.95</v>
      </c>
      <c r="H52" s="55"/>
      <c r="I52" s="260">
        <v>8000000</v>
      </c>
      <c r="J52" s="197">
        <v>1.24</v>
      </c>
      <c r="K52" s="219"/>
      <c r="L52" s="199">
        <v>750000</v>
      </c>
      <c r="M52" s="197">
        <f t="shared" si="7"/>
        <v>16602</v>
      </c>
      <c r="N52" s="229"/>
      <c r="O52" s="684"/>
      <c r="P52" s="55"/>
      <c r="Q52" s="55"/>
      <c r="R52" s="55"/>
      <c r="S52" s="5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</row>
    <row r="53" spans="1:58" hidden="1">
      <c r="A53" s="27">
        <f t="shared" si="6"/>
        <v>14</v>
      </c>
      <c r="B53" s="109">
        <f t="shared" si="1"/>
        <v>12709.26</v>
      </c>
      <c r="C53" s="109">
        <f t="shared" si="2"/>
        <v>12896.85</v>
      </c>
      <c r="D53" s="231">
        <f t="shared" si="4"/>
        <v>12709.26</v>
      </c>
      <c r="E53" s="231">
        <f t="shared" si="5"/>
        <v>12896.85</v>
      </c>
      <c r="F53" s="304">
        <f t="shared" si="8"/>
        <v>12709.26</v>
      </c>
      <c r="G53" s="304">
        <f t="shared" si="9"/>
        <v>12896.85</v>
      </c>
      <c r="H53" s="55"/>
      <c r="I53" s="260">
        <v>9000000</v>
      </c>
      <c r="J53" s="197">
        <v>1.25</v>
      </c>
      <c r="K53"/>
      <c r="L53" s="199">
        <v>800000</v>
      </c>
      <c r="M53" s="197">
        <f>ROUND(L53/$L$33*$M$33,2)</f>
        <v>17708.8</v>
      </c>
      <c r="N53" s="229"/>
      <c r="O53" s="684"/>
      <c r="P53" s="55"/>
      <c r="Q53" s="55"/>
      <c r="R53" s="55"/>
      <c r="S53" s="5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</row>
    <row r="54" spans="1:58" hidden="1">
      <c r="A54" s="27">
        <f t="shared" si="6"/>
        <v>15</v>
      </c>
      <c r="B54" s="109">
        <f t="shared" si="1"/>
        <v>12756.31</v>
      </c>
      <c r="C54" s="109">
        <f t="shared" si="2"/>
        <v>12685.79</v>
      </c>
      <c r="D54" s="231">
        <f t="shared" si="4"/>
        <v>12756.31</v>
      </c>
      <c r="E54" s="231">
        <f t="shared" si="5"/>
        <v>12685.79</v>
      </c>
      <c r="F54" s="304">
        <f t="shared" si="8"/>
        <v>12756.31</v>
      </c>
      <c r="G54" s="304">
        <f t="shared" si="9"/>
        <v>12685.79</v>
      </c>
      <c r="H54" s="55"/>
      <c r="I54" s="260">
        <v>10000000</v>
      </c>
      <c r="J54" s="197">
        <v>1.26</v>
      </c>
      <c r="K54"/>
      <c r="L54" s="199">
        <v>850000</v>
      </c>
      <c r="M54" s="197">
        <f>ROUND(L54/$L$33*$M$33,2)</f>
        <v>18815.599999999999</v>
      </c>
      <c r="N54" s="229"/>
      <c r="O54" s="684"/>
      <c r="P54" s="55"/>
      <c r="Q54" s="55"/>
      <c r="R54" s="55"/>
      <c r="S54" s="5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</row>
    <row r="55" spans="1:58" ht="13" hidden="1" thickBot="1">
      <c r="A55" s="27">
        <f t="shared" si="6"/>
        <v>16</v>
      </c>
      <c r="B55" s="109">
        <f t="shared" si="1"/>
        <v>12540.11</v>
      </c>
      <c r="C55" s="109">
        <f t="shared" si="2"/>
        <v>11728.11</v>
      </c>
      <c r="D55" s="231">
        <f t="shared" si="4"/>
        <v>12540.11</v>
      </c>
      <c r="E55" s="231">
        <f t="shared" si="5"/>
        <v>11728.11</v>
      </c>
      <c r="F55" s="304">
        <f t="shared" si="8"/>
        <v>12540.11</v>
      </c>
      <c r="G55" s="304">
        <f t="shared" si="9"/>
        <v>11728.11</v>
      </c>
      <c r="H55" s="55"/>
      <c r="I55" s="260">
        <v>20000000</v>
      </c>
      <c r="J55" s="197">
        <v>1.34</v>
      </c>
      <c r="K55" s="310"/>
      <c r="L55" s="200">
        <v>900000</v>
      </c>
      <c r="M55" s="198">
        <f>ROUND(L55/$L$33*$M$33,2)</f>
        <v>19922.400000000001</v>
      </c>
      <c r="N55" s="229"/>
      <c r="O55" s="684"/>
      <c r="P55" s="55"/>
      <c r="Q55" s="55"/>
      <c r="R55" s="55"/>
      <c r="S55" s="5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</row>
    <row r="56" spans="1:58" ht="13" hidden="1" thickTop="1">
      <c r="A56" s="27">
        <f t="shared" si="6"/>
        <v>17</v>
      </c>
      <c r="B56" s="109">
        <f t="shared" si="1"/>
        <v>12620.51</v>
      </c>
      <c r="C56" s="109">
        <f t="shared" si="2"/>
        <v>11920.72</v>
      </c>
      <c r="D56" s="231">
        <f t="shared" si="4"/>
        <v>12620.51</v>
      </c>
      <c r="E56" s="231">
        <f t="shared" si="5"/>
        <v>11920.72</v>
      </c>
      <c r="F56" s="304">
        <f t="shared" si="8"/>
        <v>12620.51</v>
      </c>
      <c r="G56" s="304">
        <f t="shared" si="9"/>
        <v>11920.72</v>
      </c>
      <c r="H56" s="55"/>
      <c r="I56" s="260">
        <v>30000000</v>
      </c>
      <c r="J56" s="197">
        <v>1.39</v>
      </c>
      <c r="K56" s="310"/>
      <c r="N56" s="55"/>
      <c r="O56" s="55"/>
      <c r="P56" s="55"/>
      <c r="Q56" s="55"/>
      <c r="R56" s="55"/>
      <c r="S56" s="5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</row>
    <row r="57" spans="1:58" hidden="1">
      <c r="A57" s="27">
        <f t="shared" si="6"/>
        <v>18</v>
      </c>
      <c r="B57" s="109">
        <f t="shared" si="1"/>
        <v>12974.47</v>
      </c>
      <c r="C57" s="109">
        <f t="shared" si="2"/>
        <v>11553.12</v>
      </c>
      <c r="D57" s="231">
        <f t="shared" si="4"/>
        <v>12974.47</v>
      </c>
      <c r="E57" s="231">
        <f t="shared" si="5"/>
        <v>11553.12</v>
      </c>
      <c r="F57" s="304">
        <f t="shared" si="8"/>
        <v>12974.47</v>
      </c>
      <c r="G57" s="304">
        <f t="shared" si="9"/>
        <v>11553.12</v>
      </c>
      <c r="H57" s="55"/>
      <c r="I57" s="260">
        <v>40000000</v>
      </c>
      <c r="J57" s="197">
        <v>1.42</v>
      </c>
      <c r="K57" s="310"/>
      <c r="N57" s="55"/>
      <c r="O57" s="55"/>
      <c r="P57" s="55"/>
      <c r="Q57" s="55"/>
      <c r="R57" s="55"/>
      <c r="S57" s="5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</row>
    <row r="58" spans="1:58" hidden="1">
      <c r="A58" s="27">
        <f t="shared" si="6"/>
        <v>19</v>
      </c>
      <c r="B58" s="109">
        <f t="shared" si="1"/>
        <v>13406.2</v>
      </c>
      <c r="C58" s="109">
        <f t="shared" si="2"/>
        <v>11722.65</v>
      </c>
      <c r="D58" s="231">
        <f t="shared" si="4"/>
        <v>13406.2</v>
      </c>
      <c r="E58" s="231">
        <f t="shared" si="5"/>
        <v>11722.65</v>
      </c>
      <c r="F58" s="304">
        <f t="shared" si="8"/>
        <v>13406.2</v>
      </c>
      <c r="G58" s="304">
        <f t="shared" si="9"/>
        <v>11722.65</v>
      </c>
      <c r="H58" s="55"/>
      <c r="I58" s="260">
        <v>50000000</v>
      </c>
      <c r="J58" s="197">
        <v>1.45</v>
      </c>
      <c r="K58" s="310"/>
      <c r="N58" s="55"/>
      <c r="O58" s="55"/>
      <c r="P58" s="55"/>
      <c r="Q58" s="55"/>
      <c r="R58" s="55"/>
      <c r="S58" s="5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</row>
    <row r="59" spans="1:58" hidden="1">
      <c r="A59" s="27">
        <f t="shared" si="6"/>
        <v>20</v>
      </c>
      <c r="B59" s="109">
        <f t="shared" si="1"/>
        <v>13894.05</v>
      </c>
      <c r="C59" s="109">
        <f t="shared" si="2"/>
        <v>13881.66</v>
      </c>
      <c r="D59" s="231">
        <f t="shared" si="4"/>
        <v>13894.05</v>
      </c>
      <c r="E59" s="231">
        <f t="shared" si="5"/>
        <v>13881.66</v>
      </c>
      <c r="F59" s="304">
        <f t="shared" si="8"/>
        <v>13894.05</v>
      </c>
      <c r="G59" s="304">
        <f t="shared" si="9"/>
        <v>13881.66</v>
      </c>
      <c r="H59" s="55"/>
      <c r="I59" s="260">
        <v>60000000</v>
      </c>
      <c r="J59" s="197">
        <v>1.46</v>
      </c>
      <c r="K59" s="310"/>
      <c r="N59" s="55"/>
      <c r="O59" s="55"/>
      <c r="P59" s="55"/>
      <c r="Q59" s="55"/>
      <c r="R59" s="55"/>
      <c r="S59" s="5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</row>
    <row r="60" spans="1:58" hidden="1">
      <c r="A60" s="27">
        <f t="shared" si="6"/>
        <v>21</v>
      </c>
      <c r="B60" s="109">
        <f t="shared" si="1"/>
        <v>14878.95</v>
      </c>
      <c r="C60" s="109">
        <f t="shared" si="2"/>
        <v>17774.3</v>
      </c>
      <c r="D60" s="231">
        <f t="shared" si="4"/>
        <v>14878.95</v>
      </c>
      <c r="E60" s="231">
        <f t="shared" si="5"/>
        <v>17774.3</v>
      </c>
      <c r="F60" s="304">
        <f t="shared" si="8"/>
        <v>14878.95</v>
      </c>
      <c r="G60" s="304">
        <f t="shared" si="9"/>
        <v>17774.3</v>
      </c>
      <c r="H60" s="55"/>
      <c r="I60" s="260">
        <v>70000000</v>
      </c>
      <c r="J60" s="197">
        <v>1.48</v>
      </c>
      <c r="K60" s="310"/>
      <c r="N60" s="55"/>
      <c r="O60" s="55"/>
      <c r="P60" s="55"/>
      <c r="Q60" s="55"/>
      <c r="R60" s="55"/>
      <c r="S60" s="5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</row>
    <row r="61" spans="1:58" hidden="1">
      <c r="A61" s="27">
        <f t="shared" si="6"/>
        <v>22</v>
      </c>
      <c r="B61" s="109">
        <f t="shared" si="1"/>
        <v>15528.67</v>
      </c>
      <c r="C61" s="109">
        <f t="shared" si="2"/>
        <v>18621.63</v>
      </c>
      <c r="D61" s="231">
        <f t="shared" si="4"/>
        <v>15528.67</v>
      </c>
      <c r="E61" s="231">
        <f t="shared" si="5"/>
        <v>18621.63</v>
      </c>
      <c r="F61" s="304">
        <f t="shared" si="8"/>
        <v>15528.67</v>
      </c>
      <c r="G61" s="304">
        <f t="shared" si="9"/>
        <v>18621.63</v>
      </c>
      <c r="H61" s="55"/>
      <c r="I61" s="260">
        <v>100000000</v>
      </c>
      <c r="J61" s="197">
        <v>1.53</v>
      </c>
      <c r="K61" s="310"/>
      <c r="N61" s="55"/>
      <c r="O61" s="55"/>
      <c r="P61" s="55"/>
      <c r="Q61" s="55"/>
      <c r="R61" s="55"/>
      <c r="S61" s="5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</row>
    <row r="62" spans="1:58" hidden="1">
      <c r="A62" s="27">
        <f t="shared" si="6"/>
        <v>23</v>
      </c>
      <c r="B62" s="109">
        <f t="shared" si="1"/>
        <v>16559.22</v>
      </c>
      <c r="C62" s="109">
        <f t="shared" si="2"/>
        <v>19491.04</v>
      </c>
      <c r="D62" s="231">
        <f t="shared" si="4"/>
        <v>16559.22</v>
      </c>
      <c r="E62" s="231">
        <f t="shared" si="5"/>
        <v>19491.04</v>
      </c>
      <c r="F62" s="304">
        <f t="shared" si="8"/>
        <v>16559.22</v>
      </c>
      <c r="G62" s="304">
        <f t="shared" si="9"/>
        <v>19491.04</v>
      </c>
      <c r="H62" s="55"/>
      <c r="I62" s="718">
        <v>125000000</v>
      </c>
      <c r="J62" s="719">
        <v>1.55</v>
      </c>
      <c r="K62" s="310"/>
      <c r="N62" s="55"/>
      <c r="O62" s="55"/>
      <c r="P62" s="55"/>
      <c r="Q62" s="55"/>
      <c r="R62" s="55"/>
      <c r="S62" s="5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</row>
    <row r="63" spans="1:58" hidden="1">
      <c r="A63" s="27">
        <f t="shared" si="6"/>
        <v>24</v>
      </c>
      <c r="B63" s="109">
        <f t="shared" si="1"/>
        <v>17231.34</v>
      </c>
      <c r="C63" s="109">
        <f t="shared" si="2"/>
        <v>20402.39</v>
      </c>
      <c r="D63" s="231">
        <f t="shared" si="4"/>
        <v>17231.34</v>
      </c>
      <c r="E63" s="231">
        <f t="shared" si="5"/>
        <v>20402.39</v>
      </c>
      <c r="F63" s="304">
        <f t="shared" si="8"/>
        <v>17231.34</v>
      </c>
      <c r="G63" s="304">
        <f t="shared" si="9"/>
        <v>20402.39</v>
      </c>
      <c r="H63" s="55"/>
      <c r="I63" s="718">
        <v>150000000</v>
      </c>
      <c r="J63" s="719">
        <v>1.57</v>
      </c>
      <c r="K63" s="310"/>
      <c r="N63" s="55"/>
      <c r="O63" s="55"/>
      <c r="P63" s="55"/>
      <c r="Q63" s="55"/>
      <c r="R63" s="55"/>
      <c r="S63" s="5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</row>
    <row r="64" spans="1:58" hidden="1">
      <c r="A64" s="27">
        <f t="shared" si="6"/>
        <v>25</v>
      </c>
      <c r="B64" s="109">
        <f t="shared" si="1"/>
        <v>17905.41</v>
      </c>
      <c r="C64" s="109">
        <f t="shared" si="2"/>
        <v>21346.959999999999</v>
      </c>
      <c r="D64" s="231">
        <f t="shared" si="4"/>
        <v>17905.41</v>
      </c>
      <c r="E64" s="231">
        <f t="shared" si="5"/>
        <v>21346.959999999999</v>
      </c>
      <c r="F64" s="304">
        <f t="shared" si="8"/>
        <v>17905.41</v>
      </c>
      <c r="G64" s="304">
        <f t="shared" si="9"/>
        <v>21346.959999999999</v>
      </c>
      <c r="H64" s="55"/>
      <c r="I64" s="260"/>
      <c r="J64" s="197"/>
      <c r="K64" s="310"/>
      <c r="N64" s="55"/>
      <c r="O64" s="55"/>
      <c r="P64" s="55"/>
      <c r="Q64" s="55"/>
      <c r="R64" s="55"/>
      <c r="S64" s="5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</row>
    <row r="65" spans="1:58" hidden="1">
      <c r="A65" s="27">
        <f t="shared" si="6"/>
        <v>26</v>
      </c>
      <c r="B65" s="109">
        <f t="shared" si="1"/>
        <v>19091.810000000001</v>
      </c>
      <c r="C65" s="109">
        <f t="shared" si="2"/>
        <v>22175.3</v>
      </c>
      <c r="D65" s="231">
        <f t="shared" si="4"/>
        <v>19091.810000000001</v>
      </c>
      <c r="E65" s="231">
        <f t="shared" si="5"/>
        <v>22175.3</v>
      </c>
      <c r="F65" s="304">
        <f t="shared" si="8"/>
        <v>19091.810000000001</v>
      </c>
      <c r="G65" s="304">
        <f t="shared" si="9"/>
        <v>22175.3</v>
      </c>
      <c r="H65" s="55"/>
      <c r="I65" s="260"/>
      <c r="J65" s="197"/>
      <c r="K65" s="310"/>
      <c r="N65" s="55"/>
      <c r="O65" s="55"/>
      <c r="P65" s="55"/>
      <c r="Q65" s="55"/>
      <c r="R65" s="55"/>
      <c r="S65" s="5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</row>
    <row r="66" spans="1:58" hidden="1">
      <c r="A66" s="27">
        <f t="shared" si="6"/>
        <v>27</v>
      </c>
      <c r="B66" s="109">
        <f t="shared" si="1"/>
        <v>19936.54</v>
      </c>
      <c r="C66" s="109">
        <f t="shared" si="2"/>
        <v>23188.38</v>
      </c>
      <c r="D66" s="231">
        <f t="shared" si="4"/>
        <v>19936.54</v>
      </c>
      <c r="E66" s="231">
        <f t="shared" si="5"/>
        <v>23188.38</v>
      </c>
      <c r="F66" s="304">
        <f t="shared" si="8"/>
        <v>19936.54</v>
      </c>
      <c r="G66" s="304">
        <f t="shared" si="9"/>
        <v>23188.38</v>
      </c>
      <c r="H66" s="55"/>
      <c r="I66" s="260"/>
      <c r="J66" s="197"/>
      <c r="K66" s="310"/>
      <c r="N66" s="55"/>
      <c r="O66" s="55"/>
      <c r="P66" s="55"/>
      <c r="Q66" s="55"/>
      <c r="R66" s="55"/>
      <c r="S66" s="5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</row>
    <row r="67" spans="1:58" hidden="1">
      <c r="A67" s="27">
        <f t="shared" si="6"/>
        <v>28</v>
      </c>
      <c r="B67" s="109">
        <f t="shared" si="1"/>
        <v>21085.5</v>
      </c>
      <c r="C67" s="109">
        <f t="shared" si="2"/>
        <v>24269.53</v>
      </c>
      <c r="D67" s="231">
        <f t="shared" si="4"/>
        <v>21085.5</v>
      </c>
      <c r="E67" s="231">
        <f t="shared" si="5"/>
        <v>24269.53</v>
      </c>
      <c r="F67" s="304">
        <f t="shared" si="8"/>
        <v>21085.5</v>
      </c>
      <c r="G67" s="304">
        <f t="shared" si="9"/>
        <v>24269.53</v>
      </c>
      <c r="H67" s="55"/>
      <c r="I67" s="260"/>
      <c r="J67" s="197"/>
      <c r="K67" s="310"/>
      <c r="N67" s="55"/>
      <c r="O67" s="55"/>
      <c r="P67" s="55"/>
      <c r="Q67" s="55"/>
      <c r="R67" s="55"/>
      <c r="S67" s="5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</row>
    <row r="68" spans="1:58" ht="13" hidden="1" thickBot="1">
      <c r="A68" s="27">
        <f t="shared" si="6"/>
        <v>29</v>
      </c>
      <c r="B68" s="109">
        <f t="shared" si="1"/>
        <v>22151.599999999999</v>
      </c>
      <c r="C68" s="109">
        <f t="shared" si="2"/>
        <v>25360.58</v>
      </c>
      <c r="D68" s="231">
        <f t="shared" si="4"/>
        <v>22151.599999999999</v>
      </c>
      <c r="E68" s="231">
        <f t="shared" si="5"/>
        <v>25360.58</v>
      </c>
      <c r="F68" s="304">
        <f t="shared" si="8"/>
        <v>22151.599999999999</v>
      </c>
      <c r="G68" s="304">
        <f t="shared" si="9"/>
        <v>25360.58</v>
      </c>
      <c r="H68" s="55"/>
      <c r="I68" s="200"/>
      <c r="J68" s="198"/>
      <c r="K68" s="310"/>
      <c r="N68" s="55"/>
      <c r="O68" s="55"/>
      <c r="P68" s="55"/>
      <c r="Q68" s="55"/>
      <c r="R68" s="55"/>
      <c r="S68" s="5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</row>
    <row r="69" spans="1:58" ht="13" hidden="1" thickTop="1">
      <c r="A69" s="27">
        <f t="shared" si="6"/>
        <v>30</v>
      </c>
      <c r="B69" s="109">
        <f t="shared" si="1"/>
        <v>23143.360000000001</v>
      </c>
      <c r="C69" s="109">
        <f t="shared" si="2"/>
        <v>26560.29</v>
      </c>
      <c r="D69" s="231">
        <f t="shared" si="4"/>
        <v>23143.360000000001</v>
      </c>
      <c r="E69" s="231">
        <f t="shared" si="5"/>
        <v>26560.29</v>
      </c>
      <c r="F69" s="304">
        <f t="shared" si="8"/>
        <v>23143.360000000001</v>
      </c>
      <c r="G69" s="304">
        <f t="shared" si="9"/>
        <v>26560.29</v>
      </c>
      <c r="H69" s="55"/>
      <c r="O69" s="55"/>
      <c r="P69" s="55"/>
      <c r="Q69" s="55"/>
      <c r="R69" s="55"/>
      <c r="S69" s="5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</row>
    <row r="70" spans="1:58" hidden="1">
      <c r="A70" s="27">
        <f t="shared" si="6"/>
        <v>31</v>
      </c>
      <c r="B70" s="109">
        <f t="shared" si="1"/>
        <v>24096.43</v>
      </c>
      <c r="C70" s="109">
        <f t="shared" si="2"/>
        <v>27792.3</v>
      </c>
      <c r="D70" s="231">
        <f t="shared" si="4"/>
        <v>24096.43</v>
      </c>
      <c r="E70" s="231">
        <f t="shared" si="5"/>
        <v>27792.3</v>
      </c>
      <c r="F70" s="304">
        <f t="shared" si="8"/>
        <v>24096.43</v>
      </c>
      <c r="G70" s="304">
        <f t="shared" si="9"/>
        <v>27792.3</v>
      </c>
      <c r="H70" s="55"/>
      <c r="O70" s="55"/>
      <c r="P70" s="55"/>
      <c r="Q70" s="55"/>
      <c r="R70" s="55"/>
      <c r="S70" s="5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</row>
    <row r="71" spans="1:58" hidden="1">
      <c r="A71" s="27">
        <f t="shared" si="6"/>
        <v>32</v>
      </c>
      <c r="B71" s="109">
        <f t="shared" ref="B71:B102" si="10">IF($A$37=$C$130,ROUND(C164*(1-DESC),2),ROUND(E164*(1-DESC),2))</f>
        <v>25578.22</v>
      </c>
      <c r="C71" s="109">
        <f t="shared" ref="C71:C102" si="11">IF($A$37=$C$130,ROUND(D164*(1-DESC),2),ROUND(F164*(1-DESC),2))</f>
        <v>29044.06</v>
      </c>
      <c r="D71" s="231">
        <f t="shared" si="4"/>
        <v>25578.22</v>
      </c>
      <c r="E71" s="231">
        <f t="shared" si="5"/>
        <v>29044.06</v>
      </c>
      <c r="F71" s="304">
        <f t="shared" si="8"/>
        <v>25578.22</v>
      </c>
      <c r="G71" s="304">
        <f t="shared" si="9"/>
        <v>29044.06</v>
      </c>
      <c r="H71" s="55"/>
      <c r="O71" s="55"/>
      <c r="P71" s="55"/>
      <c r="Q71" s="55"/>
      <c r="R71" s="55"/>
      <c r="S71" s="5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</row>
    <row r="72" spans="1:58" hidden="1">
      <c r="A72" s="27">
        <f t="shared" si="6"/>
        <v>33</v>
      </c>
      <c r="B72" s="109">
        <f t="shared" si="10"/>
        <v>26480.58</v>
      </c>
      <c r="C72" s="109">
        <f t="shared" si="11"/>
        <v>30319.85</v>
      </c>
      <c r="D72" s="231">
        <f t="shared" si="4"/>
        <v>26480.58</v>
      </c>
      <c r="E72" s="231">
        <f t="shared" ref="E72:E103" si="12">C72</f>
        <v>30319.85</v>
      </c>
      <c r="F72" s="304">
        <f t="shared" si="8"/>
        <v>26480.58</v>
      </c>
      <c r="G72" s="304">
        <f t="shared" si="9"/>
        <v>30319.85</v>
      </c>
      <c r="H72" s="55"/>
      <c r="O72" s="55"/>
      <c r="P72" s="55"/>
      <c r="Q72" s="55"/>
      <c r="R72" s="55"/>
      <c r="S72" s="5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</row>
    <row r="73" spans="1:58" hidden="1">
      <c r="A73" s="27">
        <f t="shared" si="6"/>
        <v>34</v>
      </c>
      <c r="B73" s="109">
        <f t="shared" si="10"/>
        <v>27962</v>
      </c>
      <c r="C73" s="109">
        <f t="shared" si="11"/>
        <v>31685.79</v>
      </c>
      <c r="D73" s="231">
        <f t="shared" si="4"/>
        <v>27962</v>
      </c>
      <c r="E73" s="231">
        <f t="shared" si="12"/>
        <v>31685.79</v>
      </c>
      <c r="F73" s="304">
        <f t="shared" si="8"/>
        <v>27962</v>
      </c>
      <c r="G73" s="304">
        <f t="shared" si="9"/>
        <v>31685.79</v>
      </c>
      <c r="H73" s="55"/>
      <c r="O73" s="55"/>
      <c r="P73" s="55"/>
      <c r="Q73" s="55"/>
      <c r="R73" s="55"/>
      <c r="S73" s="5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</row>
    <row r="74" spans="1:58" hidden="1">
      <c r="A74" s="27">
        <f t="shared" si="6"/>
        <v>35</v>
      </c>
      <c r="B74" s="109">
        <f t="shared" si="10"/>
        <v>29506.29</v>
      </c>
      <c r="C74" s="109">
        <f t="shared" si="11"/>
        <v>33133.22</v>
      </c>
      <c r="D74" s="231">
        <f t="shared" si="4"/>
        <v>29506.29</v>
      </c>
      <c r="E74" s="231">
        <f t="shared" si="12"/>
        <v>33133.22</v>
      </c>
      <c r="F74" s="304">
        <f t="shared" si="8"/>
        <v>29506.29</v>
      </c>
      <c r="G74" s="304">
        <f t="shared" si="9"/>
        <v>33133.22</v>
      </c>
      <c r="H74" s="55"/>
      <c r="O74" s="55"/>
      <c r="P74" s="55"/>
      <c r="Q74" s="55"/>
      <c r="R74" s="55"/>
      <c r="S74" s="5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</row>
    <row r="75" spans="1:58" hidden="1">
      <c r="A75" s="27">
        <f t="shared" si="6"/>
        <v>36</v>
      </c>
      <c r="B75" s="109">
        <f t="shared" si="10"/>
        <v>30767.63</v>
      </c>
      <c r="C75" s="109">
        <f t="shared" si="11"/>
        <v>34616.85</v>
      </c>
      <c r="D75" s="231">
        <f t="shared" si="4"/>
        <v>30767.63</v>
      </c>
      <c r="E75" s="231">
        <f t="shared" si="12"/>
        <v>34616.85</v>
      </c>
      <c r="F75" s="304">
        <f t="shared" si="8"/>
        <v>30767.63</v>
      </c>
      <c r="G75" s="304">
        <f t="shared" si="9"/>
        <v>34616.85</v>
      </c>
      <c r="H75" s="55"/>
      <c r="O75" s="55"/>
      <c r="P75" s="55"/>
      <c r="Q75" s="55"/>
      <c r="R75" s="55"/>
      <c r="S75" s="5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</row>
    <row r="76" spans="1:58" hidden="1">
      <c r="A76" s="27">
        <f t="shared" si="6"/>
        <v>37</v>
      </c>
      <c r="B76" s="109">
        <f t="shared" si="10"/>
        <v>32445.19</v>
      </c>
      <c r="C76" s="109">
        <f t="shared" si="11"/>
        <v>36271.96</v>
      </c>
      <c r="D76" s="231">
        <f t="shared" si="4"/>
        <v>32445.19</v>
      </c>
      <c r="E76" s="231">
        <f t="shared" si="12"/>
        <v>36271.96</v>
      </c>
      <c r="F76" s="304">
        <f t="shared" si="8"/>
        <v>32445.19</v>
      </c>
      <c r="G76" s="304">
        <f t="shared" si="9"/>
        <v>36271.96</v>
      </c>
      <c r="H76" s="55"/>
      <c r="O76" s="55"/>
      <c r="P76" s="55"/>
      <c r="Q76" s="55"/>
      <c r="R76" s="55"/>
      <c r="S76" s="5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</row>
    <row r="77" spans="1:58" hidden="1">
      <c r="A77" s="27">
        <f t="shared" si="6"/>
        <v>38</v>
      </c>
      <c r="B77" s="109">
        <f t="shared" si="10"/>
        <v>34175.25</v>
      </c>
      <c r="C77" s="109">
        <f t="shared" si="11"/>
        <v>37867.339999999997</v>
      </c>
      <c r="D77" s="231">
        <f t="shared" si="4"/>
        <v>34175.25</v>
      </c>
      <c r="E77" s="231">
        <f t="shared" si="12"/>
        <v>37867.339999999997</v>
      </c>
      <c r="F77" s="304">
        <f t="shared" ref="F77:F108" si="13">ROUND(D77*$G$37,2)</f>
        <v>34175.25</v>
      </c>
      <c r="G77" s="304">
        <f t="shared" si="9"/>
        <v>37867.339999999997</v>
      </c>
      <c r="H77" s="55"/>
      <c r="O77" s="55"/>
      <c r="P77" s="55"/>
      <c r="Q77" s="55"/>
      <c r="R77" s="55"/>
      <c r="S77" s="5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</row>
    <row r="78" spans="1:58" hidden="1">
      <c r="A78" s="27">
        <f t="shared" si="6"/>
        <v>39</v>
      </c>
      <c r="B78" s="109">
        <f t="shared" si="10"/>
        <v>36041.18</v>
      </c>
      <c r="C78" s="109">
        <f t="shared" si="11"/>
        <v>39583.699999999997</v>
      </c>
      <c r="D78" s="231">
        <f t="shared" si="4"/>
        <v>36041.18</v>
      </c>
      <c r="E78" s="231">
        <f t="shared" si="12"/>
        <v>39583.699999999997</v>
      </c>
      <c r="F78" s="304">
        <f t="shared" si="13"/>
        <v>36041.18</v>
      </c>
      <c r="G78" s="304">
        <f t="shared" si="9"/>
        <v>39583.699999999997</v>
      </c>
      <c r="H78" s="55"/>
      <c r="O78" s="55"/>
      <c r="P78" s="55"/>
      <c r="Q78" s="55"/>
      <c r="R78" s="55"/>
      <c r="S78" s="5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</row>
    <row r="79" spans="1:58" hidden="1">
      <c r="A79" s="27">
        <f t="shared" si="6"/>
        <v>40</v>
      </c>
      <c r="B79" s="109">
        <f t="shared" si="10"/>
        <v>37308.69</v>
      </c>
      <c r="C79" s="109">
        <f t="shared" si="11"/>
        <v>41362.29</v>
      </c>
      <c r="D79" s="231">
        <f t="shared" si="4"/>
        <v>37308.69</v>
      </c>
      <c r="E79" s="231">
        <f t="shared" si="12"/>
        <v>41362.29</v>
      </c>
      <c r="F79" s="304">
        <f t="shared" si="13"/>
        <v>37308.69</v>
      </c>
      <c r="G79" s="304">
        <f t="shared" si="9"/>
        <v>41362.29</v>
      </c>
      <c r="H79" s="55"/>
      <c r="O79" s="55"/>
      <c r="P79" s="55"/>
      <c r="Q79" s="55"/>
      <c r="R79" s="55"/>
      <c r="S79" s="5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</row>
    <row r="80" spans="1:58" hidden="1">
      <c r="A80" s="27">
        <f t="shared" si="6"/>
        <v>41</v>
      </c>
      <c r="B80" s="109">
        <f t="shared" si="10"/>
        <v>38696.870000000003</v>
      </c>
      <c r="C80" s="109">
        <f t="shared" si="11"/>
        <v>43227.79</v>
      </c>
      <c r="D80" s="231">
        <f t="shared" si="4"/>
        <v>38696.870000000003</v>
      </c>
      <c r="E80" s="231">
        <f t="shared" si="12"/>
        <v>43227.79</v>
      </c>
      <c r="F80" s="304">
        <f t="shared" si="13"/>
        <v>38696.870000000003</v>
      </c>
      <c r="G80" s="304">
        <f t="shared" si="9"/>
        <v>43227.79</v>
      </c>
      <c r="H80" s="55"/>
      <c r="O80" s="55"/>
      <c r="P80" s="55"/>
      <c r="Q80" s="55"/>
      <c r="R80" s="55"/>
      <c r="S80" s="5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</row>
    <row r="81" spans="1:58" hidden="1">
      <c r="A81" s="27">
        <f t="shared" si="6"/>
        <v>42</v>
      </c>
      <c r="B81" s="109">
        <f t="shared" si="10"/>
        <v>40198.410000000003</v>
      </c>
      <c r="C81" s="109">
        <f t="shared" si="11"/>
        <v>45169.15</v>
      </c>
      <c r="D81" s="231">
        <f t="shared" si="4"/>
        <v>40198.410000000003</v>
      </c>
      <c r="E81" s="231">
        <f t="shared" si="12"/>
        <v>45169.15</v>
      </c>
      <c r="F81" s="304">
        <f t="shared" si="13"/>
        <v>40198.410000000003</v>
      </c>
      <c r="G81" s="304">
        <f t="shared" si="9"/>
        <v>45169.15</v>
      </c>
      <c r="H81" s="55"/>
      <c r="O81" s="55"/>
      <c r="P81" s="55"/>
      <c r="Q81" s="55"/>
      <c r="R81" s="55"/>
      <c r="S81" s="5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</row>
    <row r="82" spans="1:58" hidden="1">
      <c r="A82" s="27">
        <f t="shared" si="6"/>
        <v>43</v>
      </c>
      <c r="B82" s="109">
        <f t="shared" si="10"/>
        <v>41803.629999999997</v>
      </c>
      <c r="C82" s="109">
        <f t="shared" si="11"/>
        <v>47188.7</v>
      </c>
      <c r="D82" s="231">
        <f t="shared" si="4"/>
        <v>41803.629999999997</v>
      </c>
      <c r="E82" s="231">
        <f t="shared" si="12"/>
        <v>47188.7</v>
      </c>
      <c r="F82" s="304">
        <f t="shared" si="13"/>
        <v>41803.629999999997</v>
      </c>
      <c r="G82" s="304">
        <f t="shared" si="9"/>
        <v>47188.7</v>
      </c>
      <c r="H82" s="55"/>
      <c r="O82" s="55"/>
      <c r="P82" s="55"/>
      <c r="Q82" s="55"/>
      <c r="R82" s="55"/>
      <c r="S82" s="5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</row>
    <row r="83" spans="1:58" hidden="1">
      <c r="A83" s="27">
        <f t="shared" si="6"/>
        <v>44</v>
      </c>
      <c r="B83" s="109">
        <f t="shared" si="10"/>
        <v>43602.46</v>
      </c>
      <c r="C83" s="109">
        <f t="shared" si="11"/>
        <v>49581.41</v>
      </c>
      <c r="D83" s="231">
        <f t="shared" si="4"/>
        <v>43602.46</v>
      </c>
      <c r="E83" s="231">
        <f t="shared" si="12"/>
        <v>49581.41</v>
      </c>
      <c r="F83" s="304">
        <f t="shared" si="13"/>
        <v>43602.46</v>
      </c>
      <c r="G83" s="304">
        <f t="shared" si="9"/>
        <v>49581.41</v>
      </c>
      <c r="H83" s="55"/>
      <c r="O83" s="55"/>
      <c r="P83" s="55"/>
      <c r="Q83" s="55"/>
      <c r="R83" s="55"/>
      <c r="S83" s="5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</row>
    <row r="84" spans="1:58" hidden="1">
      <c r="A84" s="27">
        <f t="shared" si="6"/>
        <v>45</v>
      </c>
      <c r="B84" s="109">
        <f t="shared" si="10"/>
        <v>45563.03</v>
      </c>
      <c r="C84" s="109">
        <f t="shared" si="11"/>
        <v>51356.49</v>
      </c>
      <c r="D84" s="231">
        <f t="shared" si="4"/>
        <v>45563.03</v>
      </c>
      <c r="E84" s="231">
        <f t="shared" si="12"/>
        <v>51356.49</v>
      </c>
      <c r="F84" s="304">
        <f t="shared" si="13"/>
        <v>45563.03</v>
      </c>
      <c r="G84" s="304">
        <f t="shared" si="9"/>
        <v>51356.49</v>
      </c>
      <c r="H84" s="55"/>
      <c r="O84" s="55"/>
      <c r="P84" s="55"/>
      <c r="Q84" s="55"/>
      <c r="R84" s="55"/>
      <c r="S84" s="5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</row>
    <row r="85" spans="1:58" hidden="1">
      <c r="A85" s="27">
        <f t="shared" si="6"/>
        <v>46</v>
      </c>
      <c r="B85" s="109">
        <f t="shared" si="10"/>
        <v>47712.5</v>
      </c>
      <c r="C85" s="109">
        <f t="shared" si="11"/>
        <v>53288.7</v>
      </c>
      <c r="D85" s="231">
        <f t="shared" si="4"/>
        <v>47712.5</v>
      </c>
      <c r="E85" s="231">
        <f t="shared" si="12"/>
        <v>53288.7</v>
      </c>
      <c r="F85" s="304">
        <f t="shared" si="13"/>
        <v>47712.5</v>
      </c>
      <c r="G85" s="304">
        <f t="shared" si="9"/>
        <v>53288.7</v>
      </c>
      <c r="H85" s="55"/>
      <c r="O85" s="55"/>
      <c r="P85" s="55"/>
      <c r="Q85" s="55"/>
      <c r="R85" s="55"/>
      <c r="S85" s="5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</row>
    <row r="86" spans="1:58" hidden="1">
      <c r="A86" s="27">
        <f t="shared" si="6"/>
        <v>47</v>
      </c>
      <c r="B86" s="109">
        <f t="shared" si="10"/>
        <v>50072.63</v>
      </c>
      <c r="C86" s="109">
        <f t="shared" si="11"/>
        <v>56005.27</v>
      </c>
      <c r="D86" s="231">
        <f t="shared" si="4"/>
        <v>50072.63</v>
      </c>
      <c r="E86" s="231">
        <f t="shared" si="12"/>
        <v>56005.27</v>
      </c>
      <c r="F86" s="304">
        <f t="shared" si="13"/>
        <v>50072.63</v>
      </c>
      <c r="G86" s="304">
        <f t="shared" si="9"/>
        <v>56005.27</v>
      </c>
      <c r="H86" s="55"/>
      <c r="O86" s="55"/>
      <c r="P86" s="55"/>
      <c r="Q86" s="55"/>
      <c r="R86" s="55"/>
      <c r="S86" s="5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</row>
    <row r="87" spans="1:58" hidden="1">
      <c r="A87" s="27">
        <f t="shared" si="6"/>
        <v>48</v>
      </c>
      <c r="B87" s="109">
        <f t="shared" si="10"/>
        <v>52638.879999999997</v>
      </c>
      <c r="C87" s="109">
        <f t="shared" si="11"/>
        <v>58256.25</v>
      </c>
      <c r="D87" s="231">
        <f t="shared" si="4"/>
        <v>52638.879999999997</v>
      </c>
      <c r="E87" s="231">
        <f t="shared" si="12"/>
        <v>58256.25</v>
      </c>
      <c r="F87" s="304">
        <f t="shared" si="13"/>
        <v>52638.879999999997</v>
      </c>
      <c r="G87" s="304">
        <f t="shared" si="9"/>
        <v>58256.25</v>
      </c>
      <c r="H87" s="55"/>
      <c r="O87" s="55"/>
      <c r="P87" s="55"/>
      <c r="Q87" s="55"/>
      <c r="R87" s="55"/>
      <c r="S87" s="5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</row>
    <row r="88" spans="1:58" hidden="1">
      <c r="A88" s="27">
        <f t="shared" si="6"/>
        <v>49</v>
      </c>
      <c r="B88" s="109">
        <f t="shared" si="10"/>
        <v>55452.89</v>
      </c>
      <c r="C88" s="109">
        <f t="shared" si="11"/>
        <v>60684.02</v>
      </c>
      <c r="D88" s="231">
        <f t="shared" si="4"/>
        <v>55452.89</v>
      </c>
      <c r="E88" s="231">
        <f t="shared" si="12"/>
        <v>60684.02</v>
      </c>
      <c r="F88" s="304">
        <f t="shared" si="13"/>
        <v>55452.89</v>
      </c>
      <c r="G88" s="304">
        <f t="shared" si="9"/>
        <v>60684.02</v>
      </c>
      <c r="H88" s="55"/>
      <c r="O88" s="55"/>
      <c r="P88" s="55"/>
      <c r="Q88" s="55"/>
      <c r="R88" s="55"/>
      <c r="S88" s="5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</row>
    <row r="89" spans="1:58" hidden="1">
      <c r="A89" s="27">
        <f t="shared" si="6"/>
        <v>50</v>
      </c>
      <c r="B89" s="109">
        <f t="shared" si="10"/>
        <v>58546.29</v>
      </c>
      <c r="C89" s="109">
        <f t="shared" si="11"/>
        <v>63259.79</v>
      </c>
      <c r="D89" s="231">
        <f t="shared" si="4"/>
        <v>58546.29</v>
      </c>
      <c r="E89" s="231">
        <f t="shared" si="12"/>
        <v>63259.79</v>
      </c>
      <c r="F89" s="304">
        <f t="shared" si="13"/>
        <v>58546.29</v>
      </c>
      <c r="G89" s="304">
        <f t="shared" si="9"/>
        <v>63259.79</v>
      </c>
      <c r="H89" s="55"/>
      <c r="O89" s="55"/>
      <c r="P89" s="55"/>
      <c r="Q89" s="55"/>
      <c r="R89" s="55"/>
      <c r="S89" s="5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</row>
    <row r="90" spans="1:58" hidden="1">
      <c r="A90" s="27">
        <f t="shared" si="6"/>
        <v>51</v>
      </c>
      <c r="B90" s="109">
        <f t="shared" si="10"/>
        <v>61886.65</v>
      </c>
      <c r="C90" s="109">
        <f t="shared" si="11"/>
        <v>66018.399999999994</v>
      </c>
      <c r="D90" s="231">
        <f t="shared" si="4"/>
        <v>61886.65</v>
      </c>
      <c r="E90" s="231">
        <f t="shared" si="12"/>
        <v>66018.399999999994</v>
      </c>
      <c r="F90" s="304">
        <f t="shared" si="13"/>
        <v>61886.65</v>
      </c>
      <c r="G90" s="304">
        <f t="shared" si="9"/>
        <v>66018.399999999994</v>
      </c>
      <c r="H90" s="55"/>
      <c r="O90" s="55"/>
      <c r="P90" s="55"/>
      <c r="Q90" s="55"/>
      <c r="R90" s="55"/>
      <c r="S90" s="5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</row>
    <row r="91" spans="1:58" hidden="1">
      <c r="A91" s="27">
        <f t="shared" si="6"/>
        <v>52</v>
      </c>
      <c r="B91" s="109">
        <f t="shared" si="10"/>
        <v>65536.42</v>
      </c>
      <c r="C91" s="109">
        <f t="shared" si="11"/>
        <v>68983.33</v>
      </c>
      <c r="D91" s="231">
        <f t="shared" si="4"/>
        <v>65536.42</v>
      </c>
      <c r="E91" s="231">
        <f t="shared" si="12"/>
        <v>68983.33</v>
      </c>
      <c r="F91" s="304">
        <f t="shared" si="13"/>
        <v>65536.42</v>
      </c>
      <c r="G91" s="304">
        <f t="shared" si="9"/>
        <v>68983.33</v>
      </c>
      <c r="H91" s="55"/>
      <c r="O91" s="55"/>
      <c r="P91" s="55"/>
      <c r="Q91" s="55"/>
      <c r="R91" s="55"/>
      <c r="S91" s="5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</row>
    <row r="92" spans="1:58" hidden="1">
      <c r="A92" s="27">
        <f t="shared" si="6"/>
        <v>53</v>
      </c>
      <c r="B92" s="109">
        <f t="shared" si="10"/>
        <v>69469.25</v>
      </c>
      <c r="C92" s="109">
        <f t="shared" si="11"/>
        <v>72168.02</v>
      </c>
      <c r="D92" s="231">
        <f t="shared" si="4"/>
        <v>69469.25</v>
      </c>
      <c r="E92" s="231">
        <f t="shared" si="12"/>
        <v>72168.02</v>
      </c>
      <c r="F92" s="304">
        <f t="shared" si="13"/>
        <v>69469.25</v>
      </c>
      <c r="G92" s="304">
        <f t="shared" si="9"/>
        <v>72168.02</v>
      </c>
      <c r="H92" s="55"/>
      <c r="O92" s="55"/>
      <c r="P92" s="55"/>
      <c r="Q92" s="55"/>
      <c r="R92" s="55"/>
      <c r="S92" s="5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</row>
    <row r="93" spans="1:58" hidden="1">
      <c r="A93" s="27">
        <f t="shared" si="6"/>
        <v>54</v>
      </c>
      <c r="B93" s="109">
        <f t="shared" si="10"/>
        <v>73736.87</v>
      </c>
      <c r="C93" s="109">
        <f t="shared" si="11"/>
        <v>75561.89</v>
      </c>
      <c r="D93" s="231">
        <f t="shared" si="4"/>
        <v>73736.87</v>
      </c>
      <c r="E93" s="231">
        <f t="shared" si="12"/>
        <v>75561.89</v>
      </c>
      <c r="F93" s="304">
        <f t="shared" si="13"/>
        <v>73736.87</v>
      </c>
      <c r="G93" s="304">
        <f t="shared" si="9"/>
        <v>75561.89</v>
      </c>
      <c r="H93" s="55"/>
      <c r="O93" s="55"/>
      <c r="P93" s="55"/>
      <c r="Q93" s="55"/>
      <c r="R93" s="55"/>
      <c r="S93" s="5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</row>
    <row r="94" spans="1:58" hidden="1">
      <c r="A94" s="27">
        <f t="shared" si="6"/>
        <v>55</v>
      </c>
      <c r="B94" s="109">
        <f t="shared" si="10"/>
        <v>78328.240000000005</v>
      </c>
      <c r="C94" s="109">
        <f t="shared" si="11"/>
        <v>79649.7</v>
      </c>
      <c r="D94" s="231">
        <f t="shared" si="4"/>
        <v>78328.240000000005</v>
      </c>
      <c r="E94" s="231">
        <f t="shared" si="12"/>
        <v>79649.7</v>
      </c>
      <c r="F94" s="304">
        <f t="shared" si="13"/>
        <v>78328.240000000005</v>
      </c>
      <c r="G94" s="304">
        <f t="shared" si="9"/>
        <v>79649.7</v>
      </c>
      <c r="H94" s="55"/>
      <c r="O94" s="55"/>
      <c r="P94" s="55"/>
      <c r="Q94" s="55"/>
      <c r="R94" s="55"/>
      <c r="S94" s="5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</row>
    <row r="95" spans="1:58" hidden="1">
      <c r="A95" s="27">
        <f t="shared" si="6"/>
        <v>56</v>
      </c>
      <c r="B95" s="109">
        <f t="shared" si="10"/>
        <v>83284.97</v>
      </c>
      <c r="C95" s="109">
        <f t="shared" si="11"/>
        <v>85036.07</v>
      </c>
      <c r="D95" s="231">
        <f t="shared" si="4"/>
        <v>83284.97</v>
      </c>
      <c r="E95" s="231">
        <f t="shared" si="12"/>
        <v>85036.07</v>
      </c>
      <c r="F95" s="304">
        <f t="shared" si="13"/>
        <v>83284.97</v>
      </c>
      <c r="G95" s="304">
        <f t="shared" si="9"/>
        <v>85036.07</v>
      </c>
      <c r="H95" s="55"/>
      <c r="O95" s="55"/>
      <c r="P95" s="55"/>
      <c r="Q95" s="55"/>
      <c r="R95" s="55"/>
      <c r="S95" s="5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</row>
    <row r="96" spans="1:58" hidden="1">
      <c r="A96" s="27">
        <f t="shared" si="6"/>
        <v>57</v>
      </c>
      <c r="B96" s="109">
        <f t="shared" si="10"/>
        <v>88644.34</v>
      </c>
      <c r="C96" s="109">
        <f t="shared" si="11"/>
        <v>88272.59</v>
      </c>
      <c r="D96" s="231">
        <f t="shared" si="4"/>
        <v>88644.34</v>
      </c>
      <c r="E96" s="231">
        <f t="shared" si="12"/>
        <v>88272.59</v>
      </c>
      <c r="F96" s="304">
        <f t="shared" si="13"/>
        <v>88644.34</v>
      </c>
      <c r="G96" s="304">
        <f t="shared" si="9"/>
        <v>88272.59</v>
      </c>
      <c r="H96" s="55"/>
      <c r="O96" s="55"/>
      <c r="P96" s="55"/>
      <c r="Q96" s="55"/>
      <c r="R96" s="55"/>
      <c r="S96" s="5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</row>
    <row r="97" spans="1:58" hidden="1">
      <c r="A97" s="27">
        <f t="shared" si="6"/>
        <v>58</v>
      </c>
      <c r="B97" s="109">
        <f t="shared" si="10"/>
        <v>92450.98</v>
      </c>
      <c r="C97" s="109">
        <f t="shared" si="11"/>
        <v>91797.69</v>
      </c>
      <c r="D97" s="231">
        <f t="shared" si="4"/>
        <v>92450.98</v>
      </c>
      <c r="E97" s="231">
        <f t="shared" si="12"/>
        <v>91797.69</v>
      </c>
      <c r="F97" s="304">
        <f t="shared" si="13"/>
        <v>92450.98</v>
      </c>
      <c r="G97" s="304">
        <f t="shared" si="9"/>
        <v>91797.69</v>
      </c>
      <c r="H97" s="55"/>
      <c r="O97" s="55"/>
      <c r="P97" s="55"/>
      <c r="Q97" s="55"/>
      <c r="R97" s="55"/>
      <c r="S97" s="5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</row>
    <row r="98" spans="1:58" hidden="1">
      <c r="A98" s="27">
        <f t="shared" si="6"/>
        <v>59</v>
      </c>
      <c r="B98" s="109">
        <f t="shared" si="10"/>
        <v>98454.55</v>
      </c>
      <c r="C98" s="109">
        <f t="shared" si="11"/>
        <v>93299.67</v>
      </c>
      <c r="D98" s="231">
        <f t="shared" si="4"/>
        <v>98454.55</v>
      </c>
      <c r="E98" s="231">
        <f t="shared" si="12"/>
        <v>93299.67</v>
      </c>
      <c r="F98" s="304">
        <f t="shared" si="13"/>
        <v>98454.55</v>
      </c>
      <c r="G98" s="304">
        <f t="shared" si="9"/>
        <v>93299.67</v>
      </c>
      <c r="H98" s="55"/>
      <c r="O98" s="55"/>
      <c r="P98" s="55"/>
      <c r="Q98" s="55"/>
      <c r="R98" s="55"/>
      <c r="S98" s="5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</row>
    <row r="99" spans="1:58" hidden="1">
      <c r="A99" s="27">
        <f t="shared" si="6"/>
        <v>60</v>
      </c>
      <c r="B99" s="109">
        <f t="shared" si="10"/>
        <v>158478.32999999999</v>
      </c>
      <c r="C99" s="109">
        <f t="shared" si="11"/>
        <v>153294.49</v>
      </c>
      <c r="D99" s="231">
        <f t="shared" si="4"/>
        <v>158478.32999999999</v>
      </c>
      <c r="E99" s="231">
        <f t="shared" si="12"/>
        <v>153294.49</v>
      </c>
      <c r="F99" s="304">
        <f t="shared" si="13"/>
        <v>158478.32999999999</v>
      </c>
      <c r="G99" s="304">
        <f t="shared" si="9"/>
        <v>153294.49</v>
      </c>
      <c r="H99" s="55"/>
      <c r="O99" s="55"/>
      <c r="P99" s="55"/>
      <c r="Q99" s="55"/>
      <c r="R99" s="55"/>
      <c r="S99" s="5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</row>
    <row r="100" spans="1:58" hidden="1">
      <c r="A100" s="27">
        <f t="shared" si="6"/>
        <v>61</v>
      </c>
      <c r="B100" s="109">
        <f t="shared" si="10"/>
        <v>167034.98000000001</v>
      </c>
      <c r="C100" s="109">
        <f t="shared" si="11"/>
        <v>159782.09</v>
      </c>
      <c r="D100" s="231">
        <f t="shared" si="4"/>
        <v>167034.98000000001</v>
      </c>
      <c r="E100" s="231">
        <f t="shared" si="12"/>
        <v>159782.09</v>
      </c>
      <c r="F100" s="304">
        <f t="shared" si="13"/>
        <v>167034.98000000001</v>
      </c>
      <c r="G100" s="304">
        <f t="shared" si="9"/>
        <v>159782.09</v>
      </c>
      <c r="H100" s="55"/>
      <c r="O100" s="55"/>
      <c r="P100" s="55"/>
      <c r="Q100" s="55"/>
      <c r="R100" s="55"/>
      <c r="S100" s="5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</row>
    <row r="101" spans="1:58" hidden="1">
      <c r="A101" s="27">
        <f t="shared" si="6"/>
        <v>62</v>
      </c>
      <c r="B101" s="109">
        <f t="shared" si="10"/>
        <v>176049.79</v>
      </c>
      <c r="C101" s="109">
        <f t="shared" si="11"/>
        <v>166617.42000000001</v>
      </c>
      <c r="D101" s="231">
        <f t="shared" si="4"/>
        <v>176049.79</v>
      </c>
      <c r="E101" s="231">
        <f t="shared" si="12"/>
        <v>166617.42000000001</v>
      </c>
      <c r="F101" s="304">
        <f t="shared" si="13"/>
        <v>176049.79</v>
      </c>
      <c r="G101" s="304">
        <f t="shared" si="9"/>
        <v>166617.42000000001</v>
      </c>
      <c r="H101" s="55"/>
      <c r="O101" s="55"/>
      <c r="P101" s="55"/>
      <c r="Q101" s="55"/>
      <c r="R101" s="55"/>
      <c r="S101" s="5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</row>
    <row r="102" spans="1:58" hidden="1">
      <c r="A102" s="27">
        <f t="shared" si="6"/>
        <v>63</v>
      </c>
      <c r="B102" s="109">
        <f t="shared" si="10"/>
        <v>185426.22</v>
      </c>
      <c r="C102" s="109">
        <f t="shared" si="11"/>
        <v>173740.36</v>
      </c>
      <c r="D102" s="231">
        <f t="shared" si="4"/>
        <v>185426.22</v>
      </c>
      <c r="E102" s="231">
        <f t="shared" si="12"/>
        <v>173740.36</v>
      </c>
      <c r="F102" s="304">
        <f t="shared" si="13"/>
        <v>185426.22</v>
      </c>
      <c r="G102" s="304">
        <f t="shared" si="9"/>
        <v>173740.36</v>
      </c>
      <c r="H102" s="55"/>
      <c r="O102" s="55"/>
      <c r="P102" s="55"/>
      <c r="Q102" s="55"/>
      <c r="R102" s="55"/>
      <c r="S102" s="5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</row>
    <row r="103" spans="1:58" hidden="1">
      <c r="A103" s="27">
        <f t="shared" si="6"/>
        <v>64</v>
      </c>
      <c r="B103" s="109">
        <f t="shared" ref="B103:B124" si="14">IF($A$37=$C$130,ROUND(C196*(1-DESC),2),ROUND(E196*(1-DESC),2))</f>
        <v>195326.2</v>
      </c>
      <c r="C103" s="109">
        <f t="shared" ref="C103:C124" si="15">IF($A$37=$C$130,ROUND(D196*(1-DESC),2),ROUND(F196*(1-DESC),2))</f>
        <v>181346.27</v>
      </c>
      <c r="D103" s="231">
        <f t="shared" si="4"/>
        <v>195326.2</v>
      </c>
      <c r="E103" s="231">
        <f t="shared" si="12"/>
        <v>181346.27</v>
      </c>
      <c r="F103" s="304">
        <f t="shared" si="13"/>
        <v>195326.2</v>
      </c>
      <c r="G103" s="304">
        <f t="shared" si="9"/>
        <v>181346.27</v>
      </c>
      <c r="H103" s="55"/>
      <c r="O103" s="55"/>
      <c r="P103" s="55"/>
      <c r="Q103" s="55"/>
      <c r="R103" s="55"/>
      <c r="S103" s="5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</row>
    <row r="104" spans="1:58" hidden="1">
      <c r="A104" s="27">
        <f t="shared" si="6"/>
        <v>65</v>
      </c>
      <c r="B104" s="109">
        <f t="shared" si="14"/>
        <v>205421.96</v>
      </c>
      <c r="C104" s="109">
        <f t="shared" si="15"/>
        <v>189030.54</v>
      </c>
      <c r="D104" s="231">
        <f t="shared" ref="D104:D122" si="16">B104</f>
        <v>205421.96</v>
      </c>
      <c r="E104" s="231">
        <f t="shared" ref="E104:E124" si="17">C104</f>
        <v>189030.54</v>
      </c>
      <c r="F104" s="304">
        <f t="shared" si="13"/>
        <v>205421.96</v>
      </c>
      <c r="G104" s="304">
        <f t="shared" ref="G104:G122" si="18">ROUND(E104*$G$37,2)</f>
        <v>189030.54</v>
      </c>
      <c r="H104" s="55"/>
      <c r="O104" s="55"/>
      <c r="P104" s="55"/>
      <c r="Q104" s="55"/>
      <c r="R104" s="55"/>
      <c r="S104" s="5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</row>
    <row r="105" spans="1:58" hidden="1">
      <c r="A105" s="27">
        <f t="shared" si="6"/>
        <v>66</v>
      </c>
      <c r="B105" s="109">
        <f t="shared" si="14"/>
        <v>216214.2</v>
      </c>
      <c r="C105" s="109">
        <f t="shared" si="15"/>
        <v>197483.59</v>
      </c>
      <c r="D105" s="231">
        <f t="shared" si="16"/>
        <v>216214.2</v>
      </c>
      <c r="E105" s="231">
        <f t="shared" si="17"/>
        <v>197483.59</v>
      </c>
      <c r="F105" s="304">
        <f t="shared" si="13"/>
        <v>216214.2</v>
      </c>
      <c r="G105" s="304">
        <f t="shared" si="18"/>
        <v>197483.59</v>
      </c>
      <c r="H105" s="55"/>
      <c r="O105" s="55"/>
      <c r="P105" s="55"/>
      <c r="Q105" s="55"/>
      <c r="R105" s="55"/>
      <c r="S105" s="5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</row>
    <row r="106" spans="1:58" hidden="1">
      <c r="A106" s="27">
        <f t="shared" ref="A106:A124" si="19">+A105+1</f>
        <v>67</v>
      </c>
      <c r="B106" s="109">
        <f t="shared" si="14"/>
        <v>227478.48</v>
      </c>
      <c r="C106" s="109">
        <f t="shared" si="15"/>
        <v>205596.34</v>
      </c>
      <c r="D106" s="231">
        <f t="shared" si="16"/>
        <v>227478.48</v>
      </c>
      <c r="E106" s="231">
        <f t="shared" si="17"/>
        <v>205596.34</v>
      </c>
      <c r="F106" s="304">
        <f t="shared" si="13"/>
        <v>227478.48</v>
      </c>
      <c r="G106" s="304">
        <f t="shared" si="18"/>
        <v>205596.34</v>
      </c>
      <c r="H106" s="55"/>
      <c r="O106" s="55"/>
      <c r="P106" s="55"/>
      <c r="Q106" s="55"/>
      <c r="R106" s="55"/>
      <c r="S106" s="5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</row>
    <row r="107" spans="1:58" hidden="1">
      <c r="A107" s="27">
        <f t="shared" si="19"/>
        <v>68</v>
      </c>
      <c r="B107" s="109">
        <f t="shared" si="14"/>
        <v>239048.37</v>
      </c>
      <c r="C107" s="109">
        <f t="shared" si="15"/>
        <v>214516.32</v>
      </c>
      <c r="D107" s="231">
        <f t="shared" si="16"/>
        <v>239048.37</v>
      </c>
      <c r="E107" s="231">
        <f t="shared" si="17"/>
        <v>214516.32</v>
      </c>
      <c r="F107" s="304">
        <f t="shared" si="13"/>
        <v>239048.37</v>
      </c>
      <c r="G107" s="304">
        <f t="shared" si="18"/>
        <v>214516.32</v>
      </c>
      <c r="H107" s="55"/>
      <c r="O107" s="55"/>
      <c r="P107" s="55"/>
      <c r="Q107" s="55"/>
      <c r="R107" s="55"/>
      <c r="S107" s="5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</row>
    <row r="108" spans="1:58" hidden="1">
      <c r="A108" s="27">
        <f t="shared" si="19"/>
        <v>69</v>
      </c>
      <c r="B108" s="109">
        <f t="shared" si="14"/>
        <v>251234.41</v>
      </c>
      <c r="C108" s="109">
        <f t="shared" si="15"/>
        <v>224099.61</v>
      </c>
      <c r="D108" s="231">
        <f t="shared" si="16"/>
        <v>251234.41</v>
      </c>
      <c r="E108" s="231">
        <f t="shared" si="17"/>
        <v>224099.61</v>
      </c>
      <c r="F108" s="304">
        <f t="shared" si="13"/>
        <v>251234.41</v>
      </c>
      <c r="G108" s="304">
        <f t="shared" si="18"/>
        <v>224099.61</v>
      </c>
      <c r="H108" s="55"/>
      <c r="O108" s="55"/>
      <c r="P108" s="55"/>
      <c r="Q108" s="55"/>
      <c r="R108" s="55"/>
      <c r="S108" s="5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</row>
    <row r="109" spans="1:58" hidden="1">
      <c r="A109" s="27">
        <f t="shared" si="19"/>
        <v>70</v>
      </c>
      <c r="B109" s="109">
        <f t="shared" si="14"/>
        <v>263751.64</v>
      </c>
      <c r="C109" s="109">
        <f t="shared" si="15"/>
        <v>233485.34</v>
      </c>
      <c r="D109" s="231">
        <f t="shared" si="16"/>
        <v>263751.64</v>
      </c>
      <c r="E109" s="231">
        <f t="shared" si="17"/>
        <v>233485.34</v>
      </c>
      <c r="F109" s="304">
        <f t="shared" ref="F109:F124" si="20">ROUND(D109*$G$37,2)</f>
        <v>263751.64</v>
      </c>
      <c r="G109" s="304">
        <f t="shared" si="18"/>
        <v>233485.34</v>
      </c>
      <c r="H109" s="55"/>
      <c r="O109" s="55"/>
      <c r="P109" s="55"/>
      <c r="Q109" s="55"/>
      <c r="R109" s="55"/>
      <c r="S109" s="5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</row>
    <row r="110" spans="1:58" hidden="1">
      <c r="A110" s="27">
        <f t="shared" si="19"/>
        <v>71</v>
      </c>
      <c r="B110" s="109">
        <f t="shared" si="14"/>
        <v>276493.03999999998</v>
      </c>
      <c r="C110" s="109">
        <f t="shared" si="15"/>
        <v>243320.77</v>
      </c>
      <c r="D110" s="231">
        <f t="shared" si="16"/>
        <v>276493.03999999998</v>
      </c>
      <c r="E110" s="231">
        <f t="shared" si="17"/>
        <v>243320.77</v>
      </c>
      <c r="F110" s="304">
        <f t="shared" si="20"/>
        <v>276493.03999999998</v>
      </c>
      <c r="G110" s="304">
        <f t="shared" si="18"/>
        <v>243320.77</v>
      </c>
      <c r="H110" s="55"/>
      <c r="O110" s="55"/>
      <c r="P110" s="55"/>
      <c r="Q110" s="55"/>
      <c r="R110" s="55"/>
      <c r="S110" s="5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</row>
    <row r="111" spans="1:58" hidden="1">
      <c r="A111" s="27">
        <f t="shared" si="19"/>
        <v>72</v>
      </c>
      <c r="B111" s="109">
        <f t="shared" si="14"/>
        <v>289702.06</v>
      </c>
      <c r="C111" s="109">
        <f t="shared" si="15"/>
        <v>253830.09</v>
      </c>
      <c r="D111" s="231">
        <f t="shared" si="16"/>
        <v>289702.06</v>
      </c>
      <c r="E111" s="231">
        <f t="shared" si="17"/>
        <v>253830.09</v>
      </c>
      <c r="F111" s="304">
        <f t="shared" si="20"/>
        <v>289702.06</v>
      </c>
      <c r="G111" s="304">
        <f t="shared" si="18"/>
        <v>253830.09</v>
      </c>
      <c r="H111" s="55"/>
      <c r="O111" s="55"/>
      <c r="P111" s="55"/>
      <c r="Q111" s="55"/>
      <c r="R111" s="55"/>
      <c r="S111" s="5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</row>
    <row r="112" spans="1:58" hidden="1">
      <c r="A112" s="27">
        <f t="shared" si="19"/>
        <v>73</v>
      </c>
      <c r="B112" s="109">
        <f t="shared" si="14"/>
        <v>303208.06</v>
      </c>
      <c r="C112" s="109">
        <f t="shared" si="15"/>
        <v>264123.24</v>
      </c>
      <c r="D112" s="231">
        <f t="shared" si="16"/>
        <v>303208.06</v>
      </c>
      <c r="E112" s="231">
        <f t="shared" si="17"/>
        <v>264123.24</v>
      </c>
      <c r="F112" s="304">
        <f t="shared" si="20"/>
        <v>303208.06</v>
      </c>
      <c r="G112" s="304">
        <f t="shared" si="18"/>
        <v>264123.24</v>
      </c>
      <c r="H112" s="55"/>
      <c r="O112" s="55"/>
      <c r="P112" s="55"/>
      <c r="Q112" s="55"/>
      <c r="R112" s="55"/>
      <c r="S112" s="5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</row>
    <row r="113" spans="1:58" hidden="1">
      <c r="A113" s="27">
        <f t="shared" si="19"/>
        <v>74</v>
      </c>
      <c r="B113" s="109">
        <f t="shared" si="14"/>
        <v>317810.63</v>
      </c>
      <c r="C113" s="109">
        <f t="shared" si="15"/>
        <v>274622.24</v>
      </c>
      <c r="D113" s="231">
        <f t="shared" si="16"/>
        <v>317810.63</v>
      </c>
      <c r="E113" s="231">
        <f t="shared" si="17"/>
        <v>274622.24</v>
      </c>
      <c r="F113" s="304">
        <f t="shared" si="20"/>
        <v>317810.63</v>
      </c>
      <c r="G113" s="304">
        <f t="shared" si="18"/>
        <v>274622.24</v>
      </c>
      <c r="H113" s="55"/>
      <c r="O113" s="55"/>
      <c r="P113" s="55"/>
      <c r="Q113" s="55"/>
      <c r="R113" s="55"/>
      <c r="S113" s="5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</row>
    <row r="114" spans="1:58" hidden="1">
      <c r="A114" s="27">
        <f t="shared" si="19"/>
        <v>75</v>
      </c>
      <c r="B114" s="109">
        <f t="shared" si="14"/>
        <v>331568.43</v>
      </c>
      <c r="C114" s="109">
        <f t="shared" si="15"/>
        <v>285928.14</v>
      </c>
      <c r="D114" s="231">
        <f t="shared" si="16"/>
        <v>331568.43</v>
      </c>
      <c r="E114" s="231">
        <f t="shared" si="17"/>
        <v>285928.14</v>
      </c>
      <c r="F114" s="304">
        <f t="shared" si="20"/>
        <v>331568.43</v>
      </c>
      <c r="G114" s="304">
        <f t="shared" si="18"/>
        <v>285928.14</v>
      </c>
      <c r="H114" s="55"/>
      <c r="O114" s="55"/>
      <c r="P114" s="55"/>
      <c r="Q114" s="55"/>
      <c r="R114" s="55"/>
      <c r="S114" s="5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</row>
    <row r="115" spans="1:58" hidden="1">
      <c r="A115" s="27">
        <f t="shared" si="19"/>
        <v>76</v>
      </c>
      <c r="B115" s="109">
        <f t="shared" si="14"/>
        <v>348368.21</v>
      </c>
      <c r="C115" s="109">
        <f t="shared" si="15"/>
        <v>298339.55</v>
      </c>
      <c r="D115" s="231">
        <f t="shared" si="16"/>
        <v>348368.21</v>
      </c>
      <c r="E115" s="231">
        <f t="shared" si="17"/>
        <v>298339.55</v>
      </c>
      <c r="F115" s="304">
        <f t="shared" si="20"/>
        <v>348368.21</v>
      </c>
      <c r="G115" s="304">
        <f t="shared" si="18"/>
        <v>298339.55</v>
      </c>
      <c r="H115" s="55"/>
      <c r="O115" s="55"/>
      <c r="P115" s="55"/>
      <c r="Q115" s="55"/>
      <c r="R115" s="55"/>
      <c r="S115" s="5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</row>
    <row r="116" spans="1:58" hidden="1">
      <c r="A116" s="27">
        <f t="shared" si="19"/>
        <v>77</v>
      </c>
      <c r="B116" s="109">
        <f t="shared" si="14"/>
        <v>366318.01</v>
      </c>
      <c r="C116" s="109">
        <f t="shared" si="15"/>
        <v>311651.39</v>
      </c>
      <c r="D116" s="231">
        <f t="shared" si="16"/>
        <v>366318.01</v>
      </c>
      <c r="E116" s="231">
        <f t="shared" si="17"/>
        <v>311651.39</v>
      </c>
      <c r="F116" s="304">
        <f t="shared" si="20"/>
        <v>366318.01</v>
      </c>
      <c r="G116" s="304">
        <f t="shared" si="18"/>
        <v>311651.39</v>
      </c>
      <c r="H116" s="55"/>
      <c r="O116" s="55"/>
      <c r="P116" s="55"/>
      <c r="Q116" s="55"/>
      <c r="R116" s="55"/>
      <c r="S116" s="5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</row>
    <row r="117" spans="1:58" hidden="1">
      <c r="A117" s="27">
        <f t="shared" si="19"/>
        <v>78</v>
      </c>
      <c r="B117" s="109">
        <f t="shared" si="14"/>
        <v>384978.01</v>
      </c>
      <c r="C117" s="109">
        <f t="shared" si="15"/>
        <v>325519.28000000003</v>
      </c>
      <c r="D117" s="231">
        <f t="shared" si="16"/>
        <v>384978.01</v>
      </c>
      <c r="E117" s="231">
        <f t="shared" si="17"/>
        <v>325519.28000000003</v>
      </c>
      <c r="F117" s="304">
        <f t="shared" si="20"/>
        <v>384978.01</v>
      </c>
      <c r="G117" s="304">
        <f t="shared" si="18"/>
        <v>325519.28000000003</v>
      </c>
      <c r="H117" s="55"/>
      <c r="O117" s="55"/>
      <c r="P117" s="55"/>
      <c r="Q117" s="55"/>
      <c r="R117" s="55"/>
      <c r="S117" s="5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</row>
    <row r="118" spans="1:58" hidden="1">
      <c r="A118" s="27">
        <f t="shared" si="19"/>
        <v>79</v>
      </c>
      <c r="B118" s="109">
        <f t="shared" si="14"/>
        <v>405460.98</v>
      </c>
      <c r="C118" s="109">
        <f t="shared" si="15"/>
        <v>339431.34</v>
      </c>
      <c r="D118" s="231">
        <f t="shared" si="16"/>
        <v>405460.98</v>
      </c>
      <c r="E118" s="231">
        <f>C118</f>
        <v>339431.34</v>
      </c>
      <c r="F118" s="304">
        <f t="shared" si="20"/>
        <v>405460.98</v>
      </c>
      <c r="G118" s="304">
        <f>ROUND(E118*$G$37,2)</f>
        <v>339431.34</v>
      </c>
      <c r="H118" s="55"/>
      <c r="O118" s="55"/>
      <c r="P118" s="55"/>
      <c r="Q118" s="55"/>
      <c r="R118" s="55"/>
      <c r="S118" s="5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</row>
    <row r="119" spans="1:58" hidden="1">
      <c r="A119" s="27">
        <f t="shared" si="19"/>
        <v>80</v>
      </c>
      <c r="B119" s="109">
        <f t="shared" si="14"/>
        <v>425330.09</v>
      </c>
      <c r="C119" s="109">
        <f t="shared" si="15"/>
        <v>354116.78</v>
      </c>
      <c r="D119" s="231">
        <f t="shared" si="16"/>
        <v>425330.09</v>
      </c>
      <c r="E119" s="231">
        <f t="shared" si="17"/>
        <v>354116.78</v>
      </c>
      <c r="F119" s="304">
        <f t="shared" si="20"/>
        <v>425330.09</v>
      </c>
      <c r="G119" s="304">
        <f t="shared" si="18"/>
        <v>354116.78</v>
      </c>
      <c r="H119" s="55"/>
      <c r="O119" s="55"/>
      <c r="P119" s="55"/>
      <c r="Q119" s="55"/>
      <c r="R119" s="55"/>
      <c r="S119" s="5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</row>
    <row r="120" spans="1:58" hidden="1">
      <c r="A120" s="27">
        <f t="shared" si="19"/>
        <v>81</v>
      </c>
      <c r="B120" s="109">
        <f t="shared" si="14"/>
        <v>448670.34</v>
      </c>
      <c r="C120" s="109">
        <f t="shared" si="15"/>
        <v>368996.56</v>
      </c>
      <c r="D120" s="231">
        <f t="shared" si="16"/>
        <v>448670.34</v>
      </c>
      <c r="E120" s="231">
        <f t="shared" si="17"/>
        <v>368996.56</v>
      </c>
      <c r="F120" s="304">
        <f t="shared" si="20"/>
        <v>448670.34</v>
      </c>
      <c r="G120" s="304">
        <f t="shared" si="18"/>
        <v>368996.56</v>
      </c>
      <c r="H120" s="55"/>
      <c r="O120" s="55"/>
      <c r="P120" s="55"/>
      <c r="Q120" s="55"/>
      <c r="R120" s="55"/>
      <c r="S120" s="5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</row>
    <row r="121" spans="1:58" hidden="1">
      <c r="A121" s="27">
        <f t="shared" si="19"/>
        <v>82</v>
      </c>
      <c r="B121" s="109">
        <f t="shared" si="14"/>
        <v>472895.59</v>
      </c>
      <c r="C121" s="109">
        <f t="shared" si="15"/>
        <v>383268.62</v>
      </c>
      <c r="D121" s="231">
        <f t="shared" si="16"/>
        <v>472895.59</v>
      </c>
      <c r="E121" s="231">
        <f t="shared" si="17"/>
        <v>383268.62</v>
      </c>
      <c r="F121" s="304">
        <f t="shared" si="20"/>
        <v>472895.59</v>
      </c>
      <c r="G121" s="304">
        <f t="shared" si="18"/>
        <v>383268.62</v>
      </c>
      <c r="H121" s="55"/>
      <c r="O121" s="55"/>
      <c r="P121" s="55"/>
      <c r="Q121" s="55"/>
      <c r="R121" s="55"/>
      <c r="S121" s="5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</row>
    <row r="122" spans="1:58" hidden="1">
      <c r="A122" s="27">
        <f t="shared" si="19"/>
        <v>83</v>
      </c>
      <c r="B122" s="109">
        <f t="shared" si="14"/>
        <v>498141</v>
      </c>
      <c r="C122" s="109">
        <f t="shared" si="15"/>
        <v>399520.63</v>
      </c>
      <c r="D122" s="231">
        <f t="shared" si="16"/>
        <v>498141</v>
      </c>
      <c r="E122" s="231">
        <f t="shared" si="17"/>
        <v>399520.63</v>
      </c>
      <c r="F122" s="304">
        <f t="shared" si="20"/>
        <v>498141</v>
      </c>
      <c r="G122" s="304">
        <f t="shared" si="18"/>
        <v>399520.63</v>
      </c>
      <c r="H122" s="55"/>
      <c r="O122" s="55"/>
      <c r="P122" s="55"/>
      <c r="Q122" s="55"/>
      <c r="R122" s="55"/>
      <c r="S122" s="5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</row>
    <row r="123" spans="1:58" hidden="1">
      <c r="A123" s="27">
        <f t="shared" si="19"/>
        <v>84</v>
      </c>
      <c r="B123" s="109">
        <f t="shared" si="14"/>
        <v>524568.06999999995</v>
      </c>
      <c r="C123" s="109">
        <f t="shared" si="15"/>
        <v>415289.25</v>
      </c>
      <c r="D123" s="231">
        <f>B123</f>
        <v>524568.06999999995</v>
      </c>
      <c r="E123" s="231">
        <f t="shared" si="17"/>
        <v>415289.25</v>
      </c>
      <c r="F123" s="304">
        <f t="shared" si="20"/>
        <v>524568.06999999995</v>
      </c>
      <c r="G123" s="304">
        <f>ROUND(E123*$G$37,2)</f>
        <v>415289.25</v>
      </c>
      <c r="H123" s="55"/>
      <c r="O123" s="55"/>
      <c r="P123" s="55"/>
      <c r="Q123" s="55"/>
      <c r="R123" s="55"/>
      <c r="S123" s="5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</row>
    <row r="124" spans="1:58" ht="13" hidden="1" thickBot="1">
      <c r="A124" s="27">
        <f t="shared" si="19"/>
        <v>85</v>
      </c>
      <c r="B124" s="110">
        <f t="shared" si="14"/>
        <v>552366.77</v>
      </c>
      <c r="C124" s="110">
        <f t="shared" si="15"/>
        <v>431503.31</v>
      </c>
      <c r="D124" s="232">
        <f>B124</f>
        <v>552366.77</v>
      </c>
      <c r="E124" s="232">
        <f t="shared" si="17"/>
        <v>431503.31</v>
      </c>
      <c r="F124" s="305">
        <f t="shared" si="20"/>
        <v>552366.77</v>
      </c>
      <c r="G124" s="305">
        <f>ROUND(E124*$G$37,2)</f>
        <v>431503.31</v>
      </c>
      <c r="H124" s="55"/>
      <c r="O124" s="55"/>
      <c r="P124" s="55"/>
      <c r="Q124" s="55"/>
      <c r="R124" s="55"/>
      <c r="S124" s="5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</row>
    <row r="125" spans="1:58" ht="13" hidden="1" thickTop="1">
      <c r="F125" s="176"/>
      <c r="G125" s="176"/>
      <c r="H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</row>
    <row r="126" spans="1:58" hidden="1">
      <c r="B126" s="229"/>
      <c r="C126" s="229"/>
      <c r="D126" s="229"/>
      <c r="E126" s="229"/>
      <c r="F126" s="176"/>
      <c r="G126" s="176"/>
      <c r="H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</row>
    <row r="127" spans="1:58" hidden="1">
      <c r="B127" s="229"/>
      <c r="C127" s="229"/>
      <c r="D127" s="229"/>
      <c r="E127" s="229"/>
      <c r="F127" s="176"/>
      <c r="G127" s="176"/>
    </row>
    <row r="128" spans="1:58" ht="15" hidden="1">
      <c r="B128" s="229"/>
      <c r="C128" s="229"/>
      <c r="D128" s="229"/>
      <c r="E128" s="229"/>
      <c r="F128" s="176"/>
      <c r="G128" s="176"/>
      <c r="N128" s="651" t="s">
        <v>329</v>
      </c>
    </row>
    <row r="129" spans="1:18" ht="13" hidden="1" thickBot="1">
      <c r="B129" s="229"/>
      <c r="C129" s="229"/>
      <c r="D129" s="229"/>
      <c r="E129" s="229"/>
      <c r="F129" s="176"/>
      <c r="G129" s="176"/>
    </row>
    <row r="130" spans="1:18" hidden="1">
      <c r="A130" s="530"/>
      <c r="C130" s="498">
        <v>0</v>
      </c>
      <c r="D130" s="638" t="s">
        <v>294</v>
      </c>
      <c r="E130" s="498">
        <v>1</v>
      </c>
      <c r="F130" s="533" t="s">
        <v>293</v>
      </c>
      <c r="G130" s="176"/>
      <c r="N130" s="639"/>
      <c r="O130" s="643" t="s">
        <v>294</v>
      </c>
      <c r="P130" s="644"/>
      <c r="Q130" s="643" t="s">
        <v>293</v>
      </c>
      <c r="R130" s="644"/>
    </row>
    <row r="131" spans="1:18" ht="13" hidden="1">
      <c r="A131" s="636" t="s">
        <v>6</v>
      </c>
      <c r="B131" s="600" t="s">
        <v>325</v>
      </c>
      <c r="C131" s="637" t="s">
        <v>7</v>
      </c>
      <c r="D131" s="637" t="s">
        <v>8</v>
      </c>
      <c r="E131" s="637" t="s">
        <v>7</v>
      </c>
      <c r="F131" s="637" t="s">
        <v>8</v>
      </c>
      <c r="G131" s="176"/>
      <c r="N131" s="640" t="s">
        <v>6</v>
      </c>
      <c r="O131" s="645" t="s">
        <v>7</v>
      </c>
      <c r="P131" s="646" t="s">
        <v>8</v>
      </c>
      <c r="Q131" s="645" t="s">
        <v>7</v>
      </c>
      <c r="R131" s="646" t="s">
        <v>8</v>
      </c>
    </row>
    <row r="132" spans="1:18" ht="13" hidden="1">
      <c r="A132" s="630">
        <v>0</v>
      </c>
      <c r="B132" s="591" t="str">
        <f>+CONCATENATE(A132,$H$36)</f>
        <v>0A</v>
      </c>
      <c r="C132" s="628">
        <f>+VLOOKUP(B132,$B$226:$F$436,4,FALSE)</f>
        <v>13061.3</v>
      </c>
      <c r="D132" s="628">
        <f>+VLOOKUP(B132,$B$226:$F$436,5,FALSE)</f>
        <v>13116.05</v>
      </c>
      <c r="E132" s="628">
        <f>+VLOOKUP(B132,$B$226:$F$436,2,FALSE)</f>
        <v>13061.3</v>
      </c>
      <c r="F132" s="631">
        <f>+VLOOKUP(B132,$B$226:$F$436,3,FALSE)</f>
        <v>13116.05</v>
      </c>
      <c r="G132" s="229"/>
      <c r="I132" s="585"/>
      <c r="J132" s="585"/>
      <c r="M132" s="481"/>
      <c r="N132" s="641">
        <v>0</v>
      </c>
      <c r="O132" s="647">
        <v>4311.7297297297309</v>
      </c>
      <c r="P132" s="648">
        <v>4329.801801801802</v>
      </c>
      <c r="Q132" s="647">
        <v>4311.7297297297309</v>
      </c>
      <c r="R132" s="648">
        <v>4329.801801801802</v>
      </c>
    </row>
    <row r="133" spans="1:18" ht="13" hidden="1">
      <c r="A133" s="630">
        <v>1</v>
      </c>
      <c r="B133" s="591" t="str">
        <f>+CONCATENATE(A133,$H$36)</f>
        <v>1A</v>
      </c>
      <c r="C133" s="628">
        <f t="shared" ref="C133:C196" si="21">+VLOOKUP(B133,$B$226:$F$436,4,FALSE)</f>
        <v>13061.3</v>
      </c>
      <c r="D133" s="628">
        <f t="shared" ref="D133:D196" si="22">+VLOOKUP(B133,$B$226:$F$436,5,FALSE)</f>
        <v>13116.05</v>
      </c>
      <c r="E133" s="628">
        <f t="shared" ref="E133:E196" si="23">+VLOOKUP(B133,$B$226:$F$436,2,FALSE)</f>
        <v>13061.3</v>
      </c>
      <c r="F133" s="631">
        <f t="shared" ref="F133:F196" si="24">+VLOOKUP(B133,$B$226:$F$436,3,FALSE)</f>
        <v>13116.05</v>
      </c>
      <c r="G133" s="229"/>
      <c r="I133" s="585"/>
      <c r="J133" s="585"/>
      <c r="M133" s="481"/>
      <c r="N133" s="641">
        <v>1</v>
      </c>
      <c r="O133" s="647">
        <v>4311.7297297297309</v>
      </c>
      <c r="P133" s="648">
        <v>4329.801801801802</v>
      </c>
      <c r="Q133" s="647">
        <v>4311.7297297297309</v>
      </c>
      <c r="R133" s="648">
        <v>4329.801801801802</v>
      </c>
    </row>
    <row r="134" spans="1:18" ht="13" hidden="1">
      <c r="A134" s="630">
        <f>+A133+1</f>
        <v>2</v>
      </c>
      <c r="B134" s="591" t="str">
        <f>+CONCATENATE(A134,$H$36)</f>
        <v>2A</v>
      </c>
      <c r="C134" s="628">
        <f t="shared" si="21"/>
        <v>13061.3</v>
      </c>
      <c r="D134" s="628">
        <f t="shared" si="22"/>
        <v>13116.05</v>
      </c>
      <c r="E134" s="628">
        <f t="shared" si="23"/>
        <v>13061.3</v>
      </c>
      <c r="F134" s="631">
        <f t="shared" si="24"/>
        <v>13116.05</v>
      </c>
      <c r="G134" s="229"/>
      <c r="I134" s="585"/>
      <c r="J134" s="585"/>
      <c r="M134" s="481"/>
      <c r="N134" s="641">
        <v>2</v>
      </c>
      <c r="O134" s="647">
        <v>4311.7297297297309</v>
      </c>
      <c r="P134" s="648">
        <v>4329.801801801802</v>
      </c>
      <c r="Q134" s="647">
        <v>4311.7297297297309</v>
      </c>
      <c r="R134" s="648">
        <v>4329.801801801802</v>
      </c>
    </row>
    <row r="135" spans="1:18" ht="13" hidden="1">
      <c r="A135" s="630">
        <f t="shared" ref="A135:A198" si="25">+A134+1</f>
        <v>3</v>
      </c>
      <c r="B135" s="591" t="str">
        <f>+CONCATENATE(A135,$H$36)</f>
        <v>3A</v>
      </c>
      <c r="C135" s="628">
        <f t="shared" si="21"/>
        <v>13061.3</v>
      </c>
      <c r="D135" s="628">
        <f t="shared" si="22"/>
        <v>13116.05</v>
      </c>
      <c r="E135" s="628">
        <f t="shared" si="23"/>
        <v>13061.3</v>
      </c>
      <c r="F135" s="631">
        <f t="shared" si="24"/>
        <v>13116.05</v>
      </c>
      <c r="G135" s="229"/>
      <c r="I135" s="585"/>
      <c r="J135" s="585"/>
      <c r="M135" s="481"/>
      <c r="N135" s="641">
        <v>3</v>
      </c>
      <c r="O135" s="647">
        <v>4311.7297297297309</v>
      </c>
      <c r="P135" s="648">
        <v>4329.801801801802</v>
      </c>
      <c r="Q135" s="647">
        <v>4311.7297297297309</v>
      </c>
      <c r="R135" s="648">
        <v>4329.801801801802</v>
      </c>
    </row>
    <row r="136" spans="1:18" ht="13" hidden="1">
      <c r="A136" s="630">
        <f t="shared" si="25"/>
        <v>4</v>
      </c>
      <c r="B136" s="591" t="str">
        <f>+CONCATENATE(A136,$H$36)</f>
        <v>4A</v>
      </c>
      <c r="C136" s="628">
        <f t="shared" si="21"/>
        <v>13061.3</v>
      </c>
      <c r="D136" s="628">
        <f t="shared" si="22"/>
        <v>13116.05</v>
      </c>
      <c r="E136" s="628">
        <f t="shared" si="23"/>
        <v>13061.3</v>
      </c>
      <c r="F136" s="631">
        <f t="shared" si="24"/>
        <v>13116.05</v>
      </c>
      <c r="G136" s="229"/>
      <c r="I136" s="585"/>
      <c r="J136" s="585"/>
      <c r="M136" s="481"/>
      <c r="N136" s="641">
        <v>4</v>
      </c>
      <c r="O136" s="647">
        <v>4311.7297297297309</v>
      </c>
      <c r="P136" s="648">
        <v>4329.801801801802</v>
      </c>
      <c r="Q136" s="647">
        <v>4311.7297297297309</v>
      </c>
      <c r="R136" s="648">
        <v>4329.801801801802</v>
      </c>
    </row>
    <row r="137" spans="1:18" ht="13" hidden="1">
      <c r="A137" s="630">
        <f t="shared" si="25"/>
        <v>5</v>
      </c>
      <c r="B137" s="591" t="str">
        <f t="shared" ref="B137:B196" si="26">+CONCATENATE(A137,$H$36)</f>
        <v>5A</v>
      </c>
      <c r="C137" s="628">
        <f t="shared" si="21"/>
        <v>13061.3</v>
      </c>
      <c r="D137" s="628">
        <f t="shared" si="22"/>
        <v>13116.05</v>
      </c>
      <c r="E137" s="628">
        <f t="shared" si="23"/>
        <v>13061.3</v>
      </c>
      <c r="F137" s="631">
        <f t="shared" si="24"/>
        <v>13116.05</v>
      </c>
      <c r="G137" s="229"/>
      <c r="I137" s="585"/>
      <c r="J137" s="585"/>
      <c r="M137" s="481"/>
      <c r="N137" s="641">
        <v>5</v>
      </c>
      <c r="O137" s="647">
        <v>4311.7297297297309</v>
      </c>
      <c r="P137" s="648">
        <v>4329.801801801802</v>
      </c>
      <c r="Q137" s="647">
        <v>4311.7297297297309</v>
      </c>
      <c r="R137" s="648">
        <v>4329.801801801802</v>
      </c>
    </row>
    <row r="138" spans="1:18" ht="13" hidden="1">
      <c r="A138" s="630">
        <f t="shared" si="25"/>
        <v>6</v>
      </c>
      <c r="B138" s="591" t="str">
        <f>+CONCATENATE(A138,$H$36)</f>
        <v>6A</v>
      </c>
      <c r="C138" s="628">
        <f t="shared" si="21"/>
        <v>13061.3</v>
      </c>
      <c r="D138" s="628">
        <f t="shared" si="22"/>
        <v>13116.05</v>
      </c>
      <c r="E138" s="628">
        <f t="shared" si="23"/>
        <v>13061.3</v>
      </c>
      <c r="F138" s="631">
        <f t="shared" si="24"/>
        <v>13116.05</v>
      </c>
      <c r="G138" s="229"/>
      <c r="I138" s="585"/>
      <c r="J138" s="585"/>
      <c r="M138" s="481"/>
      <c r="N138" s="641">
        <v>6</v>
      </c>
      <c r="O138" s="647">
        <v>4311.7297297297309</v>
      </c>
      <c r="P138" s="648">
        <v>4329.801801801802</v>
      </c>
      <c r="Q138" s="647">
        <v>4311.7297297297309</v>
      </c>
      <c r="R138" s="648">
        <v>4329.801801801802</v>
      </c>
    </row>
    <row r="139" spans="1:18" ht="13" hidden="1">
      <c r="A139" s="630">
        <f t="shared" si="25"/>
        <v>7</v>
      </c>
      <c r="B139" s="591" t="str">
        <f>+CONCATENATE(A139,$H$36)</f>
        <v>7A</v>
      </c>
      <c r="C139" s="628">
        <f t="shared" si="21"/>
        <v>13061.3</v>
      </c>
      <c r="D139" s="628">
        <f t="shared" si="22"/>
        <v>13116.05</v>
      </c>
      <c r="E139" s="628">
        <f t="shared" si="23"/>
        <v>13061.3</v>
      </c>
      <c r="F139" s="631">
        <f t="shared" si="24"/>
        <v>13116.05</v>
      </c>
      <c r="G139" s="229"/>
      <c r="I139" s="585"/>
      <c r="J139" s="585"/>
      <c r="M139" s="481"/>
      <c r="N139" s="641">
        <v>7</v>
      </c>
      <c r="O139" s="647">
        <v>4311.7297297297309</v>
      </c>
      <c r="P139" s="648">
        <v>4329.801801801802</v>
      </c>
      <c r="Q139" s="647">
        <v>4311.7297297297309</v>
      </c>
      <c r="R139" s="648">
        <v>4329.801801801802</v>
      </c>
    </row>
    <row r="140" spans="1:18" ht="13" hidden="1">
      <c r="A140" s="630">
        <f t="shared" si="25"/>
        <v>8</v>
      </c>
      <c r="B140" s="591" t="str">
        <f>+CONCATENATE(A140,$H$36)</f>
        <v>8A</v>
      </c>
      <c r="C140" s="628">
        <f t="shared" si="21"/>
        <v>13061.3</v>
      </c>
      <c r="D140" s="628">
        <f t="shared" si="22"/>
        <v>13116.05</v>
      </c>
      <c r="E140" s="628">
        <f t="shared" si="23"/>
        <v>13061.3</v>
      </c>
      <c r="F140" s="631">
        <f t="shared" si="24"/>
        <v>13116.05</v>
      </c>
      <c r="G140" s="229"/>
      <c r="I140" s="585"/>
      <c r="J140" s="585"/>
      <c r="M140" s="481"/>
      <c r="N140" s="641">
        <v>8</v>
      </c>
      <c r="O140" s="647">
        <v>4311.7297297297309</v>
      </c>
      <c r="P140" s="648">
        <v>4329.801801801802</v>
      </c>
      <c r="Q140" s="647">
        <v>4311.7297297297309</v>
      </c>
      <c r="R140" s="648">
        <v>4329.801801801802</v>
      </c>
    </row>
    <row r="141" spans="1:18" ht="13" hidden="1">
      <c r="A141" s="630">
        <f t="shared" si="25"/>
        <v>9</v>
      </c>
      <c r="B141" s="591" t="str">
        <f>+CONCATENATE(A141,$H$36)</f>
        <v>9A</v>
      </c>
      <c r="C141" s="628">
        <f t="shared" si="21"/>
        <v>13061.3</v>
      </c>
      <c r="D141" s="628">
        <f t="shared" si="22"/>
        <v>13116.05</v>
      </c>
      <c r="E141" s="628">
        <f t="shared" si="23"/>
        <v>13061.3</v>
      </c>
      <c r="F141" s="631">
        <f t="shared" si="24"/>
        <v>13116.05</v>
      </c>
      <c r="G141" s="229"/>
      <c r="I141" s="585"/>
      <c r="J141" s="585"/>
      <c r="M141" s="481"/>
      <c r="N141" s="641">
        <v>9</v>
      </c>
      <c r="O141" s="647">
        <v>4311.7297297297309</v>
      </c>
      <c r="P141" s="648">
        <v>4329.801801801802</v>
      </c>
      <c r="Q141" s="647">
        <v>4311.7297297297309</v>
      </c>
      <c r="R141" s="648">
        <v>4329.801801801802</v>
      </c>
    </row>
    <row r="142" spans="1:18" ht="13" hidden="1">
      <c r="A142" s="630">
        <f t="shared" si="25"/>
        <v>10</v>
      </c>
      <c r="B142" s="591" t="str">
        <f t="shared" si="26"/>
        <v>10A</v>
      </c>
      <c r="C142" s="628">
        <f t="shared" si="21"/>
        <v>13061.3</v>
      </c>
      <c r="D142" s="628">
        <f t="shared" si="22"/>
        <v>13116.05</v>
      </c>
      <c r="E142" s="628">
        <f t="shared" si="23"/>
        <v>13061.3</v>
      </c>
      <c r="F142" s="631">
        <f t="shared" si="24"/>
        <v>13116.05</v>
      </c>
      <c r="G142" s="229"/>
      <c r="I142" s="585"/>
      <c r="J142" s="585"/>
      <c r="M142" s="481"/>
      <c r="N142" s="641">
        <v>10</v>
      </c>
      <c r="O142" s="647">
        <v>4311.7297297297309</v>
      </c>
      <c r="P142" s="648">
        <v>4329.801801801802</v>
      </c>
      <c r="Q142" s="647">
        <v>4311.7297297297309</v>
      </c>
      <c r="R142" s="648">
        <v>4329.801801801802</v>
      </c>
    </row>
    <row r="143" spans="1:18" ht="13" hidden="1">
      <c r="A143" s="630">
        <f t="shared" si="25"/>
        <v>11</v>
      </c>
      <c r="B143" s="591" t="str">
        <f t="shared" si="26"/>
        <v>11A</v>
      </c>
      <c r="C143" s="628">
        <f t="shared" si="21"/>
        <v>13209.16</v>
      </c>
      <c r="D143" s="628">
        <f t="shared" si="22"/>
        <v>13109.5</v>
      </c>
      <c r="E143" s="628">
        <f t="shared" si="23"/>
        <v>13209.16</v>
      </c>
      <c r="F143" s="631">
        <f t="shared" si="24"/>
        <v>13109.5</v>
      </c>
      <c r="G143" s="229"/>
      <c r="I143" s="585"/>
      <c r="J143" s="585"/>
      <c r="M143" s="481"/>
      <c r="N143" s="641">
        <v>11</v>
      </c>
      <c r="O143" s="647">
        <v>4360.5405405405409</v>
      </c>
      <c r="P143" s="648">
        <v>4327.6396396396403</v>
      </c>
      <c r="Q143" s="647">
        <v>4360.5405405405409</v>
      </c>
      <c r="R143" s="648">
        <v>4327.6396396396403</v>
      </c>
    </row>
    <row r="144" spans="1:18" ht="13" hidden="1">
      <c r="A144" s="630">
        <f t="shared" si="25"/>
        <v>12</v>
      </c>
      <c r="B144" s="591" t="str">
        <f t="shared" si="26"/>
        <v>12A</v>
      </c>
      <c r="C144" s="628">
        <f t="shared" si="21"/>
        <v>13160.04</v>
      </c>
      <c r="D144" s="628">
        <f t="shared" si="22"/>
        <v>13235.31</v>
      </c>
      <c r="E144" s="628">
        <f t="shared" si="23"/>
        <v>13160.04</v>
      </c>
      <c r="F144" s="631">
        <f t="shared" si="24"/>
        <v>13235.31</v>
      </c>
      <c r="G144" s="229"/>
      <c r="I144" s="585"/>
      <c r="J144" s="585"/>
      <c r="M144" s="481"/>
      <c r="N144" s="641">
        <v>12</v>
      </c>
      <c r="O144" s="647">
        <v>4344.3243243243251</v>
      </c>
      <c r="P144" s="648">
        <v>4369.1711711711714</v>
      </c>
      <c r="Q144" s="647">
        <v>4344.3243243243251</v>
      </c>
      <c r="R144" s="648">
        <v>4369.1711711711714</v>
      </c>
    </row>
    <row r="145" spans="1:18" ht="13" hidden="1">
      <c r="A145" s="630">
        <f t="shared" si="25"/>
        <v>13</v>
      </c>
      <c r="B145" s="591" t="str">
        <f t="shared" si="26"/>
        <v>13A</v>
      </c>
      <c r="C145" s="628">
        <f t="shared" si="21"/>
        <v>13062.51</v>
      </c>
      <c r="D145" s="628">
        <f t="shared" si="22"/>
        <v>13152.95</v>
      </c>
      <c r="E145" s="628">
        <f t="shared" si="23"/>
        <v>13062.51</v>
      </c>
      <c r="F145" s="631">
        <f t="shared" si="24"/>
        <v>13152.95</v>
      </c>
      <c r="G145" s="229"/>
      <c r="I145" s="585"/>
      <c r="J145" s="585"/>
      <c r="M145" s="481"/>
      <c r="N145" s="641">
        <v>13</v>
      </c>
      <c r="O145" s="647">
        <v>4312.126126126127</v>
      </c>
      <c r="P145" s="648">
        <v>4341.9819819819832</v>
      </c>
      <c r="Q145" s="647">
        <v>4312.126126126127</v>
      </c>
      <c r="R145" s="648">
        <v>4341.9819819819832</v>
      </c>
    </row>
    <row r="146" spans="1:18" ht="13" hidden="1">
      <c r="A146" s="630">
        <f t="shared" si="25"/>
        <v>14</v>
      </c>
      <c r="B146" s="591" t="str">
        <f t="shared" si="26"/>
        <v>14A</v>
      </c>
      <c r="C146" s="628">
        <f t="shared" si="21"/>
        <v>12709.26</v>
      </c>
      <c r="D146" s="628">
        <f t="shared" si="22"/>
        <v>12896.85</v>
      </c>
      <c r="E146" s="628">
        <f t="shared" si="23"/>
        <v>12709.26</v>
      </c>
      <c r="F146" s="631">
        <f t="shared" si="24"/>
        <v>12896.85</v>
      </c>
      <c r="G146" s="229"/>
      <c r="I146" s="585"/>
      <c r="J146" s="585"/>
      <c r="M146" s="481"/>
      <c r="N146" s="641">
        <v>14</v>
      </c>
      <c r="O146" s="647">
        <v>4195.5135135135142</v>
      </c>
      <c r="P146" s="648">
        <v>4257.4414414414423</v>
      </c>
      <c r="Q146" s="647">
        <v>4195.5135135135142</v>
      </c>
      <c r="R146" s="648">
        <v>4257.4414414414423</v>
      </c>
    </row>
    <row r="147" spans="1:18" ht="13" hidden="1">
      <c r="A147" s="630">
        <f t="shared" si="25"/>
        <v>15</v>
      </c>
      <c r="B147" s="591" t="str">
        <f t="shared" si="26"/>
        <v>15A</v>
      </c>
      <c r="C147" s="628">
        <f t="shared" si="21"/>
        <v>12756.31</v>
      </c>
      <c r="D147" s="628">
        <f t="shared" si="22"/>
        <v>12685.79</v>
      </c>
      <c r="E147" s="628">
        <f t="shared" si="23"/>
        <v>12756.31</v>
      </c>
      <c r="F147" s="631">
        <f t="shared" si="24"/>
        <v>12685.79</v>
      </c>
      <c r="G147" s="229"/>
      <c r="I147" s="585"/>
      <c r="J147" s="585"/>
      <c r="M147" s="481"/>
      <c r="N147" s="641">
        <v>15</v>
      </c>
      <c r="O147" s="647">
        <v>4211.0450450450453</v>
      </c>
      <c r="P147" s="648">
        <v>4187.7657657657664</v>
      </c>
      <c r="Q147" s="647">
        <v>4211.0450450450453</v>
      </c>
      <c r="R147" s="648">
        <v>4187.7657657657664</v>
      </c>
    </row>
    <row r="148" spans="1:18" ht="13" hidden="1">
      <c r="A148" s="630">
        <f t="shared" si="25"/>
        <v>16</v>
      </c>
      <c r="B148" s="591" t="str">
        <f t="shared" si="26"/>
        <v>16A</v>
      </c>
      <c r="C148" s="628">
        <f t="shared" si="21"/>
        <v>12540.11</v>
      </c>
      <c r="D148" s="628">
        <f t="shared" si="22"/>
        <v>11728.11</v>
      </c>
      <c r="E148" s="628">
        <f t="shared" si="23"/>
        <v>12540.11</v>
      </c>
      <c r="F148" s="631">
        <f t="shared" si="24"/>
        <v>11728.11</v>
      </c>
      <c r="G148" s="229"/>
      <c r="I148" s="585"/>
      <c r="J148" s="585"/>
      <c r="M148" s="481"/>
      <c r="N148" s="641">
        <v>16</v>
      </c>
      <c r="O148" s="647">
        <v>4139.6756756756758</v>
      </c>
      <c r="P148" s="648">
        <v>3871.6216216216221</v>
      </c>
      <c r="Q148" s="647">
        <v>4139.6756756756758</v>
      </c>
      <c r="R148" s="648">
        <v>3871.6216216216221</v>
      </c>
    </row>
    <row r="149" spans="1:18" ht="13" hidden="1">
      <c r="A149" s="630">
        <f t="shared" si="25"/>
        <v>17</v>
      </c>
      <c r="B149" s="591" t="str">
        <f t="shared" si="26"/>
        <v>17A</v>
      </c>
      <c r="C149" s="628">
        <f t="shared" si="21"/>
        <v>12620.51</v>
      </c>
      <c r="D149" s="628">
        <f t="shared" si="22"/>
        <v>11920.72</v>
      </c>
      <c r="E149" s="628">
        <f t="shared" si="23"/>
        <v>12620.51</v>
      </c>
      <c r="F149" s="631">
        <f t="shared" si="24"/>
        <v>11920.72</v>
      </c>
      <c r="G149" s="229"/>
      <c r="I149" s="585"/>
      <c r="J149" s="585"/>
      <c r="M149" s="481"/>
      <c r="N149" s="641">
        <v>17</v>
      </c>
      <c r="O149" s="647">
        <v>4166.2162162162167</v>
      </c>
      <c r="P149" s="648">
        <v>3935.2072072072074</v>
      </c>
      <c r="Q149" s="647">
        <v>4166.2162162162167</v>
      </c>
      <c r="R149" s="648">
        <v>3935.2072072072074</v>
      </c>
    </row>
    <row r="150" spans="1:18" ht="13" hidden="1">
      <c r="A150" s="630">
        <f t="shared" si="25"/>
        <v>18</v>
      </c>
      <c r="B150" s="591" t="str">
        <f t="shared" si="26"/>
        <v>18A</v>
      </c>
      <c r="C150" s="628">
        <f t="shared" si="21"/>
        <v>12974.47</v>
      </c>
      <c r="D150" s="628">
        <f t="shared" si="22"/>
        <v>11553.12</v>
      </c>
      <c r="E150" s="628">
        <f t="shared" si="23"/>
        <v>12974.47</v>
      </c>
      <c r="F150" s="631">
        <f t="shared" si="24"/>
        <v>11553.12</v>
      </c>
      <c r="G150" s="229"/>
      <c r="I150" s="585"/>
      <c r="J150" s="585"/>
      <c r="M150" s="481"/>
      <c r="N150" s="641">
        <v>18</v>
      </c>
      <c r="O150" s="647">
        <v>4283.0630630630631</v>
      </c>
      <c r="P150" s="648">
        <v>3813.8558558558566</v>
      </c>
      <c r="Q150" s="647">
        <v>4283.0630630630631</v>
      </c>
      <c r="R150" s="648">
        <v>3813.8558558558566</v>
      </c>
    </row>
    <row r="151" spans="1:18" ht="13" hidden="1">
      <c r="A151" s="630">
        <f t="shared" si="25"/>
        <v>19</v>
      </c>
      <c r="B151" s="591" t="str">
        <f t="shared" si="26"/>
        <v>19A</v>
      </c>
      <c r="C151" s="628">
        <f t="shared" si="21"/>
        <v>13406.2</v>
      </c>
      <c r="D151" s="628">
        <f t="shared" si="22"/>
        <v>11722.65</v>
      </c>
      <c r="E151" s="628">
        <f t="shared" si="23"/>
        <v>13406.2</v>
      </c>
      <c r="F151" s="631">
        <f t="shared" si="24"/>
        <v>11722.65</v>
      </c>
      <c r="G151" s="229"/>
      <c r="I151" s="585"/>
      <c r="J151" s="585"/>
      <c r="M151" s="481"/>
      <c r="N151" s="641">
        <v>19</v>
      </c>
      <c r="O151" s="647">
        <v>4425.5855855855862</v>
      </c>
      <c r="P151" s="648">
        <v>3869.8198198198202</v>
      </c>
      <c r="Q151" s="647">
        <v>4425.5855855855862</v>
      </c>
      <c r="R151" s="648">
        <v>3869.8198198198202</v>
      </c>
    </row>
    <row r="152" spans="1:18" ht="13" hidden="1">
      <c r="A152" s="630">
        <f t="shared" si="25"/>
        <v>20</v>
      </c>
      <c r="B152" s="591" t="str">
        <f t="shared" si="26"/>
        <v>20A</v>
      </c>
      <c r="C152" s="628">
        <f t="shared" si="21"/>
        <v>13894.05</v>
      </c>
      <c r="D152" s="628">
        <f t="shared" si="22"/>
        <v>13881.66</v>
      </c>
      <c r="E152" s="628">
        <f t="shared" si="23"/>
        <v>13894.05</v>
      </c>
      <c r="F152" s="631">
        <f t="shared" si="24"/>
        <v>13881.66</v>
      </c>
      <c r="G152" s="229"/>
      <c r="I152" s="585"/>
      <c r="J152" s="585"/>
      <c r="M152" s="481"/>
      <c r="N152" s="641">
        <v>20</v>
      </c>
      <c r="O152" s="647">
        <v>4586.6306306306315</v>
      </c>
      <c r="P152" s="648">
        <v>4582.5405405405409</v>
      </c>
      <c r="Q152" s="647">
        <v>4586.6306306306315</v>
      </c>
      <c r="R152" s="648">
        <v>4582.5405405405409</v>
      </c>
    </row>
    <row r="153" spans="1:18" ht="13" hidden="1">
      <c r="A153" s="630">
        <f t="shared" si="25"/>
        <v>21</v>
      </c>
      <c r="B153" s="591" t="str">
        <f t="shared" si="26"/>
        <v>21A</v>
      </c>
      <c r="C153" s="628">
        <f t="shared" si="21"/>
        <v>14878.95</v>
      </c>
      <c r="D153" s="628">
        <f t="shared" si="22"/>
        <v>17774.3</v>
      </c>
      <c r="E153" s="628">
        <f t="shared" si="23"/>
        <v>14878.95</v>
      </c>
      <c r="F153" s="631">
        <f t="shared" si="24"/>
        <v>17774.3</v>
      </c>
      <c r="G153" s="229"/>
      <c r="I153" s="585"/>
      <c r="J153" s="585"/>
      <c r="M153" s="481"/>
      <c r="N153" s="641">
        <v>21</v>
      </c>
      <c r="O153" s="647">
        <v>4954.3783783783783</v>
      </c>
      <c r="P153" s="648">
        <v>5918.4684684684689</v>
      </c>
      <c r="Q153" s="647">
        <v>4954.3783783783783</v>
      </c>
      <c r="R153" s="648">
        <v>5918.4684684684689</v>
      </c>
    </row>
    <row r="154" spans="1:18" ht="13" hidden="1">
      <c r="A154" s="630">
        <f t="shared" si="25"/>
        <v>22</v>
      </c>
      <c r="B154" s="591" t="str">
        <f t="shared" si="26"/>
        <v>22A</v>
      </c>
      <c r="C154" s="628">
        <f t="shared" si="21"/>
        <v>15528.67</v>
      </c>
      <c r="D154" s="628">
        <f t="shared" si="22"/>
        <v>18621.63</v>
      </c>
      <c r="E154" s="628">
        <f t="shared" si="23"/>
        <v>15528.67</v>
      </c>
      <c r="F154" s="631">
        <f t="shared" si="24"/>
        <v>18621.63</v>
      </c>
      <c r="G154" s="229"/>
      <c r="I154" s="585"/>
      <c r="J154" s="585"/>
      <c r="M154" s="481"/>
      <c r="N154" s="641">
        <v>22</v>
      </c>
      <c r="O154" s="647">
        <v>5170.7207207207211</v>
      </c>
      <c r="P154" s="648">
        <v>6200.6126126126137</v>
      </c>
      <c r="Q154" s="647">
        <v>5170.7207207207211</v>
      </c>
      <c r="R154" s="648">
        <v>6200.6126126126137</v>
      </c>
    </row>
    <row r="155" spans="1:18" ht="13" hidden="1">
      <c r="A155" s="630">
        <f t="shared" si="25"/>
        <v>23</v>
      </c>
      <c r="B155" s="591" t="str">
        <f t="shared" si="26"/>
        <v>23A</v>
      </c>
      <c r="C155" s="628">
        <f t="shared" si="21"/>
        <v>16559.22</v>
      </c>
      <c r="D155" s="628">
        <f t="shared" si="22"/>
        <v>19491.04</v>
      </c>
      <c r="E155" s="628">
        <f t="shared" si="23"/>
        <v>16559.22</v>
      </c>
      <c r="F155" s="631">
        <f t="shared" si="24"/>
        <v>19491.04</v>
      </c>
      <c r="G155" s="229"/>
      <c r="I155" s="585"/>
      <c r="J155" s="585"/>
      <c r="M155" s="481"/>
      <c r="N155" s="641">
        <v>23</v>
      </c>
      <c r="O155" s="647">
        <v>5513.8738738738739</v>
      </c>
      <c r="P155" s="648">
        <v>6490.1081081081093</v>
      </c>
      <c r="Q155" s="647">
        <v>5513.8738738738739</v>
      </c>
      <c r="R155" s="648">
        <v>6490.1081081081093</v>
      </c>
    </row>
    <row r="156" spans="1:18" ht="13" hidden="1">
      <c r="A156" s="630">
        <f t="shared" si="25"/>
        <v>24</v>
      </c>
      <c r="B156" s="591" t="str">
        <f t="shared" si="26"/>
        <v>24A</v>
      </c>
      <c r="C156" s="628">
        <f t="shared" si="21"/>
        <v>17231.34</v>
      </c>
      <c r="D156" s="628">
        <f t="shared" si="22"/>
        <v>20402.39</v>
      </c>
      <c r="E156" s="628">
        <f t="shared" si="23"/>
        <v>17231.34</v>
      </c>
      <c r="F156" s="631">
        <f t="shared" si="24"/>
        <v>20402.39</v>
      </c>
      <c r="G156" s="229"/>
      <c r="I156" s="585"/>
      <c r="J156" s="585"/>
      <c r="M156" s="481"/>
      <c r="N156" s="641">
        <v>24</v>
      </c>
      <c r="O156" s="647">
        <v>5737.6756756756758</v>
      </c>
      <c r="P156" s="648">
        <v>6793.5675675675684</v>
      </c>
      <c r="Q156" s="647">
        <v>5737.6756756756758</v>
      </c>
      <c r="R156" s="648">
        <v>6793.5675675675684</v>
      </c>
    </row>
    <row r="157" spans="1:18" ht="13" hidden="1">
      <c r="A157" s="630">
        <f t="shared" si="25"/>
        <v>25</v>
      </c>
      <c r="B157" s="591" t="str">
        <f t="shared" si="26"/>
        <v>25A</v>
      </c>
      <c r="C157" s="628">
        <f t="shared" si="21"/>
        <v>17905.41</v>
      </c>
      <c r="D157" s="628">
        <f t="shared" si="22"/>
        <v>21346.959999999999</v>
      </c>
      <c r="E157" s="628">
        <f t="shared" si="23"/>
        <v>17905.41</v>
      </c>
      <c r="F157" s="631">
        <f t="shared" si="24"/>
        <v>21346.959999999999</v>
      </c>
      <c r="G157" s="229"/>
      <c r="I157" s="585"/>
      <c r="J157" s="585"/>
      <c r="M157" s="481"/>
      <c r="N157" s="641">
        <v>25</v>
      </c>
      <c r="O157" s="647">
        <v>5962.126126126127</v>
      </c>
      <c r="P157" s="648">
        <v>7108.0900900900906</v>
      </c>
      <c r="Q157" s="647">
        <v>5962.126126126127</v>
      </c>
      <c r="R157" s="648">
        <v>7108.0900900900906</v>
      </c>
    </row>
    <row r="158" spans="1:18" ht="13" hidden="1">
      <c r="A158" s="630">
        <f t="shared" si="25"/>
        <v>26</v>
      </c>
      <c r="B158" s="591" t="str">
        <f t="shared" si="26"/>
        <v>26A</v>
      </c>
      <c r="C158" s="628">
        <f t="shared" si="21"/>
        <v>19091.810000000001</v>
      </c>
      <c r="D158" s="628">
        <f t="shared" si="22"/>
        <v>22175.3</v>
      </c>
      <c r="E158" s="628">
        <f t="shared" si="23"/>
        <v>19091.810000000001</v>
      </c>
      <c r="F158" s="631">
        <f t="shared" si="24"/>
        <v>22175.3</v>
      </c>
      <c r="G158" s="229"/>
      <c r="I158" s="585"/>
      <c r="J158" s="585"/>
      <c r="M158" s="481"/>
      <c r="N158" s="641">
        <v>26</v>
      </c>
      <c r="O158" s="647">
        <v>6357.1711711711723</v>
      </c>
      <c r="P158" s="648">
        <v>7383.9099099099103</v>
      </c>
      <c r="Q158" s="647">
        <v>6357.1711711711723</v>
      </c>
      <c r="R158" s="648">
        <v>7383.9099099099103</v>
      </c>
    </row>
    <row r="159" spans="1:18" ht="13" hidden="1">
      <c r="A159" s="630">
        <f t="shared" si="25"/>
        <v>27</v>
      </c>
      <c r="B159" s="591" t="str">
        <f t="shared" si="26"/>
        <v>27A</v>
      </c>
      <c r="C159" s="628">
        <f t="shared" si="21"/>
        <v>19936.54</v>
      </c>
      <c r="D159" s="628">
        <f t="shared" si="22"/>
        <v>23188.38</v>
      </c>
      <c r="E159" s="628">
        <f t="shared" si="23"/>
        <v>19936.54</v>
      </c>
      <c r="F159" s="631">
        <f t="shared" si="24"/>
        <v>23188.38</v>
      </c>
      <c r="G159" s="229"/>
      <c r="I159" s="585"/>
      <c r="J159" s="585"/>
      <c r="M159" s="481"/>
      <c r="N159" s="641">
        <v>27</v>
      </c>
      <c r="O159" s="647">
        <v>6638.4504504504512</v>
      </c>
      <c r="P159" s="648">
        <v>7721.2432432432443</v>
      </c>
      <c r="Q159" s="647">
        <v>6638.4504504504512</v>
      </c>
      <c r="R159" s="648">
        <v>7721.2432432432443</v>
      </c>
    </row>
    <row r="160" spans="1:18" ht="13" hidden="1">
      <c r="A160" s="630">
        <f t="shared" si="25"/>
        <v>28</v>
      </c>
      <c r="B160" s="591" t="str">
        <f t="shared" si="26"/>
        <v>28A</v>
      </c>
      <c r="C160" s="628">
        <f t="shared" si="21"/>
        <v>21085.5</v>
      </c>
      <c r="D160" s="628">
        <f t="shared" si="22"/>
        <v>24269.53</v>
      </c>
      <c r="E160" s="628">
        <f t="shared" si="23"/>
        <v>21085.5</v>
      </c>
      <c r="F160" s="631">
        <f t="shared" si="24"/>
        <v>24269.53</v>
      </c>
      <c r="G160" s="229"/>
      <c r="I160" s="585"/>
      <c r="J160" s="585"/>
      <c r="M160" s="481"/>
      <c r="N160" s="641">
        <v>28</v>
      </c>
      <c r="O160" s="647">
        <v>7021.0270270270275</v>
      </c>
      <c r="P160" s="648">
        <v>8081.2432432432443</v>
      </c>
      <c r="Q160" s="647">
        <v>7021.0270270270275</v>
      </c>
      <c r="R160" s="648">
        <v>8081.2432432432443</v>
      </c>
    </row>
    <row r="161" spans="1:18" ht="13" hidden="1">
      <c r="A161" s="630">
        <f t="shared" si="25"/>
        <v>29</v>
      </c>
      <c r="B161" s="591" t="str">
        <f t="shared" si="26"/>
        <v>29A</v>
      </c>
      <c r="C161" s="628">
        <f t="shared" si="21"/>
        <v>22151.599999999999</v>
      </c>
      <c r="D161" s="628">
        <f t="shared" si="22"/>
        <v>25360.58</v>
      </c>
      <c r="E161" s="628">
        <f t="shared" si="23"/>
        <v>22151.599999999999</v>
      </c>
      <c r="F161" s="631">
        <f t="shared" si="24"/>
        <v>25360.58</v>
      </c>
      <c r="G161" s="229"/>
      <c r="I161" s="585"/>
      <c r="J161" s="585"/>
      <c r="M161" s="481"/>
      <c r="N161" s="641">
        <v>29</v>
      </c>
      <c r="O161" s="647">
        <v>7376.0180180180187</v>
      </c>
      <c r="P161" s="648">
        <v>8444.5405405405418</v>
      </c>
      <c r="Q161" s="647">
        <v>7376.0180180180187</v>
      </c>
      <c r="R161" s="648">
        <v>8444.5405405405418</v>
      </c>
    </row>
    <row r="162" spans="1:18" ht="13" hidden="1">
      <c r="A162" s="630">
        <f t="shared" si="25"/>
        <v>30</v>
      </c>
      <c r="B162" s="591" t="str">
        <f t="shared" si="26"/>
        <v>30A</v>
      </c>
      <c r="C162" s="628">
        <f t="shared" si="21"/>
        <v>23143.360000000001</v>
      </c>
      <c r="D162" s="628">
        <f t="shared" si="22"/>
        <v>26560.29</v>
      </c>
      <c r="E162" s="628">
        <f t="shared" si="23"/>
        <v>23143.360000000001</v>
      </c>
      <c r="F162" s="631">
        <f t="shared" si="24"/>
        <v>26560.29</v>
      </c>
      <c r="G162" s="229"/>
      <c r="I162" s="585"/>
      <c r="J162" s="585"/>
      <c r="M162" s="481"/>
      <c r="N162" s="641">
        <v>30</v>
      </c>
      <c r="O162" s="647">
        <v>7706.2522522522531</v>
      </c>
      <c r="P162" s="648">
        <v>8844.0180180180196</v>
      </c>
      <c r="Q162" s="647">
        <v>7706.2522522522531</v>
      </c>
      <c r="R162" s="648">
        <v>8844.0180180180196</v>
      </c>
    </row>
    <row r="163" spans="1:18" ht="13" hidden="1">
      <c r="A163" s="630">
        <f t="shared" si="25"/>
        <v>31</v>
      </c>
      <c r="B163" s="591" t="str">
        <f t="shared" si="26"/>
        <v>31A</v>
      </c>
      <c r="C163" s="628">
        <f t="shared" si="21"/>
        <v>24096.43</v>
      </c>
      <c r="D163" s="628">
        <f t="shared" si="22"/>
        <v>27792.3</v>
      </c>
      <c r="E163" s="628">
        <f t="shared" si="23"/>
        <v>24096.43</v>
      </c>
      <c r="F163" s="631">
        <f t="shared" si="24"/>
        <v>27792.3</v>
      </c>
      <c r="G163" s="229"/>
      <c r="I163" s="585"/>
      <c r="J163" s="585"/>
      <c r="M163" s="481"/>
      <c r="N163" s="641">
        <v>31</v>
      </c>
      <c r="O163" s="647">
        <v>8023.6036036036048</v>
      </c>
      <c r="P163" s="648">
        <v>9254.2522522522522</v>
      </c>
      <c r="Q163" s="647">
        <v>8023.6036036036048</v>
      </c>
      <c r="R163" s="648">
        <v>9254.2522522522522</v>
      </c>
    </row>
    <row r="164" spans="1:18" ht="13" hidden="1">
      <c r="A164" s="630">
        <f t="shared" si="25"/>
        <v>32</v>
      </c>
      <c r="B164" s="591" t="str">
        <f t="shared" si="26"/>
        <v>32A</v>
      </c>
      <c r="C164" s="628">
        <f t="shared" si="21"/>
        <v>25578.22</v>
      </c>
      <c r="D164" s="628">
        <f t="shared" si="22"/>
        <v>29044.06</v>
      </c>
      <c r="E164" s="628">
        <f t="shared" si="23"/>
        <v>25578.22</v>
      </c>
      <c r="F164" s="631">
        <f t="shared" si="24"/>
        <v>29044.06</v>
      </c>
      <c r="G164" s="229"/>
      <c r="I164" s="585"/>
      <c r="J164" s="585"/>
      <c r="M164" s="481"/>
      <c r="N164" s="641">
        <v>32</v>
      </c>
      <c r="O164" s="647">
        <v>8517.0090090090089</v>
      </c>
      <c r="P164" s="648">
        <v>9671.063063063064</v>
      </c>
      <c r="Q164" s="647">
        <v>8517.0090090090089</v>
      </c>
      <c r="R164" s="648">
        <v>9671.063063063064</v>
      </c>
    </row>
    <row r="165" spans="1:18" ht="13" hidden="1">
      <c r="A165" s="630">
        <f t="shared" si="25"/>
        <v>33</v>
      </c>
      <c r="B165" s="591" t="str">
        <f t="shared" si="26"/>
        <v>33A</v>
      </c>
      <c r="C165" s="628">
        <f t="shared" si="21"/>
        <v>26480.58</v>
      </c>
      <c r="D165" s="628">
        <f t="shared" si="22"/>
        <v>30319.85</v>
      </c>
      <c r="E165" s="628">
        <f t="shared" si="23"/>
        <v>26480.58</v>
      </c>
      <c r="F165" s="631">
        <f t="shared" si="24"/>
        <v>30319.85</v>
      </c>
      <c r="G165" s="229"/>
      <c r="I165" s="585"/>
      <c r="J165" s="585"/>
      <c r="M165" s="481"/>
      <c r="N165" s="641">
        <v>33</v>
      </c>
      <c r="O165" s="647">
        <v>8817.4774774774778</v>
      </c>
      <c r="P165" s="648">
        <v>10095.873873873876</v>
      </c>
      <c r="Q165" s="647">
        <v>8817.4774774774778</v>
      </c>
      <c r="R165" s="648">
        <v>10095.873873873876</v>
      </c>
    </row>
    <row r="166" spans="1:18" ht="13" hidden="1">
      <c r="A166" s="630">
        <f t="shared" si="25"/>
        <v>34</v>
      </c>
      <c r="B166" s="591" t="str">
        <f t="shared" si="26"/>
        <v>34A</v>
      </c>
      <c r="C166" s="628">
        <f t="shared" si="21"/>
        <v>27962</v>
      </c>
      <c r="D166" s="628">
        <f t="shared" si="22"/>
        <v>31685.79</v>
      </c>
      <c r="E166" s="628">
        <f t="shared" si="23"/>
        <v>27962</v>
      </c>
      <c r="F166" s="631">
        <f t="shared" si="24"/>
        <v>31685.79</v>
      </c>
      <c r="G166" s="229"/>
      <c r="I166" s="585"/>
      <c r="J166" s="585"/>
      <c r="M166" s="481"/>
      <c r="N166" s="641">
        <v>34</v>
      </c>
      <c r="O166" s="647">
        <v>9310.7567567567585</v>
      </c>
      <c r="P166" s="648">
        <v>10550.702702702705</v>
      </c>
      <c r="Q166" s="647">
        <v>9310.7567567567585</v>
      </c>
      <c r="R166" s="648">
        <v>10550.702702702705</v>
      </c>
    </row>
    <row r="167" spans="1:18" ht="13" hidden="1">
      <c r="A167" s="630">
        <f t="shared" si="25"/>
        <v>35</v>
      </c>
      <c r="B167" s="591" t="str">
        <f t="shared" si="26"/>
        <v>35A</v>
      </c>
      <c r="C167" s="628">
        <f t="shared" si="21"/>
        <v>29506.29</v>
      </c>
      <c r="D167" s="628">
        <f t="shared" si="22"/>
        <v>33133.22</v>
      </c>
      <c r="E167" s="628">
        <f t="shared" si="23"/>
        <v>29506.29</v>
      </c>
      <c r="F167" s="631">
        <f t="shared" si="24"/>
        <v>33133.22</v>
      </c>
      <c r="G167" s="229"/>
      <c r="I167" s="585"/>
      <c r="J167" s="585"/>
      <c r="M167" s="481"/>
      <c r="N167" s="641">
        <v>35</v>
      </c>
      <c r="O167" s="647">
        <v>9824.9729729729734</v>
      </c>
      <c r="P167" s="648">
        <v>11032.666666666668</v>
      </c>
      <c r="Q167" s="647">
        <v>9824.9729729729734</v>
      </c>
      <c r="R167" s="648">
        <v>11032.666666666668</v>
      </c>
    </row>
    <row r="168" spans="1:18" ht="13" hidden="1">
      <c r="A168" s="630">
        <f t="shared" si="25"/>
        <v>36</v>
      </c>
      <c r="B168" s="591" t="str">
        <f t="shared" si="26"/>
        <v>36A</v>
      </c>
      <c r="C168" s="628">
        <f t="shared" si="21"/>
        <v>30767.63</v>
      </c>
      <c r="D168" s="628">
        <f t="shared" si="22"/>
        <v>34616.85</v>
      </c>
      <c r="E168" s="628">
        <f t="shared" si="23"/>
        <v>30767.63</v>
      </c>
      <c r="F168" s="631">
        <f t="shared" si="24"/>
        <v>34616.85</v>
      </c>
      <c r="G168" s="229"/>
      <c r="I168" s="585"/>
      <c r="J168" s="585"/>
      <c r="M168" s="481"/>
      <c r="N168" s="641">
        <v>36</v>
      </c>
      <c r="O168" s="647">
        <v>10244.972972972973</v>
      </c>
      <c r="P168" s="648">
        <v>11526.684684684687</v>
      </c>
      <c r="Q168" s="647">
        <v>10244.972972972973</v>
      </c>
      <c r="R168" s="648">
        <v>11526.684684684687</v>
      </c>
    </row>
    <row r="169" spans="1:18" ht="13" hidden="1">
      <c r="A169" s="630">
        <f t="shared" si="25"/>
        <v>37</v>
      </c>
      <c r="B169" s="591" t="str">
        <f t="shared" si="26"/>
        <v>37A</v>
      </c>
      <c r="C169" s="628">
        <f t="shared" si="21"/>
        <v>32445.19</v>
      </c>
      <c r="D169" s="628">
        <f t="shared" si="22"/>
        <v>36271.96</v>
      </c>
      <c r="E169" s="628">
        <f t="shared" si="23"/>
        <v>32445.19</v>
      </c>
      <c r="F169" s="631">
        <f t="shared" si="24"/>
        <v>36271.96</v>
      </c>
      <c r="G169" s="229"/>
      <c r="I169" s="585"/>
      <c r="J169" s="585"/>
      <c r="M169" s="481"/>
      <c r="N169" s="641">
        <v>37</v>
      </c>
      <c r="O169" s="647">
        <v>10803.567567567568</v>
      </c>
      <c r="P169" s="648">
        <v>12077.801801801803</v>
      </c>
      <c r="Q169" s="647">
        <v>10803.567567567568</v>
      </c>
      <c r="R169" s="648">
        <v>12077.801801801803</v>
      </c>
    </row>
    <row r="170" spans="1:18" ht="13" hidden="1">
      <c r="A170" s="630">
        <f t="shared" si="25"/>
        <v>38</v>
      </c>
      <c r="B170" s="591" t="str">
        <f t="shared" si="26"/>
        <v>38A</v>
      </c>
      <c r="C170" s="628">
        <f t="shared" si="21"/>
        <v>34175.25</v>
      </c>
      <c r="D170" s="628">
        <f t="shared" si="22"/>
        <v>37867.339999999997</v>
      </c>
      <c r="E170" s="628">
        <f t="shared" si="23"/>
        <v>34175.25</v>
      </c>
      <c r="F170" s="631">
        <f t="shared" si="24"/>
        <v>37867.339999999997</v>
      </c>
      <c r="G170" s="229"/>
      <c r="I170" s="585"/>
      <c r="J170" s="585"/>
      <c r="M170" s="481"/>
      <c r="N170" s="641">
        <v>38</v>
      </c>
      <c r="O170" s="647">
        <v>11379.639639639641</v>
      </c>
      <c r="P170" s="648">
        <v>12609.027027027028</v>
      </c>
      <c r="Q170" s="647">
        <v>11379.639639639641</v>
      </c>
      <c r="R170" s="648">
        <v>12609.027027027028</v>
      </c>
    </row>
    <row r="171" spans="1:18" ht="13" hidden="1">
      <c r="A171" s="630">
        <f t="shared" si="25"/>
        <v>39</v>
      </c>
      <c r="B171" s="591" t="str">
        <f t="shared" si="26"/>
        <v>39A</v>
      </c>
      <c r="C171" s="628">
        <f t="shared" si="21"/>
        <v>36041.18</v>
      </c>
      <c r="D171" s="628">
        <f t="shared" si="22"/>
        <v>39583.699999999997</v>
      </c>
      <c r="E171" s="628">
        <f t="shared" si="23"/>
        <v>36041.18</v>
      </c>
      <c r="F171" s="631">
        <f t="shared" si="24"/>
        <v>39583.699999999997</v>
      </c>
      <c r="G171" s="229"/>
      <c r="I171" s="585"/>
      <c r="J171" s="585"/>
      <c r="M171" s="481"/>
      <c r="N171" s="641">
        <v>39</v>
      </c>
      <c r="O171" s="647">
        <v>12000.954954954956</v>
      </c>
      <c r="P171" s="648">
        <v>13180.540540540542</v>
      </c>
      <c r="Q171" s="647">
        <v>12000.954954954956</v>
      </c>
      <c r="R171" s="648">
        <v>13180.540540540542</v>
      </c>
    </row>
    <row r="172" spans="1:18" ht="13" hidden="1">
      <c r="A172" s="630">
        <f t="shared" si="25"/>
        <v>40</v>
      </c>
      <c r="B172" s="591" t="str">
        <f t="shared" si="26"/>
        <v>40A</v>
      </c>
      <c r="C172" s="628">
        <f t="shared" si="21"/>
        <v>37308.69</v>
      </c>
      <c r="D172" s="628">
        <f t="shared" si="22"/>
        <v>41362.29</v>
      </c>
      <c r="E172" s="628">
        <f t="shared" si="23"/>
        <v>37308.69</v>
      </c>
      <c r="F172" s="631">
        <f t="shared" si="24"/>
        <v>41362.29</v>
      </c>
      <c r="G172" s="229"/>
      <c r="I172" s="585"/>
      <c r="J172" s="585"/>
      <c r="M172" s="481"/>
      <c r="N172" s="641">
        <v>40</v>
      </c>
      <c r="O172" s="647">
        <v>12423.009009009011</v>
      </c>
      <c r="P172" s="648">
        <v>13772.774774774776</v>
      </c>
      <c r="Q172" s="647">
        <v>12423.009009009011</v>
      </c>
      <c r="R172" s="648">
        <v>13772.774774774776</v>
      </c>
    </row>
    <row r="173" spans="1:18" ht="13" hidden="1">
      <c r="A173" s="630">
        <f t="shared" si="25"/>
        <v>41</v>
      </c>
      <c r="B173" s="591" t="str">
        <f t="shared" si="26"/>
        <v>41A</v>
      </c>
      <c r="C173" s="628">
        <f t="shared" si="21"/>
        <v>38696.870000000003</v>
      </c>
      <c r="D173" s="628">
        <f t="shared" si="22"/>
        <v>43227.79</v>
      </c>
      <c r="E173" s="628">
        <f t="shared" si="23"/>
        <v>38696.870000000003</v>
      </c>
      <c r="F173" s="631">
        <f t="shared" si="24"/>
        <v>43227.79</v>
      </c>
      <c r="G173" s="229"/>
      <c r="I173" s="585"/>
      <c r="J173" s="585"/>
      <c r="M173" s="481"/>
      <c r="N173" s="641">
        <v>41</v>
      </c>
      <c r="O173" s="647">
        <v>12885.243243243245</v>
      </c>
      <c r="P173" s="648">
        <v>14393.945945945949</v>
      </c>
      <c r="Q173" s="647">
        <v>12885.243243243245</v>
      </c>
      <c r="R173" s="648">
        <v>14393.945945945949</v>
      </c>
    </row>
    <row r="174" spans="1:18" ht="13" hidden="1">
      <c r="A174" s="630">
        <f t="shared" si="25"/>
        <v>42</v>
      </c>
      <c r="B174" s="591" t="str">
        <f t="shared" si="26"/>
        <v>42A</v>
      </c>
      <c r="C174" s="628">
        <f t="shared" si="21"/>
        <v>40198.410000000003</v>
      </c>
      <c r="D174" s="628">
        <f t="shared" si="22"/>
        <v>45169.15</v>
      </c>
      <c r="E174" s="628">
        <f t="shared" si="23"/>
        <v>40198.410000000003</v>
      </c>
      <c r="F174" s="631">
        <f t="shared" si="24"/>
        <v>45169.15</v>
      </c>
      <c r="G174" s="229"/>
      <c r="I174" s="585"/>
      <c r="J174" s="585"/>
      <c r="M174" s="481"/>
      <c r="N174" s="641">
        <v>42</v>
      </c>
      <c r="O174" s="647">
        <v>13385.225225225227</v>
      </c>
      <c r="P174" s="648">
        <v>15040.37837837838</v>
      </c>
      <c r="Q174" s="647">
        <v>13385.225225225227</v>
      </c>
      <c r="R174" s="648">
        <v>15040.37837837838</v>
      </c>
    </row>
    <row r="175" spans="1:18" ht="13" hidden="1">
      <c r="A175" s="630">
        <f t="shared" si="25"/>
        <v>43</v>
      </c>
      <c r="B175" s="591" t="str">
        <f t="shared" si="26"/>
        <v>43A</v>
      </c>
      <c r="C175" s="628">
        <f t="shared" si="21"/>
        <v>41803.629999999997</v>
      </c>
      <c r="D175" s="628">
        <f t="shared" si="22"/>
        <v>47188.7</v>
      </c>
      <c r="E175" s="628">
        <f t="shared" si="23"/>
        <v>41803.629999999997</v>
      </c>
      <c r="F175" s="631">
        <f t="shared" si="24"/>
        <v>47188.7</v>
      </c>
      <c r="G175" s="229"/>
      <c r="I175" s="585"/>
      <c r="J175" s="585"/>
      <c r="M175" s="481"/>
      <c r="N175" s="641">
        <v>43</v>
      </c>
      <c r="O175" s="647">
        <v>13919.729729729732</v>
      </c>
      <c r="P175" s="648">
        <v>15712.846846846847</v>
      </c>
      <c r="Q175" s="647">
        <v>13919.729729729732</v>
      </c>
      <c r="R175" s="648">
        <v>15712.846846846847</v>
      </c>
    </row>
    <row r="176" spans="1:18" ht="13" hidden="1">
      <c r="A176" s="630">
        <f t="shared" si="25"/>
        <v>44</v>
      </c>
      <c r="B176" s="591" t="str">
        <f t="shared" si="26"/>
        <v>44A</v>
      </c>
      <c r="C176" s="628">
        <f t="shared" si="21"/>
        <v>43602.46</v>
      </c>
      <c r="D176" s="628">
        <f t="shared" si="22"/>
        <v>49581.41</v>
      </c>
      <c r="E176" s="628">
        <f t="shared" si="23"/>
        <v>43602.46</v>
      </c>
      <c r="F176" s="631">
        <f t="shared" si="24"/>
        <v>49581.41</v>
      </c>
      <c r="G176" s="229"/>
      <c r="I176" s="585"/>
      <c r="J176" s="585"/>
      <c r="M176" s="481"/>
      <c r="N176" s="641">
        <v>44</v>
      </c>
      <c r="O176" s="647">
        <v>14518.702702702705</v>
      </c>
      <c r="P176" s="648">
        <v>16509.56756756757</v>
      </c>
      <c r="Q176" s="647">
        <v>14518.702702702705</v>
      </c>
      <c r="R176" s="648">
        <v>16509.56756756757</v>
      </c>
    </row>
    <row r="177" spans="1:18" ht="13" hidden="1">
      <c r="A177" s="630">
        <f t="shared" si="25"/>
        <v>45</v>
      </c>
      <c r="B177" s="591" t="str">
        <f t="shared" si="26"/>
        <v>45A</v>
      </c>
      <c r="C177" s="628">
        <f t="shared" si="21"/>
        <v>45563.03</v>
      </c>
      <c r="D177" s="628">
        <f t="shared" si="22"/>
        <v>51356.49</v>
      </c>
      <c r="E177" s="628">
        <f t="shared" si="23"/>
        <v>45563.03</v>
      </c>
      <c r="F177" s="631">
        <f t="shared" si="24"/>
        <v>51356.49</v>
      </c>
      <c r="G177" s="229"/>
      <c r="I177" s="585"/>
      <c r="J177" s="585"/>
      <c r="M177" s="481"/>
      <c r="N177" s="641">
        <v>45</v>
      </c>
      <c r="O177" s="647">
        <v>15171.531531531535</v>
      </c>
      <c r="P177" s="648">
        <v>17100.630630630632</v>
      </c>
      <c r="Q177" s="647">
        <v>15171.531531531535</v>
      </c>
      <c r="R177" s="648">
        <v>17100.630630630632</v>
      </c>
    </row>
    <row r="178" spans="1:18" ht="13" hidden="1">
      <c r="A178" s="630">
        <f t="shared" si="25"/>
        <v>46</v>
      </c>
      <c r="B178" s="591" t="str">
        <f t="shared" si="26"/>
        <v>46A</v>
      </c>
      <c r="C178" s="628">
        <f t="shared" si="21"/>
        <v>47712.5</v>
      </c>
      <c r="D178" s="628">
        <f t="shared" si="22"/>
        <v>53288.7</v>
      </c>
      <c r="E178" s="628">
        <f t="shared" si="23"/>
        <v>47712.5</v>
      </c>
      <c r="F178" s="631">
        <f t="shared" si="24"/>
        <v>53288.7</v>
      </c>
      <c r="G178" s="229"/>
      <c r="I178" s="585"/>
      <c r="J178" s="585"/>
      <c r="M178" s="481"/>
      <c r="N178" s="641">
        <v>46</v>
      </c>
      <c r="O178" s="647">
        <v>15887.261261261263</v>
      </c>
      <c r="P178" s="648">
        <v>17744.018018018021</v>
      </c>
      <c r="Q178" s="647">
        <v>15887.261261261263</v>
      </c>
      <c r="R178" s="648">
        <v>17744.018018018021</v>
      </c>
    </row>
    <row r="179" spans="1:18" ht="13" hidden="1">
      <c r="A179" s="630">
        <f t="shared" si="25"/>
        <v>47</v>
      </c>
      <c r="B179" s="591" t="str">
        <f t="shared" si="26"/>
        <v>47A</v>
      </c>
      <c r="C179" s="628">
        <f t="shared" si="21"/>
        <v>50072.63</v>
      </c>
      <c r="D179" s="628">
        <f t="shared" si="22"/>
        <v>56005.27</v>
      </c>
      <c r="E179" s="628">
        <f t="shared" si="23"/>
        <v>50072.63</v>
      </c>
      <c r="F179" s="631">
        <f t="shared" si="24"/>
        <v>56005.27</v>
      </c>
      <c r="G179" s="229"/>
      <c r="I179" s="585"/>
      <c r="J179" s="585"/>
      <c r="M179" s="481"/>
      <c r="N179" s="641">
        <v>47</v>
      </c>
      <c r="O179" s="647">
        <v>16673.135135135137</v>
      </c>
      <c r="P179" s="648">
        <v>18648.576576576575</v>
      </c>
      <c r="Q179" s="647">
        <v>16673.135135135137</v>
      </c>
      <c r="R179" s="648">
        <v>18648.576576576575</v>
      </c>
    </row>
    <row r="180" spans="1:18" ht="13" hidden="1">
      <c r="A180" s="630">
        <f t="shared" si="25"/>
        <v>48</v>
      </c>
      <c r="B180" s="591" t="str">
        <f t="shared" si="26"/>
        <v>48A</v>
      </c>
      <c r="C180" s="628">
        <f t="shared" si="21"/>
        <v>52638.879999999997</v>
      </c>
      <c r="D180" s="628">
        <f t="shared" si="22"/>
        <v>58256.25</v>
      </c>
      <c r="E180" s="628">
        <f t="shared" si="23"/>
        <v>52638.879999999997</v>
      </c>
      <c r="F180" s="631">
        <f t="shared" si="24"/>
        <v>58256.25</v>
      </c>
      <c r="G180" s="229"/>
      <c r="I180" s="585"/>
      <c r="J180" s="585"/>
      <c r="M180" s="481"/>
      <c r="N180" s="641">
        <v>48</v>
      </c>
      <c r="O180" s="647">
        <v>17527.639639639641</v>
      </c>
      <c r="P180" s="648">
        <v>19398.10810810811</v>
      </c>
      <c r="Q180" s="647">
        <v>17527.639639639641</v>
      </c>
      <c r="R180" s="648">
        <v>19398.10810810811</v>
      </c>
    </row>
    <row r="181" spans="1:18" ht="13" hidden="1">
      <c r="A181" s="630">
        <f t="shared" si="25"/>
        <v>49</v>
      </c>
      <c r="B181" s="591" t="str">
        <f t="shared" si="26"/>
        <v>49A</v>
      </c>
      <c r="C181" s="628">
        <f t="shared" si="21"/>
        <v>55452.89</v>
      </c>
      <c r="D181" s="628">
        <f t="shared" si="22"/>
        <v>60684.02</v>
      </c>
      <c r="E181" s="628">
        <f t="shared" si="23"/>
        <v>55452.89</v>
      </c>
      <c r="F181" s="631">
        <f t="shared" si="24"/>
        <v>60684.02</v>
      </c>
      <c r="G181" s="229"/>
      <c r="I181" s="585"/>
      <c r="J181" s="585"/>
      <c r="M181" s="481"/>
      <c r="N181" s="641">
        <v>49</v>
      </c>
      <c r="O181" s="647">
        <v>18464.64864864865</v>
      </c>
      <c r="P181" s="648">
        <v>20206.504504504508</v>
      </c>
      <c r="Q181" s="647">
        <v>18464.64864864865</v>
      </c>
      <c r="R181" s="648">
        <v>20206.504504504508</v>
      </c>
    </row>
    <row r="182" spans="1:18" ht="13" hidden="1">
      <c r="A182" s="630">
        <f t="shared" si="25"/>
        <v>50</v>
      </c>
      <c r="B182" s="591" t="str">
        <f t="shared" si="26"/>
        <v>50A</v>
      </c>
      <c r="C182" s="628">
        <f t="shared" si="21"/>
        <v>58546.29</v>
      </c>
      <c r="D182" s="628">
        <f t="shared" si="22"/>
        <v>63259.79</v>
      </c>
      <c r="E182" s="628">
        <f t="shared" si="23"/>
        <v>58546.29</v>
      </c>
      <c r="F182" s="631">
        <f t="shared" si="24"/>
        <v>63259.79</v>
      </c>
      <c r="G182" s="229"/>
      <c r="I182" s="585"/>
      <c r="J182" s="585"/>
      <c r="M182" s="481"/>
      <c r="N182" s="641">
        <v>50</v>
      </c>
      <c r="O182" s="647">
        <v>19494.684684684686</v>
      </c>
      <c r="P182" s="648">
        <v>21064.180180180185</v>
      </c>
      <c r="Q182" s="647">
        <v>19494.684684684686</v>
      </c>
      <c r="R182" s="648">
        <v>21064.180180180185</v>
      </c>
    </row>
    <row r="183" spans="1:18" ht="13" hidden="1">
      <c r="A183" s="630">
        <f t="shared" si="25"/>
        <v>51</v>
      </c>
      <c r="B183" s="591" t="str">
        <f t="shared" si="26"/>
        <v>51A</v>
      </c>
      <c r="C183" s="628">
        <f t="shared" si="21"/>
        <v>61886.65</v>
      </c>
      <c r="D183" s="628">
        <f t="shared" si="22"/>
        <v>66018.399999999994</v>
      </c>
      <c r="E183" s="628">
        <f t="shared" si="23"/>
        <v>61886.65</v>
      </c>
      <c r="F183" s="631">
        <f t="shared" si="24"/>
        <v>66018.399999999994</v>
      </c>
      <c r="G183" s="229"/>
      <c r="I183" s="585"/>
      <c r="J183" s="585"/>
      <c r="M183" s="481"/>
      <c r="N183" s="641">
        <v>51</v>
      </c>
      <c r="O183" s="647">
        <v>20606.954954954959</v>
      </c>
      <c r="P183" s="648">
        <v>21982.738738738743</v>
      </c>
      <c r="Q183" s="647">
        <v>20606.954954954959</v>
      </c>
      <c r="R183" s="648">
        <v>21982.738738738743</v>
      </c>
    </row>
    <row r="184" spans="1:18" ht="13" hidden="1">
      <c r="A184" s="630">
        <f t="shared" si="25"/>
        <v>52</v>
      </c>
      <c r="B184" s="591" t="str">
        <f t="shared" si="26"/>
        <v>52A</v>
      </c>
      <c r="C184" s="628">
        <f t="shared" si="21"/>
        <v>65536.42</v>
      </c>
      <c r="D184" s="628">
        <f t="shared" si="22"/>
        <v>68983.33</v>
      </c>
      <c r="E184" s="628">
        <f t="shared" si="23"/>
        <v>65536.42</v>
      </c>
      <c r="F184" s="631">
        <f t="shared" si="24"/>
        <v>68983.33</v>
      </c>
      <c r="G184" s="229"/>
      <c r="I184" s="585"/>
      <c r="J184" s="585"/>
      <c r="M184" s="481"/>
      <c r="N184" s="641">
        <v>52</v>
      </c>
      <c r="O184" s="647">
        <v>21822.252252252256</v>
      </c>
      <c r="P184" s="648">
        <v>22970.000000000004</v>
      </c>
      <c r="Q184" s="647">
        <v>21822.252252252256</v>
      </c>
      <c r="R184" s="648">
        <v>22970.000000000004</v>
      </c>
    </row>
    <row r="185" spans="1:18" ht="13" hidden="1">
      <c r="A185" s="630">
        <f t="shared" si="25"/>
        <v>53</v>
      </c>
      <c r="B185" s="591" t="str">
        <f t="shared" si="26"/>
        <v>53A</v>
      </c>
      <c r="C185" s="628">
        <f t="shared" si="21"/>
        <v>69469.25</v>
      </c>
      <c r="D185" s="628">
        <f t="shared" si="22"/>
        <v>72168.02</v>
      </c>
      <c r="E185" s="628">
        <f t="shared" si="23"/>
        <v>69469.25</v>
      </c>
      <c r="F185" s="631">
        <f t="shared" si="24"/>
        <v>72168.02</v>
      </c>
      <c r="G185" s="229"/>
      <c r="I185" s="585"/>
      <c r="J185" s="585"/>
      <c r="M185" s="481"/>
      <c r="N185" s="641">
        <v>53</v>
      </c>
      <c r="O185" s="647">
        <v>23131.801801801805</v>
      </c>
      <c r="P185" s="648">
        <v>24030.432432432433</v>
      </c>
      <c r="Q185" s="647">
        <v>23131.801801801805</v>
      </c>
      <c r="R185" s="648">
        <v>24030.432432432433</v>
      </c>
    </row>
    <row r="186" spans="1:18" ht="13" hidden="1">
      <c r="A186" s="630">
        <f t="shared" si="25"/>
        <v>54</v>
      </c>
      <c r="B186" s="591" t="str">
        <f t="shared" si="26"/>
        <v>54A</v>
      </c>
      <c r="C186" s="628">
        <f t="shared" si="21"/>
        <v>73736.87</v>
      </c>
      <c r="D186" s="628">
        <f t="shared" si="22"/>
        <v>75561.89</v>
      </c>
      <c r="E186" s="628">
        <f t="shared" si="23"/>
        <v>73736.87</v>
      </c>
      <c r="F186" s="631">
        <f t="shared" si="24"/>
        <v>75561.89</v>
      </c>
      <c r="G186" s="229"/>
      <c r="I186" s="585"/>
      <c r="J186" s="585"/>
      <c r="M186" s="481"/>
      <c r="N186" s="641">
        <v>54</v>
      </c>
      <c r="O186" s="647">
        <v>24552.828828828831</v>
      </c>
      <c r="P186" s="648">
        <v>25160.522522522526</v>
      </c>
      <c r="Q186" s="647">
        <v>24552.828828828831</v>
      </c>
      <c r="R186" s="648">
        <v>25160.522522522526</v>
      </c>
    </row>
    <row r="187" spans="1:18" ht="13" hidden="1">
      <c r="A187" s="630">
        <f t="shared" si="25"/>
        <v>55</v>
      </c>
      <c r="B187" s="591" t="str">
        <f t="shared" si="26"/>
        <v>55A</v>
      </c>
      <c r="C187" s="628">
        <f t="shared" si="21"/>
        <v>78328.240000000005</v>
      </c>
      <c r="D187" s="628">
        <f t="shared" si="22"/>
        <v>79649.7</v>
      </c>
      <c r="E187" s="628">
        <f t="shared" si="23"/>
        <v>78328.240000000005</v>
      </c>
      <c r="F187" s="631">
        <f t="shared" si="24"/>
        <v>79649.7</v>
      </c>
      <c r="G187" s="229"/>
      <c r="I187" s="585"/>
      <c r="J187" s="585"/>
      <c r="M187" s="481"/>
      <c r="N187" s="641">
        <v>55</v>
      </c>
      <c r="O187" s="647">
        <v>26081.657657657659</v>
      </c>
      <c r="P187" s="648">
        <v>26521.67567567568</v>
      </c>
      <c r="Q187" s="647">
        <v>26081.657657657659</v>
      </c>
      <c r="R187" s="648">
        <v>26521.67567567568</v>
      </c>
    </row>
    <row r="188" spans="1:18" ht="13" hidden="1">
      <c r="A188" s="630">
        <f t="shared" si="25"/>
        <v>56</v>
      </c>
      <c r="B188" s="591" t="str">
        <f t="shared" si="26"/>
        <v>56A</v>
      </c>
      <c r="C188" s="628">
        <f t="shared" si="21"/>
        <v>83284.97</v>
      </c>
      <c r="D188" s="628">
        <f t="shared" si="22"/>
        <v>85036.07</v>
      </c>
      <c r="E188" s="628">
        <f t="shared" si="23"/>
        <v>83284.97</v>
      </c>
      <c r="F188" s="631">
        <f t="shared" si="24"/>
        <v>85036.07</v>
      </c>
      <c r="G188" s="229"/>
      <c r="I188" s="585"/>
      <c r="J188" s="585"/>
      <c r="M188" s="481"/>
      <c r="N188" s="641">
        <v>56</v>
      </c>
      <c r="O188" s="647">
        <v>27732.144144144149</v>
      </c>
      <c r="P188" s="648">
        <v>28315.225225225229</v>
      </c>
      <c r="Q188" s="647">
        <v>27732.144144144149</v>
      </c>
      <c r="R188" s="648">
        <v>28315.225225225229</v>
      </c>
    </row>
    <row r="189" spans="1:18" ht="13" hidden="1">
      <c r="A189" s="630">
        <f t="shared" si="25"/>
        <v>57</v>
      </c>
      <c r="B189" s="591" t="str">
        <f t="shared" si="26"/>
        <v>57A</v>
      </c>
      <c r="C189" s="628">
        <f t="shared" si="21"/>
        <v>88644.34</v>
      </c>
      <c r="D189" s="628">
        <f t="shared" si="22"/>
        <v>88272.59</v>
      </c>
      <c r="E189" s="628">
        <f t="shared" si="23"/>
        <v>88644.34</v>
      </c>
      <c r="F189" s="631">
        <f t="shared" si="24"/>
        <v>88272.59</v>
      </c>
      <c r="G189" s="229"/>
      <c r="I189" s="585"/>
      <c r="J189" s="585"/>
      <c r="M189" s="481"/>
      <c r="N189" s="641">
        <v>57</v>
      </c>
      <c r="O189" s="647">
        <v>29516.702702702707</v>
      </c>
      <c r="P189" s="648">
        <v>29392.91891891892</v>
      </c>
      <c r="Q189" s="647">
        <v>29516.702702702707</v>
      </c>
      <c r="R189" s="648">
        <v>29392.91891891892</v>
      </c>
    </row>
    <row r="190" spans="1:18" ht="13" hidden="1">
      <c r="A190" s="630">
        <f t="shared" si="25"/>
        <v>58</v>
      </c>
      <c r="B190" s="591" t="str">
        <f t="shared" si="26"/>
        <v>58A</v>
      </c>
      <c r="C190" s="628">
        <f t="shared" si="21"/>
        <v>92450.98</v>
      </c>
      <c r="D190" s="628">
        <f t="shared" si="22"/>
        <v>91797.69</v>
      </c>
      <c r="E190" s="628">
        <f t="shared" si="23"/>
        <v>92450.98</v>
      </c>
      <c r="F190" s="631">
        <f t="shared" si="24"/>
        <v>91797.69</v>
      </c>
      <c r="G190" s="229"/>
      <c r="I190" s="585"/>
      <c r="J190" s="585"/>
      <c r="M190" s="481"/>
      <c r="N190" s="641">
        <v>58</v>
      </c>
      <c r="O190" s="647">
        <v>30784.234234234238</v>
      </c>
      <c r="P190" s="648">
        <v>30566.702702702707</v>
      </c>
      <c r="Q190" s="647">
        <v>30784.234234234238</v>
      </c>
      <c r="R190" s="648">
        <v>30566.702702702707</v>
      </c>
    </row>
    <row r="191" spans="1:18" ht="13" hidden="1">
      <c r="A191" s="630">
        <f t="shared" si="25"/>
        <v>59</v>
      </c>
      <c r="B191" s="591" t="str">
        <f t="shared" si="26"/>
        <v>59A</v>
      </c>
      <c r="C191" s="628">
        <f t="shared" si="21"/>
        <v>98454.55</v>
      </c>
      <c r="D191" s="628">
        <f t="shared" si="22"/>
        <v>93299.67</v>
      </c>
      <c r="E191" s="628">
        <f t="shared" si="23"/>
        <v>98454.55</v>
      </c>
      <c r="F191" s="631">
        <f t="shared" si="24"/>
        <v>93299.67</v>
      </c>
      <c r="G191" s="229"/>
      <c r="I191" s="585"/>
      <c r="J191" s="585"/>
      <c r="M191" s="481"/>
      <c r="N191" s="641">
        <v>59</v>
      </c>
      <c r="O191" s="647">
        <v>32783.2972972973</v>
      </c>
      <c r="P191" s="648">
        <v>31066.828828828831</v>
      </c>
      <c r="Q191" s="647">
        <v>32783.2972972973</v>
      </c>
      <c r="R191" s="648">
        <v>31066.828828828831</v>
      </c>
    </row>
    <row r="192" spans="1:18" ht="13" hidden="1">
      <c r="A192" s="630">
        <f t="shared" si="25"/>
        <v>60</v>
      </c>
      <c r="B192" s="591" t="str">
        <f t="shared" si="26"/>
        <v>60A</v>
      </c>
      <c r="C192" s="629">
        <f t="shared" si="21"/>
        <v>158478.32999999999</v>
      </c>
      <c r="D192" s="629">
        <f t="shared" si="22"/>
        <v>153294.49</v>
      </c>
      <c r="E192" s="629">
        <f t="shared" si="23"/>
        <v>125894</v>
      </c>
      <c r="F192" s="632">
        <f t="shared" si="24"/>
        <v>121776</v>
      </c>
      <c r="G192" s="229"/>
      <c r="I192" s="585"/>
      <c r="J192" s="585"/>
      <c r="M192" s="481"/>
      <c r="N192" s="641">
        <v>60</v>
      </c>
      <c r="O192" s="647">
        <v>43731.05882352942</v>
      </c>
      <c r="P192" s="648">
        <v>42300.611764705885</v>
      </c>
      <c r="Q192" s="647">
        <v>34739.626168224306</v>
      </c>
      <c r="R192" s="648">
        <v>33603.289719626169</v>
      </c>
    </row>
    <row r="193" spans="1:18" ht="13" hidden="1">
      <c r="A193" s="630">
        <f t="shared" si="25"/>
        <v>61</v>
      </c>
      <c r="B193" s="591" t="str">
        <f t="shared" si="26"/>
        <v>61A</v>
      </c>
      <c r="C193" s="629">
        <f t="shared" si="21"/>
        <v>167034.98000000001</v>
      </c>
      <c r="D193" s="629">
        <f t="shared" si="22"/>
        <v>159782.09</v>
      </c>
      <c r="E193" s="629">
        <f t="shared" si="23"/>
        <v>132691.34</v>
      </c>
      <c r="F193" s="632">
        <f t="shared" si="24"/>
        <v>126929.7</v>
      </c>
      <c r="G193" s="229"/>
      <c r="I193" s="585"/>
      <c r="J193" s="585"/>
      <c r="M193" s="481"/>
      <c r="N193" s="641">
        <v>61</v>
      </c>
      <c r="O193" s="647">
        <v>46092.211764705884</v>
      </c>
      <c r="P193" s="648">
        <v>44090.823529411769</v>
      </c>
      <c r="Q193" s="647">
        <v>36615.308411214959</v>
      </c>
      <c r="R193" s="648">
        <v>35025.420560747669</v>
      </c>
    </row>
    <row r="194" spans="1:18" ht="13" hidden="1">
      <c r="A194" s="630">
        <f t="shared" si="25"/>
        <v>62</v>
      </c>
      <c r="B194" s="591" t="str">
        <f t="shared" si="26"/>
        <v>62A</v>
      </c>
      <c r="C194" s="629">
        <f t="shared" si="21"/>
        <v>176049.79</v>
      </c>
      <c r="D194" s="629">
        <f t="shared" si="22"/>
        <v>166617.42000000001</v>
      </c>
      <c r="E194" s="629">
        <f t="shared" si="23"/>
        <v>139852.64000000001</v>
      </c>
      <c r="F194" s="632">
        <f t="shared" si="24"/>
        <v>132359.63</v>
      </c>
      <c r="G194" s="229"/>
      <c r="I194" s="585"/>
      <c r="J194" s="585"/>
      <c r="M194" s="481"/>
      <c r="N194" s="641">
        <v>62</v>
      </c>
      <c r="O194" s="647">
        <v>48579.788235294123</v>
      </c>
      <c r="P194" s="648">
        <v>45976.988235294128</v>
      </c>
      <c r="Q194" s="647">
        <v>38591.420560747669</v>
      </c>
      <c r="R194" s="648">
        <v>36523.775700934588</v>
      </c>
    </row>
    <row r="195" spans="1:18" ht="13" hidden="1">
      <c r="A195" s="630">
        <f t="shared" si="25"/>
        <v>63</v>
      </c>
      <c r="B195" s="591" t="str">
        <f t="shared" si="26"/>
        <v>63A</v>
      </c>
      <c r="C195" s="629">
        <f t="shared" si="21"/>
        <v>185426.22</v>
      </c>
      <c r="D195" s="629">
        <f t="shared" si="22"/>
        <v>173740.36</v>
      </c>
      <c r="E195" s="629">
        <f t="shared" si="23"/>
        <v>147301.20000000001</v>
      </c>
      <c r="F195" s="632">
        <f t="shared" si="24"/>
        <v>138018.04999999999</v>
      </c>
      <c r="G195" s="229"/>
      <c r="I195" s="585"/>
      <c r="J195" s="585"/>
      <c r="M195" s="481"/>
      <c r="N195" s="641">
        <v>63</v>
      </c>
      <c r="O195" s="647">
        <v>51167.152941176479</v>
      </c>
      <c r="P195" s="648">
        <v>47942.517647058834</v>
      </c>
      <c r="Q195" s="647">
        <v>40646.803738317765</v>
      </c>
      <c r="R195" s="648">
        <v>38085.17757009346</v>
      </c>
    </row>
    <row r="196" spans="1:18" ht="13" hidden="1">
      <c r="A196" s="630">
        <f t="shared" si="25"/>
        <v>64</v>
      </c>
      <c r="B196" s="591" t="str">
        <f t="shared" si="26"/>
        <v>64A</v>
      </c>
      <c r="C196" s="629">
        <f t="shared" si="21"/>
        <v>195326.2</v>
      </c>
      <c r="D196" s="629">
        <f t="shared" si="22"/>
        <v>181346.27</v>
      </c>
      <c r="E196" s="629">
        <f t="shared" si="23"/>
        <v>155165.67000000001</v>
      </c>
      <c r="F196" s="632">
        <f t="shared" si="24"/>
        <v>144060.12</v>
      </c>
      <c r="G196" s="229"/>
      <c r="I196" s="585"/>
      <c r="J196" s="585"/>
      <c r="M196" s="481"/>
      <c r="N196" s="641">
        <v>64</v>
      </c>
      <c r="O196" s="647">
        <v>53898.988235294128</v>
      </c>
      <c r="P196" s="648">
        <v>50041.317647058837</v>
      </c>
      <c r="Q196" s="647">
        <v>42816.95327102804</v>
      </c>
      <c r="R196" s="648">
        <v>39752.448598130846</v>
      </c>
    </row>
    <row r="197" spans="1:18" ht="13" hidden="1">
      <c r="A197" s="630">
        <f t="shared" si="25"/>
        <v>65</v>
      </c>
      <c r="B197" s="591" t="str">
        <f t="shared" ref="B197:B222" si="27">+CONCATENATE(A197,$H$36)</f>
        <v>65A</v>
      </c>
      <c r="C197" s="629">
        <f t="shared" ref="C197:C222" si="28">+VLOOKUP(B197,$B$226:$F$436,4,FALSE)</f>
        <v>205421.96</v>
      </c>
      <c r="D197" s="629">
        <f t="shared" ref="D197:D222" si="29">+VLOOKUP(B197,$B$226:$F$436,5,FALSE)</f>
        <v>189030.54</v>
      </c>
      <c r="E197" s="629">
        <f t="shared" ref="E197:E222" si="30">+VLOOKUP(B197,$B$226:$F$436,2,FALSE)</f>
        <v>163185.67000000001</v>
      </c>
      <c r="F197" s="632">
        <f t="shared" ref="F197:F222" si="31">+VLOOKUP(B197,$B$226:$F$436,3,FALSE)</f>
        <v>150164.45000000001</v>
      </c>
      <c r="G197" s="229"/>
      <c r="I197" s="585"/>
      <c r="J197" s="585"/>
      <c r="M197" s="481"/>
      <c r="N197" s="641">
        <v>65</v>
      </c>
      <c r="O197" s="647">
        <v>56684.847058823543</v>
      </c>
      <c r="P197" s="648">
        <v>52161.741176470598</v>
      </c>
      <c r="Q197" s="647">
        <v>45030.018691588797</v>
      </c>
      <c r="R197" s="648">
        <v>41436.897196261692</v>
      </c>
    </row>
    <row r="198" spans="1:18" ht="13" hidden="1">
      <c r="A198" s="630">
        <f t="shared" si="25"/>
        <v>66</v>
      </c>
      <c r="B198" s="591" t="str">
        <f t="shared" si="27"/>
        <v>66A</v>
      </c>
      <c r="C198" s="629">
        <f t="shared" si="28"/>
        <v>216214.2</v>
      </c>
      <c r="D198" s="629">
        <f t="shared" si="29"/>
        <v>197483.59</v>
      </c>
      <c r="E198" s="629">
        <f t="shared" si="30"/>
        <v>171758.94</v>
      </c>
      <c r="F198" s="632">
        <f t="shared" si="31"/>
        <v>156879.49</v>
      </c>
      <c r="G198" s="229"/>
      <c r="I198" s="585"/>
      <c r="J198" s="585"/>
      <c r="M198" s="481"/>
      <c r="N198" s="641">
        <v>66</v>
      </c>
      <c r="O198" s="647">
        <v>59662.894117647069</v>
      </c>
      <c r="P198" s="648">
        <v>54494.305882352957</v>
      </c>
      <c r="Q198" s="647">
        <v>47395.757009345798</v>
      </c>
      <c r="R198" s="648">
        <v>43289.869158878515</v>
      </c>
    </row>
    <row r="199" spans="1:18" ht="13" hidden="1">
      <c r="A199" s="630">
        <f t="shared" ref="A199:A222" si="32">+A198+1</f>
        <v>67</v>
      </c>
      <c r="B199" s="591" t="str">
        <f t="shared" si="27"/>
        <v>67A</v>
      </c>
      <c r="C199" s="629">
        <f t="shared" si="28"/>
        <v>227478.48</v>
      </c>
      <c r="D199" s="629">
        <f t="shared" si="29"/>
        <v>205596.34</v>
      </c>
      <c r="E199" s="629">
        <f t="shared" si="30"/>
        <v>180707.21</v>
      </c>
      <c r="F199" s="632">
        <f t="shared" si="31"/>
        <v>163324.19</v>
      </c>
      <c r="G199" s="229"/>
      <c r="I199" s="585"/>
      <c r="J199" s="585"/>
      <c r="M199" s="481"/>
      <c r="N199" s="641">
        <v>67</v>
      </c>
      <c r="O199" s="647">
        <v>62771.200000000004</v>
      </c>
      <c r="P199" s="648">
        <v>56732.964705882361</v>
      </c>
      <c r="Q199" s="647">
        <v>49864.97196261683</v>
      </c>
      <c r="R199" s="648">
        <v>45068.242990654209</v>
      </c>
    </row>
    <row r="200" spans="1:18" ht="13" hidden="1">
      <c r="A200" s="630">
        <f t="shared" si="32"/>
        <v>68</v>
      </c>
      <c r="B200" s="591" t="str">
        <f t="shared" si="27"/>
        <v>68A</v>
      </c>
      <c r="C200" s="629">
        <f t="shared" si="28"/>
        <v>239048.37</v>
      </c>
      <c r="D200" s="629">
        <f t="shared" si="29"/>
        <v>214516.32</v>
      </c>
      <c r="E200" s="629">
        <f t="shared" si="30"/>
        <v>189898.23999999999</v>
      </c>
      <c r="F200" s="632">
        <f t="shared" si="31"/>
        <v>170410.16</v>
      </c>
      <c r="G200" s="229"/>
      <c r="I200" s="585"/>
      <c r="J200" s="585"/>
      <c r="M200" s="481"/>
      <c r="N200" s="641">
        <v>68</v>
      </c>
      <c r="O200" s="647">
        <v>65963.835294117656</v>
      </c>
      <c r="P200" s="648">
        <v>59194.37647058825</v>
      </c>
      <c r="Q200" s="647">
        <v>52401.177570093467</v>
      </c>
      <c r="R200" s="648">
        <v>47023.570093457951</v>
      </c>
    </row>
    <row r="201" spans="1:18" ht="13" hidden="1">
      <c r="A201" s="630">
        <f t="shared" si="32"/>
        <v>69</v>
      </c>
      <c r="B201" s="591" t="str">
        <f t="shared" si="27"/>
        <v>69A</v>
      </c>
      <c r="C201" s="629">
        <f t="shared" si="28"/>
        <v>251234.41</v>
      </c>
      <c r="D201" s="629">
        <f t="shared" si="29"/>
        <v>224099.61</v>
      </c>
      <c r="E201" s="629">
        <f t="shared" si="30"/>
        <v>199578.74</v>
      </c>
      <c r="F201" s="632">
        <f t="shared" si="31"/>
        <v>178023.06</v>
      </c>
      <c r="G201" s="229"/>
      <c r="I201" s="585"/>
      <c r="J201" s="585"/>
      <c r="M201" s="481"/>
      <c r="N201" s="641">
        <v>69</v>
      </c>
      <c r="O201" s="647">
        <v>69326.49411764706</v>
      </c>
      <c r="P201" s="648">
        <v>61838.823529411777</v>
      </c>
      <c r="Q201" s="647">
        <v>55072.448598130846</v>
      </c>
      <c r="R201" s="648">
        <v>49124.299065420571</v>
      </c>
    </row>
    <row r="202" spans="1:18" ht="13" hidden="1">
      <c r="A202" s="630">
        <f t="shared" si="32"/>
        <v>70</v>
      </c>
      <c r="B202" s="591" t="str">
        <f t="shared" si="27"/>
        <v>70A</v>
      </c>
      <c r="C202" s="629">
        <f t="shared" si="28"/>
        <v>263751.64</v>
      </c>
      <c r="D202" s="629">
        <f t="shared" si="29"/>
        <v>233485.34</v>
      </c>
      <c r="E202" s="629">
        <f t="shared" si="30"/>
        <v>209522.33</v>
      </c>
      <c r="F202" s="632">
        <f t="shared" si="31"/>
        <v>185479.01</v>
      </c>
      <c r="G202" s="229"/>
      <c r="I202" s="585"/>
      <c r="J202" s="585"/>
      <c r="M202" s="481"/>
      <c r="N202" s="641">
        <v>70</v>
      </c>
      <c r="O202" s="647">
        <v>72780.541176470593</v>
      </c>
      <c r="P202" s="648">
        <v>64428.752941176484</v>
      </c>
      <c r="Q202" s="647">
        <v>57816.317757009354</v>
      </c>
      <c r="R202" s="648">
        <v>51181.719626168233</v>
      </c>
    </row>
    <row r="203" spans="1:18" ht="13" hidden="1">
      <c r="A203" s="630">
        <f t="shared" si="32"/>
        <v>71</v>
      </c>
      <c r="B203" s="591" t="str">
        <f t="shared" si="27"/>
        <v>71A</v>
      </c>
      <c r="C203" s="629">
        <f t="shared" si="28"/>
        <v>276493.03999999998</v>
      </c>
      <c r="D203" s="629">
        <f t="shared" si="29"/>
        <v>243320.77</v>
      </c>
      <c r="E203" s="629">
        <f t="shared" si="30"/>
        <v>219644</v>
      </c>
      <c r="F203" s="632">
        <f t="shared" si="31"/>
        <v>193292.2</v>
      </c>
      <c r="G203" s="229"/>
      <c r="I203" s="585"/>
      <c r="J203" s="585"/>
      <c r="M203" s="481"/>
      <c r="N203" s="641">
        <v>71</v>
      </c>
      <c r="O203" s="647">
        <v>76296.447058823542</v>
      </c>
      <c r="P203" s="648">
        <v>67142.776470588244</v>
      </c>
      <c r="Q203" s="647">
        <v>60609.327102803749</v>
      </c>
      <c r="R203" s="648">
        <v>53337.719626168233</v>
      </c>
    </row>
    <row r="204" spans="1:18" ht="13" hidden="1">
      <c r="A204" s="630">
        <f t="shared" si="32"/>
        <v>72</v>
      </c>
      <c r="B204" s="591" t="str">
        <f t="shared" si="27"/>
        <v>72A</v>
      </c>
      <c r="C204" s="629">
        <f t="shared" si="28"/>
        <v>289702.06</v>
      </c>
      <c r="D204" s="629">
        <f t="shared" si="29"/>
        <v>253830.09</v>
      </c>
      <c r="E204" s="629">
        <f t="shared" si="30"/>
        <v>230137.15</v>
      </c>
      <c r="F204" s="632">
        <f t="shared" si="31"/>
        <v>201640.72</v>
      </c>
      <c r="G204" s="229"/>
      <c r="I204" s="585"/>
      <c r="J204" s="585"/>
      <c r="M204" s="481"/>
      <c r="N204" s="641">
        <v>72</v>
      </c>
      <c r="O204" s="647">
        <v>79941.388235294129</v>
      </c>
      <c r="P204" s="648">
        <v>70042.752941176484</v>
      </c>
      <c r="Q204" s="647">
        <v>63504.84112149533</v>
      </c>
      <c r="R204" s="648">
        <v>55641.439252336451</v>
      </c>
    </row>
    <row r="205" spans="1:18" ht="13" hidden="1">
      <c r="A205" s="630">
        <f t="shared" si="32"/>
        <v>73</v>
      </c>
      <c r="B205" s="591" t="str">
        <f t="shared" si="27"/>
        <v>73A</v>
      </c>
      <c r="C205" s="629">
        <f t="shared" si="28"/>
        <v>303208.06</v>
      </c>
      <c r="D205" s="629">
        <f t="shared" si="29"/>
        <v>264123.24</v>
      </c>
      <c r="E205" s="629">
        <f t="shared" si="30"/>
        <v>240866.22</v>
      </c>
      <c r="F205" s="632">
        <f t="shared" si="31"/>
        <v>209817.53</v>
      </c>
      <c r="G205" s="229"/>
      <c r="I205" s="585"/>
      <c r="J205" s="585"/>
      <c r="M205" s="481"/>
      <c r="N205" s="641">
        <v>73</v>
      </c>
      <c r="O205" s="647">
        <v>83668.282352941183</v>
      </c>
      <c r="P205" s="648">
        <v>72883.082352941186</v>
      </c>
      <c r="Q205" s="647">
        <v>66465.457943925241</v>
      </c>
      <c r="R205" s="648">
        <v>57897.775700934588</v>
      </c>
    </row>
    <row r="206" spans="1:18" ht="13" hidden="1">
      <c r="A206" s="630">
        <f t="shared" si="32"/>
        <v>74</v>
      </c>
      <c r="B206" s="591" t="str">
        <f t="shared" si="27"/>
        <v>74A</v>
      </c>
      <c r="C206" s="629">
        <f t="shared" si="28"/>
        <v>317810.63</v>
      </c>
      <c r="D206" s="629">
        <f t="shared" si="29"/>
        <v>274622.24</v>
      </c>
      <c r="E206" s="629">
        <f t="shared" si="30"/>
        <v>252466.39</v>
      </c>
      <c r="F206" s="632">
        <f t="shared" si="31"/>
        <v>218157.85</v>
      </c>
      <c r="G206" s="229"/>
      <c r="I206" s="585"/>
      <c r="J206" s="585"/>
      <c r="M206" s="481"/>
      <c r="N206" s="641">
        <v>74</v>
      </c>
      <c r="O206" s="647">
        <v>87697.764705882379</v>
      </c>
      <c r="P206" s="648">
        <v>75780.211764705891</v>
      </c>
      <c r="Q206" s="647">
        <v>69666.448598130853</v>
      </c>
      <c r="R206" s="648">
        <v>60199.233644859822</v>
      </c>
    </row>
    <row r="207" spans="1:18" ht="13" hidden="1">
      <c r="A207" s="630">
        <f t="shared" si="32"/>
        <v>75</v>
      </c>
      <c r="B207" s="591" t="str">
        <f t="shared" si="27"/>
        <v>75A</v>
      </c>
      <c r="C207" s="629">
        <f t="shared" si="28"/>
        <v>331568.43</v>
      </c>
      <c r="D207" s="629">
        <f t="shared" si="29"/>
        <v>285928.14</v>
      </c>
      <c r="E207" s="629">
        <f t="shared" si="30"/>
        <v>263395.48</v>
      </c>
      <c r="F207" s="632">
        <f t="shared" si="31"/>
        <v>227139.17</v>
      </c>
      <c r="G207" s="229"/>
      <c r="I207" s="585"/>
      <c r="J207" s="585"/>
      <c r="M207" s="481"/>
      <c r="N207" s="641">
        <v>75</v>
      </c>
      <c r="O207" s="647">
        <v>91494.141176470614</v>
      </c>
      <c r="P207" s="648">
        <v>78900.000000000015</v>
      </c>
      <c r="Q207" s="647">
        <v>72682.261682242999</v>
      </c>
      <c r="R207" s="648">
        <v>62677.570093457951</v>
      </c>
    </row>
    <row r="208" spans="1:18" ht="13" hidden="1">
      <c r="A208" s="630">
        <f t="shared" si="32"/>
        <v>76</v>
      </c>
      <c r="B208" s="591" t="str">
        <f t="shared" si="27"/>
        <v>76A</v>
      </c>
      <c r="C208" s="629">
        <f t="shared" si="28"/>
        <v>348368.21</v>
      </c>
      <c r="D208" s="629">
        <f t="shared" si="29"/>
        <v>298339.55</v>
      </c>
      <c r="E208" s="629">
        <f t="shared" si="30"/>
        <v>276741.09999999998</v>
      </c>
      <c r="F208" s="632">
        <f t="shared" si="31"/>
        <v>236998.7</v>
      </c>
      <c r="G208" s="229"/>
      <c r="I208" s="585"/>
      <c r="J208" s="585"/>
      <c r="M208" s="481"/>
      <c r="N208" s="641">
        <v>76</v>
      </c>
      <c r="O208" s="647">
        <v>96129.929411764722</v>
      </c>
      <c r="P208" s="648">
        <v>82324.847058823536</v>
      </c>
      <c r="Q208" s="647">
        <v>76364.897196261692</v>
      </c>
      <c r="R208" s="648">
        <v>65398.242990654209</v>
      </c>
    </row>
    <row r="209" spans="1:18" ht="13" hidden="1">
      <c r="A209" s="630">
        <f t="shared" si="32"/>
        <v>77</v>
      </c>
      <c r="B209" s="591" t="str">
        <f t="shared" si="27"/>
        <v>77A</v>
      </c>
      <c r="C209" s="629">
        <f t="shared" si="28"/>
        <v>366318.01</v>
      </c>
      <c r="D209" s="629">
        <f t="shared" si="29"/>
        <v>311651.39</v>
      </c>
      <c r="E209" s="629">
        <f t="shared" si="30"/>
        <v>291000.28000000003</v>
      </c>
      <c r="F209" s="632">
        <f t="shared" si="31"/>
        <v>247573.54</v>
      </c>
      <c r="G209" s="229"/>
      <c r="I209" s="585"/>
      <c r="J209" s="585"/>
      <c r="M209" s="481"/>
      <c r="N209" s="641">
        <v>77</v>
      </c>
      <c r="O209" s="647">
        <v>101083.05882352944</v>
      </c>
      <c r="P209" s="648">
        <v>85998.164705882373</v>
      </c>
      <c r="Q209" s="647">
        <v>80299.62616822432</v>
      </c>
      <c r="R209" s="648">
        <v>68316.299065420579</v>
      </c>
    </row>
    <row r="210" spans="1:18" ht="13" hidden="1">
      <c r="A210" s="630">
        <f t="shared" si="32"/>
        <v>78</v>
      </c>
      <c r="B210" s="591" t="str">
        <f t="shared" si="27"/>
        <v>78A</v>
      </c>
      <c r="C210" s="629">
        <f t="shared" si="28"/>
        <v>384978.01</v>
      </c>
      <c r="D210" s="629">
        <f t="shared" si="29"/>
        <v>325519.28000000003</v>
      </c>
      <c r="E210" s="629">
        <f t="shared" si="30"/>
        <v>305823.65000000002</v>
      </c>
      <c r="F210" s="632">
        <f t="shared" si="31"/>
        <v>258590.07999999999</v>
      </c>
      <c r="G210" s="229"/>
      <c r="I210" s="585"/>
      <c r="J210" s="585"/>
      <c r="M210" s="481"/>
      <c r="N210" s="641">
        <v>78</v>
      </c>
      <c r="O210" s="647">
        <v>106232.16470588236</v>
      </c>
      <c r="P210" s="648">
        <v>89824.917647058828</v>
      </c>
      <c r="Q210" s="647">
        <v>84390.03738317758</v>
      </c>
      <c r="R210" s="648">
        <v>71356.242990654209</v>
      </c>
    </row>
    <row r="211" spans="1:18" ht="13" hidden="1">
      <c r="A211" s="630">
        <f t="shared" si="32"/>
        <v>79</v>
      </c>
      <c r="B211" s="591" t="str">
        <f t="shared" si="27"/>
        <v>79A</v>
      </c>
      <c r="C211" s="629">
        <f t="shared" si="28"/>
        <v>405460.98</v>
      </c>
      <c r="D211" s="629">
        <f t="shared" si="29"/>
        <v>339431.34</v>
      </c>
      <c r="E211" s="629">
        <f t="shared" si="30"/>
        <v>322095.17</v>
      </c>
      <c r="F211" s="632">
        <f t="shared" si="31"/>
        <v>269641.71999999997</v>
      </c>
      <c r="G211" s="229"/>
      <c r="I211" s="585"/>
      <c r="J211" s="585"/>
      <c r="M211" s="481"/>
      <c r="N211" s="641">
        <v>79</v>
      </c>
      <c r="O211" s="647">
        <v>111884.30588235296</v>
      </c>
      <c r="P211" s="648">
        <v>93663.85882352943</v>
      </c>
      <c r="Q211" s="647">
        <v>88880.056074766369</v>
      </c>
      <c r="R211" s="648">
        <v>74405.869158878515</v>
      </c>
    </row>
    <row r="212" spans="1:18" ht="13" hidden="1">
      <c r="A212" s="630">
        <f t="shared" si="32"/>
        <v>80</v>
      </c>
      <c r="B212" s="591" t="str">
        <f t="shared" si="27"/>
        <v>80A</v>
      </c>
      <c r="C212" s="629">
        <f t="shared" si="28"/>
        <v>425330.09</v>
      </c>
      <c r="D212" s="629">
        <f t="shared" si="29"/>
        <v>354116.78</v>
      </c>
      <c r="E212" s="629">
        <f t="shared" si="30"/>
        <v>337879.05</v>
      </c>
      <c r="F212" s="632">
        <f t="shared" si="31"/>
        <v>281307.73</v>
      </c>
      <c r="G212" s="229"/>
      <c r="I212" s="585"/>
      <c r="J212" s="585"/>
      <c r="M212" s="481"/>
      <c r="N212" s="641">
        <v>80</v>
      </c>
      <c r="O212" s="647">
        <v>117367.05882352943</v>
      </c>
      <c r="P212" s="648">
        <v>97716.211764705891</v>
      </c>
      <c r="Q212" s="647">
        <v>93235.514018691596</v>
      </c>
      <c r="R212" s="648">
        <v>77625.028037383192</v>
      </c>
    </row>
    <row r="213" spans="1:18" ht="13" hidden="1">
      <c r="A213" s="630">
        <f t="shared" si="32"/>
        <v>81</v>
      </c>
      <c r="B213" s="591" t="str">
        <f t="shared" si="27"/>
        <v>81A</v>
      </c>
      <c r="C213" s="629">
        <f t="shared" si="28"/>
        <v>448670.34</v>
      </c>
      <c r="D213" s="629">
        <f t="shared" si="29"/>
        <v>368996.56</v>
      </c>
      <c r="E213" s="629">
        <f t="shared" si="30"/>
        <v>356420.36</v>
      </c>
      <c r="F213" s="632">
        <f t="shared" si="31"/>
        <v>293128.11</v>
      </c>
      <c r="G213" s="229"/>
      <c r="I213" s="585"/>
      <c r="J213" s="585"/>
      <c r="M213" s="481"/>
      <c r="N213" s="641">
        <v>81</v>
      </c>
      <c r="O213" s="647">
        <v>123807.64705882355</v>
      </c>
      <c r="P213" s="648">
        <v>101822.18823529413</v>
      </c>
      <c r="Q213" s="647">
        <v>98351.869158878515</v>
      </c>
      <c r="R213" s="648">
        <v>80886.785046728983</v>
      </c>
    </row>
    <row r="214" spans="1:18" ht="13" hidden="1">
      <c r="A214" s="630">
        <f t="shared" si="32"/>
        <v>82</v>
      </c>
      <c r="B214" s="591" t="str">
        <f t="shared" si="27"/>
        <v>82A</v>
      </c>
      <c r="C214" s="629">
        <f t="shared" si="28"/>
        <v>472895.59</v>
      </c>
      <c r="D214" s="629">
        <f t="shared" si="29"/>
        <v>383268.62</v>
      </c>
      <c r="E214" s="629">
        <f t="shared" si="30"/>
        <v>375664.72</v>
      </c>
      <c r="F214" s="632">
        <f t="shared" si="31"/>
        <v>304465.73</v>
      </c>
      <c r="G214" s="229"/>
      <c r="I214" s="585"/>
      <c r="J214" s="585"/>
      <c r="M214" s="481"/>
      <c r="N214" s="641">
        <v>82</v>
      </c>
      <c r="O214" s="647">
        <v>130492.44705882356</v>
      </c>
      <c r="P214" s="648">
        <v>105760.4705882353</v>
      </c>
      <c r="Q214" s="647">
        <v>103662.22429906543</v>
      </c>
      <c r="R214" s="648">
        <v>84015.327102803742</v>
      </c>
    </row>
    <row r="215" spans="1:18" ht="13" hidden="1">
      <c r="A215" s="630">
        <f t="shared" si="32"/>
        <v>83</v>
      </c>
      <c r="B215" s="591" t="str">
        <f t="shared" si="27"/>
        <v>83A</v>
      </c>
      <c r="C215" s="629">
        <f t="shared" si="28"/>
        <v>498141</v>
      </c>
      <c r="D215" s="629">
        <f t="shared" si="29"/>
        <v>399520.63</v>
      </c>
      <c r="E215" s="629">
        <f t="shared" si="30"/>
        <v>395719.49</v>
      </c>
      <c r="F215" s="632">
        <f t="shared" si="31"/>
        <v>317376.2</v>
      </c>
      <c r="G215" s="229"/>
      <c r="I215" s="585"/>
      <c r="J215" s="585"/>
      <c r="M215" s="481"/>
      <c r="N215" s="641">
        <v>83</v>
      </c>
      <c r="O215" s="647">
        <v>137458.7529411765</v>
      </c>
      <c r="P215" s="648">
        <v>110245.10588235296</v>
      </c>
      <c r="Q215" s="647">
        <v>109196.20560747666</v>
      </c>
      <c r="R215" s="648">
        <v>87577.887850467305</v>
      </c>
    </row>
    <row r="216" spans="1:18" ht="13" hidden="1">
      <c r="A216" s="630">
        <f t="shared" si="32"/>
        <v>84</v>
      </c>
      <c r="B216" s="591" t="str">
        <f t="shared" si="27"/>
        <v>84A</v>
      </c>
      <c r="C216" s="629">
        <f t="shared" si="28"/>
        <v>524568.06999999995</v>
      </c>
      <c r="D216" s="629">
        <f t="shared" si="29"/>
        <v>415289.25</v>
      </c>
      <c r="E216" s="629">
        <f t="shared" si="30"/>
        <v>416712.95</v>
      </c>
      <c r="F216" s="632">
        <f t="shared" si="31"/>
        <v>329902.67</v>
      </c>
      <c r="G216" s="229"/>
      <c r="I216" s="585"/>
      <c r="J216" s="585"/>
      <c r="M216" s="481"/>
      <c r="N216" s="641">
        <v>84</v>
      </c>
      <c r="O216" s="647">
        <v>144751.12941176473</v>
      </c>
      <c r="P216" s="648">
        <v>114596.35294117648</v>
      </c>
      <c r="Q216" s="647">
        <v>114989.21495327105</v>
      </c>
      <c r="R216" s="648">
        <v>91034.485981308419</v>
      </c>
    </row>
    <row r="217" spans="1:18" ht="13" hidden="1">
      <c r="A217" s="630">
        <f t="shared" si="32"/>
        <v>85</v>
      </c>
      <c r="B217" s="591" t="str">
        <f t="shared" si="27"/>
        <v>85A</v>
      </c>
      <c r="C217" s="629">
        <f t="shared" si="28"/>
        <v>552366.77</v>
      </c>
      <c r="D217" s="629">
        <f t="shared" si="29"/>
        <v>431503.31</v>
      </c>
      <c r="E217" s="629">
        <f t="shared" si="30"/>
        <v>438796.03</v>
      </c>
      <c r="F217" s="632">
        <f t="shared" si="31"/>
        <v>342783</v>
      </c>
      <c r="G217" s="229"/>
      <c r="I217" s="585"/>
      <c r="J217" s="585"/>
      <c r="M217" s="481"/>
      <c r="N217" s="641">
        <v>85</v>
      </c>
      <c r="O217" s="647">
        <v>152422.00000000003</v>
      </c>
      <c r="P217" s="648">
        <v>119070.51764705885</v>
      </c>
      <c r="Q217" s="647">
        <v>121082.89719626169</v>
      </c>
      <c r="R217" s="648">
        <v>94588.728971962628</v>
      </c>
    </row>
    <row r="218" spans="1:18" ht="13" hidden="1">
      <c r="A218" s="630">
        <f t="shared" si="32"/>
        <v>86</v>
      </c>
      <c r="B218" s="591" t="str">
        <f t="shared" si="27"/>
        <v>86A</v>
      </c>
      <c r="C218" s="629">
        <f t="shared" si="28"/>
        <v>552366.77</v>
      </c>
      <c r="D218" s="629">
        <f t="shared" si="29"/>
        <v>431503.31</v>
      </c>
      <c r="E218" s="629">
        <f t="shared" si="30"/>
        <v>438796.03</v>
      </c>
      <c r="F218" s="632">
        <f t="shared" si="31"/>
        <v>342783</v>
      </c>
      <c r="G218" s="229"/>
      <c r="I218" s="585"/>
      <c r="J218" s="585"/>
      <c r="M218" s="481"/>
      <c r="N218" s="641">
        <v>86</v>
      </c>
      <c r="O218" s="647">
        <v>152422.00000000003</v>
      </c>
      <c r="P218" s="648">
        <v>119070.51764705885</v>
      </c>
      <c r="Q218" s="647">
        <v>121082.89719626169</v>
      </c>
      <c r="R218" s="648">
        <v>94588.728971962628</v>
      </c>
    </row>
    <row r="219" spans="1:18" ht="13" hidden="1">
      <c r="A219" s="630">
        <f t="shared" si="32"/>
        <v>87</v>
      </c>
      <c r="B219" s="591" t="str">
        <f t="shared" si="27"/>
        <v>87A</v>
      </c>
      <c r="C219" s="629">
        <f t="shared" si="28"/>
        <v>552366.77</v>
      </c>
      <c r="D219" s="629">
        <f t="shared" si="29"/>
        <v>431503.31</v>
      </c>
      <c r="E219" s="629">
        <f t="shared" si="30"/>
        <v>438796.03</v>
      </c>
      <c r="F219" s="632">
        <f t="shared" si="31"/>
        <v>342783</v>
      </c>
      <c r="G219" s="229"/>
      <c r="I219" s="585"/>
      <c r="J219" s="585"/>
      <c r="M219" s="481"/>
      <c r="N219" s="641">
        <v>87</v>
      </c>
      <c r="O219" s="647">
        <v>152422.00000000003</v>
      </c>
      <c r="P219" s="648">
        <v>119070.51764705885</v>
      </c>
      <c r="Q219" s="647">
        <v>121082.89719626169</v>
      </c>
      <c r="R219" s="648">
        <v>94588.728971962628</v>
      </c>
    </row>
    <row r="220" spans="1:18" ht="13" hidden="1">
      <c r="A220" s="630">
        <f t="shared" si="32"/>
        <v>88</v>
      </c>
      <c r="B220" s="591" t="str">
        <f t="shared" si="27"/>
        <v>88A</v>
      </c>
      <c r="C220" s="629">
        <f t="shared" si="28"/>
        <v>552366.77</v>
      </c>
      <c r="D220" s="629">
        <f t="shared" si="29"/>
        <v>431503.31</v>
      </c>
      <c r="E220" s="629">
        <f t="shared" si="30"/>
        <v>438796.03</v>
      </c>
      <c r="F220" s="632">
        <f t="shared" si="31"/>
        <v>342783</v>
      </c>
      <c r="G220" s="229"/>
      <c r="I220" s="585"/>
      <c r="J220" s="585"/>
      <c r="M220" s="481"/>
      <c r="N220" s="641">
        <v>88</v>
      </c>
      <c r="O220" s="647">
        <v>152422.00000000003</v>
      </c>
      <c r="P220" s="648">
        <v>119070.51764705885</v>
      </c>
      <c r="Q220" s="647">
        <v>121082.89719626169</v>
      </c>
      <c r="R220" s="648">
        <v>94588.728971962628</v>
      </c>
    </row>
    <row r="221" spans="1:18" ht="13" hidden="1">
      <c r="A221" s="630">
        <f t="shared" si="32"/>
        <v>89</v>
      </c>
      <c r="B221" s="591" t="str">
        <f t="shared" si="27"/>
        <v>89A</v>
      </c>
      <c r="C221" s="629">
        <f>+VLOOKUP(B221,$B$226:$F$436,4,FALSE)</f>
        <v>552366.77</v>
      </c>
      <c r="D221" s="629">
        <f t="shared" si="29"/>
        <v>431503.31</v>
      </c>
      <c r="E221" s="629">
        <f t="shared" si="30"/>
        <v>438796.03</v>
      </c>
      <c r="F221" s="632">
        <f t="shared" si="31"/>
        <v>342783</v>
      </c>
      <c r="G221" s="229"/>
      <c r="I221" s="585"/>
      <c r="J221" s="585"/>
      <c r="M221" s="481"/>
      <c r="N221" s="641">
        <v>89</v>
      </c>
      <c r="O221" s="647">
        <v>152422.00000000003</v>
      </c>
      <c r="P221" s="648">
        <v>119070.51764705885</v>
      </c>
      <c r="Q221" s="647">
        <v>121082.89719626169</v>
      </c>
      <c r="R221" s="648">
        <v>94588.728971962628</v>
      </c>
    </row>
    <row r="222" spans="1:18" ht="13.5" hidden="1" thickBot="1">
      <c r="A222" s="633">
        <f t="shared" si="32"/>
        <v>90</v>
      </c>
      <c r="B222" s="594" t="str">
        <f t="shared" si="27"/>
        <v>90A</v>
      </c>
      <c r="C222" s="634">
        <f t="shared" si="28"/>
        <v>552366.77</v>
      </c>
      <c r="D222" s="634">
        <f t="shared" si="29"/>
        <v>431503.31</v>
      </c>
      <c r="E222" s="634">
        <f t="shared" si="30"/>
        <v>438796.03</v>
      </c>
      <c r="F222" s="635">
        <f t="shared" si="31"/>
        <v>342783</v>
      </c>
      <c r="G222" s="229"/>
      <c r="I222" s="586"/>
      <c r="J222" s="585"/>
      <c r="M222" s="481"/>
      <c r="N222" s="642">
        <v>90</v>
      </c>
      <c r="O222" s="649">
        <v>152422.00000000003</v>
      </c>
      <c r="P222" s="650">
        <v>119070.51764705885</v>
      </c>
      <c r="Q222" s="649">
        <v>121082.89719626169</v>
      </c>
      <c r="R222" s="650">
        <v>94588.728971962628</v>
      </c>
    </row>
    <row r="223" spans="1:18" ht="13" hidden="1">
      <c r="B223" s="590"/>
    </row>
    <row r="226" spans="1:50" ht="13" hidden="1">
      <c r="A226" s="596"/>
      <c r="B226" s="590"/>
      <c r="C226" s="597"/>
      <c r="D226" s="598" t="s">
        <v>327</v>
      </c>
      <c r="E226" s="598"/>
      <c r="F226" s="599"/>
      <c r="T226" s="597"/>
      <c r="U226" s="598" t="s">
        <v>327</v>
      </c>
      <c r="V226" s="598"/>
      <c r="W226" s="599"/>
      <c r="Z226" s="597"/>
      <c r="AA226" s="598" t="s">
        <v>327</v>
      </c>
      <c r="AB226" s="598"/>
      <c r="AC226" s="599"/>
      <c r="AF226" s="597"/>
      <c r="AG226" s="598" t="s">
        <v>327</v>
      </c>
      <c r="AH226" s="598"/>
      <c r="AI226" s="599"/>
      <c r="AL226" s="597"/>
      <c r="AM226" s="598" t="s">
        <v>327</v>
      </c>
      <c r="AN226" s="598"/>
      <c r="AO226" s="599"/>
      <c r="AR226" s="597"/>
      <c r="AS226" s="598" t="s">
        <v>327</v>
      </c>
      <c r="AT226" s="598"/>
      <c r="AU226" s="599"/>
      <c r="AV226" s="530" t="s">
        <v>357</v>
      </c>
    </row>
    <row r="227" spans="1:50" ht="13" hidden="1">
      <c r="A227" s="596"/>
      <c r="B227" s="600" t="s">
        <v>37</v>
      </c>
      <c r="C227" s="601" t="s">
        <v>293</v>
      </c>
      <c r="D227" s="602" t="s">
        <v>293</v>
      </c>
      <c r="E227" s="603" t="s">
        <v>294</v>
      </c>
      <c r="F227" s="604" t="s">
        <v>294</v>
      </c>
      <c r="T227" s="601" t="s">
        <v>293</v>
      </c>
      <c r="U227" s="602" t="s">
        <v>293</v>
      </c>
      <c r="V227" s="603" t="s">
        <v>294</v>
      </c>
      <c r="W227" s="604" t="s">
        <v>294</v>
      </c>
      <c r="Z227" s="601" t="s">
        <v>293</v>
      </c>
      <c r="AA227" s="602" t="s">
        <v>293</v>
      </c>
      <c r="AB227" s="603" t="s">
        <v>294</v>
      </c>
      <c r="AC227" s="604" t="s">
        <v>294</v>
      </c>
      <c r="AF227" s="601" t="s">
        <v>293</v>
      </c>
      <c r="AG227" s="602" t="s">
        <v>293</v>
      </c>
      <c r="AH227" s="603" t="s">
        <v>294</v>
      </c>
      <c r="AI227" s="604" t="s">
        <v>294</v>
      </c>
      <c r="AL227" s="601" t="s">
        <v>293</v>
      </c>
      <c r="AM227" s="602" t="s">
        <v>293</v>
      </c>
      <c r="AN227" s="603" t="s">
        <v>294</v>
      </c>
      <c r="AO227" s="604" t="s">
        <v>294</v>
      </c>
      <c r="AR227" s="601" t="s">
        <v>293</v>
      </c>
      <c r="AS227" s="602" t="s">
        <v>293</v>
      </c>
      <c r="AT227" s="603" t="s">
        <v>294</v>
      </c>
      <c r="AU227" s="604" t="s">
        <v>294</v>
      </c>
    </row>
    <row r="228" spans="1:50" ht="13" hidden="1">
      <c r="A228" s="605" t="s">
        <v>6</v>
      </c>
      <c r="B228" s="600" t="s">
        <v>326</v>
      </c>
      <c r="C228" s="606" t="s">
        <v>7</v>
      </c>
      <c r="D228" s="607" t="s">
        <v>8</v>
      </c>
      <c r="E228" s="607" t="s">
        <v>7</v>
      </c>
      <c r="F228" s="608" t="s">
        <v>8</v>
      </c>
      <c r="I228" s="587" t="s">
        <v>317</v>
      </c>
      <c r="J228" s="588" t="s">
        <v>318</v>
      </c>
      <c r="K228" s="589" t="s">
        <v>319</v>
      </c>
      <c r="T228" s="606" t="s">
        <v>7</v>
      </c>
      <c r="U228" s="607" t="s">
        <v>8</v>
      </c>
      <c r="V228" s="607" t="s">
        <v>7</v>
      </c>
      <c r="W228" s="608" t="s">
        <v>8</v>
      </c>
      <c r="Z228" s="606" t="s">
        <v>7</v>
      </c>
      <c r="AA228" s="607" t="s">
        <v>8</v>
      </c>
      <c r="AB228" s="607" t="s">
        <v>7</v>
      </c>
      <c r="AC228" s="608" t="s">
        <v>8</v>
      </c>
      <c r="AF228" s="606" t="s">
        <v>7</v>
      </c>
      <c r="AG228" s="607" t="s">
        <v>8</v>
      </c>
      <c r="AH228" s="607" t="s">
        <v>7</v>
      </c>
      <c r="AI228" s="608" t="s">
        <v>8</v>
      </c>
      <c r="AL228" s="606" t="s">
        <v>7</v>
      </c>
      <c r="AM228" s="607" t="s">
        <v>8</v>
      </c>
      <c r="AN228" s="607" t="s">
        <v>7</v>
      </c>
      <c r="AO228" s="608" t="s">
        <v>8</v>
      </c>
      <c r="AR228" s="606" t="s">
        <v>7</v>
      </c>
      <c r="AS228" s="607" t="s">
        <v>8</v>
      </c>
      <c r="AT228" s="607" t="s">
        <v>7</v>
      </c>
      <c r="AU228" s="608" t="s">
        <v>8</v>
      </c>
    </row>
    <row r="229" spans="1:50" ht="13" hidden="1">
      <c r="A229" s="609">
        <v>0</v>
      </c>
      <c r="B229" s="624" t="str">
        <f t="shared" ref="B229:B238" si="33">+CONCATENATE(A229,$B$227)</f>
        <v>0A</v>
      </c>
      <c r="C229" s="610">
        <v>13061.3</v>
      </c>
      <c r="D229" s="611">
        <v>13116.05</v>
      </c>
      <c r="E229" s="611">
        <v>13061.3</v>
      </c>
      <c r="F229" s="612">
        <v>13116.05</v>
      </c>
      <c r="I229" s="590" t="s">
        <v>320</v>
      </c>
      <c r="J229" s="591">
        <v>1</v>
      </c>
      <c r="K229" s="592" t="s">
        <v>37</v>
      </c>
      <c r="N229" s="709"/>
      <c r="O229" s="709"/>
      <c r="P229" s="709"/>
      <c r="Q229" s="709"/>
      <c r="R229" s="709"/>
      <c r="T229" s="610">
        <v>5389.2031657512644</v>
      </c>
      <c r="U229" s="611">
        <v>5411.7913320157104</v>
      </c>
      <c r="V229" s="611">
        <v>5389.2031657512644</v>
      </c>
      <c r="W229" s="612">
        <v>5411.7913320157104</v>
      </c>
      <c r="Z229" s="610">
        <v>6143.4316732013212</v>
      </c>
      <c r="AA229" s="611">
        <v>6169.1810932548124</v>
      </c>
      <c r="AB229" s="611">
        <v>6143.4316732013212</v>
      </c>
      <c r="AC229" s="612">
        <v>6169.1810932548124</v>
      </c>
      <c r="AF229" s="610">
        <v>7065.13</v>
      </c>
      <c r="AG229" s="611">
        <v>7094.74</v>
      </c>
      <c r="AH229" s="611">
        <v>7065.13</v>
      </c>
      <c r="AI229" s="612">
        <v>7094.74</v>
      </c>
      <c r="AL229" s="610">
        <v>8054.4122861699507</v>
      </c>
      <c r="AM229" s="611">
        <v>8088.171340762402</v>
      </c>
      <c r="AN229" s="611">
        <v>8054.4122861699507</v>
      </c>
      <c r="AO229" s="612">
        <v>8088.171340762402</v>
      </c>
      <c r="AR229" s="610">
        <v>8255.7099999999991</v>
      </c>
      <c r="AS229" s="611">
        <v>8290.32</v>
      </c>
      <c r="AT229" s="611">
        <v>8255.7099999999991</v>
      </c>
      <c r="AU229" s="612">
        <v>8290.32</v>
      </c>
      <c r="AV229" s="713"/>
      <c r="AW229" s="713"/>
      <c r="AX229" s="713"/>
    </row>
    <row r="230" spans="1:50" ht="13" hidden="1">
      <c r="A230" s="609">
        <v>1</v>
      </c>
      <c r="B230" s="624" t="str">
        <f t="shared" si="33"/>
        <v>1A</v>
      </c>
      <c r="C230" s="610">
        <v>13061.3</v>
      </c>
      <c r="D230" s="611">
        <v>13116.05</v>
      </c>
      <c r="E230" s="611">
        <v>13061.3</v>
      </c>
      <c r="F230" s="612">
        <v>13116.05</v>
      </c>
      <c r="I230" s="590" t="s">
        <v>321</v>
      </c>
      <c r="J230" s="591">
        <v>2</v>
      </c>
      <c r="K230" s="592" t="s">
        <v>37</v>
      </c>
      <c r="N230" s="709"/>
      <c r="O230" s="709"/>
      <c r="P230" s="709"/>
      <c r="Q230" s="709"/>
      <c r="R230" s="709"/>
      <c r="T230" s="610">
        <v>5389.2031657512644</v>
      </c>
      <c r="U230" s="611">
        <v>5411.7913320157104</v>
      </c>
      <c r="V230" s="611">
        <v>5389.2031657512644</v>
      </c>
      <c r="W230" s="612">
        <v>5411.7913320157104</v>
      </c>
      <c r="Z230" s="610">
        <v>6143.4316732013212</v>
      </c>
      <c r="AA230" s="611">
        <v>6169.1810932548124</v>
      </c>
      <c r="AB230" s="611">
        <v>6143.4316732013212</v>
      </c>
      <c r="AC230" s="612">
        <v>6169.1810932548124</v>
      </c>
      <c r="AF230" s="610">
        <v>7065.13</v>
      </c>
      <c r="AG230" s="611">
        <v>7094.74</v>
      </c>
      <c r="AH230" s="611">
        <v>7065.13</v>
      </c>
      <c r="AI230" s="612">
        <v>7094.74</v>
      </c>
      <c r="AL230" s="610">
        <v>8054.4122861699507</v>
      </c>
      <c r="AM230" s="611">
        <v>8088.171340762402</v>
      </c>
      <c r="AN230" s="611">
        <v>8054.4122861699507</v>
      </c>
      <c r="AO230" s="612">
        <v>8088.171340762402</v>
      </c>
      <c r="AR230" s="610">
        <v>8255.7099999999991</v>
      </c>
      <c r="AS230" s="611">
        <v>8290.32</v>
      </c>
      <c r="AT230" s="611">
        <v>8255.7099999999991</v>
      </c>
      <c r="AU230" s="612">
        <v>8290.32</v>
      </c>
      <c r="AV230" s="713"/>
      <c r="AW230" s="713"/>
      <c r="AX230" s="713"/>
    </row>
    <row r="231" spans="1:50" ht="13" hidden="1">
      <c r="A231" s="609">
        <v>2</v>
      </c>
      <c r="B231" s="624" t="str">
        <f t="shared" si="33"/>
        <v>2A</v>
      </c>
      <c r="C231" s="610">
        <v>13061.3</v>
      </c>
      <c r="D231" s="611">
        <v>13116.05</v>
      </c>
      <c r="E231" s="611">
        <v>13061.3</v>
      </c>
      <c r="F231" s="612">
        <v>13116.05</v>
      </c>
      <c r="I231" s="590" t="s">
        <v>322</v>
      </c>
      <c r="J231" s="591">
        <v>3</v>
      </c>
      <c r="K231" s="592" t="s">
        <v>37</v>
      </c>
      <c r="N231" s="709"/>
      <c r="O231" s="709"/>
      <c r="P231" s="709"/>
      <c r="Q231" s="709"/>
      <c r="R231" s="709"/>
      <c r="T231" s="610">
        <v>5389.2031657512644</v>
      </c>
      <c r="U231" s="611">
        <v>5411.7913320157104</v>
      </c>
      <c r="V231" s="611">
        <v>5389.2031657512644</v>
      </c>
      <c r="W231" s="612">
        <v>5411.7913320157104</v>
      </c>
      <c r="Z231" s="610">
        <v>6143.4316732013212</v>
      </c>
      <c r="AA231" s="611">
        <v>6169.1810932548124</v>
      </c>
      <c r="AB231" s="611">
        <v>6143.4316732013212</v>
      </c>
      <c r="AC231" s="612">
        <v>6169.1810932548124</v>
      </c>
      <c r="AF231" s="610">
        <v>7065.13</v>
      </c>
      <c r="AG231" s="611">
        <v>7094.74</v>
      </c>
      <c r="AH231" s="611">
        <v>7065.13</v>
      </c>
      <c r="AI231" s="612">
        <v>7094.74</v>
      </c>
      <c r="AL231" s="610">
        <v>8054.4122861699507</v>
      </c>
      <c r="AM231" s="611">
        <v>8088.171340762402</v>
      </c>
      <c r="AN231" s="611">
        <v>8054.4122861699507</v>
      </c>
      <c r="AO231" s="612">
        <v>8088.171340762402</v>
      </c>
      <c r="AR231" s="610">
        <v>8255.7099999999991</v>
      </c>
      <c r="AS231" s="611">
        <v>8290.32</v>
      </c>
      <c r="AT231" s="611">
        <v>8255.7099999999991</v>
      </c>
      <c r="AU231" s="612">
        <v>8290.32</v>
      </c>
      <c r="AV231" s="713"/>
      <c r="AW231" s="713"/>
      <c r="AX231" s="713"/>
    </row>
    <row r="232" spans="1:50" ht="13" hidden="1">
      <c r="A232" s="609">
        <v>3</v>
      </c>
      <c r="B232" s="624" t="str">
        <f t="shared" si="33"/>
        <v>3A</v>
      </c>
      <c r="C232" s="610">
        <v>13061.3</v>
      </c>
      <c r="D232" s="611">
        <v>13116.05</v>
      </c>
      <c r="E232" s="611">
        <v>13061.3</v>
      </c>
      <c r="F232" s="612">
        <v>13116.05</v>
      </c>
      <c r="I232" s="590" t="s">
        <v>323</v>
      </c>
      <c r="J232" s="591">
        <v>4</v>
      </c>
      <c r="K232" s="592" t="s">
        <v>48</v>
      </c>
      <c r="N232" s="709"/>
      <c r="O232" s="709"/>
      <c r="P232" s="709"/>
      <c r="Q232" s="709"/>
      <c r="R232" s="709"/>
      <c r="T232" s="610">
        <v>5389.2031657512644</v>
      </c>
      <c r="U232" s="611">
        <v>5411.7913320157104</v>
      </c>
      <c r="V232" s="611">
        <v>5389.2031657512644</v>
      </c>
      <c r="W232" s="612">
        <v>5411.7913320157104</v>
      </c>
      <c r="Z232" s="610">
        <v>6143.4316732013158</v>
      </c>
      <c r="AA232" s="611">
        <v>6169.1810932548124</v>
      </c>
      <c r="AB232" s="611">
        <v>6143.4316732013212</v>
      </c>
      <c r="AC232" s="612">
        <v>6169.1810932548124</v>
      </c>
      <c r="AF232" s="610">
        <v>7065.13</v>
      </c>
      <c r="AG232" s="611">
        <v>7094.74</v>
      </c>
      <c r="AH232" s="611">
        <v>7065.13</v>
      </c>
      <c r="AI232" s="612">
        <v>7094.74</v>
      </c>
      <c r="AL232" s="610">
        <v>8054.4122861699507</v>
      </c>
      <c r="AM232" s="611">
        <v>8088.171340762402</v>
      </c>
      <c r="AN232" s="611">
        <v>8054.4122861699507</v>
      </c>
      <c r="AO232" s="612">
        <v>8088.171340762402</v>
      </c>
      <c r="AR232" s="610">
        <v>8255.7099999999991</v>
      </c>
      <c r="AS232" s="611">
        <v>8290.32</v>
      </c>
      <c r="AT232" s="611">
        <v>8255.7099999999991</v>
      </c>
      <c r="AU232" s="612">
        <v>8290.32</v>
      </c>
      <c r="AV232" s="713"/>
      <c r="AW232" s="713"/>
      <c r="AX232" s="713"/>
    </row>
    <row r="233" spans="1:50" ht="13" hidden="1">
      <c r="A233" s="609">
        <v>4</v>
      </c>
      <c r="B233" s="624" t="str">
        <f t="shared" si="33"/>
        <v>4A</v>
      </c>
      <c r="C233" s="610">
        <v>13061.3</v>
      </c>
      <c r="D233" s="611">
        <v>13116.05</v>
      </c>
      <c r="E233" s="611">
        <v>13061.3</v>
      </c>
      <c r="F233" s="612">
        <v>13116.05</v>
      </c>
      <c r="I233" s="593" t="s">
        <v>324</v>
      </c>
      <c r="J233" s="594">
        <v>5</v>
      </c>
      <c r="K233" s="595" t="s">
        <v>37</v>
      </c>
      <c r="N233" s="709"/>
      <c r="O233" s="709"/>
      <c r="P233" s="709"/>
      <c r="Q233" s="709"/>
      <c r="R233" s="709"/>
      <c r="T233" s="610">
        <v>5389.2031657512644</v>
      </c>
      <c r="U233" s="611">
        <v>5411.7913320157104</v>
      </c>
      <c r="V233" s="611">
        <v>5389.2031657512644</v>
      </c>
      <c r="W233" s="612">
        <v>5411.7913320157104</v>
      </c>
      <c r="Z233" s="610">
        <v>6143.4316732013158</v>
      </c>
      <c r="AA233" s="611">
        <v>6169.1810932548124</v>
      </c>
      <c r="AB233" s="611">
        <v>6143.4316732013212</v>
      </c>
      <c r="AC233" s="612">
        <v>6169.1810932548124</v>
      </c>
      <c r="AF233" s="610">
        <v>7065.13</v>
      </c>
      <c r="AG233" s="611">
        <v>7094.74</v>
      </c>
      <c r="AH233" s="611">
        <v>7065.13</v>
      </c>
      <c r="AI233" s="612">
        <v>7094.74</v>
      </c>
      <c r="AL233" s="610">
        <v>8054.4122861699507</v>
      </c>
      <c r="AM233" s="611">
        <v>8088.171340762402</v>
      </c>
      <c r="AN233" s="611">
        <v>8054.4122861699507</v>
      </c>
      <c r="AO233" s="612">
        <v>8088.171340762402</v>
      </c>
      <c r="AR233" s="610">
        <v>8255.7099999999991</v>
      </c>
      <c r="AS233" s="611">
        <v>8290.32</v>
      </c>
      <c r="AT233" s="611">
        <v>8255.7099999999991</v>
      </c>
      <c r="AU233" s="612">
        <v>8290.32</v>
      </c>
      <c r="AV233" s="713"/>
      <c r="AW233" s="713"/>
      <c r="AX233" s="713"/>
    </row>
    <row r="234" spans="1:50" ht="13" hidden="1">
      <c r="A234" s="609">
        <v>5</v>
      </c>
      <c r="B234" s="624" t="str">
        <f t="shared" si="33"/>
        <v>5A</v>
      </c>
      <c r="C234" s="610">
        <v>13061.3</v>
      </c>
      <c r="D234" s="611">
        <v>13116.05</v>
      </c>
      <c r="E234" s="611">
        <v>13061.3</v>
      </c>
      <c r="F234" s="612">
        <v>13116.05</v>
      </c>
      <c r="N234" s="709"/>
      <c r="O234" s="709"/>
      <c r="P234" s="709"/>
      <c r="Q234" s="709"/>
      <c r="R234" s="709"/>
      <c r="T234" s="610">
        <v>5389.2031657512644</v>
      </c>
      <c r="U234" s="611">
        <v>5411.7913320157104</v>
      </c>
      <c r="V234" s="611">
        <v>5389.2031657512644</v>
      </c>
      <c r="W234" s="612">
        <v>5411.7913320157104</v>
      </c>
      <c r="Z234" s="610">
        <v>6143.4316732013158</v>
      </c>
      <c r="AA234" s="611">
        <v>6169.1810932548124</v>
      </c>
      <c r="AB234" s="611">
        <v>6143.4316732013212</v>
      </c>
      <c r="AC234" s="612">
        <v>6169.1810932548124</v>
      </c>
      <c r="AF234" s="610">
        <v>7065.13</v>
      </c>
      <c r="AG234" s="611">
        <v>7094.74</v>
      </c>
      <c r="AH234" s="611">
        <v>7065.13</v>
      </c>
      <c r="AI234" s="612">
        <v>7094.74</v>
      </c>
      <c r="AL234" s="610">
        <v>8054.4122861699507</v>
      </c>
      <c r="AM234" s="611">
        <v>8088.171340762402</v>
      </c>
      <c r="AN234" s="611">
        <v>8054.4122861699507</v>
      </c>
      <c r="AO234" s="612">
        <v>8088.171340762402</v>
      </c>
      <c r="AR234" s="610">
        <v>8255.7099999999991</v>
      </c>
      <c r="AS234" s="611">
        <v>8290.32</v>
      </c>
      <c r="AT234" s="611">
        <v>8255.7099999999991</v>
      </c>
      <c r="AU234" s="612">
        <v>8290.32</v>
      </c>
      <c r="AV234" s="713"/>
      <c r="AW234" s="713"/>
      <c r="AX234" s="713"/>
    </row>
    <row r="235" spans="1:50" ht="13" hidden="1">
      <c r="A235" s="609">
        <v>6</v>
      </c>
      <c r="B235" s="624" t="str">
        <f t="shared" si="33"/>
        <v>6A</v>
      </c>
      <c r="C235" s="610">
        <v>13061.3</v>
      </c>
      <c r="D235" s="611">
        <v>13116.05</v>
      </c>
      <c r="E235" s="611">
        <v>13061.3</v>
      </c>
      <c r="F235" s="612">
        <v>13116.05</v>
      </c>
      <c r="N235" s="709"/>
      <c r="O235" s="709"/>
      <c r="P235" s="709"/>
      <c r="Q235" s="709"/>
      <c r="R235" s="709"/>
      <c r="T235" s="610">
        <v>5389.2031657512644</v>
      </c>
      <c r="U235" s="611">
        <v>5411.7913320157104</v>
      </c>
      <c r="V235" s="611">
        <v>5389.2031657512644</v>
      </c>
      <c r="W235" s="612">
        <v>5411.7913320157104</v>
      </c>
      <c r="Z235" s="610">
        <v>6143.4316732013158</v>
      </c>
      <c r="AA235" s="611">
        <v>6169.1810932548124</v>
      </c>
      <c r="AB235" s="611">
        <v>6143.4316732013212</v>
      </c>
      <c r="AC235" s="612">
        <v>6169.1810932548124</v>
      </c>
      <c r="AF235" s="610">
        <v>7065.13</v>
      </c>
      <c r="AG235" s="611">
        <v>7094.74</v>
      </c>
      <c r="AH235" s="611">
        <v>7065.13</v>
      </c>
      <c r="AI235" s="612">
        <v>7094.74</v>
      </c>
      <c r="AL235" s="610">
        <v>8054.4122861699507</v>
      </c>
      <c r="AM235" s="611">
        <v>8088.171340762402</v>
      </c>
      <c r="AN235" s="611">
        <v>8054.4122861699507</v>
      </c>
      <c r="AO235" s="612">
        <v>8088.171340762402</v>
      </c>
      <c r="AR235" s="610">
        <v>8255.7099999999991</v>
      </c>
      <c r="AS235" s="611">
        <v>8290.32</v>
      </c>
      <c r="AT235" s="611">
        <v>8255.7099999999991</v>
      </c>
      <c r="AU235" s="612">
        <v>8290.32</v>
      </c>
      <c r="AV235" s="713"/>
      <c r="AW235" s="713"/>
      <c r="AX235" s="713"/>
    </row>
    <row r="236" spans="1:50" ht="13" hidden="1">
      <c r="A236" s="609">
        <v>7</v>
      </c>
      <c r="B236" s="624" t="str">
        <f t="shared" si="33"/>
        <v>7A</v>
      </c>
      <c r="C236" s="610">
        <v>13061.3</v>
      </c>
      <c r="D236" s="611">
        <v>13116.05</v>
      </c>
      <c r="E236" s="611">
        <v>13061.3</v>
      </c>
      <c r="F236" s="612">
        <v>13116.05</v>
      </c>
      <c r="N236" s="709"/>
      <c r="O236" s="709"/>
      <c r="P236" s="709"/>
      <c r="Q236" s="709"/>
      <c r="R236" s="709"/>
      <c r="T236" s="610">
        <v>5389.2031657512644</v>
      </c>
      <c r="U236" s="611">
        <v>5411.7913320157104</v>
      </c>
      <c r="V236" s="611">
        <v>5389.2031657512644</v>
      </c>
      <c r="W236" s="612">
        <v>5411.7913320157104</v>
      </c>
      <c r="Z236" s="610">
        <v>6143.4316732013158</v>
      </c>
      <c r="AA236" s="611">
        <v>6169.1810932548124</v>
      </c>
      <c r="AB236" s="611">
        <v>6143.4316732013212</v>
      </c>
      <c r="AC236" s="612">
        <v>6169.1810932548124</v>
      </c>
      <c r="AF236" s="610">
        <v>7065.13</v>
      </c>
      <c r="AG236" s="611">
        <v>7094.74</v>
      </c>
      <c r="AH236" s="611">
        <v>7065.13</v>
      </c>
      <c r="AI236" s="612">
        <v>7094.74</v>
      </c>
      <c r="AL236" s="610">
        <v>8054.4122861699507</v>
      </c>
      <c r="AM236" s="611">
        <v>8088.171340762402</v>
      </c>
      <c r="AN236" s="611">
        <v>8054.4122861699507</v>
      </c>
      <c r="AO236" s="612">
        <v>8088.171340762402</v>
      </c>
      <c r="AR236" s="610">
        <v>8255.7099999999991</v>
      </c>
      <c r="AS236" s="611">
        <v>8290.32</v>
      </c>
      <c r="AT236" s="611">
        <v>8255.7099999999991</v>
      </c>
      <c r="AU236" s="612">
        <v>8290.32</v>
      </c>
      <c r="AV236" s="713"/>
      <c r="AW236" s="713"/>
      <c r="AX236" s="713"/>
    </row>
    <row r="237" spans="1:50" ht="13" hidden="1">
      <c r="A237" s="609">
        <v>8</v>
      </c>
      <c r="B237" s="624" t="str">
        <f t="shared" si="33"/>
        <v>8A</v>
      </c>
      <c r="C237" s="610">
        <v>13061.3</v>
      </c>
      <c r="D237" s="611">
        <v>13116.05</v>
      </c>
      <c r="E237" s="611">
        <v>13061.3</v>
      </c>
      <c r="F237" s="612">
        <v>13116.05</v>
      </c>
      <c r="N237" s="709"/>
      <c r="O237" s="709"/>
      <c r="P237" s="709"/>
      <c r="Q237" s="709"/>
      <c r="R237" s="709"/>
      <c r="T237" s="610">
        <v>5389.2031657512644</v>
      </c>
      <c r="U237" s="611">
        <v>5411.7913320157104</v>
      </c>
      <c r="V237" s="611">
        <v>5389.2031657512644</v>
      </c>
      <c r="W237" s="612">
        <v>5411.7913320157104</v>
      </c>
      <c r="Z237" s="610">
        <v>6143.4316732013212</v>
      </c>
      <c r="AA237" s="611">
        <v>6169.1810932548124</v>
      </c>
      <c r="AB237" s="611">
        <v>6143.4316732013212</v>
      </c>
      <c r="AC237" s="612">
        <v>6169.1810932548124</v>
      </c>
      <c r="AF237" s="610">
        <v>7065.13</v>
      </c>
      <c r="AG237" s="611">
        <v>7094.74</v>
      </c>
      <c r="AH237" s="611">
        <v>7065.13</v>
      </c>
      <c r="AI237" s="612">
        <v>7094.74</v>
      </c>
      <c r="AL237" s="610">
        <v>8054.4122861699507</v>
      </c>
      <c r="AM237" s="611">
        <v>8088.171340762402</v>
      </c>
      <c r="AN237" s="611">
        <v>8054.4122861699507</v>
      </c>
      <c r="AO237" s="612">
        <v>8088.171340762402</v>
      </c>
      <c r="AR237" s="610">
        <v>8255.7099999999991</v>
      </c>
      <c r="AS237" s="611">
        <v>8290.32</v>
      </c>
      <c r="AT237" s="611">
        <v>8255.7099999999991</v>
      </c>
      <c r="AU237" s="612">
        <v>8290.32</v>
      </c>
      <c r="AV237" s="713"/>
      <c r="AW237" s="713"/>
      <c r="AX237" s="713"/>
    </row>
    <row r="238" spans="1:50" ht="13" hidden="1">
      <c r="A238" s="609">
        <v>9</v>
      </c>
      <c r="B238" s="624" t="str">
        <f t="shared" si="33"/>
        <v>9A</v>
      </c>
      <c r="C238" s="610">
        <v>13061.3</v>
      </c>
      <c r="D238" s="611">
        <v>13116.05</v>
      </c>
      <c r="E238" s="611">
        <v>13061.3</v>
      </c>
      <c r="F238" s="612">
        <v>13116.05</v>
      </c>
      <c r="N238" s="709"/>
      <c r="O238" s="709"/>
      <c r="P238" s="709"/>
      <c r="Q238" s="709"/>
      <c r="R238" s="709"/>
      <c r="T238" s="610">
        <v>5389.2031657512644</v>
      </c>
      <c r="U238" s="611">
        <v>5411.7913320157104</v>
      </c>
      <c r="V238" s="611">
        <v>5389.2031657512644</v>
      </c>
      <c r="W238" s="612">
        <v>5411.7913320157104</v>
      </c>
      <c r="Z238" s="610">
        <v>6143.4316732013212</v>
      </c>
      <c r="AA238" s="611">
        <v>6169.1810932548124</v>
      </c>
      <c r="AB238" s="611">
        <v>6143.4316732013212</v>
      </c>
      <c r="AC238" s="612">
        <v>6169.1810932548124</v>
      </c>
      <c r="AF238" s="610">
        <v>7065.13</v>
      </c>
      <c r="AG238" s="611">
        <v>7094.74</v>
      </c>
      <c r="AH238" s="611">
        <v>7065.13</v>
      </c>
      <c r="AI238" s="612">
        <v>7094.74</v>
      </c>
      <c r="AL238" s="610">
        <v>8054.4122861699507</v>
      </c>
      <c r="AM238" s="611">
        <v>8088.171340762402</v>
      </c>
      <c r="AN238" s="611">
        <v>8054.4122861699507</v>
      </c>
      <c r="AO238" s="612">
        <v>8088.171340762402</v>
      </c>
      <c r="AR238" s="610">
        <v>8255.7099999999991</v>
      </c>
      <c r="AS238" s="611">
        <v>8290.32</v>
      </c>
      <c r="AT238" s="611">
        <v>8255.7099999999991</v>
      </c>
      <c r="AU238" s="612">
        <v>8290.32</v>
      </c>
      <c r="AV238" s="713"/>
      <c r="AW238" s="713"/>
      <c r="AX238" s="713"/>
    </row>
    <row r="239" spans="1:50" ht="13" hidden="1">
      <c r="A239" s="609">
        <v>10</v>
      </c>
      <c r="B239" s="624" t="str">
        <f t="shared" ref="B239:B293" si="34">+CONCATENATE(A239,$B$227)</f>
        <v>10A</v>
      </c>
      <c r="C239" s="610">
        <v>13061.3</v>
      </c>
      <c r="D239" s="611">
        <v>13116.05</v>
      </c>
      <c r="E239" s="611">
        <v>13061.3</v>
      </c>
      <c r="F239" s="612">
        <v>13116.05</v>
      </c>
      <c r="N239" s="709"/>
      <c r="O239" s="709"/>
      <c r="P239" s="709"/>
      <c r="Q239" s="709"/>
      <c r="R239" s="709"/>
      <c r="T239" s="610">
        <v>5389.2031657512644</v>
      </c>
      <c r="U239" s="611">
        <v>5411.7913320157104</v>
      </c>
      <c r="V239" s="611">
        <v>5389.2031657512644</v>
      </c>
      <c r="W239" s="612">
        <v>5411.7913320157104</v>
      </c>
      <c r="Z239" s="610">
        <v>6143.4316732013212</v>
      </c>
      <c r="AA239" s="611">
        <v>6169.1810932548124</v>
      </c>
      <c r="AB239" s="611">
        <v>6143.4316732013212</v>
      </c>
      <c r="AC239" s="612">
        <v>6169.1810932548124</v>
      </c>
      <c r="AF239" s="610">
        <v>7065.13</v>
      </c>
      <c r="AG239" s="611">
        <v>7094.74</v>
      </c>
      <c r="AH239" s="611">
        <v>7065.13</v>
      </c>
      <c r="AI239" s="612">
        <v>7094.74</v>
      </c>
      <c r="AL239" s="610">
        <v>8054.4122861699507</v>
      </c>
      <c r="AM239" s="611">
        <v>8088.171340762402</v>
      </c>
      <c r="AN239" s="611">
        <v>8054.4122861699507</v>
      </c>
      <c r="AO239" s="612">
        <v>8088.171340762402</v>
      </c>
      <c r="AR239" s="610">
        <v>8255.7099999999991</v>
      </c>
      <c r="AS239" s="611">
        <v>8290.32</v>
      </c>
      <c r="AT239" s="611">
        <v>8255.7099999999991</v>
      </c>
      <c r="AU239" s="612">
        <v>8290.32</v>
      </c>
      <c r="AV239" s="713"/>
      <c r="AW239" s="713"/>
      <c r="AX239" s="713"/>
    </row>
    <row r="240" spans="1:50" ht="13" hidden="1">
      <c r="A240" s="609">
        <v>11</v>
      </c>
      <c r="B240" s="624" t="str">
        <f t="shared" si="34"/>
        <v>11A</v>
      </c>
      <c r="C240" s="610">
        <v>13209.16</v>
      </c>
      <c r="D240" s="611">
        <v>13109.5</v>
      </c>
      <c r="E240" s="611">
        <v>13209.16</v>
      </c>
      <c r="F240" s="612">
        <v>13109.5</v>
      </c>
      <c r="N240" s="709"/>
      <c r="O240" s="709"/>
      <c r="P240" s="709"/>
      <c r="Q240" s="709"/>
      <c r="R240" s="709"/>
      <c r="T240" s="610">
        <v>5450.2114832092766</v>
      </c>
      <c r="U240" s="611">
        <v>5409.0888594815797</v>
      </c>
      <c r="V240" s="611">
        <v>5450.2114832092766</v>
      </c>
      <c r="W240" s="612">
        <v>5409.0888594815797</v>
      </c>
      <c r="Z240" s="610">
        <v>6212.9782125083111</v>
      </c>
      <c r="AA240" s="611">
        <v>6166.100404913419</v>
      </c>
      <c r="AB240" s="611">
        <v>6212.9782125083111</v>
      </c>
      <c r="AC240" s="612">
        <v>6166.100404913419</v>
      </c>
      <c r="AF240" s="610">
        <v>7145.11</v>
      </c>
      <c r="AG240" s="611">
        <v>7091.2</v>
      </c>
      <c r="AH240" s="611">
        <v>7145.11</v>
      </c>
      <c r="AI240" s="612">
        <v>7091.2</v>
      </c>
      <c r="AL240" s="610">
        <v>8145.5920258418882</v>
      </c>
      <c r="AM240" s="611">
        <v>8084.1323711202349</v>
      </c>
      <c r="AN240" s="611">
        <v>8145.5920258418882</v>
      </c>
      <c r="AO240" s="612">
        <v>8084.1323711202349</v>
      </c>
      <c r="AR240" s="610">
        <v>8349.17</v>
      </c>
      <c r="AS240" s="611">
        <v>8286.18</v>
      </c>
      <c r="AT240" s="611">
        <v>8349.17</v>
      </c>
      <c r="AU240" s="612">
        <v>8286.18</v>
      </c>
      <c r="AV240" s="713"/>
      <c r="AW240" s="713"/>
      <c r="AX240" s="713"/>
    </row>
    <row r="241" spans="1:50" ht="13" hidden="1">
      <c r="A241" s="609">
        <v>12</v>
      </c>
      <c r="B241" s="624" t="str">
        <f t="shared" si="34"/>
        <v>12A</v>
      </c>
      <c r="C241" s="610">
        <v>13160.04</v>
      </c>
      <c r="D241" s="611">
        <v>13235.31</v>
      </c>
      <c r="E241" s="611">
        <v>13160.04</v>
      </c>
      <c r="F241" s="612">
        <v>13235.31</v>
      </c>
      <c r="N241" s="709"/>
      <c r="O241" s="709"/>
      <c r="P241" s="709"/>
      <c r="Q241" s="709"/>
      <c r="R241" s="709"/>
      <c r="T241" s="610">
        <v>5429.9429392032926</v>
      </c>
      <c r="U241" s="611">
        <v>5460.9988527413507</v>
      </c>
      <c r="V241" s="611">
        <v>5429.9429392032926</v>
      </c>
      <c r="W241" s="612">
        <v>5460.9988527413507</v>
      </c>
      <c r="Z241" s="610">
        <v>6189.8730499478497</v>
      </c>
      <c r="AA241" s="611">
        <v>6225.2752934710461</v>
      </c>
      <c r="AB241" s="611">
        <v>6189.8730499478497</v>
      </c>
      <c r="AC241" s="612">
        <v>6225.2752934710461</v>
      </c>
      <c r="AF241" s="610">
        <v>7118.54</v>
      </c>
      <c r="AG241" s="611">
        <v>7159.25</v>
      </c>
      <c r="AH241" s="611">
        <v>7118.54</v>
      </c>
      <c r="AI241" s="612">
        <v>7159.25</v>
      </c>
      <c r="AL241" s="610">
        <v>8115.2997535256291</v>
      </c>
      <c r="AM241" s="611">
        <v>8161.7142463302062</v>
      </c>
      <c r="AN241" s="611">
        <v>8115.2997535256291</v>
      </c>
      <c r="AO241" s="612">
        <v>8161.7142463302062</v>
      </c>
      <c r="AR241" s="610">
        <v>8318.1200000000008</v>
      </c>
      <c r="AS241" s="611">
        <v>8365.7000000000007</v>
      </c>
      <c r="AT241" s="611">
        <v>8318.1200000000008</v>
      </c>
      <c r="AU241" s="612">
        <v>8365.7000000000007</v>
      </c>
      <c r="AV241" s="713"/>
      <c r="AW241" s="713"/>
      <c r="AX241" s="713"/>
    </row>
    <row r="242" spans="1:50" ht="13" hidden="1">
      <c r="A242" s="609">
        <v>13</v>
      </c>
      <c r="B242" s="624" t="str">
        <f t="shared" si="34"/>
        <v>13A</v>
      </c>
      <c r="C242" s="610">
        <v>13062.51</v>
      </c>
      <c r="D242" s="611">
        <v>13152.95</v>
      </c>
      <c r="E242" s="611">
        <v>13062.51</v>
      </c>
      <c r="F242" s="612">
        <v>13152.95</v>
      </c>
      <c r="N242" s="709"/>
      <c r="O242" s="709"/>
      <c r="P242" s="709"/>
      <c r="Q242" s="709"/>
      <c r="R242" s="709"/>
      <c r="T242" s="610">
        <v>5389.6986190491871</v>
      </c>
      <c r="U242" s="611">
        <v>5427.0152606246511</v>
      </c>
      <c r="V242" s="611">
        <v>5389.6986190491871</v>
      </c>
      <c r="W242" s="612">
        <v>5427.0152606246511</v>
      </c>
      <c r="Z242" s="610">
        <v>6143.996466063908</v>
      </c>
      <c r="AA242" s="611">
        <v>6186.5356375780057</v>
      </c>
      <c r="AB242" s="611">
        <v>6143.996466063908</v>
      </c>
      <c r="AC242" s="612">
        <v>6186.5356375780057</v>
      </c>
      <c r="AF242" s="610">
        <v>7065.78</v>
      </c>
      <c r="AG242" s="611">
        <v>7114.7</v>
      </c>
      <c r="AH242" s="611">
        <v>7065.78</v>
      </c>
      <c r="AI242" s="612">
        <v>7114.7</v>
      </c>
      <c r="AL242" s="610">
        <v>8055.15276393768</v>
      </c>
      <c r="AM242" s="611">
        <v>8110.924203079946</v>
      </c>
      <c r="AN242" s="611">
        <v>8055.15276393768</v>
      </c>
      <c r="AO242" s="612">
        <v>8110.924203079946</v>
      </c>
      <c r="AR242" s="610">
        <v>8256.4699999999993</v>
      </c>
      <c r="AS242" s="611">
        <v>8313.64</v>
      </c>
      <c r="AT242" s="611">
        <v>8256.4699999999993</v>
      </c>
      <c r="AU242" s="612">
        <v>8313.64</v>
      </c>
      <c r="AV242" s="713"/>
      <c r="AW242" s="713"/>
      <c r="AX242" s="713"/>
    </row>
    <row r="243" spans="1:50" ht="13" hidden="1">
      <c r="A243" s="609">
        <v>14</v>
      </c>
      <c r="B243" s="624" t="str">
        <f t="shared" si="34"/>
        <v>14A</v>
      </c>
      <c r="C243" s="610">
        <v>12709.26</v>
      </c>
      <c r="D243" s="611">
        <v>12896.85</v>
      </c>
      <c r="E243" s="611">
        <v>12709.26</v>
      </c>
      <c r="F243" s="612">
        <v>12896.85</v>
      </c>
      <c r="N243" s="709"/>
      <c r="O243" s="709"/>
      <c r="P243" s="709"/>
      <c r="Q243" s="709"/>
      <c r="R243" s="709"/>
      <c r="T243" s="610">
        <v>5243.9452670417077</v>
      </c>
      <c r="U243" s="611">
        <v>5321.3485845401174</v>
      </c>
      <c r="V243" s="611">
        <v>5243.9452670417077</v>
      </c>
      <c r="W243" s="612">
        <v>5321.3485845401174</v>
      </c>
      <c r="Z243" s="610">
        <v>5977.8446748513416</v>
      </c>
      <c r="AA243" s="611">
        <v>6066.0807234294616</v>
      </c>
      <c r="AB243" s="611">
        <v>5977.8446748513416</v>
      </c>
      <c r="AC243" s="612">
        <v>6066.0807234294616</v>
      </c>
      <c r="AF243" s="610">
        <v>6874.7</v>
      </c>
      <c r="AG243" s="611">
        <v>6976.18</v>
      </c>
      <c r="AH243" s="611">
        <v>6874.7</v>
      </c>
      <c r="AI243" s="612">
        <v>6976.18</v>
      </c>
      <c r="AL243" s="610">
        <v>7837.3176679034314</v>
      </c>
      <c r="AM243" s="611">
        <v>7953.0004900711874</v>
      </c>
      <c r="AN243" s="611">
        <v>7837.3176679034314</v>
      </c>
      <c r="AO243" s="612">
        <v>7953.0004900711874</v>
      </c>
      <c r="AR243" s="610">
        <v>8033.19</v>
      </c>
      <c r="AS243" s="611">
        <v>8151.77</v>
      </c>
      <c r="AT243" s="611">
        <v>8033.19</v>
      </c>
      <c r="AU243" s="612">
        <v>8151.77</v>
      </c>
      <c r="AV243" s="713"/>
      <c r="AW243" s="713"/>
      <c r="AX243" s="713"/>
    </row>
    <row r="244" spans="1:50" ht="13" hidden="1">
      <c r="A244" s="609">
        <v>15</v>
      </c>
      <c r="B244" s="624" t="str">
        <f t="shared" si="34"/>
        <v>15A</v>
      </c>
      <c r="C244" s="610">
        <v>12756.31</v>
      </c>
      <c r="D244" s="611">
        <v>12685.79</v>
      </c>
      <c r="E244" s="611">
        <v>12756.31</v>
      </c>
      <c r="F244" s="612">
        <v>12685.79</v>
      </c>
      <c r="N244" s="709"/>
      <c r="O244" s="709"/>
      <c r="P244" s="709"/>
      <c r="Q244" s="709"/>
      <c r="R244" s="709"/>
      <c r="T244" s="610">
        <v>5263.3580280785482</v>
      </c>
      <c r="U244" s="611">
        <v>5234.2614071277367</v>
      </c>
      <c r="V244" s="611">
        <v>5263.3580280785482</v>
      </c>
      <c r="W244" s="612">
        <v>5234.2614071277367</v>
      </c>
      <c r="Z244" s="610">
        <v>5999.974286103693</v>
      </c>
      <c r="AA244" s="611">
        <v>5966.8055416280085</v>
      </c>
      <c r="AB244" s="611">
        <v>5999.974286103693</v>
      </c>
      <c r="AC244" s="612">
        <v>5966.8055416280085</v>
      </c>
      <c r="AF244" s="610">
        <v>6900.15</v>
      </c>
      <c r="AG244" s="611">
        <v>6862.01</v>
      </c>
      <c r="AH244" s="611">
        <v>6900.15</v>
      </c>
      <c r="AI244" s="612">
        <v>6862.01</v>
      </c>
      <c r="AL244" s="610">
        <v>7866.3309331663359</v>
      </c>
      <c r="AM244" s="611">
        <v>7822.8446933523301</v>
      </c>
      <c r="AN244" s="611">
        <v>7866.3309331663359</v>
      </c>
      <c r="AO244" s="612">
        <v>7822.8446933523301</v>
      </c>
      <c r="AR244" s="610">
        <v>8062.93</v>
      </c>
      <c r="AS244" s="611">
        <v>8018.36</v>
      </c>
      <c r="AT244" s="611">
        <v>8062.93</v>
      </c>
      <c r="AU244" s="612">
        <v>8018.36</v>
      </c>
      <c r="AV244" s="713"/>
      <c r="AW244" s="713"/>
      <c r="AX244" s="713"/>
    </row>
    <row r="245" spans="1:50" ht="13" hidden="1">
      <c r="A245" s="609">
        <v>16</v>
      </c>
      <c r="B245" s="624" t="str">
        <f t="shared" si="34"/>
        <v>16A</v>
      </c>
      <c r="C245" s="610">
        <v>12540.11</v>
      </c>
      <c r="D245" s="611">
        <v>11728.11</v>
      </c>
      <c r="E245" s="611">
        <v>12540.11</v>
      </c>
      <c r="F245" s="612">
        <v>11728.11</v>
      </c>
      <c r="N245" s="709"/>
      <c r="O245" s="709"/>
      <c r="P245" s="709"/>
      <c r="Q245" s="709"/>
      <c r="R245" s="709"/>
      <c r="T245" s="610">
        <v>5174.1539138477656</v>
      </c>
      <c r="U245" s="611">
        <v>4839.114881428839</v>
      </c>
      <c r="V245" s="611">
        <v>5174.1539138477656</v>
      </c>
      <c r="W245" s="612">
        <v>4839.114881428839</v>
      </c>
      <c r="Z245" s="610">
        <v>5898.285898434815</v>
      </c>
      <c r="AA245" s="611">
        <v>5516.3575613103731</v>
      </c>
      <c r="AB245" s="611">
        <v>5898.285898434815</v>
      </c>
      <c r="AC245" s="612">
        <v>5516.3575613103731</v>
      </c>
      <c r="AF245" s="610">
        <v>6783.21</v>
      </c>
      <c r="AG245" s="611">
        <v>6343.98</v>
      </c>
      <c r="AH245" s="611">
        <v>6783.21</v>
      </c>
      <c r="AI245" s="612">
        <v>6343.98</v>
      </c>
      <c r="AL245" s="610">
        <v>7733.0112768944482</v>
      </c>
      <c r="AM245" s="611">
        <v>7232.2800155066971</v>
      </c>
      <c r="AN245" s="611">
        <v>7733.0112768944482</v>
      </c>
      <c r="AO245" s="612">
        <v>7232.2800155066971</v>
      </c>
      <c r="AR245" s="610">
        <v>7926.28</v>
      </c>
      <c r="AS245" s="611">
        <v>7413.03</v>
      </c>
      <c r="AT245" s="611">
        <v>7926.28</v>
      </c>
      <c r="AU245" s="612">
        <v>7413.03</v>
      </c>
      <c r="AV245" s="713"/>
      <c r="AW245" s="713"/>
      <c r="AX245" s="713"/>
    </row>
    <row r="246" spans="1:50" ht="13" hidden="1">
      <c r="A246" s="609">
        <v>17</v>
      </c>
      <c r="B246" s="624" t="str">
        <f t="shared" si="34"/>
        <v>17A</v>
      </c>
      <c r="C246" s="610">
        <v>12620.51</v>
      </c>
      <c r="D246" s="611">
        <v>11920.72</v>
      </c>
      <c r="E246" s="611">
        <v>12620.51</v>
      </c>
      <c r="F246" s="612">
        <v>11920.72</v>
      </c>
      <c r="N246" s="709"/>
      <c r="O246" s="709"/>
      <c r="P246" s="709"/>
      <c r="Q246" s="709"/>
      <c r="R246" s="709"/>
      <c r="T246" s="610">
        <v>5207.3267642042274</v>
      </c>
      <c r="U246" s="611">
        <v>4918.5900945367503</v>
      </c>
      <c r="V246" s="611">
        <v>5207.3267642042274</v>
      </c>
      <c r="W246" s="612">
        <v>4918.5900945367503</v>
      </c>
      <c r="Z246" s="610">
        <v>5936.1013478254381</v>
      </c>
      <c r="AA246" s="611">
        <v>5606.9554709502299</v>
      </c>
      <c r="AB246" s="611">
        <v>5936.1013478254381</v>
      </c>
      <c r="AC246" s="612">
        <v>5606.9554709502299</v>
      </c>
      <c r="AF246" s="610">
        <v>6826.7</v>
      </c>
      <c r="AG246" s="611">
        <v>6448.17</v>
      </c>
      <c r="AH246" s="611">
        <v>6826.7</v>
      </c>
      <c r="AI246" s="612">
        <v>6448.17</v>
      </c>
      <c r="AL246" s="610">
        <v>7782.5896292520556</v>
      </c>
      <c r="AM246" s="611">
        <v>7351.0593810667806</v>
      </c>
      <c r="AN246" s="611">
        <v>7782.5896292520556</v>
      </c>
      <c r="AO246" s="612">
        <v>7351.0593810667806</v>
      </c>
      <c r="AR246" s="610">
        <v>7977.1</v>
      </c>
      <c r="AS246" s="611">
        <v>7534.78</v>
      </c>
      <c r="AT246" s="611">
        <v>7977.1</v>
      </c>
      <c r="AU246" s="612">
        <v>7534.78</v>
      </c>
      <c r="AV246" s="713"/>
      <c r="AW246" s="713"/>
      <c r="AX246" s="713"/>
    </row>
    <row r="247" spans="1:50" ht="13" hidden="1">
      <c r="A247" s="609">
        <v>18</v>
      </c>
      <c r="B247" s="624" t="str">
        <f t="shared" si="34"/>
        <v>18A</v>
      </c>
      <c r="C247" s="610">
        <v>12974.47</v>
      </c>
      <c r="D247" s="611">
        <v>11553.12</v>
      </c>
      <c r="E247" s="611">
        <v>12974.47</v>
      </c>
      <c r="F247" s="612">
        <v>11553.12</v>
      </c>
      <c r="N247" s="709"/>
      <c r="O247" s="709"/>
      <c r="P247" s="709"/>
      <c r="Q247" s="709"/>
      <c r="R247" s="709"/>
      <c r="T247" s="610">
        <v>5353.3728840695721</v>
      </c>
      <c r="U247" s="611">
        <v>4766.9138235586315</v>
      </c>
      <c r="V247" s="611">
        <v>5353.3728840695721</v>
      </c>
      <c r="W247" s="612">
        <v>4766.9138235586315</v>
      </c>
      <c r="Z247" s="610">
        <v>6102.586880274991</v>
      </c>
      <c r="AA247" s="611">
        <v>5434.0518377894377</v>
      </c>
      <c r="AB247" s="611">
        <v>6102.586880274991</v>
      </c>
      <c r="AC247" s="612">
        <v>5434.0518377894377</v>
      </c>
      <c r="AF247" s="610">
        <v>7018.16</v>
      </c>
      <c r="AG247" s="611">
        <v>6249.32</v>
      </c>
      <c r="AH247" s="611">
        <v>7018.16</v>
      </c>
      <c r="AI247" s="612">
        <v>6249.32</v>
      </c>
      <c r="AL247" s="610">
        <v>8000.8622803308745</v>
      </c>
      <c r="AM247" s="611">
        <v>7124.3722099001125</v>
      </c>
      <c r="AN247" s="611">
        <v>8000.8622803308745</v>
      </c>
      <c r="AO247" s="612">
        <v>7124.3722099001125</v>
      </c>
      <c r="AR247" s="610">
        <v>8200.83</v>
      </c>
      <c r="AS247" s="611">
        <v>7302.43</v>
      </c>
      <c r="AT247" s="611">
        <v>8200.83</v>
      </c>
      <c r="AU247" s="612">
        <v>7302.43</v>
      </c>
      <c r="AV247" s="713"/>
      <c r="AW247" s="713"/>
      <c r="AX247" s="713"/>
    </row>
    <row r="248" spans="1:50" ht="13" hidden="1">
      <c r="A248" s="609">
        <v>19</v>
      </c>
      <c r="B248" s="624" t="str">
        <f t="shared" si="34"/>
        <v>19A</v>
      </c>
      <c r="C248" s="610">
        <v>13406.2</v>
      </c>
      <c r="D248" s="611">
        <v>11722.65</v>
      </c>
      <c r="E248" s="611">
        <v>13406.2</v>
      </c>
      <c r="F248" s="612">
        <v>11722.65</v>
      </c>
      <c r="N248" s="709"/>
      <c r="O248" s="709"/>
      <c r="P248" s="709"/>
      <c r="Q248" s="709"/>
      <c r="R248" s="709"/>
      <c r="T248" s="610">
        <v>5531.5108652777262</v>
      </c>
      <c r="U248" s="611">
        <v>4836.8628209837298</v>
      </c>
      <c r="V248" s="611">
        <v>5531.5108652777262</v>
      </c>
      <c r="W248" s="612">
        <v>4836.8628209837298</v>
      </c>
      <c r="Z248" s="610">
        <v>6305.6555867786092</v>
      </c>
      <c r="AA248" s="611">
        <v>5513.7903210258773</v>
      </c>
      <c r="AB248" s="611">
        <v>6305.6555867786092</v>
      </c>
      <c r="AC248" s="612">
        <v>5513.7903210258773</v>
      </c>
      <c r="AF248" s="610">
        <v>7251.69</v>
      </c>
      <c r="AG248" s="611">
        <v>6341.02</v>
      </c>
      <c r="AH248" s="611">
        <v>7251.69</v>
      </c>
      <c r="AI248" s="612">
        <v>6341.02</v>
      </c>
      <c r="AL248" s="610">
        <v>8267.0976959104337</v>
      </c>
      <c r="AM248" s="611">
        <v>7228.9142074715564</v>
      </c>
      <c r="AN248" s="611">
        <v>8267.0976959104337</v>
      </c>
      <c r="AO248" s="612">
        <v>7228.9142074715564</v>
      </c>
      <c r="AR248" s="610">
        <v>8473.7099999999991</v>
      </c>
      <c r="AS248" s="611">
        <v>7409.58</v>
      </c>
      <c r="AT248" s="611">
        <v>8473.7099999999991</v>
      </c>
      <c r="AU248" s="612">
        <v>7409.58</v>
      </c>
      <c r="AV248" s="713"/>
      <c r="AW248" s="713"/>
      <c r="AX248" s="713"/>
    </row>
    <row r="249" spans="1:50" ht="13" hidden="1">
      <c r="A249" s="609">
        <v>20</v>
      </c>
      <c r="B249" s="624" t="str">
        <f t="shared" si="34"/>
        <v>20A</v>
      </c>
      <c r="C249" s="610">
        <v>13894.05</v>
      </c>
      <c r="D249" s="611">
        <v>13881.66</v>
      </c>
      <c r="E249" s="611">
        <v>13894.05</v>
      </c>
      <c r="F249" s="612">
        <v>13881.66</v>
      </c>
      <c r="N249" s="709"/>
      <c r="O249" s="709"/>
      <c r="P249" s="709"/>
      <c r="Q249" s="709"/>
      <c r="R249" s="709"/>
      <c r="T249" s="610">
        <v>5732.8000278616064</v>
      </c>
      <c r="U249" s="611">
        <v>5727.6878506512066</v>
      </c>
      <c r="V249" s="611">
        <v>5732.8000278616064</v>
      </c>
      <c r="W249" s="612">
        <v>5727.6878506512066</v>
      </c>
      <c r="Z249" s="610">
        <v>6535.1155234068465</v>
      </c>
      <c r="AA249" s="611">
        <v>6529.2878879610398</v>
      </c>
      <c r="AB249" s="611">
        <v>6535.1155234068465</v>
      </c>
      <c r="AC249" s="612">
        <v>6529.2878879610398</v>
      </c>
      <c r="AF249" s="610">
        <v>7515.58</v>
      </c>
      <c r="AG249" s="611">
        <v>7508.88</v>
      </c>
      <c r="AH249" s="611">
        <v>7515.58</v>
      </c>
      <c r="AI249" s="612">
        <v>7508.88</v>
      </c>
      <c r="AL249" s="610">
        <v>8567.9336180912323</v>
      </c>
      <c r="AM249" s="611">
        <v>8560.2932338514638</v>
      </c>
      <c r="AN249" s="611">
        <v>8567.9336180912323</v>
      </c>
      <c r="AO249" s="612">
        <v>8560.2932338514638</v>
      </c>
      <c r="AR249" s="610">
        <v>8782.07</v>
      </c>
      <c r="AS249" s="611">
        <v>8774.24</v>
      </c>
      <c r="AT249" s="611">
        <v>8782.07</v>
      </c>
      <c r="AU249" s="612">
        <v>8774.24</v>
      </c>
      <c r="AV249" s="713"/>
      <c r="AW249" s="713"/>
      <c r="AX249" s="713"/>
    </row>
    <row r="250" spans="1:50" ht="13" hidden="1">
      <c r="A250" s="609">
        <v>21</v>
      </c>
      <c r="B250" s="624" t="str">
        <f t="shared" si="34"/>
        <v>21A</v>
      </c>
      <c r="C250" s="610">
        <v>14878.95</v>
      </c>
      <c r="D250" s="611">
        <v>17774.3</v>
      </c>
      <c r="E250" s="611">
        <v>14878.95</v>
      </c>
      <c r="F250" s="612">
        <v>17774.3</v>
      </c>
      <c r="N250" s="709"/>
      <c r="O250" s="709"/>
      <c r="P250" s="709"/>
      <c r="Q250" s="709"/>
      <c r="R250" s="709"/>
      <c r="T250" s="610">
        <v>6192.4455647084351</v>
      </c>
      <c r="U250" s="611">
        <v>7397.4555470731257</v>
      </c>
      <c r="V250" s="611">
        <v>6192.4455647084351</v>
      </c>
      <c r="W250" s="612">
        <v>7397.4555470731257</v>
      </c>
      <c r="Z250" s="610">
        <v>7059.0892654724394</v>
      </c>
      <c r="AA250" s="611">
        <v>8432.742524497613</v>
      </c>
      <c r="AB250" s="611">
        <v>7059.0892654724394</v>
      </c>
      <c r="AC250" s="612">
        <v>8432.742524497613</v>
      </c>
      <c r="AF250" s="610">
        <v>8118.17</v>
      </c>
      <c r="AG250" s="611">
        <v>9697.91</v>
      </c>
      <c r="AH250" s="611">
        <v>8118.17</v>
      </c>
      <c r="AI250" s="612">
        <v>9697.91</v>
      </c>
      <c r="AL250" s="610">
        <v>9254.8950380632705</v>
      </c>
      <c r="AM250" s="611">
        <v>11055.837943425538</v>
      </c>
      <c r="AN250" s="611">
        <v>9254.8950380632705</v>
      </c>
      <c r="AO250" s="612">
        <v>11055.837943425538</v>
      </c>
      <c r="AR250" s="610">
        <v>9486.2000000000007</v>
      </c>
      <c r="AS250" s="611">
        <v>11332.15</v>
      </c>
      <c r="AT250" s="611">
        <v>9486.2000000000007</v>
      </c>
      <c r="AU250" s="612">
        <v>11332.15</v>
      </c>
      <c r="AV250" s="713"/>
      <c r="AW250" s="713"/>
      <c r="AX250" s="713"/>
    </row>
    <row r="251" spans="1:50" ht="13" hidden="1">
      <c r="A251" s="609">
        <v>22</v>
      </c>
      <c r="B251" s="624" t="str">
        <f t="shared" si="34"/>
        <v>22A</v>
      </c>
      <c r="C251" s="610">
        <v>15528.67</v>
      </c>
      <c r="D251" s="611">
        <v>18621.63</v>
      </c>
      <c r="E251" s="611">
        <v>15528.67</v>
      </c>
      <c r="F251" s="612">
        <v>18621.63</v>
      </c>
      <c r="N251" s="709"/>
      <c r="O251" s="709"/>
      <c r="P251" s="709"/>
      <c r="Q251" s="709"/>
      <c r="R251" s="709"/>
      <c r="T251" s="610">
        <v>6462.8504623527224</v>
      </c>
      <c r="U251" s="611">
        <v>7750.1056921728095</v>
      </c>
      <c r="V251" s="611">
        <v>6462.8504623527224</v>
      </c>
      <c r="W251" s="612">
        <v>7750.1056921728095</v>
      </c>
      <c r="Z251" s="610">
        <v>7367.3378064318531</v>
      </c>
      <c r="AA251" s="611">
        <v>8834.7466806468146</v>
      </c>
      <c r="AB251" s="611">
        <v>7367.3378064318531</v>
      </c>
      <c r="AC251" s="612">
        <v>8834.7466806468146</v>
      </c>
      <c r="AF251" s="610">
        <v>8472.66</v>
      </c>
      <c r="AG251" s="611">
        <v>10160.219999999999</v>
      </c>
      <c r="AH251" s="611">
        <v>8472.66</v>
      </c>
      <c r="AI251" s="612">
        <v>10160.219999999999</v>
      </c>
      <c r="AL251" s="610">
        <v>9659.0276088425089</v>
      </c>
      <c r="AM251" s="611">
        <v>11582.889823648082</v>
      </c>
      <c r="AN251" s="611">
        <v>9659.0276088425089</v>
      </c>
      <c r="AO251" s="612">
        <v>11582.889823648082</v>
      </c>
      <c r="AR251" s="610">
        <v>9900.43</v>
      </c>
      <c r="AS251" s="611">
        <v>11872.38</v>
      </c>
      <c r="AT251" s="611">
        <v>9900.43</v>
      </c>
      <c r="AU251" s="612">
        <v>11872.38</v>
      </c>
      <c r="AV251" s="713"/>
      <c r="AW251" s="713"/>
      <c r="AX251" s="713"/>
    </row>
    <row r="252" spans="1:50" ht="13" hidden="1">
      <c r="A252" s="609">
        <v>23</v>
      </c>
      <c r="B252" s="624" t="str">
        <f t="shared" si="34"/>
        <v>23A</v>
      </c>
      <c r="C252" s="610">
        <v>16559.22</v>
      </c>
      <c r="D252" s="611">
        <v>19491.04</v>
      </c>
      <c r="E252" s="611">
        <v>16559.22</v>
      </c>
      <c r="F252" s="612">
        <v>19491.04</v>
      </c>
      <c r="N252" s="709"/>
      <c r="O252" s="709"/>
      <c r="P252" s="709"/>
      <c r="Q252" s="709"/>
      <c r="R252" s="709"/>
      <c r="T252" s="610">
        <v>6891.755374123808</v>
      </c>
      <c r="U252" s="611">
        <v>8111.944243888538</v>
      </c>
      <c r="V252" s="611">
        <v>6891.755374123808</v>
      </c>
      <c r="W252" s="612">
        <v>8111.944243888538</v>
      </c>
      <c r="Z252" s="610">
        <v>7856.2687186140793</v>
      </c>
      <c r="AA252" s="611">
        <v>9247.2251771567553</v>
      </c>
      <c r="AB252" s="611">
        <v>7856.2687186140793</v>
      </c>
      <c r="AC252" s="612">
        <v>9247.2251771567553</v>
      </c>
      <c r="AF252" s="610">
        <v>9034.9500000000007</v>
      </c>
      <c r="AG252" s="611">
        <v>10634.59</v>
      </c>
      <c r="AH252" s="611">
        <v>9034.9500000000007</v>
      </c>
      <c r="AI252" s="612">
        <v>10634.59</v>
      </c>
      <c r="AL252" s="610">
        <v>10300.045749134886</v>
      </c>
      <c r="AM252" s="611">
        <v>12123.674200653997</v>
      </c>
      <c r="AN252" s="611">
        <v>10300.045749134886</v>
      </c>
      <c r="AO252" s="612">
        <v>12123.674200653997</v>
      </c>
      <c r="AR252" s="610">
        <v>10557.47</v>
      </c>
      <c r="AS252" s="611">
        <v>12426.68</v>
      </c>
      <c r="AT252" s="611">
        <v>10557.47</v>
      </c>
      <c r="AU252" s="612">
        <v>12426.68</v>
      </c>
      <c r="AV252" s="713"/>
      <c r="AW252" s="713"/>
      <c r="AX252" s="713"/>
    </row>
    <row r="253" spans="1:50" ht="13" hidden="1">
      <c r="A253" s="609">
        <v>24</v>
      </c>
      <c r="B253" s="624" t="str">
        <f t="shared" si="34"/>
        <v>24A</v>
      </c>
      <c r="C253" s="610">
        <v>17231.34</v>
      </c>
      <c r="D253" s="611">
        <v>20402.39</v>
      </c>
      <c r="E253" s="611">
        <v>17231.34</v>
      </c>
      <c r="F253" s="612">
        <v>20402.39</v>
      </c>
      <c r="N253" s="709"/>
      <c r="O253" s="709"/>
      <c r="P253" s="709"/>
      <c r="Q253" s="709"/>
      <c r="R253" s="709"/>
      <c r="T253" s="610">
        <v>7171.4838020108482</v>
      </c>
      <c r="U253" s="611">
        <v>8491.2362640538613</v>
      </c>
      <c r="V253" s="611">
        <v>7171.4838020108482</v>
      </c>
      <c r="W253" s="612">
        <v>8491.2362640538613</v>
      </c>
      <c r="Z253" s="610">
        <v>8175.1456343513046</v>
      </c>
      <c r="AA253" s="611">
        <v>9679.5997858715382</v>
      </c>
      <c r="AB253" s="611">
        <v>8175.1456343513046</v>
      </c>
      <c r="AC253" s="612">
        <v>9679.5997858715382</v>
      </c>
      <c r="AF253" s="610">
        <v>9401.66</v>
      </c>
      <c r="AG253" s="611">
        <v>11131.83</v>
      </c>
      <c r="AH253" s="611">
        <v>9401.66</v>
      </c>
      <c r="AI253" s="612">
        <v>11131.83</v>
      </c>
      <c r="AL253" s="610">
        <v>10718.112765179605</v>
      </c>
      <c r="AM253" s="611">
        <v>12690.543589932246</v>
      </c>
      <c r="AN253" s="611">
        <v>10718.112765179605</v>
      </c>
      <c r="AO253" s="612">
        <v>12690.543589932246</v>
      </c>
      <c r="AR253" s="610">
        <v>10985.99</v>
      </c>
      <c r="AS253" s="611">
        <v>13007.71</v>
      </c>
      <c r="AT253" s="611">
        <v>10985.99</v>
      </c>
      <c r="AU253" s="612">
        <v>13007.71</v>
      </c>
      <c r="AV253" s="713"/>
      <c r="AW253" s="713"/>
      <c r="AX253" s="713"/>
    </row>
    <row r="254" spans="1:50" ht="13" hidden="1">
      <c r="A254" s="609">
        <v>25</v>
      </c>
      <c r="B254" s="624" t="str">
        <f t="shared" si="34"/>
        <v>25A</v>
      </c>
      <c r="C254" s="610">
        <v>17905.41</v>
      </c>
      <c r="D254" s="611">
        <v>21346.959999999999</v>
      </c>
      <c r="E254" s="611">
        <v>17905.41</v>
      </c>
      <c r="F254" s="612">
        <v>21346.959999999999</v>
      </c>
      <c r="N254" s="709"/>
      <c r="O254" s="709"/>
      <c r="P254" s="709"/>
      <c r="Q254" s="709"/>
      <c r="R254" s="709"/>
      <c r="T254" s="610">
        <v>7452.0229716581271</v>
      </c>
      <c r="U254" s="611">
        <v>8884.3559353521614</v>
      </c>
      <c r="V254" s="611">
        <v>7452.0229716581271</v>
      </c>
      <c r="W254" s="612">
        <v>8884.3559353521614</v>
      </c>
      <c r="Z254" s="610">
        <v>8494.9467565909472</v>
      </c>
      <c r="AA254" s="611">
        <v>10127.737249933127</v>
      </c>
      <c r="AB254" s="611">
        <v>8494.9467565909472</v>
      </c>
      <c r="AC254" s="612">
        <v>10127.737249933127</v>
      </c>
      <c r="AF254" s="610">
        <v>9769.44</v>
      </c>
      <c r="AG254" s="611">
        <v>11647.2</v>
      </c>
      <c r="AH254" s="611">
        <v>9769.44</v>
      </c>
      <c r="AI254" s="612">
        <v>11647.2</v>
      </c>
      <c r="AL254" s="610">
        <v>11137.391472116973</v>
      </c>
      <c r="AM254" s="611">
        <v>13278.079040546252</v>
      </c>
      <c r="AN254" s="611">
        <v>11137.391472116973</v>
      </c>
      <c r="AO254" s="612">
        <v>13278.079040546252</v>
      </c>
      <c r="AR254" s="610">
        <v>11415.75</v>
      </c>
      <c r="AS254" s="611">
        <v>13609.93</v>
      </c>
      <c r="AT254" s="611">
        <v>11415.75</v>
      </c>
      <c r="AU254" s="612">
        <v>13609.93</v>
      </c>
      <c r="AV254" s="713"/>
      <c r="AW254" s="713"/>
      <c r="AX254" s="713"/>
    </row>
    <row r="255" spans="1:50" ht="13" hidden="1">
      <c r="A255" s="609">
        <v>26</v>
      </c>
      <c r="B255" s="624" t="str">
        <f t="shared" si="34"/>
        <v>26A</v>
      </c>
      <c r="C255" s="610">
        <v>19091.810000000001</v>
      </c>
      <c r="D255" s="611">
        <v>22175.3</v>
      </c>
      <c r="E255" s="611">
        <v>19091.810000000001</v>
      </c>
      <c r="F255" s="612">
        <v>22175.3</v>
      </c>
      <c r="N255" s="709"/>
      <c r="O255" s="709"/>
      <c r="P255" s="709"/>
      <c r="Q255" s="709"/>
      <c r="R255" s="709"/>
      <c r="T255" s="610">
        <v>7945.7872242483636</v>
      </c>
      <c r="U255" s="611">
        <v>9229.1013482895087</v>
      </c>
      <c r="V255" s="611">
        <v>7945.7872242483636</v>
      </c>
      <c r="W255" s="612">
        <v>9229.1013482895087</v>
      </c>
      <c r="Z255" s="610">
        <v>9057.8141889666531</v>
      </c>
      <c r="AA255" s="611">
        <v>10520.730392683745</v>
      </c>
      <c r="AB255" s="611">
        <v>9057.8141889666531</v>
      </c>
      <c r="AC255" s="612">
        <v>10520.730392683745</v>
      </c>
      <c r="AF255" s="610">
        <v>10416.76</v>
      </c>
      <c r="AG255" s="611">
        <v>12099.16</v>
      </c>
      <c r="AH255" s="611">
        <v>10416.76</v>
      </c>
      <c r="AI255" s="612">
        <v>12099.16</v>
      </c>
      <c r="AL255" s="610">
        <v>11875.344883821381</v>
      </c>
      <c r="AM255" s="611">
        <v>13793.316934565457</v>
      </c>
      <c r="AN255" s="611">
        <v>11875.344883821381</v>
      </c>
      <c r="AO255" s="612">
        <v>13793.316934565457</v>
      </c>
      <c r="AR255" s="610">
        <v>12172.14</v>
      </c>
      <c r="AS255" s="611">
        <v>14138.05</v>
      </c>
      <c r="AT255" s="611">
        <v>12172.14</v>
      </c>
      <c r="AU255" s="612">
        <v>14138.05</v>
      </c>
      <c r="AV255" s="713"/>
      <c r="AW255" s="713"/>
      <c r="AX255" s="713"/>
    </row>
    <row r="256" spans="1:50" ht="13" hidden="1">
      <c r="A256" s="609">
        <v>27</v>
      </c>
      <c r="B256" s="624" t="str">
        <f t="shared" si="34"/>
        <v>27A</v>
      </c>
      <c r="C256" s="610">
        <v>19936.54</v>
      </c>
      <c r="D256" s="611">
        <v>23188.38</v>
      </c>
      <c r="E256" s="611">
        <v>19936.54</v>
      </c>
      <c r="F256" s="612">
        <v>23188.38</v>
      </c>
      <c r="N256" s="709"/>
      <c r="O256" s="709"/>
      <c r="P256" s="709"/>
      <c r="Q256" s="709"/>
      <c r="R256" s="709"/>
      <c r="T256" s="610">
        <v>8297.3563803343932</v>
      </c>
      <c r="U256" s="611">
        <v>9650.7321048228914</v>
      </c>
      <c r="V256" s="611">
        <v>8297.3563803343932</v>
      </c>
      <c r="W256" s="612">
        <v>9650.7321048228914</v>
      </c>
      <c r="Z256" s="610">
        <v>9458.5860697792941</v>
      </c>
      <c r="AA256" s="611">
        <v>11001.369118747052</v>
      </c>
      <c r="AB256" s="611">
        <v>9458.5860697792941</v>
      </c>
      <c r="AC256" s="612">
        <v>11001.369118747052</v>
      </c>
      <c r="AF256" s="610">
        <v>10877.66</v>
      </c>
      <c r="AG256" s="611">
        <v>12651.91</v>
      </c>
      <c r="AH256" s="611">
        <v>10877.66</v>
      </c>
      <c r="AI256" s="612">
        <v>12651.91</v>
      </c>
      <c r="AL256" s="610">
        <v>12400.78117618706</v>
      </c>
      <c r="AM256" s="611">
        <v>14423.463514904333</v>
      </c>
      <c r="AN256" s="611">
        <v>12400.78117618706</v>
      </c>
      <c r="AO256" s="612">
        <v>14423.463514904333</v>
      </c>
      <c r="AR256" s="610">
        <v>12710.71</v>
      </c>
      <c r="AS256" s="611">
        <v>14783.94</v>
      </c>
      <c r="AT256" s="611">
        <v>12710.71</v>
      </c>
      <c r="AU256" s="612">
        <v>14783.94</v>
      </c>
      <c r="AV256" s="713"/>
      <c r="AW256" s="713"/>
      <c r="AX256" s="713"/>
    </row>
    <row r="257" spans="1:50" ht="13" hidden="1">
      <c r="A257" s="609">
        <v>28</v>
      </c>
      <c r="B257" s="624" t="str">
        <f t="shared" si="34"/>
        <v>28A</v>
      </c>
      <c r="C257" s="610">
        <v>21085.5</v>
      </c>
      <c r="D257" s="611">
        <v>24269.53</v>
      </c>
      <c r="E257" s="611">
        <v>21085.5</v>
      </c>
      <c r="F257" s="612">
        <v>24269.53</v>
      </c>
      <c r="N257" s="709"/>
      <c r="O257" s="709"/>
      <c r="P257" s="709"/>
      <c r="Q257" s="709"/>
      <c r="R257" s="709"/>
      <c r="T257" s="610">
        <v>8775.5363746444764</v>
      </c>
      <c r="U257" s="611">
        <v>10100.693781755752</v>
      </c>
      <c r="V257" s="611">
        <v>8775.5363746444764</v>
      </c>
      <c r="W257" s="612">
        <v>10100.693781755752</v>
      </c>
      <c r="Z257" s="610">
        <v>10003.688199386292</v>
      </c>
      <c r="AA257" s="611">
        <v>11514.303727589317</v>
      </c>
      <c r="AB257" s="611">
        <v>10003.688199386292</v>
      </c>
      <c r="AC257" s="612">
        <v>11514.303727589317</v>
      </c>
      <c r="AF257" s="610">
        <v>11504.54</v>
      </c>
      <c r="AG257" s="611">
        <v>13241.8</v>
      </c>
      <c r="AH257" s="611">
        <v>11504.54</v>
      </c>
      <c r="AI257" s="612">
        <v>13241.8</v>
      </c>
      <c r="AL257" s="610">
        <v>13115.443196288297</v>
      </c>
      <c r="AM257" s="611">
        <v>15095.951960325274</v>
      </c>
      <c r="AN257" s="611">
        <v>13115.443196288297</v>
      </c>
      <c r="AO257" s="612">
        <v>15095.951960325274</v>
      </c>
      <c r="AR257" s="610">
        <v>13443.23</v>
      </c>
      <c r="AS257" s="611">
        <v>15473.24</v>
      </c>
      <c r="AT257" s="611">
        <v>13443.23</v>
      </c>
      <c r="AU257" s="612">
        <v>15473.24</v>
      </c>
      <c r="AV257" s="713"/>
      <c r="AW257" s="713"/>
      <c r="AX257" s="713"/>
    </row>
    <row r="258" spans="1:50" ht="13" hidden="1">
      <c r="A258" s="609">
        <v>29</v>
      </c>
      <c r="B258" s="624" t="str">
        <f t="shared" si="34"/>
        <v>29A</v>
      </c>
      <c r="C258" s="610">
        <v>22151.599999999999</v>
      </c>
      <c r="D258" s="611">
        <v>25360.58</v>
      </c>
      <c r="E258" s="611">
        <v>22151.599999999999</v>
      </c>
      <c r="F258" s="612">
        <v>25360.58</v>
      </c>
      <c r="N258" s="709"/>
      <c r="O258" s="709"/>
      <c r="P258" s="709"/>
      <c r="Q258" s="709"/>
      <c r="R258" s="709"/>
      <c r="T258" s="610">
        <v>9219.2373235399318</v>
      </c>
      <c r="U258" s="611">
        <v>10554.776729303161</v>
      </c>
      <c r="V258" s="611">
        <v>9219.2373235399318</v>
      </c>
      <c r="W258" s="612">
        <v>10554.776729303161</v>
      </c>
      <c r="Z258" s="610">
        <v>10509.485880237657</v>
      </c>
      <c r="AA258" s="611">
        <v>12031.936386152205</v>
      </c>
      <c r="AB258" s="611">
        <v>10509.485880237657</v>
      </c>
      <c r="AC258" s="612">
        <v>12031.936386152205</v>
      </c>
      <c r="AF258" s="610">
        <v>12086.22</v>
      </c>
      <c r="AG258" s="611">
        <v>13837.09</v>
      </c>
      <c r="AH258" s="611">
        <v>12086.22</v>
      </c>
      <c r="AI258" s="612">
        <v>13837.09</v>
      </c>
      <c r="AL258" s="610">
        <v>13778.574695371546</v>
      </c>
      <c r="AM258" s="611">
        <v>15774.599834450515</v>
      </c>
      <c r="AN258" s="611">
        <v>13778.574695371546</v>
      </c>
      <c r="AO258" s="612">
        <v>15774.599834450515</v>
      </c>
      <c r="AR258" s="610">
        <v>14122.94</v>
      </c>
      <c r="AS258" s="611">
        <v>16168.85</v>
      </c>
      <c r="AT258" s="611">
        <v>14122.94</v>
      </c>
      <c r="AU258" s="612">
        <v>16168.85</v>
      </c>
      <c r="AV258" s="713"/>
      <c r="AW258" s="713"/>
      <c r="AX258" s="713"/>
    </row>
    <row r="259" spans="1:50" ht="13" hidden="1">
      <c r="A259" s="609">
        <v>30</v>
      </c>
      <c r="B259" s="624" t="str">
        <f t="shared" si="34"/>
        <v>30A</v>
      </c>
      <c r="C259" s="610">
        <v>23143.360000000001</v>
      </c>
      <c r="D259" s="611">
        <v>26560.29</v>
      </c>
      <c r="E259" s="611">
        <v>23143.360000000001</v>
      </c>
      <c r="F259" s="612">
        <v>26560.29</v>
      </c>
      <c r="N259" s="709"/>
      <c r="O259" s="709"/>
      <c r="P259" s="709"/>
      <c r="Q259" s="709"/>
      <c r="R259" s="709"/>
      <c r="T259" s="610">
        <v>9631.9949619195831</v>
      </c>
      <c r="U259" s="611">
        <v>11054.081050588371</v>
      </c>
      <c r="V259" s="611">
        <v>9631.9949619195831</v>
      </c>
      <c r="W259" s="612">
        <v>11054.081050588371</v>
      </c>
      <c r="Z259" s="610">
        <v>10980.009679580047</v>
      </c>
      <c r="AA259" s="611">
        <v>12601.119229627775</v>
      </c>
      <c r="AB259" s="611">
        <v>10980.009679580047</v>
      </c>
      <c r="AC259" s="612">
        <v>12601.119229627775</v>
      </c>
      <c r="AF259" s="610">
        <v>12627.34</v>
      </c>
      <c r="AG259" s="611">
        <v>14491.67</v>
      </c>
      <c r="AH259" s="611">
        <v>12627.34</v>
      </c>
      <c r="AI259" s="612">
        <v>14491.67</v>
      </c>
      <c r="AL259" s="610">
        <v>14395.459992051972</v>
      </c>
      <c r="AM259" s="611">
        <v>16520.833133921369</v>
      </c>
      <c r="AN259" s="611">
        <v>14395.459992051972</v>
      </c>
      <c r="AO259" s="612">
        <v>16520.833133921369</v>
      </c>
      <c r="AR259" s="610">
        <v>14755.24</v>
      </c>
      <c r="AS259" s="611">
        <v>16933.73</v>
      </c>
      <c r="AT259" s="611">
        <v>14755.24</v>
      </c>
      <c r="AU259" s="612">
        <v>16933.73</v>
      </c>
      <c r="AV259" s="713"/>
      <c r="AW259" s="713"/>
      <c r="AX259" s="713"/>
    </row>
    <row r="260" spans="1:50" ht="13" hidden="1">
      <c r="A260" s="609">
        <v>31</v>
      </c>
      <c r="B260" s="624" t="str">
        <f t="shared" si="34"/>
        <v>31A</v>
      </c>
      <c r="C260" s="610">
        <v>24096.43</v>
      </c>
      <c r="D260" s="611">
        <v>27792.3</v>
      </c>
      <c r="E260" s="611">
        <v>24096.43</v>
      </c>
      <c r="F260" s="612">
        <v>27792.3</v>
      </c>
      <c r="N260" s="709"/>
      <c r="O260" s="709"/>
      <c r="P260" s="709"/>
      <c r="Q260" s="709"/>
      <c r="R260" s="709"/>
      <c r="T260" s="610">
        <v>10028.650368116705</v>
      </c>
      <c r="U260" s="611">
        <v>11566.830172730879</v>
      </c>
      <c r="V260" s="611">
        <v>10028.650368116705</v>
      </c>
      <c r="W260" s="612">
        <v>11566.830172730879</v>
      </c>
      <c r="Z260" s="610">
        <v>11432.177710888296</v>
      </c>
      <c r="AA260" s="611">
        <v>13185.62849760178</v>
      </c>
      <c r="AB260" s="611">
        <v>11432.177710888296</v>
      </c>
      <c r="AC260" s="612">
        <v>13185.62849760178</v>
      </c>
      <c r="AF260" s="610">
        <v>13147.35</v>
      </c>
      <c r="AG260" s="611">
        <v>15163.87</v>
      </c>
      <c r="AH260" s="611">
        <v>13147.35</v>
      </c>
      <c r="AI260" s="612">
        <v>15163.87</v>
      </c>
      <c r="AL260" s="610">
        <v>14988.27976128115</v>
      </c>
      <c r="AM260" s="611">
        <v>17287.160307361999</v>
      </c>
      <c r="AN260" s="611">
        <v>14988.27976128115</v>
      </c>
      <c r="AO260" s="612">
        <v>17287.160307361999</v>
      </c>
      <c r="AR260" s="610">
        <v>15362.88</v>
      </c>
      <c r="AS260" s="611">
        <v>17719.21</v>
      </c>
      <c r="AT260" s="611">
        <v>15362.88</v>
      </c>
      <c r="AU260" s="612">
        <v>17719.21</v>
      </c>
      <c r="AV260" s="713"/>
      <c r="AW260" s="713"/>
      <c r="AX260" s="713"/>
    </row>
    <row r="261" spans="1:50" ht="13" hidden="1">
      <c r="A261" s="609">
        <v>32</v>
      </c>
      <c r="B261" s="624" t="str">
        <f t="shared" si="34"/>
        <v>32A</v>
      </c>
      <c r="C261" s="610">
        <v>25578.22</v>
      </c>
      <c r="D261" s="611">
        <v>29044.06</v>
      </c>
      <c r="E261" s="611">
        <v>25578.22</v>
      </c>
      <c r="F261" s="612">
        <v>29044.06</v>
      </c>
      <c r="N261" s="709"/>
      <c r="O261" s="709"/>
      <c r="P261" s="709"/>
      <c r="Q261" s="709"/>
      <c r="R261" s="709"/>
      <c r="T261" s="610">
        <v>10645.354600405462</v>
      </c>
      <c r="U261" s="611">
        <v>12087.799315498036</v>
      </c>
      <c r="V261" s="611">
        <v>10645.354600405462</v>
      </c>
      <c r="W261" s="612">
        <v>12087.799315498036</v>
      </c>
      <c r="Z261" s="610">
        <v>12135.190790394627</v>
      </c>
      <c r="AA261" s="611">
        <v>13779.508192614192</v>
      </c>
      <c r="AB261" s="611">
        <v>12135.190790394627</v>
      </c>
      <c r="AC261" s="612">
        <v>13779.508192614192</v>
      </c>
      <c r="AF261" s="610">
        <v>13955.83</v>
      </c>
      <c r="AG261" s="611">
        <v>15846.85</v>
      </c>
      <c r="AH261" s="611">
        <v>13955.83</v>
      </c>
      <c r="AI261" s="612">
        <v>15846.85</v>
      </c>
      <c r="AL261" s="610">
        <v>15909.972633623836</v>
      </c>
      <c r="AM261" s="611">
        <v>18065.772680130896</v>
      </c>
      <c r="AN261" s="611">
        <v>15909.972633623836</v>
      </c>
      <c r="AO261" s="612">
        <v>18065.772680130896</v>
      </c>
      <c r="AR261" s="610">
        <v>16307.61</v>
      </c>
      <c r="AS261" s="611">
        <v>18517.29</v>
      </c>
      <c r="AT261" s="611">
        <v>16307.61</v>
      </c>
      <c r="AU261" s="612">
        <v>18517.29</v>
      </c>
      <c r="AV261" s="713"/>
      <c r="AW261" s="713"/>
      <c r="AX261" s="713"/>
    </row>
    <row r="262" spans="1:50" ht="13" hidden="1">
      <c r="A262" s="609">
        <v>33</v>
      </c>
      <c r="B262" s="624" t="str">
        <f t="shared" si="34"/>
        <v>33A</v>
      </c>
      <c r="C262" s="610">
        <v>26480.58</v>
      </c>
      <c r="D262" s="611">
        <v>30319.85</v>
      </c>
      <c r="E262" s="611">
        <v>26480.58</v>
      </c>
      <c r="F262" s="612">
        <v>30319.85</v>
      </c>
      <c r="N262" s="709"/>
      <c r="O262" s="709"/>
      <c r="P262" s="709"/>
      <c r="Q262" s="709"/>
      <c r="R262" s="709"/>
      <c r="T262" s="610">
        <v>11020.908200231906</v>
      </c>
      <c r="U262" s="611">
        <v>12618.767606641484</v>
      </c>
      <c r="V262" s="611">
        <v>11020.908200231906</v>
      </c>
      <c r="W262" s="612">
        <v>12618.767606641484</v>
      </c>
      <c r="Z262" s="610">
        <v>12563.303780237147</v>
      </c>
      <c r="AA262" s="611">
        <v>14384.786434489772</v>
      </c>
      <c r="AB262" s="611">
        <v>12563.303780237147</v>
      </c>
      <c r="AC262" s="612">
        <v>14384.786434489772</v>
      </c>
      <c r="AF262" s="610">
        <v>14448.18</v>
      </c>
      <c r="AG262" s="611">
        <v>16542.939999999999</v>
      </c>
      <c r="AH262" s="611">
        <v>14448.18</v>
      </c>
      <c r="AI262" s="612">
        <v>16542.939999999999</v>
      </c>
      <c r="AL262" s="610">
        <v>16471.254781563759</v>
      </c>
      <c r="AM262" s="611">
        <v>18859.329240575807</v>
      </c>
      <c r="AN262" s="611">
        <v>16471.254781563759</v>
      </c>
      <c r="AO262" s="612">
        <v>18859.329240575807</v>
      </c>
      <c r="AR262" s="610">
        <v>16882.919999999998</v>
      </c>
      <c r="AS262" s="611">
        <v>19330.669999999998</v>
      </c>
      <c r="AT262" s="611">
        <v>16882.919999999998</v>
      </c>
      <c r="AU262" s="612">
        <v>19330.669999999998</v>
      </c>
      <c r="AV262" s="713"/>
      <c r="AW262" s="713"/>
      <c r="AX262" s="713"/>
    </row>
    <row r="263" spans="1:50" ht="13" hidden="1">
      <c r="A263" s="609">
        <v>34</v>
      </c>
      <c r="B263" s="624" t="str">
        <f t="shared" si="34"/>
        <v>34A</v>
      </c>
      <c r="C263" s="610">
        <v>27962</v>
      </c>
      <c r="D263" s="611">
        <v>31685.79</v>
      </c>
      <c r="E263" s="611">
        <v>27962</v>
      </c>
      <c r="F263" s="612">
        <v>31685.79</v>
      </c>
      <c r="N263" s="709"/>
      <c r="O263" s="709"/>
      <c r="P263" s="709"/>
      <c r="Q263" s="709"/>
      <c r="R263" s="709"/>
      <c r="T263" s="610">
        <v>11637.454788289511</v>
      </c>
      <c r="U263" s="611">
        <v>13187.255224800452</v>
      </c>
      <c r="V263" s="611">
        <v>11637.454788289511</v>
      </c>
      <c r="W263" s="612">
        <v>13187.255224800452</v>
      </c>
      <c r="Z263" s="610">
        <v>13266.137152923568</v>
      </c>
      <c r="AA263" s="611">
        <v>15032.834899505051</v>
      </c>
      <c r="AB263" s="611">
        <v>13266.137152923568</v>
      </c>
      <c r="AC263" s="612">
        <v>15032.834899505051</v>
      </c>
      <c r="AF263" s="610">
        <v>15256.46</v>
      </c>
      <c r="AG263" s="611">
        <v>17288.21</v>
      </c>
      <c r="AH263" s="611">
        <v>15256.46</v>
      </c>
      <c r="AI263" s="612">
        <v>17288.21</v>
      </c>
      <c r="AL263" s="610">
        <v>17392.712047343983</v>
      </c>
      <c r="AM263" s="611">
        <v>19708.960162886156</v>
      </c>
      <c r="AN263" s="611">
        <v>17392.712047343983</v>
      </c>
      <c r="AO263" s="612">
        <v>19708.960162886156</v>
      </c>
      <c r="AR263" s="610">
        <v>17827.400000000001</v>
      </c>
      <c r="AS263" s="611">
        <v>20201.54</v>
      </c>
      <c r="AT263" s="611">
        <v>17827.400000000001</v>
      </c>
      <c r="AU263" s="612">
        <v>20201.54</v>
      </c>
      <c r="AV263" s="713"/>
      <c r="AW263" s="713"/>
      <c r="AX263" s="713"/>
    </row>
    <row r="264" spans="1:50" ht="13" hidden="1">
      <c r="A264" s="609">
        <v>35</v>
      </c>
      <c r="B264" s="624" t="str">
        <f t="shared" si="34"/>
        <v>35A</v>
      </c>
      <c r="C264" s="610">
        <v>29506.29</v>
      </c>
      <c r="D264" s="611">
        <v>33133.22</v>
      </c>
      <c r="E264" s="611">
        <v>29506.29</v>
      </c>
      <c r="F264" s="612">
        <v>33133.22</v>
      </c>
      <c r="N264" s="709"/>
      <c r="O264" s="709"/>
      <c r="P264" s="709"/>
      <c r="Q264" s="709"/>
      <c r="R264" s="709"/>
      <c r="T264" s="610">
        <v>12280.170318719283</v>
      </c>
      <c r="U264" s="611">
        <v>13789.658873262766</v>
      </c>
      <c r="V264" s="611">
        <v>12280.170318719283</v>
      </c>
      <c r="W264" s="612">
        <v>13789.658873262766</v>
      </c>
      <c r="Z264" s="610">
        <v>13998.801857715825</v>
      </c>
      <c r="AA264" s="611">
        <v>15719.546003204834</v>
      </c>
      <c r="AB264" s="611">
        <v>13998.801857715825</v>
      </c>
      <c r="AC264" s="612">
        <v>15719.546003204834</v>
      </c>
      <c r="AF264" s="610">
        <v>16099.04</v>
      </c>
      <c r="AG264" s="611">
        <v>18077.95</v>
      </c>
      <c r="AH264" s="611">
        <v>16099.04</v>
      </c>
      <c r="AI264" s="612">
        <v>18077.95</v>
      </c>
      <c r="AL264" s="610">
        <v>18353.280002492538</v>
      </c>
      <c r="AM264" s="611">
        <v>20609.28015420571</v>
      </c>
      <c r="AN264" s="611">
        <v>18353.280002492538</v>
      </c>
      <c r="AO264" s="612">
        <v>20609.28015420571</v>
      </c>
      <c r="AR264" s="610">
        <v>18811.98</v>
      </c>
      <c r="AS264" s="611">
        <v>21124.36</v>
      </c>
      <c r="AT264" s="611">
        <v>18811.98</v>
      </c>
      <c r="AU264" s="612">
        <v>21124.36</v>
      </c>
      <c r="AV264" s="713"/>
      <c r="AW264" s="713"/>
      <c r="AX264" s="713"/>
    </row>
    <row r="265" spans="1:50" ht="13" hidden="1">
      <c r="A265" s="609">
        <v>36</v>
      </c>
      <c r="B265" s="624" t="str">
        <f t="shared" si="34"/>
        <v>36A</v>
      </c>
      <c r="C265" s="610">
        <v>30767.63</v>
      </c>
      <c r="D265" s="611">
        <v>34616.85</v>
      </c>
      <c r="E265" s="611">
        <v>30767.63</v>
      </c>
      <c r="F265" s="612">
        <v>34616.85</v>
      </c>
      <c r="N265" s="709"/>
      <c r="O265" s="709"/>
      <c r="P265" s="709"/>
      <c r="Q265" s="709"/>
      <c r="R265" s="709"/>
      <c r="T265" s="610">
        <v>12805.125608474285</v>
      </c>
      <c r="U265" s="611">
        <v>14407.128806102866</v>
      </c>
      <c r="V265" s="611">
        <v>12805.125608474285</v>
      </c>
      <c r="W265" s="612">
        <v>14407.128806102866</v>
      </c>
      <c r="Z265" s="610">
        <v>14597.225568031798</v>
      </c>
      <c r="AA265" s="611">
        <v>16423.431944407894</v>
      </c>
      <c r="AB265" s="611">
        <v>14597.225568031798</v>
      </c>
      <c r="AC265" s="612">
        <v>16423.431944407894</v>
      </c>
      <c r="AF265" s="610">
        <v>16787.25</v>
      </c>
      <c r="AG265" s="611">
        <v>18887.439999999999</v>
      </c>
      <c r="AH265" s="611">
        <v>16787.25</v>
      </c>
      <c r="AI265" s="612">
        <v>18887.439999999999</v>
      </c>
      <c r="AL265" s="610">
        <v>19137.84985548363</v>
      </c>
      <c r="AM265" s="611">
        <v>21532.117401280346</v>
      </c>
      <c r="AN265" s="611">
        <v>19137.84985548363</v>
      </c>
      <c r="AO265" s="612">
        <v>21532.117401280346</v>
      </c>
      <c r="AR265" s="610">
        <v>19616.16</v>
      </c>
      <c r="AS265" s="611">
        <v>22070.26</v>
      </c>
      <c r="AT265" s="611">
        <v>19616.16</v>
      </c>
      <c r="AU265" s="612">
        <v>22070.26</v>
      </c>
      <c r="AV265" s="713"/>
      <c r="AW265" s="713"/>
      <c r="AX265" s="713"/>
    </row>
    <row r="266" spans="1:50" ht="13" hidden="1">
      <c r="A266" s="609">
        <v>37</v>
      </c>
      <c r="B266" s="624" t="str">
        <f t="shared" si="34"/>
        <v>37A</v>
      </c>
      <c r="C266" s="610">
        <v>32445.19</v>
      </c>
      <c r="D266" s="611">
        <v>36271.96</v>
      </c>
      <c r="E266" s="611">
        <v>32445.19</v>
      </c>
      <c r="F266" s="612">
        <v>36271.96</v>
      </c>
      <c r="N266" s="709"/>
      <c r="O266" s="709"/>
      <c r="P266" s="709"/>
      <c r="Q266" s="709"/>
      <c r="R266" s="709"/>
      <c r="T266" s="610">
        <v>13503.309387667105</v>
      </c>
      <c r="U266" s="611">
        <v>15095.966534448478</v>
      </c>
      <c r="V266" s="611">
        <v>13503.309387667105</v>
      </c>
      <c r="W266" s="612">
        <v>15095.966534448478</v>
      </c>
      <c r="Z266" s="610">
        <v>15393.121401031189</v>
      </c>
      <c r="AA266" s="611">
        <v>17208.67373022663</v>
      </c>
      <c r="AB266" s="611">
        <v>15393.121401031189</v>
      </c>
      <c r="AC266" s="612">
        <v>17208.67373022663</v>
      </c>
      <c r="AF266" s="610">
        <v>17702.55</v>
      </c>
      <c r="AG266" s="611">
        <v>19790.490000000002</v>
      </c>
      <c r="AH266" s="611">
        <v>17702.55</v>
      </c>
      <c r="AI266" s="612">
        <v>19790.490000000002</v>
      </c>
      <c r="AL266" s="610">
        <v>20181.31766253768</v>
      </c>
      <c r="AM266" s="611">
        <v>22561.617104988567</v>
      </c>
      <c r="AN266" s="611">
        <v>20181.31766253768</v>
      </c>
      <c r="AO266" s="612">
        <v>22561.617104988567</v>
      </c>
      <c r="AR266" s="610">
        <v>20685.7</v>
      </c>
      <c r="AS266" s="611">
        <v>23125.49</v>
      </c>
      <c r="AT266" s="611">
        <v>20685.7</v>
      </c>
      <c r="AU266" s="612">
        <v>23125.49</v>
      </c>
      <c r="AV266" s="713"/>
      <c r="AW266" s="713"/>
      <c r="AX266" s="713"/>
    </row>
    <row r="267" spans="1:50" ht="13" hidden="1">
      <c r="A267" s="609">
        <v>38</v>
      </c>
      <c r="B267" s="624" t="str">
        <f t="shared" si="34"/>
        <v>38A</v>
      </c>
      <c r="C267" s="610">
        <v>34175.25</v>
      </c>
      <c r="D267" s="611">
        <v>37867.339999999997</v>
      </c>
      <c r="E267" s="611">
        <v>34175.25</v>
      </c>
      <c r="F267" s="612">
        <v>37867.339999999997</v>
      </c>
      <c r="N267" s="709"/>
      <c r="O267" s="709"/>
      <c r="P267" s="709"/>
      <c r="Q267" s="709"/>
      <c r="R267" s="709"/>
      <c r="T267" s="610">
        <v>14223.338153177485</v>
      </c>
      <c r="U267" s="611">
        <v>15759.941515480084</v>
      </c>
      <c r="V267" s="611">
        <v>14223.338153177485</v>
      </c>
      <c r="W267" s="612">
        <v>15759.941515480084</v>
      </c>
      <c r="Z267" s="610">
        <v>16213.919464790193</v>
      </c>
      <c r="AA267" s="611">
        <v>17965.573183304528</v>
      </c>
      <c r="AB267" s="611">
        <v>16213.919464790193</v>
      </c>
      <c r="AC267" s="612">
        <v>17965.573183304528</v>
      </c>
      <c r="AF267" s="610">
        <v>18646.5</v>
      </c>
      <c r="AG267" s="611">
        <v>20660.95</v>
      </c>
      <c r="AH267" s="611">
        <v>18646.5</v>
      </c>
      <c r="AI267" s="612">
        <v>20660.95</v>
      </c>
      <c r="AL267" s="610">
        <v>21257.433807532583</v>
      </c>
      <c r="AM267" s="611">
        <v>23553.958287988837</v>
      </c>
      <c r="AN267" s="611">
        <v>21257.433807532583</v>
      </c>
      <c r="AO267" s="612">
        <v>23553.958287988837</v>
      </c>
      <c r="AR267" s="610">
        <v>21788.71</v>
      </c>
      <c r="AS267" s="611">
        <v>24142.639999999999</v>
      </c>
      <c r="AT267" s="611">
        <v>21788.71</v>
      </c>
      <c r="AU267" s="612">
        <v>24142.639999999999</v>
      </c>
      <c r="AV267" s="713"/>
      <c r="AW267" s="713"/>
      <c r="AX267" s="713"/>
    </row>
    <row r="268" spans="1:50" ht="13" hidden="1">
      <c r="A268" s="609">
        <v>39</v>
      </c>
      <c r="B268" s="624" t="str">
        <f t="shared" si="34"/>
        <v>39A</v>
      </c>
      <c r="C268" s="610">
        <v>36041.18</v>
      </c>
      <c r="D268" s="611">
        <v>39583.699999999997</v>
      </c>
      <c r="E268" s="611">
        <v>36041.18</v>
      </c>
      <c r="F268" s="612">
        <v>39583.699999999997</v>
      </c>
      <c r="N268" s="709"/>
      <c r="O268" s="709"/>
      <c r="P268" s="709"/>
      <c r="Q268" s="709"/>
      <c r="R268" s="709"/>
      <c r="T268" s="610">
        <v>14999.916156464562</v>
      </c>
      <c r="U268" s="611">
        <v>16474.272568064334</v>
      </c>
      <c r="V268" s="611">
        <v>14999.916156464562</v>
      </c>
      <c r="W268" s="612">
        <v>16474.272568064334</v>
      </c>
      <c r="Z268" s="610">
        <v>17099.180932092881</v>
      </c>
      <c r="AA268" s="611">
        <v>18779.876129143748</v>
      </c>
      <c r="AB268" s="611">
        <v>17099.180932092881</v>
      </c>
      <c r="AC268" s="612">
        <v>18779.876129143748</v>
      </c>
      <c r="AF268" s="610">
        <v>19664.57</v>
      </c>
      <c r="AG268" s="611">
        <v>21597.42</v>
      </c>
      <c r="AH268" s="611">
        <v>19664.57</v>
      </c>
      <c r="AI268" s="612">
        <v>21597.42</v>
      </c>
      <c r="AL268" s="610">
        <v>22418.065392289849</v>
      </c>
      <c r="AM268" s="611">
        <v>24621.558938654838</v>
      </c>
      <c r="AN268" s="611">
        <v>22418.065392289849</v>
      </c>
      <c r="AO268" s="612">
        <v>24621.558938654838</v>
      </c>
      <c r="AR268" s="610">
        <v>22978.35</v>
      </c>
      <c r="AS268" s="611">
        <v>25236.92</v>
      </c>
      <c r="AT268" s="611">
        <v>22978.35</v>
      </c>
      <c r="AU268" s="612">
        <v>25236.92</v>
      </c>
      <c r="AV268" s="713"/>
      <c r="AW268" s="713"/>
      <c r="AX268" s="713"/>
    </row>
    <row r="269" spans="1:50" ht="13" hidden="1">
      <c r="A269" s="609">
        <v>40</v>
      </c>
      <c r="B269" s="624" t="str">
        <f t="shared" si="34"/>
        <v>40A</v>
      </c>
      <c r="C269" s="610">
        <v>37308.69</v>
      </c>
      <c r="D269" s="611">
        <v>41362.29</v>
      </c>
      <c r="E269" s="611">
        <v>37308.69</v>
      </c>
      <c r="F269" s="612">
        <v>41362.29</v>
      </c>
      <c r="N269" s="709"/>
      <c r="O269" s="709"/>
      <c r="P269" s="709"/>
      <c r="Q269" s="709"/>
      <c r="R269" s="709"/>
      <c r="T269" s="610">
        <v>15527.438795126991</v>
      </c>
      <c r="U269" s="611">
        <v>17214.50231576735</v>
      </c>
      <c r="V269" s="611">
        <v>15527.438795126991</v>
      </c>
      <c r="W269" s="612">
        <v>17214.50231576735</v>
      </c>
      <c r="Z269" s="610">
        <v>17700.531296333185</v>
      </c>
      <c r="AA269" s="611">
        <v>19623.702338254683</v>
      </c>
      <c r="AB269" s="611">
        <v>17700.531296333185</v>
      </c>
      <c r="AC269" s="612">
        <v>19623.702338254683</v>
      </c>
      <c r="AF269" s="610">
        <v>20356.14</v>
      </c>
      <c r="AG269" s="611">
        <v>22567.85</v>
      </c>
      <c r="AH269" s="611">
        <v>20356.14</v>
      </c>
      <c r="AI269" s="612">
        <v>22567.85</v>
      </c>
      <c r="AL269" s="610">
        <v>23206.472266441</v>
      </c>
      <c r="AM269" s="611">
        <v>25727.866381724947</v>
      </c>
      <c r="AN269" s="611">
        <v>23206.472266441</v>
      </c>
      <c r="AO269" s="612">
        <v>25727.866381724947</v>
      </c>
      <c r="AR269" s="610">
        <v>23786.46</v>
      </c>
      <c r="AS269" s="611">
        <v>26370.880000000001</v>
      </c>
      <c r="AT269" s="611">
        <v>23786.46</v>
      </c>
      <c r="AU269" s="612">
        <v>26370.880000000001</v>
      </c>
      <c r="AV269" s="713"/>
      <c r="AW269" s="713"/>
      <c r="AX269" s="713"/>
    </row>
    <row r="270" spans="1:50" ht="13" hidden="1">
      <c r="A270" s="609">
        <v>41</v>
      </c>
      <c r="B270" s="624" t="str">
        <f t="shared" si="34"/>
        <v>41A</v>
      </c>
      <c r="C270" s="610">
        <v>38696.870000000003</v>
      </c>
      <c r="D270" s="611">
        <v>43227.79</v>
      </c>
      <c r="E270" s="611">
        <v>38696.870000000003</v>
      </c>
      <c r="F270" s="612">
        <v>43227.79</v>
      </c>
      <c r="N270" s="709"/>
      <c r="O270" s="709"/>
      <c r="P270" s="709"/>
      <c r="Q270" s="709"/>
      <c r="R270" s="709"/>
      <c r="T270" s="610">
        <v>16105.182381715358</v>
      </c>
      <c r="U270" s="611">
        <v>17990.900154218816</v>
      </c>
      <c r="V270" s="611">
        <v>16105.182381715358</v>
      </c>
      <c r="W270" s="612">
        <v>17990.900154218816</v>
      </c>
      <c r="Z270" s="610">
        <v>18359.131118917736</v>
      </c>
      <c r="AA270" s="611">
        <v>20508.758426334611</v>
      </c>
      <c r="AB270" s="611">
        <v>18359.131118917736</v>
      </c>
      <c r="AC270" s="612">
        <v>20508.758426334611</v>
      </c>
      <c r="AF270" s="610">
        <v>21113.55</v>
      </c>
      <c r="AG270" s="611">
        <v>23585.69</v>
      </c>
      <c r="AH270" s="611">
        <v>21113.55</v>
      </c>
      <c r="AI270" s="612">
        <v>23585.69</v>
      </c>
      <c r="AL270" s="610">
        <v>24069.936659775769</v>
      </c>
      <c r="AM270" s="611">
        <v>26888.228701839405</v>
      </c>
      <c r="AN270" s="611">
        <v>24069.936659775769</v>
      </c>
      <c r="AO270" s="612">
        <v>26888.228701839405</v>
      </c>
      <c r="AR270" s="610">
        <v>24671.51</v>
      </c>
      <c r="AS270" s="611">
        <v>27560.240000000002</v>
      </c>
      <c r="AT270" s="611">
        <v>24671.51</v>
      </c>
      <c r="AU270" s="612">
        <v>27560.240000000002</v>
      </c>
      <c r="AV270" s="713"/>
      <c r="AW270" s="713"/>
      <c r="AX270" s="713"/>
    </row>
    <row r="271" spans="1:50" ht="13" hidden="1">
      <c r="A271" s="609">
        <v>42</v>
      </c>
      <c r="B271" s="624" t="str">
        <f t="shared" si="34"/>
        <v>42A</v>
      </c>
      <c r="C271" s="610">
        <v>40198.410000000003</v>
      </c>
      <c r="D271" s="611">
        <v>45169.15</v>
      </c>
      <c r="E271" s="611">
        <v>40198.410000000003</v>
      </c>
      <c r="F271" s="612">
        <v>45169.15</v>
      </c>
      <c r="N271" s="709"/>
      <c r="O271" s="709"/>
      <c r="P271" s="709"/>
      <c r="Q271" s="709"/>
      <c r="R271" s="709"/>
      <c r="T271" s="610">
        <v>16730.106634628766</v>
      </c>
      <c r="U271" s="611">
        <v>18798.871880110721</v>
      </c>
      <c r="V271" s="611">
        <v>16730.106634628766</v>
      </c>
      <c r="W271" s="612">
        <v>18798.871880110721</v>
      </c>
      <c r="Z271" s="610">
        <v>19071.514625462478</v>
      </c>
      <c r="AA271" s="611">
        <v>21429.807223203177</v>
      </c>
      <c r="AB271" s="611">
        <v>19071.514625462478</v>
      </c>
      <c r="AC271" s="612">
        <v>21429.807223203177</v>
      </c>
      <c r="AF271" s="610">
        <v>21932.82</v>
      </c>
      <c r="AG271" s="611">
        <v>24644.92</v>
      </c>
      <c r="AH271" s="611">
        <v>21932.82</v>
      </c>
      <c r="AI271" s="612">
        <v>24644.92</v>
      </c>
      <c r="AL271" s="610">
        <v>25003.914731446723</v>
      </c>
      <c r="AM271" s="611">
        <v>28095.779650606517</v>
      </c>
      <c r="AN271" s="611">
        <v>25003.914731446723</v>
      </c>
      <c r="AO271" s="612">
        <v>28095.779650606517</v>
      </c>
      <c r="AR271" s="610">
        <v>25628.83</v>
      </c>
      <c r="AS271" s="611">
        <v>28797.97</v>
      </c>
      <c r="AT271" s="611">
        <v>25628.83</v>
      </c>
      <c r="AU271" s="612">
        <v>28797.97</v>
      </c>
      <c r="AV271" s="713"/>
      <c r="AW271" s="713"/>
      <c r="AX271" s="713"/>
    </row>
    <row r="272" spans="1:50" ht="13" hidden="1">
      <c r="A272" s="609">
        <v>43</v>
      </c>
      <c r="B272" s="624" t="str">
        <f t="shared" si="34"/>
        <v>43A</v>
      </c>
      <c r="C272" s="610">
        <v>41803.629999999997</v>
      </c>
      <c r="D272" s="611">
        <v>47188.7</v>
      </c>
      <c r="E272" s="611">
        <v>41803.629999999997</v>
      </c>
      <c r="F272" s="612">
        <v>47188.7</v>
      </c>
      <c r="N272" s="709"/>
      <c r="O272" s="709"/>
      <c r="P272" s="709"/>
      <c r="Q272" s="709"/>
      <c r="R272" s="709"/>
      <c r="T272" s="610">
        <v>17398.180365670476</v>
      </c>
      <c r="U272" s="611">
        <v>19639.385879434449</v>
      </c>
      <c r="V272" s="611">
        <v>17398.180365670476</v>
      </c>
      <c r="W272" s="612">
        <v>19639.385879434449</v>
      </c>
      <c r="Z272" s="610">
        <v>19833.086455858167</v>
      </c>
      <c r="AA272" s="611">
        <v>22387.952642182696</v>
      </c>
      <c r="AB272" s="611">
        <v>19833.086455858167</v>
      </c>
      <c r="AC272" s="612">
        <v>22387.952642182696</v>
      </c>
      <c r="AF272" s="610">
        <v>22808.65</v>
      </c>
      <c r="AG272" s="611">
        <v>25746.82</v>
      </c>
      <c r="AH272" s="611">
        <v>22808.65</v>
      </c>
      <c r="AI272" s="612">
        <v>25746.82</v>
      </c>
      <c r="AL272" s="610">
        <v>26002.381685070955</v>
      </c>
      <c r="AM272" s="611">
        <v>29351.966525481399</v>
      </c>
      <c r="AN272" s="611">
        <v>26002.381685070955</v>
      </c>
      <c r="AO272" s="612">
        <v>29351.966525481399</v>
      </c>
      <c r="AR272" s="610">
        <v>26652.25</v>
      </c>
      <c r="AS272" s="611">
        <v>30085.55</v>
      </c>
      <c r="AT272" s="611">
        <v>26652.25</v>
      </c>
      <c r="AU272" s="612">
        <v>30085.55</v>
      </c>
      <c r="AV272" s="713"/>
      <c r="AW272" s="713"/>
      <c r="AX272" s="713"/>
    </row>
    <row r="273" spans="1:50" ht="13" hidden="1">
      <c r="A273" s="609">
        <v>44</v>
      </c>
      <c r="B273" s="624" t="str">
        <f t="shared" si="34"/>
        <v>44A</v>
      </c>
      <c r="C273" s="610">
        <v>43602.46</v>
      </c>
      <c r="D273" s="611">
        <v>49581.41</v>
      </c>
      <c r="E273" s="611">
        <v>43602.46</v>
      </c>
      <c r="F273" s="612">
        <v>49581.41</v>
      </c>
      <c r="N273" s="709"/>
      <c r="O273" s="709"/>
      <c r="P273" s="709"/>
      <c r="Q273" s="709"/>
      <c r="R273" s="709"/>
      <c r="T273" s="610">
        <v>18146.83281943819</v>
      </c>
      <c r="U273" s="611">
        <v>20635.201967052933</v>
      </c>
      <c r="V273" s="611">
        <v>18146.83281943819</v>
      </c>
      <c r="W273" s="612">
        <v>20635.201967052933</v>
      </c>
      <c r="Z273" s="610">
        <v>20686.514143633103</v>
      </c>
      <c r="AA273" s="611">
        <v>23523.134951181062</v>
      </c>
      <c r="AB273" s="611">
        <v>20686.514143633103</v>
      </c>
      <c r="AC273" s="612">
        <v>23523.134951181062</v>
      </c>
      <c r="AF273" s="610">
        <v>23790.11</v>
      </c>
      <c r="AG273" s="611">
        <v>27052.31</v>
      </c>
      <c r="AH273" s="611">
        <v>23790.11</v>
      </c>
      <c r="AI273" s="612">
        <v>27052.31</v>
      </c>
      <c r="AL273" s="610">
        <v>27121.277250192485</v>
      </c>
      <c r="AM273" s="611">
        <v>30840.259522459532</v>
      </c>
      <c r="AN273" s="611">
        <v>27121.277250192485</v>
      </c>
      <c r="AO273" s="612">
        <v>30840.259522459532</v>
      </c>
      <c r="AR273" s="610">
        <v>27799.11</v>
      </c>
      <c r="AS273" s="611">
        <v>31611.040000000001</v>
      </c>
      <c r="AT273" s="611">
        <v>27799.11</v>
      </c>
      <c r="AU273" s="612">
        <v>31611.040000000001</v>
      </c>
      <c r="AV273" s="713"/>
      <c r="AW273" s="713"/>
      <c r="AX273" s="713"/>
    </row>
    <row r="274" spans="1:50" ht="13" hidden="1">
      <c r="A274" s="609">
        <v>45</v>
      </c>
      <c r="B274" s="624" t="str">
        <f t="shared" si="34"/>
        <v>45A</v>
      </c>
      <c r="C274" s="610">
        <v>45563.03</v>
      </c>
      <c r="D274" s="611">
        <v>51356.49</v>
      </c>
      <c r="E274" s="611">
        <v>45563.03</v>
      </c>
      <c r="F274" s="612">
        <v>51356.49</v>
      </c>
      <c r="N274" s="709"/>
      <c r="O274" s="709"/>
      <c r="P274" s="709"/>
      <c r="Q274" s="709"/>
      <c r="R274" s="709"/>
      <c r="T274" s="610">
        <v>18962.799359910237</v>
      </c>
      <c r="U274" s="611">
        <v>21373.96787546662</v>
      </c>
      <c r="V274" s="611">
        <v>18962.799359910237</v>
      </c>
      <c r="W274" s="612">
        <v>21373.96787546662</v>
      </c>
      <c r="Z274" s="610">
        <v>21616.67664351163</v>
      </c>
      <c r="AA274" s="611">
        <v>24365.292454107064</v>
      </c>
      <c r="AB274" s="611">
        <v>21616.67664351163</v>
      </c>
      <c r="AC274" s="612">
        <v>24365.292454107064</v>
      </c>
      <c r="AF274" s="610">
        <v>24859.83</v>
      </c>
      <c r="AG274" s="611">
        <v>28020.82</v>
      </c>
      <c r="AH274" s="611">
        <v>24859.83</v>
      </c>
      <c r="AI274" s="612">
        <v>28020.82</v>
      </c>
      <c r="AL274" s="610">
        <v>28340.77681748434</v>
      </c>
      <c r="AM274" s="611">
        <v>31944.379190306794</v>
      </c>
      <c r="AN274" s="611">
        <v>28340.77681748434</v>
      </c>
      <c r="AO274" s="612">
        <v>31944.379190306794</v>
      </c>
      <c r="AR274" s="610">
        <v>29049.09</v>
      </c>
      <c r="AS274" s="611">
        <v>32742.76</v>
      </c>
      <c r="AT274" s="611">
        <v>29049.09</v>
      </c>
      <c r="AU274" s="612">
        <v>32742.76</v>
      </c>
      <c r="AV274" s="713"/>
      <c r="AW274" s="713"/>
      <c r="AX274" s="713"/>
    </row>
    <row r="275" spans="1:50" ht="13" hidden="1">
      <c r="A275" s="609">
        <v>46</v>
      </c>
      <c r="B275" s="624" t="str">
        <f t="shared" si="34"/>
        <v>46A</v>
      </c>
      <c r="C275" s="610">
        <v>47712.5</v>
      </c>
      <c r="D275" s="611">
        <v>53288.7</v>
      </c>
      <c r="E275" s="611">
        <v>47712.5</v>
      </c>
      <c r="F275" s="612">
        <v>53288.7</v>
      </c>
      <c r="N275" s="709"/>
      <c r="O275" s="709"/>
      <c r="P275" s="709"/>
      <c r="Q275" s="709"/>
      <c r="R275" s="709"/>
      <c r="T275" s="610">
        <v>19857.385330521043</v>
      </c>
      <c r="U275" s="611">
        <v>22178.133619206292</v>
      </c>
      <c r="V275" s="611">
        <v>19857.385330521043</v>
      </c>
      <c r="W275" s="612">
        <v>22178.133619206292</v>
      </c>
      <c r="Z275" s="610">
        <v>22636.461501721897</v>
      </c>
      <c r="AA275" s="611">
        <v>25282.002614894831</v>
      </c>
      <c r="AB275" s="611">
        <v>22636.461501721897</v>
      </c>
      <c r="AC275" s="612">
        <v>25282.002614894831</v>
      </c>
      <c r="AF275" s="610">
        <v>26032.61</v>
      </c>
      <c r="AG275" s="611">
        <v>29075.06</v>
      </c>
      <c r="AH275" s="611">
        <v>26032.61</v>
      </c>
      <c r="AI275" s="612">
        <v>29075.06</v>
      </c>
      <c r="AL275" s="610">
        <v>29677.776743282939</v>
      </c>
      <c r="AM275" s="611">
        <v>33146.241923494526</v>
      </c>
      <c r="AN275" s="611">
        <v>29677.776743282939</v>
      </c>
      <c r="AO275" s="612">
        <v>33146.241923494526</v>
      </c>
      <c r="AR275" s="610">
        <v>30419.5</v>
      </c>
      <c r="AS275" s="611">
        <v>33974.660000000003</v>
      </c>
      <c r="AT275" s="611">
        <v>30419.5</v>
      </c>
      <c r="AU275" s="612">
        <v>33974.660000000003</v>
      </c>
      <c r="AV275" s="713"/>
      <c r="AW275" s="713"/>
      <c r="AX275" s="713"/>
    </row>
    <row r="276" spans="1:50" ht="13" hidden="1">
      <c r="A276" s="609">
        <v>47</v>
      </c>
      <c r="B276" s="624" t="str">
        <f t="shared" si="34"/>
        <v>47A</v>
      </c>
      <c r="C276" s="610">
        <v>50072.63</v>
      </c>
      <c r="D276" s="611">
        <v>56005.27</v>
      </c>
      <c r="E276" s="611">
        <v>50072.63</v>
      </c>
      <c r="F276" s="612">
        <v>56005.27</v>
      </c>
      <c r="N276" s="709"/>
      <c r="O276" s="709"/>
      <c r="P276" s="709"/>
      <c r="Q276" s="709"/>
      <c r="R276" s="709"/>
      <c r="T276" s="610">
        <v>20839.644014259964</v>
      </c>
      <c r="U276" s="611">
        <v>23308.735524464562</v>
      </c>
      <c r="V276" s="611">
        <v>20839.644014259964</v>
      </c>
      <c r="W276" s="612">
        <v>23308.735524464562</v>
      </c>
      <c r="Z276" s="610">
        <v>23756.18902420759</v>
      </c>
      <c r="AA276" s="611">
        <v>26570.834254920261</v>
      </c>
      <c r="AB276" s="611">
        <v>23756.18902420759</v>
      </c>
      <c r="AC276" s="612">
        <v>26570.834254920261</v>
      </c>
      <c r="AF276" s="610">
        <v>27320.33</v>
      </c>
      <c r="AG276" s="611">
        <v>30557.26</v>
      </c>
      <c r="AH276" s="611">
        <v>27320.33</v>
      </c>
      <c r="AI276" s="612">
        <v>30557.26</v>
      </c>
      <c r="AL276" s="610">
        <v>31145.807575889525</v>
      </c>
      <c r="AM276" s="611">
        <v>34835.978531375767</v>
      </c>
      <c r="AN276" s="611">
        <v>31145.807575889525</v>
      </c>
      <c r="AO276" s="612">
        <v>34835.978531375767</v>
      </c>
      <c r="AR276" s="610">
        <v>31924.23</v>
      </c>
      <c r="AS276" s="611">
        <v>35706.620000000003</v>
      </c>
      <c r="AT276" s="611">
        <v>31924.23</v>
      </c>
      <c r="AU276" s="612">
        <v>35706.620000000003</v>
      </c>
      <c r="AV276" s="713"/>
      <c r="AW276" s="713"/>
      <c r="AX276" s="713"/>
    </row>
    <row r="277" spans="1:50" ht="13" hidden="1">
      <c r="A277" s="609">
        <v>48</v>
      </c>
      <c r="B277" s="624" t="str">
        <f t="shared" si="34"/>
        <v>48A</v>
      </c>
      <c r="C277" s="610">
        <v>52638.879999999997</v>
      </c>
      <c r="D277" s="611">
        <v>58256.25</v>
      </c>
      <c r="E277" s="611">
        <v>52638.879999999997</v>
      </c>
      <c r="F277" s="612">
        <v>58256.25</v>
      </c>
      <c r="N277" s="709"/>
      <c r="O277" s="709"/>
      <c r="P277" s="709"/>
      <c r="Q277" s="709"/>
      <c r="R277" s="709"/>
      <c r="T277" s="610">
        <v>21907.6836803531</v>
      </c>
      <c r="U277" s="611">
        <v>24245.570149025625</v>
      </c>
      <c r="V277" s="611">
        <v>21907.6836803531</v>
      </c>
      <c r="W277" s="612">
        <v>24245.570149025625</v>
      </c>
      <c r="Z277" s="610">
        <v>24973.702729129731</v>
      </c>
      <c r="AA277" s="611">
        <v>27638.780540867676</v>
      </c>
      <c r="AB277" s="611">
        <v>24973.702729129731</v>
      </c>
      <c r="AC277" s="612">
        <v>27638.780540867676</v>
      </c>
      <c r="AF277" s="610">
        <v>28720.51</v>
      </c>
      <c r="AG277" s="611">
        <v>31785.43</v>
      </c>
      <c r="AH277" s="611">
        <v>28720.51</v>
      </c>
      <c r="AI277" s="612">
        <v>31785.43</v>
      </c>
      <c r="AL277" s="610">
        <v>32742.042036554587</v>
      </c>
      <c r="AM277" s="611">
        <v>36236.121015913588</v>
      </c>
      <c r="AN277" s="611">
        <v>32742.042036554587</v>
      </c>
      <c r="AO277" s="612">
        <v>36236.121015913588</v>
      </c>
      <c r="AR277" s="610">
        <v>33560.35</v>
      </c>
      <c r="AS277" s="611">
        <v>37141.760000000002</v>
      </c>
      <c r="AT277" s="611">
        <v>33560.35</v>
      </c>
      <c r="AU277" s="612">
        <v>37141.760000000002</v>
      </c>
      <c r="AV277" s="713"/>
      <c r="AW277" s="713"/>
      <c r="AX277" s="713"/>
    </row>
    <row r="278" spans="1:50" ht="13" hidden="1">
      <c r="A278" s="609">
        <v>49</v>
      </c>
      <c r="B278" s="624" t="str">
        <f t="shared" si="34"/>
        <v>49A</v>
      </c>
      <c r="C278" s="610">
        <v>55452.89</v>
      </c>
      <c r="D278" s="611">
        <v>60684.02</v>
      </c>
      <c r="E278" s="611">
        <v>55452.89</v>
      </c>
      <c r="F278" s="612">
        <v>60684.02</v>
      </c>
      <c r="N278" s="709"/>
      <c r="O278" s="709"/>
      <c r="P278" s="709"/>
      <c r="Q278" s="709"/>
      <c r="R278" s="709"/>
      <c r="T278" s="610">
        <v>23078.845194227793</v>
      </c>
      <c r="U278" s="611">
        <v>25255.979588328417</v>
      </c>
      <c r="V278" s="611">
        <v>23078.845194227793</v>
      </c>
      <c r="W278" s="612">
        <v>25255.979588328417</v>
      </c>
      <c r="Z278" s="610">
        <v>26308.770366678928</v>
      </c>
      <c r="AA278" s="611">
        <v>28790.598566909568</v>
      </c>
      <c r="AB278" s="611">
        <v>26308.770366678928</v>
      </c>
      <c r="AC278" s="612">
        <v>28790.598566909568</v>
      </c>
      <c r="AF278" s="610">
        <v>30255.88</v>
      </c>
      <c r="AG278" s="611">
        <v>33110.050000000003</v>
      </c>
      <c r="AH278" s="611">
        <v>30255.88</v>
      </c>
      <c r="AI278" s="612">
        <v>33110.050000000003</v>
      </c>
      <c r="AL278" s="610">
        <v>34492.396847148695</v>
      </c>
      <c r="AM278" s="611">
        <v>37746.224448959416</v>
      </c>
      <c r="AN278" s="611">
        <v>34492.396847148695</v>
      </c>
      <c r="AO278" s="612">
        <v>37746.224448959416</v>
      </c>
      <c r="AR278" s="610">
        <v>35354.46</v>
      </c>
      <c r="AS278" s="611">
        <v>38689.599999999999</v>
      </c>
      <c r="AT278" s="611">
        <v>35354.46</v>
      </c>
      <c r="AU278" s="612">
        <v>38689.599999999999</v>
      </c>
      <c r="AV278" s="713"/>
      <c r="AW278" s="713"/>
      <c r="AX278" s="713"/>
    </row>
    <row r="279" spans="1:50" ht="13" hidden="1">
      <c r="A279" s="609">
        <v>50</v>
      </c>
      <c r="B279" s="624" t="str">
        <f t="shared" si="34"/>
        <v>50A</v>
      </c>
      <c r="C279" s="610">
        <v>58546.29</v>
      </c>
      <c r="D279" s="611">
        <v>63259.79</v>
      </c>
      <c r="E279" s="611">
        <v>58546.29</v>
      </c>
      <c r="F279" s="612">
        <v>63259.79</v>
      </c>
      <c r="N279" s="709"/>
      <c r="O279" s="709"/>
      <c r="P279" s="709"/>
      <c r="Q279" s="709"/>
      <c r="R279" s="709"/>
      <c r="T279" s="610">
        <v>24366.280588883488</v>
      </c>
      <c r="U279" s="611">
        <v>26327.982880804946</v>
      </c>
      <c r="V279" s="611">
        <v>24366.280588883488</v>
      </c>
      <c r="W279" s="612">
        <v>26327.982880804946</v>
      </c>
      <c r="Z279" s="610">
        <v>27776.384620116645</v>
      </c>
      <c r="AA279" s="611">
        <v>30012.630614732418</v>
      </c>
      <c r="AB279" s="611">
        <v>27776.384620116645</v>
      </c>
      <c r="AC279" s="612">
        <v>30012.630614732418</v>
      </c>
      <c r="AF279" s="610">
        <v>31943.68</v>
      </c>
      <c r="AG279" s="611">
        <v>34515.43</v>
      </c>
      <c r="AH279" s="611">
        <v>31943.68</v>
      </c>
      <c r="AI279" s="612">
        <v>34515.43</v>
      </c>
      <c r="AL279" s="610">
        <v>36416.528326597079</v>
      </c>
      <c r="AM279" s="611">
        <v>39348.382731766324</v>
      </c>
      <c r="AN279" s="611">
        <v>36416.528326597079</v>
      </c>
      <c r="AO279" s="612">
        <v>39348.382731766324</v>
      </c>
      <c r="AR279" s="610">
        <v>37326.68</v>
      </c>
      <c r="AS279" s="611">
        <v>40331.81</v>
      </c>
      <c r="AT279" s="611">
        <v>37326.68</v>
      </c>
      <c r="AU279" s="612">
        <v>40331.81</v>
      </c>
      <c r="AV279" s="713"/>
      <c r="AW279" s="713"/>
      <c r="AX279" s="713"/>
    </row>
    <row r="280" spans="1:50" ht="13" hidden="1">
      <c r="A280" s="609">
        <v>51</v>
      </c>
      <c r="B280" s="624" t="str">
        <f t="shared" si="34"/>
        <v>51A</v>
      </c>
      <c r="C280" s="610">
        <v>61886.65</v>
      </c>
      <c r="D280" s="611">
        <v>66018.399999999994</v>
      </c>
      <c r="E280" s="611">
        <v>61886.65</v>
      </c>
      <c r="F280" s="612">
        <v>66018.399999999994</v>
      </c>
      <c r="N280" s="709"/>
      <c r="O280" s="709"/>
      <c r="P280" s="709"/>
      <c r="Q280" s="709"/>
      <c r="R280" s="709"/>
      <c r="T280" s="610">
        <v>25756.500022253978</v>
      </c>
      <c r="U280" s="611">
        <v>27476.083295721721</v>
      </c>
      <c r="V280" s="611">
        <v>25756.500022253978</v>
      </c>
      <c r="W280" s="612">
        <v>27476.083295721721</v>
      </c>
      <c r="Z280" s="610">
        <v>29361.167720138761</v>
      </c>
      <c r="AA280" s="611">
        <v>31321.409711768381</v>
      </c>
      <c r="AB280" s="611">
        <v>29361.167720138761</v>
      </c>
      <c r="AC280" s="612">
        <v>31321.409711768381</v>
      </c>
      <c r="AF280" s="610">
        <v>33766.230000000003</v>
      </c>
      <c r="AG280" s="611">
        <v>36020.559999999998</v>
      </c>
      <c r="AH280" s="611">
        <v>33766.230000000003</v>
      </c>
      <c r="AI280" s="612">
        <v>36020.559999999998</v>
      </c>
      <c r="AL280" s="610">
        <v>38494.275284769239</v>
      </c>
      <c r="AM280" s="611">
        <v>41064.271668080612</v>
      </c>
      <c r="AN280" s="611">
        <v>38494.275284769239</v>
      </c>
      <c r="AO280" s="612">
        <v>41064.271668080612</v>
      </c>
      <c r="AR280" s="610">
        <v>39456.35</v>
      </c>
      <c r="AS280" s="611">
        <v>42090.58</v>
      </c>
      <c r="AT280" s="611">
        <v>39456.35</v>
      </c>
      <c r="AU280" s="612">
        <v>42090.58</v>
      </c>
      <c r="AV280" s="713"/>
      <c r="AW280" s="713"/>
      <c r="AX280" s="713"/>
    </row>
    <row r="281" spans="1:50" ht="13" hidden="1">
      <c r="A281" s="609">
        <v>52</v>
      </c>
      <c r="B281" s="624" t="str">
        <f t="shared" si="34"/>
        <v>52A</v>
      </c>
      <c r="C281" s="610">
        <v>65536.42</v>
      </c>
      <c r="D281" s="611">
        <v>68983.33</v>
      </c>
      <c r="E281" s="611">
        <v>65536.42</v>
      </c>
      <c r="F281" s="612">
        <v>68983.33</v>
      </c>
      <c r="N281" s="709"/>
      <c r="O281" s="709"/>
      <c r="P281" s="709"/>
      <c r="Q281" s="709"/>
      <c r="R281" s="709"/>
      <c r="T281" s="610">
        <v>27275.492271875824</v>
      </c>
      <c r="U281" s="611">
        <v>28710.054775410517</v>
      </c>
      <c r="V281" s="611">
        <v>27275.492271875824</v>
      </c>
      <c r="W281" s="612">
        <v>28710.054775410517</v>
      </c>
      <c r="Z281" s="610">
        <v>31092.745619628338</v>
      </c>
      <c r="AA281" s="611">
        <v>32728.077680852166</v>
      </c>
      <c r="AB281" s="611">
        <v>31092.745619628338</v>
      </c>
      <c r="AC281" s="612">
        <v>32728.077680852166</v>
      </c>
      <c r="AF281" s="610">
        <v>35757.589999999997</v>
      </c>
      <c r="AG281" s="611">
        <v>37638.269999999997</v>
      </c>
      <c r="AH281" s="611">
        <v>35757.589999999997</v>
      </c>
      <c r="AI281" s="612">
        <v>37638.269999999997</v>
      </c>
      <c r="AL281" s="610">
        <v>40764.479146390702</v>
      </c>
      <c r="AM281" s="611">
        <v>42908.498864774774</v>
      </c>
      <c r="AN281" s="611">
        <v>40764.479146390702</v>
      </c>
      <c r="AO281" s="612">
        <v>42908.498864774774</v>
      </c>
      <c r="AR281" s="610">
        <v>41783.29</v>
      </c>
      <c r="AS281" s="611">
        <v>43980.9</v>
      </c>
      <c r="AT281" s="611">
        <v>41783.29</v>
      </c>
      <c r="AU281" s="612">
        <v>43980.9</v>
      </c>
      <c r="AV281" s="713"/>
      <c r="AW281" s="713"/>
      <c r="AX281" s="713"/>
    </row>
    <row r="282" spans="1:50" ht="13" hidden="1">
      <c r="A282" s="609">
        <v>53</v>
      </c>
      <c r="B282" s="624" t="str">
        <f t="shared" si="34"/>
        <v>53A</v>
      </c>
      <c r="C282" s="610">
        <v>69469.25</v>
      </c>
      <c r="D282" s="611">
        <v>72168.02</v>
      </c>
      <c r="E282" s="611">
        <v>69469.25</v>
      </c>
      <c r="F282" s="612">
        <v>72168.02</v>
      </c>
      <c r="N282" s="709"/>
      <c r="O282" s="709"/>
      <c r="P282" s="709"/>
      <c r="Q282" s="709"/>
      <c r="R282" s="709"/>
      <c r="T282" s="610">
        <v>28912.28980338134</v>
      </c>
      <c r="U282" s="611">
        <v>30035.482429775206</v>
      </c>
      <c r="V282" s="611">
        <v>28912.28980338134</v>
      </c>
      <c r="W282" s="612">
        <v>30035.482429775206</v>
      </c>
      <c r="Z282" s="610">
        <v>32958.615858399891</v>
      </c>
      <c r="AA282" s="611">
        <v>34239.001277889329</v>
      </c>
      <c r="AB282" s="611">
        <v>32958.615858399891</v>
      </c>
      <c r="AC282" s="612">
        <v>34239.001277889329</v>
      </c>
      <c r="AF282" s="610">
        <v>37903.4</v>
      </c>
      <c r="AG282" s="611">
        <v>39375.879999999997</v>
      </c>
      <c r="AH282" s="611">
        <v>37903.4</v>
      </c>
      <c r="AI282" s="612">
        <v>39375.879999999997</v>
      </c>
      <c r="AL282" s="610">
        <v>43210.748426330334</v>
      </c>
      <c r="AM282" s="611">
        <v>44889.411525775962</v>
      </c>
      <c r="AN282" s="611">
        <v>43210.748426330334</v>
      </c>
      <c r="AO282" s="612">
        <v>44889.411525775962</v>
      </c>
      <c r="AR282" s="610">
        <v>44290.7</v>
      </c>
      <c r="AS282" s="611">
        <v>46011.32</v>
      </c>
      <c r="AT282" s="611">
        <v>44290.7</v>
      </c>
      <c r="AU282" s="612">
        <v>46011.32</v>
      </c>
      <c r="AV282" s="713"/>
      <c r="AW282" s="713"/>
      <c r="AX282" s="713"/>
    </row>
    <row r="283" spans="1:50" ht="13" hidden="1">
      <c r="A283" s="609">
        <v>54</v>
      </c>
      <c r="B283" s="624" t="str">
        <f t="shared" si="34"/>
        <v>54A</v>
      </c>
      <c r="C283" s="610">
        <v>73736.87</v>
      </c>
      <c r="D283" s="611">
        <v>75561.89</v>
      </c>
      <c r="E283" s="611">
        <v>73736.87</v>
      </c>
      <c r="F283" s="612">
        <v>75561.89</v>
      </c>
      <c r="N283" s="709"/>
      <c r="O283" s="709"/>
      <c r="P283" s="709"/>
      <c r="Q283" s="709"/>
      <c r="R283" s="709"/>
      <c r="T283" s="610">
        <v>30688.422314625779</v>
      </c>
      <c r="U283" s="611">
        <v>31447.974740947822</v>
      </c>
      <c r="V283" s="611">
        <v>30688.422314625779</v>
      </c>
      <c r="W283" s="612">
        <v>31447.974740947822</v>
      </c>
      <c r="Z283" s="610">
        <v>34983.321253573209</v>
      </c>
      <c r="AA283" s="611">
        <v>35849.174384325102</v>
      </c>
      <c r="AB283" s="611">
        <v>34983.321253573209</v>
      </c>
      <c r="AC283" s="612">
        <v>35849.174384325102</v>
      </c>
      <c r="AF283" s="610">
        <v>40231.870000000003</v>
      </c>
      <c r="AG283" s="611">
        <v>41227.629999999997</v>
      </c>
      <c r="AH283" s="611">
        <v>40231.870000000003</v>
      </c>
      <c r="AI283" s="612">
        <v>41227.629999999997</v>
      </c>
      <c r="AL283" s="610">
        <v>45865.260249404047</v>
      </c>
      <c r="AM283" s="611">
        <v>47000.446325415651</v>
      </c>
      <c r="AN283" s="611">
        <v>45865.260249404047</v>
      </c>
      <c r="AO283" s="612">
        <v>47000.446325415651</v>
      </c>
      <c r="AR283" s="610">
        <v>47011.56</v>
      </c>
      <c r="AS283" s="611">
        <v>48175.11</v>
      </c>
      <c r="AT283" s="611">
        <v>47011.56</v>
      </c>
      <c r="AU283" s="612">
        <v>48175.11</v>
      </c>
      <c r="AV283" s="713"/>
      <c r="AW283" s="713"/>
      <c r="AX283" s="713"/>
    </row>
    <row r="284" spans="1:50" ht="13" hidden="1">
      <c r="A284" s="609">
        <v>55</v>
      </c>
      <c r="B284" s="624" t="str">
        <f t="shared" si="34"/>
        <v>55A</v>
      </c>
      <c r="C284" s="610">
        <v>78328.240000000005</v>
      </c>
      <c r="D284" s="611">
        <v>79649.7</v>
      </c>
      <c r="E284" s="611">
        <v>78328.240000000005</v>
      </c>
      <c r="F284" s="612">
        <v>79649.7</v>
      </c>
      <c r="N284" s="709"/>
      <c r="O284" s="709"/>
      <c r="P284" s="709"/>
      <c r="Q284" s="709"/>
      <c r="R284" s="709"/>
      <c r="T284" s="610">
        <v>32599.29560230111</v>
      </c>
      <c r="U284" s="611">
        <v>33149.27128360128</v>
      </c>
      <c r="V284" s="611">
        <v>32599.29560230111</v>
      </c>
      <c r="W284" s="612">
        <v>33149.27128360128</v>
      </c>
      <c r="Z284" s="610">
        <v>37161.624634967899</v>
      </c>
      <c r="AA284" s="611">
        <v>37788.570384844628</v>
      </c>
      <c r="AB284" s="611">
        <v>37161.624634967899</v>
      </c>
      <c r="AC284" s="612">
        <v>37788.570384844628</v>
      </c>
      <c r="AF284" s="610">
        <v>42736.99</v>
      </c>
      <c r="AG284" s="611">
        <v>43457.99</v>
      </c>
      <c r="AH284" s="611">
        <v>42736.99</v>
      </c>
      <c r="AI284" s="612">
        <v>43457.99</v>
      </c>
      <c r="AL284" s="610">
        <v>48721.148367220194</v>
      </c>
      <c r="AM284" s="611">
        <v>49543.112347481685</v>
      </c>
      <c r="AN284" s="611">
        <v>48721.148367220194</v>
      </c>
      <c r="AO284" s="612">
        <v>49543.112347481685</v>
      </c>
      <c r="AR284" s="610">
        <v>49938.82</v>
      </c>
      <c r="AS284" s="611">
        <v>50781.33</v>
      </c>
      <c r="AT284" s="611">
        <v>49938.82</v>
      </c>
      <c r="AU284" s="612">
        <v>50781.33</v>
      </c>
      <c r="AV284" s="713"/>
      <c r="AW284" s="713"/>
      <c r="AX284" s="713"/>
    </row>
    <row r="285" spans="1:50" ht="13" hidden="1">
      <c r="A285" s="609">
        <v>56</v>
      </c>
      <c r="B285" s="624" t="str">
        <f t="shared" si="34"/>
        <v>56A</v>
      </c>
      <c r="C285" s="610">
        <v>83284.97</v>
      </c>
      <c r="D285" s="611">
        <v>85036.07</v>
      </c>
      <c r="E285" s="611">
        <v>83284.97</v>
      </c>
      <c r="F285" s="612">
        <v>85036.07</v>
      </c>
      <c r="N285" s="709"/>
      <c r="O285" s="709"/>
      <c r="P285" s="709"/>
      <c r="Q285" s="709"/>
      <c r="R285" s="709"/>
      <c r="T285" s="610">
        <v>34662.228011230232</v>
      </c>
      <c r="U285" s="611">
        <v>35391.017291872085</v>
      </c>
      <c r="V285" s="611">
        <v>34662.228011230232</v>
      </c>
      <c r="W285" s="612">
        <v>35391.017291872085</v>
      </c>
      <c r="Z285" s="610">
        <v>39513.268080371759</v>
      </c>
      <c r="AA285" s="611">
        <v>40344.052708837444</v>
      </c>
      <c r="AB285" s="611">
        <v>39513.268080371759</v>
      </c>
      <c r="AC285" s="612">
        <v>40344.052708837444</v>
      </c>
      <c r="AF285" s="610">
        <v>45441.45</v>
      </c>
      <c r="AG285" s="611">
        <v>46396.87</v>
      </c>
      <c r="AH285" s="611">
        <v>45441.45</v>
      </c>
      <c r="AI285" s="612">
        <v>46396.87</v>
      </c>
      <c r="AL285" s="610">
        <v>51804.295843568987</v>
      </c>
      <c r="AM285" s="611">
        <v>52893.504981820573</v>
      </c>
      <c r="AN285" s="611">
        <v>51804.295843568987</v>
      </c>
      <c r="AO285" s="612">
        <v>52893.504981820573</v>
      </c>
      <c r="AR285" s="610">
        <v>53099.03</v>
      </c>
      <c r="AS285" s="611">
        <v>54215.46</v>
      </c>
      <c r="AT285" s="611">
        <v>53099.03</v>
      </c>
      <c r="AU285" s="612">
        <v>54215.46</v>
      </c>
      <c r="AV285" s="713"/>
      <c r="AW285" s="713"/>
      <c r="AX285" s="713"/>
    </row>
    <row r="286" spans="1:50" ht="13" hidden="1">
      <c r="A286" s="609">
        <v>57</v>
      </c>
      <c r="B286" s="624" t="str">
        <f t="shared" si="34"/>
        <v>57A</v>
      </c>
      <c r="C286" s="610">
        <v>88644.34</v>
      </c>
      <c r="D286" s="611">
        <v>88272.59</v>
      </c>
      <c r="E286" s="611">
        <v>88644.34</v>
      </c>
      <c r="F286" s="612">
        <v>88272.59</v>
      </c>
      <c r="N286" s="709"/>
      <c r="O286" s="709"/>
      <c r="P286" s="709"/>
      <c r="Q286" s="709"/>
      <c r="R286" s="709"/>
      <c r="T286" s="610">
        <v>36892.736237879937</v>
      </c>
      <c r="U286" s="611">
        <v>36738.019685300926</v>
      </c>
      <c r="V286" s="611">
        <v>36892.736237879937</v>
      </c>
      <c r="W286" s="612">
        <v>36738.019685300926</v>
      </c>
      <c r="Z286" s="610">
        <v>42055.939875344928</v>
      </c>
      <c r="AA286" s="611">
        <v>41879.570467800069</v>
      </c>
      <c r="AB286" s="611">
        <v>42055.939875344928</v>
      </c>
      <c r="AC286" s="612">
        <v>41879.570467800069</v>
      </c>
      <c r="AF286" s="610">
        <v>48365.599999999999</v>
      </c>
      <c r="AG286" s="611">
        <v>48162.77</v>
      </c>
      <c r="AH286" s="611">
        <v>48365.599999999999</v>
      </c>
      <c r="AI286" s="612">
        <v>48162.77</v>
      </c>
      <c r="AL286" s="610">
        <v>55137.893095812506</v>
      </c>
      <c r="AM286" s="611">
        <v>54906.662083798401</v>
      </c>
      <c r="AN286" s="611">
        <v>55137.893095812506</v>
      </c>
      <c r="AO286" s="612">
        <v>54906.662083798401</v>
      </c>
      <c r="AR286" s="610">
        <v>56515.94</v>
      </c>
      <c r="AS286" s="611">
        <v>56278.93</v>
      </c>
      <c r="AT286" s="611">
        <v>56515.94</v>
      </c>
      <c r="AU286" s="612">
        <v>56278.93</v>
      </c>
      <c r="AV286" s="713"/>
      <c r="AW286" s="713"/>
      <c r="AX286" s="713"/>
    </row>
    <row r="287" spans="1:50" ht="13" hidden="1">
      <c r="A287" s="609">
        <v>58</v>
      </c>
      <c r="B287" s="624" t="str">
        <f t="shared" si="34"/>
        <v>58A</v>
      </c>
      <c r="C287" s="610">
        <v>92450.98</v>
      </c>
      <c r="D287" s="611">
        <v>91797.69</v>
      </c>
      <c r="E287" s="611">
        <v>92450.98</v>
      </c>
      <c r="F287" s="612">
        <v>91797.69</v>
      </c>
      <c r="N287" s="709"/>
      <c r="O287" s="709"/>
      <c r="P287" s="709"/>
      <c r="Q287" s="709"/>
      <c r="R287" s="709"/>
      <c r="T287" s="610">
        <v>38477.015719805509</v>
      </c>
      <c r="U287" s="611">
        <v>38205.124462267449</v>
      </c>
      <c r="V287" s="611">
        <v>38477.015719805509</v>
      </c>
      <c r="W287" s="612">
        <v>38205.124462267449</v>
      </c>
      <c r="Z287" s="610">
        <v>43861.942070682053</v>
      </c>
      <c r="AA287" s="611">
        <v>43551.999151134878</v>
      </c>
      <c r="AB287" s="611">
        <v>43861.942070682053</v>
      </c>
      <c r="AC287" s="612">
        <v>43551.999151134878</v>
      </c>
      <c r="AF287" s="610">
        <v>50442.55</v>
      </c>
      <c r="AG287" s="611">
        <v>50086.11</v>
      </c>
      <c r="AH287" s="611">
        <v>50442.55</v>
      </c>
      <c r="AI287" s="612">
        <v>50086.11</v>
      </c>
      <c r="AL287" s="610">
        <v>57505.67173237267</v>
      </c>
      <c r="AM287" s="611">
        <v>57099.317728290247</v>
      </c>
      <c r="AN287" s="611">
        <v>57505.67173237267</v>
      </c>
      <c r="AO287" s="612">
        <v>57099.317728290247</v>
      </c>
      <c r="AR287" s="610">
        <v>58942.89</v>
      </c>
      <c r="AS287" s="611">
        <v>58526.38</v>
      </c>
      <c r="AT287" s="611">
        <v>58942.89</v>
      </c>
      <c r="AU287" s="612">
        <v>58526.38</v>
      </c>
      <c r="AV287" s="713"/>
      <c r="AW287" s="713"/>
      <c r="AX287" s="713"/>
    </row>
    <row r="288" spans="1:50" ht="13" hidden="1">
      <c r="A288" s="609">
        <v>59</v>
      </c>
      <c r="B288" s="624" t="str">
        <f t="shared" si="34"/>
        <v>59A</v>
      </c>
      <c r="C288" s="610">
        <v>98454.55</v>
      </c>
      <c r="D288" s="611">
        <v>93299.67</v>
      </c>
      <c r="E288" s="611">
        <v>98454.55</v>
      </c>
      <c r="F288" s="612">
        <v>93299.67</v>
      </c>
      <c r="N288" s="709"/>
      <c r="O288" s="709"/>
      <c r="P288" s="709"/>
      <c r="Q288" s="709"/>
      <c r="R288" s="709"/>
      <c r="T288" s="610">
        <v>40975.63174244549</v>
      </c>
      <c r="U288" s="611">
        <v>38830.228880016468</v>
      </c>
      <c r="V288" s="611">
        <v>40975.63174244549</v>
      </c>
      <c r="W288" s="612">
        <v>38830.228880016468</v>
      </c>
      <c r="Z288" s="610">
        <v>46710.243821524462</v>
      </c>
      <c r="AA288" s="611">
        <v>44264.588036902373</v>
      </c>
      <c r="AB288" s="611">
        <v>46710.243821524462</v>
      </c>
      <c r="AC288" s="612">
        <v>44264.588036902373</v>
      </c>
      <c r="AF288" s="610">
        <v>53718.19</v>
      </c>
      <c r="AG288" s="611">
        <v>50905.61</v>
      </c>
      <c r="AH288" s="611">
        <v>53718.19</v>
      </c>
      <c r="AI288" s="612">
        <v>50905.61</v>
      </c>
      <c r="AL288" s="610">
        <v>61239.968431199602</v>
      </c>
      <c r="AM288" s="611">
        <v>58033.565064604009</v>
      </c>
      <c r="AN288" s="611">
        <v>61239.968431199602</v>
      </c>
      <c r="AO288" s="612">
        <v>58033.565064604009</v>
      </c>
      <c r="AR288" s="610">
        <v>62770.52</v>
      </c>
      <c r="AS288" s="611">
        <v>59483.98</v>
      </c>
      <c r="AT288" s="611">
        <v>62770.52</v>
      </c>
      <c r="AU288" s="612">
        <v>59483.98</v>
      </c>
      <c r="AV288" s="713"/>
      <c r="AW288" s="713"/>
      <c r="AX288" s="713"/>
    </row>
    <row r="289" spans="1:50" ht="13" hidden="1">
      <c r="A289" s="609">
        <v>60</v>
      </c>
      <c r="B289" s="624" t="str">
        <f t="shared" si="34"/>
        <v>60A</v>
      </c>
      <c r="C289" s="613">
        <v>125894</v>
      </c>
      <c r="D289" s="614">
        <v>121776</v>
      </c>
      <c r="E289" s="614">
        <v>158478.32999999999</v>
      </c>
      <c r="F289" s="615">
        <v>153294.49</v>
      </c>
      <c r="N289" s="709"/>
      <c r="O289" s="709"/>
      <c r="P289" s="709"/>
      <c r="Q289" s="709"/>
      <c r="R289" s="709"/>
      <c r="T289" s="613">
        <v>43423.491006798606</v>
      </c>
      <c r="U289" s="614">
        <v>42003.10452027007</v>
      </c>
      <c r="V289" s="614">
        <v>54662.512208558241</v>
      </c>
      <c r="W289" s="615">
        <v>52874.496278457627</v>
      </c>
      <c r="Z289" s="613">
        <v>49501.800896874011</v>
      </c>
      <c r="AA289" s="614">
        <v>47882.592320535972</v>
      </c>
      <c r="AB289" s="614">
        <v>62314.0317172414</v>
      </c>
      <c r="AC289" s="615">
        <v>60275.733862321766</v>
      </c>
      <c r="AF289" s="613">
        <v>69300.17</v>
      </c>
      <c r="AG289" s="614">
        <v>67033.36</v>
      </c>
      <c r="AH289" s="614">
        <v>87236.69</v>
      </c>
      <c r="AI289" s="615">
        <v>84383.17</v>
      </c>
      <c r="AL289" s="613">
        <v>78306.314622598482</v>
      </c>
      <c r="AM289" s="614">
        <v>75744.907685455284</v>
      </c>
      <c r="AN289" s="614">
        <v>98573.831348447522</v>
      </c>
      <c r="AO289" s="615">
        <v>95349.472027573109</v>
      </c>
      <c r="AR289" s="613">
        <v>80260.399999999994</v>
      </c>
      <c r="AS289" s="614">
        <v>77635.070000000007</v>
      </c>
      <c r="AT289" s="614">
        <v>101033.68</v>
      </c>
      <c r="AU289" s="615">
        <v>97728.86</v>
      </c>
      <c r="AV289" s="713"/>
      <c r="AW289" s="713"/>
      <c r="AX289" s="713"/>
    </row>
    <row r="290" spans="1:50" ht="13" hidden="1">
      <c r="A290" s="609">
        <v>61</v>
      </c>
      <c r="B290" s="624" t="str">
        <f t="shared" si="34"/>
        <v>61A</v>
      </c>
      <c r="C290" s="613">
        <v>132691.34</v>
      </c>
      <c r="D290" s="614">
        <v>126929.7</v>
      </c>
      <c r="E290" s="614">
        <v>167034.98000000001</v>
      </c>
      <c r="F290" s="615">
        <v>159782.09</v>
      </c>
      <c r="N290" s="709"/>
      <c r="O290" s="709"/>
      <c r="P290" s="709"/>
      <c r="Q290" s="709"/>
      <c r="R290" s="709"/>
      <c r="T290" s="613">
        <v>45768.037566272418</v>
      </c>
      <c r="U290" s="614">
        <v>43780.725427613506</v>
      </c>
      <c r="V290" s="614">
        <v>57613.882583425257</v>
      </c>
      <c r="W290" s="615">
        <v>55112.207302995819</v>
      </c>
      <c r="Z290" s="613">
        <v>52174.531123984321</v>
      </c>
      <c r="AA290" s="614">
        <v>49909.040083836677</v>
      </c>
      <c r="AB290" s="614">
        <v>65678.527414897893</v>
      </c>
      <c r="AC290" s="615">
        <v>62826.67398788852</v>
      </c>
      <c r="AF290" s="613">
        <v>73041.87</v>
      </c>
      <c r="AG290" s="614">
        <v>69870.289999999994</v>
      </c>
      <c r="AH290" s="614">
        <v>91946.82</v>
      </c>
      <c r="AI290" s="615">
        <v>87954.36</v>
      </c>
      <c r="AL290" s="613">
        <v>82534.275025522846</v>
      </c>
      <c r="AM290" s="614">
        <v>78950.521486251484</v>
      </c>
      <c r="AN290" s="614">
        <v>103896.08738506993</v>
      </c>
      <c r="AO290" s="615">
        <v>99384.774106222438</v>
      </c>
      <c r="AR290" s="613">
        <v>84593.86</v>
      </c>
      <c r="AS290" s="614">
        <v>80920.679999999993</v>
      </c>
      <c r="AT290" s="614">
        <v>106488.75</v>
      </c>
      <c r="AU290" s="615">
        <v>101864.86</v>
      </c>
      <c r="AV290" s="713"/>
      <c r="AW290" s="713"/>
      <c r="AX290" s="713"/>
    </row>
    <row r="291" spans="1:50" ht="13" hidden="1">
      <c r="A291" s="609">
        <v>62</v>
      </c>
      <c r="B291" s="624" t="str">
        <f t="shared" si="34"/>
        <v>62A</v>
      </c>
      <c r="C291" s="613">
        <v>139852.64000000001</v>
      </c>
      <c r="D291" s="614">
        <v>132359.63</v>
      </c>
      <c r="E291" s="614">
        <v>176049.79</v>
      </c>
      <c r="F291" s="615">
        <v>166617.42000000001</v>
      </c>
      <c r="N291" s="709"/>
      <c r="O291" s="709"/>
      <c r="P291" s="709"/>
      <c r="Q291" s="709"/>
      <c r="R291" s="709"/>
      <c r="T291" s="613">
        <v>48238.118497429576</v>
      </c>
      <c r="U291" s="614">
        <v>45653.624423124566</v>
      </c>
      <c r="V291" s="614">
        <v>60723.278579117214</v>
      </c>
      <c r="W291" s="615">
        <v>57469.856626756809</v>
      </c>
      <c r="Z291" s="613">
        <v>54990.367705022065</v>
      </c>
      <c r="AA291" s="614">
        <v>52044.10271989301</v>
      </c>
      <c r="AB291" s="614">
        <v>69223.168758086584</v>
      </c>
      <c r="AC291" s="615">
        <v>65514.341070924143</v>
      </c>
      <c r="AF291" s="613">
        <v>76983.91</v>
      </c>
      <c r="AG291" s="614">
        <v>72859.27</v>
      </c>
      <c r="AH291" s="614">
        <v>96909.15</v>
      </c>
      <c r="AI291" s="615">
        <v>91716.97</v>
      </c>
      <c r="AL291" s="613">
        <v>86988.613680795635</v>
      </c>
      <c r="AM291" s="614">
        <v>82327.95187239605</v>
      </c>
      <c r="AN291" s="614">
        <v>109503.31369229569</v>
      </c>
      <c r="AO291" s="615">
        <v>103636.36294525152</v>
      </c>
      <c r="AR291" s="613">
        <v>89159.360000000001</v>
      </c>
      <c r="AS291" s="614">
        <v>84382.39</v>
      </c>
      <c r="AT291" s="614">
        <v>112235.9</v>
      </c>
      <c r="AU291" s="615">
        <v>106222.54</v>
      </c>
      <c r="AV291" s="713"/>
      <c r="AW291" s="713"/>
      <c r="AX291" s="713"/>
    </row>
    <row r="292" spans="1:50" ht="13" hidden="1">
      <c r="A292" s="609">
        <v>63</v>
      </c>
      <c r="B292" s="624" t="str">
        <f t="shared" si="34"/>
        <v>63A</v>
      </c>
      <c r="C292" s="613">
        <v>147301.20000000001</v>
      </c>
      <c r="D292" s="614">
        <v>138018.04999999999</v>
      </c>
      <c r="E292" s="614">
        <v>185426.22</v>
      </c>
      <c r="F292" s="615">
        <v>173740.36</v>
      </c>
      <c r="N292" s="709"/>
      <c r="O292" s="709"/>
      <c r="P292" s="709"/>
      <c r="Q292" s="709"/>
      <c r="R292" s="709"/>
      <c r="T292" s="613">
        <v>50807.285836610012</v>
      </c>
      <c r="U292" s="614">
        <v>47605.329939329451</v>
      </c>
      <c r="V292" s="614">
        <v>63957.406876673791</v>
      </c>
      <c r="W292" s="615">
        <v>59926.70945303826</v>
      </c>
      <c r="Z292" s="613">
        <v>57919.160557603864</v>
      </c>
      <c r="AA292" s="614">
        <v>54269.00301308636</v>
      </c>
      <c r="AB292" s="614">
        <v>72910.002113689581</v>
      </c>
      <c r="AC292" s="615">
        <v>68315.097910591066</v>
      </c>
      <c r="AF292" s="613">
        <v>81084.08</v>
      </c>
      <c r="AG292" s="614">
        <v>75974.03</v>
      </c>
      <c r="AH292" s="614">
        <v>102070.54</v>
      </c>
      <c r="AI292" s="615">
        <v>95637.9</v>
      </c>
      <c r="AL292" s="613">
        <v>91621.636528923395</v>
      </c>
      <c r="AM292" s="614">
        <v>85847.495388109077</v>
      </c>
      <c r="AN292" s="614">
        <v>115335.47186582121</v>
      </c>
      <c r="AO292" s="615">
        <v>108066.8471356197</v>
      </c>
      <c r="AR292" s="613">
        <v>93908</v>
      </c>
      <c r="AS292" s="614">
        <v>87989.759999999995</v>
      </c>
      <c r="AT292" s="614">
        <v>118213.59</v>
      </c>
      <c r="AU292" s="615">
        <v>110763.59</v>
      </c>
      <c r="AV292" s="713"/>
      <c r="AW292" s="713"/>
      <c r="AX292" s="713"/>
    </row>
    <row r="293" spans="1:50" ht="13" hidden="1">
      <c r="A293" s="609">
        <v>64</v>
      </c>
      <c r="B293" s="624" t="str">
        <f t="shared" si="34"/>
        <v>64A</v>
      </c>
      <c r="C293" s="613">
        <v>155165.67000000001</v>
      </c>
      <c r="D293" s="614">
        <v>144060.12</v>
      </c>
      <c r="E293" s="614">
        <v>195326.2</v>
      </c>
      <c r="F293" s="615">
        <v>181346.27</v>
      </c>
      <c r="N293" s="709"/>
      <c r="O293" s="709"/>
      <c r="P293" s="709"/>
      <c r="Q293" s="709"/>
      <c r="R293" s="709"/>
      <c r="T293" s="613">
        <v>53519.90767832828</v>
      </c>
      <c r="U293" s="614">
        <v>49689.368729536669</v>
      </c>
      <c r="V293" s="614">
        <v>67372.119077425014</v>
      </c>
      <c r="W293" s="615">
        <v>62550.146518357935</v>
      </c>
      <c r="Z293" s="613">
        <v>61011.488309332206</v>
      </c>
      <c r="AA293" s="614">
        <v>56644.760255590147</v>
      </c>
      <c r="AB293" s="614">
        <v>76802.697048218193</v>
      </c>
      <c r="AC293" s="615">
        <v>71305.757027625252</v>
      </c>
      <c r="AF293" s="613">
        <v>85413.19</v>
      </c>
      <c r="AG293" s="614">
        <v>79299.98</v>
      </c>
      <c r="AH293" s="614">
        <v>107520.13</v>
      </c>
      <c r="AI293" s="615">
        <v>99824.68</v>
      </c>
      <c r="AL293" s="613">
        <v>96513.353303985699</v>
      </c>
      <c r="AM293" s="614">
        <v>89605.677731535034</v>
      </c>
      <c r="AN293" s="614">
        <v>121493.28004148787</v>
      </c>
      <c r="AO293" s="615">
        <v>112797.7354973441</v>
      </c>
      <c r="AR293" s="613">
        <v>98921.78</v>
      </c>
      <c r="AS293" s="614">
        <v>91841.73</v>
      </c>
      <c r="AT293" s="614">
        <v>124525.07</v>
      </c>
      <c r="AU293" s="615">
        <v>115612.53</v>
      </c>
      <c r="AV293" s="713"/>
      <c r="AW293" s="713"/>
      <c r="AX293" s="713"/>
    </row>
    <row r="294" spans="1:50" ht="13" hidden="1">
      <c r="A294" s="609">
        <v>65</v>
      </c>
      <c r="B294" s="624" t="str">
        <f t="shared" ref="B294:B329" si="35">+CONCATENATE(A294,$B$227)</f>
        <v>65A</v>
      </c>
      <c r="C294" s="613">
        <v>163185.67000000001</v>
      </c>
      <c r="D294" s="614">
        <v>150164.45000000001</v>
      </c>
      <c r="E294" s="614">
        <v>205421.96</v>
      </c>
      <c r="F294" s="615">
        <v>189030.54</v>
      </c>
      <c r="N294" s="709"/>
      <c r="O294" s="709"/>
      <c r="P294" s="709"/>
      <c r="Q294" s="709"/>
      <c r="R294" s="709"/>
      <c r="T294" s="613">
        <v>56286.173092982543</v>
      </c>
      <c r="U294" s="614">
        <v>51794.878967273587</v>
      </c>
      <c r="V294" s="614">
        <v>70854.35906998979</v>
      </c>
      <c r="W294" s="615">
        <v>65200.612347038492</v>
      </c>
      <c r="Z294" s="613">
        <v>64164.968524975957</v>
      </c>
      <c r="AA294" s="614">
        <v>59044.994464269141</v>
      </c>
      <c r="AB294" s="614">
        <v>80772.372143205022</v>
      </c>
      <c r="AC294" s="615">
        <v>74327.228325609365</v>
      </c>
      <c r="AF294" s="613">
        <v>89827.91</v>
      </c>
      <c r="AG294" s="614">
        <v>82660.19</v>
      </c>
      <c r="AH294" s="614">
        <v>113077.49</v>
      </c>
      <c r="AI294" s="615">
        <v>104054.59</v>
      </c>
      <c r="AL294" s="613">
        <v>101501.80643999942</v>
      </c>
      <c r="AM294" s="614">
        <v>93402.579898878408</v>
      </c>
      <c r="AN294" s="614">
        <v>127772.86222446988</v>
      </c>
      <c r="AO294" s="615">
        <v>117577.36528447042</v>
      </c>
      <c r="AR294" s="613">
        <v>104034.72</v>
      </c>
      <c r="AS294" s="614">
        <v>95733.38</v>
      </c>
      <c r="AT294" s="614">
        <v>130961.35</v>
      </c>
      <c r="AU294" s="615">
        <v>120511.43</v>
      </c>
      <c r="AV294" s="713"/>
      <c r="AW294" s="713"/>
      <c r="AX294" s="713"/>
    </row>
    <row r="295" spans="1:50" ht="13" hidden="1">
      <c r="A295" s="609">
        <v>66</v>
      </c>
      <c r="B295" s="624" t="str">
        <f t="shared" si="35"/>
        <v>66A</v>
      </c>
      <c r="C295" s="613">
        <v>171758.94</v>
      </c>
      <c r="D295" s="614">
        <v>156879.49</v>
      </c>
      <c r="E295" s="614">
        <v>216214.2</v>
      </c>
      <c r="F295" s="615">
        <v>197483.59</v>
      </c>
      <c r="N295" s="709"/>
      <c r="O295" s="709"/>
      <c r="P295" s="709"/>
      <c r="Q295" s="709"/>
      <c r="R295" s="709"/>
      <c r="T295" s="613">
        <v>59243.275051077988</v>
      </c>
      <c r="U295" s="614">
        <v>54111.038357271245</v>
      </c>
      <c r="V295" s="614">
        <v>74576.828593709943</v>
      </c>
      <c r="W295" s="615">
        <v>68116.248285035574</v>
      </c>
      <c r="Z295" s="613">
        <v>67535.998098311713</v>
      </c>
      <c r="AA295" s="614">
        <v>61685.363958079259</v>
      </c>
      <c r="AB295" s="614">
        <v>85015.903488462965</v>
      </c>
      <c r="AC295" s="615">
        <v>77650.987570758603</v>
      </c>
      <c r="AF295" s="613">
        <v>94547.19</v>
      </c>
      <c r="AG295" s="614">
        <v>86356.58</v>
      </c>
      <c r="AH295" s="614">
        <v>119018.23</v>
      </c>
      <c r="AI295" s="615">
        <v>108707.7</v>
      </c>
      <c r="AL295" s="613">
        <v>106834.39833744662</v>
      </c>
      <c r="AM295" s="614">
        <v>97579.34923971392</v>
      </c>
      <c r="AN295" s="614">
        <v>134485.6543777269</v>
      </c>
      <c r="AO295" s="615">
        <v>122835.18080763986</v>
      </c>
      <c r="AR295" s="613">
        <v>109500.38</v>
      </c>
      <c r="AS295" s="614">
        <v>100014.38</v>
      </c>
      <c r="AT295" s="614">
        <v>137841.66</v>
      </c>
      <c r="AU295" s="615">
        <v>125900.45</v>
      </c>
      <c r="AV295" s="713"/>
      <c r="AW295" s="713"/>
      <c r="AX295" s="713"/>
    </row>
    <row r="296" spans="1:50" ht="13" hidden="1">
      <c r="A296" s="609">
        <v>67</v>
      </c>
      <c r="B296" s="624" t="str">
        <f t="shared" si="35"/>
        <v>67A</v>
      </c>
      <c r="C296" s="613">
        <v>180707.21</v>
      </c>
      <c r="D296" s="614">
        <v>163324.19</v>
      </c>
      <c r="E296" s="614">
        <v>227478.48</v>
      </c>
      <c r="F296" s="615">
        <v>205596.34</v>
      </c>
      <c r="N296" s="709"/>
      <c r="O296" s="709"/>
      <c r="P296" s="709"/>
      <c r="Q296" s="709"/>
      <c r="R296" s="709"/>
      <c r="T296" s="613">
        <v>62329.719700712463</v>
      </c>
      <c r="U296" s="614">
        <v>56333.952320619319</v>
      </c>
      <c r="V296" s="614">
        <v>78462.117740896836</v>
      </c>
      <c r="W296" s="615">
        <v>70914.504685956083</v>
      </c>
      <c r="Z296" s="613">
        <v>71054.475424363336</v>
      </c>
      <c r="AA296" s="614">
        <v>64219.435767444134</v>
      </c>
      <c r="AB296" s="614">
        <v>89445.045534198522</v>
      </c>
      <c r="AC296" s="615">
        <v>80840.936789606159</v>
      </c>
      <c r="AF296" s="613">
        <v>99472.89</v>
      </c>
      <c r="AG296" s="614">
        <v>89904.16</v>
      </c>
      <c r="AH296" s="614">
        <v>125218.82</v>
      </c>
      <c r="AI296" s="615">
        <v>113173.48</v>
      </c>
      <c r="AL296" s="613">
        <v>112400.23609474881</v>
      </c>
      <c r="AM296" s="614">
        <v>101587.96752804196</v>
      </c>
      <c r="AN296" s="614">
        <v>141492.06190750733</v>
      </c>
      <c r="AO296" s="615">
        <v>127881.32382941755</v>
      </c>
      <c r="AR296" s="613">
        <v>115205.11</v>
      </c>
      <c r="AS296" s="614">
        <v>104123.03</v>
      </c>
      <c r="AT296" s="614">
        <v>145022.9</v>
      </c>
      <c r="AU296" s="615">
        <v>131072.51999999999</v>
      </c>
      <c r="AV296" s="713"/>
      <c r="AW296" s="713"/>
      <c r="AX296" s="713"/>
    </row>
    <row r="297" spans="1:50" ht="13" hidden="1">
      <c r="A297" s="609">
        <v>68</v>
      </c>
      <c r="B297" s="624" t="str">
        <f t="shared" si="35"/>
        <v>68A</v>
      </c>
      <c r="C297" s="613">
        <v>189898.23999999999</v>
      </c>
      <c r="D297" s="614">
        <v>170410.16</v>
      </c>
      <c r="E297" s="614">
        <v>239048.37</v>
      </c>
      <c r="F297" s="615">
        <v>214516.32</v>
      </c>
      <c r="N297" s="709"/>
      <c r="O297" s="709"/>
      <c r="P297" s="709"/>
      <c r="Q297" s="709"/>
      <c r="R297" s="709"/>
      <c r="T297" s="613">
        <v>65499.900659320141</v>
      </c>
      <c r="U297" s="614">
        <v>58778.052566626306</v>
      </c>
      <c r="V297" s="614">
        <v>82452.816124085351</v>
      </c>
      <c r="W297" s="615">
        <v>73991.195583870765</v>
      </c>
      <c r="Z297" s="613">
        <v>74668.410255063354</v>
      </c>
      <c r="AA297" s="614">
        <v>67005.654953066405</v>
      </c>
      <c r="AB297" s="614">
        <v>93994.351732844443</v>
      </c>
      <c r="AC297" s="615">
        <v>84348.295058565971</v>
      </c>
      <c r="AF297" s="613">
        <v>104532.23</v>
      </c>
      <c r="AG297" s="614">
        <v>93804.74</v>
      </c>
      <c r="AH297" s="614">
        <v>131587.63</v>
      </c>
      <c r="AI297" s="615">
        <v>118083.61</v>
      </c>
      <c r="AL297" s="613">
        <v>118117.07695207273</v>
      </c>
      <c r="AM297" s="614">
        <v>105995.45477504907</v>
      </c>
      <c r="AN297" s="614">
        <v>148688.5556926092</v>
      </c>
      <c r="AO297" s="615">
        <v>133429.57248153238</v>
      </c>
      <c r="AR297" s="613">
        <v>121064.61</v>
      </c>
      <c r="AS297" s="614">
        <v>108640.5</v>
      </c>
      <c r="AT297" s="614">
        <v>152398.98000000001</v>
      </c>
      <c r="AU297" s="615">
        <v>136759.22</v>
      </c>
      <c r="AV297" s="713"/>
      <c r="AW297" s="713"/>
      <c r="AX297" s="713"/>
    </row>
    <row r="298" spans="1:50" ht="13" hidden="1">
      <c r="A298" s="609">
        <v>69</v>
      </c>
      <c r="B298" s="624" t="str">
        <f t="shared" si="35"/>
        <v>69A</v>
      </c>
      <c r="C298" s="613">
        <v>199578.74</v>
      </c>
      <c r="D298" s="614">
        <v>178023.06</v>
      </c>
      <c r="E298" s="614">
        <v>251234.41</v>
      </c>
      <c r="F298" s="615">
        <v>224099.61</v>
      </c>
      <c r="N298" s="709"/>
      <c r="O298" s="709"/>
      <c r="P298" s="709"/>
      <c r="Q298" s="709"/>
      <c r="R298" s="709"/>
      <c r="T298" s="613">
        <v>68838.909343552965</v>
      </c>
      <c r="U298" s="614">
        <v>61403.90078905705</v>
      </c>
      <c r="V298" s="614">
        <v>86656.038820707836</v>
      </c>
      <c r="W298" s="615">
        <v>77296.675110930635</v>
      </c>
      <c r="Z298" s="613">
        <v>78474.804887267121</v>
      </c>
      <c r="AA298" s="614">
        <v>69999.06273485499</v>
      </c>
      <c r="AB298" s="614">
        <v>98785.930858089167</v>
      </c>
      <c r="AC298" s="615">
        <v>88116.467207405687</v>
      </c>
      <c r="AF298" s="613">
        <v>109861</v>
      </c>
      <c r="AG298" s="614">
        <v>97995.37</v>
      </c>
      <c r="AH298" s="614">
        <v>138295.62</v>
      </c>
      <c r="AI298" s="615">
        <v>123358.87</v>
      </c>
      <c r="AL298" s="613">
        <v>124138.36769800074</v>
      </c>
      <c r="AM298" s="614">
        <v>110730.69121710899</v>
      </c>
      <c r="AN298" s="614">
        <v>156268.29816101264</v>
      </c>
      <c r="AO298" s="615">
        <v>139390.39953212539</v>
      </c>
      <c r="AR298" s="613">
        <v>127236.16</v>
      </c>
      <c r="AS298" s="614">
        <v>113493.9</v>
      </c>
      <c r="AT298" s="614">
        <v>160167.87</v>
      </c>
      <c r="AU298" s="615">
        <v>142868.79999999999</v>
      </c>
      <c r="AV298" s="713"/>
      <c r="AW298" s="713"/>
      <c r="AX298" s="713"/>
    </row>
    <row r="299" spans="1:50" ht="13" hidden="1">
      <c r="A299" s="609">
        <v>70</v>
      </c>
      <c r="B299" s="624" t="str">
        <f t="shared" si="35"/>
        <v>70A</v>
      </c>
      <c r="C299" s="613">
        <v>209522.33</v>
      </c>
      <c r="D299" s="614">
        <v>185479.01</v>
      </c>
      <c r="E299" s="614">
        <v>263751.64</v>
      </c>
      <c r="F299" s="615">
        <v>233485.34</v>
      </c>
      <c r="N299" s="709"/>
      <c r="O299" s="709"/>
      <c r="P299" s="709"/>
      <c r="Q299" s="709"/>
      <c r="R299" s="709"/>
      <c r="T299" s="613">
        <v>72268.663514407439</v>
      </c>
      <c r="U299" s="614">
        <v>63975.614796116417</v>
      </c>
      <c r="V299" s="614">
        <v>90973.494071077599</v>
      </c>
      <c r="W299" s="615">
        <v>80534.009213934769</v>
      </c>
      <c r="Z299" s="613">
        <v>82384.647328637846</v>
      </c>
      <c r="AA299" s="614">
        <v>72930.758731411857</v>
      </c>
      <c r="AB299" s="614">
        <v>103707.73251957941</v>
      </c>
      <c r="AC299" s="615">
        <v>91806.955108953742</v>
      </c>
      <c r="AF299" s="613">
        <v>115334.6</v>
      </c>
      <c r="AG299" s="614">
        <v>102099.6</v>
      </c>
      <c r="AH299" s="614">
        <v>145185.9</v>
      </c>
      <c r="AI299" s="615">
        <v>128525.38</v>
      </c>
      <c r="AL299" s="613">
        <v>130323.30131236746</v>
      </c>
      <c r="AM299" s="614">
        <v>115368.30651442823</v>
      </c>
      <c r="AN299" s="614">
        <v>164054.03812262727</v>
      </c>
      <c r="AO299" s="615">
        <v>145228.33878875081</v>
      </c>
      <c r="AR299" s="613">
        <v>133575.43</v>
      </c>
      <c r="AS299" s="614">
        <v>118247.25</v>
      </c>
      <c r="AT299" s="614">
        <v>168147.9</v>
      </c>
      <c r="AU299" s="615">
        <v>148852.42000000001</v>
      </c>
      <c r="AV299" s="713"/>
      <c r="AW299" s="713"/>
      <c r="AX299" s="713"/>
    </row>
    <row r="300" spans="1:50" ht="13" hidden="1">
      <c r="A300" s="609">
        <v>71</v>
      </c>
      <c r="B300" s="624" t="str">
        <f t="shared" si="35"/>
        <v>71A</v>
      </c>
      <c r="C300" s="613">
        <v>219644</v>
      </c>
      <c r="D300" s="614">
        <v>193292.2</v>
      </c>
      <c r="E300" s="614">
        <v>276493.03999999998</v>
      </c>
      <c r="F300" s="615">
        <v>243320.77</v>
      </c>
      <c r="N300" s="709"/>
      <c r="O300" s="709"/>
      <c r="P300" s="709"/>
      <c r="Q300" s="709"/>
      <c r="R300" s="709"/>
      <c r="T300" s="613">
        <v>75759.841445387661</v>
      </c>
      <c r="U300" s="614">
        <v>66670.550146235153</v>
      </c>
      <c r="V300" s="614">
        <v>95368.270995958577</v>
      </c>
      <c r="W300" s="615">
        <v>83926.457242907767</v>
      </c>
      <c r="Z300" s="613">
        <v>86364.511471939579</v>
      </c>
      <c r="AA300" s="614">
        <v>76002.924281405038</v>
      </c>
      <c r="AB300" s="614">
        <v>108717.67914702983</v>
      </c>
      <c r="AC300" s="615">
        <v>95674.26938953338</v>
      </c>
      <c r="AF300" s="613">
        <v>120906.22</v>
      </c>
      <c r="AG300" s="614">
        <v>106400.49</v>
      </c>
      <c r="AH300" s="614">
        <v>152199.59</v>
      </c>
      <c r="AI300" s="615">
        <v>133939.44</v>
      </c>
      <c r="AL300" s="613">
        <v>136619.0014306285</v>
      </c>
      <c r="AM300" s="614">
        <v>120228.12894051831</v>
      </c>
      <c r="AN300" s="614">
        <v>171979.21356561474</v>
      </c>
      <c r="AO300" s="615">
        <v>151345.99760747596</v>
      </c>
      <c r="AR300" s="613">
        <v>140028.24</v>
      </c>
      <c r="AS300" s="614">
        <v>123228.34</v>
      </c>
      <c r="AT300" s="614">
        <v>176270.84</v>
      </c>
      <c r="AU300" s="615">
        <v>155122.74</v>
      </c>
      <c r="AV300" s="713"/>
      <c r="AW300" s="713"/>
      <c r="AX300" s="713"/>
    </row>
    <row r="301" spans="1:50" ht="13" hidden="1">
      <c r="A301" s="609">
        <v>72</v>
      </c>
      <c r="B301" s="624" t="str">
        <f t="shared" si="35"/>
        <v>72A</v>
      </c>
      <c r="C301" s="613">
        <v>230137.15</v>
      </c>
      <c r="D301" s="614">
        <v>201640.72</v>
      </c>
      <c r="E301" s="614">
        <v>289702.06</v>
      </c>
      <c r="F301" s="615">
        <v>253830.09</v>
      </c>
      <c r="N301" s="709"/>
      <c r="O301" s="709"/>
      <c r="P301" s="709"/>
      <c r="Q301" s="709"/>
      <c r="R301" s="709"/>
      <c r="T301" s="613">
        <v>79379.147143781127</v>
      </c>
      <c r="U301" s="614">
        <v>69550.130599538985</v>
      </c>
      <c r="V301" s="614">
        <v>99924.338169230381</v>
      </c>
      <c r="W301" s="615">
        <v>87551.340872360845</v>
      </c>
      <c r="Z301" s="613">
        <v>90490.438381840591</v>
      </c>
      <c r="AA301" s="614">
        <v>79285.581086765509</v>
      </c>
      <c r="AB301" s="614">
        <v>113911.49302184641</v>
      </c>
      <c r="AC301" s="615">
        <v>99806.555015104808</v>
      </c>
      <c r="AF301" s="613">
        <v>126682.32</v>
      </c>
      <c r="AG301" s="614">
        <v>110996.05</v>
      </c>
      <c r="AH301" s="614">
        <v>159470.68</v>
      </c>
      <c r="AI301" s="615">
        <v>139724.44</v>
      </c>
      <c r="AL301" s="613">
        <v>143145.75651555223</v>
      </c>
      <c r="AM301" s="614">
        <v>125420.9249992735</v>
      </c>
      <c r="AN301" s="614">
        <v>180195.24643722459</v>
      </c>
      <c r="AO301" s="615">
        <v>157882.81146967367</v>
      </c>
      <c r="AR301" s="613">
        <v>146717.87</v>
      </c>
      <c r="AS301" s="614">
        <v>128550.72</v>
      </c>
      <c r="AT301" s="614">
        <v>184691.9</v>
      </c>
      <c r="AU301" s="615">
        <v>161822.67000000001</v>
      </c>
      <c r="AV301" s="713"/>
      <c r="AW301" s="713"/>
      <c r="AX301" s="713"/>
    </row>
    <row r="302" spans="1:50" ht="13" hidden="1">
      <c r="A302" s="609">
        <v>73</v>
      </c>
      <c r="B302" s="624" t="str">
        <f t="shared" si="35"/>
        <v>73A</v>
      </c>
      <c r="C302" s="613">
        <v>240866.22</v>
      </c>
      <c r="D302" s="614">
        <v>209817.53</v>
      </c>
      <c r="E302" s="614">
        <v>303208.06</v>
      </c>
      <c r="F302" s="615">
        <v>264123.24</v>
      </c>
      <c r="N302" s="709"/>
      <c r="O302" s="709"/>
      <c r="P302" s="709"/>
      <c r="Q302" s="709"/>
      <c r="R302" s="709"/>
      <c r="T302" s="613">
        <v>83079.829394672866</v>
      </c>
      <c r="U302" s="614">
        <v>72370.483501713621</v>
      </c>
      <c r="V302" s="614">
        <v>104582.84406152938</v>
      </c>
      <c r="W302" s="615">
        <v>91101.667466863015</v>
      </c>
      <c r="Z302" s="613">
        <v>94709.132727202144</v>
      </c>
      <c r="AA302" s="614">
        <v>82500.719818944155</v>
      </c>
      <c r="AB302" s="614">
        <v>119222.08472718386</v>
      </c>
      <c r="AC302" s="615">
        <v>103853.84730149439</v>
      </c>
      <c r="AF302" s="613">
        <v>132588.29</v>
      </c>
      <c r="AG302" s="614">
        <v>115497.09</v>
      </c>
      <c r="AH302" s="614">
        <v>166905.26</v>
      </c>
      <c r="AI302" s="615">
        <v>145390.46</v>
      </c>
      <c r="AL302" s="613">
        <v>149819.25931179736</v>
      </c>
      <c r="AM302" s="614">
        <v>130506.91501490505</v>
      </c>
      <c r="AN302" s="614">
        <v>188596.00878073316</v>
      </c>
      <c r="AO302" s="615">
        <v>164285.17537170398</v>
      </c>
      <c r="AR302" s="613">
        <v>153557.9</v>
      </c>
      <c r="AS302" s="614">
        <v>133763.63</v>
      </c>
      <c r="AT302" s="614">
        <v>193302.3</v>
      </c>
      <c r="AU302" s="615">
        <v>168384.81</v>
      </c>
      <c r="AV302" s="713"/>
      <c r="AW302" s="713"/>
      <c r="AX302" s="713"/>
    </row>
    <row r="303" spans="1:50" ht="13" hidden="1">
      <c r="A303" s="609">
        <v>74</v>
      </c>
      <c r="B303" s="624" t="str">
        <f t="shared" si="35"/>
        <v>74A</v>
      </c>
      <c r="C303" s="613">
        <v>252466.39</v>
      </c>
      <c r="D303" s="614">
        <v>218157.85</v>
      </c>
      <c r="E303" s="614">
        <v>317810.63</v>
      </c>
      <c r="F303" s="615">
        <v>274622.24</v>
      </c>
      <c r="N303" s="709"/>
      <c r="O303" s="709"/>
      <c r="P303" s="709"/>
      <c r="Q303" s="709"/>
      <c r="R303" s="709"/>
      <c r="T303" s="613">
        <v>87080.971727427241</v>
      </c>
      <c r="U303" s="614">
        <v>75247.236920032592</v>
      </c>
      <c r="V303" s="614">
        <v>109619.57617452608</v>
      </c>
      <c r="W303" s="615">
        <v>94722.992358158692</v>
      </c>
      <c r="Z303" s="613">
        <v>99270.344792925986</v>
      </c>
      <c r="AA303" s="614">
        <v>85780.153868148802</v>
      </c>
      <c r="AB303" s="614">
        <v>124963.84579815391</v>
      </c>
      <c r="AC303" s="615">
        <v>107982.07604578734</v>
      </c>
      <c r="AF303" s="613">
        <v>138973.76999999999</v>
      </c>
      <c r="AG303" s="614">
        <v>120088.14</v>
      </c>
      <c r="AH303" s="614">
        <v>174943.45</v>
      </c>
      <c r="AI303" s="615">
        <v>151169.78</v>
      </c>
      <c r="AL303" s="613">
        <v>157034.5868475177</v>
      </c>
      <c r="AM303" s="614">
        <v>135694.61303373205</v>
      </c>
      <c r="AN303" s="614">
        <v>197678.83285511064</v>
      </c>
      <c r="AO303" s="615">
        <v>170815.57170128624</v>
      </c>
      <c r="AR303" s="613">
        <v>160953.28</v>
      </c>
      <c r="AS303" s="614">
        <v>139080.78</v>
      </c>
      <c r="AT303" s="614">
        <v>202611.78</v>
      </c>
      <c r="AU303" s="615">
        <v>175078.16</v>
      </c>
      <c r="AV303" s="713"/>
      <c r="AW303" s="713"/>
      <c r="AX303" s="713"/>
    </row>
    <row r="304" spans="1:50" ht="13" hidden="1">
      <c r="A304" s="609">
        <v>75</v>
      </c>
      <c r="B304" s="624" t="str">
        <f t="shared" si="35"/>
        <v>75A</v>
      </c>
      <c r="C304" s="613">
        <v>263395.48</v>
      </c>
      <c r="D304" s="614">
        <v>227139.17</v>
      </c>
      <c r="E304" s="614">
        <v>331568.43</v>
      </c>
      <c r="F304" s="615">
        <v>285928.14</v>
      </c>
      <c r="N304" s="709"/>
      <c r="O304" s="709"/>
      <c r="P304" s="709"/>
      <c r="Q304" s="709"/>
      <c r="R304" s="709"/>
      <c r="T304" s="613">
        <v>90850.647650304993</v>
      </c>
      <c r="U304" s="614">
        <v>78345.083165308475</v>
      </c>
      <c r="V304" s="614">
        <v>114364.9329245016</v>
      </c>
      <c r="W304" s="615">
        <v>98622.634102211858</v>
      </c>
      <c r="Z304" s="613">
        <v>103567.69036909853</v>
      </c>
      <c r="AA304" s="614">
        <v>89311.628756217266</v>
      </c>
      <c r="AB304" s="614">
        <v>130373.44552345345</v>
      </c>
      <c r="AC304" s="615">
        <v>112427.57972841468</v>
      </c>
      <c r="AF304" s="613">
        <v>144989.85</v>
      </c>
      <c r="AG304" s="614">
        <v>125032.04</v>
      </c>
      <c r="AH304" s="614">
        <v>182516.64</v>
      </c>
      <c r="AI304" s="615">
        <v>157393.28</v>
      </c>
      <c r="AL304" s="613">
        <v>163832.50709754752</v>
      </c>
      <c r="AM304" s="614">
        <v>141281.01148099257</v>
      </c>
      <c r="AN304" s="614">
        <v>206236.21481691269</v>
      </c>
      <c r="AO304" s="615">
        <v>177847.86151136714</v>
      </c>
      <c r="AR304" s="613">
        <v>167920.84</v>
      </c>
      <c r="AS304" s="614">
        <v>144806.59</v>
      </c>
      <c r="AT304" s="614">
        <v>211382.71</v>
      </c>
      <c r="AU304" s="615">
        <v>182285.94</v>
      </c>
      <c r="AV304" s="713"/>
      <c r="AW304" s="713"/>
      <c r="AX304" s="713"/>
    </row>
    <row r="305" spans="1:50" ht="13" hidden="1">
      <c r="A305" s="609">
        <v>76</v>
      </c>
      <c r="B305" s="624" t="str">
        <f t="shared" si="35"/>
        <v>76A</v>
      </c>
      <c r="C305" s="613">
        <v>276741.09999999998</v>
      </c>
      <c r="D305" s="614">
        <v>236998.7</v>
      </c>
      <c r="E305" s="614">
        <v>348368.21</v>
      </c>
      <c r="F305" s="615">
        <v>298339.55</v>
      </c>
      <c r="N305" s="709"/>
      <c r="O305" s="709"/>
      <c r="P305" s="709"/>
      <c r="Q305" s="709"/>
      <c r="R305" s="709"/>
      <c r="T305" s="613">
        <v>95453.831615208386</v>
      </c>
      <c r="U305" s="614">
        <v>81745.842704623981</v>
      </c>
      <c r="V305" s="614">
        <v>120159.52920973291</v>
      </c>
      <c r="W305" s="615">
        <v>102903.59022817371</v>
      </c>
      <c r="Z305" s="613">
        <v>108815.21632427</v>
      </c>
      <c r="AA305" s="614">
        <v>93188.417971229588</v>
      </c>
      <c r="AB305" s="614">
        <v>136979.1546670222</v>
      </c>
      <c r="AC305" s="615">
        <v>117307.77321084193</v>
      </c>
      <c r="AF305" s="613">
        <v>152336.14000000001</v>
      </c>
      <c r="AG305" s="614">
        <v>130459.36</v>
      </c>
      <c r="AH305" s="614">
        <v>191764.32</v>
      </c>
      <c r="AI305" s="615">
        <v>164225.32</v>
      </c>
      <c r="AL305" s="613">
        <v>172133.50647516522</v>
      </c>
      <c r="AM305" s="614">
        <v>147413.65858667437</v>
      </c>
      <c r="AN305" s="614">
        <v>216685.70815109034</v>
      </c>
      <c r="AO305" s="615">
        <v>185567.78198557827</v>
      </c>
      <c r="AR305" s="613">
        <v>176428.99</v>
      </c>
      <c r="AS305" s="614">
        <v>151092.26999999999</v>
      </c>
      <c r="AT305" s="614">
        <v>222092.96</v>
      </c>
      <c r="AU305" s="615">
        <v>190198.51</v>
      </c>
      <c r="AV305" s="713"/>
      <c r="AW305" s="713"/>
      <c r="AX305" s="713"/>
    </row>
    <row r="306" spans="1:50" ht="13" hidden="1">
      <c r="A306" s="609">
        <v>77</v>
      </c>
      <c r="B306" s="624" t="str">
        <f t="shared" si="35"/>
        <v>77A</v>
      </c>
      <c r="C306" s="613">
        <v>291000.28000000003</v>
      </c>
      <c r="D306" s="614">
        <v>247573.54</v>
      </c>
      <c r="E306" s="614">
        <v>366318.01</v>
      </c>
      <c r="F306" s="615">
        <v>311651.39</v>
      </c>
      <c r="N306" s="709"/>
      <c r="O306" s="709"/>
      <c r="P306" s="709"/>
      <c r="Q306" s="709"/>
      <c r="R306" s="709"/>
      <c r="T306" s="613">
        <v>100372.1248432596</v>
      </c>
      <c r="U306" s="614">
        <v>85393.325297164149</v>
      </c>
      <c r="V306" s="614">
        <v>126350.79244975034</v>
      </c>
      <c r="W306" s="615">
        <v>107495.12713878311</v>
      </c>
      <c r="Z306" s="613">
        <v>114421.95973624758</v>
      </c>
      <c r="AA306" s="614">
        <v>97346.465905295234</v>
      </c>
      <c r="AB306" s="614">
        <v>144037.05519739405</v>
      </c>
      <c r="AC306" s="615">
        <v>122542.02178666576</v>
      </c>
      <c r="AF306" s="613">
        <v>160185.31</v>
      </c>
      <c r="AG306" s="614">
        <v>136280.43</v>
      </c>
      <c r="AH306" s="614">
        <v>201645.04</v>
      </c>
      <c r="AI306" s="615">
        <v>171553.02</v>
      </c>
      <c r="AL306" s="613">
        <v>181002.74770824978</v>
      </c>
      <c r="AM306" s="614">
        <v>153991.22554063439</v>
      </c>
      <c r="AN306" s="614">
        <v>227850.51770332624</v>
      </c>
      <c r="AO306" s="615">
        <v>193847.7780335045</v>
      </c>
      <c r="AR306" s="613">
        <v>185519.55</v>
      </c>
      <c r="AS306" s="614">
        <v>157833.98000000001</v>
      </c>
      <c r="AT306" s="614">
        <v>233536.38</v>
      </c>
      <c r="AU306" s="615">
        <v>198685.12</v>
      </c>
      <c r="AV306" s="713"/>
      <c r="AW306" s="713"/>
      <c r="AX306" s="713"/>
    </row>
    <row r="307" spans="1:50" ht="13" hidden="1">
      <c r="A307" s="609">
        <v>78</v>
      </c>
      <c r="B307" s="624" t="str">
        <f t="shared" si="35"/>
        <v>78A</v>
      </c>
      <c r="C307" s="613">
        <v>305823.65000000002</v>
      </c>
      <c r="D307" s="614">
        <v>258590.07999999999</v>
      </c>
      <c r="E307" s="614">
        <v>384978.01</v>
      </c>
      <c r="F307" s="615">
        <v>325519.28000000003</v>
      </c>
      <c r="N307" s="709"/>
      <c r="O307" s="709"/>
      <c r="P307" s="709"/>
      <c r="Q307" s="709"/>
      <c r="R307" s="709"/>
      <c r="T307" s="613">
        <v>105485.01620675669</v>
      </c>
      <c r="U307" s="614">
        <v>89193.164047855622</v>
      </c>
      <c r="V307" s="614">
        <v>132787.02040144664</v>
      </c>
      <c r="W307" s="615">
        <v>112278.45356612415</v>
      </c>
      <c r="Z307" s="613">
        <v>120250.54063600879</v>
      </c>
      <c r="AA307" s="614">
        <v>101678.19642524596</v>
      </c>
      <c r="AB307" s="614">
        <v>151374.20997709339</v>
      </c>
      <c r="AC307" s="615">
        <v>127994.90608825082</v>
      </c>
      <c r="AF307" s="613">
        <v>168345.05</v>
      </c>
      <c r="AG307" s="614">
        <v>142344.65</v>
      </c>
      <c r="AH307" s="614">
        <v>211916.71</v>
      </c>
      <c r="AI307" s="615">
        <v>179186.79</v>
      </c>
      <c r="AL307" s="613">
        <v>190222.91104515156</v>
      </c>
      <c r="AM307" s="614">
        <v>160843.53892741862</v>
      </c>
      <c r="AN307" s="614">
        <v>239457.07625683778</v>
      </c>
      <c r="AO307" s="615">
        <v>202473.63135569161</v>
      </c>
      <c r="AR307" s="613">
        <v>194969.8</v>
      </c>
      <c r="AS307" s="614">
        <v>164857.29</v>
      </c>
      <c r="AT307" s="614">
        <v>245432.57</v>
      </c>
      <c r="AU307" s="615">
        <v>207526.23</v>
      </c>
      <c r="AV307" s="713"/>
      <c r="AW307" s="713"/>
      <c r="AX307" s="713"/>
    </row>
    <row r="308" spans="1:50" ht="13" hidden="1">
      <c r="A308" s="609">
        <v>79</v>
      </c>
      <c r="B308" s="624" t="str">
        <f t="shared" si="35"/>
        <v>79A</v>
      </c>
      <c r="C308" s="613">
        <v>322095.17</v>
      </c>
      <c r="D308" s="614">
        <v>269641.71999999997</v>
      </c>
      <c r="E308" s="614">
        <v>405460.98</v>
      </c>
      <c r="F308" s="615">
        <v>339431.34</v>
      </c>
      <c r="N308" s="709"/>
      <c r="O308" s="709"/>
      <c r="P308" s="709"/>
      <c r="Q308" s="709"/>
      <c r="R308" s="709"/>
      <c r="T308" s="613">
        <v>111097.40493340627</v>
      </c>
      <c r="U308" s="614">
        <v>93005.105311953434</v>
      </c>
      <c r="V308" s="614">
        <v>139852.02738675851</v>
      </c>
      <c r="W308" s="615">
        <v>117077.01492210609</v>
      </c>
      <c r="Z308" s="613">
        <v>126648.53727011106</v>
      </c>
      <c r="AA308" s="614">
        <v>106023.72353766547</v>
      </c>
      <c r="AB308" s="614">
        <v>159428.15868119863</v>
      </c>
      <c r="AC308" s="615">
        <v>133465.15786506125</v>
      </c>
      <c r="AF308" s="613">
        <v>177301.94</v>
      </c>
      <c r="AG308" s="614">
        <v>148428.18</v>
      </c>
      <c r="AH308" s="614">
        <v>223191.86</v>
      </c>
      <c r="AI308" s="615">
        <v>186844.89</v>
      </c>
      <c r="AL308" s="613">
        <v>200343.82641201001</v>
      </c>
      <c r="AM308" s="614">
        <v>167717.67698100291</v>
      </c>
      <c r="AN308" s="614">
        <v>252197.52265982438</v>
      </c>
      <c r="AO308" s="615">
        <v>211126.9580819683</v>
      </c>
      <c r="AR308" s="613">
        <v>205343.28</v>
      </c>
      <c r="AS308" s="614">
        <v>171902.96</v>
      </c>
      <c r="AT308" s="614">
        <v>258490.95</v>
      </c>
      <c r="AU308" s="615">
        <v>216395.49</v>
      </c>
      <c r="AV308" s="713"/>
      <c r="AW308" s="713"/>
      <c r="AX308" s="713"/>
    </row>
    <row r="309" spans="1:50" ht="13" hidden="1">
      <c r="A309" s="609">
        <v>80</v>
      </c>
      <c r="B309" s="624" t="str">
        <f t="shared" si="35"/>
        <v>80A</v>
      </c>
      <c r="C309" s="613">
        <v>337879.05</v>
      </c>
      <c r="D309" s="614">
        <v>281307.73</v>
      </c>
      <c r="E309" s="614">
        <v>425330.09</v>
      </c>
      <c r="F309" s="615">
        <v>354116.78</v>
      </c>
      <c r="N309" s="709"/>
      <c r="O309" s="709"/>
      <c r="P309" s="709"/>
      <c r="Q309" s="709"/>
      <c r="R309" s="709"/>
      <c r="T309" s="613">
        <v>116541.59676041908</v>
      </c>
      <c r="U309" s="614">
        <v>97028.957380288732</v>
      </c>
      <c r="V309" s="614">
        <v>146705.30415723345</v>
      </c>
      <c r="W309" s="615">
        <v>122142.33458459871</v>
      </c>
      <c r="Z309" s="613">
        <v>132854.79323011628</v>
      </c>
      <c r="AA309" s="614">
        <v>110610.82419002947</v>
      </c>
      <c r="AB309" s="614">
        <v>167240.7397132052</v>
      </c>
      <c r="AC309" s="615">
        <v>139239.50809803704</v>
      </c>
      <c r="AF309" s="613">
        <v>185990.41</v>
      </c>
      <c r="AG309" s="614">
        <v>154849.9</v>
      </c>
      <c r="AH309" s="614">
        <v>234129.1</v>
      </c>
      <c r="AI309" s="615">
        <v>194928.7</v>
      </c>
      <c r="AL309" s="613">
        <v>210161.42946942186</v>
      </c>
      <c r="AM309" s="614">
        <v>174973.95736639437</v>
      </c>
      <c r="AN309" s="614">
        <v>264556.15239091933</v>
      </c>
      <c r="AO309" s="615">
        <v>220261.33456710813</v>
      </c>
      <c r="AR309" s="613">
        <v>215405.87</v>
      </c>
      <c r="AS309" s="614">
        <v>179340.32</v>
      </c>
      <c r="AT309" s="614">
        <v>271157.98</v>
      </c>
      <c r="AU309" s="615">
        <v>225757.81</v>
      </c>
      <c r="AV309" s="713"/>
      <c r="AW309" s="713"/>
      <c r="AX309" s="713"/>
    </row>
    <row r="310" spans="1:50" ht="13" hidden="1">
      <c r="A310" s="609">
        <v>81</v>
      </c>
      <c r="B310" s="624" t="str">
        <f t="shared" si="35"/>
        <v>81A</v>
      </c>
      <c r="C310" s="613">
        <v>356420.36</v>
      </c>
      <c r="D310" s="614">
        <v>293128.11</v>
      </c>
      <c r="E310" s="614">
        <v>448670.34</v>
      </c>
      <c r="F310" s="615">
        <v>368996.56</v>
      </c>
      <c r="N310" s="709"/>
      <c r="O310" s="709"/>
      <c r="P310" s="709"/>
      <c r="Q310" s="709"/>
      <c r="R310" s="709"/>
      <c r="T310" s="613">
        <v>122936.88726647264</v>
      </c>
      <c r="U310" s="614">
        <v>101106.05583482653</v>
      </c>
      <c r="V310" s="614">
        <v>154755.84632367731</v>
      </c>
      <c r="W310" s="615">
        <v>127274.6820508993</v>
      </c>
      <c r="Z310" s="613">
        <v>140145.28024459345</v>
      </c>
      <c r="AA310" s="614">
        <v>115258.6245223861</v>
      </c>
      <c r="AB310" s="614">
        <v>176418.17630789999</v>
      </c>
      <c r="AC310" s="615">
        <v>145090.26851641544</v>
      </c>
      <c r="AF310" s="613">
        <v>196196.74</v>
      </c>
      <c r="AG310" s="614">
        <v>161356.6</v>
      </c>
      <c r="AH310" s="614">
        <v>246977.08</v>
      </c>
      <c r="AI310" s="615">
        <v>203119.49</v>
      </c>
      <c r="AL310" s="613">
        <v>221694.16483589765</v>
      </c>
      <c r="AM310" s="614">
        <v>182326.25785919363</v>
      </c>
      <c r="AN310" s="614">
        <v>279073.83102871821</v>
      </c>
      <c r="AO310" s="615">
        <v>229516.58342274959</v>
      </c>
      <c r="AR310" s="613">
        <v>227226.4</v>
      </c>
      <c r="AS310" s="614">
        <v>186876.09</v>
      </c>
      <c r="AT310" s="614">
        <v>286037.94</v>
      </c>
      <c r="AU310" s="615">
        <v>235244.02</v>
      </c>
      <c r="AV310" s="713"/>
      <c r="AW310" s="713"/>
      <c r="AX310" s="713"/>
    </row>
    <row r="311" spans="1:50" ht="13" hidden="1">
      <c r="A311" s="609">
        <v>82</v>
      </c>
      <c r="B311" s="624" t="str">
        <f t="shared" si="35"/>
        <v>82A</v>
      </c>
      <c r="C311" s="613">
        <v>375664.72</v>
      </c>
      <c r="D311" s="614">
        <v>304465.73</v>
      </c>
      <c r="E311" s="614">
        <v>472895.59</v>
      </c>
      <c r="F311" s="615">
        <v>383268.62</v>
      </c>
      <c r="N311" s="709"/>
      <c r="O311" s="709"/>
      <c r="P311" s="709"/>
      <c r="Q311" s="709"/>
      <c r="R311" s="709"/>
      <c r="T311" s="613">
        <v>129574.67195523632</v>
      </c>
      <c r="U311" s="614">
        <v>105016.63959236321</v>
      </c>
      <c r="V311" s="614">
        <v>163111.6458730622</v>
      </c>
      <c r="W311" s="615">
        <v>132197.41689862189</v>
      </c>
      <c r="Z311" s="613">
        <v>147712.20516106446</v>
      </c>
      <c r="AA311" s="614">
        <v>119716.60185373013</v>
      </c>
      <c r="AB311" s="614">
        <v>185943.59943804584</v>
      </c>
      <c r="AC311" s="615">
        <v>150702.07527469553</v>
      </c>
      <c r="AF311" s="613">
        <v>206790.08</v>
      </c>
      <c r="AG311" s="614">
        <v>167597.56</v>
      </c>
      <c r="AH311" s="614">
        <v>260312.22</v>
      </c>
      <c r="AI311" s="615">
        <v>210975.75</v>
      </c>
      <c r="AL311" s="613">
        <v>233664.19405704009</v>
      </c>
      <c r="AM311" s="614">
        <v>189378.27958696635</v>
      </c>
      <c r="AN311" s="614">
        <v>294141.98546003865</v>
      </c>
      <c r="AO311" s="615">
        <v>238393.83430359294</v>
      </c>
      <c r="AR311" s="613">
        <v>239495.13</v>
      </c>
      <c r="AS311" s="614">
        <v>194104.09</v>
      </c>
      <c r="AT311" s="614">
        <v>301482.11</v>
      </c>
      <c r="AU311" s="615">
        <v>244342.8</v>
      </c>
      <c r="AV311" s="713"/>
      <c r="AW311" s="713"/>
      <c r="AX311" s="713"/>
    </row>
    <row r="312" spans="1:50" ht="13" hidden="1">
      <c r="A312" s="609">
        <v>83</v>
      </c>
      <c r="B312" s="624" t="str">
        <f t="shared" si="35"/>
        <v>83A</v>
      </c>
      <c r="C312" s="613">
        <v>395719.49</v>
      </c>
      <c r="D312" s="614">
        <v>317376.2</v>
      </c>
      <c r="E312" s="614">
        <v>498141</v>
      </c>
      <c r="F312" s="615">
        <v>399520.63</v>
      </c>
      <c r="N312" s="709"/>
      <c r="O312" s="709"/>
      <c r="P312" s="709"/>
      <c r="Q312" s="709"/>
      <c r="R312" s="709"/>
      <c r="T312" s="613">
        <v>136491.98264861933</v>
      </c>
      <c r="U312" s="614">
        <v>109469.73369988825</v>
      </c>
      <c r="V312" s="614">
        <v>171819.31933414435</v>
      </c>
      <c r="W312" s="615">
        <v>137803.07653985932</v>
      </c>
      <c r="Z312" s="613">
        <v>155597.78342173566</v>
      </c>
      <c r="AA312" s="614">
        <v>124793.02875481082</v>
      </c>
      <c r="AB312" s="614">
        <v>195870.15089559671</v>
      </c>
      <c r="AC312" s="615">
        <v>157092.40090311479</v>
      </c>
      <c r="AF312" s="613">
        <v>217829.51</v>
      </c>
      <c r="AG312" s="614">
        <v>174704.32</v>
      </c>
      <c r="AH312" s="614">
        <v>274208.92</v>
      </c>
      <c r="AI312" s="615">
        <v>219921.91</v>
      </c>
      <c r="AL312" s="613">
        <v>246138.29724265242</v>
      </c>
      <c r="AM312" s="614">
        <v>197408.61939021482</v>
      </c>
      <c r="AN312" s="614">
        <v>309844.68005839776</v>
      </c>
      <c r="AO312" s="615">
        <v>248502.61499709394</v>
      </c>
      <c r="AR312" s="613">
        <v>252280.52</v>
      </c>
      <c r="AS312" s="614">
        <v>202334.82</v>
      </c>
      <c r="AT312" s="614">
        <v>317576.65000000002</v>
      </c>
      <c r="AU312" s="615">
        <v>254703.84</v>
      </c>
      <c r="AV312" s="713"/>
      <c r="AW312" s="713"/>
      <c r="AX312" s="713"/>
    </row>
    <row r="313" spans="1:50" ht="13" hidden="1">
      <c r="A313" s="609">
        <v>84</v>
      </c>
      <c r="B313" s="624" t="str">
        <f t="shared" si="35"/>
        <v>84A</v>
      </c>
      <c r="C313" s="613">
        <v>416712.95</v>
      </c>
      <c r="D313" s="614">
        <v>329902.67</v>
      </c>
      <c r="E313" s="614">
        <v>524568.06999999995</v>
      </c>
      <c r="F313" s="615">
        <v>415289.25</v>
      </c>
      <c r="N313" s="709"/>
      <c r="O313" s="709"/>
      <c r="P313" s="709"/>
      <c r="Q313" s="709"/>
      <c r="R313" s="709"/>
      <c r="T313" s="613">
        <v>143733.07062150873</v>
      </c>
      <c r="U313" s="614">
        <v>113790.37771378345</v>
      </c>
      <c r="V313" s="614">
        <v>180934.57125295803</v>
      </c>
      <c r="W313" s="615">
        <v>143242.00488676268</v>
      </c>
      <c r="Z313" s="613">
        <v>163852.46048246761</v>
      </c>
      <c r="AA313" s="614">
        <v>129718.46553483905</v>
      </c>
      <c r="AB313" s="614">
        <v>206261.33260734155</v>
      </c>
      <c r="AC313" s="615">
        <v>163292.65661444442</v>
      </c>
      <c r="AF313" s="613">
        <v>229385.67</v>
      </c>
      <c r="AG313" s="614">
        <v>181599.7</v>
      </c>
      <c r="AH313" s="614">
        <v>288756.08</v>
      </c>
      <c r="AI313" s="615">
        <v>228601.97</v>
      </c>
      <c r="AL313" s="613">
        <v>259196.27346400716</v>
      </c>
      <c r="AM313" s="614">
        <v>205200.1097029433</v>
      </c>
      <c r="AN313" s="614">
        <v>326282.36777233845</v>
      </c>
      <c r="AO313" s="615">
        <v>258310.72633194042</v>
      </c>
      <c r="AR313" s="613">
        <v>265664.34999999998</v>
      </c>
      <c r="AS313" s="614">
        <v>210320.75</v>
      </c>
      <c r="AT313" s="614">
        <v>334424.53000000003</v>
      </c>
      <c r="AU313" s="615">
        <v>264756.7</v>
      </c>
      <c r="AV313" s="713"/>
      <c r="AW313" s="713"/>
      <c r="AX313" s="713"/>
    </row>
    <row r="314" spans="1:50" ht="13" hidden="1">
      <c r="A314" s="609">
        <v>85</v>
      </c>
      <c r="B314" s="624" t="str">
        <f t="shared" si="35"/>
        <v>85A</v>
      </c>
      <c r="C314" s="613">
        <v>438796.03</v>
      </c>
      <c r="D314" s="614">
        <v>342783</v>
      </c>
      <c r="E314" s="614">
        <v>552366.77</v>
      </c>
      <c r="F314" s="615">
        <v>431503.31</v>
      </c>
      <c r="N314" s="709"/>
      <c r="O314" s="709"/>
      <c r="P314" s="709"/>
      <c r="Q314" s="709"/>
      <c r="R314" s="709"/>
      <c r="T314" s="613">
        <v>151349.99069990686</v>
      </c>
      <c r="U314" s="614">
        <v>118233.07487446332</v>
      </c>
      <c r="V314" s="614">
        <v>190522.92946929453</v>
      </c>
      <c r="W314" s="615">
        <v>148834.57660667738</v>
      </c>
      <c r="Z314" s="613">
        <v>172535.57767148479</v>
      </c>
      <c r="AA314" s="614">
        <v>134783.04015088384</v>
      </c>
      <c r="AB314" s="614">
        <v>217191.84483351614</v>
      </c>
      <c r="AC314" s="615">
        <v>169668.0623075832</v>
      </c>
      <c r="AF314" s="613">
        <v>241541.62</v>
      </c>
      <c r="AG314" s="614">
        <v>188689.86</v>
      </c>
      <c r="AH314" s="614">
        <v>304058.28000000003</v>
      </c>
      <c r="AI314" s="615">
        <v>237527.24</v>
      </c>
      <c r="AL314" s="613">
        <v>272931.99406788155</v>
      </c>
      <c r="AM314" s="614">
        <v>213211.70051637318</v>
      </c>
      <c r="AN314" s="614">
        <v>343573.21606192144</v>
      </c>
      <c r="AO314" s="615">
        <v>268395.90535590507</v>
      </c>
      <c r="AR314" s="613">
        <v>279742.84000000003</v>
      </c>
      <c r="AS314" s="614">
        <v>218532.26</v>
      </c>
      <c r="AT314" s="614">
        <v>352146.86</v>
      </c>
      <c r="AU314" s="615">
        <v>275093.55</v>
      </c>
      <c r="AV314" s="713"/>
      <c r="AW314" s="713"/>
      <c r="AX314" s="713"/>
    </row>
    <row r="315" spans="1:50" ht="13" hidden="1">
      <c r="A315" s="609">
        <v>86</v>
      </c>
      <c r="B315" s="624" t="str">
        <f t="shared" si="35"/>
        <v>86A</v>
      </c>
      <c r="C315" s="613">
        <v>438796.03</v>
      </c>
      <c r="D315" s="614">
        <v>342783</v>
      </c>
      <c r="E315" s="614">
        <v>552366.77</v>
      </c>
      <c r="F315" s="615">
        <v>431503.31</v>
      </c>
      <c r="N315" s="709"/>
      <c r="O315" s="709"/>
      <c r="P315" s="709"/>
      <c r="Q315" s="709"/>
      <c r="R315" s="709"/>
      <c r="T315" s="613">
        <v>151349.99069990686</v>
      </c>
      <c r="U315" s="614">
        <v>118233.07487446332</v>
      </c>
      <c r="V315" s="614">
        <v>190522.92946929453</v>
      </c>
      <c r="W315" s="615">
        <v>148834.57660667738</v>
      </c>
      <c r="Z315" s="613">
        <v>172535.57767148479</v>
      </c>
      <c r="AA315" s="614">
        <v>134783.04015088384</v>
      </c>
      <c r="AB315" s="614">
        <v>217191.84483351614</v>
      </c>
      <c r="AC315" s="615">
        <v>169668.0623075832</v>
      </c>
      <c r="AF315" s="613">
        <v>241541.62</v>
      </c>
      <c r="AG315" s="614">
        <v>188689.86</v>
      </c>
      <c r="AH315" s="614">
        <v>304058.28000000003</v>
      </c>
      <c r="AI315" s="615">
        <v>237527.24</v>
      </c>
      <c r="AL315" s="613">
        <v>272931.99406788155</v>
      </c>
      <c r="AM315" s="614">
        <v>213211.70051637318</v>
      </c>
      <c r="AN315" s="614">
        <v>343573.21606192144</v>
      </c>
      <c r="AO315" s="615">
        <v>268395.90535590507</v>
      </c>
      <c r="AR315" s="613">
        <v>279742.84000000003</v>
      </c>
      <c r="AS315" s="614">
        <v>218532.26</v>
      </c>
      <c r="AT315" s="614">
        <v>352146.86</v>
      </c>
      <c r="AU315" s="615">
        <v>275093.55</v>
      </c>
      <c r="AV315" s="713"/>
      <c r="AW315" s="713"/>
      <c r="AX315" s="713"/>
    </row>
    <row r="316" spans="1:50" ht="13" hidden="1">
      <c r="A316" s="609">
        <v>87</v>
      </c>
      <c r="B316" s="624" t="str">
        <f t="shared" si="35"/>
        <v>87A</v>
      </c>
      <c r="C316" s="613">
        <v>438796.03</v>
      </c>
      <c r="D316" s="614">
        <v>342783</v>
      </c>
      <c r="E316" s="614">
        <v>552366.77</v>
      </c>
      <c r="F316" s="615">
        <v>431503.31</v>
      </c>
      <c r="N316" s="709"/>
      <c r="O316" s="709"/>
      <c r="P316" s="709"/>
      <c r="Q316" s="709"/>
      <c r="R316" s="709"/>
      <c r="T316" s="613">
        <v>151349.99069990686</v>
      </c>
      <c r="U316" s="614">
        <v>118233.07487446332</v>
      </c>
      <c r="V316" s="614">
        <v>190522.92946929453</v>
      </c>
      <c r="W316" s="615">
        <v>148834.57660667738</v>
      </c>
      <c r="Z316" s="613">
        <v>172535.57767148479</v>
      </c>
      <c r="AA316" s="614">
        <v>134783.04015088384</v>
      </c>
      <c r="AB316" s="614">
        <v>217191.84483351614</v>
      </c>
      <c r="AC316" s="615">
        <v>169668.0623075832</v>
      </c>
      <c r="AF316" s="613">
        <v>241541.62</v>
      </c>
      <c r="AG316" s="614">
        <v>188689.86</v>
      </c>
      <c r="AH316" s="614">
        <v>304058.28000000003</v>
      </c>
      <c r="AI316" s="615">
        <v>237527.24</v>
      </c>
      <c r="AL316" s="613">
        <v>272931.99406788155</v>
      </c>
      <c r="AM316" s="614">
        <v>213211.70051637318</v>
      </c>
      <c r="AN316" s="614">
        <v>343573.21606192144</v>
      </c>
      <c r="AO316" s="615">
        <v>268395.90535590507</v>
      </c>
      <c r="AR316" s="613">
        <v>279742.84000000003</v>
      </c>
      <c r="AS316" s="614">
        <v>218532.26</v>
      </c>
      <c r="AT316" s="614">
        <v>352146.86</v>
      </c>
      <c r="AU316" s="615">
        <v>275093.55</v>
      </c>
      <c r="AV316" s="713"/>
      <c r="AW316" s="713"/>
      <c r="AX316" s="713"/>
    </row>
    <row r="317" spans="1:50" ht="13" hidden="1">
      <c r="A317" s="609">
        <v>88</v>
      </c>
      <c r="B317" s="624" t="str">
        <f t="shared" si="35"/>
        <v>88A</v>
      </c>
      <c r="C317" s="613">
        <v>438796.03</v>
      </c>
      <c r="D317" s="614">
        <v>342783</v>
      </c>
      <c r="E317" s="614">
        <v>552366.77</v>
      </c>
      <c r="F317" s="615">
        <v>431503.31</v>
      </c>
      <c r="N317" s="709"/>
      <c r="O317" s="709"/>
      <c r="P317" s="709"/>
      <c r="Q317" s="709"/>
      <c r="R317" s="709"/>
      <c r="T317" s="613">
        <v>151349.99069990686</v>
      </c>
      <c r="U317" s="614">
        <v>118233.07487446332</v>
      </c>
      <c r="V317" s="614">
        <v>190522.92946929453</v>
      </c>
      <c r="W317" s="615">
        <v>148834.57660667738</v>
      </c>
      <c r="Z317" s="613">
        <v>172535.57767148479</v>
      </c>
      <c r="AA317" s="614">
        <v>134783.04015088384</v>
      </c>
      <c r="AB317" s="614">
        <v>217191.84483351614</v>
      </c>
      <c r="AC317" s="615">
        <v>169668.0623075832</v>
      </c>
      <c r="AF317" s="613">
        <v>241541.62</v>
      </c>
      <c r="AG317" s="614">
        <v>188689.86</v>
      </c>
      <c r="AH317" s="614">
        <v>304058.28000000003</v>
      </c>
      <c r="AI317" s="615">
        <v>237527.24</v>
      </c>
      <c r="AL317" s="613">
        <v>272931.99406788155</v>
      </c>
      <c r="AM317" s="614">
        <v>213211.70051637318</v>
      </c>
      <c r="AN317" s="614">
        <v>343573.21606192144</v>
      </c>
      <c r="AO317" s="615">
        <v>268395.90535590507</v>
      </c>
      <c r="AR317" s="613">
        <v>279742.84000000003</v>
      </c>
      <c r="AS317" s="614">
        <v>218532.26</v>
      </c>
      <c r="AT317" s="614">
        <v>352146.86</v>
      </c>
      <c r="AU317" s="615">
        <v>275093.55</v>
      </c>
      <c r="AV317" s="713"/>
      <c r="AW317" s="713"/>
      <c r="AX317" s="713"/>
    </row>
    <row r="318" spans="1:50" ht="13" hidden="1">
      <c r="A318" s="609">
        <v>89</v>
      </c>
      <c r="B318" s="624" t="str">
        <f t="shared" si="35"/>
        <v>89A</v>
      </c>
      <c r="C318" s="613">
        <v>438796.03</v>
      </c>
      <c r="D318" s="614">
        <v>342783</v>
      </c>
      <c r="E318" s="614">
        <v>552366.77</v>
      </c>
      <c r="F318" s="615">
        <v>431503.31</v>
      </c>
      <c r="N318" s="709"/>
      <c r="O318" s="709"/>
      <c r="P318" s="709"/>
      <c r="Q318" s="709"/>
      <c r="R318" s="709"/>
      <c r="T318" s="613">
        <v>151349.99069990686</v>
      </c>
      <c r="U318" s="614">
        <v>118233.07487446332</v>
      </c>
      <c r="V318" s="614">
        <v>190522.92946929453</v>
      </c>
      <c r="W318" s="615">
        <v>148834.57660667738</v>
      </c>
      <c r="Z318" s="613">
        <v>172535.57767148479</v>
      </c>
      <c r="AA318" s="614">
        <v>134783.04015088384</v>
      </c>
      <c r="AB318" s="614">
        <v>217191.84483351614</v>
      </c>
      <c r="AC318" s="615">
        <v>169668.0623075832</v>
      </c>
      <c r="AF318" s="613">
        <v>241541.62</v>
      </c>
      <c r="AG318" s="614">
        <v>188689.86</v>
      </c>
      <c r="AH318" s="614">
        <v>304058.28000000003</v>
      </c>
      <c r="AI318" s="615">
        <v>237527.24</v>
      </c>
      <c r="AL318" s="613">
        <v>272931.99406788155</v>
      </c>
      <c r="AM318" s="614">
        <v>213211.70051637318</v>
      </c>
      <c r="AN318" s="614">
        <v>343573.21606192144</v>
      </c>
      <c r="AO318" s="615">
        <v>268395.90535590507</v>
      </c>
      <c r="AR318" s="613">
        <v>279742.84000000003</v>
      </c>
      <c r="AS318" s="614">
        <v>218532.26</v>
      </c>
      <c r="AT318" s="614">
        <v>352146.86</v>
      </c>
      <c r="AU318" s="615">
        <v>275093.55</v>
      </c>
      <c r="AV318" s="713"/>
      <c r="AW318" s="713"/>
      <c r="AX318" s="713"/>
    </row>
    <row r="319" spans="1:50" ht="13" hidden="1">
      <c r="A319" s="609">
        <v>90</v>
      </c>
      <c r="B319" s="624" t="str">
        <f t="shared" si="35"/>
        <v>90A</v>
      </c>
      <c r="C319" s="613">
        <v>438796.03</v>
      </c>
      <c r="D319" s="614">
        <v>342783</v>
      </c>
      <c r="E319" s="614">
        <v>552366.77</v>
      </c>
      <c r="F319" s="615">
        <v>431503.31</v>
      </c>
      <c r="N319" s="709"/>
      <c r="O319" s="709"/>
      <c r="P319" s="709"/>
      <c r="Q319" s="709"/>
      <c r="R319" s="709"/>
      <c r="T319" s="613">
        <v>151349.99069990686</v>
      </c>
      <c r="U319" s="614">
        <v>118233.07487446332</v>
      </c>
      <c r="V319" s="614">
        <v>190522.92946929453</v>
      </c>
      <c r="W319" s="615">
        <v>148834.57660667738</v>
      </c>
      <c r="Z319" s="613">
        <v>172535.57767148479</v>
      </c>
      <c r="AA319" s="614">
        <v>134783.04015088384</v>
      </c>
      <c r="AB319" s="614">
        <v>217191.84483351614</v>
      </c>
      <c r="AC319" s="615">
        <v>169668.0623075832</v>
      </c>
      <c r="AF319" s="613">
        <v>241541.62</v>
      </c>
      <c r="AG319" s="614">
        <v>188689.86</v>
      </c>
      <c r="AH319" s="614">
        <v>304058.28000000003</v>
      </c>
      <c r="AI319" s="615">
        <v>237527.24</v>
      </c>
      <c r="AL319" s="613">
        <v>272931.99406788155</v>
      </c>
      <c r="AM319" s="614">
        <v>213211.70051637318</v>
      </c>
      <c r="AN319" s="614">
        <v>343573.21606192144</v>
      </c>
      <c r="AO319" s="615">
        <v>268395.90535590507</v>
      </c>
      <c r="AR319" s="613">
        <v>279742.84000000003</v>
      </c>
      <c r="AS319" s="614">
        <v>218532.26</v>
      </c>
      <c r="AT319" s="614">
        <v>352146.86</v>
      </c>
      <c r="AU319" s="615">
        <v>275093.55</v>
      </c>
      <c r="AV319" s="713"/>
      <c r="AW319" s="713"/>
      <c r="AX319" s="713"/>
    </row>
    <row r="320" spans="1:50" ht="13" hidden="1">
      <c r="A320" s="609">
        <v>91</v>
      </c>
      <c r="B320" s="624" t="str">
        <f t="shared" si="35"/>
        <v>91A</v>
      </c>
      <c r="C320" s="613">
        <v>438796.03</v>
      </c>
      <c r="D320" s="614">
        <v>342783</v>
      </c>
      <c r="E320" s="614">
        <v>552366.77</v>
      </c>
      <c r="F320" s="615">
        <v>431503.31</v>
      </c>
      <c r="N320" s="709"/>
      <c r="O320" s="709"/>
      <c r="P320" s="709"/>
      <c r="Q320" s="709"/>
      <c r="R320" s="709"/>
      <c r="T320" s="613">
        <v>151349.99069990686</v>
      </c>
      <c r="U320" s="614">
        <v>118233.07487446332</v>
      </c>
      <c r="V320" s="614">
        <v>190522.92946929453</v>
      </c>
      <c r="W320" s="615">
        <v>148834.57660667738</v>
      </c>
      <c r="Z320" s="613">
        <v>172535.57767148479</v>
      </c>
      <c r="AA320" s="614">
        <v>134783.04015088384</v>
      </c>
      <c r="AB320" s="614">
        <v>217191.84483351614</v>
      </c>
      <c r="AC320" s="615">
        <v>169668.0623075832</v>
      </c>
      <c r="AF320" s="613">
        <v>241541.62</v>
      </c>
      <c r="AG320" s="614">
        <v>188689.86</v>
      </c>
      <c r="AH320" s="614">
        <v>304058.28000000003</v>
      </c>
      <c r="AI320" s="615">
        <v>237527.24</v>
      </c>
      <c r="AL320" s="613">
        <v>272931.99406788155</v>
      </c>
      <c r="AM320" s="614">
        <v>213211.70051637318</v>
      </c>
      <c r="AN320" s="614">
        <v>343573.21606192144</v>
      </c>
      <c r="AO320" s="615">
        <v>268395.90535590507</v>
      </c>
      <c r="AR320" s="613">
        <v>279742.84000000003</v>
      </c>
      <c r="AS320" s="614">
        <v>218532.26</v>
      </c>
      <c r="AT320" s="614">
        <v>352146.86</v>
      </c>
      <c r="AU320" s="615">
        <v>275093.55</v>
      </c>
      <c r="AV320" s="713"/>
      <c r="AW320" s="713"/>
      <c r="AX320" s="713"/>
    </row>
    <row r="321" spans="1:50" ht="13" hidden="1">
      <c r="A321" s="609">
        <v>92</v>
      </c>
      <c r="B321" s="624" t="str">
        <f t="shared" si="35"/>
        <v>92A</v>
      </c>
      <c r="C321" s="613">
        <v>438796.03</v>
      </c>
      <c r="D321" s="614">
        <v>342783</v>
      </c>
      <c r="E321" s="614">
        <v>552366.77</v>
      </c>
      <c r="F321" s="615">
        <v>431503.31</v>
      </c>
      <c r="N321" s="709"/>
      <c r="O321" s="709"/>
      <c r="P321" s="709"/>
      <c r="Q321" s="709"/>
      <c r="R321" s="709"/>
      <c r="T321" s="613">
        <v>151349.99069990686</v>
      </c>
      <c r="U321" s="614">
        <v>118233.07487446332</v>
      </c>
      <c r="V321" s="614">
        <v>190522.92946929453</v>
      </c>
      <c r="W321" s="615">
        <v>148834.57660667738</v>
      </c>
      <c r="Z321" s="613">
        <v>172535.57767148479</v>
      </c>
      <c r="AA321" s="614">
        <v>134783.04015088384</v>
      </c>
      <c r="AB321" s="614">
        <v>217191.84483351614</v>
      </c>
      <c r="AC321" s="615">
        <v>169668.0623075832</v>
      </c>
      <c r="AF321" s="613">
        <v>241541.62</v>
      </c>
      <c r="AG321" s="614">
        <v>188689.86</v>
      </c>
      <c r="AH321" s="614">
        <v>304058.28000000003</v>
      </c>
      <c r="AI321" s="615">
        <v>237527.24</v>
      </c>
      <c r="AL321" s="613">
        <v>272931.99406788155</v>
      </c>
      <c r="AM321" s="614">
        <v>213211.70051637318</v>
      </c>
      <c r="AN321" s="614">
        <v>343573.21606192144</v>
      </c>
      <c r="AO321" s="615">
        <v>268395.90535590507</v>
      </c>
      <c r="AR321" s="613">
        <v>279742.84000000003</v>
      </c>
      <c r="AS321" s="614">
        <v>218532.26</v>
      </c>
      <c r="AT321" s="614">
        <v>352146.86</v>
      </c>
      <c r="AU321" s="615">
        <v>275093.55</v>
      </c>
      <c r="AV321" s="713"/>
      <c r="AW321" s="713"/>
      <c r="AX321" s="713"/>
    </row>
    <row r="322" spans="1:50" ht="13" hidden="1">
      <c r="A322" s="609">
        <v>93</v>
      </c>
      <c r="B322" s="624" t="str">
        <f t="shared" si="35"/>
        <v>93A</v>
      </c>
      <c r="C322" s="613">
        <v>438796.03</v>
      </c>
      <c r="D322" s="614">
        <v>342783</v>
      </c>
      <c r="E322" s="614">
        <v>552366.77</v>
      </c>
      <c r="F322" s="615">
        <v>431503.31</v>
      </c>
      <c r="N322" s="709"/>
      <c r="O322" s="709"/>
      <c r="P322" s="709"/>
      <c r="Q322" s="709"/>
      <c r="R322" s="709"/>
      <c r="T322" s="613">
        <v>151349.99069990686</v>
      </c>
      <c r="U322" s="614">
        <v>118233.07487446332</v>
      </c>
      <c r="V322" s="614">
        <v>190522.92946929453</v>
      </c>
      <c r="W322" s="615">
        <v>148834.57660667738</v>
      </c>
      <c r="Z322" s="613">
        <v>172535.57767148479</v>
      </c>
      <c r="AA322" s="614">
        <v>134783.04015088384</v>
      </c>
      <c r="AB322" s="614">
        <v>217191.84483351614</v>
      </c>
      <c r="AC322" s="615">
        <v>169668.0623075832</v>
      </c>
      <c r="AF322" s="613">
        <v>241541.62</v>
      </c>
      <c r="AG322" s="614">
        <v>188689.86</v>
      </c>
      <c r="AH322" s="614">
        <v>304058.28000000003</v>
      </c>
      <c r="AI322" s="615">
        <v>237527.24</v>
      </c>
      <c r="AL322" s="613">
        <v>272931.99406788155</v>
      </c>
      <c r="AM322" s="614">
        <v>213211.70051637318</v>
      </c>
      <c r="AN322" s="614">
        <v>343573.21606192144</v>
      </c>
      <c r="AO322" s="615">
        <v>268395.90535590507</v>
      </c>
      <c r="AR322" s="613">
        <v>279742.84000000003</v>
      </c>
      <c r="AS322" s="614">
        <v>218532.26</v>
      </c>
      <c r="AT322" s="614">
        <v>352146.86</v>
      </c>
      <c r="AU322" s="615">
        <v>275093.55</v>
      </c>
      <c r="AV322" s="713"/>
      <c r="AW322" s="713"/>
      <c r="AX322" s="713"/>
    </row>
    <row r="323" spans="1:50" ht="13" hidden="1">
      <c r="A323" s="609">
        <v>94</v>
      </c>
      <c r="B323" s="624" t="str">
        <f t="shared" si="35"/>
        <v>94A</v>
      </c>
      <c r="C323" s="613">
        <v>438796.03</v>
      </c>
      <c r="D323" s="614">
        <v>342783</v>
      </c>
      <c r="E323" s="614">
        <v>552366.77</v>
      </c>
      <c r="F323" s="615">
        <v>431503.31</v>
      </c>
      <c r="N323" s="709"/>
      <c r="O323" s="709"/>
      <c r="P323" s="709"/>
      <c r="Q323" s="709"/>
      <c r="R323" s="709"/>
      <c r="T323" s="613">
        <v>151349.99069990686</v>
      </c>
      <c r="U323" s="614">
        <v>118233.07487446332</v>
      </c>
      <c r="V323" s="614">
        <v>190522.92946929453</v>
      </c>
      <c r="W323" s="615">
        <v>148834.57660667738</v>
      </c>
      <c r="Z323" s="613">
        <v>172535.57767148479</v>
      </c>
      <c r="AA323" s="614">
        <v>134783.04015088384</v>
      </c>
      <c r="AB323" s="614">
        <v>217191.84483351614</v>
      </c>
      <c r="AC323" s="615">
        <v>169668.0623075832</v>
      </c>
      <c r="AF323" s="613">
        <v>241541.62</v>
      </c>
      <c r="AG323" s="614">
        <v>188689.86</v>
      </c>
      <c r="AH323" s="614">
        <v>304058.28000000003</v>
      </c>
      <c r="AI323" s="615">
        <v>237527.24</v>
      </c>
      <c r="AL323" s="613">
        <v>272931.99406788155</v>
      </c>
      <c r="AM323" s="614">
        <v>213211.70051637318</v>
      </c>
      <c r="AN323" s="614">
        <v>343573.21606192144</v>
      </c>
      <c r="AO323" s="615">
        <v>268395.90535590507</v>
      </c>
      <c r="AR323" s="613">
        <v>279742.84000000003</v>
      </c>
      <c r="AS323" s="614">
        <v>218532.26</v>
      </c>
      <c r="AT323" s="614">
        <v>352146.86</v>
      </c>
      <c r="AU323" s="615">
        <v>275093.55</v>
      </c>
      <c r="AV323" s="713"/>
      <c r="AW323" s="713"/>
      <c r="AX323" s="713"/>
    </row>
    <row r="324" spans="1:50" ht="13" hidden="1">
      <c r="A324" s="609">
        <v>95</v>
      </c>
      <c r="B324" s="624" t="str">
        <f t="shared" si="35"/>
        <v>95A</v>
      </c>
      <c r="C324" s="613">
        <v>438796.03</v>
      </c>
      <c r="D324" s="614">
        <v>342783</v>
      </c>
      <c r="E324" s="614">
        <v>552366.77</v>
      </c>
      <c r="F324" s="615">
        <v>431503.31</v>
      </c>
      <c r="N324" s="709"/>
      <c r="O324" s="709"/>
      <c r="P324" s="709"/>
      <c r="Q324" s="709"/>
      <c r="R324" s="709"/>
      <c r="T324" s="613">
        <v>151349.99069990686</v>
      </c>
      <c r="U324" s="614">
        <v>118233.07487446332</v>
      </c>
      <c r="V324" s="614">
        <v>190522.92946929453</v>
      </c>
      <c r="W324" s="615">
        <v>148834.57660667738</v>
      </c>
      <c r="Z324" s="613">
        <v>172535.57767148479</v>
      </c>
      <c r="AA324" s="614">
        <v>134783.04015088384</v>
      </c>
      <c r="AB324" s="614">
        <v>217191.84483351614</v>
      </c>
      <c r="AC324" s="615">
        <v>169668.0623075832</v>
      </c>
      <c r="AF324" s="613">
        <v>241541.62</v>
      </c>
      <c r="AG324" s="614">
        <v>188689.86</v>
      </c>
      <c r="AH324" s="614">
        <v>304058.28000000003</v>
      </c>
      <c r="AI324" s="615">
        <v>237527.24</v>
      </c>
      <c r="AL324" s="613">
        <v>272931.99406788155</v>
      </c>
      <c r="AM324" s="614">
        <v>213211.70051637318</v>
      </c>
      <c r="AN324" s="614">
        <v>343573.21606192144</v>
      </c>
      <c r="AO324" s="615">
        <v>268395.90535590507</v>
      </c>
      <c r="AR324" s="613">
        <v>279742.84000000003</v>
      </c>
      <c r="AS324" s="614">
        <v>218532.26</v>
      </c>
      <c r="AT324" s="614">
        <v>352146.86</v>
      </c>
      <c r="AU324" s="615">
        <v>275093.55</v>
      </c>
      <c r="AV324" s="713"/>
      <c r="AW324" s="713"/>
      <c r="AX324" s="713"/>
    </row>
    <row r="325" spans="1:50" ht="13" hidden="1">
      <c r="A325" s="609">
        <v>96</v>
      </c>
      <c r="B325" s="624" t="str">
        <f t="shared" si="35"/>
        <v>96A</v>
      </c>
      <c r="C325" s="613">
        <v>438796.03</v>
      </c>
      <c r="D325" s="614">
        <v>342783</v>
      </c>
      <c r="E325" s="614">
        <v>552366.77</v>
      </c>
      <c r="F325" s="615">
        <v>431503.31</v>
      </c>
      <c r="N325" s="709"/>
      <c r="O325" s="709"/>
      <c r="P325" s="709"/>
      <c r="Q325" s="709"/>
      <c r="R325" s="709"/>
      <c r="T325" s="613">
        <v>151349.99069990686</v>
      </c>
      <c r="U325" s="614">
        <v>118233.07487446332</v>
      </c>
      <c r="V325" s="614">
        <v>190522.92946929453</v>
      </c>
      <c r="W325" s="615">
        <v>148834.57660667738</v>
      </c>
      <c r="Z325" s="613">
        <v>172535.57767148479</v>
      </c>
      <c r="AA325" s="614">
        <v>134783.04015088384</v>
      </c>
      <c r="AB325" s="614">
        <v>217191.84483351614</v>
      </c>
      <c r="AC325" s="615">
        <v>169668.0623075832</v>
      </c>
      <c r="AF325" s="613">
        <v>241541.62</v>
      </c>
      <c r="AG325" s="614">
        <v>188689.86</v>
      </c>
      <c r="AH325" s="614">
        <v>304058.28000000003</v>
      </c>
      <c r="AI325" s="615">
        <v>237527.24</v>
      </c>
      <c r="AL325" s="613">
        <v>272931.99406788155</v>
      </c>
      <c r="AM325" s="614">
        <v>213211.70051637318</v>
      </c>
      <c r="AN325" s="614">
        <v>343573.21606192144</v>
      </c>
      <c r="AO325" s="615">
        <v>268395.90535590507</v>
      </c>
      <c r="AR325" s="613">
        <v>279742.84000000003</v>
      </c>
      <c r="AS325" s="614">
        <v>218532.26</v>
      </c>
      <c r="AT325" s="614">
        <v>352146.86</v>
      </c>
      <c r="AU325" s="615">
        <v>275093.55</v>
      </c>
      <c r="AV325" s="713"/>
      <c r="AW325" s="713"/>
      <c r="AX325" s="713"/>
    </row>
    <row r="326" spans="1:50" ht="13" hidden="1">
      <c r="A326" s="609">
        <v>97</v>
      </c>
      <c r="B326" s="624" t="str">
        <f t="shared" si="35"/>
        <v>97A</v>
      </c>
      <c r="C326" s="613">
        <v>438796.03</v>
      </c>
      <c r="D326" s="614">
        <v>342783</v>
      </c>
      <c r="E326" s="614">
        <v>552366.77</v>
      </c>
      <c r="F326" s="615">
        <v>431503.31</v>
      </c>
      <c r="N326" s="709"/>
      <c r="O326" s="709"/>
      <c r="P326" s="709"/>
      <c r="Q326" s="709"/>
      <c r="R326" s="709"/>
      <c r="T326" s="613">
        <v>151349.99069990686</v>
      </c>
      <c r="U326" s="614">
        <v>118233.07487446332</v>
      </c>
      <c r="V326" s="614">
        <v>190522.92946929453</v>
      </c>
      <c r="W326" s="615">
        <v>148834.57660667738</v>
      </c>
      <c r="Z326" s="613">
        <v>172535.57767148479</v>
      </c>
      <c r="AA326" s="614">
        <v>134783.04015088384</v>
      </c>
      <c r="AB326" s="614">
        <v>217191.84483351614</v>
      </c>
      <c r="AC326" s="615">
        <v>169668.0623075832</v>
      </c>
      <c r="AF326" s="613">
        <v>241541.62</v>
      </c>
      <c r="AG326" s="614">
        <v>188689.86</v>
      </c>
      <c r="AH326" s="614">
        <v>304058.28000000003</v>
      </c>
      <c r="AI326" s="615">
        <v>237527.24</v>
      </c>
      <c r="AL326" s="613">
        <v>272931.99406788155</v>
      </c>
      <c r="AM326" s="614">
        <v>213211.70051637318</v>
      </c>
      <c r="AN326" s="614">
        <v>343573.21606192144</v>
      </c>
      <c r="AO326" s="615">
        <v>268395.90535590507</v>
      </c>
      <c r="AR326" s="613">
        <v>279742.84000000003</v>
      </c>
      <c r="AS326" s="614">
        <v>218532.26</v>
      </c>
      <c r="AT326" s="614">
        <v>352146.86</v>
      </c>
      <c r="AU326" s="615">
        <v>275093.55</v>
      </c>
      <c r="AV326" s="713"/>
      <c r="AW326" s="713"/>
      <c r="AX326" s="713"/>
    </row>
    <row r="327" spans="1:50" ht="13" hidden="1">
      <c r="A327" s="609">
        <v>98</v>
      </c>
      <c r="B327" s="624" t="str">
        <f t="shared" si="35"/>
        <v>98A</v>
      </c>
      <c r="C327" s="613">
        <v>438796.03</v>
      </c>
      <c r="D327" s="614">
        <v>342783</v>
      </c>
      <c r="E327" s="614">
        <v>552366.77</v>
      </c>
      <c r="F327" s="615">
        <v>431503.31</v>
      </c>
      <c r="N327" s="709"/>
      <c r="O327" s="709"/>
      <c r="P327" s="709"/>
      <c r="Q327" s="709"/>
      <c r="R327" s="709"/>
      <c r="T327" s="613">
        <v>151349.99069990686</v>
      </c>
      <c r="U327" s="614">
        <v>118233.07487446332</v>
      </c>
      <c r="V327" s="614">
        <v>190522.92946929453</v>
      </c>
      <c r="W327" s="615">
        <v>148834.57660667738</v>
      </c>
      <c r="Z327" s="613">
        <v>172535.57767148479</v>
      </c>
      <c r="AA327" s="614">
        <v>134783.04015088384</v>
      </c>
      <c r="AB327" s="614">
        <v>217191.84483351614</v>
      </c>
      <c r="AC327" s="615">
        <v>169668.0623075832</v>
      </c>
      <c r="AF327" s="613">
        <v>241541.62</v>
      </c>
      <c r="AG327" s="614">
        <v>188689.86</v>
      </c>
      <c r="AH327" s="614">
        <v>304058.28000000003</v>
      </c>
      <c r="AI327" s="615">
        <v>237527.24</v>
      </c>
      <c r="AL327" s="613">
        <v>272931.99406788155</v>
      </c>
      <c r="AM327" s="614">
        <v>213211.70051637318</v>
      </c>
      <c r="AN327" s="614">
        <v>343573.21606192144</v>
      </c>
      <c r="AO327" s="615">
        <v>268395.90535590507</v>
      </c>
      <c r="AR327" s="613">
        <v>279742.84000000003</v>
      </c>
      <c r="AS327" s="614">
        <v>218532.26</v>
      </c>
      <c r="AT327" s="614">
        <v>352146.86</v>
      </c>
      <c r="AU327" s="615">
        <v>275093.55</v>
      </c>
      <c r="AV327" s="713"/>
      <c r="AW327" s="713"/>
      <c r="AX327" s="713"/>
    </row>
    <row r="328" spans="1:50" ht="13" hidden="1">
      <c r="A328" s="609">
        <v>99</v>
      </c>
      <c r="B328" s="624" t="str">
        <f t="shared" si="35"/>
        <v>99A</v>
      </c>
      <c r="C328" s="613">
        <v>438796.03</v>
      </c>
      <c r="D328" s="614">
        <v>342783</v>
      </c>
      <c r="E328" s="614">
        <v>552366.77</v>
      </c>
      <c r="F328" s="615">
        <v>431503.31</v>
      </c>
      <c r="N328" s="709"/>
      <c r="O328" s="709"/>
      <c r="P328" s="709"/>
      <c r="Q328" s="709"/>
      <c r="R328" s="709"/>
      <c r="T328" s="613">
        <v>151349.99069990686</v>
      </c>
      <c r="U328" s="614">
        <v>118233.07487446332</v>
      </c>
      <c r="V328" s="614">
        <v>190522.92946929453</v>
      </c>
      <c r="W328" s="615">
        <v>148834.57660667738</v>
      </c>
      <c r="Z328" s="613">
        <v>172535.57767148479</v>
      </c>
      <c r="AA328" s="614">
        <v>134783.04015088384</v>
      </c>
      <c r="AB328" s="614">
        <v>217191.84483351614</v>
      </c>
      <c r="AC328" s="615">
        <v>169668.0623075832</v>
      </c>
      <c r="AF328" s="613">
        <v>241541.62</v>
      </c>
      <c r="AG328" s="614">
        <v>188689.86</v>
      </c>
      <c r="AH328" s="614">
        <v>304058.28000000003</v>
      </c>
      <c r="AI328" s="615">
        <v>237527.24</v>
      </c>
      <c r="AL328" s="613">
        <v>272931.99406788155</v>
      </c>
      <c r="AM328" s="614">
        <v>213211.70051637318</v>
      </c>
      <c r="AN328" s="614">
        <v>343573.21606192144</v>
      </c>
      <c r="AO328" s="615">
        <v>268395.90535590507</v>
      </c>
      <c r="AR328" s="613">
        <v>279742.84000000003</v>
      </c>
      <c r="AS328" s="614">
        <v>218532.26</v>
      </c>
      <c r="AT328" s="614">
        <v>352146.86</v>
      </c>
      <c r="AU328" s="615">
        <v>275093.55</v>
      </c>
      <c r="AV328" s="713"/>
      <c r="AW328" s="713"/>
      <c r="AX328" s="713"/>
    </row>
    <row r="329" spans="1:50" ht="13" hidden="1">
      <c r="A329" s="616">
        <v>100</v>
      </c>
      <c r="B329" s="624" t="str">
        <f t="shared" si="35"/>
        <v>100A</v>
      </c>
      <c r="C329" s="617">
        <v>438796.03</v>
      </c>
      <c r="D329" s="618">
        <v>342783</v>
      </c>
      <c r="E329" s="618">
        <v>552366.77</v>
      </c>
      <c r="F329" s="619">
        <v>431503.31</v>
      </c>
      <c r="N329" s="709"/>
      <c r="O329" s="709"/>
      <c r="P329" s="709"/>
      <c r="Q329" s="709"/>
      <c r="R329" s="709"/>
      <c r="T329" s="617">
        <v>151349.99069990686</v>
      </c>
      <c r="U329" s="618">
        <v>118233.07487446332</v>
      </c>
      <c r="V329" s="618">
        <v>190522.92946929453</v>
      </c>
      <c r="W329" s="619">
        <v>148834.57660667738</v>
      </c>
      <c r="Z329" s="617">
        <v>172535.57767148479</v>
      </c>
      <c r="AA329" s="618">
        <v>134783.04015088384</v>
      </c>
      <c r="AB329" s="618">
        <v>217191.84483351614</v>
      </c>
      <c r="AC329" s="619">
        <v>169668.0623075832</v>
      </c>
      <c r="AF329" s="617">
        <v>241541.62</v>
      </c>
      <c r="AG329" s="618">
        <v>188689.86</v>
      </c>
      <c r="AH329" s="618">
        <v>304058.28000000003</v>
      </c>
      <c r="AI329" s="619">
        <v>237527.24</v>
      </c>
      <c r="AL329" s="617">
        <v>272931.99406788155</v>
      </c>
      <c r="AM329" s="618">
        <v>213211.70051637318</v>
      </c>
      <c r="AN329" s="618">
        <v>343573.21606192144</v>
      </c>
      <c r="AO329" s="619">
        <v>268395.90535590507</v>
      </c>
      <c r="AR329" s="617">
        <v>279742.84000000003</v>
      </c>
      <c r="AS329" s="618">
        <v>218532.26</v>
      </c>
      <c r="AT329" s="618">
        <v>352146.86</v>
      </c>
      <c r="AU329" s="619">
        <v>275093.55</v>
      </c>
      <c r="AV329" s="713"/>
      <c r="AW329" s="713"/>
      <c r="AX329" s="713"/>
    </row>
    <row r="330" spans="1:50" ht="13" hidden="1">
      <c r="A330" s="596"/>
      <c r="B330" s="596"/>
      <c r="C330" s="596"/>
      <c r="D330" s="596"/>
      <c r="E330" s="596"/>
      <c r="F330" s="596"/>
      <c r="T330" s="596"/>
      <c r="U330" s="596"/>
      <c r="V330" s="596"/>
      <c r="W330" s="596"/>
      <c r="AL330" s="596"/>
      <c r="AM330" s="596"/>
      <c r="AN330" s="596"/>
      <c r="AO330" s="596"/>
      <c r="AR330" s="596"/>
      <c r="AS330" s="596"/>
      <c r="AT330" s="596"/>
      <c r="AU330" s="596"/>
    </row>
    <row r="331" spans="1:50" ht="13" hidden="1">
      <c r="A331" s="596"/>
      <c r="B331" s="596"/>
      <c r="C331" s="596"/>
      <c r="D331" s="596"/>
      <c r="E331" s="596"/>
      <c r="F331" s="596"/>
      <c r="T331" s="596"/>
      <c r="U331" s="596"/>
      <c r="V331" s="596"/>
      <c r="W331" s="596"/>
      <c r="AL331" s="596"/>
      <c r="AM331" s="596"/>
      <c r="AN331" s="596"/>
      <c r="AO331" s="596"/>
      <c r="AR331" s="596"/>
      <c r="AS331" s="596"/>
      <c r="AT331" s="596"/>
      <c r="AU331" s="596"/>
    </row>
    <row r="332" spans="1:50" ht="13" hidden="1">
      <c r="A332" s="596"/>
      <c r="B332" s="596"/>
      <c r="C332" s="596"/>
      <c r="D332" s="596"/>
      <c r="E332" s="596"/>
      <c r="F332" s="596"/>
      <c r="T332" s="596"/>
      <c r="U332" s="596"/>
      <c r="V332" s="596"/>
      <c r="W332" s="596"/>
      <c r="AL332" s="596"/>
      <c r="AM332" s="596"/>
      <c r="AN332" s="596"/>
      <c r="AO332" s="596"/>
      <c r="AR332" s="596"/>
      <c r="AS332" s="596"/>
      <c r="AT332" s="596"/>
      <c r="AU332" s="596"/>
    </row>
    <row r="333" spans="1:50" ht="13" hidden="1">
      <c r="A333" s="596"/>
      <c r="B333" s="596"/>
      <c r="C333" s="597" t="s">
        <v>48</v>
      </c>
      <c r="D333" s="598" t="s">
        <v>328</v>
      </c>
      <c r="E333" s="598"/>
      <c r="F333" s="599"/>
      <c r="T333" s="597" t="s">
        <v>48</v>
      </c>
      <c r="U333" s="598" t="s">
        <v>328</v>
      </c>
      <c r="V333" s="598"/>
      <c r="W333" s="599"/>
      <c r="Z333" s="597" t="s">
        <v>48</v>
      </c>
      <c r="AA333" s="598" t="s">
        <v>328</v>
      </c>
      <c r="AB333" s="598"/>
      <c r="AC333" s="599"/>
      <c r="AF333" s="597" t="s">
        <v>48</v>
      </c>
      <c r="AG333" s="598" t="s">
        <v>328</v>
      </c>
      <c r="AH333" s="598"/>
      <c r="AI333" s="599"/>
      <c r="AL333" s="597" t="s">
        <v>48</v>
      </c>
      <c r="AM333" s="598" t="s">
        <v>328</v>
      </c>
      <c r="AN333" s="598"/>
      <c r="AO333" s="599"/>
      <c r="AR333" s="597" t="s">
        <v>48</v>
      </c>
      <c r="AS333" s="598" t="s">
        <v>328</v>
      </c>
      <c r="AT333" s="598"/>
      <c r="AU333" s="599"/>
      <c r="AV333" s="530" t="s">
        <v>357</v>
      </c>
    </row>
    <row r="334" spans="1:50" ht="13" hidden="1">
      <c r="A334" s="596"/>
      <c r="B334" s="600" t="s">
        <v>48</v>
      </c>
      <c r="C334" s="620" t="s">
        <v>293</v>
      </c>
      <c r="D334" s="621" t="s">
        <v>293</v>
      </c>
      <c r="E334" s="622" t="s">
        <v>294</v>
      </c>
      <c r="F334" s="623" t="s">
        <v>294</v>
      </c>
      <c r="T334" s="620" t="s">
        <v>293</v>
      </c>
      <c r="U334" s="621" t="s">
        <v>293</v>
      </c>
      <c r="V334" s="622" t="s">
        <v>294</v>
      </c>
      <c r="W334" s="623" t="s">
        <v>294</v>
      </c>
      <c r="Z334" s="620" t="s">
        <v>293</v>
      </c>
      <c r="AA334" s="621" t="s">
        <v>293</v>
      </c>
      <c r="AB334" s="622" t="s">
        <v>294</v>
      </c>
      <c r="AC334" s="623" t="s">
        <v>294</v>
      </c>
      <c r="AF334" s="620" t="s">
        <v>293</v>
      </c>
      <c r="AG334" s="621" t="s">
        <v>293</v>
      </c>
      <c r="AH334" s="622" t="s">
        <v>294</v>
      </c>
      <c r="AI334" s="623" t="s">
        <v>294</v>
      </c>
      <c r="AL334" s="620" t="s">
        <v>293</v>
      </c>
      <c r="AM334" s="621" t="s">
        <v>293</v>
      </c>
      <c r="AN334" s="622" t="s">
        <v>294</v>
      </c>
      <c r="AO334" s="623" t="s">
        <v>294</v>
      </c>
      <c r="AR334" s="620" t="s">
        <v>293</v>
      </c>
      <c r="AS334" s="621" t="s">
        <v>293</v>
      </c>
      <c r="AT334" s="622" t="s">
        <v>294</v>
      </c>
      <c r="AU334" s="623" t="s">
        <v>294</v>
      </c>
    </row>
    <row r="335" spans="1:50" ht="13" hidden="1">
      <c r="A335" s="605" t="s">
        <v>6</v>
      </c>
      <c r="B335" s="600" t="s">
        <v>326</v>
      </c>
      <c r="C335" s="606" t="s">
        <v>7</v>
      </c>
      <c r="D335" s="607" t="s">
        <v>8</v>
      </c>
      <c r="E335" s="607" t="s">
        <v>7</v>
      </c>
      <c r="F335" s="608" t="s">
        <v>8</v>
      </c>
      <c r="T335" s="606" t="s">
        <v>7</v>
      </c>
      <c r="U335" s="607" t="s">
        <v>8</v>
      </c>
      <c r="V335" s="607" t="s">
        <v>7</v>
      </c>
      <c r="W335" s="608" t="s">
        <v>8</v>
      </c>
      <c r="Z335" s="606" t="s">
        <v>7</v>
      </c>
      <c r="AA335" s="607" t="s">
        <v>8</v>
      </c>
      <c r="AB335" s="607" t="s">
        <v>7</v>
      </c>
      <c r="AC335" s="608" t="s">
        <v>8</v>
      </c>
      <c r="AF335" s="606" t="s">
        <v>7</v>
      </c>
      <c r="AG335" s="607" t="s">
        <v>8</v>
      </c>
      <c r="AH335" s="607" t="s">
        <v>7</v>
      </c>
      <c r="AI335" s="608" t="s">
        <v>8</v>
      </c>
      <c r="AL335" s="606" t="s">
        <v>7</v>
      </c>
      <c r="AM335" s="607" t="s">
        <v>8</v>
      </c>
      <c r="AN335" s="607" t="s">
        <v>7</v>
      </c>
      <c r="AO335" s="608" t="s">
        <v>8</v>
      </c>
      <c r="AR335" s="606" t="s">
        <v>7</v>
      </c>
      <c r="AS335" s="607" t="s">
        <v>8</v>
      </c>
      <c r="AT335" s="607" t="s">
        <v>7</v>
      </c>
      <c r="AU335" s="608" t="s">
        <v>8</v>
      </c>
    </row>
    <row r="336" spans="1:50" ht="13" hidden="1">
      <c r="A336" s="609">
        <v>0</v>
      </c>
      <c r="B336" s="624" t="str">
        <f>+CONCATENATE(A336,$B$334)</f>
        <v>0B</v>
      </c>
      <c r="C336" s="625">
        <v>12330.68</v>
      </c>
      <c r="D336" s="626">
        <v>12382.36</v>
      </c>
      <c r="E336" s="626">
        <v>12330.68</v>
      </c>
      <c r="F336" s="627">
        <v>12382.36</v>
      </c>
      <c r="N336" s="709"/>
      <c r="O336" s="709"/>
      <c r="P336" s="709"/>
      <c r="Q336" s="709"/>
      <c r="R336" s="709"/>
      <c r="T336" s="625">
        <v>5066.1162671012671</v>
      </c>
      <c r="U336" s="626">
        <v>5087.3502553248945</v>
      </c>
      <c r="V336" s="626">
        <v>5066.1162671012671</v>
      </c>
      <c r="W336" s="627">
        <v>5087.3502553248945</v>
      </c>
      <c r="Z336" s="625">
        <v>5775.2151256540801</v>
      </c>
      <c r="AA336" s="626">
        <v>5799.4212124277701</v>
      </c>
      <c r="AB336" s="626">
        <v>5775.2151256540801</v>
      </c>
      <c r="AC336" s="627">
        <v>5799.4212124277701</v>
      </c>
      <c r="AF336" s="625">
        <v>6641.26</v>
      </c>
      <c r="AG336" s="626">
        <v>6669.1</v>
      </c>
      <c r="AH336" s="626">
        <v>6641.26</v>
      </c>
      <c r="AI336" s="627">
        <v>6669.1</v>
      </c>
      <c r="AL336" s="625">
        <v>7571.2596093886596</v>
      </c>
      <c r="AM336" s="626">
        <v>7602.9935903925698</v>
      </c>
      <c r="AN336" s="626">
        <v>7571.2596093886596</v>
      </c>
      <c r="AO336" s="627">
        <v>7602.9935903925698</v>
      </c>
      <c r="AR336" s="625">
        <v>7760.63</v>
      </c>
      <c r="AS336" s="626">
        <v>7793.16</v>
      </c>
      <c r="AT336" s="626">
        <v>7760.63</v>
      </c>
      <c r="AU336" s="627">
        <v>7793.16</v>
      </c>
    </row>
    <row r="337" spans="1:47" ht="13" hidden="1">
      <c r="A337" s="609">
        <v>1</v>
      </c>
      <c r="B337" s="624" t="str">
        <f t="shared" ref="B337:B400" si="36">+CONCATENATE(A337,$B$334)</f>
        <v>1B</v>
      </c>
      <c r="C337" s="625">
        <v>12330.68</v>
      </c>
      <c r="D337" s="626">
        <v>12382.36</v>
      </c>
      <c r="E337" s="626">
        <v>12330.68</v>
      </c>
      <c r="F337" s="627">
        <v>12382.36</v>
      </c>
      <c r="N337" s="709"/>
      <c r="O337" s="709"/>
      <c r="P337" s="709"/>
      <c r="Q337" s="709"/>
      <c r="R337" s="709"/>
      <c r="T337" s="625">
        <v>5066.1162671012671</v>
      </c>
      <c r="U337" s="626">
        <v>5087.3502553248945</v>
      </c>
      <c r="V337" s="626">
        <v>5066.1162671012671</v>
      </c>
      <c r="W337" s="627">
        <v>5087.3502553248945</v>
      </c>
      <c r="Z337" s="625">
        <v>5775.2151256540801</v>
      </c>
      <c r="AA337" s="626">
        <v>5799.4212124277701</v>
      </c>
      <c r="AB337" s="626">
        <v>5775.2151256540801</v>
      </c>
      <c r="AC337" s="627">
        <v>5799.4212124277701</v>
      </c>
      <c r="AF337" s="625">
        <v>6641.26</v>
      </c>
      <c r="AG337" s="626">
        <v>6669.1</v>
      </c>
      <c r="AH337" s="626">
        <v>6641.26</v>
      </c>
      <c r="AI337" s="627">
        <v>6669.1</v>
      </c>
      <c r="AL337" s="625">
        <v>7571.2596093886596</v>
      </c>
      <c r="AM337" s="626">
        <v>7602.9935903925698</v>
      </c>
      <c r="AN337" s="626">
        <v>7571.2596093886596</v>
      </c>
      <c r="AO337" s="627">
        <v>7602.9935903925698</v>
      </c>
      <c r="AR337" s="625">
        <v>7760.63</v>
      </c>
      <c r="AS337" s="626">
        <v>7793.16</v>
      </c>
      <c r="AT337" s="626">
        <v>7760.63</v>
      </c>
      <c r="AU337" s="627">
        <v>7793.16</v>
      </c>
    </row>
    <row r="338" spans="1:47" ht="13" hidden="1">
      <c r="A338" s="609">
        <v>2</v>
      </c>
      <c r="B338" s="624" t="str">
        <f t="shared" si="36"/>
        <v>2B</v>
      </c>
      <c r="C338" s="625">
        <v>12330.68</v>
      </c>
      <c r="D338" s="626">
        <v>12382.36</v>
      </c>
      <c r="E338" s="626">
        <v>12330.68</v>
      </c>
      <c r="F338" s="627">
        <v>12382.36</v>
      </c>
      <c r="N338" s="709"/>
      <c r="O338" s="709"/>
      <c r="P338" s="709"/>
      <c r="Q338" s="709"/>
      <c r="R338" s="709"/>
      <c r="T338" s="625">
        <v>5066.1162671012671</v>
      </c>
      <c r="U338" s="626">
        <v>5087.3502553248945</v>
      </c>
      <c r="V338" s="626">
        <v>5066.1162671012671</v>
      </c>
      <c r="W338" s="627">
        <v>5087.3502553248945</v>
      </c>
      <c r="Z338" s="625">
        <v>5775.2151256540801</v>
      </c>
      <c r="AA338" s="626">
        <v>5799.4212124277701</v>
      </c>
      <c r="AB338" s="626">
        <v>5775.2151256540801</v>
      </c>
      <c r="AC338" s="627">
        <v>5799.4212124277701</v>
      </c>
      <c r="AF338" s="625">
        <v>6641.26</v>
      </c>
      <c r="AG338" s="626">
        <v>6669.1</v>
      </c>
      <c r="AH338" s="626">
        <v>6641.26</v>
      </c>
      <c r="AI338" s="627">
        <v>6669.1</v>
      </c>
      <c r="AL338" s="625">
        <v>7571.2596093886596</v>
      </c>
      <c r="AM338" s="626">
        <v>7602.9935903925698</v>
      </c>
      <c r="AN338" s="626">
        <v>7571.2596093886596</v>
      </c>
      <c r="AO338" s="627">
        <v>7602.9935903925698</v>
      </c>
      <c r="AR338" s="625">
        <v>7760.63</v>
      </c>
      <c r="AS338" s="626">
        <v>7793.16</v>
      </c>
      <c r="AT338" s="626">
        <v>7760.63</v>
      </c>
      <c r="AU338" s="627">
        <v>7793.16</v>
      </c>
    </row>
    <row r="339" spans="1:47" ht="13" hidden="1">
      <c r="A339" s="609">
        <v>3</v>
      </c>
      <c r="B339" s="624" t="str">
        <f t="shared" si="36"/>
        <v>3B</v>
      </c>
      <c r="C339" s="625">
        <v>12330.68</v>
      </c>
      <c r="D339" s="626">
        <v>12382.36</v>
      </c>
      <c r="E339" s="626">
        <v>12330.68</v>
      </c>
      <c r="F339" s="627">
        <v>12382.36</v>
      </c>
      <c r="N339" s="709"/>
      <c r="O339" s="709"/>
      <c r="P339" s="709"/>
      <c r="Q339" s="709"/>
      <c r="R339" s="709"/>
      <c r="T339" s="625">
        <v>5066.1162671012671</v>
      </c>
      <c r="U339" s="626">
        <v>5087.3502553248945</v>
      </c>
      <c r="V339" s="626">
        <v>5066.1162671012671</v>
      </c>
      <c r="W339" s="627">
        <v>5087.3502553248945</v>
      </c>
      <c r="Z339" s="625">
        <v>5775.2151256540756</v>
      </c>
      <c r="AA339" s="626">
        <v>5799.4212124277701</v>
      </c>
      <c r="AB339" s="626">
        <v>5775.2151256540801</v>
      </c>
      <c r="AC339" s="627">
        <v>5799.4212124277701</v>
      </c>
      <c r="AF339" s="625">
        <v>6641.26</v>
      </c>
      <c r="AG339" s="626">
        <v>6669.1</v>
      </c>
      <c r="AH339" s="626">
        <v>6641.26</v>
      </c>
      <c r="AI339" s="627">
        <v>6669.1</v>
      </c>
      <c r="AL339" s="625">
        <v>7571.2596093886596</v>
      </c>
      <c r="AM339" s="626">
        <v>7602.9935903925698</v>
      </c>
      <c r="AN339" s="626">
        <v>7571.2596093886596</v>
      </c>
      <c r="AO339" s="627">
        <v>7602.9935903925698</v>
      </c>
      <c r="AR339" s="625">
        <v>7760.63</v>
      </c>
      <c r="AS339" s="626">
        <v>7793.16</v>
      </c>
      <c r="AT339" s="626">
        <v>7760.63</v>
      </c>
      <c r="AU339" s="627">
        <v>7793.16</v>
      </c>
    </row>
    <row r="340" spans="1:47" ht="13" hidden="1">
      <c r="A340" s="609">
        <v>4</v>
      </c>
      <c r="B340" s="624" t="str">
        <f t="shared" si="36"/>
        <v>4B</v>
      </c>
      <c r="C340" s="625">
        <v>12330.68</v>
      </c>
      <c r="D340" s="626">
        <v>12382.36</v>
      </c>
      <c r="E340" s="626">
        <v>12330.68</v>
      </c>
      <c r="F340" s="627">
        <v>12382.36</v>
      </c>
      <c r="N340" s="709"/>
      <c r="O340" s="709"/>
      <c r="P340" s="709"/>
      <c r="Q340" s="709"/>
      <c r="R340" s="709"/>
      <c r="T340" s="625">
        <v>5066.1162671012671</v>
      </c>
      <c r="U340" s="626">
        <v>5087.3502553248945</v>
      </c>
      <c r="V340" s="626">
        <v>5066.1162671012671</v>
      </c>
      <c r="W340" s="627">
        <v>5087.3502553248945</v>
      </c>
      <c r="Z340" s="625">
        <v>5775.2151256540756</v>
      </c>
      <c r="AA340" s="626">
        <v>5799.4212124277701</v>
      </c>
      <c r="AB340" s="626">
        <v>5775.2151256540801</v>
      </c>
      <c r="AC340" s="627">
        <v>5799.4212124277701</v>
      </c>
      <c r="AF340" s="625">
        <v>6641.26</v>
      </c>
      <c r="AG340" s="626">
        <v>6669.1</v>
      </c>
      <c r="AH340" s="626">
        <v>6641.26</v>
      </c>
      <c r="AI340" s="627">
        <v>6669.1</v>
      </c>
      <c r="AL340" s="625">
        <v>7571.2596093886596</v>
      </c>
      <c r="AM340" s="626">
        <v>7602.9935903925698</v>
      </c>
      <c r="AN340" s="626">
        <v>7571.2596093886596</v>
      </c>
      <c r="AO340" s="627">
        <v>7602.9935903925698</v>
      </c>
      <c r="AR340" s="625">
        <v>7760.63</v>
      </c>
      <c r="AS340" s="626">
        <v>7793.16</v>
      </c>
      <c r="AT340" s="626">
        <v>7760.63</v>
      </c>
      <c r="AU340" s="627">
        <v>7793.16</v>
      </c>
    </row>
    <row r="341" spans="1:47" ht="13" hidden="1">
      <c r="A341" s="609">
        <v>5</v>
      </c>
      <c r="B341" s="624" t="str">
        <f t="shared" si="36"/>
        <v>5B</v>
      </c>
      <c r="C341" s="625">
        <v>12330.68</v>
      </c>
      <c r="D341" s="626">
        <v>12382.36</v>
      </c>
      <c r="E341" s="626">
        <v>12330.68</v>
      </c>
      <c r="F341" s="627">
        <v>12382.36</v>
      </c>
      <c r="N341" s="709"/>
      <c r="O341" s="709"/>
      <c r="P341" s="709"/>
      <c r="Q341" s="709"/>
      <c r="R341" s="709"/>
      <c r="T341" s="625">
        <v>5066.1162671012671</v>
      </c>
      <c r="U341" s="626">
        <v>5087.3502553248945</v>
      </c>
      <c r="V341" s="626">
        <v>5066.1162671012671</v>
      </c>
      <c r="W341" s="627">
        <v>5087.3502553248945</v>
      </c>
      <c r="Z341" s="625">
        <v>5775.2151256540756</v>
      </c>
      <c r="AA341" s="626">
        <v>5799.4212124277701</v>
      </c>
      <c r="AB341" s="626">
        <v>5775.2151256540801</v>
      </c>
      <c r="AC341" s="627">
        <v>5799.4212124277701</v>
      </c>
      <c r="AF341" s="625">
        <v>6641.26</v>
      </c>
      <c r="AG341" s="626">
        <v>6669.1</v>
      </c>
      <c r="AH341" s="626">
        <v>6641.26</v>
      </c>
      <c r="AI341" s="627">
        <v>6669.1</v>
      </c>
      <c r="AL341" s="625">
        <v>7571.2596093886596</v>
      </c>
      <c r="AM341" s="626">
        <v>7602.9935903925698</v>
      </c>
      <c r="AN341" s="626">
        <v>7571.2596093886596</v>
      </c>
      <c r="AO341" s="627">
        <v>7602.9935903925698</v>
      </c>
      <c r="AR341" s="625">
        <v>7760.63</v>
      </c>
      <c r="AS341" s="626">
        <v>7793.16</v>
      </c>
      <c r="AT341" s="626">
        <v>7760.63</v>
      </c>
      <c r="AU341" s="627">
        <v>7793.16</v>
      </c>
    </row>
    <row r="342" spans="1:47" ht="13" hidden="1">
      <c r="A342" s="609">
        <v>6</v>
      </c>
      <c r="B342" s="624" t="str">
        <f t="shared" si="36"/>
        <v>6B</v>
      </c>
      <c r="C342" s="625">
        <v>12330.68</v>
      </c>
      <c r="D342" s="626">
        <v>12382.36</v>
      </c>
      <c r="E342" s="626">
        <v>12330.68</v>
      </c>
      <c r="F342" s="627">
        <v>12382.36</v>
      </c>
      <c r="N342" s="709"/>
      <c r="O342" s="709"/>
      <c r="P342" s="709"/>
      <c r="Q342" s="709"/>
      <c r="R342" s="709"/>
      <c r="T342" s="625">
        <v>5066.1162671012671</v>
      </c>
      <c r="U342" s="626">
        <v>5087.3502553248945</v>
      </c>
      <c r="V342" s="626">
        <v>5066.1162671012671</v>
      </c>
      <c r="W342" s="627">
        <v>5087.3502553248945</v>
      </c>
      <c r="Z342" s="625">
        <v>5775.2151256540756</v>
      </c>
      <c r="AA342" s="626">
        <v>5799.4212124277701</v>
      </c>
      <c r="AB342" s="626">
        <v>5775.2151256540801</v>
      </c>
      <c r="AC342" s="627">
        <v>5799.4212124277701</v>
      </c>
      <c r="AF342" s="625">
        <v>6641.26</v>
      </c>
      <c r="AG342" s="626">
        <v>6669.1</v>
      </c>
      <c r="AH342" s="626">
        <v>6641.26</v>
      </c>
      <c r="AI342" s="627">
        <v>6669.1</v>
      </c>
      <c r="AL342" s="625">
        <v>7571.2596093886596</v>
      </c>
      <c r="AM342" s="626">
        <v>7602.9935903925698</v>
      </c>
      <c r="AN342" s="626">
        <v>7571.2596093886596</v>
      </c>
      <c r="AO342" s="627">
        <v>7602.9935903925698</v>
      </c>
      <c r="AR342" s="625">
        <v>7760.63</v>
      </c>
      <c r="AS342" s="626">
        <v>7793.16</v>
      </c>
      <c r="AT342" s="626">
        <v>7760.63</v>
      </c>
      <c r="AU342" s="627">
        <v>7793.16</v>
      </c>
    </row>
    <row r="343" spans="1:47" ht="13" hidden="1">
      <c r="A343" s="609">
        <v>7</v>
      </c>
      <c r="B343" s="624" t="str">
        <f t="shared" si="36"/>
        <v>7B</v>
      </c>
      <c r="C343" s="625">
        <v>12330.68</v>
      </c>
      <c r="D343" s="626">
        <v>12382.36</v>
      </c>
      <c r="E343" s="626">
        <v>12330.68</v>
      </c>
      <c r="F343" s="627">
        <v>12382.36</v>
      </c>
      <c r="N343" s="709"/>
      <c r="O343" s="709"/>
      <c r="P343" s="709"/>
      <c r="Q343" s="709"/>
      <c r="R343" s="709"/>
      <c r="T343" s="625">
        <v>5066.1162671012671</v>
      </c>
      <c r="U343" s="626">
        <v>5087.3502553248945</v>
      </c>
      <c r="V343" s="626">
        <v>5066.1162671012671</v>
      </c>
      <c r="W343" s="627">
        <v>5087.3502553248945</v>
      </c>
      <c r="Z343" s="625">
        <v>5775.2151256540756</v>
      </c>
      <c r="AA343" s="626">
        <v>5799.4212124277701</v>
      </c>
      <c r="AB343" s="626">
        <v>5775.2151256540801</v>
      </c>
      <c r="AC343" s="627">
        <v>5799.4212124277701</v>
      </c>
      <c r="AF343" s="625">
        <v>6641.26</v>
      </c>
      <c r="AG343" s="626">
        <v>6669.1</v>
      </c>
      <c r="AH343" s="626">
        <v>6641.26</v>
      </c>
      <c r="AI343" s="627">
        <v>6669.1</v>
      </c>
      <c r="AL343" s="625">
        <v>7571.2596093886596</v>
      </c>
      <c r="AM343" s="626">
        <v>7602.9935903925698</v>
      </c>
      <c r="AN343" s="626">
        <v>7571.2596093886596</v>
      </c>
      <c r="AO343" s="627">
        <v>7602.9935903925698</v>
      </c>
      <c r="AR343" s="625">
        <v>7760.63</v>
      </c>
      <c r="AS343" s="626">
        <v>7793.16</v>
      </c>
      <c r="AT343" s="626">
        <v>7760.63</v>
      </c>
      <c r="AU343" s="627">
        <v>7793.16</v>
      </c>
    </row>
    <row r="344" spans="1:47" ht="13" hidden="1">
      <c r="A344" s="609">
        <v>8</v>
      </c>
      <c r="B344" s="624" t="str">
        <f t="shared" si="36"/>
        <v>8B</v>
      </c>
      <c r="C344" s="625">
        <v>12330.68</v>
      </c>
      <c r="D344" s="626">
        <v>12382.36</v>
      </c>
      <c r="E344" s="626">
        <v>12330.68</v>
      </c>
      <c r="F344" s="627">
        <v>12382.36</v>
      </c>
      <c r="N344" s="709"/>
      <c r="O344" s="709"/>
      <c r="P344" s="709"/>
      <c r="Q344" s="709"/>
      <c r="R344" s="709"/>
      <c r="T344" s="625">
        <v>5066.1162671012671</v>
      </c>
      <c r="U344" s="626">
        <v>5087.3502553248945</v>
      </c>
      <c r="V344" s="626">
        <v>5066.1162671012671</v>
      </c>
      <c r="W344" s="627">
        <v>5087.3502553248945</v>
      </c>
      <c r="Z344" s="625">
        <v>5775.2151256540801</v>
      </c>
      <c r="AA344" s="626">
        <v>5799.4212124277701</v>
      </c>
      <c r="AB344" s="626">
        <v>5775.2151256540801</v>
      </c>
      <c r="AC344" s="627">
        <v>5799.4212124277701</v>
      </c>
      <c r="AF344" s="625">
        <v>6641.26</v>
      </c>
      <c r="AG344" s="626">
        <v>6669.1</v>
      </c>
      <c r="AH344" s="626">
        <v>6641.26</v>
      </c>
      <c r="AI344" s="627">
        <v>6669.1</v>
      </c>
      <c r="AL344" s="625">
        <v>7571.2596093886596</v>
      </c>
      <c r="AM344" s="626">
        <v>7602.9935903925698</v>
      </c>
      <c r="AN344" s="626">
        <v>7571.2596093886596</v>
      </c>
      <c r="AO344" s="627">
        <v>7602.9935903925698</v>
      </c>
      <c r="AR344" s="625">
        <v>7760.63</v>
      </c>
      <c r="AS344" s="626">
        <v>7793.16</v>
      </c>
      <c r="AT344" s="626">
        <v>7760.63</v>
      </c>
      <c r="AU344" s="627">
        <v>7793.16</v>
      </c>
    </row>
    <row r="345" spans="1:47" ht="13" hidden="1">
      <c r="A345" s="609">
        <v>9</v>
      </c>
      <c r="B345" s="624" t="str">
        <f t="shared" si="36"/>
        <v>9B</v>
      </c>
      <c r="C345" s="625">
        <v>12330.68</v>
      </c>
      <c r="D345" s="626">
        <v>12382.36</v>
      </c>
      <c r="E345" s="626">
        <v>12330.68</v>
      </c>
      <c r="F345" s="627">
        <v>12382.36</v>
      </c>
      <c r="N345" s="709"/>
      <c r="O345" s="709"/>
      <c r="P345" s="709"/>
      <c r="Q345" s="709"/>
      <c r="R345" s="709"/>
      <c r="T345" s="625">
        <v>5066.1162671012671</v>
      </c>
      <c r="U345" s="626">
        <v>5087.3502553248945</v>
      </c>
      <c r="V345" s="626">
        <v>5066.1162671012671</v>
      </c>
      <c r="W345" s="627">
        <v>5087.3502553248945</v>
      </c>
      <c r="Z345" s="625">
        <v>5775.2151256540801</v>
      </c>
      <c r="AA345" s="626">
        <v>5799.4212124277701</v>
      </c>
      <c r="AB345" s="626">
        <v>5775.2151256540801</v>
      </c>
      <c r="AC345" s="627">
        <v>5799.4212124277701</v>
      </c>
      <c r="AF345" s="625">
        <v>6641.26</v>
      </c>
      <c r="AG345" s="626">
        <v>6669.1</v>
      </c>
      <c r="AH345" s="626">
        <v>6641.26</v>
      </c>
      <c r="AI345" s="627">
        <v>6669.1</v>
      </c>
      <c r="AL345" s="625">
        <v>7571.2596093886596</v>
      </c>
      <c r="AM345" s="626">
        <v>7602.9935903925698</v>
      </c>
      <c r="AN345" s="626">
        <v>7571.2596093886596</v>
      </c>
      <c r="AO345" s="627">
        <v>7602.9935903925698</v>
      </c>
      <c r="AR345" s="625">
        <v>7760.63</v>
      </c>
      <c r="AS345" s="626">
        <v>7793.16</v>
      </c>
      <c r="AT345" s="626">
        <v>7760.63</v>
      </c>
      <c r="AU345" s="627">
        <v>7793.16</v>
      </c>
    </row>
    <row r="346" spans="1:47" ht="13" hidden="1">
      <c r="A346" s="609">
        <v>10</v>
      </c>
      <c r="B346" s="624" t="str">
        <f t="shared" si="36"/>
        <v>10B</v>
      </c>
      <c r="C346" s="625">
        <v>12330.68</v>
      </c>
      <c r="D346" s="626">
        <v>12382.36</v>
      </c>
      <c r="E346" s="626">
        <v>12330.68</v>
      </c>
      <c r="F346" s="627">
        <v>12382.36</v>
      </c>
      <c r="N346" s="709"/>
      <c r="O346" s="709"/>
      <c r="P346" s="709"/>
      <c r="Q346" s="709"/>
      <c r="R346" s="709"/>
      <c r="T346" s="625">
        <v>5066.1162671012671</v>
      </c>
      <c r="U346" s="626">
        <v>5087.3502553248945</v>
      </c>
      <c r="V346" s="626">
        <v>5066.1162671012671</v>
      </c>
      <c r="W346" s="627">
        <v>5087.3502553248945</v>
      </c>
      <c r="Z346" s="625">
        <v>5775.2151256540801</v>
      </c>
      <c r="AA346" s="626">
        <v>5799.4212124277701</v>
      </c>
      <c r="AB346" s="626">
        <v>5775.2151256540801</v>
      </c>
      <c r="AC346" s="627">
        <v>5799.4212124277701</v>
      </c>
      <c r="AF346" s="625">
        <v>6641.26</v>
      </c>
      <c r="AG346" s="626">
        <v>6669.1</v>
      </c>
      <c r="AH346" s="626">
        <v>6641.26</v>
      </c>
      <c r="AI346" s="627">
        <v>6669.1</v>
      </c>
      <c r="AL346" s="625">
        <v>7571.2596093886596</v>
      </c>
      <c r="AM346" s="626">
        <v>7602.9935903925698</v>
      </c>
      <c r="AN346" s="626">
        <v>7571.2596093886596</v>
      </c>
      <c r="AO346" s="627">
        <v>7602.9935903925698</v>
      </c>
      <c r="AR346" s="625">
        <v>7760.63</v>
      </c>
      <c r="AS346" s="626">
        <v>7793.16</v>
      </c>
      <c r="AT346" s="626">
        <v>7760.63</v>
      </c>
      <c r="AU346" s="627">
        <v>7793.16</v>
      </c>
    </row>
    <row r="347" spans="1:47" ht="13" hidden="1">
      <c r="A347" s="609">
        <v>11</v>
      </c>
      <c r="B347" s="624" t="str">
        <f t="shared" si="36"/>
        <v>11B</v>
      </c>
      <c r="C347" s="610">
        <v>12470.27</v>
      </c>
      <c r="D347" s="611">
        <v>12376.18</v>
      </c>
      <c r="E347" s="611">
        <v>12470.27</v>
      </c>
      <c r="F347" s="612">
        <v>12376.18</v>
      </c>
      <c r="N347" s="709"/>
      <c r="O347" s="709"/>
      <c r="P347" s="709"/>
      <c r="Q347" s="709"/>
      <c r="R347" s="709"/>
      <c r="T347" s="610">
        <v>5123.4670887341772</v>
      </c>
      <c r="U347" s="611">
        <v>5084.8097981097062</v>
      </c>
      <c r="V347" s="611">
        <v>5123.4670887341772</v>
      </c>
      <c r="W347" s="612">
        <v>5084.8097981097062</v>
      </c>
      <c r="Z347" s="610">
        <v>5840.5932802601892</v>
      </c>
      <c r="AA347" s="611">
        <v>5796.5251701417865</v>
      </c>
      <c r="AB347" s="611">
        <v>5840.5932802601892</v>
      </c>
      <c r="AC347" s="612">
        <v>5796.5251701417865</v>
      </c>
      <c r="AF347" s="610">
        <v>6716.44</v>
      </c>
      <c r="AG347" s="611">
        <v>6665.77</v>
      </c>
      <c r="AH347" s="611">
        <v>6716.44</v>
      </c>
      <c r="AI347" s="612">
        <v>6665.77</v>
      </c>
      <c r="AL347" s="610">
        <v>7656.9698332566495</v>
      </c>
      <c r="AM347" s="611">
        <v>7599.1969027350733</v>
      </c>
      <c r="AN347" s="611">
        <v>7656.9698332566495</v>
      </c>
      <c r="AO347" s="612">
        <v>7599.1969027350733</v>
      </c>
      <c r="AR347" s="610">
        <v>7848.48</v>
      </c>
      <c r="AS347" s="611">
        <v>7789.26</v>
      </c>
      <c r="AT347" s="611">
        <v>7848.48</v>
      </c>
      <c r="AU347" s="612">
        <v>7789.26</v>
      </c>
    </row>
    <row r="348" spans="1:47" ht="13" hidden="1">
      <c r="A348" s="609">
        <v>12</v>
      </c>
      <c r="B348" s="624" t="str">
        <f t="shared" si="36"/>
        <v>12B</v>
      </c>
      <c r="C348" s="610">
        <v>12423.89</v>
      </c>
      <c r="D348" s="611">
        <v>12494.95</v>
      </c>
      <c r="E348" s="611">
        <v>12423.89</v>
      </c>
      <c r="F348" s="612">
        <v>12494.95</v>
      </c>
      <c r="N348" s="709"/>
      <c r="O348" s="709"/>
      <c r="P348" s="709"/>
      <c r="Q348" s="709"/>
      <c r="R348" s="709"/>
      <c r="T348" s="610">
        <v>5104.4136596202543</v>
      </c>
      <c r="U348" s="611">
        <v>5133.6077471181434</v>
      </c>
      <c r="V348" s="611">
        <v>5104.4136596202543</v>
      </c>
      <c r="W348" s="612">
        <v>5133.6077471181434</v>
      </c>
      <c r="Z348" s="610">
        <v>5818.8729631153028</v>
      </c>
      <c r="AA348" s="611">
        <v>5852.1533157184131</v>
      </c>
      <c r="AB348" s="611">
        <v>5818.8729631153028</v>
      </c>
      <c r="AC348" s="612">
        <v>5852.1533157184131</v>
      </c>
      <c r="AF348" s="610">
        <v>6691.47</v>
      </c>
      <c r="AG348" s="611">
        <v>6729.74</v>
      </c>
      <c r="AH348" s="611">
        <v>6691.47</v>
      </c>
      <c r="AI348" s="612">
        <v>6729.74</v>
      </c>
      <c r="AL348" s="610">
        <v>7628.4946758254237</v>
      </c>
      <c r="AM348" s="611">
        <v>7672.1249448228227</v>
      </c>
      <c r="AN348" s="611">
        <v>7628.4946758254237</v>
      </c>
      <c r="AO348" s="612">
        <v>7672.1249448228227</v>
      </c>
      <c r="AR348" s="610">
        <v>7819.29</v>
      </c>
      <c r="AS348" s="611">
        <v>7864.02</v>
      </c>
      <c r="AT348" s="611">
        <v>7819.29</v>
      </c>
      <c r="AU348" s="612">
        <v>7864.02</v>
      </c>
    </row>
    <row r="349" spans="1:47" ht="13" hidden="1">
      <c r="A349" s="609">
        <v>13</v>
      </c>
      <c r="B349" s="624" t="str">
        <f t="shared" si="36"/>
        <v>13B</v>
      </c>
      <c r="C349" s="610">
        <v>12331.81</v>
      </c>
      <c r="D349" s="611">
        <v>12417.2</v>
      </c>
      <c r="E349" s="611">
        <v>12331.81</v>
      </c>
      <c r="F349" s="612">
        <v>12417.2</v>
      </c>
      <c r="N349" s="709"/>
      <c r="O349" s="709"/>
      <c r="P349" s="709"/>
      <c r="Q349" s="709"/>
      <c r="R349" s="709"/>
      <c r="T349" s="610">
        <v>5066.5820175907174</v>
      </c>
      <c r="U349" s="611">
        <v>5101.661497637132</v>
      </c>
      <c r="V349" s="611">
        <v>5066.5820175907174</v>
      </c>
      <c r="W349" s="612">
        <v>5101.661497637132</v>
      </c>
      <c r="Z349" s="610">
        <v>5775.7460667398427</v>
      </c>
      <c r="AA349" s="611">
        <v>5815.7355839721531</v>
      </c>
      <c r="AB349" s="611">
        <v>5775.7460667398427</v>
      </c>
      <c r="AC349" s="612">
        <v>5815.7355839721531</v>
      </c>
      <c r="AF349" s="610">
        <v>6641.87</v>
      </c>
      <c r="AG349" s="611">
        <v>6687.86</v>
      </c>
      <c r="AH349" s="611">
        <v>6641.87</v>
      </c>
      <c r="AI349" s="612">
        <v>6687.86</v>
      </c>
      <c r="AL349" s="610">
        <v>7571.9556687925333</v>
      </c>
      <c r="AM349" s="611">
        <v>7624.3815975298012</v>
      </c>
      <c r="AN349" s="611">
        <v>7571.9556687925333</v>
      </c>
      <c r="AO349" s="612">
        <v>7624.3815975298012</v>
      </c>
      <c r="AR349" s="610">
        <v>7761.34</v>
      </c>
      <c r="AS349" s="611">
        <v>7815.08</v>
      </c>
      <c r="AT349" s="611">
        <v>7761.34</v>
      </c>
      <c r="AU349" s="612">
        <v>7815.08</v>
      </c>
    </row>
    <row r="350" spans="1:47" ht="13" hidden="1">
      <c r="A350" s="609">
        <v>14</v>
      </c>
      <c r="B350" s="624" t="str">
        <f t="shared" si="36"/>
        <v>14B</v>
      </c>
      <c r="C350" s="610">
        <v>11998.33</v>
      </c>
      <c r="D350" s="611">
        <v>12175.43</v>
      </c>
      <c r="E350" s="611">
        <v>11998.33</v>
      </c>
      <c r="F350" s="612">
        <v>12175.43</v>
      </c>
      <c r="N350" s="709"/>
      <c r="O350" s="709"/>
      <c r="P350" s="709"/>
      <c r="Q350" s="709"/>
      <c r="R350" s="709"/>
      <c r="T350" s="610">
        <v>4929.5666917848121</v>
      </c>
      <c r="U350" s="611">
        <v>5002.3296205232082</v>
      </c>
      <c r="V350" s="611">
        <v>4929.5666917848121</v>
      </c>
      <c r="W350" s="612">
        <v>5002.3296205232082</v>
      </c>
      <c r="Z350" s="610">
        <v>5619.5528527823881</v>
      </c>
      <c r="AA350" s="611">
        <v>5702.50033059014</v>
      </c>
      <c r="AB350" s="611">
        <v>5619.5528527823881</v>
      </c>
      <c r="AC350" s="612">
        <v>5702.50033059014</v>
      </c>
      <c r="AF350" s="610">
        <v>6462.26</v>
      </c>
      <c r="AG350" s="611">
        <v>6557.64</v>
      </c>
      <c r="AH350" s="611">
        <v>6462.26</v>
      </c>
      <c r="AI350" s="612">
        <v>6557.64</v>
      </c>
      <c r="AL350" s="610">
        <v>7367.1876477982069</v>
      </c>
      <c r="AM350" s="611">
        <v>7475.9311101216772</v>
      </c>
      <c r="AN350" s="611">
        <v>7367.1876477982069</v>
      </c>
      <c r="AO350" s="612">
        <v>7475.9311101216772</v>
      </c>
      <c r="AR350" s="610">
        <v>7551.45</v>
      </c>
      <c r="AS350" s="611">
        <v>7662.91</v>
      </c>
      <c r="AT350" s="611">
        <v>7551.45</v>
      </c>
      <c r="AU350" s="612">
        <v>7662.91</v>
      </c>
    </row>
    <row r="351" spans="1:47" ht="13" hidden="1">
      <c r="A351" s="609">
        <v>15</v>
      </c>
      <c r="B351" s="624" t="str">
        <f t="shared" si="36"/>
        <v>15B</v>
      </c>
      <c r="C351" s="610">
        <v>12042.74</v>
      </c>
      <c r="D351" s="611">
        <v>11976.17</v>
      </c>
      <c r="E351" s="611">
        <v>12042.74</v>
      </c>
      <c r="F351" s="612">
        <v>11976.17</v>
      </c>
      <c r="N351" s="709"/>
      <c r="O351" s="709"/>
      <c r="P351" s="709"/>
      <c r="Q351" s="709"/>
      <c r="R351" s="709"/>
      <c r="T351" s="610">
        <v>4947.8156427805907</v>
      </c>
      <c r="U351" s="611">
        <v>4920.4633867637149</v>
      </c>
      <c r="V351" s="611">
        <v>4947.8156427805907</v>
      </c>
      <c r="W351" s="612">
        <v>4920.4633867637149</v>
      </c>
      <c r="Z351" s="610">
        <v>5640.3560898700443</v>
      </c>
      <c r="AA351" s="611">
        <v>5609.1753679242747</v>
      </c>
      <c r="AB351" s="611">
        <v>5640.3560898700443</v>
      </c>
      <c r="AC351" s="612">
        <v>5609.1753679242747</v>
      </c>
      <c r="AF351" s="610">
        <v>6486.18</v>
      </c>
      <c r="AG351" s="611">
        <v>6450.32</v>
      </c>
      <c r="AH351" s="611">
        <v>6486.18</v>
      </c>
      <c r="AI351" s="612">
        <v>6450.32</v>
      </c>
      <c r="AL351" s="610">
        <v>7394.4605208045577</v>
      </c>
      <c r="AM351" s="611">
        <v>7353.5828503588436</v>
      </c>
      <c r="AN351" s="611">
        <v>7394.4605208045577</v>
      </c>
      <c r="AO351" s="612">
        <v>7353.5828503588436</v>
      </c>
      <c r="AR351" s="610">
        <v>7579.41</v>
      </c>
      <c r="AS351" s="611">
        <v>7537.51</v>
      </c>
      <c r="AT351" s="611">
        <v>7579.41</v>
      </c>
      <c r="AU351" s="612">
        <v>7537.51</v>
      </c>
    </row>
    <row r="352" spans="1:47" ht="13" hidden="1">
      <c r="A352" s="609">
        <v>16</v>
      </c>
      <c r="B352" s="624" t="str">
        <f t="shared" si="36"/>
        <v>16B</v>
      </c>
      <c r="C352" s="610">
        <v>11838.64</v>
      </c>
      <c r="D352" s="611">
        <v>11072.06</v>
      </c>
      <c r="E352" s="611">
        <v>11838.64</v>
      </c>
      <c r="F352" s="612">
        <v>11072.06</v>
      </c>
      <c r="N352" s="709"/>
      <c r="O352" s="709"/>
      <c r="P352" s="709"/>
      <c r="Q352" s="709"/>
      <c r="R352" s="709"/>
      <c r="T352" s="610">
        <v>4863.9593842025324</v>
      </c>
      <c r="U352" s="611">
        <v>4549.0062009493677</v>
      </c>
      <c r="V352" s="611">
        <v>4863.9593842025324</v>
      </c>
      <c r="W352" s="612">
        <v>4549.0062009493677</v>
      </c>
      <c r="Z352" s="610">
        <v>5544.7625607468253</v>
      </c>
      <c r="AA352" s="611">
        <v>5185.7257183418378</v>
      </c>
      <c r="AB352" s="611">
        <v>5544.7625607468253</v>
      </c>
      <c r="AC352" s="612">
        <v>5185.7257183418378</v>
      </c>
      <c r="AF352" s="610">
        <v>6376.25</v>
      </c>
      <c r="AG352" s="611">
        <v>5963.37</v>
      </c>
      <c r="AH352" s="611">
        <v>6376.25</v>
      </c>
      <c r="AI352" s="612">
        <v>5963.37</v>
      </c>
      <c r="AL352" s="610">
        <v>7269.1381890433522</v>
      </c>
      <c r="AM352" s="611">
        <v>6798.4438367051889</v>
      </c>
      <c r="AN352" s="611">
        <v>7269.1381890433522</v>
      </c>
      <c r="AO352" s="612">
        <v>6798.4438367051889</v>
      </c>
      <c r="AR352" s="610">
        <v>7450.95</v>
      </c>
      <c r="AS352" s="611">
        <v>6968.48</v>
      </c>
      <c r="AT352" s="611">
        <v>7450.95</v>
      </c>
      <c r="AU352" s="612">
        <v>6968.48</v>
      </c>
    </row>
    <row r="353" spans="1:47" ht="13" hidden="1">
      <c r="A353" s="609">
        <v>17</v>
      </c>
      <c r="B353" s="624" t="str">
        <f t="shared" si="36"/>
        <v>17B</v>
      </c>
      <c r="C353" s="610">
        <v>11914.54</v>
      </c>
      <c r="D353" s="611">
        <v>11253.9</v>
      </c>
      <c r="E353" s="611">
        <v>11914.54</v>
      </c>
      <c r="F353" s="612">
        <v>11253.9</v>
      </c>
      <c r="N353" s="709"/>
      <c r="O353" s="709"/>
      <c r="P353" s="709"/>
      <c r="Q353" s="709"/>
      <c r="R353" s="709"/>
      <c r="T353" s="610">
        <v>4895.1434965189883</v>
      </c>
      <c r="U353" s="611">
        <v>4623.7168135527427</v>
      </c>
      <c r="V353" s="611">
        <v>4895.1434965189883</v>
      </c>
      <c r="W353" s="612">
        <v>4623.7168135527427</v>
      </c>
      <c r="Z353" s="610">
        <v>5580.3114798072902</v>
      </c>
      <c r="AA353" s="611">
        <v>5270.8934952355121</v>
      </c>
      <c r="AB353" s="611">
        <v>5580.3114798072902</v>
      </c>
      <c r="AC353" s="612">
        <v>5270.8934952355121</v>
      </c>
      <c r="AF353" s="610">
        <v>6417.13</v>
      </c>
      <c r="AG353" s="611">
        <v>6061.31</v>
      </c>
      <c r="AH353" s="611">
        <v>6417.13</v>
      </c>
      <c r="AI353" s="612">
        <v>6061.31</v>
      </c>
      <c r="AL353" s="610">
        <v>7315.7425300391233</v>
      </c>
      <c r="AM353" s="611">
        <v>6910.0980928994059</v>
      </c>
      <c r="AN353" s="611">
        <v>7315.7425300391233</v>
      </c>
      <c r="AO353" s="612">
        <v>6910.0980928994059</v>
      </c>
      <c r="AR353" s="610">
        <v>7498.72</v>
      </c>
      <c r="AS353" s="611">
        <v>7082.93</v>
      </c>
      <c r="AT353" s="611">
        <v>7498.72</v>
      </c>
      <c r="AU353" s="612">
        <v>7082.93</v>
      </c>
    </row>
    <row r="354" spans="1:47" ht="13" hidden="1">
      <c r="A354" s="609">
        <v>18</v>
      </c>
      <c r="B354" s="624" t="str">
        <f t="shared" si="36"/>
        <v>18B</v>
      </c>
      <c r="C354" s="610">
        <v>12248.7</v>
      </c>
      <c r="D354" s="611">
        <v>10906.86</v>
      </c>
      <c r="E354" s="611">
        <v>12248.7</v>
      </c>
      <c r="F354" s="612">
        <v>10906.86</v>
      </c>
      <c r="N354" s="709"/>
      <c r="O354" s="709"/>
      <c r="P354" s="709"/>
      <c r="Q354" s="709"/>
      <c r="R354" s="709"/>
      <c r="T354" s="610">
        <v>5032.4340385232072</v>
      </c>
      <c r="U354" s="611">
        <v>4481.1336523502114</v>
      </c>
      <c r="V354" s="611">
        <v>5032.4340385232072</v>
      </c>
      <c r="W354" s="612">
        <v>4481.1336523502114</v>
      </c>
      <c r="Z354" s="610">
        <v>5736.8184316790612</v>
      </c>
      <c r="AA354" s="611">
        <v>5108.3531219346069</v>
      </c>
      <c r="AB354" s="611">
        <v>5736.8184316790612</v>
      </c>
      <c r="AC354" s="612">
        <v>5108.3531219346069</v>
      </c>
      <c r="AF354" s="610">
        <v>6597.11</v>
      </c>
      <c r="AG354" s="611">
        <v>5874.4</v>
      </c>
      <c r="AH354" s="611">
        <v>6597.11</v>
      </c>
      <c r="AI354" s="612">
        <v>5874.4</v>
      </c>
      <c r="AL354" s="610">
        <v>7520.9218588630138</v>
      </c>
      <c r="AM354" s="611">
        <v>6697.0089981223973</v>
      </c>
      <c r="AN354" s="611">
        <v>7520.9218588630138</v>
      </c>
      <c r="AO354" s="612">
        <v>6697.0089981223973</v>
      </c>
      <c r="AR354" s="610">
        <v>7709.03</v>
      </c>
      <c r="AS354" s="611">
        <v>6864.51</v>
      </c>
      <c r="AT354" s="611">
        <v>7709.03</v>
      </c>
      <c r="AU354" s="612">
        <v>6864.51</v>
      </c>
    </row>
    <row r="355" spans="1:47" ht="13" hidden="1">
      <c r="A355" s="609">
        <v>19</v>
      </c>
      <c r="B355" s="624" t="str">
        <f t="shared" si="36"/>
        <v>19B</v>
      </c>
      <c r="C355" s="610">
        <v>12656.29</v>
      </c>
      <c r="D355" s="611">
        <v>11066.91</v>
      </c>
      <c r="E355" s="611">
        <v>12656.29</v>
      </c>
      <c r="F355" s="612">
        <v>11066.91</v>
      </c>
      <c r="N355" s="709"/>
      <c r="O355" s="709"/>
      <c r="P355" s="709"/>
      <c r="Q355" s="709"/>
      <c r="R355" s="709"/>
      <c r="T355" s="610">
        <v>5199.8925099578064</v>
      </c>
      <c r="U355" s="611">
        <v>4546.8891532700427</v>
      </c>
      <c r="V355" s="611">
        <v>5199.8925099578064</v>
      </c>
      <c r="W355" s="612">
        <v>4546.8891532700427</v>
      </c>
      <c r="Z355" s="610">
        <v>5927.7158856969036</v>
      </c>
      <c r="AA355" s="611">
        <v>5183.3123497701836</v>
      </c>
      <c r="AB355" s="611">
        <v>5927.7158856969036</v>
      </c>
      <c r="AC355" s="612">
        <v>5183.3123497701836</v>
      </c>
      <c r="AF355" s="610">
        <v>6816.63</v>
      </c>
      <c r="AG355" s="611">
        <v>5960.6</v>
      </c>
      <c r="AH355" s="611">
        <v>6816.63</v>
      </c>
      <c r="AI355" s="612">
        <v>5960.6</v>
      </c>
      <c r="AL355" s="610">
        <v>7771.1868536196762</v>
      </c>
      <c r="AM355" s="611">
        <v>6795.2799303239408</v>
      </c>
      <c r="AN355" s="611">
        <v>7771.1868536196762</v>
      </c>
      <c r="AO355" s="612">
        <v>6795.2799303239408</v>
      </c>
      <c r="AR355" s="610">
        <v>7965.56</v>
      </c>
      <c r="AS355" s="611">
        <v>6965.24</v>
      </c>
      <c r="AT355" s="611">
        <v>7965.56</v>
      </c>
      <c r="AU355" s="612">
        <v>6965.24</v>
      </c>
    </row>
    <row r="356" spans="1:47" ht="13" hidden="1">
      <c r="A356" s="609">
        <v>20</v>
      </c>
      <c r="B356" s="624" t="str">
        <f t="shared" si="36"/>
        <v>20B</v>
      </c>
      <c r="C356" s="610">
        <v>13116.84</v>
      </c>
      <c r="D356" s="611">
        <v>13105.15</v>
      </c>
      <c r="E356" s="611">
        <v>13116.84</v>
      </c>
      <c r="F356" s="612">
        <v>13105.15</v>
      </c>
      <c r="N356" s="709"/>
      <c r="O356" s="709"/>
      <c r="P356" s="709"/>
      <c r="Q356" s="709"/>
      <c r="R356" s="709"/>
      <c r="T356" s="610">
        <v>5389.1142315358666</v>
      </c>
      <c r="U356" s="611">
        <v>5384.308533303798</v>
      </c>
      <c r="V356" s="611">
        <v>5389.1142315358666</v>
      </c>
      <c r="W356" s="612">
        <v>5384.308533303798</v>
      </c>
      <c r="Z356" s="610">
        <v>6143.4227686313525</v>
      </c>
      <c r="AA356" s="611">
        <v>6137.9444219736961</v>
      </c>
      <c r="AB356" s="611">
        <v>6143.4227686313525</v>
      </c>
      <c r="AC356" s="612">
        <v>6137.9444219736961</v>
      </c>
      <c r="AF356" s="610">
        <v>7064.68</v>
      </c>
      <c r="AG356" s="611">
        <v>7058.38</v>
      </c>
      <c r="AH356" s="611">
        <v>7064.68</v>
      </c>
      <c r="AI356" s="612">
        <v>7058.38</v>
      </c>
      <c r="AL356" s="610">
        <v>8053.9768059755634</v>
      </c>
      <c r="AM356" s="611">
        <v>8046.7947384901317</v>
      </c>
      <c r="AN356" s="611">
        <v>8053.9768059755634</v>
      </c>
      <c r="AO356" s="612">
        <v>8046.7947384901317</v>
      </c>
      <c r="AR356" s="610">
        <v>8255.42</v>
      </c>
      <c r="AS356" s="611">
        <v>8248.06</v>
      </c>
      <c r="AT356" s="611">
        <v>8255.42</v>
      </c>
      <c r="AU356" s="612">
        <v>8248.06</v>
      </c>
    </row>
    <row r="357" spans="1:47" ht="13" hidden="1">
      <c r="A357" s="609">
        <v>21</v>
      </c>
      <c r="B357" s="624" t="str">
        <f t="shared" si="36"/>
        <v>21B</v>
      </c>
      <c r="C357" s="610">
        <v>14168.53</v>
      </c>
      <c r="D357" s="611">
        <v>16925.63</v>
      </c>
      <c r="E357" s="611">
        <v>14168.53</v>
      </c>
      <c r="F357" s="612">
        <v>16925.63</v>
      </c>
      <c r="N357" s="709"/>
      <c r="O357" s="709"/>
      <c r="P357" s="709"/>
      <c r="Q357" s="709"/>
      <c r="R357" s="709"/>
      <c r="T357" s="610">
        <v>5821.203662886076</v>
      </c>
      <c r="U357" s="611">
        <v>6953.9723646624479</v>
      </c>
      <c r="V357" s="611">
        <v>5821.203662886076</v>
      </c>
      <c r="W357" s="612">
        <v>6953.9723646624479</v>
      </c>
      <c r="Z357" s="610">
        <v>6635.9912941059611</v>
      </c>
      <c r="AA357" s="611">
        <v>7927.3124157409429</v>
      </c>
      <c r="AB357" s="611">
        <v>6635.9912941059611</v>
      </c>
      <c r="AC357" s="612">
        <v>7927.3124157409429</v>
      </c>
      <c r="AF357" s="610">
        <v>7631.12</v>
      </c>
      <c r="AG357" s="611">
        <v>9116.08</v>
      </c>
      <c r="AH357" s="611">
        <v>7631.12</v>
      </c>
      <c r="AI357" s="612">
        <v>9116.08</v>
      </c>
      <c r="AL357" s="610">
        <v>8699.7300983881414</v>
      </c>
      <c r="AM357" s="611">
        <v>10392.641485802149</v>
      </c>
      <c r="AN357" s="611">
        <v>8699.7300983881414</v>
      </c>
      <c r="AO357" s="612">
        <v>10392.641485802149</v>
      </c>
      <c r="AR357" s="610">
        <v>8917.32</v>
      </c>
      <c r="AS357" s="611">
        <v>10652.58</v>
      </c>
      <c r="AT357" s="611">
        <v>8917.32</v>
      </c>
      <c r="AU357" s="612">
        <v>10652.58</v>
      </c>
    </row>
    <row r="358" spans="1:47" ht="13" hidden="1">
      <c r="A358" s="609">
        <v>22</v>
      </c>
      <c r="B358" s="624" t="str">
        <f t="shared" si="36"/>
        <v>22B</v>
      </c>
      <c r="C358" s="610">
        <v>14787.22</v>
      </c>
      <c r="D358" s="611">
        <v>17732.509999999998</v>
      </c>
      <c r="E358" s="611">
        <v>14787.22</v>
      </c>
      <c r="F358" s="612">
        <v>17732.509999999998</v>
      </c>
      <c r="N358" s="709"/>
      <c r="O358" s="709"/>
      <c r="P358" s="709"/>
      <c r="Q358" s="709"/>
      <c r="R358" s="709"/>
      <c r="T358" s="610">
        <v>6075.3975777426167</v>
      </c>
      <c r="U358" s="611">
        <v>7285.4808607679342</v>
      </c>
      <c r="V358" s="611">
        <v>6075.3975777426167</v>
      </c>
      <c r="W358" s="612">
        <v>7285.4808607679342</v>
      </c>
      <c r="Z358" s="610">
        <v>6925.7644585044754</v>
      </c>
      <c r="AA358" s="611">
        <v>8305.2218003762664</v>
      </c>
      <c r="AB358" s="611">
        <v>6925.7644585044754</v>
      </c>
      <c r="AC358" s="612">
        <v>8305.2218003762664</v>
      </c>
      <c r="AF358" s="610">
        <v>7964.35</v>
      </c>
      <c r="AG358" s="611">
        <v>9550.66</v>
      </c>
      <c r="AH358" s="611">
        <v>7964.35</v>
      </c>
      <c r="AI358" s="612">
        <v>9550.66</v>
      </c>
      <c r="AL358" s="610">
        <v>9079.6203375845089</v>
      </c>
      <c r="AM358" s="611">
        <v>10888.077586041667</v>
      </c>
      <c r="AN358" s="611">
        <v>9079.6203375845089</v>
      </c>
      <c r="AO358" s="612">
        <v>10888.077586041667</v>
      </c>
      <c r="AR358" s="610">
        <v>9306.7099999999991</v>
      </c>
      <c r="AS358" s="611">
        <v>11160.4</v>
      </c>
      <c r="AT358" s="611">
        <v>9306.7099999999991</v>
      </c>
      <c r="AU358" s="612">
        <v>11160.4</v>
      </c>
    </row>
    <row r="359" spans="1:47" ht="13" hidden="1">
      <c r="A359" s="609">
        <v>23</v>
      </c>
      <c r="B359" s="624" t="str">
        <f t="shared" si="36"/>
        <v>23B</v>
      </c>
      <c r="C359" s="610">
        <v>15768.57</v>
      </c>
      <c r="D359" s="611">
        <v>18560.41</v>
      </c>
      <c r="E359" s="611">
        <v>15768.57</v>
      </c>
      <c r="F359" s="612">
        <v>18560.41</v>
      </c>
      <c r="N359" s="709"/>
      <c r="O359" s="709"/>
      <c r="P359" s="709"/>
      <c r="Q359" s="709"/>
      <c r="R359" s="709"/>
      <c r="T359" s="610">
        <v>6478.5893082700422</v>
      </c>
      <c r="U359" s="611">
        <v>7625.6269114050647</v>
      </c>
      <c r="V359" s="611">
        <v>6478.5893082700422</v>
      </c>
      <c r="W359" s="612">
        <v>7625.6269114050647</v>
      </c>
      <c r="Z359" s="610">
        <v>7385.3905029760053</v>
      </c>
      <c r="AA359" s="611">
        <v>8692.977728783937</v>
      </c>
      <c r="AB359" s="611">
        <v>7385.3905029760053</v>
      </c>
      <c r="AC359" s="612">
        <v>8692.977728783937</v>
      </c>
      <c r="AF359" s="610">
        <v>8492.9</v>
      </c>
      <c r="AG359" s="611">
        <v>9996.57</v>
      </c>
      <c r="AH359" s="611">
        <v>8492.9</v>
      </c>
      <c r="AI359" s="612">
        <v>9996.57</v>
      </c>
      <c r="AL359" s="610">
        <v>9682.1863078930601</v>
      </c>
      <c r="AM359" s="611">
        <v>11396.422424316675</v>
      </c>
      <c r="AN359" s="611">
        <v>9682.1863078930601</v>
      </c>
      <c r="AO359" s="612">
        <v>11396.422424316675</v>
      </c>
      <c r="AR359" s="610">
        <v>9924.35</v>
      </c>
      <c r="AS359" s="611">
        <v>11681.46</v>
      </c>
      <c r="AT359" s="611">
        <v>9924.35</v>
      </c>
      <c r="AU359" s="612">
        <v>11681.46</v>
      </c>
    </row>
    <row r="360" spans="1:47" ht="13" hidden="1">
      <c r="A360" s="609">
        <v>24</v>
      </c>
      <c r="B360" s="624" t="str">
        <f t="shared" si="36"/>
        <v>24B</v>
      </c>
      <c r="C360" s="610">
        <v>16408.599999999999</v>
      </c>
      <c r="D360" s="611">
        <v>19428.240000000002</v>
      </c>
      <c r="E360" s="611">
        <v>16408.599999999999</v>
      </c>
      <c r="F360" s="612">
        <v>19428.240000000002</v>
      </c>
      <c r="N360" s="709"/>
      <c r="O360" s="709"/>
      <c r="P360" s="709"/>
      <c r="Q360" s="709"/>
      <c r="R360" s="709"/>
      <c r="T360" s="610">
        <v>6741.547800518988</v>
      </c>
      <c r="U360" s="611">
        <v>7982.1800815569613</v>
      </c>
      <c r="V360" s="611">
        <v>6741.547800518988</v>
      </c>
      <c r="W360" s="612">
        <v>7982.1800815569613</v>
      </c>
      <c r="Z360" s="610">
        <v>7685.1550132611674</v>
      </c>
      <c r="AA360" s="611">
        <v>9099.437263621925</v>
      </c>
      <c r="AB360" s="611">
        <v>7685.1550132611674</v>
      </c>
      <c r="AC360" s="612">
        <v>9099.437263621925</v>
      </c>
      <c r="AF360" s="610">
        <v>8837.61</v>
      </c>
      <c r="AG360" s="611">
        <v>10463.98</v>
      </c>
      <c r="AH360" s="611">
        <v>8837.61</v>
      </c>
      <c r="AI360" s="612">
        <v>10463.98</v>
      </c>
      <c r="AL360" s="610">
        <v>10075.17511950779</v>
      </c>
      <c r="AM360" s="611">
        <v>11929.287537046348</v>
      </c>
      <c r="AN360" s="611">
        <v>10075.17511950779</v>
      </c>
      <c r="AO360" s="612">
        <v>11929.287537046348</v>
      </c>
      <c r="AR360" s="610">
        <v>10327.17</v>
      </c>
      <c r="AS360" s="611">
        <v>12227.66</v>
      </c>
      <c r="AT360" s="611">
        <v>10327.17</v>
      </c>
      <c r="AU360" s="612">
        <v>12227.66</v>
      </c>
    </row>
    <row r="361" spans="1:47" ht="13" hidden="1">
      <c r="A361" s="609">
        <v>25</v>
      </c>
      <c r="B361" s="624" t="str">
        <f t="shared" si="36"/>
        <v>25B</v>
      </c>
      <c r="C361" s="610">
        <v>17050.48</v>
      </c>
      <c r="D361" s="611">
        <v>20327.71</v>
      </c>
      <c r="E361" s="611">
        <v>17050.48</v>
      </c>
      <c r="F361" s="612">
        <v>20327.71</v>
      </c>
      <c r="N361" s="709"/>
      <c r="O361" s="709"/>
      <c r="P361" s="709"/>
      <c r="Q361" s="709"/>
      <c r="R361" s="709"/>
      <c r="T361" s="610">
        <v>7005.2684299324901</v>
      </c>
      <c r="U361" s="611">
        <v>8351.7319244599166</v>
      </c>
      <c r="V361" s="611">
        <v>7005.2684299324901</v>
      </c>
      <c r="W361" s="612">
        <v>8351.7319244599166</v>
      </c>
      <c r="Z361" s="610">
        <v>7985.7883362321236</v>
      </c>
      <c r="AA361" s="611">
        <v>9520.7148814898737</v>
      </c>
      <c r="AB361" s="611">
        <v>7985.7883362321236</v>
      </c>
      <c r="AC361" s="612">
        <v>9520.7148814898737</v>
      </c>
      <c r="AF361" s="610">
        <v>9183.33</v>
      </c>
      <c r="AG361" s="611">
        <v>10948.43</v>
      </c>
      <c r="AH361" s="611">
        <v>9183.33</v>
      </c>
      <c r="AI361" s="612">
        <v>10948.43</v>
      </c>
      <c r="AL361" s="610">
        <v>10469.30293741977</v>
      </c>
      <c r="AM361" s="611">
        <v>12481.57903495688</v>
      </c>
      <c r="AN361" s="611">
        <v>10469.30293741977</v>
      </c>
      <c r="AO361" s="612">
        <v>12481.57903495688</v>
      </c>
      <c r="AR361" s="610">
        <v>10731.16</v>
      </c>
      <c r="AS361" s="611">
        <v>12793.76</v>
      </c>
      <c r="AT361" s="611">
        <v>10731.16</v>
      </c>
      <c r="AU361" s="612">
        <v>12793.76</v>
      </c>
    </row>
    <row r="362" spans="1:47" ht="13" hidden="1">
      <c r="A362" s="609">
        <v>26</v>
      </c>
      <c r="B362" s="624" t="str">
        <f t="shared" si="36"/>
        <v>26B</v>
      </c>
      <c r="C362" s="610">
        <v>18180.23</v>
      </c>
      <c r="D362" s="611">
        <v>21116.5</v>
      </c>
      <c r="E362" s="611">
        <v>18180.23</v>
      </c>
      <c r="F362" s="612">
        <v>21116.5</v>
      </c>
      <c r="N362" s="709"/>
      <c r="O362" s="709"/>
      <c r="P362" s="709"/>
      <c r="Q362" s="709"/>
      <c r="R362" s="709"/>
      <c r="T362" s="610">
        <v>7469.4311336244727</v>
      </c>
      <c r="U362" s="611">
        <v>8675.8095832109702</v>
      </c>
      <c r="V362" s="611">
        <v>7469.4311336244727</v>
      </c>
      <c r="W362" s="612">
        <v>8675.8095832109702</v>
      </c>
      <c r="Z362" s="610">
        <v>8514.9193955672945</v>
      </c>
      <c r="AA362" s="611">
        <v>9890.1533424386889</v>
      </c>
      <c r="AB362" s="611">
        <v>8514.9193955672945</v>
      </c>
      <c r="AC362" s="612">
        <v>9890.1533424386889</v>
      </c>
      <c r="AF362" s="610">
        <v>9791.81</v>
      </c>
      <c r="AG362" s="611">
        <v>11373.27</v>
      </c>
      <c r="AH362" s="611">
        <v>9791.81</v>
      </c>
      <c r="AI362" s="612">
        <v>11373.27</v>
      </c>
      <c r="AL362" s="610">
        <v>11162.989411508246</v>
      </c>
      <c r="AM362" s="611">
        <v>12965.90982379822</v>
      </c>
      <c r="AN362" s="611">
        <v>11162.989411508246</v>
      </c>
      <c r="AO362" s="612">
        <v>12965.90982379822</v>
      </c>
      <c r="AR362" s="610">
        <v>11442.19</v>
      </c>
      <c r="AS362" s="611">
        <v>13290.21</v>
      </c>
      <c r="AT362" s="611">
        <v>11442.19</v>
      </c>
      <c r="AU362" s="612">
        <v>13290.21</v>
      </c>
    </row>
    <row r="363" spans="1:47" ht="13" hidden="1">
      <c r="A363" s="609">
        <v>27</v>
      </c>
      <c r="B363" s="624" t="str">
        <f t="shared" si="36"/>
        <v>27B</v>
      </c>
      <c r="C363" s="610">
        <v>18984.63</v>
      </c>
      <c r="D363" s="611">
        <v>22081.200000000001</v>
      </c>
      <c r="E363" s="611">
        <v>18984.63</v>
      </c>
      <c r="F363" s="612">
        <v>22081.200000000001</v>
      </c>
      <c r="N363" s="709"/>
      <c r="O363" s="709"/>
      <c r="P363" s="709"/>
      <c r="Q363" s="709"/>
      <c r="R363" s="709"/>
      <c r="T363" s="610">
        <v>7799.9234468438826</v>
      </c>
      <c r="U363" s="611">
        <v>9072.163249734178</v>
      </c>
      <c r="V363" s="611">
        <v>7799.9234468438826</v>
      </c>
      <c r="W363" s="612">
        <v>9072.163249734178</v>
      </c>
      <c r="Z363" s="610">
        <v>8891.6703632882218</v>
      </c>
      <c r="AA363" s="611">
        <v>10341.984206423778</v>
      </c>
      <c r="AB363" s="611">
        <v>8891.6703632882218</v>
      </c>
      <c r="AC363" s="612">
        <v>10341.984206423778</v>
      </c>
      <c r="AF363" s="610">
        <v>10225.06</v>
      </c>
      <c r="AG363" s="611">
        <v>11892.86</v>
      </c>
      <c r="AH363" s="611">
        <v>10225.06</v>
      </c>
      <c r="AI363" s="612">
        <v>11892.86</v>
      </c>
      <c r="AL363" s="610">
        <v>11656.906836684766</v>
      </c>
      <c r="AM363" s="611">
        <v>13558.256376495343</v>
      </c>
      <c r="AN363" s="611">
        <v>11656.906836684766</v>
      </c>
      <c r="AO363" s="612">
        <v>13558.256376495343</v>
      </c>
      <c r="AR363" s="610">
        <v>11948.46</v>
      </c>
      <c r="AS363" s="611">
        <v>13897.37</v>
      </c>
      <c r="AT363" s="611">
        <v>11948.46</v>
      </c>
      <c r="AU363" s="612">
        <v>13897.37</v>
      </c>
    </row>
    <row r="364" spans="1:47" ht="13" hidden="1">
      <c r="A364" s="609">
        <v>28</v>
      </c>
      <c r="B364" s="624" t="str">
        <f t="shared" si="36"/>
        <v>28B</v>
      </c>
      <c r="C364" s="610">
        <v>20078.73</v>
      </c>
      <c r="D364" s="611">
        <v>23110.73</v>
      </c>
      <c r="E364" s="611">
        <v>20078.73</v>
      </c>
      <c r="F364" s="612">
        <v>23110.73</v>
      </c>
      <c r="N364" s="709"/>
      <c r="O364" s="709"/>
      <c r="P364" s="709"/>
      <c r="Q364" s="709"/>
      <c r="R364" s="709"/>
      <c r="T364" s="610">
        <v>8249.4361805949393</v>
      </c>
      <c r="U364" s="611">
        <v>9495.1493760632929</v>
      </c>
      <c r="V364" s="611">
        <v>8249.4361805949393</v>
      </c>
      <c r="W364" s="612">
        <v>9495.1493760632929</v>
      </c>
      <c r="Z364" s="610">
        <v>9404.1009121075476</v>
      </c>
      <c r="AA364" s="611">
        <v>10824.175247040277</v>
      </c>
      <c r="AB364" s="611">
        <v>9404.1009121075476</v>
      </c>
      <c r="AC364" s="612">
        <v>10824.175247040277</v>
      </c>
      <c r="AF364" s="610">
        <v>10814.33</v>
      </c>
      <c r="AG364" s="611">
        <v>12447.36</v>
      </c>
      <c r="AH364" s="611">
        <v>10814.33</v>
      </c>
      <c r="AI364" s="612">
        <v>12447.36</v>
      </c>
      <c r="AL364" s="610">
        <v>12328.699078615011</v>
      </c>
      <c r="AM364" s="611">
        <v>14190.404871468563</v>
      </c>
      <c r="AN364" s="611">
        <v>12328.699078615011</v>
      </c>
      <c r="AO364" s="612">
        <v>14190.404871468563</v>
      </c>
      <c r="AR364" s="610">
        <v>12637.06</v>
      </c>
      <c r="AS364" s="611">
        <v>14545.33</v>
      </c>
      <c r="AT364" s="611">
        <v>12637.06</v>
      </c>
      <c r="AU364" s="612">
        <v>14545.33</v>
      </c>
    </row>
    <row r="365" spans="1:47" ht="13" hidden="1">
      <c r="A365" s="609">
        <v>29</v>
      </c>
      <c r="B365" s="624" t="str">
        <f t="shared" si="36"/>
        <v>29B</v>
      </c>
      <c r="C365" s="610">
        <v>21093.93</v>
      </c>
      <c r="D365" s="611">
        <v>24149.69</v>
      </c>
      <c r="E365" s="611">
        <v>21093.93</v>
      </c>
      <c r="F365" s="612">
        <v>24149.69</v>
      </c>
      <c r="N365" s="709"/>
      <c r="O365" s="709"/>
      <c r="P365" s="709"/>
      <c r="Q365" s="709"/>
      <c r="R365" s="709"/>
      <c r="T365" s="610">
        <v>8666.5369143755288</v>
      </c>
      <c r="U365" s="611">
        <v>9922.0096996455704</v>
      </c>
      <c r="V365" s="611">
        <v>8666.5369143755288</v>
      </c>
      <c r="W365" s="612">
        <v>9922.0096996455704</v>
      </c>
      <c r="Z365" s="610">
        <v>9879.5827880948473</v>
      </c>
      <c r="AA365" s="611">
        <v>11310.782752142901</v>
      </c>
      <c r="AB365" s="611">
        <v>9879.5827880948473</v>
      </c>
      <c r="AC365" s="612">
        <v>11310.782752142901</v>
      </c>
      <c r="AF365" s="610">
        <v>11361.12</v>
      </c>
      <c r="AG365" s="611">
        <v>13006.94</v>
      </c>
      <c r="AH365" s="611">
        <v>11361.12</v>
      </c>
      <c r="AI365" s="612">
        <v>13006.94</v>
      </c>
      <c r="AL365" s="610">
        <v>12952.05191384836</v>
      </c>
      <c r="AM365" s="611">
        <v>14828.34331511946</v>
      </c>
      <c r="AN365" s="611">
        <v>12952.05191384836</v>
      </c>
      <c r="AO365" s="612">
        <v>14828.34331511946</v>
      </c>
      <c r="AR365" s="610">
        <v>13276</v>
      </c>
      <c r="AS365" s="611">
        <v>15199.22</v>
      </c>
      <c r="AT365" s="611">
        <v>13276</v>
      </c>
      <c r="AU365" s="612">
        <v>15199.22</v>
      </c>
    </row>
    <row r="366" spans="1:47" ht="13" hidden="1">
      <c r="A366" s="609">
        <v>30</v>
      </c>
      <c r="B366" s="624" t="str">
        <f t="shared" si="36"/>
        <v>30B</v>
      </c>
      <c r="C366" s="610">
        <v>22038.33</v>
      </c>
      <c r="D366" s="611">
        <v>25292.11</v>
      </c>
      <c r="E366" s="611">
        <v>22038.33</v>
      </c>
      <c r="F366" s="612">
        <v>25292.11</v>
      </c>
      <c r="N366" s="709"/>
      <c r="O366" s="709"/>
      <c r="P366" s="709"/>
      <c r="Q366" s="709"/>
      <c r="R366" s="709"/>
      <c r="T366" s="610">
        <v>9054.5494130421957</v>
      </c>
      <c r="U366" s="611">
        <v>10391.380340628695</v>
      </c>
      <c r="V366" s="611">
        <v>9054.5494130421957</v>
      </c>
      <c r="W366" s="612">
        <v>10391.380340628695</v>
      </c>
      <c r="Z366" s="610">
        <v>10321.904979907617</v>
      </c>
      <c r="AA366" s="611">
        <v>11845.850698164344</v>
      </c>
      <c r="AB366" s="611">
        <v>10321.904979907617</v>
      </c>
      <c r="AC366" s="612">
        <v>11845.850698164344</v>
      </c>
      <c r="AF366" s="610">
        <v>11869.77</v>
      </c>
      <c r="AG366" s="611">
        <v>13622.24</v>
      </c>
      <c r="AH366" s="611">
        <v>11869.77</v>
      </c>
      <c r="AI366" s="612">
        <v>13622.24</v>
      </c>
      <c r="AL366" s="610">
        <v>13531.932675403368</v>
      </c>
      <c r="AM366" s="611">
        <v>15529.812998905805</v>
      </c>
      <c r="AN366" s="611">
        <v>13531.932675403368</v>
      </c>
      <c r="AO366" s="612">
        <v>15529.812998905805</v>
      </c>
      <c r="AR366" s="610">
        <v>13870.39</v>
      </c>
      <c r="AS366" s="611">
        <v>15918.24</v>
      </c>
      <c r="AT366" s="611">
        <v>13870.39</v>
      </c>
      <c r="AU366" s="612">
        <v>15918.24</v>
      </c>
    </row>
    <row r="367" spans="1:47" ht="13" hidden="1">
      <c r="A367" s="609">
        <v>31</v>
      </c>
      <c r="B367" s="624" t="str">
        <f t="shared" si="36"/>
        <v>31B</v>
      </c>
      <c r="C367" s="610">
        <v>22652.15</v>
      </c>
      <c r="D367" s="611">
        <v>26126.5</v>
      </c>
      <c r="E367" s="611">
        <v>22652.15</v>
      </c>
      <c r="F367" s="612">
        <v>26126.5</v>
      </c>
      <c r="N367" s="709"/>
      <c r="O367" s="709"/>
      <c r="P367" s="709"/>
      <c r="Q367" s="709"/>
      <c r="R367" s="709"/>
      <c r="T367" s="610">
        <v>9427.4250208016911</v>
      </c>
      <c r="U367" s="611">
        <v>10873.389756257386</v>
      </c>
      <c r="V367" s="611">
        <v>9427.4250208016911</v>
      </c>
      <c r="W367" s="612">
        <v>10873.389756257386</v>
      </c>
      <c r="Z367" s="610">
        <v>10746.971586433063</v>
      </c>
      <c r="AA367" s="611">
        <v>12395.326454558557</v>
      </c>
      <c r="AB367" s="611">
        <v>10746.971586433063</v>
      </c>
      <c r="AC367" s="612">
        <v>12395.326454558557</v>
      </c>
      <c r="AF367" s="610">
        <v>12358.58</v>
      </c>
      <c r="AG367" s="611">
        <v>14254.12</v>
      </c>
      <c r="AH367" s="611">
        <v>12358.58</v>
      </c>
      <c r="AI367" s="612">
        <v>14254.12</v>
      </c>
      <c r="AL367" s="610">
        <v>14089.19150633246</v>
      </c>
      <c r="AM367" s="611">
        <v>16250.171203788193</v>
      </c>
      <c r="AN367" s="611">
        <v>14089.19150633246</v>
      </c>
      <c r="AO367" s="612">
        <v>16250.171203788193</v>
      </c>
      <c r="AR367" s="610">
        <v>14441.58</v>
      </c>
      <c r="AS367" s="611">
        <v>16656.61</v>
      </c>
      <c r="AT367" s="611">
        <v>14441.58</v>
      </c>
      <c r="AU367" s="612">
        <v>16656.61</v>
      </c>
    </row>
    <row r="368" spans="1:47" ht="13" hidden="1">
      <c r="A368" s="609">
        <v>32</v>
      </c>
      <c r="B368" s="624" t="str">
        <f t="shared" si="36"/>
        <v>32B</v>
      </c>
      <c r="C368" s="610">
        <v>24045.13</v>
      </c>
      <c r="D368" s="611">
        <v>27303.24</v>
      </c>
      <c r="E368" s="611">
        <v>24045.13</v>
      </c>
      <c r="F368" s="612">
        <v>27303.24</v>
      </c>
      <c r="N368" s="709"/>
      <c r="O368" s="709"/>
      <c r="P368" s="709"/>
      <c r="Q368" s="709"/>
      <c r="R368" s="709"/>
      <c r="T368" s="610">
        <v>10007.157357308019</v>
      </c>
      <c r="U368" s="611">
        <v>11363.126395915611</v>
      </c>
      <c r="V368" s="611">
        <v>10007.157357308019</v>
      </c>
      <c r="W368" s="612">
        <v>11363.126395915611</v>
      </c>
      <c r="Z368" s="610">
        <v>11407.84843609483</v>
      </c>
      <c r="AA368" s="611">
        <v>12953.611006239307</v>
      </c>
      <c r="AB368" s="611">
        <v>11407.84843609483</v>
      </c>
      <c r="AC368" s="612">
        <v>12953.611006239307</v>
      </c>
      <c r="AF368" s="610">
        <v>13118.56</v>
      </c>
      <c r="AG368" s="611">
        <v>14896.12</v>
      </c>
      <c r="AH368" s="611">
        <v>13118.56</v>
      </c>
      <c r="AI368" s="612">
        <v>14896.12</v>
      </c>
      <c r="AL368" s="610">
        <v>14955.595629773225</v>
      </c>
      <c r="AM368" s="611">
        <v>16982.077666962137</v>
      </c>
      <c r="AN368" s="611">
        <v>14955.595629773225</v>
      </c>
      <c r="AO368" s="612">
        <v>16982.077666962137</v>
      </c>
      <c r="AR368" s="610">
        <v>15329.66</v>
      </c>
      <c r="AS368" s="611">
        <v>17406.82</v>
      </c>
      <c r="AT368" s="611">
        <v>15329.66</v>
      </c>
      <c r="AU368" s="612">
        <v>17406.82</v>
      </c>
    </row>
    <row r="369" spans="1:47" ht="13" hidden="1">
      <c r="A369" s="609">
        <v>33</v>
      </c>
      <c r="B369" s="624" t="str">
        <f t="shared" si="36"/>
        <v>33B</v>
      </c>
      <c r="C369" s="610">
        <v>24893.41</v>
      </c>
      <c r="D369" s="611">
        <v>28502.560000000001</v>
      </c>
      <c r="E369" s="611">
        <v>24893.41</v>
      </c>
      <c r="F369" s="612">
        <v>28502.560000000001</v>
      </c>
      <c r="N369" s="709"/>
      <c r="O369" s="709"/>
      <c r="P369" s="709"/>
      <c r="Q369" s="709"/>
      <c r="R369" s="709"/>
      <c r="T369" s="610">
        <v>10360.196228312236</v>
      </c>
      <c r="U369" s="611">
        <v>11862.262727270045</v>
      </c>
      <c r="V369" s="611">
        <v>10360.196228312236</v>
      </c>
      <c r="W369" s="612">
        <v>11862.262727270045</v>
      </c>
      <c r="Z369" s="610">
        <v>11810.301779103875</v>
      </c>
      <c r="AA369" s="611">
        <v>13522.610914378207</v>
      </c>
      <c r="AB369" s="611">
        <v>11810.301779103875</v>
      </c>
      <c r="AC369" s="612">
        <v>13522.610914378207</v>
      </c>
      <c r="AF369" s="610">
        <v>13581.36</v>
      </c>
      <c r="AG369" s="611">
        <v>15550.45</v>
      </c>
      <c r="AH369" s="611">
        <v>13581.36</v>
      </c>
      <c r="AI369" s="612">
        <v>15550.45</v>
      </c>
      <c r="AL369" s="610">
        <v>15483.208657910032</v>
      </c>
      <c r="AM369" s="611">
        <v>17728.031874468816</v>
      </c>
      <c r="AN369" s="611">
        <v>15483.208657910032</v>
      </c>
      <c r="AO369" s="612">
        <v>17728.031874468816</v>
      </c>
      <c r="AR369" s="610">
        <v>15870.47</v>
      </c>
      <c r="AS369" s="611">
        <v>18171.439999999999</v>
      </c>
      <c r="AT369" s="611">
        <v>15870.47</v>
      </c>
      <c r="AU369" s="612">
        <v>18171.439999999999</v>
      </c>
    </row>
    <row r="370" spans="1:47" ht="13" hidden="1">
      <c r="A370" s="609">
        <v>34</v>
      </c>
      <c r="B370" s="624" t="str">
        <f t="shared" si="36"/>
        <v>34B</v>
      </c>
      <c r="C370" s="610">
        <v>26286.03</v>
      </c>
      <c r="D370" s="611">
        <v>29786.63</v>
      </c>
      <c r="E370" s="611">
        <v>26286.03</v>
      </c>
      <c r="F370" s="612">
        <v>29786.63</v>
      </c>
      <c r="N370" s="709"/>
      <c r="O370" s="709"/>
      <c r="P370" s="709"/>
      <c r="Q370" s="709"/>
      <c r="R370" s="709"/>
      <c r="T370" s="610">
        <v>10939.780371481014</v>
      </c>
      <c r="U370" s="611">
        <v>12396.669072962028</v>
      </c>
      <c r="V370" s="611">
        <v>10939.780371481014</v>
      </c>
      <c r="W370" s="612">
        <v>12396.669072962028</v>
      </c>
      <c r="Z370" s="610">
        <v>12471.00969296563</v>
      </c>
      <c r="AA370" s="611">
        <v>14131.817542920864</v>
      </c>
      <c r="AB370" s="611">
        <v>12471.00969296563</v>
      </c>
      <c r="AC370" s="612">
        <v>14131.817542920864</v>
      </c>
      <c r="AF370" s="610">
        <v>14341.15</v>
      </c>
      <c r="AG370" s="611">
        <v>16251.01</v>
      </c>
      <c r="AH370" s="611">
        <v>14341.15</v>
      </c>
      <c r="AI370" s="612">
        <v>16251.01</v>
      </c>
      <c r="AL370" s="610">
        <v>16349.391307904109</v>
      </c>
      <c r="AM370" s="611">
        <v>18526.69676228708</v>
      </c>
      <c r="AN370" s="611">
        <v>16349.391307904109</v>
      </c>
      <c r="AO370" s="612">
        <v>18526.69676228708</v>
      </c>
      <c r="AR370" s="610">
        <v>16758.310000000001</v>
      </c>
      <c r="AS370" s="611">
        <v>18990.080000000002</v>
      </c>
      <c r="AT370" s="611">
        <v>16758.310000000001</v>
      </c>
      <c r="AU370" s="612">
        <v>18990.080000000002</v>
      </c>
    </row>
    <row r="371" spans="1:47" ht="13" hidden="1">
      <c r="A371" s="609">
        <v>35</v>
      </c>
      <c r="B371" s="624" t="str">
        <f t="shared" si="36"/>
        <v>35B</v>
      </c>
      <c r="C371" s="610">
        <v>27737.759999999998</v>
      </c>
      <c r="D371" s="611">
        <v>31147.3</v>
      </c>
      <c r="E371" s="611">
        <v>27737.759999999998</v>
      </c>
      <c r="F371" s="612">
        <v>31147.3</v>
      </c>
      <c r="N371" s="709"/>
      <c r="O371" s="709"/>
      <c r="P371" s="709"/>
      <c r="Q371" s="709"/>
      <c r="R371" s="709"/>
      <c r="T371" s="610">
        <v>11543.964608683544</v>
      </c>
      <c r="U371" s="611">
        <v>12962.958156704643</v>
      </c>
      <c r="V371" s="611">
        <v>11543.964608683544</v>
      </c>
      <c r="W371" s="612">
        <v>12962.958156704643</v>
      </c>
      <c r="Z371" s="610">
        <v>13159.760949630005</v>
      </c>
      <c r="AA371" s="611">
        <v>14777.369502152629</v>
      </c>
      <c r="AB371" s="611">
        <v>13159.760949630005</v>
      </c>
      <c r="AC371" s="612">
        <v>14777.369502152629</v>
      </c>
      <c r="AF371" s="610">
        <v>15133.19</v>
      </c>
      <c r="AG371" s="611">
        <v>16993.37</v>
      </c>
      <c r="AH371" s="611">
        <v>15133.19</v>
      </c>
      <c r="AI371" s="612">
        <v>16993.37</v>
      </c>
      <c r="AL371" s="610">
        <v>17252.33855004828</v>
      </c>
      <c r="AM371" s="611">
        <v>19373.010080206928</v>
      </c>
      <c r="AN371" s="611">
        <v>17252.33855004828</v>
      </c>
      <c r="AO371" s="612">
        <v>19373.010080206928</v>
      </c>
      <c r="AR371" s="610">
        <v>17683.84</v>
      </c>
      <c r="AS371" s="611">
        <v>19857.560000000001</v>
      </c>
      <c r="AT371" s="611">
        <v>17683.84</v>
      </c>
      <c r="AU371" s="612">
        <v>19857.560000000001</v>
      </c>
    </row>
    <row r="372" spans="1:47" ht="13" hidden="1">
      <c r="A372" s="609">
        <v>36</v>
      </c>
      <c r="B372" s="624" t="str">
        <f t="shared" si="36"/>
        <v>36B</v>
      </c>
      <c r="C372" s="610">
        <v>28923.5</v>
      </c>
      <c r="D372" s="611">
        <v>32542.01</v>
      </c>
      <c r="E372" s="611">
        <v>28923.5</v>
      </c>
      <c r="F372" s="612">
        <v>32542.01</v>
      </c>
      <c r="N372" s="709"/>
      <c r="O372" s="709"/>
      <c r="P372" s="709"/>
      <c r="Q372" s="709"/>
      <c r="R372" s="709"/>
      <c r="T372" s="610">
        <v>12037.448422734178</v>
      </c>
      <c r="U372" s="611">
        <v>13543.410289421945</v>
      </c>
      <c r="V372" s="611">
        <v>12037.448422734178</v>
      </c>
      <c r="W372" s="612">
        <v>13543.410289421945</v>
      </c>
      <c r="Z372" s="610">
        <v>13722.317163682585</v>
      </c>
      <c r="AA372" s="611">
        <v>15439.066897128761</v>
      </c>
      <c r="AB372" s="611">
        <v>13722.317163682585</v>
      </c>
      <c r="AC372" s="612">
        <v>15439.066897128761</v>
      </c>
      <c r="AF372" s="610">
        <v>15780.1</v>
      </c>
      <c r="AG372" s="611">
        <v>17754.29</v>
      </c>
      <c r="AH372" s="611">
        <v>15780.1</v>
      </c>
      <c r="AI372" s="612">
        <v>17754.29</v>
      </c>
      <c r="AL372" s="610">
        <v>17989.84512751703</v>
      </c>
      <c r="AM372" s="611">
        <v>20240.489931817319</v>
      </c>
      <c r="AN372" s="611">
        <v>17989.84512751703</v>
      </c>
      <c r="AO372" s="612">
        <v>20240.489931817319</v>
      </c>
      <c r="AR372" s="610">
        <v>18439.8</v>
      </c>
      <c r="AS372" s="611">
        <v>20746.73</v>
      </c>
      <c r="AT372" s="611">
        <v>18439.8</v>
      </c>
      <c r="AU372" s="612">
        <v>20746.73</v>
      </c>
    </row>
    <row r="373" spans="1:47" ht="13" hidden="1">
      <c r="A373" s="609">
        <v>37</v>
      </c>
      <c r="B373" s="624" t="str">
        <f t="shared" si="36"/>
        <v>37B</v>
      </c>
      <c r="C373" s="610">
        <v>30500.51</v>
      </c>
      <c r="D373" s="611">
        <v>34097.919999999998</v>
      </c>
      <c r="E373" s="611">
        <v>30500.51</v>
      </c>
      <c r="F373" s="612">
        <v>34097.919999999998</v>
      </c>
      <c r="N373" s="709"/>
      <c r="O373" s="709"/>
      <c r="P373" s="709"/>
      <c r="Q373" s="709"/>
      <c r="R373" s="709"/>
      <c r="T373" s="610">
        <v>12693.775544278482</v>
      </c>
      <c r="U373" s="611">
        <v>14190.951663097048</v>
      </c>
      <c r="V373" s="611">
        <v>12693.775544278482</v>
      </c>
      <c r="W373" s="612">
        <v>14190.951663097048</v>
      </c>
      <c r="Z373" s="610">
        <v>14470.509688266802</v>
      </c>
      <c r="AA373" s="611">
        <v>16177.243942140614</v>
      </c>
      <c r="AB373" s="611">
        <v>14470.509688266802</v>
      </c>
      <c r="AC373" s="612">
        <v>16177.243942140614</v>
      </c>
      <c r="AF373" s="610">
        <v>16640.490000000002</v>
      </c>
      <c r="AG373" s="611">
        <v>18603.169999999998</v>
      </c>
      <c r="AH373" s="611">
        <v>16640.490000000002</v>
      </c>
      <c r="AI373" s="612">
        <v>18603.169999999998</v>
      </c>
      <c r="AL373" s="610">
        <v>18970.719383831329</v>
      </c>
      <c r="AM373" s="611">
        <v>21208.233976649441</v>
      </c>
      <c r="AN373" s="611">
        <v>18970.719383831329</v>
      </c>
      <c r="AO373" s="612">
        <v>21208.233976649441</v>
      </c>
      <c r="AR373" s="610">
        <v>19445.2</v>
      </c>
      <c r="AS373" s="611">
        <v>21738.68</v>
      </c>
      <c r="AT373" s="611">
        <v>19445.2</v>
      </c>
      <c r="AU373" s="612">
        <v>21738.68</v>
      </c>
    </row>
    <row r="374" spans="1:47" ht="13" hidden="1">
      <c r="A374" s="609">
        <v>38</v>
      </c>
      <c r="B374" s="624" t="str">
        <f t="shared" si="36"/>
        <v>38B</v>
      </c>
      <c r="C374" s="610">
        <v>32126.87</v>
      </c>
      <c r="D374" s="611">
        <v>35597.67</v>
      </c>
      <c r="E374" s="611">
        <v>32126.87</v>
      </c>
      <c r="F374" s="612">
        <v>35597.67</v>
      </c>
      <c r="N374" s="709"/>
      <c r="O374" s="709"/>
      <c r="P374" s="709"/>
      <c r="Q374" s="709"/>
      <c r="R374" s="709"/>
      <c r="T374" s="610">
        <v>13370.638028312238</v>
      </c>
      <c r="U374" s="611">
        <v>14815.120830392407</v>
      </c>
      <c r="V374" s="611">
        <v>13370.638028312238</v>
      </c>
      <c r="W374" s="612">
        <v>14815.120830392407</v>
      </c>
      <c r="Z374" s="610">
        <v>15242.111887996067</v>
      </c>
      <c r="AA374" s="611">
        <v>16888.777398121405</v>
      </c>
      <c r="AB374" s="611">
        <v>15242.111887996067</v>
      </c>
      <c r="AC374" s="612">
        <v>16888.777398121405</v>
      </c>
      <c r="AF374" s="610">
        <v>17527.8</v>
      </c>
      <c r="AG374" s="611">
        <v>19421.400000000001</v>
      </c>
      <c r="AH374" s="611">
        <v>17527.8</v>
      </c>
      <c r="AI374" s="612">
        <v>19421.400000000001</v>
      </c>
      <c r="AL374" s="610">
        <v>19982.283532043723</v>
      </c>
      <c r="AM374" s="611">
        <v>22141.048495032588</v>
      </c>
      <c r="AN374" s="611">
        <v>19982.283532043723</v>
      </c>
      <c r="AO374" s="612">
        <v>22141.048495032588</v>
      </c>
      <c r="AR374" s="610">
        <v>20482.07</v>
      </c>
      <c r="AS374" s="611">
        <v>22694.83</v>
      </c>
      <c r="AT374" s="611">
        <v>20482.07</v>
      </c>
      <c r="AU374" s="612">
        <v>22694.83</v>
      </c>
    </row>
    <row r="375" spans="1:47" ht="13" hidden="1">
      <c r="A375" s="609">
        <v>39</v>
      </c>
      <c r="B375" s="624" t="str">
        <f t="shared" si="36"/>
        <v>39B</v>
      </c>
      <c r="C375" s="610">
        <v>33880.959999999999</v>
      </c>
      <c r="D375" s="611">
        <v>37211.160000000003</v>
      </c>
      <c r="E375" s="611">
        <v>33880.959999999999</v>
      </c>
      <c r="F375" s="612">
        <v>37211.160000000003</v>
      </c>
      <c r="N375" s="709"/>
      <c r="O375" s="709"/>
      <c r="P375" s="709"/>
      <c r="Q375" s="709"/>
      <c r="R375" s="709"/>
      <c r="T375" s="610">
        <v>14100.659579573841</v>
      </c>
      <c r="U375" s="611">
        <v>15486.627183797469</v>
      </c>
      <c r="V375" s="611">
        <v>14100.659579573841</v>
      </c>
      <c r="W375" s="612">
        <v>15486.627183797469</v>
      </c>
      <c r="Z375" s="610">
        <v>16074.313772559562</v>
      </c>
      <c r="AA375" s="611">
        <v>17654.273775364378</v>
      </c>
      <c r="AB375" s="611">
        <v>16074.313772559562</v>
      </c>
      <c r="AC375" s="612">
        <v>17654.273775364378</v>
      </c>
      <c r="AF375" s="610">
        <v>18484.8</v>
      </c>
      <c r="AG375" s="611">
        <v>20301.689999999999</v>
      </c>
      <c r="AH375" s="611">
        <v>18484.8</v>
      </c>
      <c r="AI375" s="612">
        <v>20301.689999999999</v>
      </c>
      <c r="AL375" s="610">
        <v>21073.293369489238</v>
      </c>
      <c r="AM375" s="611">
        <v>23144.607960100424</v>
      </c>
      <c r="AN375" s="611">
        <v>21073.293369489238</v>
      </c>
      <c r="AO375" s="612">
        <v>23144.607960100424</v>
      </c>
      <c r="AR375" s="610">
        <v>21600.37</v>
      </c>
      <c r="AS375" s="611">
        <v>23723.49</v>
      </c>
      <c r="AT375" s="611">
        <v>21600.37</v>
      </c>
      <c r="AU375" s="612">
        <v>23723.49</v>
      </c>
    </row>
    <row r="376" spans="1:47" ht="13" hidden="1">
      <c r="A376" s="609">
        <v>40</v>
      </c>
      <c r="B376" s="624" t="str">
        <f t="shared" si="36"/>
        <v>40B</v>
      </c>
      <c r="C376" s="610">
        <v>35072.5</v>
      </c>
      <c r="D376" s="611">
        <v>38883.15</v>
      </c>
      <c r="E376" s="611">
        <v>35072.5</v>
      </c>
      <c r="F376" s="612">
        <v>38883.15</v>
      </c>
      <c r="N376" s="709"/>
      <c r="O376" s="709"/>
      <c r="P376" s="709"/>
      <c r="Q376" s="709"/>
      <c r="R376" s="709"/>
      <c r="T376" s="610">
        <v>14596.556827978906</v>
      </c>
      <c r="U376" s="611">
        <v>16182.479585514771</v>
      </c>
      <c r="V376" s="611">
        <v>14596.556827978906</v>
      </c>
      <c r="W376" s="612">
        <v>16182.479585514771</v>
      </c>
      <c r="Z376" s="610">
        <v>16639.621226783835</v>
      </c>
      <c r="AA376" s="611">
        <v>18447.523891181379</v>
      </c>
      <c r="AB376" s="611">
        <v>16639.621226783835</v>
      </c>
      <c r="AC376" s="612">
        <v>18447.523891181379</v>
      </c>
      <c r="AF376" s="610">
        <v>19134.88</v>
      </c>
      <c r="AG376" s="611">
        <v>21213.9</v>
      </c>
      <c r="AH376" s="611">
        <v>19134.88</v>
      </c>
      <c r="AI376" s="612">
        <v>21213.9</v>
      </c>
      <c r="AL376" s="610">
        <v>21814.406800232613</v>
      </c>
      <c r="AM376" s="611">
        <v>24184.552348552606</v>
      </c>
      <c r="AN376" s="611">
        <v>21814.406800232613</v>
      </c>
      <c r="AO376" s="612">
        <v>24184.552348552606</v>
      </c>
      <c r="AR376" s="610">
        <v>22360.02</v>
      </c>
      <c r="AS376" s="611">
        <v>24789.439999999999</v>
      </c>
      <c r="AT376" s="611">
        <v>22360.02</v>
      </c>
      <c r="AU376" s="612">
        <v>24789.439999999999</v>
      </c>
    </row>
    <row r="377" spans="1:47" ht="13" hidden="1">
      <c r="A377" s="609">
        <v>41</v>
      </c>
      <c r="B377" s="624" t="str">
        <f t="shared" si="36"/>
        <v>41B</v>
      </c>
      <c r="C377" s="610">
        <v>36377.480000000003</v>
      </c>
      <c r="D377" s="611">
        <v>40636.83</v>
      </c>
      <c r="E377" s="611">
        <v>36377.480000000003</v>
      </c>
      <c r="F377" s="612">
        <v>40636.83</v>
      </c>
      <c r="N377" s="709"/>
      <c r="O377" s="709"/>
      <c r="P377" s="709"/>
      <c r="Q377" s="709"/>
      <c r="R377" s="709"/>
      <c r="T377" s="610">
        <v>15139.664239632915</v>
      </c>
      <c r="U377" s="611">
        <v>16912.331772962025</v>
      </c>
      <c r="V377" s="611">
        <v>15139.664239632915</v>
      </c>
      <c r="W377" s="612">
        <v>16912.331772962025</v>
      </c>
      <c r="Z377" s="610">
        <v>17258.746800155983</v>
      </c>
      <c r="AA377" s="611">
        <v>19279.532706259146</v>
      </c>
      <c r="AB377" s="611">
        <v>17258.746800155983</v>
      </c>
      <c r="AC377" s="612">
        <v>19279.532706259146</v>
      </c>
      <c r="AF377" s="610">
        <v>19846.849999999999</v>
      </c>
      <c r="AG377" s="611">
        <v>22170.67</v>
      </c>
      <c r="AH377" s="611">
        <v>19846.849999999999</v>
      </c>
      <c r="AI377" s="612">
        <v>22170.67</v>
      </c>
      <c r="AL377" s="610">
        <v>22626.0753432778</v>
      </c>
      <c r="AM377" s="611">
        <v>25275.309073487628</v>
      </c>
      <c r="AN377" s="611">
        <v>22626.0753432778</v>
      </c>
      <c r="AO377" s="612">
        <v>25275.309073487628</v>
      </c>
      <c r="AR377" s="610">
        <v>23191.99</v>
      </c>
      <c r="AS377" s="611">
        <v>25907.48</v>
      </c>
      <c r="AT377" s="611">
        <v>23191.99</v>
      </c>
      <c r="AU377" s="612">
        <v>25907.48</v>
      </c>
    </row>
    <row r="378" spans="1:47" ht="13" hidden="1">
      <c r="A378" s="609">
        <v>42</v>
      </c>
      <c r="B378" s="624" t="str">
        <f t="shared" si="36"/>
        <v>42B</v>
      </c>
      <c r="C378" s="610">
        <v>37789.019999999997</v>
      </c>
      <c r="D378" s="611">
        <v>42461.83</v>
      </c>
      <c r="E378" s="611">
        <v>37789.019999999997</v>
      </c>
      <c r="F378" s="612">
        <v>42461.83</v>
      </c>
      <c r="N378" s="709"/>
      <c r="O378" s="709"/>
      <c r="P378" s="709"/>
      <c r="Q378" s="709"/>
      <c r="R378" s="709"/>
      <c r="T378" s="610">
        <v>15727.123800168776</v>
      </c>
      <c r="U378" s="611">
        <v>17671.864968873419</v>
      </c>
      <c r="V378" s="611">
        <v>15727.123800168776</v>
      </c>
      <c r="W378" s="612">
        <v>17671.864968873419</v>
      </c>
      <c r="Z378" s="610">
        <v>17928.432445104292</v>
      </c>
      <c r="AA378" s="611">
        <v>20145.376948711506</v>
      </c>
      <c r="AB378" s="611">
        <v>17928.432445104292</v>
      </c>
      <c r="AC378" s="612">
        <v>20145.376948711506</v>
      </c>
      <c r="AF378" s="610">
        <v>20616.96</v>
      </c>
      <c r="AG378" s="611">
        <v>23166.36</v>
      </c>
      <c r="AH378" s="611">
        <v>20616.96</v>
      </c>
      <c r="AI378" s="612">
        <v>23166.36</v>
      </c>
      <c r="AL378" s="610">
        <v>23504.027725010121</v>
      </c>
      <c r="AM378" s="611">
        <v>26410.423765887728</v>
      </c>
      <c r="AN378" s="611">
        <v>23504.027725010121</v>
      </c>
      <c r="AO378" s="612">
        <v>26410.423765887728</v>
      </c>
      <c r="AR378" s="610">
        <v>24091.9</v>
      </c>
      <c r="AS378" s="611">
        <v>27070.99</v>
      </c>
      <c r="AT378" s="611">
        <v>24091.9</v>
      </c>
      <c r="AU378" s="612">
        <v>27070.99</v>
      </c>
    </row>
    <row r="379" spans="1:47" ht="13" hidden="1">
      <c r="A379" s="609">
        <v>43</v>
      </c>
      <c r="B379" s="624" t="str">
        <f t="shared" si="36"/>
        <v>43B</v>
      </c>
      <c r="C379" s="610">
        <v>39298.03</v>
      </c>
      <c r="D379" s="611">
        <v>44360.34</v>
      </c>
      <c r="E379" s="611">
        <v>39298.03</v>
      </c>
      <c r="F379" s="612">
        <v>44360.34</v>
      </c>
      <c r="N379" s="709"/>
      <c r="O379" s="709"/>
      <c r="P379" s="709"/>
      <c r="Q379" s="709"/>
      <c r="R379" s="709"/>
      <c r="T379" s="610">
        <v>16355.145994240511</v>
      </c>
      <c r="U379" s="611">
        <v>18461.989503751054</v>
      </c>
      <c r="V379" s="611">
        <v>16355.145994240511</v>
      </c>
      <c r="W379" s="612">
        <v>18461.989503751054</v>
      </c>
      <c r="Z379" s="610">
        <v>18644.358231885501</v>
      </c>
      <c r="AA379" s="611">
        <v>21046.094367024256</v>
      </c>
      <c r="AB379" s="611">
        <v>18644.358231885501</v>
      </c>
      <c r="AC379" s="612">
        <v>21046.094367024256</v>
      </c>
      <c r="AF379" s="610">
        <v>21440.25</v>
      </c>
      <c r="AG379" s="611">
        <v>24202.15</v>
      </c>
      <c r="AH379" s="611">
        <v>21440.25</v>
      </c>
      <c r="AI379" s="612">
        <v>24202.15</v>
      </c>
      <c r="AL379" s="610">
        <v>24442.600553007145</v>
      </c>
      <c r="AM379" s="611">
        <v>27591.256905496848</v>
      </c>
      <c r="AN379" s="611">
        <v>24442.600553007145</v>
      </c>
      <c r="AO379" s="612">
        <v>27591.256905496848</v>
      </c>
      <c r="AR379" s="610">
        <v>25053.94</v>
      </c>
      <c r="AS379" s="611">
        <v>28281.35</v>
      </c>
      <c r="AT379" s="611">
        <v>25053.94</v>
      </c>
      <c r="AU379" s="612">
        <v>28281.35</v>
      </c>
    </row>
    <row r="380" spans="1:47" ht="13" hidden="1">
      <c r="A380" s="609">
        <v>44</v>
      </c>
      <c r="B380" s="624" t="str">
        <f t="shared" si="36"/>
        <v>44B</v>
      </c>
      <c r="C380" s="610">
        <v>40989.040000000001</v>
      </c>
      <c r="D380" s="611">
        <v>46609.63</v>
      </c>
      <c r="E380" s="611">
        <v>40989.040000000001</v>
      </c>
      <c r="F380" s="612">
        <v>46609.63</v>
      </c>
      <c r="N380" s="709"/>
      <c r="O380" s="709"/>
      <c r="P380" s="709"/>
      <c r="Q380" s="709"/>
      <c r="R380" s="709"/>
      <c r="T380" s="610">
        <v>17058.916154278482</v>
      </c>
      <c r="U380" s="611">
        <v>19398.105646594944</v>
      </c>
      <c r="V380" s="611">
        <v>17058.916154278482</v>
      </c>
      <c r="W380" s="612">
        <v>19398.105646594944</v>
      </c>
      <c r="Z380" s="610">
        <v>19446.634346160481</v>
      </c>
      <c r="AA380" s="611">
        <v>22113.237682038296</v>
      </c>
      <c r="AB380" s="611">
        <v>19446.634346160481</v>
      </c>
      <c r="AC380" s="612">
        <v>22113.237682038296</v>
      </c>
      <c r="AF380" s="610">
        <v>22362.83</v>
      </c>
      <c r="AG380" s="611">
        <v>25429.32</v>
      </c>
      <c r="AH380" s="611">
        <v>22362.83</v>
      </c>
      <c r="AI380" s="612">
        <v>25429.32</v>
      </c>
      <c r="AL380" s="610">
        <v>25494.377951325187</v>
      </c>
      <c r="AM380" s="611">
        <v>28990.273029156797</v>
      </c>
      <c r="AN380" s="611">
        <v>25494.377951325187</v>
      </c>
      <c r="AO380" s="612">
        <v>28990.273029156797</v>
      </c>
      <c r="AR380" s="610">
        <v>26132.03</v>
      </c>
      <c r="AS380" s="611">
        <v>29715.360000000001</v>
      </c>
      <c r="AT380" s="611">
        <v>26132.03</v>
      </c>
      <c r="AU380" s="612">
        <v>29715.360000000001</v>
      </c>
    </row>
    <row r="381" spans="1:47" ht="13" hidden="1">
      <c r="A381" s="609">
        <v>45</v>
      </c>
      <c r="B381" s="624" t="str">
        <f t="shared" si="36"/>
        <v>45B</v>
      </c>
      <c r="C381" s="610">
        <v>42832.1</v>
      </c>
      <c r="D381" s="611">
        <v>48278.31</v>
      </c>
      <c r="E381" s="611">
        <v>42832.1</v>
      </c>
      <c r="F381" s="612">
        <v>48278.31</v>
      </c>
      <c r="N381" s="709"/>
      <c r="O381" s="709"/>
      <c r="P381" s="709"/>
      <c r="Q381" s="709"/>
      <c r="R381" s="709"/>
      <c r="T381" s="610">
        <v>17825.964869451484</v>
      </c>
      <c r="U381" s="611">
        <v>20092.581967320679</v>
      </c>
      <c r="V381" s="611">
        <v>17825.964869451484</v>
      </c>
      <c r="W381" s="612">
        <v>20092.581967320679</v>
      </c>
      <c r="Z381" s="610">
        <v>20321.046047042215</v>
      </c>
      <c r="AA381" s="611">
        <v>22904.919108283717</v>
      </c>
      <c r="AB381" s="611">
        <v>20321.046047042215</v>
      </c>
      <c r="AC381" s="612">
        <v>22904.919108283717</v>
      </c>
      <c r="AF381" s="610">
        <v>23368.37</v>
      </c>
      <c r="AG381" s="611">
        <v>26339.72</v>
      </c>
      <c r="AH381" s="611">
        <v>23368.37</v>
      </c>
      <c r="AI381" s="612">
        <v>26339.72</v>
      </c>
      <c r="AL381" s="610">
        <v>26640.724511378718</v>
      </c>
      <c r="AM381" s="611">
        <v>30028.160878461167</v>
      </c>
      <c r="AN381" s="611">
        <v>26640.724511378718</v>
      </c>
      <c r="AO381" s="612">
        <v>30028.160878461167</v>
      </c>
      <c r="AR381" s="610">
        <v>27307.05</v>
      </c>
      <c r="AS381" s="611">
        <v>30779.21</v>
      </c>
      <c r="AT381" s="611">
        <v>27307.05</v>
      </c>
      <c r="AU381" s="612">
        <v>30779.21</v>
      </c>
    </row>
    <row r="382" spans="1:47" ht="13" hidden="1">
      <c r="A382" s="609">
        <v>46</v>
      </c>
      <c r="B382" s="624" t="str">
        <f t="shared" si="36"/>
        <v>46B</v>
      </c>
      <c r="C382" s="610">
        <v>44852.74</v>
      </c>
      <c r="D382" s="611">
        <v>50094.720000000001</v>
      </c>
      <c r="E382" s="611">
        <v>44852.74</v>
      </c>
      <c r="F382" s="612">
        <v>50094.720000000001</v>
      </c>
      <c r="N382" s="709"/>
      <c r="O382" s="709"/>
      <c r="P382" s="709"/>
      <c r="Q382" s="709"/>
      <c r="R382" s="709"/>
      <c r="T382" s="610">
        <v>18666.919719109708</v>
      </c>
      <c r="U382" s="611">
        <v>20848.537352654013</v>
      </c>
      <c r="V382" s="611">
        <v>18666.919719109708</v>
      </c>
      <c r="W382" s="612">
        <v>20848.537352654013</v>
      </c>
      <c r="Z382" s="610">
        <v>21279.708444760385</v>
      </c>
      <c r="AA382" s="611">
        <v>23766.68475784998</v>
      </c>
      <c r="AB382" s="611">
        <v>21279.708444760385</v>
      </c>
      <c r="AC382" s="612">
        <v>23766.68475784998</v>
      </c>
      <c r="AF382" s="610">
        <v>24470.79</v>
      </c>
      <c r="AG382" s="611">
        <v>27330.71</v>
      </c>
      <c r="AH382" s="611">
        <v>24470.79</v>
      </c>
      <c r="AI382" s="612">
        <v>27330.71</v>
      </c>
      <c r="AL382" s="610">
        <v>27897.523043201596</v>
      </c>
      <c r="AM382" s="611">
        <v>31157.928569076958</v>
      </c>
      <c r="AN382" s="611">
        <v>27897.523043201596</v>
      </c>
      <c r="AO382" s="612">
        <v>31157.928569076958</v>
      </c>
      <c r="AR382" s="610">
        <v>28595.279999999999</v>
      </c>
      <c r="AS382" s="611">
        <v>31937.23</v>
      </c>
      <c r="AT382" s="611">
        <v>28595.279999999999</v>
      </c>
      <c r="AU382" s="612">
        <v>31937.23</v>
      </c>
    </row>
    <row r="383" spans="1:47" ht="13" hidden="1">
      <c r="A383" s="609">
        <v>47</v>
      </c>
      <c r="B383" s="624" t="str">
        <f t="shared" si="36"/>
        <v>47B</v>
      </c>
      <c r="C383" s="610">
        <v>47071.41</v>
      </c>
      <c r="D383" s="611">
        <v>52648.46</v>
      </c>
      <c r="E383" s="611">
        <v>47071.41</v>
      </c>
      <c r="F383" s="612">
        <v>52648.46</v>
      </c>
      <c r="N383" s="709"/>
      <c r="O383" s="709"/>
      <c r="P383" s="709"/>
      <c r="Q383" s="709"/>
      <c r="R383" s="709"/>
      <c r="T383" s="610">
        <v>19590.291234924054</v>
      </c>
      <c r="U383" s="611">
        <v>21911.358799105488</v>
      </c>
      <c r="V383" s="611">
        <v>19590.291234924054</v>
      </c>
      <c r="W383" s="612">
        <v>21911.358799105488</v>
      </c>
      <c r="Z383" s="610">
        <v>22332.323280973054</v>
      </c>
      <c r="AA383" s="611">
        <v>24978.268181877505</v>
      </c>
      <c r="AB383" s="611">
        <v>22332.323280973054</v>
      </c>
      <c r="AC383" s="612">
        <v>24978.268181877505</v>
      </c>
      <c r="AF383" s="610">
        <v>25681.26</v>
      </c>
      <c r="AG383" s="611">
        <v>28723.98</v>
      </c>
      <c r="AH383" s="611">
        <v>25681.26</v>
      </c>
      <c r="AI383" s="612">
        <v>28723.98</v>
      </c>
      <c r="AL383" s="610">
        <v>29277.492450446429</v>
      </c>
      <c r="AM383" s="611">
        <v>32746.304489654554</v>
      </c>
      <c r="AN383" s="611">
        <v>29277.492450446429</v>
      </c>
      <c r="AO383" s="612">
        <v>32746.304489654554</v>
      </c>
      <c r="AR383" s="610">
        <v>30009.759999999998</v>
      </c>
      <c r="AS383" s="611">
        <v>33565.339999999997</v>
      </c>
      <c r="AT383" s="611">
        <v>30009.759999999998</v>
      </c>
      <c r="AU383" s="612">
        <v>33565.339999999997</v>
      </c>
    </row>
    <row r="384" spans="1:47" ht="13" hidden="1">
      <c r="A384" s="609">
        <v>48</v>
      </c>
      <c r="B384" s="624" t="str">
        <f t="shared" si="36"/>
        <v>48B</v>
      </c>
      <c r="C384" s="610">
        <v>49483.839999999997</v>
      </c>
      <c r="D384" s="611">
        <v>54764.53</v>
      </c>
      <c r="E384" s="611">
        <v>49483.839999999997</v>
      </c>
      <c r="F384" s="612">
        <v>54764.53</v>
      </c>
      <c r="N384" s="709"/>
      <c r="O384" s="709"/>
      <c r="P384" s="709"/>
      <c r="Q384" s="709"/>
      <c r="R384" s="709"/>
      <c r="T384" s="610">
        <v>20594.301096843883</v>
      </c>
      <c r="U384" s="611">
        <v>22792.029463227849</v>
      </c>
      <c r="V384" s="611">
        <v>20594.301096843883</v>
      </c>
      <c r="W384" s="612">
        <v>22792.029463227849</v>
      </c>
      <c r="Z384" s="610">
        <v>23476.863326080034</v>
      </c>
      <c r="AA384" s="611">
        <v>25982.205373999914</v>
      </c>
      <c r="AB384" s="611">
        <v>23476.863326080034</v>
      </c>
      <c r="AC384" s="612">
        <v>25982.205373999914</v>
      </c>
      <c r="AF384" s="610">
        <v>26997.43</v>
      </c>
      <c r="AG384" s="611">
        <v>29878.47</v>
      </c>
      <c r="AH384" s="611">
        <v>26997.43</v>
      </c>
      <c r="AI384" s="612">
        <v>29878.47</v>
      </c>
      <c r="AL384" s="610">
        <v>30777.975051752972</v>
      </c>
      <c r="AM384" s="611">
        <v>34062.457905189629</v>
      </c>
      <c r="AN384" s="611">
        <v>30777.975051752972</v>
      </c>
      <c r="AO384" s="612">
        <v>34062.457905189629</v>
      </c>
      <c r="AR384" s="610">
        <v>31547.78</v>
      </c>
      <c r="AS384" s="611">
        <v>34914.410000000003</v>
      </c>
      <c r="AT384" s="611">
        <v>31547.78</v>
      </c>
      <c r="AU384" s="612">
        <v>34914.410000000003</v>
      </c>
    </row>
    <row r="385" spans="1:47" ht="13" hidden="1">
      <c r="A385" s="609">
        <v>49</v>
      </c>
      <c r="B385" s="624" t="str">
        <f t="shared" si="36"/>
        <v>49B</v>
      </c>
      <c r="C385" s="610">
        <v>52129.19</v>
      </c>
      <c r="D385" s="611">
        <v>57046.78</v>
      </c>
      <c r="E385" s="611">
        <v>52129.19</v>
      </c>
      <c r="F385" s="612">
        <v>57046.78</v>
      </c>
      <c r="N385" s="709"/>
      <c r="O385" s="709"/>
      <c r="P385" s="709"/>
      <c r="Q385" s="709"/>
      <c r="R385" s="709"/>
      <c r="T385" s="610">
        <v>21695.250572000001</v>
      </c>
      <c r="U385" s="611">
        <v>23741.864075033762</v>
      </c>
      <c r="V385" s="611">
        <v>21695.250572000001</v>
      </c>
      <c r="W385" s="612">
        <v>23741.864075033762</v>
      </c>
      <c r="Z385" s="610">
        <v>24731.911518083049</v>
      </c>
      <c r="AA385" s="611">
        <v>27064.987317358264</v>
      </c>
      <c r="AB385" s="611">
        <v>24731.911518083049</v>
      </c>
      <c r="AC385" s="612">
        <v>27064.987317358264</v>
      </c>
      <c r="AF385" s="610">
        <v>28440.68</v>
      </c>
      <c r="AG385" s="611">
        <v>31123.63</v>
      </c>
      <c r="AH385" s="611">
        <v>28440.68</v>
      </c>
      <c r="AI385" s="612">
        <v>31123.63</v>
      </c>
      <c r="AL385" s="610">
        <v>32423.332926256826</v>
      </c>
      <c r="AM385" s="611">
        <v>35481.976142200052</v>
      </c>
      <c r="AN385" s="611">
        <v>32423.332926256826</v>
      </c>
      <c r="AO385" s="612">
        <v>35481.976142200052</v>
      </c>
      <c r="AR385" s="610">
        <v>33234.29</v>
      </c>
      <c r="AS385" s="611">
        <v>36369.43</v>
      </c>
      <c r="AT385" s="611">
        <v>33234.29</v>
      </c>
      <c r="AU385" s="612">
        <v>36369.43</v>
      </c>
    </row>
    <row r="386" spans="1:47" ht="13" hidden="1">
      <c r="A386" s="609">
        <v>50</v>
      </c>
      <c r="B386" s="624" t="str">
        <f t="shared" si="36"/>
        <v>50B</v>
      </c>
      <c r="C386" s="610">
        <v>55037.18</v>
      </c>
      <c r="D386" s="611">
        <v>59468.160000000003</v>
      </c>
      <c r="E386" s="611">
        <v>55037.18</v>
      </c>
      <c r="F386" s="612">
        <v>59468.160000000003</v>
      </c>
      <c r="N386" s="709"/>
      <c r="O386" s="709"/>
      <c r="P386" s="709"/>
      <c r="Q386" s="709"/>
      <c r="R386" s="709"/>
      <c r="T386" s="610">
        <v>22905.503218839665</v>
      </c>
      <c r="U386" s="611">
        <v>24749.599940869204</v>
      </c>
      <c r="V386" s="611">
        <v>22905.503218839665</v>
      </c>
      <c r="W386" s="612">
        <v>24749.599940869204</v>
      </c>
      <c r="Z386" s="610">
        <v>26111.56192944057</v>
      </c>
      <c r="AA386" s="611">
        <v>28213.774891151352</v>
      </c>
      <c r="AB386" s="611">
        <v>26111.56192944057</v>
      </c>
      <c r="AC386" s="612">
        <v>28213.774891151352</v>
      </c>
      <c r="AF386" s="610">
        <v>30027.23</v>
      </c>
      <c r="AG386" s="611">
        <v>32444.68</v>
      </c>
      <c r="AH386" s="611">
        <v>30027.23</v>
      </c>
      <c r="AI386" s="612">
        <v>32444.68</v>
      </c>
      <c r="AL386" s="610">
        <v>34232.043287224486</v>
      </c>
      <c r="AM386" s="611">
        <v>36988.027218737589</v>
      </c>
      <c r="AN386" s="611">
        <v>34232.043287224486</v>
      </c>
      <c r="AO386" s="612">
        <v>36988.027218737589</v>
      </c>
      <c r="AR386" s="610">
        <v>35088.239999999998</v>
      </c>
      <c r="AS386" s="611">
        <v>37913.15</v>
      </c>
      <c r="AT386" s="611">
        <v>35088.239999999998</v>
      </c>
      <c r="AU386" s="612">
        <v>37913.15</v>
      </c>
    </row>
    <row r="387" spans="1:47" ht="13" hidden="1">
      <c r="A387" s="609">
        <v>51</v>
      </c>
      <c r="B387" s="624" t="str">
        <f t="shared" si="36"/>
        <v>51B</v>
      </c>
      <c r="C387" s="610">
        <v>58177.33</v>
      </c>
      <c r="D387" s="611">
        <v>62061.43</v>
      </c>
      <c r="E387" s="611">
        <v>58177.33</v>
      </c>
      <c r="F387" s="612">
        <v>62061.43</v>
      </c>
      <c r="N387" s="709"/>
      <c r="O387" s="709"/>
      <c r="P387" s="709"/>
      <c r="Q387" s="709"/>
      <c r="R387" s="709"/>
      <c r="T387" s="610">
        <v>24212.377921763717</v>
      </c>
      <c r="U387" s="611">
        <v>25828.870847789036</v>
      </c>
      <c r="V387" s="611">
        <v>24212.377921763717</v>
      </c>
      <c r="W387" s="612">
        <v>25828.870847789036</v>
      </c>
      <c r="Z387" s="610">
        <v>27601.358482408396</v>
      </c>
      <c r="AA387" s="611">
        <v>29444.110188980634</v>
      </c>
      <c r="AB387" s="611">
        <v>27601.358482408396</v>
      </c>
      <c r="AC387" s="612">
        <v>29444.110188980634</v>
      </c>
      <c r="AF387" s="610">
        <v>31740.43</v>
      </c>
      <c r="AG387" s="611">
        <v>33859.519999999997</v>
      </c>
      <c r="AH387" s="611">
        <v>31740.43</v>
      </c>
      <c r="AI387" s="612">
        <v>33859.519999999997</v>
      </c>
      <c r="AL387" s="610">
        <v>36185.154335432264</v>
      </c>
      <c r="AM387" s="611">
        <v>38600.98669189748</v>
      </c>
      <c r="AN387" s="611">
        <v>36185.154335432264</v>
      </c>
      <c r="AO387" s="612">
        <v>38600.98669189748</v>
      </c>
      <c r="AR387" s="610">
        <v>37090.199999999997</v>
      </c>
      <c r="AS387" s="611">
        <v>39566.449999999997</v>
      </c>
      <c r="AT387" s="611">
        <v>37090.199999999997</v>
      </c>
      <c r="AU387" s="612">
        <v>39566.449999999997</v>
      </c>
    </row>
    <row r="388" spans="1:47" ht="13" hidden="1">
      <c r="A388" s="609">
        <v>52</v>
      </c>
      <c r="B388" s="624" t="str">
        <f t="shared" si="36"/>
        <v>52B</v>
      </c>
      <c r="C388" s="610">
        <v>61608.34</v>
      </c>
      <c r="D388" s="611">
        <v>64848.65</v>
      </c>
      <c r="E388" s="611">
        <v>61608.34</v>
      </c>
      <c r="F388" s="612">
        <v>64848.65</v>
      </c>
      <c r="N388" s="709"/>
      <c r="O388" s="709"/>
      <c r="P388" s="709"/>
      <c r="Q388" s="709"/>
      <c r="R388" s="709"/>
      <c r="T388" s="610">
        <v>25640.305410991565</v>
      </c>
      <c r="U388" s="611">
        <v>26988.864782721525</v>
      </c>
      <c r="V388" s="611">
        <v>25640.305410991565</v>
      </c>
      <c r="W388" s="612">
        <v>26988.864782721525</v>
      </c>
      <c r="Z388" s="610">
        <v>29229.151450303398</v>
      </c>
      <c r="AA388" s="611">
        <v>30766.467230447084</v>
      </c>
      <c r="AB388" s="611">
        <v>29229.151450303398</v>
      </c>
      <c r="AC388" s="612">
        <v>30766.467230447084</v>
      </c>
      <c r="AF388" s="610">
        <v>33612.33</v>
      </c>
      <c r="AG388" s="611">
        <v>35380.18</v>
      </c>
      <c r="AH388" s="611">
        <v>33612.33</v>
      </c>
      <c r="AI388" s="612">
        <v>35380.18</v>
      </c>
      <c r="AL388" s="610">
        <v>38319.17755051978</v>
      </c>
      <c r="AM388" s="611">
        <v>40334.585915374322</v>
      </c>
      <c r="AN388" s="611">
        <v>38319.17755051978</v>
      </c>
      <c r="AO388" s="612">
        <v>40334.585915374322</v>
      </c>
      <c r="AR388" s="610">
        <v>39277.589999999997</v>
      </c>
      <c r="AS388" s="611">
        <v>41343.410000000003</v>
      </c>
      <c r="AT388" s="611">
        <v>39277.589999999997</v>
      </c>
      <c r="AU388" s="612">
        <v>41343.410000000003</v>
      </c>
    </row>
    <row r="389" spans="1:47" ht="13" hidden="1">
      <c r="A389" s="609">
        <v>53</v>
      </c>
      <c r="B389" s="624" t="str">
        <f t="shared" si="36"/>
        <v>53B</v>
      </c>
      <c r="C389" s="610">
        <v>65305.45</v>
      </c>
      <c r="D389" s="611">
        <v>67842.45</v>
      </c>
      <c r="E389" s="611">
        <v>65305.45</v>
      </c>
      <c r="F389" s="612">
        <v>67842.45</v>
      </c>
      <c r="N389" s="709"/>
      <c r="O389" s="709"/>
      <c r="P389" s="709"/>
      <c r="Q389" s="709"/>
      <c r="R389" s="709"/>
      <c r="T389" s="610">
        <v>27178.975664324898</v>
      </c>
      <c r="U389" s="611">
        <v>28234.832023911396</v>
      </c>
      <c r="V389" s="611">
        <v>27178.975664324898</v>
      </c>
      <c r="W389" s="612">
        <v>28234.832023911396</v>
      </c>
      <c r="Z389" s="610">
        <v>30983.187728181627</v>
      </c>
      <c r="AA389" s="611">
        <v>32186.831169608409</v>
      </c>
      <c r="AB389" s="611">
        <v>30983.187728181627</v>
      </c>
      <c r="AC389" s="612">
        <v>32186.831169608409</v>
      </c>
      <c r="AF389" s="610">
        <v>35629.4</v>
      </c>
      <c r="AG389" s="611">
        <v>37013.54</v>
      </c>
      <c r="AH389" s="611">
        <v>35629.4</v>
      </c>
      <c r="AI389" s="612">
        <v>37013.54</v>
      </c>
      <c r="AL389" s="610">
        <v>40618.70470841034</v>
      </c>
      <c r="AM389" s="611">
        <v>42196.671376993625</v>
      </c>
      <c r="AN389" s="611">
        <v>40618.70470841034</v>
      </c>
      <c r="AO389" s="612">
        <v>42196.671376993625</v>
      </c>
      <c r="AR389" s="610">
        <v>41634.639999999999</v>
      </c>
      <c r="AS389" s="611">
        <v>43252.07</v>
      </c>
      <c r="AT389" s="611">
        <v>41634.639999999999</v>
      </c>
      <c r="AU389" s="612">
        <v>43252.07</v>
      </c>
    </row>
    <row r="390" spans="1:47" ht="13" hidden="1">
      <c r="A390" s="609">
        <v>54</v>
      </c>
      <c r="B390" s="624" t="str">
        <f t="shared" si="36"/>
        <v>54B</v>
      </c>
      <c r="C390" s="610">
        <v>69317.279999999999</v>
      </c>
      <c r="D390" s="611">
        <v>71032.91</v>
      </c>
      <c r="E390" s="611">
        <v>69317.279999999999</v>
      </c>
      <c r="F390" s="612">
        <v>71032.91</v>
      </c>
      <c r="N390" s="709"/>
      <c r="O390" s="709"/>
      <c r="P390" s="709"/>
      <c r="Q390" s="709"/>
      <c r="R390" s="709"/>
      <c r="T390" s="610">
        <v>28848.627657578065</v>
      </c>
      <c r="U390" s="611">
        <v>29562.644328383965</v>
      </c>
      <c r="V390" s="611">
        <v>28848.627657578065</v>
      </c>
      <c r="W390" s="612">
        <v>29562.644328383965</v>
      </c>
      <c r="Z390" s="610">
        <v>32886.539119588102</v>
      </c>
      <c r="AA390" s="611">
        <v>33700.495937749889</v>
      </c>
      <c r="AB390" s="611">
        <v>32886.539119588102</v>
      </c>
      <c r="AC390" s="612">
        <v>33700.495937749889</v>
      </c>
      <c r="AF390" s="610">
        <v>37818.17</v>
      </c>
      <c r="AG390" s="611">
        <v>38754.19</v>
      </c>
      <c r="AH390" s="611">
        <v>37818.17</v>
      </c>
      <c r="AI390" s="612">
        <v>38754.19</v>
      </c>
      <c r="AL390" s="610">
        <v>43113.982754108656</v>
      </c>
      <c r="AM390" s="611">
        <v>44181.073459311934</v>
      </c>
      <c r="AN390" s="611">
        <v>43113.982754108656</v>
      </c>
      <c r="AO390" s="612">
        <v>44181.073459311934</v>
      </c>
      <c r="AR390" s="610">
        <v>44192.32</v>
      </c>
      <c r="AS390" s="611">
        <v>45286.11</v>
      </c>
      <c r="AT390" s="611">
        <v>44192.32</v>
      </c>
      <c r="AU390" s="612">
        <v>45286.11</v>
      </c>
    </row>
    <row r="391" spans="1:47" ht="13" hidden="1">
      <c r="A391" s="609">
        <v>55</v>
      </c>
      <c r="B391" s="624" t="str">
        <f t="shared" si="36"/>
        <v>55B</v>
      </c>
      <c r="C391" s="610">
        <v>73633.45</v>
      </c>
      <c r="D391" s="611">
        <v>74875.7</v>
      </c>
      <c r="E391" s="611">
        <v>73633.45</v>
      </c>
      <c r="F391" s="612">
        <v>74875.7</v>
      </c>
      <c r="N391" s="709"/>
      <c r="O391" s="709"/>
      <c r="P391" s="709"/>
      <c r="Q391" s="709"/>
      <c r="R391" s="709"/>
      <c r="T391" s="610">
        <v>30644.942613485237</v>
      </c>
      <c r="U391" s="611">
        <v>31161.946827253174</v>
      </c>
      <c r="V391" s="611">
        <v>30644.942613485237</v>
      </c>
      <c r="W391" s="612">
        <v>31161.946827253174</v>
      </c>
      <c r="Z391" s="610">
        <v>34934.282352636641</v>
      </c>
      <c r="AA391" s="611">
        <v>35523.651091520303</v>
      </c>
      <c r="AB391" s="611">
        <v>34934.282352636641</v>
      </c>
      <c r="AC391" s="612">
        <v>35523.651091520303</v>
      </c>
      <c r="AF391" s="610">
        <v>40172.99</v>
      </c>
      <c r="AG391" s="611">
        <v>40850.74</v>
      </c>
      <c r="AH391" s="611">
        <v>40172.99</v>
      </c>
      <c r="AI391" s="612">
        <v>40850.74</v>
      </c>
      <c r="AL391" s="610">
        <v>45798.557318597021</v>
      </c>
      <c r="AM391" s="611">
        <v>46571.214895961421</v>
      </c>
      <c r="AN391" s="611">
        <v>45798.557318597021</v>
      </c>
      <c r="AO391" s="612">
        <v>46571.214895961421</v>
      </c>
      <c r="AR391" s="610">
        <v>46944.04</v>
      </c>
      <c r="AS391" s="611">
        <v>47736.03</v>
      </c>
      <c r="AT391" s="611">
        <v>46944.04</v>
      </c>
      <c r="AU391" s="612">
        <v>47736.03</v>
      </c>
    </row>
    <row r="392" spans="1:47" ht="13" hidden="1">
      <c r="A392" s="609">
        <v>56</v>
      </c>
      <c r="B392" s="624" t="str">
        <f t="shared" si="36"/>
        <v>56B</v>
      </c>
      <c r="C392" s="610">
        <v>78293.09</v>
      </c>
      <c r="D392" s="611">
        <v>79939.23</v>
      </c>
      <c r="E392" s="611">
        <v>78293.09</v>
      </c>
      <c r="F392" s="612">
        <v>79939.23</v>
      </c>
      <c r="N392" s="709"/>
      <c r="O392" s="709"/>
      <c r="P392" s="709"/>
      <c r="Q392" s="709"/>
      <c r="R392" s="709"/>
      <c r="T392" s="610">
        <v>32584.200628700433</v>
      </c>
      <c r="U392" s="611">
        <v>33269.298428206755</v>
      </c>
      <c r="V392" s="611">
        <v>32584.200628700433</v>
      </c>
      <c r="W392" s="612">
        <v>33269.298428206755</v>
      </c>
      <c r="Z392" s="610">
        <v>37144.976231643275</v>
      </c>
      <c r="AA392" s="611">
        <v>37925.966435116265</v>
      </c>
      <c r="AB392" s="611">
        <v>37144.976231643275</v>
      </c>
      <c r="AC392" s="612">
        <v>37925.966435116265</v>
      </c>
      <c r="AF392" s="610">
        <v>42715.199999999997</v>
      </c>
      <c r="AG392" s="611">
        <v>43613.31</v>
      </c>
      <c r="AH392" s="611">
        <v>42715.199999999997</v>
      </c>
      <c r="AI392" s="612">
        <v>43613.31</v>
      </c>
      <c r="AL392" s="610">
        <v>48696.758841947201</v>
      </c>
      <c r="AM392" s="611">
        <v>49720.630585982639</v>
      </c>
      <c r="AN392" s="611">
        <v>48696.758841947201</v>
      </c>
      <c r="AO392" s="612">
        <v>49720.630585982639</v>
      </c>
      <c r="AR392" s="610">
        <v>49914.73</v>
      </c>
      <c r="AS392" s="611">
        <v>50964.21</v>
      </c>
      <c r="AT392" s="611">
        <v>49914.73</v>
      </c>
      <c r="AU392" s="612">
        <v>50964.21</v>
      </c>
    </row>
    <row r="393" spans="1:47" ht="13" hidden="1">
      <c r="A393" s="609">
        <v>57</v>
      </c>
      <c r="B393" s="624" t="str">
        <f t="shared" si="36"/>
        <v>57B</v>
      </c>
      <c r="C393" s="610">
        <v>83331.23</v>
      </c>
      <c r="D393" s="611">
        <v>82981.77</v>
      </c>
      <c r="E393" s="611">
        <v>83331.23</v>
      </c>
      <c r="F393" s="612">
        <v>82981.77</v>
      </c>
      <c r="N393" s="709"/>
      <c r="O393" s="709"/>
      <c r="P393" s="709"/>
      <c r="Q393" s="709"/>
      <c r="R393" s="709"/>
      <c r="T393" s="610">
        <v>34680.988161734182</v>
      </c>
      <c r="U393" s="611">
        <v>34535.546986164562</v>
      </c>
      <c r="V393" s="611">
        <v>34680.988161734182</v>
      </c>
      <c r="W393" s="612">
        <v>34535.546986164562</v>
      </c>
      <c r="Z393" s="610">
        <v>39535.248866066671</v>
      </c>
      <c r="AA393" s="611">
        <v>39369.450445194037</v>
      </c>
      <c r="AB393" s="611">
        <v>39535.248866066671</v>
      </c>
      <c r="AC393" s="612">
        <v>39369.450445194037</v>
      </c>
      <c r="AF393" s="610">
        <v>45463.92</v>
      </c>
      <c r="AG393" s="611">
        <v>45273.25</v>
      </c>
      <c r="AH393" s="611">
        <v>45463.92</v>
      </c>
      <c r="AI393" s="612">
        <v>45273.25</v>
      </c>
      <c r="AL393" s="610">
        <v>51830.386639125973</v>
      </c>
      <c r="AM393" s="611">
        <v>51613.026270734284</v>
      </c>
      <c r="AN393" s="611">
        <v>51830.386639125973</v>
      </c>
      <c r="AO393" s="612">
        <v>51613.026270734284</v>
      </c>
      <c r="AR393" s="610">
        <v>53126.74</v>
      </c>
      <c r="AS393" s="611">
        <v>52903.94</v>
      </c>
      <c r="AT393" s="611">
        <v>53126.74</v>
      </c>
      <c r="AU393" s="612">
        <v>52903.94</v>
      </c>
    </row>
    <row r="394" spans="1:47" ht="13" hidden="1">
      <c r="A394" s="609">
        <v>58</v>
      </c>
      <c r="B394" s="624" t="str">
        <f t="shared" si="36"/>
        <v>58B</v>
      </c>
      <c r="C394" s="610">
        <v>86909.71</v>
      </c>
      <c r="D394" s="611">
        <v>86295.58</v>
      </c>
      <c r="E394" s="611">
        <v>86909.71</v>
      </c>
      <c r="F394" s="612">
        <v>86295.58</v>
      </c>
      <c r="N394" s="709"/>
      <c r="O394" s="709"/>
      <c r="P394" s="709"/>
      <c r="Q394" s="709"/>
      <c r="R394" s="709"/>
      <c r="T394" s="610">
        <v>36170.288863185662</v>
      </c>
      <c r="U394" s="611">
        <v>35914.697696860771</v>
      </c>
      <c r="V394" s="611">
        <v>36170.288863185662</v>
      </c>
      <c r="W394" s="612">
        <v>35914.697696860771</v>
      </c>
      <c r="Z394" s="610">
        <v>41233.005388853933</v>
      </c>
      <c r="AA394" s="611">
        <v>40941.639401198139</v>
      </c>
      <c r="AB394" s="611">
        <v>41233.005388853933</v>
      </c>
      <c r="AC394" s="612">
        <v>40941.639401198139</v>
      </c>
      <c r="AF394" s="610">
        <v>47416.27</v>
      </c>
      <c r="AG394" s="611">
        <v>47081.21</v>
      </c>
      <c r="AH394" s="611">
        <v>47416.27</v>
      </c>
      <c r="AI394" s="612">
        <v>47081.21</v>
      </c>
      <c r="AL394" s="610">
        <v>54056.13150020584</v>
      </c>
      <c r="AM394" s="611">
        <v>53674.153082797864</v>
      </c>
      <c r="AN394" s="611">
        <v>54056.13150020584</v>
      </c>
      <c r="AO394" s="612">
        <v>53674.153082797864</v>
      </c>
      <c r="AR394" s="610">
        <v>55408.15</v>
      </c>
      <c r="AS394" s="611">
        <v>55016.62</v>
      </c>
      <c r="AT394" s="611">
        <v>55408.15</v>
      </c>
      <c r="AU394" s="612">
        <v>55016.62</v>
      </c>
    </row>
    <row r="395" spans="1:47" ht="13" hidden="1">
      <c r="A395" s="609">
        <v>59</v>
      </c>
      <c r="B395" s="624" t="str">
        <f t="shared" si="36"/>
        <v>59B</v>
      </c>
      <c r="C395" s="610">
        <v>92553.45</v>
      </c>
      <c r="D395" s="611">
        <v>87707.53</v>
      </c>
      <c r="E395" s="611">
        <v>92553.45</v>
      </c>
      <c r="F395" s="612">
        <v>87707.53</v>
      </c>
      <c r="N395" s="709"/>
      <c r="O395" s="709"/>
      <c r="P395" s="709"/>
      <c r="Q395" s="709"/>
      <c r="R395" s="709"/>
      <c r="T395" s="610">
        <v>38519.11092244304</v>
      </c>
      <c r="U395" s="611">
        <v>36502.326621210974</v>
      </c>
      <c r="V395" s="611">
        <v>38519.11092244304</v>
      </c>
      <c r="W395" s="612">
        <v>36502.326621210974</v>
      </c>
      <c r="Z395" s="610">
        <v>43910.589551732774</v>
      </c>
      <c r="AA395" s="611">
        <v>41611.518115632171</v>
      </c>
      <c r="AB395" s="611">
        <v>43910.589551732774</v>
      </c>
      <c r="AC395" s="612">
        <v>41611.518115632171</v>
      </c>
      <c r="AF395" s="610">
        <v>50495.38</v>
      </c>
      <c r="AG395" s="611">
        <v>47851.54</v>
      </c>
      <c r="AH395" s="611">
        <v>50495.38</v>
      </c>
      <c r="AI395" s="612">
        <v>47851.54</v>
      </c>
      <c r="AL395" s="610">
        <v>57566.422352072121</v>
      </c>
      <c r="AM395" s="611">
        <v>54552.358577040679</v>
      </c>
      <c r="AN395" s="611">
        <v>57566.422352072121</v>
      </c>
      <c r="AO395" s="612">
        <v>54552.358577040679</v>
      </c>
      <c r="AR395" s="610">
        <v>59006.239999999998</v>
      </c>
      <c r="AS395" s="611">
        <v>55916.79</v>
      </c>
      <c r="AT395" s="611">
        <v>59006.239999999998</v>
      </c>
      <c r="AU395" s="612">
        <v>55916.79</v>
      </c>
    </row>
    <row r="396" spans="1:47" ht="13" hidden="1">
      <c r="A396" s="609">
        <v>60</v>
      </c>
      <c r="B396" s="624" t="str">
        <f t="shared" si="36"/>
        <v>60B</v>
      </c>
      <c r="C396" s="613">
        <v>117846.77</v>
      </c>
      <c r="D396" s="614">
        <v>113991.99</v>
      </c>
      <c r="E396" s="614">
        <v>148348.29</v>
      </c>
      <c r="F396" s="615">
        <v>143495.79999999999</v>
      </c>
      <c r="N396" s="709"/>
      <c r="O396" s="709"/>
      <c r="P396" s="709"/>
      <c r="Q396" s="709"/>
      <c r="R396" s="709"/>
      <c r="T396" s="613">
        <v>40817.923153208103</v>
      </c>
      <c r="U396" s="614">
        <v>39482.765036927223</v>
      </c>
      <c r="V396" s="614">
        <v>51382.562086979611</v>
      </c>
      <c r="W396" s="615">
        <v>49701.833634720162</v>
      </c>
      <c r="Z396" s="613">
        <v>46534.352480313632</v>
      </c>
      <c r="AA396" s="614">
        <v>45012.209421570507</v>
      </c>
      <c r="AB396" s="614">
        <v>58578.537828159511</v>
      </c>
      <c r="AC396" s="615">
        <v>56662.428330682887</v>
      </c>
      <c r="AF396" s="613">
        <v>65147.040000000001</v>
      </c>
      <c r="AG396" s="614">
        <v>63016.07</v>
      </c>
      <c r="AH396" s="614">
        <v>82008.62</v>
      </c>
      <c r="AI396" s="615">
        <v>79326.11</v>
      </c>
      <c r="AL396" s="613">
        <v>73616.538913210577</v>
      </c>
      <c r="AM396" s="614">
        <v>71208.534981860299</v>
      </c>
      <c r="AN396" s="614">
        <v>92670.231337806283</v>
      </c>
      <c r="AO396" s="615">
        <v>89638.979330106478</v>
      </c>
      <c r="AR396" s="613">
        <v>75456.53</v>
      </c>
      <c r="AS396" s="614">
        <v>72988.34</v>
      </c>
      <c r="AT396" s="614">
        <v>94986.46</v>
      </c>
      <c r="AU396" s="615">
        <v>91879.44</v>
      </c>
    </row>
    <row r="397" spans="1:47" ht="13" hidden="1">
      <c r="A397" s="609">
        <v>61</v>
      </c>
      <c r="B397" s="624" t="str">
        <f t="shared" si="36"/>
        <v>61B</v>
      </c>
      <c r="C397" s="613">
        <v>124209.63</v>
      </c>
      <c r="D397" s="614">
        <v>118816.27</v>
      </c>
      <c r="E397" s="614">
        <v>156358</v>
      </c>
      <c r="F397" s="615">
        <v>149568.72</v>
      </c>
      <c r="N397" s="709"/>
      <c r="O397" s="709"/>
      <c r="P397" s="709"/>
      <c r="Q397" s="709"/>
      <c r="R397" s="709"/>
      <c r="T397" s="613">
        <v>43021.788367056004</v>
      </c>
      <c r="U397" s="614">
        <v>41153.722205712205</v>
      </c>
      <c r="V397" s="614">
        <v>54156.83947382342</v>
      </c>
      <c r="W397" s="615">
        <v>51805.273835425956</v>
      </c>
      <c r="Z397" s="613">
        <v>49046.862494489586</v>
      </c>
      <c r="AA397" s="614">
        <v>46917.179196242541</v>
      </c>
      <c r="AB397" s="614">
        <v>61741.344551886868</v>
      </c>
      <c r="AC397" s="615">
        <v>59060.449105858257</v>
      </c>
      <c r="AF397" s="613">
        <v>68664.490000000005</v>
      </c>
      <c r="AG397" s="614">
        <v>65682.98</v>
      </c>
      <c r="AH397" s="614">
        <v>86436.479999999996</v>
      </c>
      <c r="AI397" s="615">
        <v>82683.289999999994</v>
      </c>
      <c r="AL397" s="613">
        <v>77591.286199243274</v>
      </c>
      <c r="AM397" s="614">
        <v>74222.164141199319</v>
      </c>
      <c r="AN397" s="614">
        <v>97673.73674492976</v>
      </c>
      <c r="AO397" s="615">
        <v>93432.606624803826</v>
      </c>
      <c r="AR397" s="613">
        <v>79530.62</v>
      </c>
      <c r="AS397" s="614">
        <v>76077.289999999994</v>
      </c>
      <c r="AT397" s="614">
        <v>100115.02</v>
      </c>
      <c r="AU397" s="615">
        <v>95767.89</v>
      </c>
    </row>
    <row r="398" spans="1:47" ht="13" hidden="1">
      <c r="A398" s="609">
        <v>62</v>
      </c>
      <c r="B398" s="624" t="str">
        <f t="shared" si="36"/>
        <v>62B</v>
      </c>
      <c r="C398" s="613">
        <v>130913.16</v>
      </c>
      <c r="D398" s="614">
        <v>123899.12</v>
      </c>
      <c r="E398" s="614">
        <v>164796.57</v>
      </c>
      <c r="F398" s="615">
        <v>155967.13</v>
      </c>
      <c r="N398" s="709"/>
      <c r="O398" s="709"/>
      <c r="P398" s="709"/>
      <c r="Q398" s="709"/>
      <c r="R398" s="709"/>
      <c r="T398" s="613">
        <v>45343.655432382278</v>
      </c>
      <c r="U398" s="614">
        <v>42914.240429834768</v>
      </c>
      <c r="V398" s="614">
        <v>57079.660367822391</v>
      </c>
      <c r="W398" s="615">
        <v>54021.455599909656</v>
      </c>
      <c r="Z398" s="613">
        <v>51693.900170188492</v>
      </c>
      <c r="AA398" s="614">
        <v>48924.252786974612</v>
      </c>
      <c r="AB398" s="614">
        <v>65073.497861296077</v>
      </c>
      <c r="AC398" s="615">
        <v>61587.000567132753</v>
      </c>
      <c r="AF398" s="613">
        <v>72370.28</v>
      </c>
      <c r="AG398" s="614">
        <v>68492.84</v>
      </c>
      <c r="AH398" s="614">
        <v>91101.42</v>
      </c>
      <c r="AI398" s="615">
        <v>86220.4</v>
      </c>
      <c r="AL398" s="613">
        <v>81778.853913659434</v>
      </c>
      <c r="AM398" s="614">
        <v>77397.319767493056</v>
      </c>
      <c r="AN398" s="614">
        <v>102945.14551484188</v>
      </c>
      <c r="AO398" s="615">
        <v>97429.567236726565</v>
      </c>
      <c r="AR398" s="613">
        <v>83822.86</v>
      </c>
      <c r="AS398" s="614">
        <v>79331.81</v>
      </c>
      <c r="AT398" s="614">
        <v>105518.19</v>
      </c>
      <c r="AU398" s="615">
        <v>99864.75</v>
      </c>
    </row>
    <row r="399" spans="1:47" ht="13" hidden="1">
      <c r="A399" s="609">
        <v>63</v>
      </c>
      <c r="B399" s="624" t="str">
        <f t="shared" si="36"/>
        <v>63B</v>
      </c>
      <c r="C399" s="613">
        <v>137885.60999999999</v>
      </c>
      <c r="D399" s="614">
        <v>129195.84</v>
      </c>
      <c r="E399" s="614">
        <v>173573.65</v>
      </c>
      <c r="F399" s="615">
        <v>162634.76999999999</v>
      </c>
      <c r="N399" s="709"/>
      <c r="O399" s="709"/>
      <c r="P399" s="709"/>
      <c r="Q399" s="709"/>
      <c r="R399" s="709"/>
      <c r="T399" s="613">
        <v>47758.663359819089</v>
      </c>
      <c r="U399" s="614">
        <v>44748.836495951859</v>
      </c>
      <c r="V399" s="614">
        <v>60119.729170595798</v>
      </c>
      <c r="W399" s="615">
        <v>56330.888294904107</v>
      </c>
      <c r="Z399" s="613">
        <v>54447.122810063622</v>
      </c>
      <c r="AA399" s="614">
        <v>51015.778602221275</v>
      </c>
      <c r="AB399" s="614">
        <v>68539.319302080097</v>
      </c>
      <c r="AC399" s="615">
        <v>64219.862475737376</v>
      </c>
      <c r="AF399" s="613">
        <v>76224.73</v>
      </c>
      <c r="AG399" s="614">
        <v>71420.929999999993</v>
      </c>
      <c r="AH399" s="614">
        <v>95953.49</v>
      </c>
      <c r="AI399" s="615">
        <v>89906.35</v>
      </c>
      <c r="AL399" s="613">
        <v>86134.404400600135</v>
      </c>
      <c r="AM399" s="614">
        <v>80706.077348921273</v>
      </c>
      <c r="AN399" s="614">
        <v>108428.01495134369</v>
      </c>
      <c r="AO399" s="615">
        <v>101594.70913334799</v>
      </c>
      <c r="AR399" s="613">
        <v>88287.27</v>
      </c>
      <c r="AS399" s="614">
        <v>82723.27</v>
      </c>
      <c r="AT399" s="614">
        <v>111138.09</v>
      </c>
      <c r="AU399" s="615">
        <v>104134</v>
      </c>
    </row>
    <row r="400" spans="1:47" ht="13" hidden="1">
      <c r="A400" s="609">
        <v>64</v>
      </c>
      <c r="B400" s="624" t="str">
        <f t="shared" si="36"/>
        <v>64B</v>
      </c>
      <c r="C400" s="613">
        <v>145247.38</v>
      </c>
      <c r="D400" s="614">
        <v>134851.70000000001</v>
      </c>
      <c r="E400" s="614">
        <v>182840.82</v>
      </c>
      <c r="F400" s="615">
        <v>169754.5</v>
      </c>
      <c r="N400" s="709"/>
      <c r="O400" s="709"/>
      <c r="P400" s="709"/>
      <c r="Q400" s="709"/>
      <c r="R400" s="709"/>
      <c r="T400" s="613">
        <v>50308.517996371331</v>
      </c>
      <c r="U400" s="614">
        <v>46707.825356927235</v>
      </c>
      <c r="V400" s="614">
        <v>63329.546183667444</v>
      </c>
      <c r="W400" s="615">
        <v>58796.909566955466</v>
      </c>
      <c r="Z400" s="613">
        <v>57354.07704155441</v>
      </c>
      <c r="AA400" s="614">
        <v>53249.118055075625</v>
      </c>
      <c r="AB400" s="614">
        <v>72198.661687603788</v>
      </c>
      <c r="AC400" s="615">
        <v>67031.242728154029</v>
      </c>
      <c r="AF400" s="613">
        <v>80294.399999999994</v>
      </c>
      <c r="AG400" s="614">
        <v>74547.55</v>
      </c>
      <c r="AH400" s="614">
        <v>101076.48</v>
      </c>
      <c r="AI400" s="615">
        <v>93842.22</v>
      </c>
      <c r="AL400" s="613">
        <v>90733.15560041531</v>
      </c>
      <c r="AM400" s="614">
        <v>84239.181646590703</v>
      </c>
      <c r="AN400" s="614">
        <v>114217.03116758162</v>
      </c>
      <c r="AO400" s="615">
        <v>106042.26395512007</v>
      </c>
      <c r="AR400" s="613">
        <v>93000.97</v>
      </c>
      <c r="AS400" s="614">
        <v>86344.68</v>
      </c>
      <c r="AT400" s="614">
        <v>117071.8</v>
      </c>
      <c r="AU400" s="615">
        <v>108692.71</v>
      </c>
    </row>
    <row r="401" spans="1:47" ht="13" hidden="1">
      <c r="A401" s="609">
        <v>65</v>
      </c>
      <c r="B401" s="624" t="str">
        <f t="shared" ref="B401:B435" si="37">+CONCATENATE(A401,$B$334)</f>
        <v>65B</v>
      </c>
      <c r="C401" s="613">
        <v>152754.74</v>
      </c>
      <c r="D401" s="614">
        <v>140565.84</v>
      </c>
      <c r="E401" s="614">
        <v>192291.26</v>
      </c>
      <c r="F401" s="615">
        <v>176947.58</v>
      </c>
      <c r="N401" s="709"/>
      <c r="O401" s="709"/>
      <c r="P401" s="709"/>
      <c r="Q401" s="709"/>
      <c r="R401" s="709"/>
      <c r="T401" s="613">
        <v>52908.797395811067</v>
      </c>
      <c r="U401" s="614">
        <v>48686.99730026046</v>
      </c>
      <c r="V401" s="614">
        <v>66602.839074726871</v>
      </c>
      <c r="W401" s="615">
        <v>61288.337777974913</v>
      </c>
      <c r="Z401" s="613">
        <v>60318.517874730816</v>
      </c>
      <c r="AA401" s="614">
        <v>55505.467171235323</v>
      </c>
      <c r="AB401" s="614">
        <v>75930.369559955259</v>
      </c>
      <c r="AC401" s="615">
        <v>69871.588086143267</v>
      </c>
      <c r="AF401" s="613">
        <v>84444.55</v>
      </c>
      <c r="AG401" s="614">
        <v>77706.39</v>
      </c>
      <c r="AH401" s="614">
        <v>106300.79</v>
      </c>
      <c r="AI401" s="615">
        <v>97818.63</v>
      </c>
      <c r="AL401" s="613">
        <v>95422.849607520344</v>
      </c>
      <c r="AM401" s="614">
        <v>87808.686832718085</v>
      </c>
      <c r="AN401" s="614">
        <v>120120.5283294668</v>
      </c>
      <c r="AO401" s="615">
        <v>110535.64107177449</v>
      </c>
      <c r="AR401" s="613">
        <v>97807.87</v>
      </c>
      <c r="AS401" s="614">
        <v>90003.4</v>
      </c>
      <c r="AT401" s="614">
        <v>123122.85</v>
      </c>
      <c r="AU401" s="615">
        <v>113298.4</v>
      </c>
    </row>
    <row r="402" spans="1:47" ht="13" hidden="1">
      <c r="A402" s="609">
        <v>66</v>
      </c>
      <c r="B402" s="624" t="str">
        <f t="shared" si="37"/>
        <v>66B</v>
      </c>
      <c r="C402" s="613">
        <v>160780</v>
      </c>
      <c r="D402" s="614">
        <v>146851.65</v>
      </c>
      <c r="E402" s="614">
        <v>202393.64</v>
      </c>
      <c r="F402" s="615">
        <v>184860.31</v>
      </c>
      <c r="N402" s="709"/>
      <c r="O402" s="709"/>
      <c r="P402" s="709"/>
      <c r="Q402" s="709"/>
      <c r="R402" s="709"/>
      <c r="T402" s="613">
        <v>55688.462449982857</v>
      </c>
      <c r="U402" s="614">
        <v>50864.1786783469</v>
      </c>
      <c r="V402" s="614">
        <v>70101.946848801948</v>
      </c>
      <c r="W402" s="615">
        <v>64029.024924507285</v>
      </c>
      <c r="Z402" s="613">
        <v>63487.466792649342</v>
      </c>
      <c r="AA402" s="614">
        <v>57987.556357428672</v>
      </c>
      <c r="AB402" s="614">
        <v>79919.51702133505</v>
      </c>
      <c r="AC402" s="615">
        <v>72996.100355821967</v>
      </c>
      <c r="AF402" s="613">
        <v>88881.01</v>
      </c>
      <c r="AG402" s="614">
        <v>81181.259999999995</v>
      </c>
      <c r="AH402" s="614">
        <v>111885.51</v>
      </c>
      <c r="AI402" s="615">
        <v>102192.88</v>
      </c>
      <c r="AL402" s="613">
        <v>100436.07185937438</v>
      </c>
      <c r="AM402" s="614">
        <v>91735.308896251983</v>
      </c>
      <c r="AN402" s="614">
        <v>126431.29045827127</v>
      </c>
      <c r="AO402" s="615">
        <v>115478.56531645836</v>
      </c>
      <c r="AR402" s="613">
        <v>102946.4</v>
      </c>
      <c r="AS402" s="614">
        <v>94028.17</v>
      </c>
      <c r="AT402" s="614">
        <v>129591.35</v>
      </c>
      <c r="AU402" s="615">
        <v>118364.87</v>
      </c>
    </row>
    <row r="403" spans="1:47" ht="13" hidden="1">
      <c r="A403" s="609">
        <v>67</v>
      </c>
      <c r="B403" s="624" t="str">
        <f t="shared" si="37"/>
        <v>67B</v>
      </c>
      <c r="C403" s="613">
        <v>169156.28</v>
      </c>
      <c r="D403" s="614">
        <v>152884.4</v>
      </c>
      <c r="E403" s="614">
        <v>212937.91</v>
      </c>
      <c r="F403" s="615">
        <v>192454.48</v>
      </c>
      <c r="N403" s="709"/>
      <c r="O403" s="709"/>
      <c r="P403" s="709"/>
      <c r="Q403" s="709"/>
      <c r="R403" s="709"/>
      <c r="T403" s="613">
        <v>58589.709162405998</v>
      </c>
      <c r="U403" s="614">
        <v>52953.709695508296</v>
      </c>
      <c r="V403" s="614">
        <v>73754.104475028696</v>
      </c>
      <c r="W403" s="615">
        <v>66659.37573434574</v>
      </c>
      <c r="Z403" s="613">
        <v>66795.024520207036</v>
      </c>
      <c r="AA403" s="614">
        <v>60369.720009071854</v>
      </c>
      <c r="AB403" s="614">
        <v>84083.148513672364</v>
      </c>
      <c r="AC403" s="615">
        <v>75994.824011419871</v>
      </c>
      <c r="AF403" s="613">
        <v>93511.52</v>
      </c>
      <c r="AG403" s="614">
        <v>84516.24</v>
      </c>
      <c r="AH403" s="614">
        <v>117714.5</v>
      </c>
      <c r="AI403" s="615">
        <v>106391.03</v>
      </c>
      <c r="AL403" s="613">
        <v>105668.57084518166</v>
      </c>
      <c r="AM403" s="614">
        <v>95503.850496417479</v>
      </c>
      <c r="AN403" s="614">
        <v>133018.08329922869</v>
      </c>
      <c r="AO403" s="615">
        <v>120222.49415431378</v>
      </c>
      <c r="AR403" s="613">
        <v>108309.68</v>
      </c>
      <c r="AS403" s="614">
        <v>97890.9</v>
      </c>
      <c r="AT403" s="614">
        <v>136342.76999999999</v>
      </c>
      <c r="AU403" s="615">
        <v>123227.37</v>
      </c>
    </row>
    <row r="404" spans="1:47" ht="13" hidden="1">
      <c r="A404" s="609">
        <v>68</v>
      </c>
      <c r="B404" s="624" t="str">
        <f t="shared" si="37"/>
        <v>68B</v>
      </c>
      <c r="C404" s="613">
        <v>177759.82</v>
      </c>
      <c r="D404" s="614">
        <v>159517.43</v>
      </c>
      <c r="E404" s="614">
        <v>223768.24</v>
      </c>
      <c r="F404" s="615">
        <v>200804.3</v>
      </c>
      <c r="N404" s="709"/>
      <c r="O404" s="709"/>
      <c r="P404" s="709"/>
      <c r="Q404" s="709"/>
      <c r="R404" s="709"/>
      <c r="T404" s="613">
        <v>61569.667699824196</v>
      </c>
      <c r="U404" s="614">
        <v>55251.155011561554</v>
      </c>
      <c r="V404" s="614">
        <v>77505.346398602211</v>
      </c>
      <c r="W404" s="615">
        <v>69551.453955730438</v>
      </c>
      <c r="Z404" s="613">
        <v>70192.31743088369</v>
      </c>
      <c r="AA404" s="614">
        <v>62988.91574179411</v>
      </c>
      <c r="AB404" s="614">
        <v>88359.740765935916</v>
      </c>
      <c r="AC404" s="615">
        <v>79291.929227905552</v>
      </c>
      <c r="AF404" s="613">
        <v>98267.65</v>
      </c>
      <c r="AG404" s="614">
        <v>88183.05</v>
      </c>
      <c r="AH404" s="614">
        <v>123701.63</v>
      </c>
      <c r="AI404" s="615">
        <v>111006.9</v>
      </c>
      <c r="AL404" s="613">
        <v>111043.02933505119</v>
      </c>
      <c r="AM404" s="614">
        <v>99647.372739707163</v>
      </c>
      <c r="AN404" s="614">
        <v>139783.57810412324</v>
      </c>
      <c r="AO404" s="615">
        <v>125438.45744880787</v>
      </c>
      <c r="AR404" s="613">
        <v>113818.47</v>
      </c>
      <c r="AS404" s="614">
        <v>102137.99</v>
      </c>
      <c r="AT404" s="614">
        <v>143277.37</v>
      </c>
      <c r="AU404" s="615">
        <v>128573.7</v>
      </c>
    </row>
    <row r="405" spans="1:47" ht="13" hidden="1">
      <c r="A405" s="609">
        <v>69</v>
      </c>
      <c r="B405" s="624" t="str">
        <f t="shared" si="37"/>
        <v>69B</v>
      </c>
      <c r="C405" s="613">
        <v>186821.54</v>
      </c>
      <c r="D405" s="614">
        <v>166643.71</v>
      </c>
      <c r="E405" s="614">
        <v>235175.35</v>
      </c>
      <c r="F405" s="615">
        <v>209775.02</v>
      </c>
      <c r="N405" s="709"/>
      <c r="O405" s="709"/>
      <c r="P405" s="709"/>
      <c r="Q405" s="709"/>
      <c r="R405" s="709"/>
      <c r="T405" s="613">
        <v>64708.323683507566</v>
      </c>
      <c r="U405" s="614">
        <v>57719.442762502294</v>
      </c>
      <c r="V405" s="614">
        <v>81456.360401591868</v>
      </c>
      <c r="W405" s="615">
        <v>72658.592653973479</v>
      </c>
      <c r="Z405" s="613">
        <v>73770.532895471551</v>
      </c>
      <c r="AA405" s="614">
        <v>65802.879886760391</v>
      </c>
      <c r="AB405" s="614">
        <v>92864.082586064163</v>
      </c>
      <c r="AC405" s="615">
        <v>82834.213504510146</v>
      </c>
      <c r="AF405" s="613">
        <v>103277.07</v>
      </c>
      <c r="AG405" s="614">
        <v>92122.54</v>
      </c>
      <c r="AH405" s="614">
        <v>130007.6</v>
      </c>
      <c r="AI405" s="615">
        <v>115966.02</v>
      </c>
      <c r="AL405" s="613">
        <v>116703.70416876941</v>
      </c>
      <c r="AM405" s="614">
        <v>104099.01523469896</v>
      </c>
      <c r="AN405" s="614">
        <v>146909.36877715675</v>
      </c>
      <c r="AO405" s="615">
        <v>131042.28976603277</v>
      </c>
      <c r="AR405" s="613">
        <v>119620.63</v>
      </c>
      <c r="AS405" s="614">
        <v>106700.89</v>
      </c>
      <c r="AT405" s="614">
        <v>150581.26</v>
      </c>
      <c r="AU405" s="615">
        <v>134317.6</v>
      </c>
    </row>
    <row r="406" spans="1:47" ht="13" hidden="1">
      <c r="A406" s="609">
        <v>70</v>
      </c>
      <c r="B406" s="624" t="str">
        <f t="shared" si="37"/>
        <v>70B</v>
      </c>
      <c r="C406" s="613">
        <v>196129.53</v>
      </c>
      <c r="D406" s="614">
        <v>173623.07</v>
      </c>
      <c r="E406" s="614">
        <v>246892.47</v>
      </c>
      <c r="F406" s="615">
        <v>218560.8</v>
      </c>
      <c r="N406" s="709"/>
      <c r="O406" s="709"/>
      <c r="P406" s="709"/>
      <c r="Q406" s="709"/>
      <c r="R406" s="709"/>
      <c r="T406" s="613">
        <v>67932.280093608613</v>
      </c>
      <c r="U406" s="614">
        <v>60136.844548455963</v>
      </c>
      <c r="V406" s="614">
        <v>85514.752588424963</v>
      </c>
      <c r="W406" s="615">
        <v>75701.674902173967</v>
      </c>
      <c r="Z406" s="613">
        <v>77445.994858729639</v>
      </c>
      <c r="AA406" s="614">
        <v>68558.831637952477</v>
      </c>
      <c r="AB406" s="614">
        <v>97490.840586871418</v>
      </c>
      <c r="AC406" s="615">
        <v>86303.470414834301</v>
      </c>
      <c r="AF406" s="613">
        <v>108422.63</v>
      </c>
      <c r="AG406" s="614">
        <v>95980.81</v>
      </c>
      <c r="AH406" s="614">
        <v>136484.96</v>
      </c>
      <c r="AI406" s="615">
        <v>120822.9</v>
      </c>
      <c r="AL406" s="613">
        <v>122518.2212775372</v>
      </c>
      <c r="AM406" s="614">
        <v>108458.88312843171</v>
      </c>
      <c r="AN406" s="614">
        <v>154228.81972584093</v>
      </c>
      <c r="AO406" s="615">
        <v>136530.59405579051</v>
      </c>
      <c r="AR406" s="613">
        <v>125580.48</v>
      </c>
      <c r="AS406" s="614">
        <v>111169.73</v>
      </c>
      <c r="AT406" s="614">
        <v>158083.66</v>
      </c>
      <c r="AU406" s="615">
        <v>139943.07999999999</v>
      </c>
    </row>
    <row r="407" spans="1:47" ht="13" hidden="1">
      <c r="A407" s="609">
        <v>71</v>
      </c>
      <c r="B407" s="624" t="str">
        <f t="shared" si="37"/>
        <v>71B</v>
      </c>
      <c r="C407" s="613">
        <v>205604.22</v>
      </c>
      <c r="D407" s="614">
        <v>180936.84</v>
      </c>
      <c r="E407" s="614">
        <v>258819.43</v>
      </c>
      <c r="F407" s="615">
        <v>227767.55</v>
      </c>
      <c r="N407" s="709"/>
      <c r="O407" s="709"/>
      <c r="P407" s="709"/>
      <c r="Q407" s="709"/>
      <c r="R407" s="709"/>
      <c r="T407" s="613">
        <v>71213.974614176186</v>
      </c>
      <c r="U407" s="614">
        <v>62670.073947418568</v>
      </c>
      <c r="V407" s="614">
        <v>89645.826867257085</v>
      </c>
      <c r="W407" s="615">
        <v>78890.563674985722</v>
      </c>
      <c r="Z407" s="613">
        <v>81187.280983935212</v>
      </c>
      <c r="AA407" s="614">
        <v>71446.832316535612</v>
      </c>
      <c r="AB407" s="614">
        <v>102200.45959154199</v>
      </c>
      <c r="AC407" s="615">
        <v>89938.953621991881</v>
      </c>
      <c r="AF407" s="613">
        <v>113660.35</v>
      </c>
      <c r="AG407" s="614">
        <v>100023.94</v>
      </c>
      <c r="AH407" s="614">
        <v>143078.32</v>
      </c>
      <c r="AI407" s="615">
        <v>125912.49</v>
      </c>
      <c r="AL407" s="613">
        <v>128436.87106939084</v>
      </c>
      <c r="AM407" s="614">
        <v>113027.65013612213</v>
      </c>
      <c r="AN407" s="614">
        <v>161679.35534617439</v>
      </c>
      <c r="AO407" s="615">
        <v>142281.86546547138</v>
      </c>
      <c r="AR407" s="613">
        <v>131647.06</v>
      </c>
      <c r="AS407" s="614">
        <v>115852.69</v>
      </c>
      <c r="AT407" s="614">
        <v>165720.41</v>
      </c>
      <c r="AU407" s="615">
        <v>145838.1</v>
      </c>
    </row>
    <row r="408" spans="1:47" ht="13" hidden="1">
      <c r="A408" s="609">
        <v>72</v>
      </c>
      <c r="B408" s="624" t="str">
        <f t="shared" si="37"/>
        <v>72B</v>
      </c>
      <c r="C408" s="613">
        <v>215426.63</v>
      </c>
      <c r="D408" s="614">
        <v>188751.72</v>
      </c>
      <c r="E408" s="614">
        <v>271184.11</v>
      </c>
      <c r="F408" s="615">
        <v>237605.1</v>
      </c>
      <c r="N408" s="709"/>
      <c r="O408" s="709"/>
      <c r="P408" s="709"/>
      <c r="Q408" s="709"/>
      <c r="R408" s="709"/>
      <c r="T408" s="613">
        <v>74616.108768748498</v>
      </c>
      <c r="U408" s="614">
        <v>65376.869069856642</v>
      </c>
      <c r="V408" s="614">
        <v>93928.513391248125</v>
      </c>
      <c r="W408" s="615">
        <v>82297.941064407773</v>
      </c>
      <c r="Z408" s="613">
        <v>85065.873957417716</v>
      </c>
      <c r="AA408" s="614">
        <v>74532.70608445727</v>
      </c>
      <c r="AB408" s="614">
        <v>107082.92368757291</v>
      </c>
      <c r="AC408" s="615">
        <v>93823.524129846206</v>
      </c>
      <c r="AF408" s="613">
        <v>119090.29</v>
      </c>
      <c r="AG408" s="614">
        <v>104344.09</v>
      </c>
      <c r="AH408" s="614">
        <v>149913.66</v>
      </c>
      <c r="AI408" s="615">
        <v>131350.79999999999</v>
      </c>
      <c r="AL408" s="613">
        <v>134572.73791489325</v>
      </c>
      <c r="AM408" s="614">
        <v>117909.44894085603</v>
      </c>
      <c r="AN408" s="614">
        <v>169403.32890463035</v>
      </c>
      <c r="AO408" s="615">
        <v>148427.18866672463</v>
      </c>
      <c r="AR408" s="613">
        <v>137936.29</v>
      </c>
      <c r="AS408" s="614">
        <v>120856.51</v>
      </c>
      <c r="AT408" s="614">
        <v>173637.44</v>
      </c>
      <c r="AU408" s="615">
        <v>152137.01999999999</v>
      </c>
    </row>
    <row r="409" spans="1:47" ht="13" hidden="1">
      <c r="A409" s="609">
        <v>73</v>
      </c>
      <c r="B409" s="624" t="str">
        <f t="shared" si="37"/>
        <v>73B</v>
      </c>
      <c r="C409" s="613">
        <v>225469.89</v>
      </c>
      <c r="D409" s="614">
        <v>196405.86</v>
      </c>
      <c r="E409" s="614">
        <v>283826.81</v>
      </c>
      <c r="F409" s="615">
        <v>247240.31</v>
      </c>
      <c r="N409" s="709"/>
      <c r="O409" s="709"/>
      <c r="P409" s="709"/>
      <c r="Q409" s="709"/>
      <c r="R409" s="709"/>
      <c r="T409" s="613">
        <v>78094.736585836959</v>
      </c>
      <c r="U409" s="614">
        <v>68027.990510273958</v>
      </c>
      <c r="V409" s="614">
        <v>98307.49193746534</v>
      </c>
      <c r="W409" s="615">
        <v>85635.235112933078</v>
      </c>
      <c r="Z409" s="613">
        <v>89031.673304450305</v>
      </c>
      <c r="AA409" s="614">
        <v>77555.109235970856</v>
      </c>
      <c r="AB409" s="614">
        <v>112075.1652185433</v>
      </c>
      <c r="AC409" s="615">
        <v>97628.196332339765</v>
      </c>
      <c r="AF409" s="613">
        <v>124642.32</v>
      </c>
      <c r="AG409" s="614">
        <v>108575.39</v>
      </c>
      <c r="AH409" s="614">
        <v>156902.68</v>
      </c>
      <c r="AI409" s="615">
        <v>136677.25</v>
      </c>
      <c r="AL409" s="613">
        <v>140846.56373155888</v>
      </c>
      <c r="AM409" s="614">
        <v>122690.8383307468</v>
      </c>
      <c r="AN409" s="614">
        <v>177300.96846208</v>
      </c>
      <c r="AO409" s="615">
        <v>154446.1141339989</v>
      </c>
      <c r="AR409" s="613">
        <v>144366.92000000001</v>
      </c>
      <c r="AS409" s="614">
        <v>125757.41</v>
      </c>
      <c r="AT409" s="614">
        <v>181732.48000000001</v>
      </c>
      <c r="AU409" s="615">
        <v>158306.38</v>
      </c>
    </row>
    <row r="410" spans="1:47" ht="13" hidden="1">
      <c r="A410" s="609">
        <v>74</v>
      </c>
      <c r="B410" s="624" t="str">
        <f t="shared" si="37"/>
        <v>74B</v>
      </c>
      <c r="C410" s="613">
        <v>236328.57</v>
      </c>
      <c r="D410" s="614">
        <v>204213.06</v>
      </c>
      <c r="E410" s="614">
        <v>297495.96000000002</v>
      </c>
      <c r="F410" s="615">
        <v>257068.21</v>
      </c>
      <c r="N410" s="709"/>
      <c r="O410" s="709"/>
      <c r="P410" s="709"/>
      <c r="Q410" s="709"/>
      <c r="R410" s="709"/>
      <c r="T410" s="613">
        <v>81855.795783906622</v>
      </c>
      <c r="U410" s="614">
        <v>70732.128230138245</v>
      </c>
      <c r="V410" s="614">
        <v>103042.00175150602</v>
      </c>
      <c r="W410" s="615">
        <v>89039.267301468164</v>
      </c>
      <c r="Z410" s="613">
        <v>93319.457711446623</v>
      </c>
      <c r="AA410" s="614">
        <v>80637.953439953519</v>
      </c>
      <c r="AB410" s="614">
        <v>117472.72911911519</v>
      </c>
      <c r="AC410" s="615">
        <v>101508.95315382385</v>
      </c>
      <c r="AF410" s="613">
        <v>130645.12</v>
      </c>
      <c r="AG410" s="614">
        <v>112891.3</v>
      </c>
      <c r="AH410" s="614">
        <v>164459.15</v>
      </c>
      <c r="AI410" s="615">
        <v>142110.23000000001</v>
      </c>
      <c r="AL410" s="613">
        <v>147629.76433121559</v>
      </c>
      <c r="AM410" s="614">
        <v>127567.84441784913</v>
      </c>
      <c r="AN410" s="614">
        <v>185839.82098164794</v>
      </c>
      <c r="AO410" s="615">
        <v>160585.40414952775</v>
      </c>
      <c r="AR410" s="613">
        <v>151319.66</v>
      </c>
      <c r="AS410" s="614">
        <v>130756.31</v>
      </c>
      <c r="AT410" s="614">
        <v>190484.75</v>
      </c>
      <c r="AU410" s="615">
        <v>164599.12</v>
      </c>
    </row>
    <row r="411" spans="1:47" ht="13" hidden="1">
      <c r="A411" s="609">
        <v>75</v>
      </c>
      <c r="B411" s="624" t="str">
        <f t="shared" si="37"/>
        <v>75B</v>
      </c>
      <c r="C411" s="613">
        <v>246559.07</v>
      </c>
      <c r="D411" s="614">
        <v>212620.29</v>
      </c>
      <c r="E411" s="614">
        <v>310374.36</v>
      </c>
      <c r="F411" s="615">
        <v>267651.42</v>
      </c>
      <c r="N411" s="709"/>
      <c r="O411" s="709"/>
      <c r="P411" s="709"/>
      <c r="Q411" s="709"/>
      <c r="R411" s="709"/>
      <c r="T411" s="613">
        <v>85399.277400998006</v>
      </c>
      <c r="U411" s="614">
        <v>73644.092400875423</v>
      </c>
      <c r="V411" s="614">
        <v>107502.61978713867</v>
      </c>
      <c r="W411" s="615">
        <v>92704.916316396135</v>
      </c>
      <c r="Z411" s="613">
        <v>97359.193441222029</v>
      </c>
      <c r="AA411" s="614">
        <v>83957.729574141209</v>
      </c>
      <c r="AB411" s="614">
        <v>122558.04350836185</v>
      </c>
      <c r="AC411" s="615">
        <v>105687.96546391895</v>
      </c>
      <c r="AF411" s="613">
        <v>136300.66</v>
      </c>
      <c r="AG411" s="614">
        <v>117538.91</v>
      </c>
      <c r="AH411" s="614">
        <v>171578.47</v>
      </c>
      <c r="AI411" s="615">
        <v>147960.75</v>
      </c>
      <c r="AL411" s="613">
        <v>154020.55622363341</v>
      </c>
      <c r="AM411" s="614">
        <v>132819.67271112921</v>
      </c>
      <c r="AN411" s="614">
        <v>193884.70018739731</v>
      </c>
      <c r="AO411" s="615">
        <v>167196.52917753914</v>
      </c>
      <c r="AR411" s="613">
        <v>157870.19</v>
      </c>
      <c r="AS411" s="614">
        <v>136139.4</v>
      </c>
      <c r="AT411" s="614">
        <v>198730.71</v>
      </c>
      <c r="AU411" s="615">
        <v>171375.49</v>
      </c>
    </row>
    <row r="412" spans="1:47" ht="13" hidden="1">
      <c r="A412" s="609">
        <v>76</v>
      </c>
      <c r="B412" s="624" t="str">
        <f t="shared" si="37"/>
        <v>76B</v>
      </c>
      <c r="C412" s="613">
        <v>259051.63</v>
      </c>
      <c r="D412" s="614">
        <v>221849.59</v>
      </c>
      <c r="E412" s="614">
        <v>326100.28999999998</v>
      </c>
      <c r="F412" s="615">
        <v>279269.49</v>
      </c>
      <c r="N412" s="709"/>
      <c r="O412" s="709"/>
      <c r="P412" s="709"/>
      <c r="Q412" s="709"/>
      <c r="R412" s="709"/>
      <c r="T412" s="613">
        <v>89726.253537257726</v>
      </c>
      <c r="U412" s="614">
        <v>76840.793963091754</v>
      </c>
      <c r="V412" s="614">
        <v>112949.5191586656</v>
      </c>
      <c r="W412" s="615">
        <v>96728.999459421379</v>
      </c>
      <c r="Z412" s="613">
        <v>102292.14977863406</v>
      </c>
      <c r="AA412" s="614">
        <v>87602.119728735648</v>
      </c>
      <c r="AB412" s="614">
        <v>128767.76501545697</v>
      </c>
      <c r="AC412" s="615">
        <v>110275.60954087898</v>
      </c>
      <c r="AF412" s="613">
        <v>143206.68</v>
      </c>
      <c r="AG412" s="614">
        <v>122640.98</v>
      </c>
      <c r="AH412" s="614">
        <v>180271.94</v>
      </c>
      <c r="AI412" s="615">
        <v>154383.35</v>
      </c>
      <c r="AL412" s="613">
        <v>161824.40763263046</v>
      </c>
      <c r="AM412" s="614">
        <v>138585.03475724603</v>
      </c>
      <c r="AN412" s="614">
        <v>203708.37196107596</v>
      </c>
      <c r="AO412" s="615">
        <v>174454.10257676846</v>
      </c>
      <c r="AR412" s="613">
        <v>165869.09</v>
      </c>
      <c r="AS412" s="614">
        <v>142048.87</v>
      </c>
      <c r="AT412" s="614">
        <v>208799.92</v>
      </c>
      <c r="AU412" s="615">
        <v>178814.46</v>
      </c>
    </row>
    <row r="413" spans="1:47" ht="13" hidden="1">
      <c r="A413" s="609">
        <v>77</v>
      </c>
      <c r="B413" s="624" t="str">
        <f t="shared" si="37"/>
        <v>77B</v>
      </c>
      <c r="C413" s="613">
        <v>272399.35999999999</v>
      </c>
      <c r="D413" s="614">
        <v>231748.48000000001</v>
      </c>
      <c r="E413" s="614">
        <v>342902.72</v>
      </c>
      <c r="F413" s="615">
        <v>291730.43</v>
      </c>
      <c r="N413" s="709"/>
      <c r="O413" s="709"/>
      <c r="P413" s="709"/>
      <c r="Q413" s="709"/>
      <c r="R413" s="709"/>
      <c r="T413" s="613">
        <v>94349.431231471826</v>
      </c>
      <c r="U413" s="614">
        <v>80269.414295382841</v>
      </c>
      <c r="V413" s="614">
        <v>118769.28402079397</v>
      </c>
      <c r="W413" s="615">
        <v>101045.02740712899</v>
      </c>
      <c r="Z413" s="613">
        <v>107562.78982551197</v>
      </c>
      <c r="AA413" s="614">
        <v>91510.908190734204</v>
      </c>
      <c r="AB413" s="614">
        <v>135402.57072152686</v>
      </c>
      <c r="AC413" s="615">
        <v>115196.08442833599</v>
      </c>
      <c r="AF413" s="613">
        <v>150585.46</v>
      </c>
      <c r="AG413" s="614">
        <v>128113.19</v>
      </c>
      <c r="AH413" s="614">
        <v>189560.52</v>
      </c>
      <c r="AI413" s="615">
        <v>161271.9</v>
      </c>
      <c r="AL413" s="613">
        <v>170162.46881598225</v>
      </c>
      <c r="AM413" s="614">
        <v>144768.67034211758</v>
      </c>
      <c r="AN413" s="614">
        <v>214204.51956835415</v>
      </c>
      <c r="AO413" s="615">
        <v>182238.20854831272</v>
      </c>
      <c r="AR413" s="613">
        <v>174415.56</v>
      </c>
      <c r="AS413" s="614">
        <v>148387.06</v>
      </c>
      <c r="AT413" s="614">
        <v>219558.41</v>
      </c>
      <c r="AU413" s="615">
        <v>186793.12</v>
      </c>
    </row>
    <row r="414" spans="1:47" ht="13" hidden="1">
      <c r="A414" s="609">
        <v>78</v>
      </c>
      <c r="B414" s="624" t="str">
        <f t="shared" si="37"/>
        <v>78B</v>
      </c>
      <c r="C414" s="613">
        <v>286275.21000000002</v>
      </c>
      <c r="D414" s="614">
        <v>242060.84</v>
      </c>
      <c r="E414" s="614">
        <v>360369.96</v>
      </c>
      <c r="F414" s="615">
        <v>304711.88</v>
      </c>
      <c r="N414" s="709"/>
      <c r="O414" s="709"/>
      <c r="P414" s="709"/>
      <c r="Q414" s="709"/>
      <c r="R414" s="709"/>
      <c r="T414" s="613">
        <v>99155.53046318148</v>
      </c>
      <c r="U414" s="614">
        <v>83841.24886059601</v>
      </c>
      <c r="V414" s="614">
        <v>124819.31481835785</v>
      </c>
      <c r="W414" s="615">
        <v>105541.33680098559</v>
      </c>
      <c r="Z414" s="613">
        <v>113041.96902981117</v>
      </c>
      <c r="AA414" s="614">
        <v>95582.967615098474</v>
      </c>
      <c r="AB414" s="614">
        <v>142299.89042576228</v>
      </c>
      <c r="AC414" s="615">
        <v>120322.08864488869</v>
      </c>
      <c r="AF414" s="613">
        <v>158256.19</v>
      </c>
      <c r="AG414" s="614">
        <v>133813.98000000001</v>
      </c>
      <c r="AH414" s="614">
        <v>199216.61</v>
      </c>
      <c r="AI414" s="615">
        <v>168448.19</v>
      </c>
      <c r="AL414" s="613">
        <v>178830.43533117953</v>
      </c>
      <c r="AM414" s="614">
        <v>151210.59775901758</v>
      </c>
      <c r="AN414" s="614">
        <v>225115.9597698377</v>
      </c>
      <c r="AO414" s="615">
        <v>190347.45835546911</v>
      </c>
      <c r="AR414" s="613">
        <v>183300.17</v>
      </c>
      <c r="AS414" s="614">
        <v>154990</v>
      </c>
      <c r="AT414" s="614">
        <v>230742.57</v>
      </c>
      <c r="AU414" s="615">
        <v>195105.06</v>
      </c>
    </row>
    <row r="415" spans="1:47" ht="13" hidden="1">
      <c r="A415" s="609">
        <v>79</v>
      </c>
      <c r="B415" s="624" t="str">
        <f t="shared" si="37"/>
        <v>79B</v>
      </c>
      <c r="C415" s="613">
        <v>301506.64</v>
      </c>
      <c r="D415" s="614">
        <v>252406.04</v>
      </c>
      <c r="E415" s="614">
        <v>379543.65</v>
      </c>
      <c r="F415" s="615">
        <v>317734.67</v>
      </c>
      <c r="N415" s="709"/>
      <c r="O415" s="709"/>
      <c r="P415" s="709"/>
      <c r="Q415" s="709"/>
      <c r="R415" s="709"/>
      <c r="T415" s="613">
        <v>104431.15539426883</v>
      </c>
      <c r="U415" s="614">
        <v>87424.459744265565</v>
      </c>
      <c r="V415" s="614">
        <v>131460.39561396194</v>
      </c>
      <c r="W415" s="615">
        <v>110051.96697219311</v>
      </c>
      <c r="Z415" s="613">
        <v>119056.42961801124</v>
      </c>
      <c r="AA415" s="614">
        <v>99667.996577647966</v>
      </c>
      <c r="AB415" s="614">
        <v>149871.03493090827</v>
      </c>
      <c r="AC415" s="615">
        <v>125464.4192212745</v>
      </c>
      <c r="AF415" s="613">
        <v>166676.29</v>
      </c>
      <c r="AG415" s="614">
        <v>139532.93</v>
      </c>
      <c r="AH415" s="614">
        <v>209816.04</v>
      </c>
      <c r="AI415" s="615">
        <v>175647.33</v>
      </c>
      <c r="AL415" s="613">
        <v>188345.20771617215</v>
      </c>
      <c r="AM415" s="614">
        <v>157673.0427604891</v>
      </c>
      <c r="AN415" s="614">
        <v>237093.37912506383</v>
      </c>
      <c r="AO415" s="615">
        <v>198482.53618085093</v>
      </c>
      <c r="AR415" s="613">
        <v>193052.76</v>
      </c>
      <c r="AS415" s="614">
        <v>161613.97</v>
      </c>
      <c r="AT415" s="614">
        <v>243019.36</v>
      </c>
      <c r="AU415" s="615">
        <v>203443.46</v>
      </c>
    </row>
    <row r="416" spans="1:47" ht="13" hidden="1">
      <c r="A416" s="609">
        <v>80</v>
      </c>
      <c r="B416" s="624" t="str">
        <f t="shared" si="37"/>
        <v>80B</v>
      </c>
      <c r="C416" s="613">
        <v>316281.59999999998</v>
      </c>
      <c r="D416" s="614">
        <v>263326.34999999998</v>
      </c>
      <c r="E416" s="614">
        <v>398142.71999999997</v>
      </c>
      <c r="F416" s="615">
        <v>331481.40999999997</v>
      </c>
      <c r="N416" s="709"/>
      <c r="O416" s="709"/>
      <c r="P416" s="709"/>
      <c r="Q416" s="709"/>
      <c r="R416" s="709"/>
      <c r="T416" s="613">
        <v>109548.67585321904</v>
      </c>
      <c r="U416" s="614">
        <v>91206.866010944403</v>
      </c>
      <c r="V416" s="614">
        <v>137902.45077993456</v>
      </c>
      <c r="W416" s="615">
        <v>114813.34897848291</v>
      </c>
      <c r="Z416" s="613">
        <v>124890.64367069973</v>
      </c>
      <c r="AA416" s="614">
        <v>103980.11764703038</v>
      </c>
      <c r="AB416" s="614">
        <v>157215.2808560573</v>
      </c>
      <c r="AC416" s="615">
        <v>130892.61868508524</v>
      </c>
      <c r="AF416" s="613">
        <v>174844.06</v>
      </c>
      <c r="AG416" s="614">
        <v>145569.79999999999</v>
      </c>
      <c r="AH416" s="614">
        <v>220097.82</v>
      </c>
      <c r="AI416" s="615">
        <v>183246.69</v>
      </c>
      <c r="AL416" s="613">
        <v>197574.83320670496</v>
      </c>
      <c r="AM416" s="614">
        <v>164494.74353814489</v>
      </c>
      <c r="AN416" s="614">
        <v>248711.84886020512</v>
      </c>
      <c r="AO416" s="615">
        <v>207069.85363037052</v>
      </c>
      <c r="AR416" s="613">
        <v>202513.07</v>
      </c>
      <c r="AS416" s="614">
        <v>168606.17</v>
      </c>
      <c r="AT416" s="614">
        <v>254928.22</v>
      </c>
      <c r="AU416" s="615">
        <v>212245.42</v>
      </c>
    </row>
    <row r="417" spans="1:47" ht="13" hidden="1">
      <c r="A417" s="609">
        <v>81</v>
      </c>
      <c r="B417" s="624" t="str">
        <f t="shared" si="37"/>
        <v>81B</v>
      </c>
      <c r="C417" s="613">
        <v>333637.74</v>
      </c>
      <c r="D417" s="614">
        <v>274391.17</v>
      </c>
      <c r="E417" s="614">
        <v>419991.03999999998</v>
      </c>
      <c r="F417" s="615">
        <v>345410.06</v>
      </c>
      <c r="N417" s="709"/>
      <c r="O417" s="709"/>
      <c r="P417" s="709"/>
      <c r="Q417" s="709"/>
      <c r="R417" s="709"/>
      <c r="T417" s="613">
        <v>115560.22560120374</v>
      </c>
      <c r="U417" s="614">
        <v>95039.323686430071</v>
      </c>
      <c r="V417" s="614">
        <v>145469.93105092706</v>
      </c>
      <c r="W417" s="615">
        <v>119637.73687585903</v>
      </c>
      <c r="Z417" s="613">
        <v>131744.09316825637</v>
      </c>
      <c r="AA417" s="614">
        <v>108349.29967688376</v>
      </c>
      <c r="AB417" s="614">
        <v>165842.56434121684</v>
      </c>
      <c r="AC417" s="615">
        <v>136392.64782854778</v>
      </c>
      <c r="AF417" s="613">
        <v>184438.73</v>
      </c>
      <c r="AG417" s="614">
        <v>151686.56</v>
      </c>
      <c r="AH417" s="614">
        <v>232175.82</v>
      </c>
      <c r="AI417" s="615">
        <v>190946.61</v>
      </c>
      <c r="AL417" s="613">
        <v>208416.8715017483</v>
      </c>
      <c r="AM417" s="614">
        <v>171406.7137660679</v>
      </c>
      <c r="AN417" s="614">
        <v>262360.06177278905</v>
      </c>
      <c r="AO417" s="615">
        <v>215770.80438787368</v>
      </c>
      <c r="AR417" s="613">
        <v>213626.1</v>
      </c>
      <c r="AS417" s="614">
        <v>175690.9</v>
      </c>
      <c r="AT417" s="614">
        <v>268917.56</v>
      </c>
      <c r="AU417" s="615">
        <v>221163.84</v>
      </c>
    </row>
    <row r="418" spans="1:47" ht="13" hidden="1">
      <c r="A418" s="609">
        <v>82</v>
      </c>
      <c r="B418" s="624" t="str">
        <f t="shared" si="37"/>
        <v>82B</v>
      </c>
      <c r="C418" s="613">
        <v>351651.99</v>
      </c>
      <c r="D418" s="614">
        <v>285004.08</v>
      </c>
      <c r="E418" s="614">
        <v>442667.8</v>
      </c>
      <c r="F418" s="615">
        <v>358769.84</v>
      </c>
      <c r="N418" s="709"/>
      <c r="O418" s="709"/>
      <c r="P418" s="709"/>
      <c r="Q418" s="709"/>
      <c r="R418" s="709"/>
      <c r="T418" s="613">
        <v>121799.7189964049</v>
      </c>
      <c r="U418" s="614">
        <v>98715.258154120005</v>
      </c>
      <c r="V418" s="614">
        <v>153324.35214841558</v>
      </c>
      <c r="W418" s="615">
        <v>124265.08967636283</v>
      </c>
      <c r="Z418" s="613">
        <v>138857.40914616789</v>
      </c>
      <c r="AA418" s="614">
        <v>112540.03788695787</v>
      </c>
      <c r="AB418" s="614">
        <v>174796.97386635255</v>
      </c>
      <c r="AC418" s="615">
        <v>141668.04769299398</v>
      </c>
      <c r="AF418" s="613">
        <v>194397.22</v>
      </c>
      <c r="AG418" s="614">
        <v>157553.49</v>
      </c>
      <c r="AH418" s="614">
        <v>244711.79</v>
      </c>
      <c r="AI418" s="615">
        <v>198332.05</v>
      </c>
      <c r="AL418" s="613">
        <v>219670.0140637173</v>
      </c>
      <c r="AM418" s="614">
        <v>178036.388964568</v>
      </c>
      <c r="AN418" s="614">
        <v>276525.78240962059</v>
      </c>
      <c r="AO418" s="615">
        <v>224116.39552010325</v>
      </c>
      <c r="AR418" s="613">
        <v>225160.51</v>
      </c>
      <c r="AS418" s="614">
        <v>182486.28</v>
      </c>
      <c r="AT418" s="614">
        <v>283437.34000000003</v>
      </c>
      <c r="AU418" s="615">
        <v>229718.02</v>
      </c>
    </row>
    <row r="419" spans="1:47" ht="13" hidden="1">
      <c r="A419" s="609">
        <v>83</v>
      </c>
      <c r="B419" s="624" t="str">
        <f t="shared" si="37"/>
        <v>83B</v>
      </c>
      <c r="C419" s="613">
        <v>370424.84</v>
      </c>
      <c r="D419" s="614">
        <v>297089.31</v>
      </c>
      <c r="E419" s="614">
        <v>466299.51</v>
      </c>
      <c r="F419" s="615">
        <v>373983.01</v>
      </c>
      <c r="N419" s="709"/>
      <c r="O419" s="709"/>
      <c r="P419" s="709"/>
      <c r="Q419" s="709"/>
      <c r="R419" s="709"/>
      <c r="T419" s="613">
        <v>128301.96581633852</v>
      </c>
      <c r="U419" s="614">
        <v>102901.15037191758</v>
      </c>
      <c r="V419" s="614">
        <v>161509.53343939086</v>
      </c>
      <c r="W419" s="615">
        <v>129534.38929170801</v>
      </c>
      <c r="Z419" s="613">
        <v>146270.27638826345</v>
      </c>
      <c r="AA419" s="614">
        <v>117312.15192069906</v>
      </c>
      <c r="AB419" s="614">
        <v>184128.46557110813</v>
      </c>
      <c r="AC419" s="615">
        <v>147675.29712370352</v>
      </c>
      <c r="AF419" s="613">
        <v>204775.06</v>
      </c>
      <c r="AG419" s="614">
        <v>164234.34</v>
      </c>
      <c r="AH419" s="614">
        <v>257775.66</v>
      </c>
      <c r="AI419" s="615">
        <v>206742.06</v>
      </c>
      <c r="AL419" s="613">
        <v>231397.04153266194</v>
      </c>
      <c r="AM419" s="614">
        <v>185585.79063748929</v>
      </c>
      <c r="AN419" s="614">
        <v>291288.04051758623</v>
      </c>
      <c r="AO419" s="615">
        <v>233619.7599789571</v>
      </c>
      <c r="AR419" s="613">
        <v>237180.64</v>
      </c>
      <c r="AS419" s="614">
        <v>190224.37</v>
      </c>
      <c r="AT419" s="614">
        <v>298568.57</v>
      </c>
      <c r="AU419" s="615">
        <v>239458.92</v>
      </c>
    </row>
    <row r="420" spans="1:47" ht="13" hidden="1">
      <c r="A420" s="609">
        <v>84</v>
      </c>
      <c r="B420" s="624" t="str">
        <f t="shared" si="37"/>
        <v>84B</v>
      </c>
      <c r="C420" s="613">
        <v>390076.39</v>
      </c>
      <c r="D420" s="614">
        <v>308815.08</v>
      </c>
      <c r="E420" s="614">
        <v>491037.34</v>
      </c>
      <c r="F420" s="615">
        <v>388743.69</v>
      </c>
      <c r="N420" s="709"/>
      <c r="O420" s="709"/>
      <c r="P420" s="709"/>
      <c r="Q420" s="709"/>
      <c r="R420" s="709"/>
      <c r="T420" s="613">
        <v>135108.56209798576</v>
      </c>
      <c r="U420" s="614">
        <v>106962.53998483311</v>
      </c>
      <c r="V420" s="614">
        <v>170077.83699393505</v>
      </c>
      <c r="W420" s="615">
        <v>134646.96209855462</v>
      </c>
      <c r="Z420" s="613">
        <v>154030.11633338989</v>
      </c>
      <c r="AA420" s="614">
        <v>121942.32712824002</v>
      </c>
      <c r="AB420" s="614">
        <v>193896.73467850254</v>
      </c>
      <c r="AC420" s="615">
        <v>153503.87062025507</v>
      </c>
      <c r="AF420" s="613">
        <v>215638.66</v>
      </c>
      <c r="AG420" s="614">
        <v>170716.48</v>
      </c>
      <c r="AH420" s="614">
        <v>271451.02</v>
      </c>
      <c r="AI420" s="615">
        <v>214901.93</v>
      </c>
      <c r="AL420" s="613">
        <v>243672.97380274892</v>
      </c>
      <c r="AM420" s="614">
        <v>192910.64754798613</v>
      </c>
      <c r="AN420" s="614">
        <v>306741.27290463692</v>
      </c>
      <c r="AO420" s="615">
        <v>242840.46220746488</v>
      </c>
      <c r="AR420" s="613">
        <v>249763.4</v>
      </c>
      <c r="AS420" s="614">
        <v>197732.31</v>
      </c>
      <c r="AT420" s="614">
        <v>314408.05</v>
      </c>
      <c r="AU420" s="615">
        <v>248910.07999999999</v>
      </c>
    </row>
    <row r="421" spans="1:47" ht="13" hidden="1">
      <c r="A421" s="609">
        <v>85</v>
      </c>
      <c r="B421" s="624" t="str">
        <f t="shared" si="37"/>
        <v>85B</v>
      </c>
      <c r="C421" s="613">
        <v>410747.91</v>
      </c>
      <c r="D421" s="614">
        <v>320872.09000000003</v>
      </c>
      <c r="E421" s="614">
        <v>517059.13</v>
      </c>
      <c r="F421" s="615">
        <v>403921.34</v>
      </c>
      <c r="N421" s="709"/>
      <c r="O421" s="709"/>
      <c r="P421" s="709"/>
      <c r="Q421" s="709"/>
      <c r="R421" s="709"/>
      <c r="T421" s="613">
        <v>142268.43918791175</v>
      </c>
      <c r="U421" s="614">
        <v>111138.65911052052</v>
      </c>
      <c r="V421" s="614">
        <v>179090.85874243008</v>
      </c>
      <c r="W421" s="615">
        <v>139903.95911559643</v>
      </c>
      <c r="Z421" s="613">
        <v>162192.71301837458</v>
      </c>
      <c r="AA421" s="614">
        <v>126703.29937724683</v>
      </c>
      <c r="AB421" s="614">
        <v>204172.00344665977</v>
      </c>
      <c r="AC421" s="615">
        <v>159497.09451018131</v>
      </c>
      <c r="AF421" s="613">
        <v>227066.11</v>
      </c>
      <c r="AG421" s="614">
        <v>177381.74</v>
      </c>
      <c r="AH421" s="614">
        <v>285836.15999999997</v>
      </c>
      <c r="AI421" s="615">
        <v>223292.31</v>
      </c>
      <c r="AL421" s="613">
        <v>256586.06025317792</v>
      </c>
      <c r="AM421" s="614">
        <v>200442.42311060944</v>
      </c>
      <c r="AN421" s="614">
        <v>322996.56996576511</v>
      </c>
      <c r="AO421" s="615">
        <v>252321.63850394366</v>
      </c>
      <c r="AR421" s="613">
        <v>262999.24</v>
      </c>
      <c r="AS421" s="614">
        <v>205452.34</v>
      </c>
      <c r="AT421" s="614">
        <v>331069.64</v>
      </c>
      <c r="AU421" s="615">
        <v>258628.24</v>
      </c>
    </row>
    <row r="422" spans="1:47" ht="13" hidden="1">
      <c r="A422" s="609">
        <v>86</v>
      </c>
      <c r="B422" s="624" t="str">
        <f t="shared" si="37"/>
        <v>86B</v>
      </c>
      <c r="C422" s="613">
        <v>410747.91</v>
      </c>
      <c r="D422" s="614">
        <v>320872.09000000003</v>
      </c>
      <c r="E422" s="614">
        <v>517059.13</v>
      </c>
      <c r="F422" s="615">
        <v>403921.34</v>
      </c>
      <c r="N422" s="709"/>
      <c r="O422" s="709"/>
      <c r="P422" s="709"/>
      <c r="Q422" s="709"/>
      <c r="R422" s="709"/>
      <c r="T422" s="613">
        <v>142268.43918791175</v>
      </c>
      <c r="U422" s="614">
        <v>111138.65911052052</v>
      </c>
      <c r="V422" s="614">
        <v>179090.85874243008</v>
      </c>
      <c r="W422" s="615">
        <v>139903.95911559643</v>
      </c>
      <c r="Z422" s="613">
        <v>162192.71301837458</v>
      </c>
      <c r="AA422" s="614">
        <v>126703.29937724683</v>
      </c>
      <c r="AB422" s="614">
        <v>204172.00344665977</v>
      </c>
      <c r="AC422" s="615">
        <v>159497.09451018131</v>
      </c>
      <c r="AF422" s="613">
        <v>227066.11</v>
      </c>
      <c r="AG422" s="614">
        <v>177381.74</v>
      </c>
      <c r="AH422" s="614">
        <v>285836.15999999997</v>
      </c>
      <c r="AI422" s="615">
        <v>223292.31</v>
      </c>
      <c r="AL422" s="613">
        <v>256586.06025317792</v>
      </c>
      <c r="AM422" s="614">
        <v>200442.42311060944</v>
      </c>
      <c r="AN422" s="614">
        <v>322996.56996576511</v>
      </c>
      <c r="AO422" s="615">
        <v>252321.63850394366</v>
      </c>
      <c r="AR422" s="613">
        <v>262999.24</v>
      </c>
      <c r="AS422" s="614">
        <v>205452.34</v>
      </c>
      <c r="AT422" s="614">
        <v>331069.64</v>
      </c>
      <c r="AU422" s="615">
        <v>258628.24</v>
      </c>
    </row>
    <row r="423" spans="1:47" ht="13" hidden="1">
      <c r="A423" s="609">
        <v>87</v>
      </c>
      <c r="B423" s="624" t="str">
        <f t="shared" si="37"/>
        <v>87B</v>
      </c>
      <c r="C423" s="613">
        <v>410747.91</v>
      </c>
      <c r="D423" s="614">
        <v>320872.09000000003</v>
      </c>
      <c r="E423" s="614">
        <v>517059.13</v>
      </c>
      <c r="F423" s="615">
        <v>403921.34</v>
      </c>
      <c r="N423" s="709"/>
      <c r="O423" s="709"/>
      <c r="P423" s="709"/>
      <c r="Q423" s="709"/>
      <c r="R423" s="709"/>
      <c r="T423" s="613">
        <v>142268.43918791175</v>
      </c>
      <c r="U423" s="614">
        <v>111138.65911052052</v>
      </c>
      <c r="V423" s="614">
        <v>179090.85874243008</v>
      </c>
      <c r="W423" s="615">
        <v>139903.95911559643</v>
      </c>
      <c r="Z423" s="613">
        <v>162192.71301837458</v>
      </c>
      <c r="AA423" s="614">
        <v>126703.29937724683</v>
      </c>
      <c r="AB423" s="614">
        <v>204172.00344665977</v>
      </c>
      <c r="AC423" s="615">
        <v>159497.09451018131</v>
      </c>
      <c r="AF423" s="613">
        <v>227066.11</v>
      </c>
      <c r="AG423" s="614">
        <v>177381.74</v>
      </c>
      <c r="AH423" s="614">
        <v>285836.15999999997</v>
      </c>
      <c r="AI423" s="615">
        <v>223292.31</v>
      </c>
      <c r="AL423" s="613">
        <v>256586.06025317792</v>
      </c>
      <c r="AM423" s="614">
        <v>200442.42311060944</v>
      </c>
      <c r="AN423" s="614">
        <v>322996.56996576511</v>
      </c>
      <c r="AO423" s="615">
        <v>252321.63850394366</v>
      </c>
      <c r="AR423" s="613">
        <v>262999.24</v>
      </c>
      <c r="AS423" s="614">
        <v>205452.34</v>
      </c>
      <c r="AT423" s="614">
        <v>331069.64</v>
      </c>
      <c r="AU423" s="615">
        <v>258628.24</v>
      </c>
    </row>
    <row r="424" spans="1:47" ht="13" hidden="1">
      <c r="A424" s="609">
        <v>88</v>
      </c>
      <c r="B424" s="624" t="str">
        <f t="shared" si="37"/>
        <v>88B</v>
      </c>
      <c r="C424" s="613">
        <v>410747.91</v>
      </c>
      <c r="D424" s="614">
        <v>320872.09000000003</v>
      </c>
      <c r="E424" s="614">
        <v>517059.13</v>
      </c>
      <c r="F424" s="615">
        <v>403921.34</v>
      </c>
      <c r="N424" s="709"/>
      <c r="O424" s="709"/>
      <c r="P424" s="709"/>
      <c r="Q424" s="709"/>
      <c r="R424" s="709"/>
      <c r="T424" s="613">
        <v>142268.43918791175</v>
      </c>
      <c r="U424" s="614">
        <v>111138.65911052052</v>
      </c>
      <c r="V424" s="614">
        <v>179090.85874243008</v>
      </c>
      <c r="W424" s="615">
        <v>139903.95911559643</v>
      </c>
      <c r="Z424" s="613">
        <v>162192.71301837458</v>
      </c>
      <c r="AA424" s="614">
        <v>126703.29937724683</v>
      </c>
      <c r="AB424" s="614">
        <v>204172.00344665977</v>
      </c>
      <c r="AC424" s="615">
        <v>159497.09451018131</v>
      </c>
      <c r="AF424" s="613">
        <v>227066.11</v>
      </c>
      <c r="AG424" s="614">
        <v>177381.74</v>
      </c>
      <c r="AH424" s="614">
        <v>285836.15999999997</v>
      </c>
      <c r="AI424" s="615">
        <v>223292.31</v>
      </c>
      <c r="AL424" s="613">
        <v>256586.06025317792</v>
      </c>
      <c r="AM424" s="614">
        <v>200442.42311060944</v>
      </c>
      <c r="AN424" s="614">
        <v>322996.56996576511</v>
      </c>
      <c r="AO424" s="615">
        <v>252321.63850394366</v>
      </c>
      <c r="AR424" s="613">
        <v>262999.24</v>
      </c>
      <c r="AS424" s="614">
        <v>205452.34</v>
      </c>
      <c r="AT424" s="614">
        <v>331069.64</v>
      </c>
      <c r="AU424" s="615">
        <v>258628.24</v>
      </c>
    </row>
    <row r="425" spans="1:47" ht="13" hidden="1">
      <c r="A425" s="609">
        <v>89</v>
      </c>
      <c r="B425" s="624" t="str">
        <f t="shared" si="37"/>
        <v>89B</v>
      </c>
      <c r="C425" s="613">
        <v>410747.91</v>
      </c>
      <c r="D425" s="614">
        <v>320872.09000000003</v>
      </c>
      <c r="E425" s="614">
        <v>517059.13</v>
      </c>
      <c r="F425" s="615">
        <v>403921.34</v>
      </c>
      <c r="N425" s="709"/>
      <c r="O425" s="709"/>
      <c r="P425" s="709"/>
      <c r="Q425" s="709"/>
      <c r="R425" s="709"/>
      <c r="T425" s="613">
        <v>142268.43918791175</v>
      </c>
      <c r="U425" s="614">
        <v>111138.65911052052</v>
      </c>
      <c r="V425" s="614">
        <v>179090.85874243008</v>
      </c>
      <c r="W425" s="615">
        <v>139903.95911559643</v>
      </c>
      <c r="Z425" s="613">
        <v>162192.71301837458</v>
      </c>
      <c r="AA425" s="614">
        <v>126703.29937724683</v>
      </c>
      <c r="AB425" s="614">
        <v>204172.00344665977</v>
      </c>
      <c r="AC425" s="615">
        <v>159497.09451018131</v>
      </c>
      <c r="AF425" s="613">
        <v>227066.11</v>
      </c>
      <c r="AG425" s="614">
        <v>177381.74</v>
      </c>
      <c r="AH425" s="614">
        <v>285836.15999999997</v>
      </c>
      <c r="AI425" s="615">
        <v>223292.31</v>
      </c>
      <c r="AL425" s="613">
        <v>256586.06025317792</v>
      </c>
      <c r="AM425" s="614">
        <v>200442.42311060944</v>
      </c>
      <c r="AN425" s="614">
        <v>322996.56996576511</v>
      </c>
      <c r="AO425" s="615">
        <v>252321.63850394366</v>
      </c>
      <c r="AR425" s="613">
        <v>262999.24</v>
      </c>
      <c r="AS425" s="614">
        <v>205452.34</v>
      </c>
      <c r="AT425" s="614">
        <v>331069.64</v>
      </c>
      <c r="AU425" s="615">
        <v>258628.24</v>
      </c>
    </row>
    <row r="426" spans="1:47" ht="13" hidden="1">
      <c r="A426" s="609">
        <v>90</v>
      </c>
      <c r="B426" s="624" t="str">
        <f t="shared" si="37"/>
        <v>90B</v>
      </c>
      <c r="C426" s="613">
        <v>410747.91</v>
      </c>
      <c r="D426" s="614">
        <v>320872.09000000003</v>
      </c>
      <c r="E426" s="614">
        <v>517059.13</v>
      </c>
      <c r="F426" s="615">
        <v>403921.34</v>
      </c>
      <c r="N426" s="709"/>
      <c r="O426" s="709"/>
      <c r="P426" s="709"/>
      <c r="Q426" s="709"/>
      <c r="R426" s="709"/>
      <c r="T426" s="613">
        <v>142268.43918791175</v>
      </c>
      <c r="U426" s="614">
        <v>111138.65911052052</v>
      </c>
      <c r="V426" s="614">
        <v>179090.85874243008</v>
      </c>
      <c r="W426" s="615">
        <v>139903.95911559643</v>
      </c>
      <c r="Z426" s="613">
        <v>162192.71301837458</v>
      </c>
      <c r="AA426" s="614">
        <v>126703.29937724683</v>
      </c>
      <c r="AB426" s="614">
        <v>204172.00344665977</v>
      </c>
      <c r="AC426" s="615">
        <v>159497.09451018131</v>
      </c>
      <c r="AF426" s="613">
        <v>227066.11</v>
      </c>
      <c r="AG426" s="614">
        <v>177381.74</v>
      </c>
      <c r="AH426" s="614">
        <v>285836.15999999997</v>
      </c>
      <c r="AI426" s="615">
        <v>223292.31</v>
      </c>
      <c r="AL426" s="613">
        <v>256586.06025317792</v>
      </c>
      <c r="AM426" s="614">
        <v>200442.42311060944</v>
      </c>
      <c r="AN426" s="614">
        <v>322996.56996576511</v>
      </c>
      <c r="AO426" s="615">
        <v>252321.63850394366</v>
      </c>
      <c r="AR426" s="613">
        <v>262999.24</v>
      </c>
      <c r="AS426" s="614">
        <v>205452.34</v>
      </c>
      <c r="AT426" s="614">
        <v>331069.64</v>
      </c>
      <c r="AU426" s="615">
        <v>258628.24</v>
      </c>
    </row>
    <row r="427" spans="1:47" ht="13" hidden="1">
      <c r="A427" s="609">
        <v>91</v>
      </c>
      <c r="B427" s="624" t="str">
        <f t="shared" si="37"/>
        <v>91B</v>
      </c>
      <c r="C427" s="613">
        <v>410747.91</v>
      </c>
      <c r="D427" s="614">
        <v>320872.09000000003</v>
      </c>
      <c r="E427" s="614">
        <v>517059.13</v>
      </c>
      <c r="F427" s="615">
        <v>403921.34</v>
      </c>
      <c r="N427" s="709"/>
      <c r="O427" s="709"/>
      <c r="P427" s="709"/>
      <c r="Q427" s="709"/>
      <c r="R427" s="709"/>
      <c r="T427" s="613">
        <v>142268.43918791175</v>
      </c>
      <c r="U427" s="614">
        <v>111138.65911052052</v>
      </c>
      <c r="V427" s="614">
        <v>179090.85874243008</v>
      </c>
      <c r="W427" s="615">
        <v>139903.95911559643</v>
      </c>
      <c r="Z427" s="613">
        <v>162192.71301837458</v>
      </c>
      <c r="AA427" s="614">
        <v>126703.29937724683</v>
      </c>
      <c r="AB427" s="614">
        <v>204172.00344665977</v>
      </c>
      <c r="AC427" s="615">
        <v>159497.09451018131</v>
      </c>
      <c r="AF427" s="613">
        <v>227066.11</v>
      </c>
      <c r="AG427" s="614">
        <v>177381.74</v>
      </c>
      <c r="AH427" s="614">
        <v>285836.15999999997</v>
      </c>
      <c r="AI427" s="615">
        <v>223292.31</v>
      </c>
      <c r="AL427" s="613">
        <v>256586.06025317792</v>
      </c>
      <c r="AM427" s="614">
        <v>200442.42311060944</v>
      </c>
      <c r="AN427" s="614">
        <v>322996.56996576511</v>
      </c>
      <c r="AO427" s="615">
        <v>252321.63850394366</v>
      </c>
      <c r="AR427" s="613">
        <v>262999.24</v>
      </c>
      <c r="AS427" s="614">
        <v>205452.34</v>
      </c>
      <c r="AT427" s="614">
        <v>331069.64</v>
      </c>
      <c r="AU427" s="615">
        <v>258628.24</v>
      </c>
    </row>
    <row r="428" spans="1:47" ht="13" hidden="1">
      <c r="A428" s="609">
        <v>92</v>
      </c>
      <c r="B428" s="624" t="str">
        <f t="shared" si="37"/>
        <v>92B</v>
      </c>
      <c r="C428" s="613">
        <v>410747.91</v>
      </c>
      <c r="D428" s="614">
        <v>320872.09000000003</v>
      </c>
      <c r="E428" s="614">
        <v>517059.13</v>
      </c>
      <c r="F428" s="615">
        <v>403921.34</v>
      </c>
      <c r="N428" s="709"/>
      <c r="O428" s="709"/>
      <c r="P428" s="709"/>
      <c r="Q428" s="709"/>
      <c r="R428" s="709"/>
      <c r="T428" s="613">
        <v>142268.43918791175</v>
      </c>
      <c r="U428" s="614">
        <v>111138.65911052052</v>
      </c>
      <c r="V428" s="614">
        <v>179090.85874243008</v>
      </c>
      <c r="W428" s="615">
        <v>139903.95911559643</v>
      </c>
      <c r="Z428" s="613">
        <v>162192.71301837458</v>
      </c>
      <c r="AA428" s="614">
        <v>126703.29937724683</v>
      </c>
      <c r="AB428" s="614">
        <v>204172.00344665977</v>
      </c>
      <c r="AC428" s="615">
        <v>159497.09451018131</v>
      </c>
      <c r="AF428" s="613">
        <v>227066.11</v>
      </c>
      <c r="AG428" s="614">
        <v>177381.74</v>
      </c>
      <c r="AH428" s="614">
        <v>285836.15999999997</v>
      </c>
      <c r="AI428" s="615">
        <v>223292.31</v>
      </c>
      <c r="AL428" s="613">
        <v>256586.06025317792</v>
      </c>
      <c r="AM428" s="614">
        <v>200442.42311060944</v>
      </c>
      <c r="AN428" s="614">
        <v>322996.56996576511</v>
      </c>
      <c r="AO428" s="615">
        <v>252321.63850394366</v>
      </c>
      <c r="AR428" s="613">
        <v>262999.24</v>
      </c>
      <c r="AS428" s="614">
        <v>205452.34</v>
      </c>
      <c r="AT428" s="614">
        <v>331069.64</v>
      </c>
      <c r="AU428" s="615">
        <v>258628.24</v>
      </c>
    </row>
    <row r="429" spans="1:47" ht="13" hidden="1">
      <c r="A429" s="609">
        <v>93</v>
      </c>
      <c r="B429" s="624" t="str">
        <f t="shared" si="37"/>
        <v>93B</v>
      </c>
      <c r="C429" s="613">
        <v>410747.91</v>
      </c>
      <c r="D429" s="614">
        <v>320872.09000000003</v>
      </c>
      <c r="E429" s="614">
        <v>517059.13</v>
      </c>
      <c r="F429" s="615">
        <v>403921.34</v>
      </c>
      <c r="N429" s="709"/>
      <c r="O429" s="709"/>
      <c r="P429" s="709"/>
      <c r="Q429" s="709"/>
      <c r="R429" s="709"/>
      <c r="T429" s="613">
        <v>142268.43918791175</v>
      </c>
      <c r="U429" s="614">
        <v>111138.65911052052</v>
      </c>
      <c r="V429" s="614">
        <v>179090.85874243008</v>
      </c>
      <c r="W429" s="615">
        <v>139903.95911559643</v>
      </c>
      <c r="Z429" s="613">
        <v>162192.71301837458</v>
      </c>
      <c r="AA429" s="614">
        <v>126703.29937724683</v>
      </c>
      <c r="AB429" s="614">
        <v>204172.00344665977</v>
      </c>
      <c r="AC429" s="615">
        <v>159497.09451018131</v>
      </c>
      <c r="AF429" s="613">
        <v>227066.11</v>
      </c>
      <c r="AG429" s="614">
        <v>177381.74</v>
      </c>
      <c r="AH429" s="614">
        <v>285836.15999999997</v>
      </c>
      <c r="AI429" s="615">
        <v>223292.31</v>
      </c>
      <c r="AL429" s="613">
        <v>256586.06025317792</v>
      </c>
      <c r="AM429" s="614">
        <v>200442.42311060944</v>
      </c>
      <c r="AN429" s="614">
        <v>322996.56996576511</v>
      </c>
      <c r="AO429" s="615">
        <v>252321.63850394366</v>
      </c>
      <c r="AR429" s="613">
        <v>262999.24</v>
      </c>
      <c r="AS429" s="614">
        <v>205452.34</v>
      </c>
      <c r="AT429" s="614">
        <v>331069.64</v>
      </c>
      <c r="AU429" s="615">
        <v>258628.24</v>
      </c>
    </row>
    <row r="430" spans="1:47" ht="13" hidden="1">
      <c r="A430" s="609">
        <v>94</v>
      </c>
      <c r="B430" s="624" t="str">
        <f t="shared" si="37"/>
        <v>94B</v>
      </c>
      <c r="C430" s="613">
        <v>410747.91</v>
      </c>
      <c r="D430" s="614">
        <v>320872.09000000003</v>
      </c>
      <c r="E430" s="614">
        <v>517059.13</v>
      </c>
      <c r="F430" s="615">
        <v>403921.34</v>
      </c>
      <c r="N430" s="709"/>
      <c r="O430" s="709"/>
      <c r="P430" s="709"/>
      <c r="Q430" s="709"/>
      <c r="R430" s="709"/>
      <c r="T430" s="613">
        <v>142268.43918791175</v>
      </c>
      <c r="U430" s="614">
        <v>111138.65911052052</v>
      </c>
      <c r="V430" s="614">
        <v>179090.85874243008</v>
      </c>
      <c r="W430" s="615">
        <v>139903.95911559643</v>
      </c>
      <c r="Z430" s="613">
        <v>162192.71301837458</v>
      </c>
      <c r="AA430" s="614">
        <v>126703.29937724683</v>
      </c>
      <c r="AB430" s="614">
        <v>204172.00344665977</v>
      </c>
      <c r="AC430" s="615">
        <v>159497.09451018131</v>
      </c>
      <c r="AF430" s="613">
        <v>227066.11</v>
      </c>
      <c r="AG430" s="614">
        <v>177381.74</v>
      </c>
      <c r="AH430" s="614">
        <v>285836.15999999997</v>
      </c>
      <c r="AI430" s="615">
        <v>223292.31</v>
      </c>
      <c r="AL430" s="613">
        <v>256586.06025317792</v>
      </c>
      <c r="AM430" s="614">
        <v>200442.42311060944</v>
      </c>
      <c r="AN430" s="614">
        <v>322996.56996576511</v>
      </c>
      <c r="AO430" s="615">
        <v>252321.63850394366</v>
      </c>
      <c r="AR430" s="613">
        <v>262999.24</v>
      </c>
      <c r="AS430" s="614">
        <v>205452.34</v>
      </c>
      <c r="AT430" s="614">
        <v>331069.64</v>
      </c>
      <c r="AU430" s="615">
        <v>258628.24</v>
      </c>
    </row>
    <row r="431" spans="1:47" ht="13" hidden="1">
      <c r="A431" s="609">
        <v>95</v>
      </c>
      <c r="B431" s="624" t="str">
        <f t="shared" si="37"/>
        <v>95B</v>
      </c>
      <c r="C431" s="613">
        <v>410747.91</v>
      </c>
      <c r="D431" s="614">
        <v>320872.09000000003</v>
      </c>
      <c r="E431" s="614">
        <v>517059.13</v>
      </c>
      <c r="F431" s="615">
        <v>403921.34</v>
      </c>
      <c r="N431" s="709"/>
      <c r="O431" s="709"/>
      <c r="P431" s="709"/>
      <c r="Q431" s="709"/>
      <c r="R431" s="709"/>
      <c r="T431" s="613">
        <v>142268.43918791175</v>
      </c>
      <c r="U431" s="614">
        <v>111138.65911052052</v>
      </c>
      <c r="V431" s="614">
        <v>179090.85874243008</v>
      </c>
      <c r="W431" s="615">
        <v>139903.95911559643</v>
      </c>
      <c r="Z431" s="613">
        <v>162192.71301837458</v>
      </c>
      <c r="AA431" s="614">
        <v>126703.29937724683</v>
      </c>
      <c r="AB431" s="614">
        <v>204172.00344665977</v>
      </c>
      <c r="AC431" s="615">
        <v>159497.09451018131</v>
      </c>
      <c r="AF431" s="613">
        <v>227066.11</v>
      </c>
      <c r="AG431" s="614">
        <v>177381.74</v>
      </c>
      <c r="AH431" s="614">
        <v>285836.15999999997</v>
      </c>
      <c r="AI431" s="615">
        <v>223292.31</v>
      </c>
      <c r="AL431" s="613">
        <v>256586.06025317792</v>
      </c>
      <c r="AM431" s="614">
        <v>200442.42311060944</v>
      </c>
      <c r="AN431" s="614">
        <v>322996.56996576511</v>
      </c>
      <c r="AO431" s="615">
        <v>252321.63850394366</v>
      </c>
      <c r="AR431" s="613">
        <v>262999.24</v>
      </c>
      <c r="AS431" s="614">
        <v>205452.34</v>
      </c>
      <c r="AT431" s="614">
        <v>331069.64</v>
      </c>
      <c r="AU431" s="615">
        <v>258628.24</v>
      </c>
    </row>
    <row r="432" spans="1:47" ht="13" hidden="1">
      <c r="A432" s="609">
        <v>96</v>
      </c>
      <c r="B432" s="624" t="str">
        <f t="shared" si="37"/>
        <v>96B</v>
      </c>
      <c r="C432" s="613">
        <v>410747.91</v>
      </c>
      <c r="D432" s="614">
        <v>320872.09000000003</v>
      </c>
      <c r="E432" s="614">
        <v>517059.13</v>
      </c>
      <c r="F432" s="615">
        <v>403921.34</v>
      </c>
      <c r="N432" s="709"/>
      <c r="O432" s="709"/>
      <c r="P432" s="709"/>
      <c r="Q432" s="709"/>
      <c r="R432" s="709"/>
      <c r="T432" s="613">
        <v>142268.43918791175</v>
      </c>
      <c r="U432" s="614">
        <v>111138.65911052052</v>
      </c>
      <c r="V432" s="614">
        <v>179090.85874243008</v>
      </c>
      <c r="W432" s="615">
        <v>139903.95911559643</v>
      </c>
      <c r="Z432" s="613">
        <v>162192.71301837458</v>
      </c>
      <c r="AA432" s="614">
        <v>126703.29937724683</v>
      </c>
      <c r="AB432" s="614">
        <v>204172.00344665977</v>
      </c>
      <c r="AC432" s="615">
        <v>159497.09451018131</v>
      </c>
      <c r="AF432" s="613">
        <v>227066.11</v>
      </c>
      <c r="AG432" s="614">
        <v>177381.74</v>
      </c>
      <c r="AH432" s="614">
        <v>285836.15999999997</v>
      </c>
      <c r="AI432" s="615">
        <v>223292.31</v>
      </c>
      <c r="AL432" s="613">
        <v>256586.06025317792</v>
      </c>
      <c r="AM432" s="614">
        <v>200442.42311060944</v>
      </c>
      <c r="AN432" s="614">
        <v>322996.56996576511</v>
      </c>
      <c r="AO432" s="615">
        <v>252321.63850394366</v>
      </c>
      <c r="AR432" s="613">
        <v>262999.24</v>
      </c>
      <c r="AS432" s="614">
        <v>205452.34</v>
      </c>
      <c r="AT432" s="614">
        <v>331069.64</v>
      </c>
      <c r="AU432" s="615">
        <v>258628.24</v>
      </c>
    </row>
    <row r="433" spans="1:47" ht="13" hidden="1">
      <c r="A433" s="609">
        <v>97</v>
      </c>
      <c r="B433" s="624" t="str">
        <f t="shared" si="37"/>
        <v>97B</v>
      </c>
      <c r="C433" s="613">
        <v>410747.91</v>
      </c>
      <c r="D433" s="614">
        <v>320872.09000000003</v>
      </c>
      <c r="E433" s="614">
        <v>517059.13</v>
      </c>
      <c r="F433" s="615">
        <v>403921.34</v>
      </c>
      <c r="N433" s="709"/>
      <c r="O433" s="709"/>
      <c r="P433" s="709"/>
      <c r="Q433" s="709"/>
      <c r="R433" s="709"/>
      <c r="T433" s="613">
        <v>142268.43918791175</v>
      </c>
      <c r="U433" s="614">
        <v>111138.65911052052</v>
      </c>
      <c r="V433" s="614">
        <v>179090.85874243008</v>
      </c>
      <c r="W433" s="615">
        <v>139903.95911559643</v>
      </c>
      <c r="Z433" s="613">
        <v>162192.71301837458</v>
      </c>
      <c r="AA433" s="614">
        <v>126703.29937724683</v>
      </c>
      <c r="AB433" s="614">
        <v>204172.00344665977</v>
      </c>
      <c r="AC433" s="615">
        <v>159497.09451018131</v>
      </c>
      <c r="AF433" s="613">
        <v>227066.11</v>
      </c>
      <c r="AG433" s="614">
        <v>177381.74</v>
      </c>
      <c r="AH433" s="614">
        <v>285836.15999999997</v>
      </c>
      <c r="AI433" s="615">
        <v>223292.31</v>
      </c>
      <c r="AL433" s="613">
        <v>256586.06025317792</v>
      </c>
      <c r="AM433" s="614">
        <v>200442.42311060944</v>
      </c>
      <c r="AN433" s="614">
        <v>322996.56996576511</v>
      </c>
      <c r="AO433" s="615">
        <v>252321.63850394366</v>
      </c>
      <c r="AR433" s="613">
        <v>262999.24</v>
      </c>
      <c r="AS433" s="614">
        <v>205452.34</v>
      </c>
      <c r="AT433" s="614">
        <v>331069.64</v>
      </c>
      <c r="AU433" s="615">
        <v>258628.24</v>
      </c>
    </row>
    <row r="434" spans="1:47" ht="13" hidden="1">
      <c r="A434" s="609">
        <v>98</v>
      </c>
      <c r="B434" s="624" t="str">
        <f t="shared" si="37"/>
        <v>98B</v>
      </c>
      <c r="C434" s="613">
        <v>410747.91</v>
      </c>
      <c r="D434" s="614">
        <v>320872.09000000003</v>
      </c>
      <c r="E434" s="614">
        <v>517059.13</v>
      </c>
      <c r="F434" s="615">
        <v>403921.34</v>
      </c>
      <c r="N434" s="709"/>
      <c r="O434" s="709"/>
      <c r="P434" s="709"/>
      <c r="Q434" s="709"/>
      <c r="R434" s="709"/>
      <c r="T434" s="613">
        <v>142268.43918791175</v>
      </c>
      <c r="U434" s="614">
        <v>111138.65911052052</v>
      </c>
      <c r="V434" s="614">
        <v>179090.85874243008</v>
      </c>
      <c r="W434" s="615">
        <v>139903.95911559643</v>
      </c>
      <c r="Z434" s="613">
        <v>162192.71301837458</v>
      </c>
      <c r="AA434" s="614">
        <v>126703.29937724683</v>
      </c>
      <c r="AB434" s="614">
        <v>204172.00344665977</v>
      </c>
      <c r="AC434" s="615">
        <v>159497.09451018131</v>
      </c>
      <c r="AF434" s="613">
        <v>227066.11</v>
      </c>
      <c r="AG434" s="614">
        <v>177381.74</v>
      </c>
      <c r="AH434" s="614">
        <v>285836.15999999997</v>
      </c>
      <c r="AI434" s="615">
        <v>223292.31</v>
      </c>
      <c r="AL434" s="613">
        <v>256586.06025317792</v>
      </c>
      <c r="AM434" s="614">
        <v>200442.42311060944</v>
      </c>
      <c r="AN434" s="614">
        <v>322996.56996576511</v>
      </c>
      <c r="AO434" s="615">
        <v>252321.63850394366</v>
      </c>
      <c r="AR434" s="613">
        <v>262999.24</v>
      </c>
      <c r="AS434" s="614">
        <v>205452.34</v>
      </c>
      <c r="AT434" s="614">
        <v>331069.64</v>
      </c>
      <c r="AU434" s="615">
        <v>258628.24</v>
      </c>
    </row>
    <row r="435" spans="1:47" ht="13" hidden="1">
      <c r="A435" s="609">
        <v>99</v>
      </c>
      <c r="B435" s="624" t="str">
        <f t="shared" si="37"/>
        <v>99B</v>
      </c>
      <c r="C435" s="613">
        <v>410747.91</v>
      </c>
      <c r="D435" s="614">
        <v>320872.09000000003</v>
      </c>
      <c r="E435" s="614">
        <v>517059.13</v>
      </c>
      <c r="F435" s="615">
        <v>403921.34</v>
      </c>
      <c r="N435" s="709"/>
      <c r="O435" s="709"/>
      <c r="P435" s="709"/>
      <c r="Q435" s="709"/>
      <c r="R435" s="709"/>
      <c r="T435" s="613">
        <v>142268.43918791175</v>
      </c>
      <c r="U435" s="614">
        <v>111138.65911052052</v>
      </c>
      <c r="V435" s="614">
        <v>179090.85874243008</v>
      </c>
      <c r="W435" s="615">
        <v>139903.95911559643</v>
      </c>
      <c r="Z435" s="613">
        <v>162192.71301837458</v>
      </c>
      <c r="AA435" s="614">
        <v>126703.29937724683</v>
      </c>
      <c r="AB435" s="614">
        <v>204172.00344665977</v>
      </c>
      <c r="AC435" s="615">
        <v>159497.09451018131</v>
      </c>
      <c r="AF435" s="613">
        <v>227066.11</v>
      </c>
      <c r="AG435" s="614">
        <v>177381.74</v>
      </c>
      <c r="AH435" s="614">
        <v>285836.15999999997</v>
      </c>
      <c r="AI435" s="615">
        <v>223292.31</v>
      </c>
      <c r="AL435" s="613">
        <v>256586.06025317792</v>
      </c>
      <c r="AM435" s="614">
        <v>200442.42311060944</v>
      </c>
      <c r="AN435" s="614">
        <v>322996.56996576511</v>
      </c>
      <c r="AO435" s="615">
        <v>252321.63850394366</v>
      </c>
      <c r="AR435" s="613">
        <v>262999.24</v>
      </c>
      <c r="AS435" s="614">
        <v>205452.34</v>
      </c>
      <c r="AT435" s="614">
        <v>331069.64</v>
      </c>
      <c r="AU435" s="615">
        <v>258628.24</v>
      </c>
    </row>
    <row r="436" spans="1:47" ht="13" hidden="1">
      <c r="A436" s="616">
        <v>100</v>
      </c>
      <c r="B436" s="624" t="str">
        <f>+CONCATENATE(A436,$B$334)</f>
        <v>100B</v>
      </c>
      <c r="C436" s="617">
        <v>410747.91</v>
      </c>
      <c r="D436" s="618">
        <v>320872.09000000003</v>
      </c>
      <c r="E436" s="618">
        <v>517059.13</v>
      </c>
      <c r="F436" s="619">
        <v>403921.34</v>
      </c>
      <c r="N436" s="709"/>
      <c r="O436" s="709"/>
      <c r="P436" s="709"/>
      <c r="Q436" s="709"/>
      <c r="R436" s="709"/>
      <c r="T436" s="617">
        <v>142268.43918791175</v>
      </c>
      <c r="U436" s="618">
        <v>111138.65911052052</v>
      </c>
      <c r="V436" s="618">
        <v>179090.85874243008</v>
      </c>
      <c r="W436" s="619">
        <v>139903.95911559643</v>
      </c>
      <c r="Z436" s="617">
        <v>162192.71301837458</v>
      </c>
      <c r="AA436" s="618">
        <v>126703.29937724683</v>
      </c>
      <c r="AB436" s="618">
        <v>204172.00344665977</v>
      </c>
      <c r="AC436" s="619">
        <v>159497.09451018131</v>
      </c>
      <c r="AF436" s="617">
        <v>227066.11</v>
      </c>
      <c r="AG436" s="618">
        <v>177381.74</v>
      </c>
      <c r="AH436" s="618">
        <v>285836.15999999997</v>
      </c>
      <c r="AI436" s="619">
        <v>223292.31</v>
      </c>
      <c r="AL436" s="617">
        <v>256586.06025317792</v>
      </c>
      <c r="AM436" s="618">
        <v>200442.42311060944</v>
      </c>
      <c r="AN436" s="618">
        <v>322996.56996576511</v>
      </c>
      <c r="AO436" s="619">
        <v>252321.63850394366</v>
      </c>
      <c r="AR436" s="617">
        <v>262999.24</v>
      </c>
      <c r="AS436" s="618">
        <v>205452.34</v>
      </c>
      <c r="AT436" s="618">
        <v>331069.64</v>
      </c>
      <c r="AU436" s="619">
        <v>258628.24</v>
      </c>
    </row>
  </sheetData>
  <sheetProtection algorithmName="SHA-512" hashValue="TpJVm2prOP63c3m/ek6lbcJ/+UckNSfV20Y24Y1uRfcZIhhMR2nwK0CVQAuJfdct2HiBgzFKWBFRu88ojSbRzQ==" saltValue="6Gfr2zhGzOcqm6NKJkHOpA==" spinCount="100000" sheet="1" selectLockedCells="1" selectUnlockedCells="1"/>
  <mergeCells count="11">
    <mergeCell ref="L32:M32"/>
    <mergeCell ref="I32:J32"/>
    <mergeCell ref="D36:E36"/>
    <mergeCell ref="C1:D1"/>
    <mergeCell ref="E5:F5"/>
    <mergeCell ref="E9:F9"/>
    <mergeCell ref="B36:C36"/>
    <mergeCell ref="A1:B1"/>
    <mergeCell ref="E1:F1"/>
    <mergeCell ref="C7:D7"/>
    <mergeCell ref="C15:D15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O298"/>
  <sheetViews>
    <sheetView showOutlineSymbols="0" workbookViewId="0"/>
  </sheetViews>
  <sheetFormatPr baseColWidth="10" defaultColWidth="11.453125" defaultRowHeight="12.5" zeroHeight="1"/>
  <cols>
    <col min="1" max="1" width="4.54296875" style="3" customWidth="1"/>
    <col min="2" max="2" width="6.1796875" style="3" hidden="1" customWidth="1"/>
    <col min="3" max="3" width="1.7265625" style="3" hidden="1" customWidth="1"/>
    <col min="4" max="4" width="13.54296875" style="3" hidden="1" customWidth="1"/>
    <col min="5" max="5" width="16.26953125" style="3" hidden="1" customWidth="1"/>
    <col min="6" max="6" width="13" style="3" hidden="1" customWidth="1"/>
    <col min="7" max="9" width="12.7265625" style="3" hidden="1" customWidth="1"/>
    <col min="10" max="11" width="12.81640625" style="3" hidden="1" customWidth="1"/>
    <col min="12" max="12" width="10" style="3" hidden="1" customWidth="1"/>
    <col min="13" max="13" width="15.26953125" hidden="1" customWidth="1"/>
    <col min="14" max="14" width="27.453125" hidden="1" customWidth="1"/>
    <col min="15" max="15" width="11.453125" hidden="1" customWidth="1"/>
    <col min="16" max="16" width="14.81640625" hidden="1" customWidth="1"/>
    <col min="17" max="17" width="13.7265625" hidden="1" customWidth="1"/>
    <col min="18" max="18" width="24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11.453125" style="3" hidden="1" customWidth="1"/>
    <col min="42" max="50" width="11.453125" style="3" customWidth="1"/>
    <col min="51" max="16384" width="11.453125" style="3"/>
  </cols>
  <sheetData>
    <row r="1" spans="2:19">
      <c r="B1" s="56" t="s">
        <v>31</v>
      </c>
      <c r="C1" s="53"/>
      <c r="D1" s="53"/>
      <c r="E1" s="53"/>
      <c r="F1" s="53"/>
      <c r="G1" s="45"/>
      <c r="I1" s="118" t="s">
        <v>52</v>
      </c>
      <c r="J1" s="125"/>
      <c r="K1" s="125"/>
      <c r="N1" s="662" t="s">
        <v>331</v>
      </c>
      <c r="O1" s="663">
        <v>68.09</v>
      </c>
      <c r="R1" s="662" t="s">
        <v>332</v>
      </c>
      <c r="S1" s="663">
        <v>119.08</v>
      </c>
    </row>
    <row r="2" spans="2:19" ht="14.25" hidden="1" customHeight="1">
      <c r="G2" s="4"/>
      <c r="I2" s="736" t="str">
        <f>IF(ISERROR(VLOOKUP(E3,VALORES!$A$6:$B$11,2,FALSE)),"REGION NO VALIDA",VLOOKUP(E3,VALORES!$A$6:$B$11,2,FALSE))</f>
        <v>BAJA CALIFORNIA, BAJA CALIFORNIA SUR, MORELOS, QUERETARO, SAN LUIS POTOSI, SINALOA, SONORA</v>
      </c>
      <c r="J2" s="736"/>
      <c r="N2" s="664" t="s">
        <v>333</v>
      </c>
      <c r="O2" s="665">
        <v>0.66</v>
      </c>
      <c r="R2" s="664" t="s">
        <v>333</v>
      </c>
      <c r="S2" s="665">
        <v>0.7</v>
      </c>
    </row>
    <row r="3" spans="2:19" ht="13" hidden="1" thickBot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180" t="s">
        <v>25</v>
      </c>
      <c r="I3" s="736"/>
      <c r="J3" s="736"/>
      <c r="N3" s="666"/>
      <c r="O3" s="667">
        <f>ROUND((O1/(1-O2)),2)</f>
        <v>200.26</v>
      </c>
      <c r="R3" s="666"/>
      <c r="S3" s="667">
        <f>ROUND((S1/(1-S2)),2)</f>
        <v>396.93</v>
      </c>
    </row>
    <row r="4" spans="2:19" ht="10.5" hidden="1" customHeight="1" thickBot="1">
      <c r="E4" s="165"/>
      <c r="F4" s="44"/>
      <c r="G4" s="4"/>
      <c r="I4" s="736"/>
      <c r="J4" s="736"/>
      <c r="R4"/>
    </row>
    <row r="5" spans="2:19" hidden="1">
      <c r="B5" s="47" t="s">
        <v>12</v>
      </c>
      <c r="C5" s="48"/>
      <c r="D5" s="48"/>
      <c r="E5" s="195">
        <f>+COTIZACION!D11</f>
        <v>100000000</v>
      </c>
      <c r="F5" s="44"/>
      <c r="G5" s="324">
        <f>VLOOKUP(E5,FACTORES!$I$33:$J$124,2)</f>
        <v>1.53</v>
      </c>
      <c r="I5" s="736"/>
      <c r="J5" s="736"/>
      <c r="N5" s="662" t="s">
        <v>334</v>
      </c>
      <c r="O5" s="663">
        <v>48.6</v>
      </c>
      <c r="R5"/>
    </row>
    <row r="6" spans="2:19" hidden="1">
      <c r="B6" s="47" t="s">
        <v>13</v>
      </c>
      <c r="C6" s="48"/>
      <c r="D6" s="48"/>
      <c r="E6" s="166">
        <f>+COTIZACION!D12</f>
        <v>12000</v>
      </c>
      <c r="F6" s="44"/>
      <c r="G6" s="721">
        <f>VLOOKUP(E6,FACTORES!$A$2:$B$29,2,0)</f>
        <v>0.84499999999999997</v>
      </c>
      <c r="I6" s="736"/>
      <c r="J6" s="736"/>
      <c r="N6" s="664" t="s">
        <v>333</v>
      </c>
      <c r="O6" s="665">
        <v>0.66</v>
      </c>
      <c r="R6"/>
    </row>
    <row r="7" spans="2:19" ht="13" hidden="1" thickBot="1">
      <c r="B7" s="323" t="s">
        <v>170</v>
      </c>
      <c r="C7" s="322"/>
      <c r="D7" s="322"/>
      <c r="E7" s="166" t="str">
        <f>+COTIZACION!D16</f>
        <v>NO</v>
      </c>
      <c r="F7" s="44"/>
      <c r="G7" s="264">
        <f>IF(H7="SI",VLOOKUP(E6,FACTORES!I5:J18,2,0),0)</f>
        <v>0</v>
      </c>
      <c r="H7" s="3" t="str">
        <f>+IF(COTIZACION!D12&gt;50000,"NO",COTIZACION!D16)</f>
        <v>NO</v>
      </c>
      <c r="I7" s="736"/>
      <c r="J7" s="736"/>
      <c r="N7" s="666"/>
      <c r="O7" s="668">
        <f>ROUND((O5/(1-O6)),2)</f>
        <v>142.94</v>
      </c>
      <c r="R7"/>
    </row>
    <row r="8" spans="2:19" hidden="1">
      <c r="B8" s="47" t="s">
        <v>14</v>
      </c>
      <c r="C8" s="48"/>
      <c r="D8" s="48"/>
      <c r="E8" s="166">
        <f>+COTIZACION!D13</f>
        <v>0.1</v>
      </c>
      <c r="F8" s="84"/>
      <c r="G8" s="325">
        <f>VLOOKUP(E8,FACTORES!$C$2:$D$6,2)</f>
        <v>1</v>
      </c>
      <c r="H8" s="81"/>
      <c r="I8" s="736"/>
      <c r="J8" s="736"/>
    </row>
    <row r="9" spans="2:19" ht="11.25" hidden="1" customHeight="1">
      <c r="B9" s="47" t="s">
        <v>100</v>
      </c>
      <c r="C9" s="48"/>
      <c r="D9" s="48"/>
      <c r="E9" s="166"/>
      <c r="F9" s="84"/>
      <c r="G9" s="326"/>
      <c r="H9" s="4"/>
      <c r="I9" s="736"/>
      <c r="J9" s="736"/>
      <c r="M9" s="655"/>
      <c r="N9" s="656"/>
      <c r="O9" s="220"/>
    </row>
    <row r="10" spans="2:19" ht="11.25" hidden="1" customHeight="1">
      <c r="B10" s="47" t="s">
        <v>125</v>
      </c>
      <c r="C10" s="48"/>
      <c r="D10" s="48"/>
      <c r="E10" s="225">
        <f>+COTIZACION!D17</f>
        <v>15000</v>
      </c>
      <c r="F10" s="84"/>
      <c r="G10" s="178"/>
      <c r="H10" s="4"/>
      <c r="I10" s="224"/>
      <c r="J10" s="224"/>
      <c r="M10" s="655"/>
      <c r="N10" s="656"/>
      <c r="O10" s="220"/>
    </row>
    <row r="11" spans="2:19" ht="11.25" hidden="1" customHeight="1">
      <c r="B11" s="47" t="s">
        <v>151</v>
      </c>
      <c r="C11" s="48"/>
      <c r="D11" s="48"/>
      <c r="E11" s="275" t="str">
        <f>+COTIZACION!D19</f>
        <v>NO</v>
      </c>
      <c r="F11" s="84"/>
      <c r="G11" s="321">
        <f>IF(E11="NO",0,IF(SUM(COTIZACION!A27:A34)&gt;=1,VLOOKUP(E11,FACTORES!$L$33:$M$55,2,0)*(1-DESC),0))</f>
        <v>0</v>
      </c>
      <c r="H11" s="4"/>
      <c r="I11" s="224"/>
      <c r="J11" s="224"/>
      <c r="M11" s="655"/>
      <c r="N11" s="656"/>
      <c r="O11" s="220"/>
    </row>
    <row r="12" spans="2:19" ht="11.25" hidden="1" customHeight="1">
      <c r="B12" s="47" t="s">
        <v>169</v>
      </c>
      <c r="C12" s="48"/>
      <c r="D12" s="48"/>
      <c r="E12" s="313" t="str">
        <f>+COTIZACION!D18</f>
        <v>NO</v>
      </c>
      <c r="F12" s="84"/>
      <c r="G12" s="181">
        <f>IF(E12="NO",0,G23)</f>
        <v>0</v>
      </c>
      <c r="H12" s="4"/>
      <c r="I12" s="224"/>
      <c r="J12" s="224"/>
      <c r="M12" s="655"/>
      <c r="N12" s="656"/>
      <c r="O12" s="220"/>
    </row>
    <row r="13" spans="2:19" hidden="1">
      <c r="E13" s="167"/>
      <c r="F13" s="85" t="s">
        <v>24</v>
      </c>
      <c r="H13" s="82"/>
      <c r="I13" s="117"/>
      <c r="J13" s="117"/>
      <c r="L13" s="675"/>
      <c r="M13" s="220"/>
      <c r="O13" s="3"/>
      <c r="P13" s="675"/>
      <c r="S13" s="50" t="s">
        <v>37</v>
      </c>
    </row>
    <row r="14" spans="2:19" ht="12.75" hidden="1" customHeight="1">
      <c r="B14" s="47" t="s">
        <v>42</v>
      </c>
      <c r="C14" s="48"/>
      <c r="D14" s="48"/>
      <c r="E14" s="164"/>
      <c r="F14" s="164"/>
      <c r="G14" s="327"/>
      <c r="H14" s="82"/>
      <c r="I14" s="311"/>
      <c r="J14" s="311"/>
      <c r="L14" s="675"/>
      <c r="M14" s="220"/>
      <c r="O14" s="3"/>
      <c r="P14" s="675"/>
      <c r="S14" s="50" t="s">
        <v>36</v>
      </c>
    </row>
    <row r="15" spans="2:19" ht="12.75" hidden="1" customHeight="1">
      <c r="B15" s="47" t="s">
        <v>43</v>
      </c>
      <c r="C15" s="48"/>
      <c r="D15" s="48"/>
      <c r="E15" s="164"/>
      <c r="F15" s="164"/>
      <c r="G15" s="328"/>
      <c r="H15" s="82"/>
      <c r="I15" s="311"/>
      <c r="J15" s="311"/>
      <c r="L15" s="675"/>
      <c r="M15" s="220"/>
      <c r="O15" s="3"/>
      <c r="P15" s="675"/>
      <c r="S15" s="50"/>
    </row>
    <row r="16" spans="2:19" ht="21" hidden="1" customHeight="1">
      <c r="B16" s="2" t="s">
        <v>24</v>
      </c>
      <c r="D16" s="2"/>
      <c r="E16" s="2"/>
      <c r="F16" s="51"/>
      <c r="G16" s="52">
        <f>+COTIZACION!D15</f>
        <v>5</v>
      </c>
      <c r="H16" s="266"/>
      <c r="I16" s="311"/>
      <c r="J16" s="311"/>
      <c r="K16" s="711"/>
    </row>
    <row r="17" spans="2:21" hidden="1">
      <c r="B17" s="47" t="s">
        <v>15</v>
      </c>
      <c r="C17" s="48"/>
      <c r="D17" s="48"/>
      <c r="E17" s="164">
        <f>+COTIZACION!C21</f>
        <v>0</v>
      </c>
      <c r="F17" s="44"/>
      <c r="G17" s="182">
        <v>0</v>
      </c>
      <c r="I17" s="311"/>
      <c r="J17" s="311"/>
      <c r="K17" s="710"/>
      <c r="N17" s="670" t="s">
        <v>335</v>
      </c>
      <c r="O17" s="680">
        <v>795.65012923129018</v>
      </c>
      <c r="P17" s="682">
        <v>0.41000000000000003</v>
      </c>
      <c r="Q17" s="219">
        <v>617.90039999999999</v>
      </c>
    </row>
    <row r="18" spans="2:21" hidden="1">
      <c r="B18" s="2" t="s">
        <v>213</v>
      </c>
      <c r="C18" s="2"/>
      <c r="D18" s="2"/>
      <c r="E18" s="329"/>
      <c r="F18" s="84">
        <v>0.17</v>
      </c>
      <c r="G18" s="486">
        <f>(433.18*(1-DESC))*1.14*0+K18*(1-DESC)</f>
        <v>800.93</v>
      </c>
      <c r="H18" s="3" t="s">
        <v>267</v>
      </c>
      <c r="I18" s="311"/>
      <c r="J18" s="712"/>
      <c r="K18" s="673">
        <f>ROUND(M18,2)</f>
        <v>800.93</v>
      </c>
      <c r="L18" s="3">
        <f>240.28*1.14*1.14</f>
        <v>312.26788799999997</v>
      </c>
      <c r="M18" s="219">
        <v>800.93</v>
      </c>
      <c r="N18" s="679" t="s">
        <v>336</v>
      </c>
      <c r="O18" s="676">
        <v>0</v>
      </c>
      <c r="P18" s="681">
        <f>1-P17</f>
        <v>0.59</v>
      </c>
      <c r="S18" s="669">
        <v>493.82519999999994</v>
      </c>
      <c r="T18" s="683">
        <f>(M18/S18)-1</f>
        <v>0.62188968890206509</v>
      </c>
    </row>
    <row r="19" spans="2:21" hidden="1">
      <c r="B19" s="60" t="s">
        <v>167</v>
      </c>
      <c r="C19" s="2"/>
      <c r="D19" s="2"/>
      <c r="E19" s="329"/>
      <c r="F19" s="84">
        <v>0.14000000000000001</v>
      </c>
      <c r="G19" s="258">
        <f>288*0+181.98*0+208.25*0+K19*(1-DESC)</f>
        <v>200.26</v>
      </c>
      <c r="I19" s="311"/>
      <c r="J19" s="712"/>
      <c r="K19" s="673">
        <f>ROUND(O3,2)</f>
        <v>200.26</v>
      </c>
      <c r="M19" s="675"/>
      <c r="N19" s="679" t="s">
        <v>337</v>
      </c>
      <c r="O19" s="676">
        <v>48.98</v>
      </c>
      <c r="P19" s="671"/>
      <c r="S19" s="669">
        <v>208.25</v>
      </c>
      <c r="T19" s="683">
        <f t="shared" ref="T19:T23" si="0">(K19/S19)-1</f>
        <v>-3.8367346938775526E-2</v>
      </c>
    </row>
    <row r="20" spans="2:21" hidden="1">
      <c r="B20" s="60" t="s">
        <v>166</v>
      </c>
      <c r="C20" s="2"/>
      <c r="D20" s="2"/>
      <c r="E20" s="329"/>
      <c r="F20" s="84">
        <v>0.17</v>
      </c>
      <c r="G20" s="258">
        <f>(528.12*(1-DESC))*1.17*0+K20*(1-DESC)</f>
        <v>1348.56</v>
      </c>
      <c r="I20" s="311"/>
      <c r="J20" s="712"/>
      <c r="K20" s="673">
        <f>ROUND(M21,2)</f>
        <v>1348.56</v>
      </c>
      <c r="N20" s="679" t="s">
        <v>337</v>
      </c>
      <c r="O20" s="676">
        <v>0</v>
      </c>
      <c r="P20" s="671"/>
      <c r="S20" s="669">
        <v>617.90039999999999</v>
      </c>
      <c r="T20" s="683">
        <f t="shared" si="0"/>
        <v>1.1824876630602601</v>
      </c>
    </row>
    <row r="21" spans="2:21" hidden="1">
      <c r="B21" s="60" t="s">
        <v>168</v>
      </c>
      <c r="C21" s="2"/>
      <c r="D21" s="2"/>
      <c r="E21" s="329"/>
      <c r="F21" s="84">
        <v>0.14000000000000001</v>
      </c>
      <c r="G21" s="306">
        <f>153.74*0+174.32*0+K21*(1-DESC)</f>
        <v>142.94</v>
      </c>
      <c r="I21" s="311"/>
      <c r="J21" s="712"/>
      <c r="K21" s="673">
        <f>ROUND(O7,2)</f>
        <v>142.94</v>
      </c>
      <c r="M21" s="219">
        <f>ROUND(O17/P18,2)</f>
        <v>1348.56</v>
      </c>
      <c r="N21" s="679" t="s">
        <v>338</v>
      </c>
      <c r="O21" s="676">
        <v>8.16</v>
      </c>
      <c r="P21" s="671"/>
      <c r="Q21" s="675">
        <f>(M21/Q17)-1</f>
        <v>1.1824876630602601</v>
      </c>
      <c r="S21" s="669">
        <v>174.32</v>
      </c>
      <c r="T21" s="683">
        <f t="shared" si="0"/>
        <v>-0.18001376778338685</v>
      </c>
    </row>
    <row r="22" spans="2:21" hidden="1">
      <c r="B22" s="60" t="s">
        <v>161</v>
      </c>
      <c r="C22" s="2"/>
      <c r="D22" s="2"/>
      <c r="E22" s="329"/>
      <c r="F22" s="44"/>
      <c r="G22" s="306">
        <f>88*(1-DESC)*0</f>
        <v>0</v>
      </c>
      <c r="I22" s="311"/>
      <c r="J22" s="712"/>
      <c r="K22" s="673"/>
      <c r="M22" s="219"/>
      <c r="N22" s="679" t="s">
        <v>339</v>
      </c>
      <c r="O22" s="676">
        <v>0</v>
      </c>
      <c r="P22" s="671"/>
      <c r="S22" s="669">
        <v>0</v>
      </c>
      <c r="T22" s="683"/>
    </row>
    <row r="23" spans="2:21" ht="13" hidden="1" thickBot="1">
      <c r="B23" s="3" t="s">
        <v>172</v>
      </c>
      <c r="G23" s="306">
        <f>206.61*0+K23*(1-DESC)</f>
        <v>396.93</v>
      </c>
      <c r="H23" s="52"/>
      <c r="J23" s="669"/>
      <c r="K23" s="674">
        <f>ROUND(S3,2)</f>
        <v>396.93</v>
      </c>
      <c r="M23" s="675"/>
      <c r="N23" s="679" t="s">
        <v>340</v>
      </c>
      <c r="O23" s="676">
        <v>0</v>
      </c>
      <c r="P23" s="671"/>
      <c r="S23" s="669">
        <v>206.61</v>
      </c>
      <c r="T23" s="683">
        <f t="shared" si="0"/>
        <v>0.92115580078408588</v>
      </c>
    </row>
    <row r="24" spans="2:21" ht="12.75" hidden="1" customHeight="1" thickTop="1">
      <c r="B24" s="88"/>
      <c r="C24" s="146"/>
      <c r="D24" s="742" t="s">
        <v>45</v>
      </c>
      <c r="E24" s="743"/>
      <c r="F24" s="744" t="s">
        <v>46</v>
      </c>
      <c r="G24" s="743"/>
      <c r="H24" s="95" t="s">
        <v>41</v>
      </c>
      <c r="I24" s="92">
        <f>G17</f>
        <v>0</v>
      </c>
      <c r="J24" s="740" t="s">
        <v>39</v>
      </c>
      <c r="K24" s="741"/>
      <c r="L24" s="100"/>
      <c r="N24" s="679" t="s">
        <v>341</v>
      </c>
      <c r="O24" s="676">
        <v>0</v>
      </c>
      <c r="P24" s="671"/>
    </row>
    <row r="25" spans="2:21" ht="12.75" hidden="1" customHeight="1">
      <c r="B25" s="151"/>
      <c r="C25" s="150"/>
      <c r="D25" s="739" t="s">
        <v>44</v>
      </c>
      <c r="E25" s="738"/>
      <c r="F25" s="737" t="s">
        <v>44</v>
      </c>
      <c r="G25" s="738"/>
      <c r="H25" s="96" t="s">
        <v>38</v>
      </c>
      <c r="I25" s="265">
        <v>850</v>
      </c>
      <c r="J25" s="90" t="s">
        <v>40</v>
      </c>
      <c r="K25" s="168">
        <f>+COTIZACION!D20</f>
        <v>0.16</v>
      </c>
      <c r="L25" s="101"/>
      <c r="N25" s="745" t="s">
        <v>342</v>
      </c>
      <c r="O25" s="677">
        <v>10.39</v>
      </c>
      <c r="P25" s="671"/>
    </row>
    <row r="26" spans="2:21" ht="12.75" hidden="1" customHeight="1" thickBot="1">
      <c r="B26" s="734" t="s">
        <v>9</v>
      </c>
      <c r="C26" s="735"/>
      <c r="D26" s="314" t="s">
        <v>16</v>
      </c>
      <c r="E26" s="315" t="s">
        <v>17</v>
      </c>
      <c r="F26" s="94" t="s">
        <v>16</v>
      </c>
      <c r="G26" s="315" t="s">
        <v>17</v>
      </c>
      <c r="H26" s="316" t="s">
        <v>16</v>
      </c>
      <c r="I26" s="91" t="s">
        <v>17</v>
      </c>
      <c r="J26" s="316" t="s">
        <v>16</v>
      </c>
      <c r="K26" s="91" t="s">
        <v>17</v>
      </c>
      <c r="L26" s="100"/>
      <c r="N26" s="745"/>
      <c r="O26" s="677">
        <v>13.5</v>
      </c>
      <c r="P26" s="671"/>
    </row>
    <row r="27" spans="2:21" ht="15" hidden="1" customHeight="1" thickTop="1" thickBot="1">
      <c r="B27" s="152">
        <v>0</v>
      </c>
      <c r="C27" s="147"/>
      <c r="D27" s="317">
        <f>FACTORES!F39</f>
        <v>13061.3</v>
      </c>
      <c r="E27" s="317">
        <f>FACTORES!G39</f>
        <v>13116.05</v>
      </c>
      <c r="F27" s="318">
        <f t="shared" ref="F27:F44" si="1">ROUND(D27*$G$5*$G$6*$G$8,2)+ADIC+DENTAL+ENFGVES+IKE+CVISION+DEDXACC</f>
        <v>18578.059999999998</v>
      </c>
      <c r="G27" s="318">
        <f t="shared" ref="G27:G44" si="2">ROUND(E27*$G$5*$G$6*$G$8,2)+ADIC+DENTAL+ENFGVES+IKE+CVISION+DEDXACC</f>
        <v>18648.849999999999</v>
      </c>
      <c r="H27" s="318">
        <f>(F27*(1+$I$24))+$I$25</f>
        <v>19428.059999999998</v>
      </c>
      <c r="I27" s="318">
        <f>(G27*(1+$I$24))+$I$25</f>
        <v>19498.849999999999</v>
      </c>
      <c r="J27" s="318">
        <f>H27*(1+$K$25)</f>
        <v>22536.549599999995</v>
      </c>
      <c r="K27" s="318">
        <f>I27*(1+$K$25)</f>
        <v>22618.665999999997</v>
      </c>
      <c r="L27" s="102"/>
      <c r="M27" s="220"/>
      <c r="N27" s="745"/>
      <c r="O27" s="677">
        <v>13.5</v>
      </c>
      <c r="P27" s="671"/>
      <c r="T27" s="266"/>
      <c r="U27" s="266"/>
    </row>
    <row r="28" spans="2:21" ht="15" hidden="1" customHeight="1" thickTop="1">
      <c r="B28" s="153">
        <f>+B27+1</f>
        <v>1</v>
      </c>
      <c r="C28" s="148"/>
      <c r="D28" s="319">
        <f>FACTORES!F40</f>
        <v>13061.3</v>
      </c>
      <c r="E28" s="319">
        <f>FACTORES!G40</f>
        <v>13116.05</v>
      </c>
      <c r="F28" s="318">
        <f t="shared" si="1"/>
        <v>18578.059999999998</v>
      </c>
      <c r="G28" s="318">
        <f t="shared" si="2"/>
        <v>18648.849999999999</v>
      </c>
      <c r="H28" s="319">
        <f t="shared" ref="H28:H91" si="3">(F28*(1+$I$24))+$I$25</f>
        <v>19428.059999999998</v>
      </c>
      <c r="I28" s="319">
        <f t="shared" ref="I28:I91" si="4">(G28*(1+$I$24))+$I$25</f>
        <v>19498.849999999999</v>
      </c>
      <c r="J28" s="319">
        <f t="shared" ref="J28:J91" si="5">H28*(1+$K$25)</f>
        <v>22536.549599999995</v>
      </c>
      <c r="K28" s="319">
        <f t="shared" ref="K28:K91" si="6">I28*(1+$K$25)</f>
        <v>22618.665999999997</v>
      </c>
      <c r="L28" s="102"/>
      <c r="M28" s="220"/>
      <c r="N28" s="745"/>
      <c r="O28" s="677">
        <v>20.5</v>
      </c>
      <c r="P28" s="671"/>
      <c r="T28" s="266"/>
      <c r="U28" s="266"/>
    </row>
    <row r="29" spans="2:21" ht="15" hidden="1" customHeight="1">
      <c r="B29" s="153">
        <f t="shared" ref="B29:B92" si="7">+B28+1</f>
        <v>2</v>
      </c>
      <c r="C29" s="148"/>
      <c r="D29" s="319">
        <f>FACTORES!F41</f>
        <v>13061.3</v>
      </c>
      <c r="E29" s="319">
        <f>FACTORES!G41</f>
        <v>13116.05</v>
      </c>
      <c r="F29" s="319">
        <f t="shared" si="1"/>
        <v>18578.059999999998</v>
      </c>
      <c r="G29" s="319">
        <f t="shared" si="2"/>
        <v>18648.849999999999</v>
      </c>
      <c r="H29" s="319">
        <f t="shared" si="3"/>
        <v>19428.059999999998</v>
      </c>
      <c r="I29" s="319">
        <f t="shared" si="4"/>
        <v>19498.849999999999</v>
      </c>
      <c r="J29" s="319">
        <f t="shared" si="5"/>
        <v>22536.549599999995</v>
      </c>
      <c r="K29" s="319">
        <f t="shared" si="6"/>
        <v>22618.665999999997</v>
      </c>
      <c r="L29" s="102"/>
      <c r="M29" s="220"/>
      <c r="N29" s="745"/>
      <c r="O29" s="677">
        <v>56</v>
      </c>
      <c r="P29" s="671"/>
      <c r="T29" s="266"/>
      <c r="U29" s="266"/>
    </row>
    <row r="30" spans="2:21" s="58" customFormat="1" ht="15" hidden="1" customHeight="1">
      <c r="B30" s="153">
        <f t="shared" si="7"/>
        <v>3</v>
      </c>
      <c r="C30" s="148"/>
      <c r="D30" s="319">
        <f>FACTORES!F42</f>
        <v>13061.3</v>
      </c>
      <c r="E30" s="319">
        <f>FACTORES!G42</f>
        <v>13116.05</v>
      </c>
      <c r="F30" s="319">
        <f t="shared" si="1"/>
        <v>18578.059999999998</v>
      </c>
      <c r="G30" s="319">
        <f t="shared" si="2"/>
        <v>18648.849999999999</v>
      </c>
      <c r="H30" s="319">
        <f t="shared" si="3"/>
        <v>19428.059999999998</v>
      </c>
      <c r="I30" s="319">
        <f t="shared" si="4"/>
        <v>19498.849999999999</v>
      </c>
      <c r="J30" s="319">
        <f t="shared" si="5"/>
        <v>22536.549599999995</v>
      </c>
      <c r="K30" s="319">
        <f t="shared" si="6"/>
        <v>22618.665999999997</v>
      </c>
      <c r="L30" s="102"/>
      <c r="M30" s="220"/>
      <c r="N30" s="745"/>
      <c r="O30" s="685">
        <v>7.8E-2</v>
      </c>
      <c r="P30" s="671"/>
      <c r="Q30"/>
      <c r="R30" s="3"/>
      <c r="S30" s="3"/>
      <c r="T30" s="266"/>
      <c r="U30" s="266"/>
    </row>
    <row r="31" spans="2:21" s="58" customFormat="1" ht="15" hidden="1" customHeight="1">
      <c r="B31" s="153">
        <f t="shared" si="7"/>
        <v>4</v>
      </c>
      <c r="C31" s="148"/>
      <c r="D31" s="319">
        <f>FACTORES!F43</f>
        <v>13061.3</v>
      </c>
      <c r="E31" s="319">
        <f>FACTORES!G43</f>
        <v>13116.05</v>
      </c>
      <c r="F31" s="319">
        <f t="shared" si="1"/>
        <v>18578.059999999998</v>
      </c>
      <c r="G31" s="319">
        <f t="shared" si="2"/>
        <v>18648.849999999999</v>
      </c>
      <c r="H31" s="319">
        <f t="shared" si="3"/>
        <v>19428.059999999998</v>
      </c>
      <c r="I31" s="319">
        <f t="shared" si="4"/>
        <v>19498.849999999999</v>
      </c>
      <c r="J31" s="319">
        <f t="shared" si="5"/>
        <v>22536.549599999995</v>
      </c>
      <c r="K31" s="319">
        <f t="shared" si="6"/>
        <v>22618.665999999997</v>
      </c>
      <c r="L31" s="102"/>
      <c r="M31" s="220"/>
      <c r="N31" s="746"/>
      <c r="O31" s="678">
        <v>117</v>
      </c>
      <c r="P31" s="672"/>
      <c r="Q31"/>
      <c r="R31" s="3"/>
      <c r="S31" s="3"/>
      <c r="T31" s="266"/>
      <c r="U31" s="266"/>
    </row>
    <row r="32" spans="2:21" s="58" customFormat="1" ht="15" hidden="1" customHeight="1">
      <c r="B32" s="153">
        <f t="shared" si="7"/>
        <v>5</v>
      </c>
      <c r="C32" s="148"/>
      <c r="D32" s="319">
        <f>FACTORES!F44</f>
        <v>13061.3</v>
      </c>
      <c r="E32" s="319">
        <f>FACTORES!G44</f>
        <v>13116.05</v>
      </c>
      <c r="F32" s="319">
        <f t="shared" si="1"/>
        <v>18578.059999999998</v>
      </c>
      <c r="G32" s="319">
        <f t="shared" si="2"/>
        <v>18648.849999999999</v>
      </c>
      <c r="H32" s="319">
        <f t="shared" si="3"/>
        <v>19428.059999999998</v>
      </c>
      <c r="I32" s="319">
        <f t="shared" si="4"/>
        <v>19498.849999999999</v>
      </c>
      <c r="J32" s="319">
        <f t="shared" si="5"/>
        <v>22536.549599999995</v>
      </c>
      <c r="K32" s="319">
        <f t="shared" si="6"/>
        <v>22618.665999999997</v>
      </c>
      <c r="L32" s="102"/>
      <c r="M32" s="220"/>
      <c r="N32" s="220"/>
      <c r="O32" s="268"/>
      <c r="P32"/>
      <c r="Q32"/>
      <c r="R32" s="3"/>
      <c r="S32" s="3"/>
      <c r="T32" s="266"/>
      <c r="U32" s="266"/>
    </row>
    <row r="33" spans="2:21" s="58" customFormat="1" ht="15" hidden="1" customHeight="1">
      <c r="B33" s="153">
        <f t="shared" si="7"/>
        <v>6</v>
      </c>
      <c r="C33" s="148"/>
      <c r="D33" s="319">
        <f>FACTORES!F45</f>
        <v>13061.3</v>
      </c>
      <c r="E33" s="319">
        <f>FACTORES!G45</f>
        <v>13116.05</v>
      </c>
      <c r="F33" s="319">
        <f t="shared" si="1"/>
        <v>18578.059999999998</v>
      </c>
      <c r="G33" s="319">
        <f t="shared" si="2"/>
        <v>18648.849999999999</v>
      </c>
      <c r="H33" s="319">
        <f t="shared" si="3"/>
        <v>19428.059999999998</v>
      </c>
      <c r="I33" s="319">
        <f t="shared" si="4"/>
        <v>19498.849999999999</v>
      </c>
      <c r="J33" s="319">
        <f t="shared" si="5"/>
        <v>22536.549599999995</v>
      </c>
      <c r="K33" s="319">
        <f t="shared" si="6"/>
        <v>22618.665999999997</v>
      </c>
      <c r="L33" s="102"/>
      <c r="M33" s="220"/>
      <c r="N33" s="220"/>
      <c r="O33" s="268"/>
      <c r="P33"/>
      <c r="Q33"/>
      <c r="R33" s="3"/>
      <c r="S33" s="3"/>
      <c r="T33" s="266"/>
      <c r="U33" s="266"/>
    </row>
    <row r="34" spans="2:21" s="58" customFormat="1" ht="15" hidden="1" customHeight="1">
      <c r="B34" s="153">
        <f t="shared" si="7"/>
        <v>7</v>
      </c>
      <c r="C34" s="148"/>
      <c r="D34" s="319">
        <f>FACTORES!F46</f>
        <v>13061.3</v>
      </c>
      <c r="E34" s="319">
        <f>FACTORES!G46</f>
        <v>13116.05</v>
      </c>
      <c r="F34" s="319">
        <f t="shared" si="1"/>
        <v>18578.059999999998</v>
      </c>
      <c r="G34" s="319">
        <f t="shared" si="2"/>
        <v>18648.849999999999</v>
      </c>
      <c r="H34" s="319">
        <f t="shared" si="3"/>
        <v>19428.059999999998</v>
      </c>
      <c r="I34" s="319">
        <f t="shared" si="4"/>
        <v>19498.849999999999</v>
      </c>
      <c r="J34" s="319">
        <f t="shared" si="5"/>
        <v>22536.549599999995</v>
      </c>
      <c r="K34" s="319">
        <f t="shared" si="6"/>
        <v>22618.665999999997</v>
      </c>
      <c r="L34" s="102"/>
      <c r="M34" s="220"/>
      <c r="N34" s="220"/>
      <c r="O34" s="268"/>
      <c r="P34"/>
      <c r="Q34"/>
      <c r="R34" s="3"/>
      <c r="S34" s="3"/>
      <c r="T34" s="266"/>
      <c r="U34" s="266"/>
    </row>
    <row r="35" spans="2:21" s="58" customFormat="1" ht="15" hidden="1" customHeight="1">
      <c r="B35" s="153">
        <f t="shared" si="7"/>
        <v>8</v>
      </c>
      <c r="C35" s="148"/>
      <c r="D35" s="319">
        <f>FACTORES!F47</f>
        <v>13061.3</v>
      </c>
      <c r="E35" s="319">
        <f>FACTORES!G47</f>
        <v>13116.05</v>
      </c>
      <c r="F35" s="319">
        <f t="shared" si="1"/>
        <v>18578.059999999998</v>
      </c>
      <c r="G35" s="319">
        <f t="shared" si="2"/>
        <v>18648.849999999999</v>
      </c>
      <c r="H35" s="319">
        <f t="shared" si="3"/>
        <v>19428.059999999998</v>
      </c>
      <c r="I35" s="319">
        <f t="shared" si="4"/>
        <v>19498.849999999999</v>
      </c>
      <c r="J35" s="319">
        <f t="shared" si="5"/>
        <v>22536.549599999995</v>
      </c>
      <c r="K35" s="319">
        <f t="shared" si="6"/>
        <v>22618.665999999997</v>
      </c>
      <c r="L35" s="102"/>
      <c r="M35" s="220"/>
      <c r="N35" s="220"/>
      <c r="O35" s="268"/>
      <c r="P35"/>
      <c r="Q35"/>
      <c r="R35" s="3"/>
      <c r="S35" s="3"/>
      <c r="T35" s="266"/>
      <c r="U35" s="266"/>
    </row>
    <row r="36" spans="2:21" s="58" customFormat="1" ht="15" hidden="1" customHeight="1">
      <c r="B36" s="153">
        <f t="shared" si="7"/>
        <v>9</v>
      </c>
      <c r="C36" s="148"/>
      <c r="D36" s="319">
        <f>FACTORES!F48</f>
        <v>13061.3</v>
      </c>
      <c r="E36" s="319">
        <f>FACTORES!G48</f>
        <v>13116.05</v>
      </c>
      <c r="F36" s="319">
        <f t="shared" si="1"/>
        <v>18578.059999999998</v>
      </c>
      <c r="G36" s="319">
        <f t="shared" si="2"/>
        <v>18648.849999999999</v>
      </c>
      <c r="H36" s="319">
        <f t="shared" si="3"/>
        <v>19428.059999999998</v>
      </c>
      <c r="I36" s="319">
        <f t="shared" si="4"/>
        <v>19498.849999999999</v>
      </c>
      <c r="J36" s="319">
        <f t="shared" si="5"/>
        <v>22536.549599999995</v>
      </c>
      <c r="K36" s="319">
        <f t="shared" si="6"/>
        <v>22618.665999999997</v>
      </c>
      <c r="L36" s="102"/>
      <c r="M36" s="220"/>
      <c r="N36" s="220"/>
      <c r="O36" s="268"/>
      <c r="P36"/>
      <c r="Q36"/>
      <c r="R36" s="3"/>
      <c r="S36" s="3"/>
      <c r="T36" s="266"/>
      <c r="U36" s="266"/>
    </row>
    <row r="37" spans="2:21" s="58" customFormat="1" ht="15" hidden="1" customHeight="1">
      <c r="B37" s="153">
        <f t="shared" si="7"/>
        <v>10</v>
      </c>
      <c r="C37" s="148"/>
      <c r="D37" s="319">
        <f>FACTORES!F49</f>
        <v>13061.3</v>
      </c>
      <c r="E37" s="319">
        <f>FACTORES!G49</f>
        <v>13116.05</v>
      </c>
      <c r="F37" s="319">
        <f t="shared" si="1"/>
        <v>18578.059999999998</v>
      </c>
      <c r="G37" s="319">
        <f t="shared" si="2"/>
        <v>18648.849999999999</v>
      </c>
      <c r="H37" s="319">
        <f t="shared" si="3"/>
        <v>19428.059999999998</v>
      </c>
      <c r="I37" s="319">
        <f t="shared" si="4"/>
        <v>19498.849999999999</v>
      </c>
      <c r="J37" s="319">
        <f t="shared" si="5"/>
        <v>22536.549599999995</v>
      </c>
      <c r="K37" s="319">
        <f t="shared" si="6"/>
        <v>22618.665999999997</v>
      </c>
      <c r="L37" s="102"/>
      <c r="M37" s="220"/>
      <c r="N37" s="220"/>
      <c r="O37" s="268"/>
      <c r="P37"/>
      <c r="Q37"/>
      <c r="R37" s="3"/>
      <c r="S37" s="3"/>
      <c r="T37" s="266"/>
      <c r="U37" s="266"/>
    </row>
    <row r="38" spans="2:21" s="58" customFormat="1" ht="15" hidden="1" customHeight="1">
      <c r="B38" s="153">
        <f t="shared" si="7"/>
        <v>11</v>
      </c>
      <c r="C38" s="148"/>
      <c r="D38" s="319">
        <f>FACTORES!F50</f>
        <v>13209.16</v>
      </c>
      <c r="E38" s="319">
        <f>FACTORES!G50</f>
        <v>13109.5</v>
      </c>
      <c r="F38" s="319">
        <f t="shared" si="1"/>
        <v>18769.219999999998</v>
      </c>
      <c r="G38" s="319">
        <f t="shared" si="2"/>
        <v>18640.379999999997</v>
      </c>
      <c r="H38" s="319">
        <f t="shared" si="3"/>
        <v>19619.219999999998</v>
      </c>
      <c r="I38" s="319">
        <f t="shared" si="4"/>
        <v>19490.379999999997</v>
      </c>
      <c r="J38" s="319">
        <f t="shared" si="5"/>
        <v>22758.295199999997</v>
      </c>
      <c r="K38" s="319">
        <f t="shared" si="6"/>
        <v>22608.840799999994</v>
      </c>
      <c r="L38" s="102"/>
      <c r="M38" s="220"/>
      <c r="N38" s="220"/>
      <c r="O38" s="268"/>
      <c r="P38"/>
      <c r="Q38"/>
      <c r="R38" s="3"/>
      <c r="S38" s="3"/>
      <c r="T38" s="266"/>
      <c r="U38" s="266"/>
    </row>
    <row r="39" spans="2:21" s="58" customFormat="1" ht="15" hidden="1" customHeight="1">
      <c r="B39" s="153">
        <f t="shared" si="7"/>
        <v>12</v>
      </c>
      <c r="C39" s="148"/>
      <c r="D39" s="319">
        <f>FACTORES!F51</f>
        <v>13160.04</v>
      </c>
      <c r="E39" s="319">
        <f>FACTORES!G51</f>
        <v>13235.31</v>
      </c>
      <c r="F39" s="319">
        <f t="shared" si="1"/>
        <v>18705.719999999998</v>
      </c>
      <c r="G39" s="319">
        <f t="shared" si="2"/>
        <v>18803.03</v>
      </c>
      <c r="H39" s="319">
        <f t="shared" si="3"/>
        <v>19555.719999999998</v>
      </c>
      <c r="I39" s="319">
        <f t="shared" si="4"/>
        <v>19653.03</v>
      </c>
      <c r="J39" s="319">
        <f t="shared" si="5"/>
        <v>22684.635199999997</v>
      </c>
      <c r="K39" s="319">
        <f t="shared" si="6"/>
        <v>22797.514799999997</v>
      </c>
      <c r="L39" s="102"/>
      <c r="M39" s="220"/>
      <c r="N39" s="220"/>
      <c r="O39" s="268"/>
      <c r="P39"/>
      <c r="Q39"/>
      <c r="R39" s="3"/>
      <c r="S39" s="3"/>
      <c r="T39" s="266"/>
      <c r="U39" s="266"/>
    </row>
    <row r="40" spans="2:21" s="58" customFormat="1" ht="15" hidden="1" customHeight="1">
      <c r="B40" s="153">
        <f t="shared" si="7"/>
        <v>13</v>
      </c>
      <c r="C40" s="148"/>
      <c r="D40" s="319">
        <f>FACTORES!F52</f>
        <v>13062.51</v>
      </c>
      <c r="E40" s="319">
        <f>FACTORES!G52</f>
        <v>13152.95</v>
      </c>
      <c r="F40" s="319">
        <f t="shared" si="1"/>
        <v>18579.629999999997</v>
      </c>
      <c r="G40" s="319">
        <f t="shared" si="2"/>
        <v>18696.55</v>
      </c>
      <c r="H40" s="319">
        <f t="shared" si="3"/>
        <v>19429.629999999997</v>
      </c>
      <c r="I40" s="319">
        <f t="shared" si="4"/>
        <v>19546.55</v>
      </c>
      <c r="J40" s="319">
        <f t="shared" si="5"/>
        <v>22538.370799999997</v>
      </c>
      <c r="K40" s="319">
        <f t="shared" si="6"/>
        <v>22673.997999999996</v>
      </c>
      <c r="L40" s="102"/>
      <c r="M40" s="220"/>
      <c r="N40" s="220"/>
      <c r="O40" s="268"/>
      <c r="P40"/>
      <c r="Q40"/>
      <c r="R40" s="3"/>
      <c r="S40" s="3"/>
      <c r="T40" s="266"/>
      <c r="U40" s="266"/>
    </row>
    <row r="41" spans="2:21" s="58" customFormat="1" ht="15" hidden="1" customHeight="1">
      <c r="B41" s="153">
        <f t="shared" si="7"/>
        <v>14</v>
      </c>
      <c r="C41" s="148"/>
      <c r="D41" s="319">
        <f>FACTORES!F53</f>
        <v>12709.26</v>
      </c>
      <c r="E41" s="319">
        <f>FACTORES!G53</f>
        <v>12896.85</v>
      </c>
      <c r="F41" s="319">
        <f t="shared" si="1"/>
        <v>18122.929999999997</v>
      </c>
      <c r="G41" s="319">
        <f t="shared" si="2"/>
        <v>18365.449999999997</v>
      </c>
      <c r="H41" s="319">
        <f t="shared" si="3"/>
        <v>18972.929999999997</v>
      </c>
      <c r="I41" s="319">
        <f t="shared" si="4"/>
        <v>19215.449999999997</v>
      </c>
      <c r="J41" s="319">
        <f t="shared" si="5"/>
        <v>22008.598799999996</v>
      </c>
      <c r="K41" s="319">
        <f t="shared" si="6"/>
        <v>22289.921999999995</v>
      </c>
      <c r="L41" s="102"/>
      <c r="M41" s="220"/>
      <c r="N41" s="220"/>
      <c r="O41" s="268"/>
      <c r="P41"/>
      <c r="Q41"/>
      <c r="R41" s="3"/>
      <c r="S41" s="3"/>
      <c r="T41" s="266"/>
      <c r="U41" s="266"/>
    </row>
    <row r="42" spans="2:21" s="58" customFormat="1" ht="15" hidden="1" customHeight="1">
      <c r="B42" s="153">
        <f t="shared" si="7"/>
        <v>15</v>
      </c>
      <c r="C42" s="148"/>
      <c r="D42" s="319">
        <f>FACTORES!F54</f>
        <v>12756.31</v>
      </c>
      <c r="E42" s="319">
        <f>FACTORES!G54</f>
        <v>12685.79</v>
      </c>
      <c r="F42" s="319">
        <f t="shared" si="1"/>
        <v>18183.759999999998</v>
      </c>
      <c r="G42" s="319">
        <f t="shared" si="2"/>
        <v>18092.579999999998</v>
      </c>
      <c r="H42" s="319">
        <f t="shared" si="3"/>
        <v>19033.759999999998</v>
      </c>
      <c r="I42" s="319">
        <f t="shared" si="4"/>
        <v>18942.579999999998</v>
      </c>
      <c r="J42" s="319">
        <f t="shared" si="5"/>
        <v>22079.161599999996</v>
      </c>
      <c r="K42" s="319">
        <f t="shared" si="6"/>
        <v>21973.392799999998</v>
      </c>
      <c r="L42" s="102"/>
      <c r="M42" s="220"/>
      <c r="N42" s="220"/>
      <c r="O42" s="268"/>
      <c r="P42" s="102"/>
      <c r="Q42" s="102"/>
      <c r="R42" s="3"/>
      <c r="S42" s="3"/>
      <c r="T42" s="266"/>
      <c r="U42" s="266"/>
    </row>
    <row r="43" spans="2:21" s="58" customFormat="1" ht="15" hidden="1" customHeight="1">
      <c r="B43" s="153">
        <f t="shared" si="7"/>
        <v>16</v>
      </c>
      <c r="C43" s="148"/>
      <c r="D43" s="319">
        <f>FACTORES!F55</f>
        <v>12540.11</v>
      </c>
      <c r="E43" s="319">
        <f>FACTORES!G55</f>
        <v>11728.11</v>
      </c>
      <c r="F43" s="319">
        <f t="shared" si="1"/>
        <v>17904.239999999998</v>
      </c>
      <c r="G43" s="319">
        <f t="shared" si="2"/>
        <v>16854.449999999997</v>
      </c>
      <c r="H43" s="319">
        <f t="shared" si="3"/>
        <v>18754.239999999998</v>
      </c>
      <c r="I43" s="319">
        <f t="shared" si="4"/>
        <v>17704.449999999997</v>
      </c>
      <c r="J43" s="319">
        <f t="shared" si="5"/>
        <v>21754.918399999995</v>
      </c>
      <c r="K43" s="319">
        <f t="shared" si="6"/>
        <v>20537.161999999997</v>
      </c>
      <c r="L43" s="102"/>
      <c r="M43" s="220"/>
      <c r="N43" s="220"/>
      <c r="O43" s="268"/>
      <c r="P43" s="102"/>
      <c r="Q43" s="102"/>
      <c r="R43" s="3"/>
      <c r="S43" s="3"/>
      <c r="T43" s="266"/>
      <c r="U43" s="266"/>
    </row>
    <row r="44" spans="2:21" s="58" customFormat="1" ht="15" hidden="1" customHeight="1">
      <c r="B44" s="153">
        <f t="shared" si="7"/>
        <v>17</v>
      </c>
      <c r="C44" s="148"/>
      <c r="D44" s="319">
        <f>FACTORES!F56</f>
        <v>12620.51</v>
      </c>
      <c r="E44" s="319">
        <f>FACTORES!G56</f>
        <v>11920.72</v>
      </c>
      <c r="F44" s="319">
        <f t="shared" si="1"/>
        <v>18008.189999999999</v>
      </c>
      <c r="G44" s="319">
        <f t="shared" si="2"/>
        <v>17103.46</v>
      </c>
      <c r="H44" s="319">
        <f t="shared" si="3"/>
        <v>18858.189999999999</v>
      </c>
      <c r="I44" s="319">
        <f t="shared" si="4"/>
        <v>17953.46</v>
      </c>
      <c r="J44" s="319">
        <f t="shared" si="5"/>
        <v>21875.500399999997</v>
      </c>
      <c r="K44" s="319">
        <f t="shared" si="6"/>
        <v>20826.013599999998</v>
      </c>
      <c r="L44" s="102"/>
      <c r="M44" s="220"/>
      <c r="N44" s="220"/>
      <c r="O44" s="268"/>
      <c r="P44" s="102"/>
      <c r="Q44" s="102"/>
      <c r="R44" s="3"/>
      <c r="S44" s="3"/>
      <c r="T44" s="266"/>
      <c r="U44" s="266"/>
    </row>
    <row r="45" spans="2:21" s="58" customFormat="1" ht="15" hidden="1" customHeight="1">
      <c r="B45" s="153">
        <f t="shared" si="7"/>
        <v>18</v>
      </c>
      <c r="C45" s="148"/>
      <c r="D45" s="319">
        <f>FACTORES!F57</f>
        <v>12974.47</v>
      </c>
      <c r="E45" s="319">
        <f>FACTORES!G57</f>
        <v>11553.12</v>
      </c>
      <c r="F45" s="319">
        <f t="shared" ref="F45:F76" si="8">ROUND(D45*$G$5*$G$6*$G$8,2)+ADIC+DENTAL+ENFGVES+IKE+CVISION+DEDXACC</f>
        <v>18465.8</v>
      </c>
      <c r="G45" s="482">
        <f t="shared" ref="G45:G81" si="9">ROUND(E45*$G$5*$G$6*$G$8,2)+ADIC+DENTAL+ENFGVES+IKE+CVISION+PARTO+DEDXACC</f>
        <v>17429.14</v>
      </c>
      <c r="H45" s="319">
        <f t="shared" si="3"/>
        <v>19315.8</v>
      </c>
      <c r="I45" s="319">
        <f t="shared" si="4"/>
        <v>18279.14</v>
      </c>
      <c r="J45" s="319">
        <f t="shared" si="5"/>
        <v>22406.327999999998</v>
      </c>
      <c r="K45" s="319">
        <f t="shared" si="6"/>
        <v>21203.802399999997</v>
      </c>
      <c r="L45" s="102"/>
      <c r="M45" s="220"/>
      <c r="N45" s="220"/>
      <c r="O45" s="268"/>
      <c r="P45" s="102"/>
      <c r="Q45" s="102"/>
      <c r="R45" s="3"/>
      <c r="S45" s="3"/>
      <c r="T45" s="266"/>
      <c r="U45" s="266"/>
    </row>
    <row r="46" spans="2:21" s="58" customFormat="1" ht="15" hidden="1" customHeight="1">
      <c r="B46" s="153">
        <f t="shared" si="7"/>
        <v>19</v>
      </c>
      <c r="C46" s="148"/>
      <c r="D46" s="319">
        <f>FACTORES!F58</f>
        <v>13406.2</v>
      </c>
      <c r="E46" s="319">
        <f>FACTORES!G58</f>
        <v>11722.65</v>
      </c>
      <c r="F46" s="319">
        <f t="shared" si="8"/>
        <v>19023.969999999998</v>
      </c>
      <c r="G46" s="482">
        <f t="shared" si="9"/>
        <v>17648.319999999996</v>
      </c>
      <c r="H46" s="319">
        <f t="shared" si="3"/>
        <v>19873.969999999998</v>
      </c>
      <c r="I46" s="319">
        <f t="shared" si="4"/>
        <v>18498.319999999996</v>
      </c>
      <c r="J46" s="319">
        <f t="shared" si="5"/>
        <v>23053.805199999995</v>
      </c>
      <c r="K46" s="319">
        <f t="shared" si="6"/>
        <v>21458.051199999994</v>
      </c>
      <c r="L46" s="102"/>
      <c r="M46" s="220"/>
      <c r="N46" s="220"/>
      <c r="O46" s="268"/>
      <c r="P46" s="102"/>
      <c r="Q46" s="102"/>
      <c r="R46" s="3"/>
      <c r="S46" s="3"/>
      <c r="T46" s="266"/>
      <c r="U46" s="266"/>
    </row>
    <row r="47" spans="2:21" s="58" customFormat="1" ht="15" hidden="1" customHeight="1">
      <c r="B47" s="153">
        <f t="shared" si="7"/>
        <v>20</v>
      </c>
      <c r="C47" s="148"/>
      <c r="D47" s="319">
        <f>FACTORES!F59</f>
        <v>13894.05</v>
      </c>
      <c r="E47" s="319">
        <f>FACTORES!G59</f>
        <v>13881.66</v>
      </c>
      <c r="F47" s="319">
        <f t="shared" si="8"/>
        <v>19654.679999999997</v>
      </c>
      <c r="G47" s="482">
        <f t="shared" si="9"/>
        <v>20439.59</v>
      </c>
      <c r="H47" s="319">
        <f t="shared" si="3"/>
        <v>20504.679999999997</v>
      </c>
      <c r="I47" s="319">
        <f t="shared" si="4"/>
        <v>21289.59</v>
      </c>
      <c r="J47" s="319">
        <f t="shared" si="5"/>
        <v>23785.428799999994</v>
      </c>
      <c r="K47" s="319">
        <f t="shared" si="6"/>
        <v>24695.9244</v>
      </c>
      <c r="L47" s="102"/>
      <c r="M47" s="220"/>
      <c r="N47" s="220"/>
      <c r="O47" s="268"/>
      <c r="P47" s="102"/>
      <c r="Q47" s="102"/>
      <c r="R47" s="3"/>
      <c r="S47" s="3"/>
      <c r="T47" s="266"/>
      <c r="U47" s="266"/>
    </row>
    <row r="48" spans="2:21" s="58" customFormat="1" ht="15" hidden="1" customHeight="1">
      <c r="B48" s="153">
        <f t="shared" si="7"/>
        <v>21</v>
      </c>
      <c r="C48" s="148"/>
      <c r="D48" s="319">
        <f>FACTORES!F60</f>
        <v>14878.95</v>
      </c>
      <c r="E48" s="319">
        <f>FACTORES!G60</f>
        <v>17774.3</v>
      </c>
      <c r="F48" s="319">
        <f t="shared" si="8"/>
        <v>20928.009999999998</v>
      </c>
      <c r="G48" s="482">
        <f t="shared" si="9"/>
        <v>25472.19</v>
      </c>
      <c r="H48" s="319">
        <f t="shared" si="3"/>
        <v>21778.01</v>
      </c>
      <c r="I48" s="319">
        <f t="shared" si="4"/>
        <v>26322.19</v>
      </c>
      <c r="J48" s="319">
        <f t="shared" si="5"/>
        <v>25262.491599999998</v>
      </c>
      <c r="K48" s="319">
        <f t="shared" si="6"/>
        <v>30533.740399999995</v>
      </c>
      <c r="L48" s="102"/>
      <c r="M48" s="220"/>
      <c r="N48" s="220"/>
      <c r="O48" s="268"/>
      <c r="P48" s="102"/>
      <c r="Q48" s="102"/>
      <c r="R48" s="3"/>
      <c r="S48" s="3"/>
      <c r="T48" s="266"/>
      <c r="U48" s="266"/>
    </row>
    <row r="49" spans="2:21" s="58" customFormat="1" ht="15" hidden="1" customHeight="1">
      <c r="B49" s="153">
        <f t="shared" si="7"/>
        <v>22</v>
      </c>
      <c r="C49" s="148"/>
      <c r="D49" s="319">
        <f>FACTORES!F61</f>
        <v>15528.67</v>
      </c>
      <c r="E49" s="319">
        <f>FACTORES!G61</f>
        <v>18621.63</v>
      </c>
      <c r="F49" s="319">
        <f t="shared" si="8"/>
        <v>21768</v>
      </c>
      <c r="G49" s="482">
        <f t="shared" si="9"/>
        <v>26567.66</v>
      </c>
      <c r="H49" s="319">
        <f t="shared" si="3"/>
        <v>22618</v>
      </c>
      <c r="I49" s="319">
        <f t="shared" si="4"/>
        <v>27417.66</v>
      </c>
      <c r="J49" s="319">
        <f t="shared" si="5"/>
        <v>26236.879999999997</v>
      </c>
      <c r="K49" s="319">
        <f t="shared" si="6"/>
        <v>31804.485599999996</v>
      </c>
      <c r="L49" s="102"/>
      <c r="M49" s="220"/>
      <c r="N49" s="220"/>
      <c r="O49" s="268"/>
      <c r="P49" s="102"/>
      <c r="Q49" s="102"/>
      <c r="R49" s="3"/>
      <c r="S49" s="3"/>
      <c r="T49" s="266"/>
      <c r="U49" s="266"/>
    </row>
    <row r="50" spans="2:21" s="58" customFormat="1" ht="15" hidden="1" customHeight="1">
      <c r="B50" s="153">
        <f t="shared" si="7"/>
        <v>23</v>
      </c>
      <c r="C50" s="148"/>
      <c r="D50" s="319">
        <f>FACTORES!F62</f>
        <v>16559.22</v>
      </c>
      <c r="E50" s="319">
        <f>FACTORES!G62</f>
        <v>19491.04</v>
      </c>
      <c r="F50" s="319">
        <f t="shared" si="8"/>
        <v>23100.35</v>
      </c>
      <c r="G50" s="482">
        <f t="shared" si="9"/>
        <v>27691.68</v>
      </c>
      <c r="H50" s="319">
        <f t="shared" si="3"/>
        <v>23950.35</v>
      </c>
      <c r="I50" s="319">
        <f t="shared" si="4"/>
        <v>28541.68</v>
      </c>
      <c r="J50" s="319">
        <f t="shared" si="5"/>
        <v>27782.405999999995</v>
      </c>
      <c r="K50" s="319">
        <f t="shared" si="6"/>
        <v>33108.3488</v>
      </c>
      <c r="L50" s="102"/>
      <c r="M50" s="220"/>
      <c r="N50" s="220"/>
      <c r="O50" s="268"/>
      <c r="P50" s="102"/>
      <c r="Q50" s="102"/>
      <c r="R50" s="3"/>
      <c r="S50" s="3"/>
      <c r="T50" s="266"/>
      <c r="U50" s="266"/>
    </row>
    <row r="51" spans="2:21" s="58" customFormat="1" ht="15" hidden="1" customHeight="1">
      <c r="B51" s="153">
        <f t="shared" si="7"/>
        <v>24</v>
      </c>
      <c r="C51" s="148"/>
      <c r="D51" s="319">
        <f>FACTORES!F63</f>
        <v>17231.34</v>
      </c>
      <c r="E51" s="319">
        <f>FACTORES!G63</f>
        <v>20402.39</v>
      </c>
      <c r="F51" s="319">
        <f t="shared" si="8"/>
        <v>23969.3</v>
      </c>
      <c r="G51" s="482">
        <f t="shared" si="9"/>
        <v>28869.919999999998</v>
      </c>
      <c r="H51" s="319">
        <f t="shared" si="3"/>
        <v>24819.3</v>
      </c>
      <c r="I51" s="319">
        <f t="shared" si="4"/>
        <v>29719.919999999998</v>
      </c>
      <c r="J51" s="319">
        <f t="shared" si="5"/>
        <v>28790.387999999995</v>
      </c>
      <c r="K51" s="319">
        <f t="shared" si="6"/>
        <v>34475.107199999999</v>
      </c>
      <c r="L51" s="102"/>
      <c r="M51" s="220"/>
      <c r="N51" s="220"/>
      <c r="O51" s="268"/>
      <c r="P51" s="102"/>
      <c r="Q51" s="102"/>
      <c r="R51" s="3"/>
      <c r="S51" s="3"/>
      <c r="T51" s="266"/>
      <c r="U51" s="266"/>
    </row>
    <row r="52" spans="2:21" s="58" customFormat="1" ht="15" hidden="1" customHeight="1">
      <c r="B52" s="153">
        <f t="shared" si="7"/>
        <v>25</v>
      </c>
      <c r="C52" s="148"/>
      <c r="D52" s="319">
        <f>FACTORES!F64</f>
        <v>17905.41</v>
      </c>
      <c r="E52" s="319">
        <f>FACTORES!G64</f>
        <v>21346.959999999999</v>
      </c>
      <c r="F52" s="319">
        <f t="shared" si="8"/>
        <v>24840.769999999997</v>
      </c>
      <c r="G52" s="482">
        <f t="shared" si="9"/>
        <v>30091.109999999997</v>
      </c>
      <c r="H52" s="319">
        <f t="shared" si="3"/>
        <v>25690.769999999997</v>
      </c>
      <c r="I52" s="319">
        <f t="shared" si="4"/>
        <v>30941.109999999997</v>
      </c>
      <c r="J52" s="319">
        <f t="shared" si="5"/>
        <v>29801.293199999993</v>
      </c>
      <c r="K52" s="319">
        <f t="shared" si="6"/>
        <v>35891.687599999997</v>
      </c>
      <c r="L52" s="102"/>
      <c r="M52" s="220"/>
      <c r="N52" s="220"/>
      <c r="O52" s="268"/>
      <c r="P52" s="102"/>
      <c r="Q52" s="102"/>
      <c r="R52" s="3"/>
      <c r="S52" s="3"/>
      <c r="T52" s="266"/>
      <c r="U52" s="266"/>
    </row>
    <row r="53" spans="2:21" s="58" customFormat="1" ht="15" hidden="1" customHeight="1">
      <c r="B53" s="153">
        <f t="shared" si="7"/>
        <v>26</v>
      </c>
      <c r="C53" s="148"/>
      <c r="D53" s="319">
        <f>FACTORES!F65</f>
        <v>19091.810000000001</v>
      </c>
      <c r="E53" s="319">
        <f>FACTORES!G65</f>
        <v>22175.3</v>
      </c>
      <c r="F53" s="319">
        <f t="shared" si="8"/>
        <v>26374.609999999997</v>
      </c>
      <c r="G53" s="482">
        <f t="shared" si="9"/>
        <v>31162.03</v>
      </c>
      <c r="H53" s="319">
        <f t="shared" si="3"/>
        <v>27224.609999999997</v>
      </c>
      <c r="I53" s="319">
        <f t="shared" si="4"/>
        <v>32012.03</v>
      </c>
      <c r="J53" s="319">
        <f t="shared" si="5"/>
        <v>31580.547599999994</v>
      </c>
      <c r="K53" s="319">
        <f t="shared" si="6"/>
        <v>37133.9548</v>
      </c>
      <c r="L53" s="102"/>
      <c r="M53" s="220"/>
      <c r="N53" s="220"/>
      <c r="O53" s="268"/>
      <c r="P53" s="102"/>
      <c r="Q53" s="102"/>
      <c r="R53" s="3"/>
      <c r="S53" s="3"/>
      <c r="T53" s="266"/>
      <c r="U53" s="266"/>
    </row>
    <row r="54" spans="2:21" s="58" customFormat="1" ht="15" hidden="1" customHeight="1">
      <c r="B54" s="153">
        <f t="shared" si="7"/>
        <v>27</v>
      </c>
      <c r="C54" s="148"/>
      <c r="D54" s="319">
        <f>FACTORES!F66</f>
        <v>19936.54</v>
      </c>
      <c r="E54" s="319">
        <f>FACTORES!G66</f>
        <v>23188.38</v>
      </c>
      <c r="F54" s="319">
        <f t="shared" si="8"/>
        <v>27466.719999999998</v>
      </c>
      <c r="G54" s="482">
        <f t="shared" si="9"/>
        <v>32471.789999999997</v>
      </c>
      <c r="H54" s="319">
        <f t="shared" si="3"/>
        <v>28316.719999999998</v>
      </c>
      <c r="I54" s="319">
        <f t="shared" si="4"/>
        <v>33321.789999999994</v>
      </c>
      <c r="J54" s="319">
        <f t="shared" si="5"/>
        <v>32847.395199999992</v>
      </c>
      <c r="K54" s="319">
        <f t="shared" si="6"/>
        <v>38653.276399999988</v>
      </c>
      <c r="L54" s="102"/>
      <c r="M54" s="220"/>
      <c r="N54" s="220"/>
      <c r="O54" s="268"/>
      <c r="P54" s="102"/>
      <c r="Q54" s="102"/>
      <c r="R54" s="3"/>
      <c r="S54" s="3"/>
      <c r="T54" s="266"/>
      <c r="U54" s="266"/>
    </row>
    <row r="55" spans="2:21" s="58" customFormat="1" ht="15" hidden="1" customHeight="1">
      <c r="B55" s="153">
        <f t="shared" si="7"/>
        <v>28</v>
      </c>
      <c r="C55" s="148"/>
      <c r="D55" s="319">
        <f>FACTORES!F67</f>
        <v>21085.5</v>
      </c>
      <c r="E55" s="319">
        <f>FACTORES!G67</f>
        <v>24269.53</v>
      </c>
      <c r="F55" s="319">
        <f t="shared" si="8"/>
        <v>28952.149999999998</v>
      </c>
      <c r="G55" s="482">
        <f t="shared" si="9"/>
        <v>33869.550000000003</v>
      </c>
      <c r="H55" s="319">
        <f t="shared" si="3"/>
        <v>29802.149999999998</v>
      </c>
      <c r="I55" s="319">
        <f t="shared" si="4"/>
        <v>34719.550000000003</v>
      </c>
      <c r="J55" s="319">
        <f t="shared" si="5"/>
        <v>34570.493999999992</v>
      </c>
      <c r="K55" s="319">
        <f t="shared" si="6"/>
        <v>40274.678</v>
      </c>
      <c r="L55" s="102"/>
      <c r="M55" s="220"/>
      <c r="N55" s="220"/>
      <c r="O55" s="268"/>
      <c r="P55" s="102"/>
      <c r="Q55" s="102"/>
      <c r="R55" s="3"/>
      <c r="S55" s="3"/>
      <c r="T55" s="266"/>
      <c r="U55" s="266"/>
    </row>
    <row r="56" spans="2:21" s="58" customFormat="1" ht="15" hidden="1" customHeight="1">
      <c r="B56" s="153">
        <f t="shared" si="7"/>
        <v>29</v>
      </c>
      <c r="C56" s="148"/>
      <c r="D56" s="319">
        <f>FACTORES!F68</f>
        <v>22151.599999999999</v>
      </c>
      <c r="E56" s="319">
        <f>FACTORES!G68</f>
        <v>25360.58</v>
      </c>
      <c r="F56" s="319">
        <f t="shared" si="8"/>
        <v>30330.46</v>
      </c>
      <c r="G56" s="482">
        <f t="shared" si="9"/>
        <v>35280.120000000003</v>
      </c>
      <c r="H56" s="319">
        <f t="shared" si="3"/>
        <v>31180.46</v>
      </c>
      <c r="I56" s="319">
        <f t="shared" si="4"/>
        <v>36130.120000000003</v>
      </c>
      <c r="J56" s="319">
        <f t="shared" si="5"/>
        <v>36169.333599999998</v>
      </c>
      <c r="K56" s="319">
        <f t="shared" si="6"/>
        <v>41910.939200000001</v>
      </c>
      <c r="L56" s="102"/>
      <c r="M56" s="220"/>
      <c r="N56" s="220"/>
      <c r="O56" s="268"/>
      <c r="P56" s="102"/>
      <c r="Q56" s="102"/>
      <c r="R56" s="3"/>
      <c r="S56" s="3"/>
      <c r="T56" s="266"/>
      <c r="U56" s="266"/>
    </row>
    <row r="57" spans="2:21" s="58" customFormat="1" ht="15" hidden="1" customHeight="1">
      <c r="B57" s="153">
        <f t="shared" si="7"/>
        <v>30</v>
      </c>
      <c r="C57" s="148"/>
      <c r="D57" s="319">
        <f>FACTORES!F69</f>
        <v>23143.360000000001</v>
      </c>
      <c r="E57" s="319">
        <f>FACTORES!G69</f>
        <v>26560.29</v>
      </c>
      <c r="F57" s="319">
        <f t="shared" si="8"/>
        <v>31612.649999999998</v>
      </c>
      <c r="G57" s="482">
        <f t="shared" si="9"/>
        <v>36831.160000000003</v>
      </c>
      <c r="H57" s="319">
        <f t="shared" si="3"/>
        <v>32462.649999999998</v>
      </c>
      <c r="I57" s="319">
        <f t="shared" si="4"/>
        <v>37681.160000000003</v>
      </c>
      <c r="J57" s="319">
        <f t="shared" si="5"/>
        <v>37656.673999999992</v>
      </c>
      <c r="K57" s="319">
        <f t="shared" si="6"/>
        <v>43710.145600000003</v>
      </c>
      <c r="L57" s="102"/>
      <c r="M57" s="220"/>
      <c r="N57" s="220"/>
      <c r="O57" s="268"/>
      <c r="P57" s="102"/>
      <c r="Q57" s="102"/>
      <c r="R57" s="3"/>
      <c r="S57" s="3"/>
      <c r="T57" s="266"/>
      <c r="U57" s="266"/>
    </row>
    <row r="58" spans="2:21" s="58" customFormat="1" ht="15" hidden="1" customHeight="1">
      <c r="B58" s="153">
        <f t="shared" si="7"/>
        <v>31</v>
      </c>
      <c r="C58" s="148"/>
      <c r="D58" s="319">
        <f>FACTORES!F70</f>
        <v>24096.43</v>
      </c>
      <c r="E58" s="319">
        <f>FACTORES!G70</f>
        <v>27792.3</v>
      </c>
      <c r="F58" s="319">
        <f t="shared" si="8"/>
        <v>32844.83</v>
      </c>
      <c r="G58" s="482">
        <f t="shared" si="9"/>
        <v>38423.97</v>
      </c>
      <c r="H58" s="319">
        <f t="shared" si="3"/>
        <v>33694.83</v>
      </c>
      <c r="I58" s="319">
        <f t="shared" si="4"/>
        <v>39273.97</v>
      </c>
      <c r="J58" s="319">
        <f t="shared" si="5"/>
        <v>39086.002800000002</v>
      </c>
      <c r="K58" s="319">
        <f t="shared" si="6"/>
        <v>45557.805199999995</v>
      </c>
      <c r="L58" s="102"/>
      <c r="M58" s="220"/>
      <c r="N58" s="220"/>
      <c r="O58" s="268"/>
      <c r="P58" s="102"/>
      <c r="Q58" s="102"/>
      <c r="R58" s="3"/>
      <c r="S58" s="3"/>
      <c r="T58" s="266"/>
      <c r="U58" s="266"/>
    </row>
    <row r="59" spans="2:21" s="58" customFormat="1" ht="15" hidden="1" customHeight="1">
      <c r="B59" s="153">
        <f t="shared" si="7"/>
        <v>32</v>
      </c>
      <c r="C59" s="148"/>
      <c r="D59" s="319">
        <f>FACTORES!F71</f>
        <v>25578.22</v>
      </c>
      <c r="E59" s="319">
        <f>FACTORES!G71</f>
        <v>29044.06</v>
      </c>
      <c r="F59" s="319">
        <f t="shared" si="8"/>
        <v>34760.560000000005</v>
      </c>
      <c r="G59" s="482">
        <f t="shared" si="9"/>
        <v>40042.300000000003</v>
      </c>
      <c r="H59" s="319">
        <f t="shared" si="3"/>
        <v>35610.560000000005</v>
      </c>
      <c r="I59" s="319">
        <f t="shared" si="4"/>
        <v>40892.300000000003</v>
      </c>
      <c r="J59" s="319">
        <f t="shared" si="5"/>
        <v>41308.249600000003</v>
      </c>
      <c r="K59" s="319">
        <f t="shared" si="6"/>
        <v>47435.067999999999</v>
      </c>
      <c r="L59" s="102"/>
      <c r="M59" s="220"/>
      <c r="N59" s="220"/>
      <c r="O59" s="268"/>
      <c r="P59" s="102"/>
      <c r="Q59" s="102"/>
      <c r="R59" s="3"/>
      <c r="S59" s="3"/>
      <c r="T59" s="266"/>
      <c r="U59" s="266"/>
    </row>
    <row r="60" spans="2:21" s="58" customFormat="1" ht="15" hidden="1" customHeight="1">
      <c r="B60" s="153">
        <f t="shared" si="7"/>
        <v>33</v>
      </c>
      <c r="C60" s="148"/>
      <c r="D60" s="319">
        <f>FACTORES!F72</f>
        <v>26480.58</v>
      </c>
      <c r="E60" s="319">
        <f>FACTORES!G72</f>
        <v>30319.85</v>
      </c>
      <c r="F60" s="319">
        <f t="shared" si="8"/>
        <v>35927.18</v>
      </c>
      <c r="G60" s="482">
        <f t="shared" si="9"/>
        <v>41691.71</v>
      </c>
      <c r="H60" s="319">
        <f t="shared" si="3"/>
        <v>36777.18</v>
      </c>
      <c r="I60" s="319">
        <f t="shared" si="4"/>
        <v>42541.71</v>
      </c>
      <c r="J60" s="319">
        <f t="shared" si="5"/>
        <v>42661.5288</v>
      </c>
      <c r="K60" s="319">
        <f t="shared" si="6"/>
        <v>49348.383599999994</v>
      </c>
      <c r="L60" s="102"/>
      <c r="M60" s="220"/>
      <c r="N60" s="220"/>
      <c r="O60" s="268"/>
      <c r="P60" s="102"/>
      <c r="Q60" s="102"/>
      <c r="R60" s="3"/>
      <c r="S60" s="3"/>
      <c r="T60" s="266"/>
      <c r="U60" s="266"/>
    </row>
    <row r="61" spans="2:21" s="58" customFormat="1" ht="15" hidden="1" customHeight="1">
      <c r="B61" s="153">
        <f t="shared" si="7"/>
        <v>34</v>
      </c>
      <c r="C61" s="148"/>
      <c r="D61" s="319">
        <f>FACTORES!F73</f>
        <v>27962</v>
      </c>
      <c r="E61" s="319">
        <f>FACTORES!G73</f>
        <v>31685.79</v>
      </c>
      <c r="F61" s="319">
        <f t="shared" si="8"/>
        <v>37842.43</v>
      </c>
      <c r="G61" s="482">
        <f t="shared" si="9"/>
        <v>43457.66</v>
      </c>
      <c r="H61" s="319">
        <f t="shared" si="3"/>
        <v>38692.43</v>
      </c>
      <c r="I61" s="319">
        <f t="shared" si="4"/>
        <v>44307.66</v>
      </c>
      <c r="J61" s="319">
        <f t="shared" si="5"/>
        <v>44883.218799999995</v>
      </c>
      <c r="K61" s="319">
        <f t="shared" si="6"/>
        <v>51396.885600000001</v>
      </c>
      <c r="L61" s="102"/>
      <c r="M61" s="220"/>
      <c r="N61" s="220"/>
      <c r="O61" s="268"/>
      <c r="P61" s="102"/>
      <c r="Q61" s="102"/>
      <c r="R61" s="3"/>
      <c r="S61" s="3"/>
      <c r="T61" s="266"/>
      <c r="U61" s="266"/>
    </row>
    <row r="62" spans="2:21" s="58" customFormat="1" ht="15" hidden="1" customHeight="1">
      <c r="B62" s="153">
        <f t="shared" si="7"/>
        <v>35</v>
      </c>
      <c r="C62" s="148"/>
      <c r="D62" s="319">
        <f>FACTORES!F74</f>
        <v>29506.29</v>
      </c>
      <c r="E62" s="319">
        <f>FACTORES!G74</f>
        <v>33133.22</v>
      </c>
      <c r="F62" s="319">
        <f t="shared" si="8"/>
        <v>39838.97</v>
      </c>
      <c r="G62" s="482">
        <f t="shared" si="9"/>
        <v>45328.97</v>
      </c>
      <c r="H62" s="319">
        <f t="shared" si="3"/>
        <v>40688.97</v>
      </c>
      <c r="I62" s="319">
        <f t="shared" si="4"/>
        <v>46178.97</v>
      </c>
      <c r="J62" s="319">
        <f t="shared" si="5"/>
        <v>47199.205199999997</v>
      </c>
      <c r="K62" s="319">
        <f t="shared" si="6"/>
        <v>53567.605199999998</v>
      </c>
      <c r="L62" s="102"/>
      <c r="M62" s="220"/>
      <c r="N62" s="220"/>
      <c r="O62" s="268"/>
      <c r="P62" s="102"/>
      <c r="Q62" s="102"/>
      <c r="R62" s="3"/>
      <c r="S62" s="3"/>
      <c r="T62" s="266"/>
      <c r="U62" s="266"/>
    </row>
    <row r="63" spans="2:21" s="58" customFormat="1" ht="15" hidden="1" customHeight="1">
      <c r="B63" s="153">
        <f t="shared" si="7"/>
        <v>36</v>
      </c>
      <c r="C63" s="148"/>
      <c r="D63" s="319">
        <f>FACTORES!F75</f>
        <v>30767.63</v>
      </c>
      <c r="E63" s="319">
        <f>FACTORES!G75</f>
        <v>34616.85</v>
      </c>
      <c r="F63" s="319">
        <f t="shared" si="8"/>
        <v>41469.69</v>
      </c>
      <c r="G63" s="482">
        <f t="shared" si="9"/>
        <v>47247.08</v>
      </c>
      <c r="H63" s="319">
        <f t="shared" si="3"/>
        <v>42319.69</v>
      </c>
      <c r="I63" s="319">
        <f t="shared" si="4"/>
        <v>48097.08</v>
      </c>
      <c r="J63" s="319">
        <f t="shared" si="5"/>
        <v>49090.840400000001</v>
      </c>
      <c r="K63" s="319">
        <f t="shared" si="6"/>
        <v>55792.612799999995</v>
      </c>
      <c r="L63" s="102"/>
      <c r="M63" s="220"/>
      <c r="N63" s="220"/>
      <c r="O63" s="268"/>
      <c r="P63" s="102"/>
      <c r="Q63" s="102"/>
      <c r="R63" s="3"/>
      <c r="S63" s="3"/>
      <c r="T63" s="266"/>
      <c r="U63" s="266"/>
    </row>
    <row r="64" spans="2:21" s="58" customFormat="1" ht="15" hidden="1" customHeight="1">
      <c r="B64" s="153">
        <f t="shared" si="7"/>
        <v>37</v>
      </c>
      <c r="C64" s="148"/>
      <c r="D64" s="319">
        <f>FACTORES!F76</f>
        <v>32445.19</v>
      </c>
      <c r="E64" s="319">
        <f>FACTORES!G76</f>
        <v>36271.96</v>
      </c>
      <c r="F64" s="319">
        <f t="shared" si="8"/>
        <v>43638.520000000004</v>
      </c>
      <c r="G64" s="482">
        <f t="shared" si="9"/>
        <v>49386.89</v>
      </c>
      <c r="H64" s="319">
        <f t="shared" si="3"/>
        <v>44488.520000000004</v>
      </c>
      <c r="I64" s="319">
        <f t="shared" si="4"/>
        <v>50236.89</v>
      </c>
      <c r="J64" s="319">
        <f t="shared" si="5"/>
        <v>51606.683199999999</v>
      </c>
      <c r="K64" s="319">
        <f t="shared" si="6"/>
        <v>58274.792399999998</v>
      </c>
      <c r="L64" s="102"/>
      <c r="M64" s="220"/>
      <c r="N64" s="220"/>
      <c r="O64" s="268"/>
      <c r="P64" s="102"/>
      <c r="Q64" s="102"/>
      <c r="R64" s="3"/>
      <c r="S64" s="3"/>
      <c r="T64" s="266"/>
      <c r="U64" s="266"/>
    </row>
    <row r="65" spans="2:21" s="58" customFormat="1" ht="15" hidden="1" customHeight="1">
      <c r="B65" s="153">
        <f t="shared" si="7"/>
        <v>38</v>
      </c>
      <c r="C65" s="148"/>
      <c r="D65" s="319">
        <f>FACTORES!F77</f>
        <v>34175.25</v>
      </c>
      <c r="E65" s="319">
        <f>FACTORES!G77</f>
        <v>37867.339999999997</v>
      </c>
      <c r="F65" s="319">
        <f t="shared" si="8"/>
        <v>45875.23</v>
      </c>
      <c r="G65" s="482">
        <f t="shared" si="9"/>
        <v>51449.48</v>
      </c>
      <c r="H65" s="319">
        <f t="shared" si="3"/>
        <v>46725.23</v>
      </c>
      <c r="I65" s="319">
        <f t="shared" si="4"/>
        <v>52299.48</v>
      </c>
      <c r="J65" s="319">
        <f t="shared" si="5"/>
        <v>54201.266799999998</v>
      </c>
      <c r="K65" s="319">
        <f t="shared" si="6"/>
        <v>60667.396800000002</v>
      </c>
      <c r="L65" s="102"/>
      <c r="M65" s="220"/>
      <c r="N65" s="220"/>
      <c r="O65" s="268"/>
      <c r="P65" s="102"/>
      <c r="Q65" s="102"/>
      <c r="R65" s="3"/>
      <c r="S65" s="3"/>
      <c r="T65" s="266"/>
      <c r="U65" s="266"/>
    </row>
    <row r="66" spans="2:21" s="58" customFormat="1" ht="15" hidden="1" customHeight="1">
      <c r="B66" s="153">
        <f t="shared" si="7"/>
        <v>39</v>
      </c>
      <c r="C66" s="148"/>
      <c r="D66" s="319">
        <f>FACTORES!F78</f>
        <v>36041.18</v>
      </c>
      <c r="E66" s="319">
        <f>FACTORES!G78</f>
        <v>39583.699999999997</v>
      </c>
      <c r="F66" s="319">
        <f t="shared" si="8"/>
        <v>48287.6</v>
      </c>
      <c r="G66" s="482">
        <f t="shared" si="9"/>
        <v>53668.480000000003</v>
      </c>
      <c r="H66" s="319">
        <f t="shared" si="3"/>
        <v>49137.599999999999</v>
      </c>
      <c r="I66" s="319">
        <f t="shared" si="4"/>
        <v>54518.48</v>
      </c>
      <c r="J66" s="319">
        <f t="shared" si="5"/>
        <v>56999.615999999995</v>
      </c>
      <c r="K66" s="319">
        <f t="shared" si="6"/>
        <v>63241.436799999996</v>
      </c>
      <c r="L66" s="102"/>
      <c r="M66" s="220"/>
      <c r="N66" s="220"/>
      <c r="O66" s="268"/>
      <c r="P66" s="102"/>
      <c r="Q66" s="102"/>
      <c r="R66" s="3"/>
      <c r="S66" s="3"/>
      <c r="T66" s="266"/>
      <c r="U66" s="266"/>
    </row>
    <row r="67" spans="2:21" s="58" customFormat="1" ht="15" hidden="1" customHeight="1">
      <c r="B67" s="153">
        <f t="shared" si="7"/>
        <v>40</v>
      </c>
      <c r="C67" s="148"/>
      <c r="D67" s="319">
        <f>FACTORES!F79</f>
        <v>37308.69</v>
      </c>
      <c r="E67" s="319">
        <f>FACTORES!G79</f>
        <v>41362.29</v>
      </c>
      <c r="F67" s="319">
        <f t="shared" si="8"/>
        <v>49926.3</v>
      </c>
      <c r="G67" s="482">
        <f t="shared" si="9"/>
        <v>55967.93</v>
      </c>
      <c r="H67" s="319">
        <f t="shared" si="3"/>
        <v>50776.3</v>
      </c>
      <c r="I67" s="319">
        <f t="shared" si="4"/>
        <v>56817.93</v>
      </c>
      <c r="J67" s="319">
        <f t="shared" si="5"/>
        <v>58900.508000000002</v>
      </c>
      <c r="K67" s="319">
        <f t="shared" si="6"/>
        <v>65908.79879999999</v>
      </c>
      <c r="L67" s="102"/>
      <c r="M67" s="220"/>
      <c r="N67" s="220"/>
      <c r="O67" s="268"/>
      <c r="P67" s="102"/>
      <c r="Q67" s="102"/>
      <c r="R67" s="3"/>
      <c r="S67" s="3"/>
      <c r="T67" s="266"/>
      <c r="U67" s="266"/>
    </row>
    <row r="68" spans="2:21" s="58" customFormat="1" ht="15" hidden="1" customHeight="1">
      <c r="B68" s="153">
        <f t="shared" si="7"/>
        <v>41</v>
      </c>
      <c r="C68" s="148"/>
      <c r="D68" s="319">
        <f>FACTORES!F80</f>
        <v>38696.870000000003</v>
      </c>
      <c r="E68" s="319">
        <f>FACTORES!G80</f>
        <v>43227.79</v>
      </c>
      <c r="F68" s="319">
        <f t="shared" si="8"/>
        <v>51721.01</v>
      </c>
      <c r="G68" s="482">
        <f t="shared" si="9"/>
        <v>58379.740000000005</v>
      </c>
      <c r="H68" s="319">
        <f t="shared" si="3"/>
        <v>52571.01</v>
      </c>
      <c r="I68" s="319">
        <f t="shared" si="4"/>
        <v>59229.740000000005</v>
      </c>
      <c r="J68" s="319">
        <f t="shared" si="5"/>
        <v>60982.371599999999</v>
      </c>
      <c r="K68" s="319">
        <f t="shared" si="6"/>
        <v>68706.498399999997</v>
      </c>
      <c r="L68" s="102"/>
      <c r="M68" s="220"/>
      <c r="N68" s="220"/>
      <c r="O68" s="268"/>
      <c r="P68" s="102"/>
      <c r="Q68" s="102"/>
      <c r="R68" s="3"/>
      <c r="S68" s="3"/>
      <c r="T68" s="266"/>
      <c r="U68" s="266"/>
    </row>
    <row r="69" spans="2:21" s="58" customFormat="1" ht="15" hidden="1" customHeight="1">
      <c r="B69" s="153">
        <f t="shared" si="7"/>
        <v>42</v>
      </c>
      <c r="C69" s="148"/>
      <c r="D69" s="319">
        <f>FACTORES!F81</f>
        <v>40198.410000000003</v>
      </c>
      <c r="E69" s="319">
        <f>FACTORES!G81</f>
        <v>45169.15</v>
      </c>
      <c r="F69" s="319">
        <f t="shared" si="8"/>
        <v>53662.270000000004</v>
      </c>
      <c r="G69" s="482">
        <f t="shared" si="9"/>
        <v>60889.630000000005</v>
      </c>
      <c r="H69" s="319">
        <f t="shared" si="3"/>
        <v>54512.270000000004</v>
      </c>
      <c r="I69" s="319">
        <f t="shared" si="4"/>
        <v>61739.630000000005</v>
      </c>
      <c r="J69" s="319">
        <f t="shared" si="5"/>
        <v>63234.233200000002</v>
      </c>
      <c r="K69" s="319">
        <f t="shared" si="6"/>
        <v>71617.970799999996</v>
      </c>
      <c r="L69" s="102"/>
      <c r="M69" s="220"/>
      <c r="N69" s="220"/>
      <c r="O69" s="268"/>
      <c r="P69" s="102"/>
      <c r="Q69" s="102"/>
      <c r="R69" s="3"/>
      <c r="S69" s="3"/>
      <c r="T69" s="266"/>
      <c r="U69" s="266"/>
    </row>
    <row r="70" spans="2:21" s="58" customFormat="1" ht="15" hidden="1" customHeight="1">
      <c r="B70" s="153">
        <f t="shared" si="7"/>
        <v>43</v>
      </c>
      <c r="C70" s="148"/>
      <c r="D70" s="319">
        <f>FACTORES!F82</f>
        <v>41803.629999999997</v>
      </c>
      <c r="E70" s="319">
        <f>FACTORES!G82</f>
        <v>47188.7</v>
      </c>
      <c r="F70" s="319">
        <f t="shared" si="8"/>
        <v>55737.58</v>
      </c>
      <c r="G70" s="482">
        <f t="shared" si="9"/>
        <v>63500.600000000006</v>
      </c>
      <c r="H70" s="319">
        <f t="shared" si="3"/>
        <v>56587.58</v>
      </c>
      <c r="I70" s="319">
        <f t="shared" si="4"/>
        <v>64350.600000000006</v>
      </c>
      <c r="J70" s="319">
        <f t="shared" si="5"/>
        <v>65641.592799999999</v>
      </c>
      <c r="K70" s="319">
        <f t="shared" si="6"/>
        <v>74646.695999999996</v>
      </c>
      <c r="L70" s="102"/>
      <c r="M70" s="220"/>
      <c r="N70" s="220"/>
      <c r="O70" s="268"/>
      <c r="P70" s="102"/>
      <c r="Q70" s="102"/>
      <c r="R70" s="3"/>
      <c r="S70" s="3"/>
      <c r="T70" s="266"/>
      <c r="U70" s="266"/>
    </row>
    <row r="71" spans="2:21" s="58" customFormat="1" ht="15" hidden="1" customHeight="1">
      <c r="B71" s="153">
        <f t="shared" si="7"/>
        <v>44</v>
      </c>
      <c r="C71" s="148"/>
      <c r="D71" s="319">
        <f>FACTORES!F83</f>
        <v>43602.46</v>
      </c>
      <c r="E71" s="319">
        <f>FACTORES!G83</f>
        <v>49581.41</v>
      </c>
      <c r="F71" s="319">
        <f t="shared" si="8"/>
        <v>58063.200000000004</v>
      </c>
      <c r="G71" s="482">
        <f t="shared" si="9"/>
        <v>66594.01999999999</v>
      </c>
      <c r="H71" s="319">
        <f t="shared" si="3"/>
        <v>58913.200000000004</v>
      </c>
      <c r="I71" s="319">
        <f t="shared" si="4"/>
        <v>67444.01999999999</v>
      </c>
      <c r="J71" s="319">
        <f t="shared" si="5"/>
        <v>68339.312000000005</v>
      </c>
      <c r="K71" s="319">
        <f t="shared" si="6"/>
        <v>78235.06319999999</v>
      </c>
      <c r="L71" s="102"/>
      <c r="M71" s="220"/>
      <c r="N71" s="220"/>
      <c r="O71" s="268"/>
      <c r="P71" s="102"/>
      <c r="Q71" s="102"/>
      <c r="R71" s="3"/>
      <c r="S71" s="3"/>
      <c r="T71" s="266"/>
      <c r="U71" s="266"/>
    </row>
    <row r="72" spans="2:21" s="58" customFormat="1" ht="15" hidden="1" customHeight="1">
      <c r="B72" s="153">
        <f t="shared" si="7"/>
        <v>45</v>
      </c>
      <c r="C72" s="148"/>
      <c r="D72" s="319">
        <f>FACTORES!F84</f>
        <v>45563.03</v>
      </c>
      <c r="E72" s="319">
        <f>FACTORES!G84</f>
        <v>51356.49</v>
      </c>
      <c r="F72" s="319">
        <f t="shared" si="8"/>
        <v>60597.920000000006</v>
      </c>
      <c r="G72" s="482">
        <f t="shared" si="9"/>
        <v>68888.929999999993</v>
      </c>
      <c r="H72" s="319">
        <f t="shared" si="3"/>
        <v>61447.920000000006</v>
      </c>
      <c r="I72" s="319">
        <f t="shared" si="4"/>
        <v>69738.929999999993</v>
      </c>
      <c r="J72" s="319">
        <f t="shared" si="5"/>
        <v>71279.587199999994</v>
      </c>
      <c r="K72" s="319">
        <f t="shared" si="6"/>
        <v>80897.15879999999</v>
      </c>
      <c r="L72" s="102"/>
      <c r="M72" s="220"/>
      <c r="N72" s="220"/>
      <c r="O72" s="268"/>
      <c r="P72" s="102"/>
      <c r="Q72" s="102"/>
      <c r="R72" s="3"/>
      <c r="S72" s="3"/>
      <c r="T72" s="266"/>
      <c r="U72" s="266"/>
    </row>
    <row r="73" spans="2:21" s="58" customFormat="1" ht="15" hidden="1" customHeight="1">
      <c r="B73" s="153">
        <f t="shared" si="7"/>
        <v>46</v>
      </c>
      <c r="C73" s="148"/>
      <c r="D73" s="319">
        <f>FACTORES!F85</f>
        <v>47712.5</v>
      </c>
      <c r="E73" s="319">
        <f>FACTORES!G85</f>
        <v>53288.7</v>
      </c>
      <c r="F73" s="319">
        <f t="shared" si="8"/>
        <v>63376.87</v>
      </c>
      <c r="G73" s="482">
        <f t="shared" si="9"/>
        <v>71386.989999999991</v>
      </c>
      <c r="H73" s="319">
        <f t="shared" si="3"/>
        <v>64226.87</v>
      </c>
      <c r="I73" s="319">
        <f t="shared" si="4"/>
        <v>72236.989999999991</v>
      </c>
      <c r="J73" s="319">
        <f t="shared" si="5"/>
        <v>74503.169200000004</v>
      </c>
      <c r="K73" s="319">
        <f t="shared" si="6"/>
        <v>83794.908399999986</v>
      </c>
      <c r="L73" s="102"/>
      <c r="M73" s="220"/>
      <c r="N73" s="220"/>
      <c r="O73" s="268"/>
      <c r="P73" s="102"/>
      <c r="Q73" s="102"/>
      <c r="R73" s="3"/>
      <c r="S73" s="3"/>
      <c r="T73" s="266"/>
      <c r="U73" s="266"/>
    </row>
    <row r="74" spans="2:21" s="58" customFormat="1" ht="15" hidden="1" customHeight="1">
      <c r="B74" s="153">
        <f t="shared" si="7"/>
        <v>47</v>
      </c>
      <c r="C74" s="148"/>
      <c r="D74" s="319">
        <f>FACTORES!F86</f>
        <v>50072.63</v>
      </c>
      <c r="E74" s="319">
        <f>FACTORES!G86</f>
        <v>56005.27</v>
      </c>
      <c r="F74" s="319">
        <f t="shared" si="8"/>
        <v>66428.160000000003</v>
      </c>
      <c r="G74" s="482">
        <f t="shared" si="9"/>
        <v>74899.099999999991</v>
      </c>
      <c r="H74" s="319">
        <f t="shared" si="3"/>
        <v>67278.16</v>
      </c>
      <c r="I74" s="319">
        <f t="shared" si="4"/>
        <v>75749.099999999991</v>
      </c>
      <c r="J74" s="319">
        <f t="shared" si="5"/>
        <v>78042.665599999993</v>
      </c>
      <c r="K74" s="319">
        <f t="shared" si="6"/>
        <v>87868.955999999991</v>
      </c>
      <c r="L74" s="102"/>
      <c r="M74" s="220"/>
      <c r="N74" s="220"/>
      <c r="O74" s="268"/>
      <c r="P74" s="102"/>
      <c r="Q74" s="102"/>
      <c r="R74" s="3"/>
      <c r="S74" s="3"/>
      <c r="T74" s="266"/>
      <c r="U74" s="266"/>
    </row>
    <row r="75" spans="2:21" s="58" customFormat="1" ht="15" hidden="1" customHeight="1">
      <c r="B75" s="153">
        <f t="shared" si="7"/>
        <v>48</v>
      </c>
      <c r="C75" s="148"/>
      <c r="D75" s="319">
        <f>FACTORES!F87</f>
        <v>52638.879999999997</v>
      </c>
      <c r="E75" s="319">
        <f>FACTORES!G87</f>
        <v>58256.25</v>
      </c>
      <c r="F75" s="319">
        <f t="shared" si="8"/>
        <v>69745.939999999988</v>
      </c>
      <c r="G75" s="482">
        <f t="shared" si="9"/>
        <v>77809.279999999984</v>
      </c>
      <c r="H75" s="319">
        <f t="shared" si="3"/>
        <v>70595.939999999988</v>
      </c>
      <c r="I75" s="319">
        <f t="shared" si="4"/>
        <v>78659.279999999984</v>
      </c>
      <c r="J75" s="319">
        <f t="shared" si="5"/>
        <v>81891.290399999983</v>
      </c>
      <c r="K75" s="319">
        <f t="shared" si="6"/>
        <v>91244.764799999975</v>
      </c>
      <c r="L75" s="102"/>
      <c r="M75" s="220"/>
      <c r="N75" s="220"/>
      <c r="O75" s="268"/>
      <c r="P75" s="102"/>
      <c r="Q75" s="102"/>
      <c r="R75" s="3"/>
      <c r="S75" s="3"/>
      <c r="T75" s="266"/>
      <c r="U75" s="266"/>
    </row>
    <row r="76" spans="2:21" s="58" customFormat="1" ht="15" hidden="1" customHeight="1">
      <c r="B76" s="153">
        <f t="shared" si="7"/>
        <v>49</v>
      </c>
      <c r="C76" s="148"/>
      <c r="D76" s="319">
        <f>FACTORES!F88</f>
        <v>55452.89</v>
      </c>
      <c r="E76" s="319">
        <f>FACTORES!G88</f>
        <v>60684.02</v>
      </c>
      <c r="F76" s="319">
        <f t="shared" si="8"/>
        <v>73384.03</v>
      </c>
      <c r="G76" s="482">
        <f t="shared" si="9"/>
        <v>80948.029999999984</v>
      </c>
      <c r="H76" s="319">
        <f t="shared" si="3"/>
        <v>74234.03</v>
      </c>
      <c r="I76" s="319">
        <f t="shared" si="4"/>
        <v>81798.029999999984</v>
      </c>
      <c r="J76" s="319">
        <f t="shared" si="5"/>
        <v>86111.474799999996</v>
      </c>
      <c r="K76" s="319">
        <f t="shared" si="6"/>
        <v>94885.714799999972</v>
      </c>
      <c r="L76" s="102"/>
      <c r="M76" s="220"/>
      <c r="N76" s="220"/>
      <c r="O76" s="268"/>
      <c r="P76" s="102"/>
      <c r="Q76" s="102"/>
      <c r="R76" s="3"/>
      <c r="S76" s="3"/>
      <c r="T76" s="266"/>
      <c r="U76" s="266"/>
    </row>
    <row r="77" spans="2:21" s="58" customFormat="1" ht="15" hidden="1" customHeight="1">
      <c r="B77" s="153">
        <f t="shared" si="7"/>
        <v>50</v>
      </c>
      <c r="C77" s="148"/>
      <c r="D77" s="319">
        <f>FACTORES!F89</f>
        <v>58546.29</v>
      </c>
      <c r="E77" s="319">
        <f>FACTORES!G89</f>
        <v>63259.79</v>
      </c>
      <c r="F77" s="319">
        <f t="shared" ref="F77:F112" si="10">ROUND(D77*$G$5*$G$6*$G$8,2)+ADIC+DENTAL+ENFGVES+IKE+CVISION+DEDXACC</f>
        <v>77383.33</v>
      </c>
      <c r="G77" s="482">
        <f t="shared" si="9"/>
        <v>84278.109999999986</v>
      </c>
      <c r="H77" s="319">
        <f t="shared" si="3"/>
        <v>78233.33</v>
      </c>
      <c r="I77" s="319">
        <f t="shared" si="4"/>
        <v>85128.109999999986</v>
      </c>
      <c r="J77" s="319">
        <f t="shared" si="5"/>
        <v>90750.662799999991</v>
      </c>
      <c r="K77" s="319">
        <f t="shared" si="6"/>
        <v>98748.607599999974</v>
      </c>
      <c r="L77" s="102"/>
      <c r="M77" s="220"/>
      <c r="N77" s="220"/>
      <c r="O77" s="268"/>
      <c r="P77" s="102"/>
      <c r="Q77" s="102"/>
      <c r="R77" s="3"/>
      <c r="S77" s="3"/>
      <c r="T77" s="266"/>
      <c r="U77" s="266"/>
    </row>
    <row r="78" spans="2:21" s="58" customFormat="1" ht="15" hidden="1" customHeight="1">
      <c r="B78" s="153">
        <f t="shared" si="7"/>
        <v>51</v>
      </c>
      <c r="C78" s="148"/>
      <c r="D78" s="319">
        <f>FACTORES!F90</f>
        <v>61886.65</v>
      </c>
      <c r="E78" s="319">
        <f>FACTORES!G90</f>
        <v>66018.399999999994</v>
      </c>
      <c r="F78" s="319">
        <f t="shared" si="10"/>
        <v>81701.919999999998</v>
      </c>
      <c r="G78" s="482">
        <f t="shared" si="9"/>
        <v>87844.579999999987</v>
      </c>
      <c r="H78" s="319">
        <f t="shared" si="3"/>
        <v>82551.92</v>
      </c>
      <c r="I78" s="319">
        <f t="shared" si="4"/>
        <v>88694.579999999987</v>
      </c>
      <c r="J78" s="319">
        <f t="shared" si="5"/>
        <v>95760.227199999994</v>
      </c>
      <c r="K78" s="319">
        <f t="shared" si="6"/>
        <v>102885.71279999998</v>
      </c>
      <c r="L78" s="102"/>
      <c r="M78" s="220"/>
      <c r="N78" s="220"/>
      <c r="O78" s="268"/>
      <c r="P78" s="102"/>
      <c r="Q78" s="102"/>
      <c r="R78" s="3"/>
      <c r="S78" s="3"/>
      <c r="T78" s="266"/>
      <c r="U78" s="266"/>
    </row>
    <row r="79" spans="2:21" s="58" customFormat="1" ht="15" hidden="1" customHeight="1">
      <c r="B79" s="153">
        <f t="shared" si="7"/>
        <v>52</v>
      </c>
      <c r="C79" s="148"/>
      <c r="D79" s="319">
        <f>FACTORES!F91</f>
        <v>65536.42</v>
      </c>
      <c r="E79" s="319">
        <f>FACTORES!G91</f>
        <v>68983.33</v>
      </c>
      <c r="F79" s="319">
        <f t="shared" si="10"/>
        <v>86420.51999999999</v>
      </c>
      <c r="G79" s="482">
        <f t="shared" si="9"/>
        <v>91677.79</v>
      </c>
      <c r="H79" s="319">
        <f t="shared" si="3"/>
        <v>87270.51999999999</v>
      </c>
      <c r="I79" s="319">
        <f t="shared" si="4"/>
        <v>92527.79</v>
      </c>
      <c r="J79" s="319">
        <f t="shared" si="5"/>
        <v>101233.80319999998</v>
      </c>
      <c r="K79" s="319">
        <f t="shared" si="6"/>
        <v>107332.23639999998</v>
      </c>
      <c r="L79" s="102"/>
      <c r="M79" s="220"/>
      <c r="N79" s="220"/>
      <c r="O79" s="268"/>
      <c r="P79" s="102"/>
      <c r="Q79" s="102"/>
      <c r="R79" s="3"/>
      <c r="S79" s="3"/>
      <c r="T79" s="266"/>
      <c r="U79" s="266"/>
    </row>
    <row r="80" spans="2:21" s="58" customFormat="1" ht="15" hidden="1" customHeight="1">
      <c r="B80" s="153">
        <f t="shared" si="7"/>
        <v>53</v>
      </c>
      <c r="C80" s="148"/>
      <c r="D80" s="319">
        <f>FACTORES!F92</f>
        <v>69469.25</v>
      </c>
      <c r="E80" s="319">
        <f>FACTORES!G92</f>
        <v>72168.02</v>
      </c>
      <c r="F80" s="319">
        <f t="shared" si="10"/>
        <v>91505.08</v>
      </c>
      <c r="G80" s="482">
        <f t="shared" si="9"/>
        <v>95795.109999999986</v>
      </c>
      <c r="H80" s="319">
        <f t="shared" si="3"/>
        <v>92355.08</v>
      </c>
      <c r="I80" s="319">
        <f t="shared" si="4"/>
        <v>96645.109999999986</v>
      </c>
      <c r="J80" s="319">
        <f t="shared" si="5"/>
        <v>107131.8928</v>
      </c>
      <c r="K80" s="319">
        <f t="shared" si="6"/>
        <v>112108.32759999998</v>
      </c>
      <c r="L80" s="102"/>
      <c r="M80" s="220"/>
      <c r="N80" s="220"/>
      <c r="O80" s="268"/>
      <c r="P80" s="102"/>
      <c r="Q80" s="102"/>
      <c r="R80" s="3"/>
      <c r="S80" s="3"/>
      <c r="T80" s="266"/>
      <c r="U80" s="266"/>
    </row>
    <row r="81" spans="2:21" s="58" customFormat="1" ht="15" hidden="1" customHeight="1">
      <c r="B81" s="153">
        <f t="shared" si="7"/>
        <v>54</v>
      </c>
      <c r="C81" s="148"/>
      <c r="D81" s="319">
        <f>FACTORES!F93</f>
        <v>73736.87</v>
      </c>
      <c r="E81" s="319">
        <f>FACTORES!G93</f>
        <v>75561.89</v>
      </c>
      <c r="F81" s="319">
        <f t="shared" si="10"/>
        <v>97022.47</v>
      </c>
      <c r="G81" s="482">
        <f t="shared" si="9"/>
        <v>100182.87999999999</v>
      </c>
      <c r="H81" s="319">
        <f t="shared" si="3"/>
        <v>97872.47</v>
      </c>
      <c r="I81" s="319">
        <f t="shared" si="4"/>
        <v>101032.87999999999</v>
      </c>
      <c r="J81" s="319">
        <f t="shared" si="5"/>
        <v>113532.0652</v>
      </c>
      <c r="K81" s="319">
        <f t="shared" si="6"/>
        <v>117198.14079999998</v>
      </c>
      <c r="L81" s="102"/>
      <c r="M81" s="220"/>
      <c r="N81" s="220"/>
      <c r="O81" s="268"/>
      <c r="P81" s="102"/>
      <c r="Q81" s="102"/>
      <c r="R81" s="3"/>
      <c r="S81" s="3"/>
      <c r="T81" s="266"/>
      <c r="U81" s="266"/>
    </row>
    <row r="82" spans="2:21" s="58" customFormat="1" ht="15" hidden="1" customHeight="1">
      <c r="B82" s="153">
        <f t="shared" si="7"/>
        <v>55</v>
      </c>
      <c r="C82" s="148"/>
      <c r="D82" s="319">
        <f>FACTORES!F94</f>
        <v>78328.240000000005</v>
      </c>
      <c r="E82" s="319">
        <f>FACTORES!G94</f>
        <v>79649.7</v>
      </c>
      <c r="F82" s="319">
        <f t="shared" si="10"/>
        <v>102958.43</v>
      </c>
      <c r="G82" s="319">
        <f t="shared" ref="G82:G112" si="11">ROUND(E82*$G$5*$G$6*$G$8,2)+ADIC+DENTAL+ENFGVES+IKE+CVISION+DEDXACC</f>
        <v>104666.87</v>
      </c>
      <c r="H82" s="319">
        <f t="shared" si="3"/>
        <v>103808.43</v>
      </c>
      <c r="I82" s="319">
        <f t="shared" si="4"/>
        <v>105516.87</v>
      </c>
      <c r="J82" s="319">
        <f t="shared" si="5"/>
        <v>120417.77879999999</v>
      </c>
      <c r="K82" s="319">
        <f t="shared" si="6"/>
        <v>122399.56919999998</v>
      </c>
      <c r="L82" s="102"/>
      <c r="M82" s="220"/>
      <c r="N82" s="220"/>
      <c r="O82" s="268"/>
      <c r="P82" s="102"/>
      <c r="Q82" s="102"/>
      <c r="R82" s="3"/>
      <c r="S82" s="3"/>
      <c r="T82" s="266"/>
      <c r="U82" s="266"/>
    </row>
    <row r="83" spans="2:21" s="58" customFormat="1" ht="15" hidden="1" customHeight="1">
      <c r="B83" s="153">
        <f t="shared" si="7"/>
        <v>56</v>
      </c>
      <c r="C83" s="148"/>
      <c r="D83" s="319">
        <f>FACTORES!F95</f>
        <v>83284.97</v>
      </c>
      <c r="E83" s="319">
        <f>FACTORES!G95</f>
        <v>85036.07</v>
      </c>
      <c r="F83" s="319">
        <f t="shared" si="10"/>
        <v>109366.73</v>
      </c>
      <c r="G83" s="319">
        <f t="shared" si="11"/>
        <v>111630.64</v>
      </c>
      <c r="H83" s="319">
        <f t="shared" si="3"/>
        <v>110216.73</v>
      </c>
      <c r="I83" s="319">
        <f t="shared" si="4"/>
        <v>112480.64</v>
      </c>
      <c r="J83" s="319">
        <f t="shared" si="5"/>
        <v>127851.40679999998</v>
      </c>
      <c r="K83" s="319">
        <f t="shared" si="6"/>
        <v>130477.54239999999</v>
      </c>
      <c r="L83" s="102"/>
      <c r="M83" s="220"/>
      <c r="N83" s="220"/>
      <c r="O83" s="268"/>
      <c r="P83" s="102"/>
      <c r="Q83" s="102"/>
      <c r="R83" s="3"/>
      <c r="S83" s="3"/>
      <c r="T83" s="266"/>
      <c r="U83" s="266"/>
    </row>
    <row r="84" spans="2:21" s="58" customFormat="1" ht="15" hidden="1" customHeight="1">
      <c r="B84" s="153">
        <f t="shared" si="7"/>
        <v>57</v>
      </c>
      <c r="C84" s="148"/>
      <c r="D84" s="319">
        <f>FACTORES!F96</f>
        <v>88644.34</v>
      </c>
      <c r="E84" s="319">
        <f>FACTORES!G96</f>
        <v>88272.59</v>
      </c>
      <c r="F84" s="319">
        <f t="shared" si="10"/>
        <v>116295.59</v>
      </c>
      <c r="G84" s="319">
        <f t="shared" si="11"/>
        <v>115814.98</v>
      </c>
      <c r="H84" s="319">
        <f t="shared" si="3"/>
        <v>117145.59</v>
      </c>
      <c r="I84" s="319">
        <f t="shared" si="4"/>
        <v>116664.98</v>
      </c>
      <c r="J84" s="319">
        <f t="shared" si="5"/>
        <v>135888.88439999998</v>
      </c>
      <c r="K84" s="319">
        <f t="shared" si="6"/>
        <v>135331.3768</v>
      </c>
      <c r="L84" s="102"/>
      <c r="M84" s="220"/>
      <c r="N84" s="220"/>
      <c r="O84" s="268"/>
      <c r="P84" s="102"/>
      <c r="Q84" s="102"/>
      <c r="R84" s="3"/>
      <c r="S84" s="3"/>
      <c r="T84" s="266"/>
      <c r="U84" s="266"/>
    </row>
    <row r="85" spans="2:21" s="58" customFormat="1" ht="15" hidden="1" customHeight="1">
      <c r="B85" s="153">
        <f t="shared" si="7"/>
        <v>58</v>
      </c>
      <c r="C85" s="148"/>
      <c r="D85" s="319">
        <f>FACTORES!F97</f>
        <v>92450.98</v>
      </c>
      <c r="E85" s="319">
        <f>FACTORES!G97</f>
        <v>91797.69</v>
      </c>
      <c r="F85" s="319">
        <f t="shared" si="10"/>
        <v>121217.01</v>
      </c>
      <c r="G85" s="319">
        <f t="shared" si="11"/>
        <v>120372.4</v>
      </c>
      <c r="H85" s="319">
        <f t="shared" si="3"/>
        <v>122067.01</v>
      </c>
      <c r="I85" s="319">
        <f t="shared" si="4"/>
        <v>121222.39999999999</v>
      </c>
      <c r="J85" s="319">
        <f t="shared" si="5"/>
        <v>141597.73159999997</v>
      </c>
      <c r="K85" s="319">
        <f t="shared" si="6"/>
        <v>140617.984</v>
      </c>
      <c r="L85" s="102"/>
      <c r="M85" s="220"/>
      <c r="N85" s="220"/>
      <c r="O85" s="268"/>
      <c r="P85" s="102"/>
      <c r="Q85" s="102"/>
      <c r="R85" s="3"/>
      <c r="S85" s="3"/>
      <c r="T85" s="266"/>
      <c r="U85" s="266"/>
    </row>
    <row r="86" spans="2:21" s="58" customFormat="1" ht="15" hidden="1" customHeight="1">
      <c r="B86" s="153">
        <f t="shared" si="7"/>
        <v>59</v>
      </c>
      <c r="C86" s="148"/>
      <c r="D86" s="319">
        <f>FACTORES!F98</f>
        <v>98454.55</v>
      </c>
      <c r="E86" s="319">
        <f>FACTORES!G98</f>
        <v>93299.67</v>
      </c>
      <c r="F86" s="319">
        <f t="shared" si="10"/>
        <v>128978.72</v>
      </c>
      <c r="G86" s="319">
        <f t="shared" si="11"/>
        <v>122314.23999999999</v>
      </c>
      <c r="H86" s="319">
        <f t="shared" si="3"/>
        <v>129828.72</v>
      </c>
      <c r="I86" s="319">
        <f t="shared" si="4"/>
        <v>123164.23999999999</v>
      </c>
      <c r="J86" s="319">
        <f t="shared" si="5"/>
        <v>150601.31519999998</v>
      </c>
      <c r="K86" s="319">
        <f t="shared" si="6"/>
        <v>142870.51839999997</v>
      </c>
      <c r="L86" s="102"/>
      <c r="M86" s="220"/>
      <c r="N86" s="220"/>
      <c r="O86" s="268"/>
      <c r="P86" s="102"/>
      <c r="Q86" s="102"/>
      <c r="R86" s="3"/>
      <c r="S86" s="3"/>
      <c r="T86" s="266"/>
      <c r="U86" s="266"/>
    </row>
    <row r="87" spans="2:21" s="58" customFormat="1" ht="15" hidden="1" customHeight="1">
      <c r="B87" s="153">
        <f t="shared" si="7"/>
        <v>60</v>
      </c>
      <c r="C87" s="148"/>
      <c r="D87" s="319">
        <f>FACTORES!F99</f>
        <v>158478.32999999999</v>
      </c>
      <c r="E87" s="319">
        <f>FACTORES!G99</f>
        <v>153294.49</v>
      </c>
      <c r="F87" s="319">
        <f t="shared" si="10"/>
        <v>206580.47</v>
      </c>
      <c r="G87" s="319">
        <f t="shared" si="11"/>
        <v>199878.54</v>
      </c>
      <c r="H87" s="319">
        <f t="shared" si="3"/>
        <v>207430.47</v>
      </c>
      <c r="I87" s="319">
        <f t="shared" si="4"/>
        <v>200728.54</v>
      </c>
      <c r="J87" s="319">
        <f t="shared" si="5"/>
        <v>240619.34519999998</v>
      </c>
      <c r="K87" s="319">
        <f t="shared" si="6"/>
        <v>232845.10639999999</v>
      </c>
      <c r="L87" s="102"/>
      <c r="M87" s="220"/>
      <c r="N87" s="220"/>
      <c r="O87" s="268"/>
      <c r="P87" s="102"/>
      <c r="Q87" s="102"/>
      <c r="R87" s="3"/>
      <c r="S87" s="3"/>
      <c r="T87" s="266"/>
      <c r="U87" s="266"/>
    </row>
    <row r="88" spans="2:21" s="58" customFormat="1" ht="15" hidden="1" customHeight="1">
      <c r="B88" s="153">
        <f t="shared" si="7"/>
        <v>61</v>
      </c>
      <c r="C88" s="148"/>
      <c r="D88" s="319">
        <f>FACTORES!F100</f>
        <v>167034.98000000001</v>
      </c>
      <c r="E88" s="319">
        <f>FACTORES!G100</f>
        <v>159782.09</v>
      </c>
      <c r="F88" s="319">
        <f t="shared" si="10"/>
        <v>217642.93000000002</v>
      </c>
      <c r="G88" s="319">
        <f t="shared" si="11"/>
        <v>208266.04</v>
      </c>
      <c r="H88" s="319">
        <f t="shared" si="3"/>
        <v>218492.93000000002</v>
      </c>
      <c r="I88" s="319">
        <f t="shared" si="4"/>
        <v>209116.04</v>
      </c>
      <c r="J88" s="319">
        <f t="shared" si="5"/>
        <v>253451.79880000002</v>
      </c>
      <c r="K88" s="319">
        <f t="shared" si="6"/>
        <v>242574.60639999999</v>
      </c>
      <c r="L88" s="102"/>
      <c r="M88" s="220"/>
      <c r="N88" s="220"/>
      <c r="O88" s="268"/>
      <c r="P88" s="102"/>
      <c r="Q88" s="102"/>
      <c r="R88" s="3"/>
      <c r="S88" s="3"/>
      <c r="T88" s="266"/>
      <c r="U88" s="266"/>
    </row>
    <row r="89" spans="2:21" s="58" customFormat="1" ht="15" hidden="1" customHeight="1">
      <c r="B89" s="153">
        <f t="shared" si="7"/>
        <v>62</v>
      </c>
      <c r="C89" s="148"/>
      <c r="D89" s="319">
        <f>FACTORES!F101</f>
        <v>176049.79</v>
      </c>
      <c r="E89" s="319">
        <f>FACTORES!G101</f>
        <v>166617.42000000001</v>
      </c>
      <c r="F89" s="319">
        <f t="shared" si="10"/>
        <v>229297.73</v>
      </c>
      <c r="G89" s="319">
        <f t="shared" si="11"/>
        <v>217103.09</v>
      </c>
      <c r="H89" s="319">
        <f t="shared" si="3"/>
        <v>230147.73</v>
      </c>
      <c r="I89" s="319">
        <f t="shared" si="4"/>
        <v>217953.09</v>
      </c>
      <c r="J89" s="319">
        <f t="shared" si="5"/>
        <v>266971.36680000002</v>
      </c>
      <c r="K89" s="319">
        <f t="shared" si="6"/>
        <v>252825.58439999999</v>
      </c>
      <c r="L89" s="102"/>
      <c r="M89" s="220"/>
      <c r="N89" s="220"/>
      <c r="O89" s="268"/>
      <c r="P89" s="102"/>
      <c r="Q89" s="102"/>
      <c r="R89" s="3"/>
      <c r="S89" s="3"/>
      <c r="T89" s="266"/>
      <c r="U89" s="266"/>
    </row>
    <row r="90" spans="2:21" s="58" customFormat="1" ht="15" hidden="1" customHeight="1">
      <c r="B90" s="153">
        <f t="shared" si="7"/>
        <v>63</v>
      </c>
      <c r="C90" s="148"/>
      <c r="D90" s="319">
        <f>FACTORES!F102</f>
        <v>185426.22</v>
      </c>
      <c r="E90" s="319">
        <f>FACTORES!G102</f>
        <v>173740.36</v>
      </c>
      <c r="F90" s="319">
        <f t="shared" si="10"/>
        <v>241420.05000000002</v>
      </c>
      <c r="G90" s="319">
        <f t="shared" si="11"/>
        <v>226311.98</v>
      </c>
      <c r="H90" s="319">
        <f t="shared" si="3"/>
        <v>242270.05000000002</v>
      </c>
      <c r="I90" s="319">
        <f t="shared" si="4"/>
        <v>227161.98</v>
      </c>
      <c r="J90" s="319">
        <f t="shared" si="5"/>
        <v>281033.25799999997</v>
      </c>
      <c r="K90" s="319">
        <f t="shared" si="6"/>
        <v>263507.89679999999</v>
      </c>
      <c r="L90" s="102"/>
      <c r="M90" s="220"/>
      <c r="N90" s="220"/>
      <c r="O90" s="268"/>
      <c r="P90" s="102"/>
      <c r="Q90" s="102"/>
      <c r="R90" s="3"/>
      <c r="S90" s="3"/>
      <c r="T90" s="266"/>
      <c r="U90" s="266"/>
    </row>
    <row r="91" spans="2:21" s="58" customFormat="1" ht="15" hidden="1" customHeight="1">
      <c r="B91" s="153">
        <f t="shared" si="7"/>
        <v>64</v>
      </c>
      <c r="C91" s="148"/>
      <c r="D91" s="319">
        <f>FACTORES!F103</f>
        <v>195326.2</v>
      </c>
      <c r="E91" s="319">
        <f>FACTORES!G103</f>
        <v>181346.27</v>
      </c>
      <c r="F91" s="319">
        <f t="shared" si="10"/>
        <v>254219.24000000002</v>
      </c>
      <c r="G91" s="319">
        <f t="shared" si="11"/>
        <v>236145.29</v>
      </c>
      <c r="H91" s="319">
        <f t="shared" si="3"/>
        <v>255069.24000000002</v>
      </c>
      <c r="I91" s="319">
        <f t="shared" si="4"/>
        <v>236995.29</v>
      </c>
      <c r="J91" s="319">
        <f t="shared" si="5"/>
        <v>295880.31839999999</v>
      </c>
      <c r="K91" s="319">
        <f t="shared" si="6"/>
        <v>274914.53639999998</v>
      </c>
      <c r="L91" s="102"/>
      <c r="M91" s="220"/>
      <c r="N91" s="220"/>
      <c r="O91" s="268"/>
      <c r="P91" s="102"/>
      <c r="Q91" s="102"/>
      <c r="R91" s="3"/>
      <c r="S91" s="3"/>
      <c r="T91" s="266"/>
      <c r="U91" s="266"/>
    </row>
    <row r="92" spans="2:21" s="58" customFormat="1" ht="15" hidden="1" customHeight="1">
      <c r="B92" s="153">
        <f t="shared" si="7"/>
        <v>65</v>
      </c>
      <c r="C92" s="148"/>
      <c r="D92" s="319">
        <f>FACTORES!F104</f>
        <v>205421.96</v>
      </c>
      <c r="E92" s="319">
        <f>FACTORES!G104</f>
        <v>189030.54</v>
      </c>
      <c r="F92" s="319">
        <f t="shared" si="10"/>
        <v>267271.54000000004</v>
      </c>
      <c r="G92" s="319">
        <f t="shared" si="11"/>
        <v>246079.89</v>
      </c>
      <c r="H92" s="319">
        <f t="shared" ref="H92:H110" si="12">(F92*(1+$I$24))+$I$25</f>
        <v>268121.54000000004</v>
      </c>
      <c r="I92" s="319">
        <f t="shared" ref="I92:I110" si="13">(G92*(1+$I$24))+$I$25</f>
        <v>246929.89</v>
      </c>
      <c r="J92" s="319">
        <f t="shared" ref="J92:J110" si="14">H92*(1+$K$25)</f>
        <v>311020.98639999999</v>
      </c>
      <c r="K92" s="319">
        <f t="shared" ref="K92:K110" si="15">I92*(1+$K$25)</f>
        <v>286438.67239999998</v>
      </c>
      <c r="L92" s="102"/>
      <c r="M92" s="220"/>
      <c r="N92" s="220"/>
      <c r="O92" s="268"/>
      <c r="P92" s="102"/>
      <c r="Q92" s="102"/>
      <c r="R92" s="3"/>
      <c r="S92" s="3"/>
      <c r="T92" s="266"/>
      <c r="U92" s="266"/>
    </row>
    <row r="93" spans="2:21" s="58" customFormat="1" ht="15" hidden="1" customHeight="1">
      <c r="B93" s="153">
        <f t="shared" ref="B93:B127" si="16">+B92+1</f>
        <v>66</v>
      </c>
      <c r="C93" s="148"/>
      <c r="D93" s="319">
        <f>FACTORES!F105</f>
        <v>216214.2</v>
      </c>
      <c r="E93" s="319">
        <f>FACTORES!G105</f>
        <v>197483.59</v>
      </c>
      <c r="F93" s="319">
        <f t="shared" si="10"/>
        <v>281224.29000000004</v>
      </c>
      <c r="G93" s="319">
        <f t="shared" si="11"/>
        <v>257008.42</v>
      </c>
      <c r="H93" s="319">
        <f t="shared" si="12"/>
        <v>282074.29000000004</v>
      </c>
      <c r="I93" s="319">
        <f t="shared" si="13"/>
        <v>257858.42</v>
      </c>
      <c r="J93" s="319">
        <f t="shared" si="14"/>
        <v>327206.1764</v>
      </c>
      <c r="K93" s="319">
        <f t="shared" si="15"/>
        <v>299115.7672</v>
      </c>
      <c r="L93" s="102"/>
      <c r="M93" s="220"/>
      <c r="N93" s="220"/>
      <c r="O93" s="268"/>
      <c r="P93" s="102"/>
      <c r="Q93" s="102"/>
      <c r="R93" s="3"/>
      <c r="S93" s="3"/>
      <c r="T93" s="266"/>
      <c r="U93" s="266"/>
    </row>
    <row r="94" spans="2:21" s="58" customFormat="1" ht="15" hidden="1" customHeight="1">
      <c r="B94" s="153">
        <f t="shared" si="16"/>
        <v>67</v>
      </c>
      <c r="C94" s="148"/>
      <c r="D94" s="319">
        <f>FACTORES!F106</f>
        <v>227478.48</v>
      </c>
      <c r="E94" s="319">
        <f>FACTORES!G106</f>
        <v>205596.34</v>
      </c>
      <c r="F94" s="319">
        <f t="shared" si="10"/>
        <v>295787.31</v>
      </c>
      <c r="G94" s="319">
        <f t="shared" si="11"/>
        <v>267496.99</v>
      </c>
      <c r="H94" s="319">
        <f t="shared" si="12"/>
        <v>296637.31</v>
      </c>
      <c r="I94" s="319">
        <f t="shared" si="13"/>
        <v>268346.99</v>
      </c>
      <c r="J94" s="319">
        <f t="shared" si="14"/>
        <v>344099.27959999995</v>
      </c>
      <c r="K94" s="319">
        <f t="shared" si="15"/>
        <v>311282.50839999999</v>
      </c>
      <c r="L94" s="102"/>
      <c r="M94" s="220"/>
      <c r="N94" s="220"/>
      <c r="O94" s="268"/>
      <c r="P94" s="102"/>
      <c r="Q94" s="102"/>
      <c r="R94" s="3"/>
      <c r="S94" s="3"/>
      <c r="T94" s="266"/>
      <c r="U94" s="266"/>
    </row>
    <row r="95" spans="2:21" s="58" customFormat="1" ht="15" hidden="1" customHeight="1">
      <c r="B95" s="153">
        <f t="shared" si="16"/>
        <v>68</v>
      </c>
      <c r="C95" s="148"/>
      <c r="D95" s="319">
        <f>FACTORES!F107</f>
        <v>239048.37</v>
      </c>
      <c r="E95" s="319">
        <f>FACTORES!G107</f>
        <v>214516.32</v>
      </c>
      <c r="F95" s="319">
        <f t="shared" si="10"/>
        <v>310745.45</v>
      </c>
      <c r="G95" s="319">
        <f t="shared" si="11"/>
        <v>279029.18</v>
      </c>
      <c r="H95" s="319">
        <f t="shared" si="12"/>
        <v>311595.45</v>
      </c>
      <c r="I95" s="319">
        <f t="shared" si="13"/>
        <v>279879.18</v>
      </c>
      <c r="J95" s="319">
        <f t="shared" si="14"/>
        <v>361450.72200000001</v>
      </c>
      <c r="K95" s="319">
        <f t="shared" si="15"/>
        <v>324659.84879999998</v>
      </c>
      <c r="L95" s="102"/>
      <c r="M95" s="220"/>
      <c r="N95" s="220"/>
      <c r="O95" s="268"/>
      <c r="P95" s="102"/>
      <c r="Q95" s="102"/>
      <c r="R95" s="3"/>
      <c r="S95" s="3"/>
      <c r="T95" s="266"/>
      <c r="U95" s="266"/>
    </row>
    <row r="96" spans="2:21" s="58" customFormat="1" ht="15" hidden="1" customHeight="1">
      <c r="B96" s="153">
        <f t="shared" si="16"/>
        <v>69</v>
      </c>
      <c r="C96" s="148"/>
      <c r="D96" s="319">
        <f>FACTORES!F108</f>
        <v>251234.41</v>
      </c>
      <c r="E96" s="319">
        <f>FACTORES!G108</f>
        <v>224099.61</v>
      </c>
      <c r="F96" s="319">
        <f t="shared" si="10"/>
        <v>326500.17</v>
      </c>
      <c r="G96" s="319">
        <f t="shared" si="11"/>
        <v>291418.94</v>
      </c>
      <c r="H96" s="319">
        <f t="shared" si="12"/>
        <v>327350.17</v>
      </c>
      <c r="I96" s="319">
        <f t="shared" si="13"/>
        <v>292268.94</v>
      </c>
      <c r="J96" s="319">
        <f t="shared" si="14"/>
        <v>379726.19719999994</v>
      </c>
      <c r="K96" s="319">
        <f t="shared" si="15"/>
        <v>339031.97039999999</v>
      </c>
      <c r="L96" s="102"/>
      <c r="M96" s="220"/>
      <c r="N96" s="220"/>
      <c r="O96" s="268"/>
      <c r="P96" s="102"/>
      <c r="Q96" s="102"/>
      <c r="R96" s="3"/>
      <c r="S96" s="3"/>
      <c r="T96" s="266"/>
      <c r="U96" s="266"/>
    </row>
    <row r="97" spans="2:21" s="58" customFormat="1" ht="15" hidden="1" customHeight="1">
      <c r="B97" s="153">
        <f t="shared" si="16"/>
        <v>70</v>
      </c>
      <c r="C97" s="148"/>
      <c r="D97" s="319">
        <f>FACTORES!F109</f>
        <v>263751.64</v>
      </c>
      <c r="E97" s="319">
        <f>FACTORES!G109</f>
        <v>233485.34</v>
      </c>
      <c r="F97" s="319">
        <f t="shared" si="10"/>
        <v>342683.07</v>
      </c>
      <c r="G97" s="319">
        <f t="shared" si="11"/>
        <v>303553.28000000003</v>
      </c>
      <c r="H97" s="319">
        <f t="shared" si="12"/>
        <v>343533.07</v>
      </c>
      <c r="I97" s="319">
        <f t="shared" si="13"/>
        <v>304403.28000000003</v>
      </c>
      <c r="J97" s="319">
        <f t="shared" si="14"/>
        <v>398498.36119999998</v>
      </c>
      <c r="K97" s="319">
        <f t="shared" si="15"/>
        <v>353107.80479999998</v>
      </c>
      <c r="L97" s="102"/>
      <c r="M97" s="220"/>
      <c r="N97" s="220"/>
      <c r="O97" s="268"/>
      <c r="P97" s="102"/>
      <c r="Q97" s="102"/>
      <c r="R97" s="3"/>
      <c r="S97" s="3"/>
      <c r="T97" s="266"/>
      <c r="U97" s="266"/>
    </row>
    <row r="98" spans="2:21" s="58" customFormat="1" ht="15" hidden="1" customHeight="1">
      <c r="B98" s="153">
        <f t="shared" si="16"/>
        <v>71</v>
      </c>
      <c r="C98" s="148"/>
      <c r="D98" s="319">
        <f>FACTORES!F110</f>
        <v>276493.03999999998</v>
      </c>
      <c r="E98" s="319">
        <f>FACTORES!G110</f>
        <v>243320.77</v>
      </c>
      <c r="F98" s="319">
        <f t="shared" si="10"/>
        <v>359155.79000000004</v>
      </c>
      <c r="G98" s="319">
        <f t="shared" si="11"/>
        <v>316269.02</v>
      </c>
      <c r="H98" s="319">
        <f t="shared" si="12"/>
        <v>360005.79000000004</v>
      </c>
      <c r="I98" s="319">
        <f t="shared" si="13"/>
        <v>317119.02</v>
      </c>
      <c r="J98" s="319">
        <f t="shared" si="14"/>
        <v>417606.71640000003</v>
      </c>
      <c r="K98" s="319">
        <f t="shared" si="15"/>
        <v>367858.06319999998</v>
      </c>
      <c r="L98" s="102"/>
      <c r="M98" s="220"/>
      <c r="N98" s="220"/>
      <c r="O98" s="268"/>
      <c r="P98" s="102"/>
      <c r="Q98" s="102"/>
      <c r="R98" s="3"/>
      <c r="S98" s="3"/>
      <c r="T98" s="266"/>
      <c r="U98" s="266"/>
    </row>
    <row r="99" spans="2:21" s="58" customFormat="1" ht="15" hidden="1" customHeight="1">
      <c r="B99" s="153">
        <f t="shared" si="16"/>
        <v>72</v>
      </c>
      <c r="C99" s="148"/>
      <c r="D99" s="319">
        <f>FACTORES!F111</f>
        <v>289702.06</v>
      </c>
      <c r="E99" s="319">
        <f>FACTORES!G111</f>
        <v>253830.09</v>
      </c>
      <c r="F99" s="319">
        <f t="shared" si="10"/>
        <v>376233.07</v>
      </c>
      <c r="G99" s="319">
        <f t="shared" si="11"/>
        <v>329855.99</v>
      </c>
      <c r="H99" s="319">
        <f t="shared" si="12"/>
        <v>377083.07</v>
      </c>
      <c r="I99" s="319">
        <f t="shared" si="13"/>
        <v>330705.99</v>
      </c>
      <c r="J99" s="319">
        <f t="shared" si="14"/>
        <v>437416.36119999998</v>
      </c>
      <c r="K99" s="319">
        <f t="shared" si="15"/>
        <v>383618.94839999994</v>
      </c>
      <c r="L99" s="102"/>
      <c r="M99" s="220"/>
      <c r="N99" s="220"/>
      <c r="O99" s="268"/>
      <c r="P99" s="102"/>
      <c r="Q99" s="102"/>
      <c r="R99" s="3"/>
      <c r="S99" s="3"/>
      <c r="T99" s="266"/>
      <c r="U99" s="266"/>
    </row>
    <row r="100" spans="2:21" s="58" customFormat="1" ht="15" hidden="1" customHeight="1">
      <c r="B100" s="153">
        <f t="shared" si="16"/>
        <v>73</v>
      </c>
      <c r="C100" s="148"/>
      <c r="D100" s="319">
        <f>FACTORES!F112</f>
        <v>303208.06</v>
      </c>
      <c r="E100" s="319">
        <f>FACTORES!G112</f>
        <v>264123.24</v>
      </c>
      <c r="F100" s="319">
        <f t="shared" si="10"/>
        <v>393694.3</v>
      </c>
      <c r="G100" s="319">
        <f t="shared" si="11"/>
        <v>343163.49</v>
      </c>
      <c r="H100" s="319">
        <f t="shared" si="12"/>
        <v>394544.3</v>
      </c>
      <c r="I100" s="319">
        <f t="shared" si="13"/>
        <v>344013.49</v>
      </c>
      <c r="J100" s="319">
        <f t="shared" si="14"/>
        <v>457671.38799999998</v>
      </c>
      <c r="K100" s="319">
        <f t="shared" si="15"/>
        <v>399055.64839999995</v>
      </c>
      <c r="L100" s="102"/>
      <c r="M100" s="220"/>
      <c r="N100" s="220"/>
      <c r="O100" s="268"/>
      <c r="P100" s="102"/>
      <c r="Q100" s="102"/>
      <c r="R100" s="3"/>
      <c r="S100" s="3"/>
      <c r="T100" s="266"/>
      <c r="U100" s="266"/>
    </row>
    <row r="101" spans="2:21" s="58" customFormat="1" ht="15" hidden="1" customHeight="1">
      <c r="B101" s="153">
        <f t="shared" si="16"/>
        <v>74</v>
      </c>
      <c r="C101" s="148"/>
      <c r="D101" s="319">
        <f>FACTORES!F113</f>
        <v>317810.63</v>
      </c>
      <c r="E101" s="319">
        <f>FACTORES!G113</f>
        <v>274622.24</v>
      </c>
      <c r="F101" s="319">
        <f t="shared" si="10"/>
        <v>412573.23</v>
      </c>
      <c r="G101" s="319">
        <f t="shared" si="11"/>
        <v>356737.12</v>
      </c>
      <c r="H101" s="319">
        <f t="shared" si="12"/>
        <v>413423.23</v>
      </c>
      <c r="I101" s="319">
        <f t="shared" si="13"/>
        <v>357587.12</v>
      </c>
      <c r="J101" s="319">
        <f t="shared" si="14"/>
        <v>479570.94679999992</v>
      </c>
      <c r="K101" s="319">
        <f t="shared" si="15"/>
        <v>414801.05919999996</v>
      </c>
      <c r="L101" s="102"/>
      <c r="M101" s="220"/>
      <c r="N101" s="220"/>
      <c r="O101" s="268"/>
      <c r="P101" s="102"/>
      <c r="Q101" s="102"/>
      <c r="R101" s="3"/>
      <c r="S101" s="3"/>
      <c r="T101" s="266"/>
      <c r="U101" s="266"/>
    </row>
    <row r="102" spans="2:21" s="58" customFormat="1" ht="15" hidden="1" customHeight="1">
      <c r="B102" s="153">
        <f t="shared" si="16"/>
        <v>75</v>
      </c>
      <c r="C102" s="148"/>
      <c r="D102" s="319">
        <f>FACTORES!F114</f>
        <v>331568.43</v>
      </c>
      <c r="E102" s="319">
        <f>FACTORES!G114</f>
        <v>285928.14</v>
      </c>
      <c r="F102" s="319">
        <f t="shared" si="10"/>
        <v>430360</v>
      </c>
      <c r="G102" s="319">
        <f t="shared" si="11"/>
        <v>371353.96</v>
      </c>
      <c r="H102" s="319">
        <f t="shared" si="12"/>
        <v>431210</v>
      </c>
      <c r="I102" s="319">
        <f t="shared" si="13"/>
        <v>372203.96</v>
      </c>
      <c r="J102" s="319">
        <f t="shared" si="14"/>
        <v>500203.6</v>
      </c>
      <c r="K102" s="319">
        <f t="shared" si="15"/>
        <v>431756.59360000002</v>
      </c>
      <c r="L102" s="102"/>
      <c r="M102" s="220"/>
      <c r="N102" s="220"/>
      <c r="O102" s="268"/>
      <c r="P102" s="102"/>
      <c r="Q102" s="102"/>
      <c r="R102" s="3"/>
      <c r="S102" s="3"/>
      <c r="T102" s="266"/>
      <c r="U102" s="266"/>
    </row>
    <row r="103" spans="2:21" s="58" customFormat="1" ht="15" hidden="1" customHeight="1">
      <c r="B103" s="153">
        <f t="shared" si="16"/>
        <v>76</v>
      </c>
      <c r="C103" s="148"/>
      <c r="D103" s="319">
        <f>FACTORES!F115</f>
        <v>348368.21</v>
      </c>
      <c r="E103" s="319">
        <f>FACTORES!G115</f>
        <v>298339.55</v>
      </c>
      <c r="F103" s="319">
        <f t="shared" si="10"/>
        <v>452079.60000000003</v>
      </c>
      <c r="G103" s="319">
        <f t="shared" si="11"/>
        <v>387400.05</v>
      </c>
      <c r="H103" s="319">
        <f t="shared" si="12"/>
        <v>452929.60000000003</v>
      </c>
      <c r="I103" s="319">
        <f t="shared" si="13"/>
        <v>388250.05</v>
      </c>
      <c r="J103" s="319">
        <f t="shared" si="14"/>
        <v>525398.33600000001</v>
      </c>
      <c r="K103" s="319">
        <f t="shared" si="15"/>
        <v>450370.05799999996</v>
      </c>
      <c r="L103" s="102"/>
      <c r="M103" s="220"/>
      <c r="N103" s="220"/>
      <c r="O103" s="268"/>
      <c r="P103" s="102"/>
      <c r="Q103" s="102"/>
      <c r="R103" s="3"/>
      <c r="S103" s="3"/>
      <c r="T103" s="266"/>
      <c r="U103" s="266"/>
    </row>
    <row r="104" spans="2:21" s="58" customFormat="1" ht="15" hidden="1" customHeight="1">
      <c r="B104" s="153">
        <f t="shared" si="16"/>
        <v>77</v>
      </c>
      <c r="C104" s="148"/>
      <c r="D104" s="319">
        <f>FACTORES!F116</f>
        <v>366318.01</v>
      </c>
      <c r="E104" s="319">
        <f>FACTORES!G116</f>
        <v>311651.39</v>
      </c>
      <c r="F104" s="319">
        <f t="shared" si="10"/>
        <v>475286</v>
      </c>
      <c r="G104" s="319">
        <f t="shared" si="11"/>
        <v>404610.26</v>
      </c>
      <c r="H104" s="319">
        <f t="shared" si="12"/>
        <v>476136</v>
      </c>
      <c r="I104" s="319">
        <f t="shared" si="13"/>
        <v>405460.26</v>
      </c>
      <c r="J104" s="319">
        <f t="shared" si="14"/>
        <v>552317.76</v>
      </c>
      <c r="K104" s="319">
        <f t="shared" si="15"/>
        <v>470333.90159999998</v>
      </c>
      <c r="L104" s="102"/>
      <c r="M104" s="220"/>
      <c r="N104" s="220"/>
      <c r="O104" s="268"/>
      <c r="P104" s="102"/>
      <c r="Q104" s="102"/>
      <c r="R104" s="3"/>
      <c r="S104" s="3"/>
      <c r="T104" s="266"/>
      <c r="U104" s="266"/>
    </row>
    <row r="105" spans="2:21" s="58" customFormat="1" ht="15" hidden="1" customHeight="1">
      <c r="B105" s="153">
        <f t="shared" si="16"/>
        <v>78</v>
      </c>
      <c r="C105" s="148"/>
      <c r="D105" s="319">
        <f>FACTORES!F117</f>
        <v>384978.01</v>
      </c>
      <c r="E105" s="319">
        <f>FACTORES!G117</f>
        <v>325519.28000000003</v>
      </c>
      <c r="F105" s="319">
        <f t="shared" si="10"/>
        <v>499410.58</v>
      </c>
      <c r="G105" s="319">
        <f t="shared" si="11"/>
        <v>422539.36</v>
      </c>
      <c r="H105" s="319">
        <f t="shared" si="12"/>
        <v>500260.58</v>
      </c>
      <c r="I105" s="319">
        <f t="shared" si="13"/>
        <v>423389.36</v>
      </c>
      <c r="J105" s="319">
        <f t="shared" si="14"/>
        <v>580302.27280000004</v>
      </c>
      <c r="K105" s="319">
        <f t="shared" si="15"/>
        <v>491131.65759999998</v>
      </c>
      <c r="L105" s="102"/>
      <c r="M105" s="220"/>
      <c r="N105" s="220"/>
      <c r="O105" s="268"/>
      <c r="P105" s="102"/>
      <c r="Q105" s="102"/>
      <c r="R105" s="3"/>
      <c r="S105" s="3"/>
      <c r="T105" s="266"/>
      <c r="U105" s="266"/>
    </row>
    <row r="106" spans="2:21" s="58" customFormat="1" ht="15" hidden="1" customHeight="1">
      <c r="B106" s="153">
        <f t="shared" si="16"/>
        <v>79</v>
      </c>
      <c r="C106" s="148"/>
      <c r="D106" s="319">
        <f>FACTORES!F118</f>
        <v>405460.98</v>
      </c>
      <c r="E106" s="319">
        <f>FACTORES!G118</f>
        <v>339431.34</v>
      </c>
      <c r="F106" s="319">
        <f t="shared" si="10"/>
        <v>525891.99</v>
      </c>
      <c r="G106" s="319">
        <f t="shared" si="11"/>
        <v>440525.57</v>
      </c>
      <c r="H106" s="319">
        <f t="shared" si="12"/>
        <v>526741.99</v>
      </c>
      <c r="I106" s="319">
        <f t="shared" si="13"/>
        <v>441375.57</v>
      </c>
      <c r="J106" s="319">
        <f t="shared" si="14"/>
        <v>611020.7084</v>
      </c>
      <c r="K106" s="319">
        <f t="shared" si="15"/>
        <v>511995.66119999997</v>
      </c>
      <c r="L106" s="102"/>
      <c r="M106" s="220"/>
      <c r="N106" s="220"/>
      <c r="O106" s="268"/>
      <c r="P106" s="102"/>
      <c r="Q106" s="102"/>
      <c r="R106" s="3"/>
      <c r="S106" s="3"/>
      <c r="T106" s="266"/>
      <c r="U106" s="266"/>
    </row>
    <row r="107" spans="2:21" s="58" customFormat="1" ht="15" hidden="1" customHeight="1">
      <c r="B107" s="153">
        <f t="shared" si="16"/>
        <v>80</v>
      </c>
      <c r="C107" s="148"/>
      <c r="D107" s="319">
        <f>FACTORES!F119</f>
        <v>425330.09</v>
      </c>
      <c r="E107" s="319">
        <f>FACTORES!G119</f>
        <v>354116.78</v>
      </c>
      <c r="F107" s="319">
        <f t="shared" si="10"/>
        <v>551579.77</v>
      </c>
      <c r="G107" s="319">
        <f t="shared" si="11"/>
        <v>459511.64</v>
      </c>
      <c r="H107" s="319">
        <f t="shared" si="12"/>
        <v>552429.77</v>
      </c>
      <c r="I107" s="319">
        <f t="shared" si="13"/>
        <v>460361.64</v>
      </c>
      <c r="J107" s="319">
        <f t="shared" si="14"/>
        <v>640818.53319999995</v>
      </c>
      <c r="K107" s="319">
        <f t="shared" si="15"/>
        <v>534019.5024</v>
      </c>
      <c r="L107" s="102"/>
      <c r="M107" s="220"/>
      <c r="N107" s="220"/>
      <c r="O107" s="268"/>
      <c r="P107" s="102"/>
      <c r="Q107" s="102"/>
      <c r="R107" s="3"/>
      <c r="S107" s="3"/>
      <c r="T107" s="266"/>
      <c r="U107" s="266"/>
    </row>
    <row r="108" spans="2:21" s="58" customFormat="1" ht="15" hidden="1" customHeight="1">
      <c r="B108" s="153">
        <f t="shared" si="16"/>
        <v>81</v>
      </c>
      <c r="C108" s="148"/>
      <c r="D108" s="319">
        <f>FACTORES!F120</f>
        <v>448670.34</v>
      </c>
      <c r="E108" s="319">
        <f>FACTORES!G120</f>
        <v>368996.56</v>
      </c>
      <c r="F108" s="319">
        <f t="shared" si="10"/>
        <v>581755.21</v>
      </c>
      <c r="G108" s="319">
        <f t="shared" si="11"/>
        <v>478748.96</v>
      </c>
      <c r="H108" s="319">
        <f t="shared" si="12"/>
        <v>582605.21</v>
      </c>
      <c r="I108" s="319">
        <f t="shared" si="13"/>
        <v>479598.96</v>
      </c>
      <c r="J108" s="319">
        <f t="shared" si="14"/>
        <v>675822.04359999986</v>
      </c>
      <c r="K108" s="319">
        <f t="shared" si="15"/>
        <v>556334.79359999998</v>
      </c>
      <c r="L108" s="102"/>
      <c r="M108" s="220"/>
      <c r="N108" s="220"/>
      <c r="O108" s="268"/>
      <c r="P108" s="102"/>
      <c r="Q108" s="102"/>
      <c r="R108" s="3"/>
      <c r="S108" s="3"/>
      <c r="T108" s="266"/>
      <c r="U108" s="266"/>
    </row>
    <row r="109" spans="2:21" s="58" customFormat="1" ht="15" hidden="1" customHeight="1">
      <c r="B109" s="153">
        <f t="shared" si="16"/>
        <v>82</v>
      </c>
      <c r="C109" s="148"/>
      <c r="D109" s="319">
        <f>FACTORES!F121</f>
        <v>472895.59</v>
      </c>
      <c r="E109" s="319">
        <f>FACTORES!G121</f>
        <v>383268.62</v>
      </c>
      <c r="F109" s="319">
        <f t="shared" si="10"/>
        <v>613074.82000000007</v>
      </c>
      <c r="G109" s="319">
        <f t="shared" si="11"/>
        <v>497200.60000000003</v>
      </c>
      <c r="H109" s="319">
        <f t="shared" si="12"/>
        <v>613924.82000000007</v>
      </c>
      <c r="I109" s="319">
        <f t="shared" si="13"/>
        <v>498050.60000000003</v>
      </c>
      <c r="J109" s="319">
        <f t="shared" si="14"/>
        <v>712152.79119999998</v>
      </c>
      <c r="K109" s="319">
        <f t="shared" si="15"/>
        <v>577738.696</v>
      </c>
      <c r="L109" s="102"/>
      <c r="M109" s="220"/>
      <c r="N109" s="220"/>
      <c r="O109" s="268"/>
      <c r="P109" s="102"/>
      <c r="Q109" s="102"/>
      <c r="R109" s="3"/>
      <c r="S109" s="3"/>
      <c r="T109" s="266"/>
      <c r="U109" s="266"/>
    </row>
    <row r="110" spans="2:21" s="58" customFormat="1" ht="15" hidden="1" customHeight="1">
      <c r="B110" s="153">
        <f t="shared" si="16"/>
        <v>83</v>
      </c>
      <c r="C110" s="148"/>
      <c r="D110" s="319">
        <f>FACTORES!F122</f>
        <v>498141</v>
      </c>
      <c r="E110" s="319">
        <f>FACTORES!G122</f>
        <v>399520.63</v>
      </c>
      <c r="F110" s="319">
        <f t="shared" si="10"/>
        <v>645713.35</v>
      </c>
      <c r="G110" s="319">
        <f t="shared" si="11"/>
        <v>518212.01</v>
      </c>
      <c r="H110" s="319">
        <f t="shared" si="12"/>
        <v>646563.35</v>
      </c>
      <c r="I110" s="319">
        <f t="shared" si="13"/>
        <v>519062.01</v>
      </c>
      <c r="J110" s="319">
        <f t="shared" si="14"/>
        <v>750013.48599999992</v>
      </c>
      <c r="K110" s="319">
        <f t="shared" si="15"/>
        <v>602111.93160000001</v>
      </c>
      <c r="L110" s="102"/>
      <c r="M110" s="220"/>
      <c r="N110" s="220"/>
      <c r="O110" s="268"/>
      <c r="P110" s="102"/>
      <c r="Q110" s="102"/>
      <c r="R110" s="3"/>
      <c r="S110" s="3"/>
      <c r="T110" s="266"/>
      <c r="U110" s="266"/>
    </row>
    <row r="111" spans="2:21" s="58" customFormat="1" ht="15" hidden="1" customHeight="1">
      <c r="B111" s="153">
        <f t="shared" si="16"/>
        <v>84</v>
      </c>
      <c r="C111" s="148"/>
      <c r="D111" s="319">
        <f>FACTORES!F123</f>
        <v>524568.06999999995</v>
      </c>
      <c r="E111" s="319">
        <f>FACTORES!G123</f>
        <v>415289.25</v>
      </c>
      <c r="F111" s="319">
        <f t="shared" si="10"/>
        <v>679879.59</v>
      </c>
      <c r="G111" s="319">
        <f t="shared" si="11"/>
        <v>538598.47</v>
      </c>
      <c r="H111" s="319">
        <f t="shared" ref="H111:I113" si="17">(F111*(1+$I$24))+$I$25</f>
        <v>680729.59</v>
      </c>
      <c r="I111" s="319">
        <f t="shared" si="17"/>
        <v>539448.47</v>
      </c>
      <c r="J111" s="319">
        <f t="shared" ref="J111:K113" si="18">H111*(1+$K$25)</f>
        <v>789646.32439999992</v>
      </c>
      <c r="K111" s="319">
        <f t="shared" si="18"/>
        <v>625760.22519999987</v>
      </c>
      <c r="L111" s="102"/>
      <c r="M111" s="220"/>
      <c r="N111" s="220"/>
      <c r="O111" s="268"/>
      <c r="P111" s="102"/>
      <c r="Q111" s="102"/>
      <c r="R111" s="3"/>
      <c r="S111" s="3"/>
      <c r="T111" s="266"/>
      <c r="U111" s="266"/>
    </row>
    <row r="112" spans="2:21" s="58" customFormat="1" ht="15" hidden="1" customHeight="1">
      <c r="B112" s="153">
        <f t="shared" si="16"/>
        <v>85</v>
      </c>
      <c r="C112" s="148"/>
      <c r="D112" s="319">
        <f>FACTORES!$F$124</f>
        <v>552366.77</v>
      </c>
      <c r="E112" s="319">
        <f>FACTORES!$G$124</f>
        <v>431503.31</v>
      </c>
      <c r="F112" s="319">
        <f t="shared" si="10"/>
        <v>715819.14</v>
      </c>
      <c r="G112" s="319">
        <f t="shared" si="11"/>
        <v>559560.81000000006</v>
      </c>
      <c r="H112" s="319">
        <f t="shared" si="17"/>
        <v>716669.14</v>
      </c>
      <c r="I112" s="319">
        <f t="shared" si="17"/>
        <v>560410.81000000006</v>
      </c>
      <c r="J112" s="319">
        <f t="shared" si="18"/>
        <v>831336.20239999995</v>
      </c>
      <c r="K112" s="319">
        <f t="shared" si="18"/>
        <v>650076.53960000002</v>
      </c>
      <c r="L112" s="102"/>
      <c r="M112" s="220"/>
      <c r="N112" s="220"/>
      <c r="O112" s="268"/>
      <c r="P112" s="102"/>
      <c r="Q112" s="102"/>
      <c r="R112" s="3"/>
      <c r="S112" s="3"/>
      <c r="T112" s="266"/>
      <c r="U112" s="266"/>
    </row>
    <row r="113" spans="2:21" s="58" customFormat="1" ht="15" hidden="1" customHeight="1">
      <c r="B113" s="153">
        <f t="shared" si="16"/>
        <v>86</v>
      </c>
      <c r="C113" s="148"/>
      <c r="D113" s="319">
        <f>FACTORES!$F$124</f>
        <v>552366.77</v>
      </c>
      <c r="E113" s="319">
        <f>FACTORES!$G$124</f>
        <v>431503.31</v>
      </c>
      <c r="F113" s="319">
        <f t="shared" ref="F113" si="19">ROUND(D113*$G$5*$G$6*$G$8,2)+ADIC+DENTAL+ENFGVES+IKE+CVISION+DEDXACC</f>
        <v>715819.14</v>
      </c>
      <c r="G113" s="319">
        <f t="shared" ref="G113" si="20">ROUND(E113*$G$5*$G$6*$G$8,2)+ADIC+DENTAL+ENFGVES+IKE+CVISION+DEDXACC</f>
        <v>559560.81000000006</v>
      </c>
      <c r="H113" s="319">
        <f t="shared" si="17"/>
        <v>716669.14</v>
      </c>
      <c r="I113" s="319">
        <f t="shared" si="17"/>
        <v>560410.81000000006</v>
      </c>
      <c r="J113" s="319">
        <f t="shared" si="18"/>
        <v>831336.20239999995</v>
      </c>
      <c r="K113" s="319">
        <f t="shared" si="18"/>
        <v>650076.53960000002</v>
      </c>
      <c r="L113" s="102"/>
      <c r="M113" s="102"/>
      <c r="N113" s="102"/>
      <c r="O113" s="268"/>
      <c r="P113" s="102"/>
      <c r="Q113" s="102"/>
      <c r="R113" s="3"/>
      <c r="S113" s="3"/>
      <c r="T113" s="266"/>
      <c r="U113" s="266"/>
    </row>
    <row r="114" spans="2:21" s="58" customFormat="1" ht="15" hidden="1" customHeight="1">
      <c r="B114" s="153">
        <f t="shared" si="16"/>
        <v>87</v>
      </c>
      <c r="C114" s="148"/>
      <c r="D114" s="319">
        <f>FACTORES!$F$124</f>
        <v>552366.77</v>
      </c>
      <c r="E114" s="319">
        <f>FACTORES!$G$124</f>
        <v>431503.31</v>
      </c>
      <c r="F114" s="319">
        <f t="shared" ref="F114:F127" si="21">ROUND(D114*$G$5*$G$6*$G$8,2)+ADIC+DENTAL+ENFGVES+IKE+CVISION+DEDXACC</f>
        <v>715819.14</v>
      </c>
      <c r="G114" s="319">
        <f t="shared" ref="G114:G127" si="22">ROUND(E114*$G$5*$G$6*$G$8,2)+ADIC+DENTAL+ENFGVES+IKE+CVISION+DEDXACC</f>
        <v>559560.81000000006</v>
      </c>
      <c r="H114" s="319">
        <f t="shared" ref="H114:H127" si="23">(F114*(1+$I$24))+$I$25</f>
        <v>716669.14</v>
      </c>
      <c r="I114" s="319">
        <f t="shared" ref="I114:I127" si="24">(G114*(1+$I$24))+$I$25</f>
        <v>560410.81000000006</v>
      </c>
      <c r="J114" s="319">
        <f t="shared" ref="J114:J127" si="25">H114*(1+$K$25)</f>
        <v>831336.20239999995</v>
      </c>
      <c r="K114" s="319">
        <f t="shared" ref="K114:K127" si="26">I114*(1+$K$25)</f>
        <v>650076.53960000002</v>
      </c>
      <c r="L114" s="102"/>
      <c r="M114" s="102"/>
      <c r="N114" s="102"/>
      <c r="O114" s="268"/>
      <c r="P114" s="102"/>
      <c r="Q114" s="102"/>
      <c r="R114" s="3"/>
      <c r="S114" s="3"/>
      <c r="T114" s="266"/>
      <c r="U114" s="266"/>
    </row>
    <row r="115" spans="2:21" s="58" customFormat="1" ht="15" hidden="1" customHeight="1">
      <c r="B115" s="153">
        <f t="shared" si="16"/>
        <v>88</v>
      </c>
      <c r="C115" s="148"/>
      <c r="D115" s="319">
        <f>FACTORES!$F$124</f>
        <v>552366.77</v>
      </c>
      <c r="E115" s="319">
        <f>FACTORES!$G$124</f>
        <v>431503.31</v>
      </c>
      <c r="F115" s="319">
        <f t="shared" si="21"/>
        <v>715819.14</v>
      </c>
      <c r="G115" s="319">
        <f t="shared" si="22"/>
        <v>559560.81000000006</v>
      </c>
      <c r="H115" s="319">
        <f t="shared" si="23"/>
        <v>716669.14</v>
      </c>
      <c r="I115" s="319">
        <f t="shared" si="24"/>
        <v>560410.81000000006</v>
      </c>
      <c r="J115" s="319">
        <f t="shared" si="25"/>
        <v>831336.20239999995</v>
      </c>
      <c r="K115" s="319">
        <f t="shared" si="26"/>
        <v>650076.53960000002</v>
      </c>
      <c r="M115" s="267"/>
      <c r="R115" s="104"/>
      <c r="S115" s="104"/>
    </row>
    <row r="116" spans="2:21" s="58" customFormat="1" ht="15" hidden="1" customHeight="1">
      <c r="B116" s="153">
        <f t="shared" si="16"/>
        <v>89</v>
      </c>
      <c r="C116" s="148"/>
      <c r="D116" s="319">
        <f>FACTORES!$F$124</f>
        <v>552366.77</v>
      </c>
      <c r="E116" s="319">
        <f>FACTORES!$G$124</f>
        <v>431503.31</v>
      </c>
      <c r="F116" s="319">
        <f t="shared" si="21"/>
        <v>715819.14</v>
      </c>
      <c r="G116" s="319">
        <f t="shared" si="22"/>
        <v>559560.81000000006</v>
      </c>
      <c r="H116" s="319">
        <f t="shared" si="23"/>
        <v>716669.14</v>
      </c>
      <c r="I116" s="319">
        <f t="shared" si="24"/>
        <v>560410.81000000006</v>
      </c>
      <c r="J116" s="319">
        <f t="shared" si="25"/>
        <v>831336.20239999995</v>
      </c>
      <c r="K116" s="319">
        <f t="shared" si="26"/>
        <v>650076.53960000002</v>
      </c>
      <c r="M116" s="267"/>
      <c r="N116" s="267"/>
      <c r="O116" s="267"/>
      <c r="P116" s="267"/>
      <c r="R116" s="104"/>
      <c r="S116" s="104"/>
    </row>
    <row r="117" spans="2:21" s="58" customFormat="1" ht="15" hidden="1" customHeight="1">
      <c r="B117" s="153">
        <f t="shared" si="16"/>
        <v>90</v>
      </c>
      <c r="C117" s="148"/>
      <c r="D117" s="319">
        <f>FACTORES!$F$124</f>
        <v>552366.77</v>
      </c>
      <c r="E117" s="319">
        <f>FACTORES!$G$124</f>
        <v>431503.31</v>
      </c>
      <c r="F117" s="319">
        <f t="shared" si="21"/>
        <v>715819.14</v>
      </c>
      <c r="G117" s="319">
        <f t="shared" si="22"/>
        <v>559560.81000000006</v>
      </c>
      <c r="H117" s="319">
        <f t="shared" si="23"/>
        <v>716669.14</v>
      </c>
      <c r="I117" s="319">
        <f t="shared" si="24"/>
        <v>560410.81000000006</v>
      </c>
      <c r="J117" s="319">
        <f t="shared" si="25"/>
        <v>831336.20239999995</v>
      </c>
      <c r="K117" s="319">
        <f t="shared" si="26"/>
        <v>650076.53960000002</v>
      </c>
      <c r="O117" s="267"/>
      <c r="P117" s="267"/>
      <c r="R117" s="104"/>
      <c r="S117" s="104"/>
    </row>
    <row r="118" spans="2:21" s="58" customFormat="1" ht="15" hidden="1" customHeight="1">
      <c r="B118" s="153">
        <f t="shared" si="16"/>
        <v>91</v>
      </c>
      <c r="C118" s="148"/>
      <c r="D118" s="319">
        <f>FACTORES!$F$124</f>
        <v>552366.77</v>
      </c>
      <c r="E118" s="319">
        <f>FACTORES!$G$124</f>
        <v>431503.31</v>
      </c>
      <c r="F118" s="319">
        <f t="shared" si="21"/>
        <v>715819.14</v>
      </c>
      <c r="G118" s="319">
        <f t="shared" si="22"/>
        <v>559560.81000000006</v>
      </c>
      <c r="H118" s="319">
        <f t="shared" si="23"/>
        <v>716669.14</v>
      </c>
      <c r="I118" s="319">
        <f t="shared" si="24"/>
        <v>560410.81000000006</v>
      </c>
      <c r="J118" s="319">
        <f t="shared" si="25"/>
        <v>831336.20239999995</v>
      </c>
      <c r="K118" s="319">
        <f t="shared" si="26"/>
        <v>650076.53960000002</v>
      </c>
      <c r="O118" s="267"/>
      <c r="P118" s="267"/>
      <c r="R118" s="104"/>
      <c r="S118" s="104"/>
    </row>
    <row r="119" spans="2:21" s="58" customFormat="1" ht="15" hidden="1" customHeight="1">
      <c r="B119" s="153">
        <f t="shared" si="16"/>
        <v>92</v>
      </c>
      <c r="C119" s="148"/>
      <c r="D119" s="319">
        <f>FACTORES!$F$124</f>
        <v>552366.77</v>
      </c>
      <c r="E119" s="319">
        <f>FACTORES!$G$124</f>
        <v>431503.31</v>
      </c>
      <c r="F119" s="319">
        <f t="shared" si="21"/>
        <v>715819.14</v>
      </c>
      <c r="G119" s="319">
        <f t="shared" si="22"/>
        <v>559560.81000000006</v>
      </c>
      <c r="H119" s="319">
        <f t="shared" si="23"/>
        <v>716669.14</v>
      </c>
      <c r="I119" s="319">
        <f t="shared" si="24"/>
        <v>560410.81000000006</v>
      </c>
      <c r="J119" s="319">
        <f t="shared" si="25"/>
        <v>831336.20239999995</v>
      </c>
      <c r="K119" s="319">
        <f t="shared" si="26"/>
        <v>650076.53960000002</v>
      </c>
      <c r="O119" s="267"/>
      <c r="P119" s="267"/>
      <c r="R119" s="104"/>
      <c r="S119" s="104"/>
    </row>
    <row r="120" spans="2:21" s="58" customFormat="1" ht="15" hidden="1" customHeight="1">
      <c r="B120" s="153">
        <f t="shared" si="16"/>
        <v>93</v>
      </c>
      <c r="C120" s="148"/>
      <c r="D120" s="319">
        <f>FACTORES!$F$124</f>
        <v>552366.77</v>
      </c>
      <c r="E120" s="319">
        <f>FACTORES!$G$124</f>
        <v>431503.31</v>
      </c>
      <c r="F120" s="319">
        <f t="shared" si="21"/>
        <v>715819.14</v>
      </c>
      <c r="G120" s="319">
        <f t="shared" si="22"/>
        <v>559560.81000000006</v>
      </c>
      <c r="H120" s="319">
        <f t="shared" si="23"/>
        <v>716669.14</v>
      </c>
      <c r="I120" s="319">
        <f t="shared" si="24"/>
        <v>560410.81000000006</v>
      </c>
      <c r="J120" s="319">
        <f t="shared" si="25"/>
        <v>831336.20239999995</v>
      </c>
      <c r="K120" s="319">
        <f t="shared" si="26"/>
        <v>650076.53960000002</v>
      </c>
      <c r="O120" s="267"/>
      <c r="P120" s="267"/>
      <c r="R120" s="104"/>
      <c r="S120" s="104"/>
    </row>
    <row r="121" spans="2:21" s="58" customFormat="1" ht="15" hidden="1">
      <c r="B121" s="153">
        <f t="shared" si="16"/>
        <v>94</v>
      </c>
      <c r="C121" s="148"/>
      <c r="D121" s="319">
        <f>FACTORES!$F$124</f>
        <v>552366.77</v>
      </c>
      <c r="E121" s="319">
        <f>FACTORES!$G$124</f>
        <v>431503.31</v>
      </c>
      <c r="F121" s="319">
        <f t="shared" si="21"/>
        <v>715819.14</v>
      </c>
      <c r="G121" s="319">
        <f t="shared" si="22"/>
        <v>559560.81000000006</v>
      </c>
      <c r="H121" s="319">
        <f t="shared" si="23"/>
        <v>716669.14</v>
      </c>
      <c r="I121" s="319">
        <f t="shared" si="24"/>
        <v>560410.81000000006</v>
      </c>
      <c r="J121" s="319">
        <f t="shared" si="25"/>
        <v>831336.20239999995</v>
      </c>
      <c r="K121" s="319">
        <f t="shared" si="26"/>
        <v>650076.53960000002</v>
      </c>
      <c r="O121" s="267"/>
      <c r="P121" s="267"/>
      <c r="R121" s="104"/>
      <c r="S121" s="104"/>
    </row>
    <row r="122" spans="2:21" s="58" customFormat="1" ht="15" hidden="1">
      <c r="B122" s="153">
        <f t="shared" si="16"/>
        <v>95</v>
      </c>
      <c r="C122" s="148"/>
      <c r="D122" s="319">
        <f>FACTORES!$F$124</f>
        <v>552366.77</v>
      </c>
      <c r="E122" s="319">
        <f>FACTORES!$G$124</f>
        <v>431503.31</v>
      </c>
      <c r="F122" s="319">
        <f t="shared" si="21"/>
        <v>715819.14</v>
      </c>
      <c r="G122" s="319">
        <f t="shared" si="22"/>
        <v>559560.81000000006</v>
      </c>
      <c r="H122" s="319">
        <f t="shared" si="23"/>
        <v>716669.14</v>
      </c>
      <c r="I122" s="319">
        <f t="shared" si="24"/>
        <v>560410.81000000006</v>
      </c>
      <c r="J122" s="319">
        <f t="shared" si="25"/>
        <v>831336.20239999995</v>
      </c>
      <c r="K122" s="319">
        <f t="shared" si="26"/>
        <v>650076.53960000002</v>
      </c>
      <c r="O122" s="267"/>
      <c r="P122" s="267"/>
      <c r="R122" s="104"/>
      <c r="S122" s="104"/>
    </row>
    <row r="123" spans="2:21" s="58" customFormat="1" ht="15" hidden="1">
      <c r="B123" s="153">
        <f t="shared" si="16"/>
        <v>96</v>
      </c>
      <c r="C123" s="148"/>
      <c r="D123" s="319">
        <f>FACTORES!$F$124</f>
        <v>552366.77</v>
      </c>
      <c r="E123" s="319">
        <f>FACTORES!$G$124</f>
        <v>431503.31</v>
      </c>
      <c r="F123" s="319">
        <f t="shared" si="21"/>
        <v>715819.14</v>
      </c>
      <c r="G123" s="319">
        <f t="shared" si="22"/>
        <v>559560.81000000006</v>
      </c>
      <c r="H123" s="319">
        <f t="shared" si="23"/>
        <v>716669.14</v>
      </c>
      <c r="I123" s="319">
        <f t="shared" si="24"/>
        <v>560410.81000000006</v>
      </c>
      <c r="J123" s="319">
        <f t="shared" si="25"/>
        <v>831336.20239999995</v>
      </c>
      <c r="K123" s="319">
        <f t="shared" si="26"/>
        <v>650076.53960000002</v>
      </c>
      <c r="O123" s="267"/>
      <c r="P123" s="267"/>
      <c r="R123" s="104"/>
      <c r="S123" s="104"/>
    </row>
    <row r="124" spans="2:21" s="58" customFormat="1" ht="15" hidden="1">
      <c r="B124" s="153">
        <f t="shared" si="16"/>
        <v>97</v>
      </c>
      <c r="C124" s="148"/>
      <c r="D124" s="319">
        <f>FACTORES!$F$124</f>
        <v>552366.77</v>
      </c>
      <c r="E124" s="319">
        <f>FACTORES!$G$124</f>
        <v>431503.31</v>
      </c>
      <c r="F124" s="319">
        <f t="shared" si="21"/>
        <v>715819.14</v>
      </c>
      <c r="G124" s="319">
        <f t="shared" si="22"/>
        <v>559560.81000000006</v>
      </c>
      <c r="H124" s="319">
        <f t="shared" si="23"/>
        <v>716669.14</v>
      </c>
      <c r="I124" s="319">
        <f t="shared" si="24"/>
        <v>560410.81000000006</v>
      </c>
      <c r="J124" s="319">
        <f t="shared" si="25"/>
        <v>831336.20239999995</v>
      </c>
      <c r="K124" s="319">
        <f t="shared" si="26"/>
        <v>650076.53960000002</v>
      </c>
      <c r="O124" s="267"/>
      <c r="P124" s="267"/>
      <c r="R124" s="104"/>
      <c r="S124" s="104"/>
    </row>
    <row r="125" spans="2:21" s="58" customFormat="1" ht="15" hidden="1">
      <c r="B125" s="153">
        <f t="shared" si="16"/>
        <v>98</v>
      </c>
      <c r="C125" s="148"/>
      <c r="D125" s="319">
        <f>FACTORES!$F$124</f>
        <v>552366.77</v>
      </c>
      <c r="E125" s="319">
        <f>FACTORES!$G$124</f>
        <v>431503.31</v>
      </c>
      <c r="F125" s="319">
        <f t="shared" si="21"/>
        <v>715819.14</v>
      </c>
      <c r="G125" s="319">
        <f t="shared" si="22"/>
        <v>559560.81000000006</v>
      </c>
      <c r="H125" s="319">
        <f t="shared" si="23"/>
        <v>716669.14</v>
      </c>
      <c r="I125" s="319">
        <f t="shared" si="24"/>
        <v>560410.81000000006</v>
      </c>
      <c r="J125" s="319">
        <f t="shared" si="25"/>
        <v>831336.20239999995</v>
      </c>
      <c r="K125" s="319">
        <f t="shared" si="26"/>
        <v>650076.53960000002</v>
      </c>
      <c r="O125" s="267"/>
      <c r="P125" s="267"/>
      <c r="R125" s="104"/>
      <c r="S125" s="104"/>
    </row>
    <row r="126" spans="2:21" s="58" customFormat="1" ht="9" hidden="1" customHeight="1">
      <c r="B126" s="153">
        <f t="shared" si="16"/>
        <v>99</v>
      </c>
      <c r="C126" s="148"/>
      <c r="D126" s="319">
        <f>FACTORES!$F$124</f>
        <v>552366.77</v>
      </c>
      <c r="E126" s="319">
        <f>FACTORES!$G$124</f>
        <v>431503.31</v>
      </c>
      <c r="F126" s="319">
        <f t="shared" si="21"/>
        <v>715819.14</v>
      </c>
      <c r="G126" s="319">
        <f t="shared" si="22"/>
        <v>559560.81000000006</v>
      </c>
      <c r="H126" s="319">
        <f t="shared" si="23"/>
        <v>716669.14</v>
      </c>
      <c r="I126" s="319">
        <f t="shared" si="24"/>
        <v>560410.81000000006</v>
      </c>
      <c r="J126" s="319">
        <f t="shared" si="25"/>
        <v>831336.20239999995</v>
      </c>
      <c r="K126" s="319">
        <f t="shared" si="26"/>
        <v>650076.53960000002</v>
      </c>
      <c r="O126" s="267"/>
      <c r="P126" s="267"/>
    </row>
    <row r="127" spans="2:21" s="58" customFormat="1" ht="9" hidden="1" customHeight="1" thickBot="1">
      <c r="B127" s="154">
        <f t="shared" si="16"/>
        <v>100</v>
      </c>
      <c r="C127" s="149"/>
      <c r="D127" s="320">
        <f>FACTORES!$F$124</f>
        <v>552366.77</v>
      </c>
      <c r="E127" s="320">
        <f>FACTORES!$G$124</f>
        <v>431503.31</v>
      </c>
      <c r="F127" s="320">
        <f t="shared" si="21"/>
        <v>715819.14</v>
      </c>
      <c r="G127" s="320">
        <f t="shared" si="22"/>
        <v>559560.81000000006</v>
      </c>
      <c r="H127" s="320">
        <f t="shared" si="23"/>
        <v>716669.14</v>
      </c>
      <c r="I127" s="320">
        <f t="shared" si="24"/>
        <v>560410.81000000006</v>
      </c>
      <c r="J127" s="320">
        <f t="shared" si="25"/>
        <v>831336.20239999995</v>
      </c>
      <c r="K127" s="320">
        <f t="shared" si="26"/>
        <v>650076.53960000002</v>
      </c>
      <c r="O127" s="267"/>
      <c r="P127" s="267"/>
    </row>
    <row r="128" spans="2:21" s="58" customFormat="1" ht="9" hidden="1" customHeight="1" thickTop="1">
      <c r="F128" s="78"/>
      <c r="G128" s="78"/>
      <c r="H128" s="267"/>
      <c r="I128" s="267"/>
      <c r="O128" s="267"/>
      <c r="P128" s="267"/>
    </row>
    <row r="129" spans="6:16" s="58" customFormat="1" ht="9" hidden="1" customHeight="1">
      <c r="F129" s="78"/>
      <c r="G129" s="78"/>
      <c r="H129" s="267"/>
      <c r="I129" s="267"/>
      <c r="O129" s="267"/>
      <c r="P129" s="267"/>
    </row>
    <row r="130" spans="6:16" s="58" customFormat="1" ht="9" hidden="1" customHeight="1">
      <c r="F130" s="78"/>
      <c r="G130" s="78"/>
      <c r="H130" s="267"/>
      <c r="I130" s="267"/>
    </row>
    <row r="131" spans="6:16" s="58" customFormat="1" ht="9" hidden="1" customHeight="1">
      <c r="F131" s="78"/>
      <c r="G131" s="78"/>
      <c r="H131" s="267"/>
      <c r="I131" s="267"/>
    </row>
    <row r="132" spans="6:16" s="58" customFormat="1" ht="9" hidden="1" customHeight="1"/>
    <row r="133" spans="6:16" s="58" customFormat="1" ht="9" hidden="1" customHeight="1"/>
    <row r="134" spans="6:16" s="58" customFormat="1" ht="9" hidden="1" customHeight="1"/>
    <row r="135" spans="6:16" s="58" customFormat="1" ht="9" hidden="1" customHeight="1"/>
    <row r="136" spans="6:16" s="58" customFormat="1" ht="9" hidden="1" customHeight="1"/>
    <row r="137" spans="6:16" s="58" customFormat="1" ht="9" hidden="1" customHeight="1"/>
    <row r="138" spans="6:16" s="58" customFormat="1" ht="9" hidden="1" customHeight="1"/>
    <row r="139" spans="6:16" s="58" customFormat="1" ht="9" hidden="1" customHeight="1"/>
    <row r="140" spans="6:16" s="58" customFormat="1" ht="9" hidden="1" customHeight="1"/>
    <row r="141" spans="6:16" s="58" customFormat="1" ht="9" hidden="1" customHeight="1"/>
    <row r="142" spans="6:16" s="58" customFormat="1" ht="9" hidden="1" customHeight="1"/>
    <row r="143" spans="6:16" s="58" customFormat="1" ht="9" hidden="1" customHeight="1"/>
    <row r="144" spans="6:16" s="58" customFormat="1" ht="9" hidden="1" customHeight="1"/>
    <row r="145" spans="19:27" s="58" customFormat="1" ht="10" hidden="1"/>
    <row r="146" spans="19:27" s="58" customFormat="1" ht="10" hidden="1"/>
    <row r="147" spans="19:27" s="58" customFormat="1" ht="10" hidden="1"/>
    <row r="148" spans="19:27" s="58" customFormat="1" ht="10" hidden="1">
      <c r="AA148" s="62"/>
    </row>
    <row r="149" spans="19:27" s="58" customFormat="1" ht="10" hidden="1"/>
    <row r="150" spans="19:27" s="58" customFormat="1" ht="8.25" hidden="1" customHeight="1"/>
    <row r="151" spans="19:27" s="58" customFormat="1" ht="6" hidden="1" customHeight="1"/>
    <row r="152" spans="19:27" s="58" customFormat="1" ht="10" hidden="1">
      <c r="T152" s="749"/>
      <c r="U152" s="749"/>
      <c r="V152" s="749"/>
      <c r="W152" s="749"/>
      <c r="X152" s="749"/>
      <c r="Y152" s="749"/>
      <c r="Z152" s="749"/>
      <c r="AA152" s="749"/>
    </row>
    <row r="153" spans="19:27" s="58" customFormat="1" ht="9" hidden="1" customHeight="1">
      <c r="T153" s="57"/>
      <c r="U153" s="57"/>
      <c r="V153" s="64"/>
      <c r="W153" s="64"/>
      <c r="AA153" s="65"/>
    </row>
    <row r="154" spans="19:27" s="58" customFormat="1" ht="10" hidden="1">
      <c r="T154" s="57"/>
      <c r="U154" s="57"/>
      <c r="V154" s="64"/>
      <c r="W154" s="64"/>
    </row>
    <row r="155" spans="19:27" s="58" customFormat="1" ht="10" hidden="1">
      <c r="T155" s="66"/>
      <c r="U155" s="57"/>
      <c r="V155" s="67"/>
      <c r="W155" s="57"/>
      <c r="Z155" s="61"/>
      <c r="AA155" s="57"/>
    </row>
    <row r="156" spans="19:27" s="58" customFormat="1" ht="10" hidden="1">
      <c r="T156" s="66"/>
      <c r="U156" s="61"/>
      <c r="V156" s="61"/>
      <c r="W156" s="61"/>
    </row>
    <row r="157" spans="19:27" s="58" customFormat="1" ht="10" hidden="1">
      <c r="T157" s="749"/>
      <c r="U157" s="749"/>
      <c r="V157" s="749"/>
      <c r="W157" s="749"/>
      <c r="X157" s="749"/>
      <c r="Y157" s="749"/>
      <c r="Z157" s="749"/>
      <c r="AA157" s="749"/>
    </row>
    <row r="158" spans="19:27" s="58" customFormat="1" ht="10" hidden="1">
      <c r="T158" s="66"/>
      <c r="U158" s="61"/>
      <c r="V158" s="61"/>
      <c r="W158" s="61"/>
    </row>
    <row r="159" spans="19:27" s="58" customFormat="1" ht="9" hidden="1" customHeight="1">
      <c r="S159" s="68"/>
      <c r="U159" s="61"/>
      <c r="V159" s="61"/>
      <c r="W159" s="61"/>
      <c r="Y159" s="59"/>
    </row>
    <row r="160" spans="19:27" s="58" customFormat="1" ht="9" hidden="1" customHeight="1">
      <c r="U160" s="61"/>
      <c r="V160" s="61"/>
      <c r="W160" s="61"/>
      <c r="Y160" s="59"/>
    </row>
    <row r="161" spans="19:26" s="58" customFormat="1" ht="9" hidden="1" customHeight="1">
      <c r="S161" s="68"/>
      <c r="U161" s="61"/>
      <c r="V161" s="61"/>
      <c r="W161" s="66"/>
      <c r="Y161" s="59"/>
    </row>
    <row r="162" spans="19:26" s="58" customFormat="1" ht="9" hidden="1" customHeight="1">
      <c r="U162" s="61"/>
      <c r="V162" s="61"/>
      <c r="W162" s="66"/>
      <c r="Y162" s="59"/>
    </row>
    <row r="163" spans="19:26" s="58" customFormat="1" ht="9" hidden="1" customHeight="1">
      <c r="U163" s="61"/>
      <c r="V163" s="61"/>
      <c r="W163" s="61"/>
    </row>
    <row r="164" spans="19:26" s="58" customFormat="1" ht="9" hidden="1" customHeight="1">
      <c r="S164" s="68"/>
      <c r="U164" s="61"/>
      <c r="V164" s="61"/>
      <c r="W164" s="66"/>
      <c r="Y164" s="69"/>
    </row>
    <row r="165" spans="19:26" s="58" customFormat="1" ht="9" hidden="1" customHeight="1">
      <c r="U165" s="57"/>
      <c r="V165" s="57"/>
      <c r="W165" s="66"/>
      <c r="Y165" s="69"/>
    </row>
    <row r="166" spans="19:26" s="58" customFormat="1" ht="9" hidden="1" customHeight="1">
      <c r="U166" s="46"/>
      <c r="V166" s="46"/>
    </row>
    <row r="167" spans="19:26" s="58" customFormat="1" ht="9" hidden="1" customHeight="1">
      <c r="S167" s="68"/>
      <c r="Z167" s="70"/>
    </row>
    <row r="168" spans="19:26" s="58" customFormat="1" ht="9" hidden="1" customHeight="1">
      <c r="S168" s="68"/>
      <c r="Z168" s="70"/>
    </row>
    <row r="169" spans="19:26" s="58" customFormat="1" ht="9" hidden="1" customHeight="1">
      <c r="S169" s="68"/>
    </row>
    <row r="170" spans="19:26" s="58" customFormat="1" ht="9" hidden="1" customHeight="1">
      <c r="S170" s="68"/>
      <c r="U170" s="71"/>
      <c r="V170" s="72"/>
    </row>
    <row r="171" spans="19:26" s="58" customFormat="1" ht="9" hidden="1" customHeight="1">
      <c r="S171" s="68"/>
      <c r="U171" s="73"/>
      <c r="V171" s="73"/>
    </row>
    <row r="172" spans="19:26" s="58" customFormat="1" ht="9" hidden="1" customHeight="1">
      <c r="S172" s="68"/>
      <c r="U172" s="66"/>
      <c r="V172" s="66"/>
    </row>
    <row r="173" spans="19:26" s="58" customFormat="1" ht="9" hidden="1" customHeight="1">
      <c r="S173" s="68"/>
      <c r="U173" s="66"/>
      <c r="V173" s="66"/>
    </row>
    <row r="174" spans="19:26" s="58" customFormat="1" ht="9" hidden="1" customHeight="1">
      <c r="S174" s="68"/>
    </row>
    <row r="175" spans="19:26" s="58" customFormat="1" ht="9" hidden="1" customHeight="1">
      <c r="S175" s="68"/>
    </row>
    <row r="176" spans="19:26" s="58" customFormat="1" ht="9" hidden="1" customHeight="1">
      <c r="S176" s="68"/>
    </row>
    <row r="177" spans="19:25" s="58" customFormat="1" ht="9" hidden="1" customHeight="1">
      <c r="S177" s="68"/>
      <c r="Y177" s="74"/>
    </row>
    <row r="178" spans="19:25" s="58" customFormat="1" ht="9" hidden="1" customHeight="1">
      <c r="S178" s="68"/>
      <c r="Y178" s="74"/>
    </row>
    <row r="179" spans="19:25" s="58" customFormat="1" ht="9" hidden="1" customHeight="1">
      <c r="S179" s="68"/>
      <c r="Y179" s="74"/>
    </row>
    <row r="180" spans="19:25" s="58" customFormat="1" ht="9" hidden="1" customHeight="1">
      <c r="S180" s="68"/>
      <c r="Y180" s="74"/>
    </row>
    <row r="181" spans="19:25" s="58" customFormat="1" ht="9" hidden="1" customHeight="1">
      <c r="S181" s="68"/>
      <c r="Y181" s="74"/>
    </row>
    <row r="182" spans="19:25" s="58" customFormat="1" ht="9" hidden="1" customHeight="1">
      <c r="S182" s="68"/>
      <c r="Y182" s="74"/>
    </row>
    <row r="183" spans="19:25" s="58" customFormat="1" ht="9" hidden="1" customHeight="1">
      <c r="S183" s="68"/>
      <c r="Y183" s="74"/>
    </row>
    <row r="184" spans="19:25" s="58" customFormat="1" ht="9" hidden="1" customHeight="1">
      <c r="S184" s="68"/>
      <c r="Y184" s="74"/>
    </row>
    <row r="185" spans="19:25" s="58" customFormat="1" ht="9" hidden="1" customHeight="1">
      <c r="S185" s="68"/>
      <c r="Y185" s="74"/>
    </row>
    <row r="186" spans="19:25" s="58" customFormat="1" ht="9" hidden="1" customHeight="1">
      <c r="S186" s="68"/>
    </row>
    <row r="187" spans="19:25" s="58" customFormat="1" ht="9" hidden="1" customHeight="1">
      <c r="S187" s="68"/>
    </row>
    <row r="188" spans="19:25" s="58" customFormat="1" ht="9" hidden="1" customHeight="1">
      <c r="S188" s="68"/>
    </row>
    <row r="189" spans="19:25" s="58" customFormat="1" ht="9" hidden="1" customHeight="1">
      <c r="S189" s="68"/>
    </row>
    <row r="190" spans="19:25" s="58" customFormat="1" ht="9" hidden="1" customHeight="1">
      <c r="S190" s="68"/>
    </row>
    <row r="191" spans="19:25" s="58" customFormat="1" ht="9" hidden="1" customHeight="1"/>
    <row r="192" spans="19:25" s="58" customFormat="1" ht="9" hidden="1" customHeight="1">
      <c r="S192" s="68"/>
    </row>
    <row r="193" spans="19:19" s="58" customFormat="1" ht="9" hidden="1" customHeight="1">
      <c r="S193" s="68"/>
    </row>
    <row r="194" spans="19:19" s="58" customFormat="1" ht="9" hidden="1" customHeight="1">
      <c r="S194" s="68"/>
    </row>
    <row r="195" spans="19:19" s="58" customFormat="1" ht="9" hidden="1" customHeight="1">
      <c r="S195" s="68"/>
    </row>
    <row r="196" spans="19:19" s="58" customFormat="1" ht="9" hidden="1" customHeight="1"/>
    <row r="197" spans="19:19" s="58" customFormat="1" ht="9" hidden="1" customHeight="1">
      <c r="S197" s="68"/>
    </row>
    <row r="198" spans="19:19" s="58" customFormat="1" ht="9" hidden="1" customHeight="1">
      <c r="S198" s="68"/>
    </row>
    <row r="199" spans="19:19" s="58" customFormat="1" ht="9" hidden="1" customHeight="1">
      <c r="S199" s="68"/>
    </row>
    <row r="200" spans="19:19" s="58" customFormat="1" ht="9" hidden="1" customHeight="1">
      <c r="S200" s="68"/>
    </row>
    <row r="201" spans="19:19" s="58" customFormat="1" ht="9" hidden="1" customHeight="1"/>
    <row r="202" spans="19:19" s="58" customFormat="1" ht="9" hidden="1" customHeight="1">
      <c r="S202" s="68"/>
    </row>
    <row r="203" spans="19:19" s="58" customFormat="1" ht="9" hidden="1" customHeight="1">
      <c r="S203" s="68"/>
    </row>
    <row r="204" spans="19:19" s="58" customFormat="1" ht="9" hidden="1" customHeight="1">
      <c r="S204" s="68"/>
    </row>
    <row r="205" spans="19:19" s="58" customFormat="1" ht="9" hidden="1" customHeight="1">
      <c r="S205" s="68"/>
    </row>
    <row r="206" spans="19:19" s="58" customFormat="1" ht="9" hidden="1" customHeight="1">
      <c r="S206" s="68"/>
    </row>
    <row r="207" spans="19:19" s="58" customFormat="1" ht="9" hidden="1" customHeight="1">
      <c r="S207" s="68"/>
    </row>
    <row r="208" spans="19:19" s="58" customFormat="1" ht="9" hidden="1" customHeight="1">
      <c r="S208" s="68"/>
    </row>
    <row r="209" spans="19:27" s="58" customFormat="1" ht="9" hidden="1" customHeight="1">
      <c r="S209" s="68"/>
    </row>
    <row r="210" spans="19:27" s="58" customFormat="1" ht="9" hidden="1" customHeight="1">
      <c r="S210" s="68"/>
    </row>
    <row r="211" spans="19:27" s="58" customFormat="1" ht="9" hidden="1" customHeight="1">
      <c r="S211" s="68"/>
    </row>
    <row r="212" spans="19:27" s="58" customFormat="1" ht="10" hidden="1"/>
    <row r="213" spans="19:27" s="58" customFormat="1" ht="10" hidden="1">
      <c r="T213" s="749"/>
      <c r="U213" s="749"/>
      <c r="V213" s="749"/>
      <c r="W213" s="749"/>
      <c r="X213" s="749"/>
      <c r="Y213" s="749"/>
      <c r="Z213" s="749"/>
      <c r="AA213" s="749"/>
    </row>
    <row r="214" spans="19:27" s="58" customFormat="1" ht="10" hidden="1">
      <c r="T214" s="749"/>
      <c r="U214" s="749"/>
      <c r="V214" s="749"/>
      <c r="W214" s="749"/>
      <c r="X214" s="57"/>
      <c r="Y214" s="57"/>
      <c r="Z214" s="57"/>
      <c r="AA214" s="57"/>
    </row>
    <row r="215" spans="19:27" s="58" customFormat="1" ht="10" hidden="1">
      <c r="T215" s="57"/>
      <c r="U215" s="57"/>
      <c r="V215" s="57"/>
      <c r="W215" s="57"/>
      <c r="X215" s="57"/>
      <c r="Y215" s="57"/>
      <c r="Z215" s="57"/>
      <c r="AA215" s="57"/>
    </row>
    <row r="216" spans="19:27" s="58" customFormat="1" ht="10" hidden="1">
      <c r="T216" s="46"/>
      <c r="X216" s="75"/>
      <c r="Y216" s="57"/>
      <c r="AA216" s="59"/>
    </row>
    <row r="217" spans="19:27" s="58" customFormat="1" ht="10" hidden="1">
      <c r="W217" s="76"/>
      <c r="X217" s="75"/>
      <c r="Y217" s="61"/>
      <c r="AA217" s="59"/>
    </row>
    <row r="218" spans="19:27" s="58" customFormat="1" ht="10" hidden="1">
      <c r="W218" s="77"/>
      <c r="X218" s="75"/>
      <c r="Y218" s="61"/>
      <c r="AA218" s="59"/>
    </row>
    <row r="219" spans="19:27" s="58" customFormat="1" ht="10" hidden="1">
      <c r="W219" s="77"/>
      <c r="X219" s="75"/>
      <c r="Y219" s="61"/>
      <c r="AA219" s="59"/>
    </row>
    <row r="220" spans="19:27" s="58" customFormat="1" ht="10" hidden="1">
      <c r="W220" s="78"/>
      <c r="X220" s="75"/>
      <c r="Y220" s="61"/>
      <c r="AA220" s="59"/>
    </row>
    <row r="221" spans="19:27" s="58" customFormat="1" ht="10" hidden="1">
      <c r="U221" s="79"/>
      <c r="V221" s="79"/>
      <c r="W221" s="79"/>
      <c r="X221" s="75"/>
      <c r="Y221" s="61"/>
      <c r="AA221" s="59"/>
    </row>
    <row r="222" spans="19:27" s="58" customFormat="1" ht="10" hidden="1">
      <c r="U222" s="79"/>
      <c r="V222" s="79"/>
      <c r="W222" s="79"/>
      <c r="X222" s="75"/>
      <c r="Y222" s="61"/>
      <c r="AA222" s="59"/>
    </row>
    <row r="223" spans="19:27" s="58" customFormat="1" ht="10" hidden="1">
      <c r="U223" s="79"/>
      <c r="V223" s="79"/>
      <c r="X223" s="75"/>
      <c r="Y223" s="61"/>
      <c r="AA223" s="59"/>
    </row>
    <row r="224" spans="19:27" s="58" customFormat="1" ht="10" hidden="1">
      <c r="U224" s="79"/>
      <c r="V224" s="79"/>
      <c r="X224" s="75"/>
      <c r="Y224" s="61"/>
      <c r="AA224" s="59"/>
    </row>
    <row r="225" spans="20:27" s="58" customFormat="1" ht="10" hidden="1">
      <c r="U225" s="80"/>
      <c r="V225" s="71"/>
      <c r="X225" s="75"/>
      <c r="Y225" s="61"/>
      <c r="AA225" s="59"/>
    </row>
    <row r="226" spans="20:27" s="58" customFormat="1" ht="10" hidden="1">
      <c r="U226" s="80"/>
      <c r="V226" s="71"/>
      <c r="X226" s="75"/>
      <c r="Y226" s="61"/>
      <c r="AA226" s="59"/>
    </row>
    <row r="227" spans="20:27" s="58" customFormat="1" ht="10" hidden="1">
      <c r="U227" s="79"/>
      <c r="V227" s="79"/>
      <c r="X227" s="75"/>
      <c r="Y227" s="61"/>
      <c r="AA227" s="59"/>
    </row>
    <row r="228" spans="20:27" s="58" customFormat="1" ht="10" hidden="1">
      <c r="T228" s="70"/>
      <c r="U228" s="79"/>
      <c r="V228" s="79"/>
      <c r="AA228" s="63"/>
    </row>
    <row r="229" spans="20:27" s="58" customFormat="1" ht="10" hidden="1">
      <c r="T229" s="70"/>
      <c r="U229" s="748"/>
      <c r="V229" s="748"/>
      <c r="W229" s="747"/>
      <c r="X229" s="747"/>
      <c r="AA229" s="59"/>
    </row>
    <row r="230" spans="20:27" s="58" customFormat="1" ht="10" hidden="1">
      <c r="T230" s="70"/>
      <c r="U230" s="79"/>
      <c r="V230" s="79"/>
      <c r="AA230" s="59"/>
    </row>
    <row r="231" spans="20:27" s="58" customFormat="1" ht="10" hidden="1">
      <c r="T231" s="62"/>
      <c r="U231" s="80"/>
      <c r="V231" s="80"/>
      <c r="AA231" s="59"/>
    </row>
    <row r="232" spans="20:27" s="58" customFormat="1" ht="10" hidden="1">
      <c r="T232" s="62"/>
      <c r="U232" s="80"/>
      <c r="V232" s="80"/>
      <c r="AA232" s="59"/>
    </row>
    <row r="233" spans="20:27" s="58" customFormat="1" ht="10" hidden="1">
      <c r="T233" s="57"/>
      <c r="V233" s="79"/>
      <c r="Y233" s="46"/>
      <c r="Z233" s="46"/>
      <c r="AA233" s="63"/>
    </row>
    <row r="234" spans="20:27" s="58" customFormat="1" ht="10" hidden="1">
      <c r="V234" s="79"/>
    </row>
    <row r="235" spans="20:27" s="58" customFormat="1" ht="10" hidden="1"/>
    <row r="236" spans="20:27" s="58" customFormat="1" ht="10" hidden="1"/>
    <row r="237" spans="20:27" s="58" customFormat="1" ht="10" hidden="1"/>
    <row r="238" spans="20:27" s="58" customFormat="1" ht="10" hidden="1"/>
    <row r="239" spans="20:27" s="58" customFormat="1" ht="10" hidden="1"/>
    <row r="240" spans="20:27" s="58" customFormat="1" ht="10" hidden="1"/>
    <row r="241" s="58" customFormat="1" ht="10" hidden="1"/>
    <row r="242" s="58" customFormat="1" ht="10" hidden="1"/>
    <row r="243" s="58" customFormat="1" ht="10" hidden="1"/>
    <row r="244" s="58" customFormat="1" ht="10" hidden="1"/>
    <row r="245" s="58" customFormat="1" ht="10" hidden="1"/>
    <row r="246" s="58" customFormat="1" ht="10" hidden="1"/>
    <row r="247" s="58" customFormat="1" ht="10" hidden="1"/>
    <row r="248" s="58" customFormat="1" ht="10" hidden="1"/>
    <row r="249" s="58" customFormat="1" ht="10" hidden="1"/>
    <row r="250" s="58" customFormat="1" ht="10" hidden="1"/>
    <row r="251" s="58" customFormat="1" ht="10" hidden="1"/>
    <row r="252" s="58" customFormat="1" ht="10" hidden="1"/>
    <row r="253" s="58" customFormat="1" ht="10" hidden="1"/>
    <row r="254" s="58" customFormat="1" ht="10" hidden="1"/>
    <row r="255" s="58" customFormat="1" ht="10" hidden="1"/>
    <row r="256" s="58" customFormat="1" ht="10" hidden="1"/>
    <row r="257" s="58" customFormat="1" ht="10" hidden="1"/>
    <row r="258" s="58" customFormat="1" ht="10" hidden="1"/>
    <row r="259" s="58" customFormat="1" ht="10" hidden="1"/>
    <row r="260" s="58" customFormat="1" ht="10" hidden="1"/>
    <row r="261" s="58" customFormat="1" ht="10" hidden="1"/>
    <row r="262" s="58" customFormat="1" ht="10" hidden="1"/>
    <row r="263" s="58" customFormat="1" ht="10" hidden="1"/>
    <row r="264" s="58" customFormat="1" ht="10" hidden="1"/>
    <row r="265" s="58" customFormat="1" ht="10" hidden="1"/>
    <row r="266" s="58" customFormat="1" ht="10" hidden="1"/>
    <row r="267" s="58" customFormat="1" ht="10" hidden="1"/>
    <row r="268" s="58" customFormat="1" ht="10" hidden="1"/>
    <row r="269" s="58" customFormat="1" ht="10" hidden="1"/>
    <row r="270" s="58" customFormat="1" ht="10" hidden="1"/>
    <row r="271" s="58" customFormat="1" ht="10" hidden="1"/>
    <row r="272" s="58" customFormat="1" ht="10" hidden="1"/>
    <row r="273" s="58" customFormat="1" ht="10" hidden="1"/>
    <row r="274" s="58" customFormat="1" ht="10" hidden="1"/>
    <row r="275" s="58" customFormat="1" ht="10" hidden="1"/>
    <row r="276" s="58" customFormat="1" ht="10" hidden="1"/>
    <row r="277" s="58" customFormat="1" ht="10" hidden="1"/>
    <row r="278" s="58" customFormat="1" ht="10" hidden="1"/>
    <row r="279" s="58" customFormat="1" ht="10" hidden="1"/>
    <row r="280" s="58" customFormat="1" ht="10" hidden="1"/>
    <row r="281" s="58" customFormat="1" ht="10" hidden="1"/>
    <row r="282" s="58" customFormat="1" ht="10" hidden="1"/>
    <row r="283" s="58" customFormat="1" ht="10" hidden="1"/>
    <row r="284" s="58" customFormat="1" ht="10" hidden="1"/>
    <row r="285" s="58" customFormat="1" ht="10" hidden="1"/>
    <row r="286" s="58" customFormat="1" ht="10" hidden="1"/>
    <row r="287" s="58" customFormat="1" ht="10" hidden="1"/>
    <row r="288" s="58" customFormat="1" ht="10" hidden="1"/>
    <row r="289" s="58" customFormat="1" ht="10" hidden="1"/>
    <row r="290" s="58" customFormat="1" ht="10" hidden="1"/>
    <row r="291" s="58" customFormat="1" ht="10" hidden="1"/>
    <row r="292" s="58" customFormat="1" ht="10" hidden="1"/>
    <row r="293" s="58" customFormat="1" ht="10" hidden="1"/>
    <row r="294" s="58" customFormat="1" ht="10" hidden="1"/>
    <row r="295" s="58" customFormat="1" ht="10" hidden="1"/>
    <row r="296" s="58" customFormat="1" ht="10" hidden="1"/>
    <row r="297" s="58" customFormat="1" ht="10" hidden="1"/>
    <row r="298" s="58" customFormat="1" ht="10" hidden="1"/>
  </sheetData>
  <sheetProtection algorithmName="SHA-512" hashValue="EOHiu+HfKChXm2lic+sSiDbfrnMTzfxt2NfClBBiz17QFYJt2nbrkOeoBDK2VSR68r1ui6GQ84XLBFOy64nn4w==" saltValue="QF1/dmNgWWN2z1JlidbLJQ==" spinCount="100000" sheet="1" selectLockedCells="1" selectUnlockedCells="1"/>
  <mergeCells count="14">
    <mergeCell ref="N25:N31"/>
    <mergeCell ref="W229:X229"/>
    <mergeCell ref="U229:V229"/>
    <mergeCell ref="T152:AA152"/>
    <mergeCell ref="T214:W214"/>
    <mergeCell ref="T157:AA157"/>
    <mergeCell ref="T213:AA213"/>
    <mergeCell ref="B26:C26"/>
    <mergeCell ref="I2:J9"/>
    <mergeCell ref="F25:G25"/>
    <mergeCell ref="D25:E25"/>
    <mergeCell ref="J24:K24"/>
    <mergeCell ref="D24:E24"/>
    <mergeCell ref="F24:G24"/>
  </mergeCells>
  <phoneticPr fontId="0" type="noConversion"/>
  <dataValidations disablePrompts="1" count="4">
    <dataValidation allowBlank="1" showDropDown="1" sqref="E14:E22"/>
    <dataValidation type="whole" allowBlank="1" showInputMessage="1" showErrorMessage="1" errorTitle="Reintentar" error="Suma Asegurada fuera de rango." sqref="E5:E6 E8">
      <formula1>75000</formula1>
      <formula2>2000000</formula2>
    </dataValidation>
    <dataValidation allowBlank="1" showInputMessage="1" showErrorMessage="1" errorTitle="Reintentar" error="Suma Asegurada fuera de rango." sqref="E7"/>
    <dataValidation type="list" allowBlank="1" showDropDown="1" showInputMessage="1" showErrorMessage="1" errorTitle="Reintentar" error="Zona no válida" sqref="F14:F15">
      <formula1>$K$16:$K$17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Z219"/>
  <sheetViews>
    <sheetView showOutlineSymbols="0" workbookViewId="0"/>
  </sheetViews>
  <sheetFormatPr baseColWidth="10" defaultColWidth="11.453125" defaultRowHeight="12.5" zeroHeight="1"/>
  <cols>
    <col min="1" max="1" width="5.54296875" style="3" customWidth="1"/>
    <col min="2" max="2" width="6.26953125" style="3" hidden="1" customWidth="1"/>
    <col min="3" max="3" width="2.1796875" style="3" hidden="1" customWidth="1"/>
    <col min="4" max="4" width="14.26953125" style="3" hidden="1" customWidth="1"/>
    <col min="5" max="5" width="16.816406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4" width="11.453125" hidden="1" customWidth="1"/>
    <col min="15" max="15" width="11.7265625" style="3" hidden="1" customWidth="1"/>
    <col min="16" max="22" width="11.453125" style="3" hidden="1" customWidth="1"/>
    <col min="23" max="23" width="15.26953125" style="3" hidden="1" customWidth="1"/>
    <col min="24" max="26" width="11.453125" style="3" hidden="1" customWidth="1"/>
    <col min="27" max="41" width="0" style="3" hidden="1" customWidth="1"/>
    <col min="42" max="16384" width="11.453125" style="3"/>
  </cols>
  <sheetData>
    <row r="1" spans="2:15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5" hidden="1">
      <c r="G2" s="4"/>
      <c r="I2" s="736" t="str">
        <f>IF(ISERROR(VLOOKUP(E3,VALORES!$A$6:$B$11,2,FALSE)),"REGION NO VALIDA",VLOOKUP(E3,VALORES!$A$6:$B$11,2,FALSE))</f>
        <v>BAJA CALIFORNIA, BAJA CALIFORNIA SUR, MORELOS, QUERETARO, SAN LUIS POTOSI, SINALOA, SONORA</v>
      </c>
      <c r="J2" s="736"/>
    </row>
    <row r="3" spans="2:15" hidden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180" t="s">
        <v>25</v>
      </c>
      <c r="I3" s="736"/>
      <c r="J3" s="736"/>
    </row>
    <row r="4" spans="2:15" ht="10.5" hidden="1" customHeight="1">
      <c r="E4" s="165"/>
      <c r="F4" s="44"/>
      <c r="G4" s="4"/>
      <c r="I4" s="736"/>
      <c r="J4" s="736"/>
    </row>
    <row r="5" spans="2:15" hidden="1">
      <c r="B5" s="47" t="s">
        <v>12</v>
      </c>
      <c r="C5" s="155"/>
      <c r="D5" s="48"/>
      <c r="E5" s="166">
        <f>+COTIZACION!D11</f>
        <v>100000000</v>
      </c>
      <c r="F5" s="44"/>
      <c r="G5" s="177">
        <f>+TITULAR!G5</f>
        <v>1.53</v>
      </c>
      <c r="I5" s="736"/>
      <c r="J5" s="736"/>
    </row>
    <row r="6" spans="2:15" hidden="1">
      <c r="B6" s="47" t="s">
        <v>13</v>
      </c>
      <c r="C6" s="48"/>
      <c r="D6" s="48"/>
      <c r="E6" s="166">
        <f>+COTIZACION!D12</f>
        <v>12000</v>
      </c>
      <c r="F6" s="44"/>
      <c r="G6" s="178">
        <f>+TITULAR!G6</f>
        <v>0.84499999999999997</v>
      </c>
      <c r="I6" s="736"/>
      <c r="J6" s="736"/>
    </row>
    <row r="7" spans="2:15" hidden="1">
      <c r="B7" s="47" t="s">
        <v>14</v>
      </c>
      <c r="C7" s="156"/>
      <c r="D7" s="48"/>
      <c r="E7" s="166">
        <f>+COTIZACION!D13</f>
        <v>0.1</v>
      </c>
      <c r="F7" s="84"/>
      <c r="G7" s="178">
        <f>+TITULAR!G8</f>
        <v>1</v>
      </c>
      <c r="H7" s="81"/>
      <c r="I7" s="736"/>
      <c r="J7" s="736"/>
    </row>
    <row r="8" spans="2:15" ht="11.25" hidden="1" customHeight="1">
      <c r="B8" s="47" t="s">
        <v>100</v>
      </c>
      <c r="C8" s="48"/>
      <c r="D8" s="48"/>
      <c r="E8" s="166"/>
      <c r="F8" s="84"/>
      <c r="G8" s="330"/>
      <c r="H8" s="4"/>
      <c r="I8" s="736"/>
      <c r="J8" s="736"/>
    </row>
    <row r="9" spans="2:15" ht="11.25" hidden="1" customHeight="1">
      <c r="B9" s="47" t="s">
        <v>125</v>
      </c>
      <c r="C9" s="48"/>
      <c r="D9" s="48"/>
      <c r="E9" s="225"/>
      <c r="F9" s="84"/>
      <c r="G9" s="179"/>
      <c r="H9" s="4"/>
      <c r="I9" s="224"/>
      <c r="J9" s="224"/>
    </row>
    <row r="10" spans="2:15" hidden="1">
      <c r="E10" s="167"/>
      <c r="F10" s="85" t="s">
        <v>24</v>
      </c>
      <c r="G10" s="185"/>
      <c r="H10" s="82"/>
      <c r="I10" s="117"/>
      <c r="J10" s="117"/>
      <c r="O10" s="50" t="s">
        <v>37</v>
      </c>
    </row>
    <row r="11" spans="2:15" ht="12.75" hidden="1" customHeight="1">
      <c r="B11" s="47" t="s">
        <v>42</v>
      </c>
      <c r="C11" s="48"/>
      <c r="D11" s="48"/>
      <c r="E11" s="164"/>
      <c r="F11" s="164"/>
      <c r="G11" s="183"/>
      <c r="H11" s="82"/>
      <c r="I11" s="117"/>
      <c r="J11" s="117"/>
      <c r="O11" s="50" t="s">
        <v>36</v>
      </c>
    </row>
    <row r="12" spans="2:15" ht="12.75" hidden="1" customHeight="1">
      <c r="B12" s="47" t="s">
        <v>43</v>
      </c>
      <c r="C12" s="48"/>
      <c r="D12" s="48"/>
      <c r="E12" s="164"/>
      <c r="F12" s="164"/>
      <c r="G12" s="184"/>
      <c r="H12" s="82"/>
      <c r="K12" s="121" t="s">
        <v>37</v>
      </c>
      <c r="O12" s="50"/>
    </row>
    <row r="13" spans="2:15" ht="21" hidden="1" customHeight="1">
      <c r="B13" s="2"/>
      <c r="D13" s="2"/>
      <c r="E13" s="2"/>
      <c r="F13" s="51"/>
      <c r="G13" s="172"/>
      <c r="K13" s="121" t="s">
        <v>48</v>
      </c>
    </row>
    <row r="14" spans="2:15" hidden="1">
      <c r="B14" s="47" t="s">
        <v>15</v>
      </c>
      <c r="C14" s="48"/>
      <c r="D14" s="48"/>
      <c r="E14" s="164">
        <f>+COTIZACION!C21</f>
        <v>0</v>
      </c>
      <c r="F14" s="44"/>
      <c r="G14" s="173">
        <f>+TITULAR!G17</f>
        <v>0</v>
      </c>
      <c r="K14" s="121" t="s">
        <v>35</v>
      </c>
    </row>
    <row r="15" spans="2:15" hidden="1">
      <c r="H15" s="52"/>
    </row>
    <row r="16" spans="2:15" hidden="1">
      <c r="H16" s="52"/>
    </row>
    <row r="17" spans="2:16" ht="13" hidden="1" thickBot="1">
      <c r="H17" s="52"/>
    </row>
    <row r="18" spans="2:16" ht="12.75" hidden="1" customHeight="1" thickTop="1">
      <c r="B18" s="88"/>
      <c r="C18" s="146"/>
      <c r="D18" s="744" t="s">
        <v>45</v>
      </c>
      <c r="E18" s="743"/>
      <c r="F18" s="744" t="s">
        <v>46</v>
      </c>
      <c r="G18" s="743"/>
      <c r="H18" s="95" t="s">
        <v>41</v>
      </c>
      <c r="I18" s="92">
        <f>G14</f>
        <v>0</v>
      </c>
      <c r="J18" s="740" t="s">
        <v>39</v>
      </c>
      <c r="K18" s="741"/>
      <c r="L18" s="100"/>
      <c r="M18" s="740" t="s">
        <v>143</v>
      </c>
      <c r="N18" s="741"/>
    </row>
    <row r="19" spans="2:16" ht="12.75" hidden="1" customHeight="1">
      <c r="B19" s="151"/>
      <c r="C19" s="150"/>
      <c r="D19" s="737" t="s">
        <v>44</v>
      </c>
      <c r="E19" s="738"/>
      <c r="F19" s="737" t="s">
        <v>44</v>
      </c>
      <c r="G19" s="738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  <c r="M19" s="90" t="s">
        <v>40</v>
      </c>
      <c r="N19" s="93">
        <f>+COTIZACION!D20</f>
        <v>0.16</v>
      </c>
    </row>
    <row r="20" spans="2:16" ht="15" hidden="1" customHeight="1" thickBot="1">
      <c r="B20" s="734" t="s">
        <v>9</v>
      </c>
      <c r="C20" s="735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  <c r="M20" s="316" t="s">
        <v>16</v>
      </c>
      <c r="N20" s="91" t="s">
        <v>17</v>
      </c>
    </row>
    <row r="21" spans="2:16" ht="15" hidden="1" customHeight="1" thickTop="1">
      <c r="B21" s="152">
        <v>0</v>
      </c>
      <c r="C21" s="147"/>
      <c r="D21" s="317">
        <f>FACTORES!F39</f>
        <v>13061.3</v>
      </c>
      <c r="E21" s="317">
        <f>FACTORES!G39</f>
        <v>13116.05</v>
      </c>
      <c r="F21" s="318">
        <f t="shared" ref="F21:F38" si="0">ROUND(D21*$G$5*$G$6*$G$7,2)+ADIC+DENTAL+IKE+CVISION</f>
        <v>18578.059999999998</v>
      </c>
      <c r="G21" s="318">
        <f t="shared" ref="G21:G38" si="1">ROUND(E21*$G$5*$G$6*$G$7,2)+ADIC+DENTAL+IKE+CVISION</f>
        <v>18648.849999999999</v>
      </c>
      <c r="H21" s="318">
        <f>(F21*(1+$I$18))+$I$19</f>
        <v>18578.059999999998</v>
      </c>
      <c r="I21" s="318">
        <f>(G21*(1+$I$18))+$I$19</f>
        <v>18648.849999999999</v>
      </c>
      <c r="J21" s="318">
        <f>H21*(1+$K$19)</f>
        <v>21550.549599999995</v>
      </c>
      <c r="K21" s="318">
        <f>I21*(1+$K$19)</f>
        <v>21632.665999999997</v>
      </c>
      <c r="L21" s="102"/>
      <c r="M21" s="318">
        <f t="shared" ref="M21:M52" si="2">(D21*$G$5*$G$6*$G$7*$G$11*$G$12*$G$8+(ADIC+DENTAL+CVISION+IKE)*(1-DESC))*(1+IVA)</f>
        <v>1962.4415999999999</v>
      </c>
      <c r="N21" s="318">
        <f t="shared" ref="N21:N52" si="3">(E21*$G$5*$G$6*$G$7*$G$11*$G$12*$G$8+(ADIC+DENTAL+CVISION+IKE)*(1-DESC))*(1+IVA)</f>
        <v>1962.4415999999999</v>
      </c>
      <c r="O21" s="220"/>
      <c r="P21" s="220"/>
    </row>
    <row r="22" spans="2:16" ht="15" hidden="1" customHeight="1">
      <c r="B22" s="153">
        <f>+B21+1</f>
        <v>1</v>
      </c>
      <c r="C22" s="148"/>
      <c r="D22" s="319">
        <f>FACTORES!F40</f>
        <v>13061.3</v>
      </c>
      <c r="E22" s="319">
        <f>FACTORES!G40</f>
        <v>13116.05</v>
      </c>
      <c r="F22" s="319">
        <f t="shared" si="0"/>
        <v>18578.059999999998</v>
      </c>
      <c r="G22" s="319">
        <f t="shared" si="1"/>
        <v>18648.849999999999</v>
      </c>
      <c r="H22" s="319">
        <f t="shared" ref="H22:H85" si="4">(F22*(1+$I$18))+$I$19</f>
        <v>18578.059999999998</v>
      </c>
      <c r="I22" s="319">
        <f t="shared" ref="I22:I85" si="5">(G22*(1+$I$18))+$I$19</f>
        <v>18648.849999999999</v>
      </c>
      <c r="J22" s="319">
        <f t="shared" ref="J22:J85" si="6">H22*(1+$K$19)</f>
        <v>21550.549599999995</v>
      </c>
      <c r="K22" s="319">
        <f t="shared" ref="K22:K85" si="7">I22*(1+$K$19)</f>
        <v>21632.665999999997</v>
      </c>
      <c r="L22" s="102"/>
      <c r="M22" s="319">
        <f t="shared" si="2"/>
        <v>1962.4415999999999</v>
      </c>
      <c r="N22" s="319">
        <f t="shared" si="3"/>
        <v>1962.4415999999999</v>
      </c>
      <c r="O22" s="220"/>
      <c r="P22" s="220"/>
    </row>
    <row r="23" spans="2:16" ht="15" hidden="1" customHeight="1">
      <c r="B23" s="153">
        <f t="shared" ref="B23:B86" si="8">+B22+1</f>
        <v>2</v>
      </c>
      <c r="C23" s="148"/>
      <c r="D23" s="319">
        <f>FACTORES!F41</f>
        <v>13061.3</v>
      </c>
      <c r="E23" s="319">
        <f>FACTORES!G41</f>
        <v>13116.05</v>
      </c>
      <c r="F23" s="319">
        <f t="shared" si="0"/>
        <v>18578.059999999998</v>
      </c>
      <c r="G23" s="319">
        <f t="shared" si="1"/>
        <v>18648.849999999999</v>
      </c>
      <c r="H23" s="319">
        <f t="shared" si="4"/>
        <v>18578.059999999998</v>
      </c>
      <c r="I23" s="319">
        <f t="shared" si="5"/>
        <v>18648.849999999999</v>
      </c>
      <c r="J23" s="319">
        <f t="shared" si="6"/>
        <v>21550.549599999995</v>
      </c>
      <c r="K23" s="319">
        <f t="shared" si="7"/>
        <v>21632.665999999997</v>
      </c>
      <c r="L23" s="102"/>
      <c r="M23" s="319">
        <f t="shared" si="2"/>
        <v>1962.4415999999999</v>
      </c>
      <c r="N23" s="319">
        <f t="shared" si="3"/>
        <v>1962.4415999999999</v>
      </c>
      <c r="O23" s="220"/>
      <c r="P23" s="220"/>
    </row>
    <row r="24" spans="2:16" s="58" customFormat="1" ht="15" hidden="1" customHeight="1">
      <c r="B24" s="153">
        <f t="shared" si="8"/>
        <v>3</v>
      </c>
      <c r="C24" s="148"/>
      <c r="D24" s="319">
        <f>FACTORES!F42</f>
        <v>13061.3</v>
      </c>
      <c r="E24" s="319">
        <f>FACTORES!G42</f>
        <v>13116.05</v>
      </c>
      <c r="F24" s="319">
        <f t="shared" si="0"/>
        <v>18578.059999999998</v>
      </c>
      <c r="G24" s="319">
        <f t="shared" si="1"/>
        <v>18648.849999999999</v>
      </c>
      <c r="H24" s="319">
        <f t="shared" si="4"/>
        <v>18578.059999999998</v>
      </c>
      <c r="I24" s="319">
        <f t="shared" si="5"/>
        <v>18648.849999999999</v>
      </c>
      <c r="J24" s="319">
        <f t="shared" si="6"/>
        <v>21550.549599999995</v>
      </c>
      <c r="K24" s="319">
        <f t="shared" si="7"/>
        <v>21632.665999999997</v>
      </c>
      <c r="L24" s="102"/>
      <c r="M24" s="319">
        <f t="shared" si="2"/>
        <v>1962.4415999999999</v>
      </c>
      <c r="N24" s="319">
        <f t="shared" si="3"/>
        <v>1962.4415999999999</v>
      </c>
      <c r="O24" s="220"/>
      <c r="P24" s="220"/>
    </row>
    <row r="25" spans="2:16" s="58" customFormat="1" ht="15" hidden="1" customHeight="1">
      <c r="B25" s="153">
        <f t="shared" si="8"/>
        <v>4</v>
      </c>
      <c r="C25" s="148"/>
      <c r="D25" s="319">
        <f>FACTORES!F43</f>
        <v>13061.3</v>
      </c>
      <c r="E25" s="319">
        <f>FACTORES!G43</f>
        <v>13116.05</v>
      </c>
      <c r="F25" s="319">
        <f t="shared" si="0"/>
        <v>18578.059999999998</v>
      </c>
      <c r="G25" s="319">
        <f t="shared" si="1"/>
        <v>18648.849999999999</v>
      </c>
      <c r="H25" s="319">
        <f t="shared" si="4"/>
        <v>18578.059999999998</v>
      </c>
      <c r="I25" s="319">
        <f t="shared" si="5"/>
        <v>18648.849999999999</v>
      </c>
      <c r="J25" s="319">
        <f t="shared" si="6"/>
        <v>21550.549599999995</v>
      </c>
      <c r="K25" s="319">
        <f t="shared" si="7"/>
        <v>21632.665999999997</v>
      </c>
      <c r="L25" s="102"/>
      <c r="M25" s="319">
        <f t="shared" si="2"/>
        <v>1962.4415999999999</v>
      </c>
      <c r="N25" s="319">
        <f t="shared" si="3"/>
        <v>1962.4415999999999</v>
      </c>
      <c r="O25" s="220"/>
      <c r="P25" s="220"/>
    </row>
    <row r="26" spans="2:16" s="58" customFormat="1" ht="15" hidden="1" customHeight="1">
      <c r="B26" s="153">
        <f t="shared" si="8"/>
        <v>5</v>
      </c>
      <c r="C26" s="148"/>
      <c r="D26" s="319">
        <f>FACTORES!F44</f>
        <v>13061.3</v>
      </c>
      <c r="E26" s="319">
        <f>FACTORES!G44</f>
        <v>13116.05</v>
      </c>
      <c r="F26" s="319">
        <f t="shared" si="0"/>
        <v>18578.059999999998</v>
      </c>
      <c r="G26" s="319">
        <f t="shared" si="1"/>
        <v>18648.849999999999</v>
      </c>
      <c r="H26" s="319">
        <f t="shared" si="4"/>
        <v>18578.059999999998</v>
      </c>
      <c r="I26" s="319">
        <f t="shared" si="5"/>
        <v>18648.849999999999</v>
      </c>
      <c r="J26" s="319">
        <f t="shared" si="6"/>
        <v>21550.549599999995</v>
      </c>
      <c r="K26" s="319">
        <f t="shared" si="7"/>
        <v>21632.665999999997</v>
      </c>
      <c r="L26" s="102"/>
      <c r="M26" s="319">
        <f t="shared" si="2"/>
        <v>1962.4415999999999</v>
      </c>
      <c r="N26" s="319">
        <f t="shared" si="3"/>
        <v>1962.4415999999999</v>
      </c>
      <c r="O26" s="220"/>
      <c r="P26" s="220"/>
    </row>
    <row r="27" spans="2:16" s="58" customFormat="1" ht="15" hidden="1" customHeight="1">
      <c r="B27" s="153">
        <f t="shared" si="8"/>
        <v>6</v>
      </c>
      <c r="C27" s="148"/>
      <c r="D27" s="319">
        <f>FACTORES!F45</f>
        <v>13061.3</v>
      </c>
      <c r="E27" s="319">
        <f>FACTORES!G45</f>
        <v>13116.05</v>
      </c>
      <c r="F27" s="319">
        <f t="shared" si="0"/>
        <v>18578.059999999998</v>
      </c>
      <c r="G27" s="319">
        <f t="shared" si="1"/>
        <v>18648.849999999999</v>
      </c>
      <c r="H27" s="319">
        <f t="shared" si="4"/>
        <v>18578.059999999998</v>
      </c>
      <c r="I27" s="319">
        <f t="shared" si="5"/>
        <v>18648.849999999999</v>
      </c>
      <c r="J27" s="319">
        <f t="shared" si="6"/>
        <v>21550.549599999995</v>
      </c>
      <c r="K27" s="319">
        <f t="shared" si="7"/>
        <v>21632.665999999997</v>
      </c>
      <c r="L27" s="102"/>
      <c r="M27" s="319">
        <f t="shared" si="2"/>
        <v>1962.4415999999999</v>
      </c>
      <c r="N27" s="319">
        <f t="shared" si="3"/>
        <v>1962.4415999999999</v>
      </c>
      <c r="O27" s="220"/>
      <c r="P27" s="220"/>
    </row>
    <row r="28" spans="2:16" s="58" customFormat="1" ht="15" hidden="1" customHeight="1">
      <c r="B28" s="153">
        <f t="shared" si="8"/>
        <v>7</v>
      </c>
      <c r="C28" s="148"/>
      <c r="D28" s="319">
        <f>FACTORES!F46</f>
        <v>13061.3</v>
      </c>
      <c r="E28" s="319">
        <f>FACTORES!G46</f>
        <v>13116.05</v>
      </c>
      <c r="F28" s="319">
        <f t="shared" si="0"/>
        <v>18578.059999999998</v>
      </c>
      <c r="G28" s="319">
        <f t="shared" si="1"/>
        <v>18648.849999999999</v>
      </c>
      <c r="H28" s="319">
        <f t="shared" si="4"/>
        <v>18578.059999999998</v>
      </c>
      <c r="I28" s="319">
        <f t="shared" si="5"/>
        <v>18648.849999999999</v>
      </c>
      <c r="J28" s="319">
        <f t="shared" si="6"/>
        <v>21550.549599999995</v>
      </c>
      <c r="K28" s="319">
        <f t="shared" si="7"/>
        <v>21632.665999999997</v>
      </c>
      <c r="L28" s="102"/>
      <c r="M28" s="319">
        <f t="shared" si="2"/>
        <v>1962.4415999999999</v>
      </c>
      <c r="N28" s="319">
        <f t="shared" si="3"/>
        <v>1962.4415999999999</v>
      </c>
      <c r="O28" s="220"/>
      <c r="P28" s="220"/>
    </row>
    <row r="29" spans="2:16" s="58" customFormat="1" ht="15" hidden="1" customHeight="1">
      <c r="B29" s="153">
        <f t="shared" si="8"/>
        <v>8</v>
      </c>
      <c r="C29" s="148"/>
      <c r="D29" s="319">
        <f>FACTORES!F47</f>
        <v>13061.3</v>
      </c>
      <c r="E29" s="319">
        <f>FACTORES!G47</f>
        <v>13116.05</v>
      </c>
      <c r="F29" s="319">
        <f t="shared" si="0"/>
        <v>18578.059999999998</v>
      </c>
      <c r="G29" s="319">
        <f t="shared" si="1"/>
        <v>18648.849999999999</v>
      </c>
      <c r="H29" s="319">
        <f t="shared" si="4"/>
        <v>18578.059999999998</v>
      </c>
      <c r="I29" s="319">
        <f t="shared" si="5"/>
        <v>18648.849999999999</v>
      </c>
      <c r="J29" s="319">
        <f t="shared" si="6"/>
        <v>21550.549599999995</v>
      </c>
      <c r="K29" s="319">
        <f t="shared" si="7"/>
        <v>21632.665999999997</v>
      </c>
      <c r="L29" s="102"/>
      <c r="M29" s="319">
        <f t="shared" si="2"/>
        <v>1962.4415999999999</v>
      </c>
      <c r="N29" s="319">
        <f t="shared" si="3"/>
        <v>1962.4415999999999</v>
      </c>
      <c r="O29" s="220"/>
      <c r="P29" s="220"/>
    </row>
    <row r="30" spans="2:16" s="58" customFormat="1" ht="15" hidden="1" customHeight="1">
      <c r="B30" s="153">
        <f t="shared" si="8"/>
        <v>9</v>
      </c>
      <c r="C30" s="148"/>
      <c r="D30" s="319">
        <f>FACTORES!F48</f>
        <v>13061.3</v>
      </c>
      <c r="E30" s="319">
        <f>FACTORES!G48</f>
        <v>13116.05</v>
      </c>
      <c r="F30" s="319">
        <f t="shared" si="0"/>
        <v>18578.059999999998</v>
      </c>
      <c r="G30" s="319">
        <f t="shared" si="1"/>
        <v>18648.849999999999</v>
      </c>
      <c r="H30" s="319">
        <f t="shared" si="4"/>
        <v>18578.059999999998</v>
      </c>
      <c r="I30" s="319">
        <f t="shared" si="5"/>
        <v>18648.849999999999</v>
      </c>
      <c r="J30" s="319">
        <f t="shared" si="6"/>
        <v>21550.549599999995</v>
      </c>
      <c r="K30" s="319">
        <f t="shared" si="7"/>
        <v>21632.665999999997</v>
      </c>
      <c r="L30" s="102"/>
      <c r="M30" s="319">
        <f t="shared" si="2"/>
        <v>1962.4415999999999</v>
      </c>
      <c r="N30" s="319">
        <f t="shared" si="3"/>
        <v>1962.4415999999999</v>
      </c>
      <c r="O30" s="220"/>
      <c r="P30" s="220"/>
    </row>
    <row r="31" spans="2:16" s="58" customFormat="1" ht="15" hidden="1" customHeight="1">
      <c r="B31" s="153">
        <f t="shared" si="8"/>
        <v>10</v>
      </c>
      <c r="C31" s="148"/>
      <c r="D31" s="319">
        <f>FACTORES!F49</f>
        <v>13061.3</v>
      </c>
      <c r="E31" s="319">
        <f>FACTORES!G49</f>
        <v>13116.05</v>
      </c>
      <c r="F31" s="319">
        <f t="shared" si="0"/>
        <v>18578.059999999998</v>
      </c>
      <c r="G31" s="319">
        <f t="shared" si="1"/>
        <v>18648.849999999999</v>
      </c>
      <c r="H31" s="319">
        <f t="shared" si="4"/>
        <v>18578.059999999998</v>
      </c>
      <c r="I31" s="319">
        <f t="shared" si="5"/>
        <v>18648.849999999999</v>
      </c>
      <c r="J31" s="319">
        <f t="shared" si="6"/>
        <v>21550.549599999995</v>
      </c>
      <c r="K31" s="319">
        <f t="shared" si="7"/>
        <v>21632.665999999997</v>
      </c>
      <c r="L31" s="102"/>
      <c r="M31" s="319">
        <f t="shared" si="2"/>
        <v>1962.4415999999999</v>
      </c>
      <c r="N31" s="319">
        <f t="shared" si="3"/>
        <v>1962.4415999999999</v>
      </c>
      <c r="O31" s="220"/>
      <c r="P31" s="220"/>
    </row>
    <row r="32" spans="2:16" s="58" customFormat="1" ht="15" hidden="1" customHeight="1">
      <c r="B32" s="153">
        <f t="shared" si="8"/>
        <v>11</v>
      </c>
      <c r="C32" s="148"/>
      <c r="D32" s="319">
        <f>FACTORES!F50</f>
        <v>13209.16</v>
      </c>
      <c r="E32" s="319">
        <f>FACTORES!G50</f>
        <v>13109.5</v>
      </c>
      <c r="F32" s="319">
        <f t="shared" si="0"/>
        <v>18769.219999999998</v>
      </c>
      <c r="G32" s="319">
        <f t="shared" si="1"/>
        <v>18640.379999999997</v>
      </c>
      <c r="H32" s="319">
        <f t="shared" si="4"/>
        <v>18769.219999999998</v>
      </c>
      <c r="I32" s="319">
        <f t="shared" si="5"/>
        <v>18640.379999999997</v>
      </c>
      <c r="J32" s="319">
        <f t="shared" si="6"/>
        <v>21772.295199999997</v>
      </c>
      <c r="K32" s="319">
        <f t="shared" si="7"/>
        <v>21622.840799999994</v>
      </c>
      <c r="L32" s="102"/>
      <c r="M32" s="319">
        <f t="shared" si="2"/>
        <v>1962.4415999999999</v>
      </c>
      <c r="N32" s="319">
        <f t="shared" si="3"/>
        <v>1962.4415999999999</v>
      </c>
      <c r="O32" s="220"/>
      <c r="P32" s="220"/>
    </row>
    <row r="33" spans="2:16" s="58" customFormat="1" ht="15" hidden="1" customHeight="1">
      <c r="B33" s="153">
        <f t="shared" si="8"/>
        <v>12</v>
      </c>
      <c r="C33" s="148"/>
      <c r="D33" s="319">
        <f>FACTORES!F51</f>
        <v>13160.04</v>
      </c>
      <c r="E33" s="319">
        <f>FACTORES!G51</f>
        <v>13235.31</v>
      </c>
      <c r="F33" s="319">
        <f t="shared" si="0"/>
        <v>18705.719999999998</v>
      </c>
      <c r="G33" s="319">
        <f t="shared" si="1"/>
        <v>18803.03</v>
      </c>
      <c r="H33" s="319">
        <f t="shared" si="4"/>
        <v>18705.719999999998</v>
      </c>
      <c r="I33" s="319">
        <f t="shared" si="5"/>
        <v>18803.03</v>
      </c>
      <c r="J33" s="319">
        <f t="shared" si="6"/>
        <v>21698.635199999997</v>
      </c>
      <c r="K33" s="319">
        <f t="shared" si="7"/>
        <v>21811.514799999997</v>
      </c>
      <c r="L33" s="102"/>
      <c r="M33" s="319">
        <f t="shared" si="2"/>
        <v>1962.4415999999999</v>
      </c>
      <c r="N33" s="319">
        <f t="shared" si="3"/>
        <v>1962.4415999999999</v>
      </c>
      <c r="O33" s="220"/>
      <c r="P33" s="220"/>
    </row>
    <row r="34" spans="2:16" s="58" customFormat="1" ht="15" hidden="1" customHeight="1">
      <c r="B34" s="153">
        <f t="shared" si="8"/>
        <v>13</v>
      </c>
      <c r="C34" s="148"/>
      <c r="D34" s="319">
        <f>FACTORES!F52</f>
        <v>13062.51</v>
      </c>
      <c r="E34" s="319">
        <f>FACTORES!G52</f>
        <v>13152.95</v>
      </c>
      <c r="F34" s="319">
        <f t="shared" si="0"/>
        <v>18579.629999999997</v>
      </c>
      <c r="G34" s="319">
        <f t="shared" si="1"/>
        <v>18696.55</v>
      </c>
      <c r="H34" s="319">
        <f t="shared" si="4"/>
        <v>18579.629999999997</v>
      </c>
      <c r="I34" s="319">
        <f t="shared" si="5"/>
        <v>18696.55</v>
      </c>
      <c r="J34" s="319">
        <f t="shared" si="6"/>
        <v>21552.370799999997</v>
      </c>
      <c r="K34" s="319">
        <f t="shared" si="7"/>
        <v>21687.997999999996</v>
      </c>
      <c r="L34" s="102"/>
      <c r="M34" s="319">
        <f t="shared" si="2"/>
        <v>1962.4415999999999</v>
      </c>
      <c r="N34" s="319">
        <f t="shared" si="3"/>
        <v>1962.4415999999999</v>
      </c>
      <c r="O34" s="220"/>
      <c r="P34" s="220"/>
    </row>
    <row r="35" spans="2:16" s="58" customFormat="1" ht="15" hidden="1" customHeight="1">
      <c r="B35" s="153">
        <f t="shared" si="8"/>
        <v>14</v>
      </c>
      <c r="C35" s="148"/>
      <c r="D35" s="319">
        <f>FACTORES!F53</f>
        <v>12709.26</v>
      </c>
      <c r="E35" s="319">
        <f>FACTORES!G53</f>
        <v>12896.85</v>
      </c>
      <c r="F35" s="319">
        <f t="shared" si="0"/>
        <v>18122.929999999997</v>
      </c>
      <c r="G35" s="319">
        <f t="shared" si="1"/>
        <v>18365.449999999997</v>
      </c>
      <c r="H35" s="319">
        <f t="shared" si="4"/>
        <v>18122.929999999997</v>
      </c>
      <c r="I35" s="319">
        <f t="shared" si="5"/>
        <v>18365.449999999997</v>
      </c>
      <c r="J35" s="319">
        <f t="shared" si="6"/>
        <v>21022.598799999996</v>
      </c>
      <c r="K35" s="319">
        <f t="shared" si="7"/>
        <v>21303.921999999995</v>
      </c>
      <c r="M35" s="319">
        <f t="shared" si="2"/>
        <v>1962.4415999999999</v>
      </c>
      <c r="N35" s="319">
        <f t="shared" si="3"/>
        <v>1962.4415999999999</v>
      </c>
      <c r="O35" s="220"/>
      <c r="P35" s="220"/>
    </row>
    <row r="36" spans="2:16" s="58" customFormat="1" ht="15" hidden="1" customHeight="1">
      <c r="B36" s="153">
        <f t="shared" si="8"/>
        <v>15</v>
      </c>
      <c r="C36" s="148"/>
      <c r="D36" s="319">
        <f>FACTORES!F54</f>
        <v>12756.31</v>
      </c>
      <c r="E36" s="319">
        <f>FACTORES!G54</f>
        <v>12685.79</v>
      </c>
      <c r="F36" s="319">
        <f t="shared" si="0"/>
        <v>18183.759999999998</v>
      </c>
      <c r="G36" s="319">
        <f t="shared" si="1"/>
        <v>18092.579999999998</v>
      </c>
      <c r="H36" s="319">
        <f t="shared" si="4"/>
        <v>18183.759999999998</v>
      </c>
      <c r="I36" s="319">
        <f t="shared" si="5"/>
        <v>18092.579999999998</v>
      </c>
      <c r="J36" s="319">
        <f t="shared" si="6"/>
        <v>21093.161599999996</v>
      </c>
      <c r="K36" s="319">
        <f t="shared" si="7"/>
        <v>20987.392799999998</v>
      </c>
      <c r="M36" s="319">
        <f t="shared" si="2"/>
        <v>1962.4415999999999</v>
      </c>
      <c r="N36" s="319">
        <f t="shared" si="3"/>
        <v>1962.4415999999999</v>
      </c>
      <c r="O36" s="220"/>
      <c r="P36" s="220"/>
    </row>
    <row r="37" spans="2:16" s="58" customFormat="1" ht="15" hidden="1" customHeight="1">
      <c r="B37" s="153">
        <f t="shared" si="8"/>
        <v>16</v>
      </c>
      <c r="C37" s="148"/>
      <c r="D37" s="319">
        <f>FACTORES!F55</f>
        <v>12540.11</v>
      </c>
      <c r="E37" s="319">
        <f>FACTORES!G55</f>
        <v>11728.11</v>
      </c>
      <c r="F37" s="319">
        <f t="shared" si="0"/>
        <v>17904.239999999998</v>
      </c>
      <c r="G37" s="319">
        <f t="shared" si="1"/>
        <v>16854.449999999997</v>
      </c>
      <c r="H37" s="319">
        <f t="shared" si="4"/>
        <v>17904.239999999998</v>
      </c>
      <c r="I37" s="319">
        <f t="shared" si="5"/>
        <v>16854.449999999997</v>
      </c>
      <c r="J37" s="319">
        <f t="shared" si="6"/>
        <v>20768.918399999995</v>
      </c>
      <c r="K37" s="319">
        <f t="shared" si="7"/>
        <v>19551.161999999997</v>
      </c>
      <c r="M37" s="319">
        <f t="shared" si="2"/>
        <v>1962.4415999999999</v>
      </c>
      <c r="N37" s="319">
        <f t="shared" si="3"/>
        <v>1962.4415999999999</v>
      </c>
      <c r="O37" s="220"/>
      <c r="P37" s="220"/>
    </row>
    <row r="38" spans="2:16" s="58" customFormat="1" ht="15" hidden="1" customHeight="1">
      <c r="B38" s="153">
        <f t="shared" si="8"/>
        <v>17</v>
      </c>
      <c r="C38" s="148"/>
      <c r="D38" s="319">
        <f>FACTORES!F56</f>
        <v>12620.51</v>
      </c>
      <c r="E38" s="319">
        <f>FACTORES!G56</f>
        <v>11920.72</v>
      </c>
      <c r="F38" s="319">
        <f t="shared" si="0"/>
        <v>18008.189999999999</v>
      </c>
      <c r="G38" s="319">
        <f t="shared" si="1"/>
        <v>17103.46</v>
      </c>
      <c r="H38" s="319">
        <f t="shared" si="4"/>
        <v>18008.189999999999</v>
      </c>
      <c r="I38" s="319">
        <f t="shared" si="5"/>
        <v>17103.46</v>
      </c>
      <c r="J38" s="319">
        <f t="shared" si="6"/>
        <v>20889.500399999997</v>
      </c>
      <c r="K38" s="319">
        <f t="shared" si="7"/>
        <v>19840.013599999998</v>
      </c>
      <c r="M38" s="319">
        <f t="shared" si="2"/>
        <v>1962.4415999999999</v>
      </c>
      <c r="N38" s="319">
        <f t="shared" si="3"/>
        <v>1962.4415999999999</v>
      </c>
      <c r="O38" s="220"/>
      <c r="P38" s="220"/>
    </row>
    <row r="39" spans="2:16" s="58" customFormat="1" ht="15" hidden="1" customHeight="1">
      <c r="B39" s="153">
        <f t="shared" si="8"/>
        <v>18</v>
      </c>
      <c r="C39" s="148"/>
      <c r="D39" s="319">
        <f>FACTORES!F57</f>
        <v>12974.47</v>
      </c>
      <c r="E39" s="319">
        <f>FACTORES!G57</f>
        <v>11553.12</v>
      </c>
      <c r="F39" s="319">
        <f t="shared" ref="F39:F70" si="9">ROUND(D39*$G$5*$G$6*$G$7,2)+ADIC+DENTAL+IKE+CVISION</f>
        <v>18465.8</v>
      </c>
      <c r="G39" s="482">
        <f t="shared" ref="G39:G75" si="10">ROUND(E39*$G$5*$G$6*$G$7,2)+ADIC+DENTAL+IKE+PARTO+CVISION</f>
        <v>17429.14</v>
      </c>
      <c r="H39" s="319">
        <f t="shared" si="4"/>
        <v>18465.8</v>
      </c>
      <c r="I39" s="319">
        <f t="shared" si="5"/>
        <v>17429.14</v>
      </c>
      <c r="J39" s="319">
        <f t="shared" si="6"/>
        <v>21420.327999999998</v>
      </c>
      <c r="K39" s="319">
        <f t="shared" si="7"/>
        <v>20217.802399999997</v>
      </c>
      <c r="M39" s="319">
        <f t="shared" si="2"/>
        <v>1962.4415999999999</v>
      </c>
      <c r="N39" s="319">
        <f t="shared" si="3"/>
        <v>1962.4415999999999</v>
      </c>
      <c r="O39" s="220"/>
      <c r="P39" s="220"/>
    </row>
    <row r="40" spans="2:16" s="58" customFormat="1" ht="15" hidden="1" customHeight="1">
      <c r="B40" s="153">
        <f t="shared" si="8"/>
        <v>19</v>
      </c>
      <c r="C40" s="148"/>
      <c r="D40" s="319">
        <f>FACTORES!F58</f>
        <v>13406.2</v>
      </c>
      <c r="E40" s="319">
        <f>FACTORES!G58</f>
        <v>11722.65</v>
      </c>
      <c r="F40" s="319">
        <f t="shared" si="9"/>
        <v>19023.969999999998</v>
      </c>
      <c r="G40" s="482">
        <f t="shared" si="10"/>
        <v>17648.319999999996</v>
      </c>
      <c r="H40" s="319">
        <f t="shared" si="4"/>
        <v>19023.969999999998</v>
      </c>
      <c r="I40" s="319">
        <f t="shared" si="5"/>
        <v>17648.319999999996</v>
      </c>
      <c r="J40" s="319">
        <f t="shared" si="6"/>
        <v>22067.805199999995</v>
      </c>
      <c r="K40" s="319">
        <f t="shared" si="7"/>
        <v>20472.051199999994</v>
      </c>
      <c r="M40" s="319">
        <f t="shared" si="2"/>
        <v>1962.4415999999999</v>
      </c>
      <c r="N40" s="319">
        <f t="shared" si="3"/>
        <v>1962.4415999999999</v>
      </c>
      <c r="O40" s="220"/>
      <c r="P40" s="220"/>
    </row>
    <row r="41" spans="2:16" s="58" customFormat="1" ht="15" hidden="1" customHeight="1">
      <c r="B41" s="153">
        <f t="shared" si="8"/>
        <v>20</v>
      </c>
      <c r="C41" s="148"/>
      <c r="D41" s="319">
        <f>FACTORES!F59</f>
        <v>13894.05</v>
      </c>
      <c r="E41" s="319">
        <f>FACTORES!G59</f>
        <v>13881.66</v>
      </c>
      <c r="F41" s="319">
        <f t="shared" si="9"/>
        <v>19654.679999999997</v>
      </c>
      <c r="G41" s="482">
        <f t="shared" si="10"/>
        <v>20439.59</v>
      </c>
      <c r="H41" s="319">
        <f t="shared" si="4"/>
        <v>19654.679999999997</v>
      </c>
      <c r="I41" s="319">
        <f t="shared" si="5"/>
        <v>20439.59</v>
      </c>
      <c r="J41" s="319">
        <f t="shared" si="6"/>
        <v>22799.428799999994</v>
      </c>
      <c r="K41" s="319">
        <f t="shared" si="7"/>
        <v>23709.9244</v>
      </c>
      <c r="M41" s="319">
        <f t="shared" si="2"/>
        <v>1962.4415999999999</v>
      </c>
      <c r="N41" s="319">
        <f t="shared" si="3"/>
        <v>1962.4415999999999</v>
      </c>
      <c r="O41" s="220"/>
      <c r="P41" s="220"/>
    </row>
    <row r="42" spans="2:16" s="58" customFormat="1" ht="15" hidden="1" customHeight="1">
      <c r="B42" s="153">
        <f t="shared" si="8"/>
        <v>21</v>
      </c>
      <c r="C42" s="148"/>
      <c r="D42" s="319">
        <f>FACTORES!F60</f>
        <v>14878.95</v>
      </c>
      <c r="E42" s="319">
        <f>FACTORES!G60</f>
        <v>17774.3</v>
      </c>
      <c r="F42" s="319">
        <f t="shared" si="9"/>
        <v>20928.009999999998</v>
      </c>
      <c r="G42" s="482">
        <f t="shared" si="10"/>
        <v>25472.19</v>
      </c>
      <c r="H42" s="319">
        <f t="shared" si="4"/>
        <v>20928.009999999998</v>
      </c>
      <c r="I42" s="319">
        <f t="shared" si="5"/>
        <v>25472.19</v>
      </c>
      <c r="J42" s="319">
        <f t="shared" si="6"/>
        <v>24276.491599999998</v>
      </c>
      <c r="K42" s="319">
        <f t="shared" si="7"/>
        <v>29547.740399999995</v>
      </c>
      <c r="M42" s="319">
        <f t="shared" si="2"/>
        <v>1962.4415999999999</v>
      </c>
      <c r="N42" s="319">
        <f t="shared" si="3"/>
        <v>1962.4415999999999</v>
      </c>
      <c r="O42" s="220"/>
      <c r="P42" s="220"/>
    </row>
    <row r="43" spans="2:16" s="58" customFormat="1" ht="15" hidden="1" customHeight="1">
      <c r="B43" s="153">
        <f t="shared" si="8"/>
        <v>22</v>
      </c>
      <c r="C43" s="148"/>
      <c r="D43" s="319">
        <f>FACTORES!F61</f>
        <v>15528.67</v>
      </c>
      <c r="E43" s="319">
        <f>FACTORES!G61</f>
        <v>18621.63</v>
      </c>
      <c r="F43" s="319">
        <f t="shared" si="9"/>
        <v>21768</v>
      </c>
      <c r="G43" s="482">
        <f t="shared" si="10"/>
        <v>26567.66</v>
      </c>
      <c r="H43" s="319">
        <f t="shared" si="4"/>
        <v>21768</v>
      </c>
      <c r="I43" s="319">
        <f t="shared" si="5"/>
        <v>26567.66</v>
      </c>
      <c r="J43" s="319">
        <f t="shared" si="6"/>
        <v>25250.879999999997</v>
      </c>
      <c r="K43" s="319">
        <f t="shared" si="7"/>
        <v>30818.485599999996</v>
      </c>
      <c r="M43" s="319">
        <f t="shared" si="2"/>
        <v>1962.4415999999999</v>
      </c>
      <c r="N43" s="319">
        <f t="shared" si="3"/>
        <v>1962.4415999999999</v>
      </c>
      <c r="O43" s="220"/>
      <c r="P43" s="220"/>
    </row>
    <row r="44" spans="2:16" s="58" customFormat="1" ht="15" hidden="1" customHeight="1">
      <c r="B44" s="153">
        <f t="shared" si="8"/>
        <v>23</v>
      </c>
      <c r="C44" s="148"/>
      <c r="D44" s="319">
        <f>FACTORES!F62</f>
        <v>16559.22</v>
      </c>
      <c r="E44" s="319">
        <f>FACTORES!G62</f>
        <v>19491.04</v>
      </c>
      <c r="F44" s="319">
        <f t="shared" si="9"/>
        <v>23100.35</v>
      </c>
      <c r="G44" s="482">
        <f t="shared" si="10"/>
        <v>27691.68</v>
      </c>
      <c r="H44" s="319">
        <f t="shared" si="4"/>
        <v>23100.35</v>
      </c>
      <c r="I44" s="319">
        <f t="shared" si="5"/>
        <v>27691.68</v>
      </c>
      <c r="J44" s="319">
        <f t="shared" si="6"/>
        <v>26796.405999999995</v>
      </c>
      <c r="K44" s="319">
        <f t="shared" si="7"/>
        <v>32122.3488</v>
      </c>
      <c r="M44" s="319">
        <f t="shared" si="2"/>
        <v>1962.4415999999999</v>
      </c>
      <c r="N44" s="319">
        <f t="shared" si="3"/>
        <v>1962.4415999999999</v>
      </c>
      <c r="O44" s="220"/>
      <c r="P44" s="220"/>
    </row>
    <row r="45" spans="2:16" s="58" customFormat="1" ht="15" hidden="1" customHeight="1">
      <c r="B45" s="153">
        <f t="shared" si="8"/>
        <v>24</v>
      </c>
      <c r="C45" s="148"/>
      <c r="D45" s="319">
        <f>FACTORES!F63</f>
        <v>17231.34</v>
      </c>
      <c r="E45" s="319">
        <f>FACTORES!G63</f>
        <v>20402.39</v>
      </c>
      <c r="F45" s="319">
        <f t="shared" si="9"/>
        <v>23969.3</v>
      </c>
      <c r="G45" s="482">
        <f t="shared" si="10"/>
        <v>28869.919999999998</v>
      </c>
      <c r="H45" s="319">
        <f t="shared" si="4"/>
        <v>23969.3</v>
      </c>
      <c r="I45" s="319">
        <f t="shared" si="5"/>
        <v>28869.919999999998</v>
      </c>
      <c r="J45" s="319">
        <f t="shared" si="6"/>
        <v>27804.387999999999</v>
      </c>
      <c r="K45" s="319">
        <f t="shared" si="7"/>
        <v>33489.107199999999</v>
      </c>
      <c r="M45" s="319">
        <f t="shared" si="2"/>
        <v>1962.4415999999999</v>
      </c>
      <c r="N45" s="319">
        <f t="shared" si="3"/>
        <v>1962.4415999999999</v>
      </c>
      <c r="O45" s="220"/>
      <c r="P45" s="220"/>
    </row>
    <row r="46" spans="2:16" s="58" customFormat="1" ht="15" hidden="1" customHeight="1">
      <c r="B46" s="153">
        <f t="shared" si="8"/>
        <v>25</v>
      </c>
      <c r="C46" s="148"/>
      <c r="D46" s="319">
        <f>FACTORES!F64</f>
        <v>17905.41</v>
      </c>
      <c r="E46" s="319">
        <f>FACTORES!G64</f>
        <v>21346.959999999999</v>
      </c>
      <c r="F46" s="319">
        <f t="shared" si="9"/>
        <v>24840.769999999997</v>
      </c>
      <c r="G46" s="482">
        <f t="shared" si="10"/>
        <v>30091.109999999997</v>
      </c>
      <c r="H46" s="319">
        <f t="shared" si="4"/>
        <v>24840.769999999997</v>
      </c>
      <c r="I46" s="319">
        <f t="shared" si="5"/>
        <v>30091.109999999997</v>
      </c>
      <c r="J46" s="319">
        <f t="shared" si="6"/>
        <v>28815.293199999993</v>
      </c>
      <c r="K46" s="319">
        <f t="shared" si="7"/>
        <v>34905.687599999997</v>
      </c>
      <c r="M46" s="319">
        <f t="shared" si="2"/>
        <v>1962.4415999999999</v>
      </c>
      <c r="N46" s="319">
        <f t="shared" si="3"/>
        <v>1962.4415999999999</v>
      </c>
      <c r="O46" s="220"/>
      <c r="P46" s="220"/>
    </row>
    <row r="47" spans="2:16" s="58" customFormat="1" ht="15" hidden="1" customHeight="1">
      <c r="B47" s="153">
        <f t="shared" si="8"/>
        <v>26</v>
      </c>
      <c r="C47" s="148"/>
      <c r="D47" s="319">
        <f>FACTORES!F65</f>
        <v>19091.810000000001</v>
      </c>
      <c r="E47" s="319">
        <f>FACTORES!G65</f>
        <v>22175.3</v>
      </c>
      <c r="F47" s="319">
        <f t="shared" si="9"/>
        <v>26374.609999999997</v>
      </c>
      <c r="G47" s="482">
        <f t="shared" si="10"/>
        <v>31162.03</v>
      </c>
      <c r="H47" s="319">
        <f t="shared" si="4"/>
        <v>26374.609999999997</v>
      </c>
      <c r="I47" s="319">
        <f t="shared" si="5"/>
        <v>31162.03</v>
      </c>
      <c r="J47" s="319">
        <f t="shared" si="6"/>
        <v>30594.547599999994</v>
      </c>
      <c r="K47" s="319">
        <f t="shared" si="7"/>
        <v>36147.9548</v>
      </c>
      <c r="M47" s="319">
        <f t="shared" si="2"/>
        <v>1962.4415999999999</v>
      </c>
      <c r="N47" s="319">
        <f t="shared" si="3"/>
        <v>1962.4415999999999</v>
      </c>
      <c r="O47" s="220"/>
      <c r="P47" s="220"/>
    </row>
    <row r="48" spans="2:16" s="58" customFormat="1" ht="15" hidden="1" customHeight="1">
      <c r="B48" s="153">
        <f t="shared" si="8"/>
        <v>27</v>
      </c>
      <c r="C48" s="148"/>
      <c r="D48" s="319">
        <f>FACTORES!F66</f>
        <v>19936.54</v>
      </c>
      <c r="E48" s="319">
        <f>FACTORES!G66</f>
        <v>23188.38</v>
      </c>
      <c r="F48" s="319">
        <f t="shared" si="9"/>
        <v>27466.719999999998</v>
      </c>
      <c r="G48" s="482">
        <f t="shared" si="10"/>
        <v>32471.789999999997</v>
      </c>
      <c r="H48" s="319">
        <f t="shared" si="4"/>
        <v>27466.719999999998</v>
      </c>
      <c r="I48" s="319">
        <f t="shared" si="5"/>
        <v>32471.789999999997</v>
      </c>
      <c r="J48" s="319">
        <f t="shared" si="6"/>
        <v>31861.395199999995</v>
      </c>
      <c r="K48" s="319">
        <f t="shared" si="7"/>
        <v>37667.276399999995</v>
      </c>
      <c r="M48" s="319">
        <f t="shared" si="2"/>
        <v>1962.4415999999999</v>
      </c>
      <c r="N48" s="319">
        <f t="shared" si="3"/>
        <v>1962.4415999999999</v>
      </c>
      <c r="O48" s="220"/>
      <c r="P48" s="220"/>
    </row>
    <row r="49" spans="2:16" s="58" customFormat="1" ht="15" hidden="1" customHeight="1">
      <c r="B49" s="153">
        <f t="shared" si="8"/>
        <v>28</v>
      </c>
      <c r="C49" s="148"/>
      <c r="D49" s="319">
        <f>FACTORES!F67</f>
        <v>21085.5</v>
      </c>
      <c r="E49" s="319">
        <f>FACTORES!G67</f>
        <v>24269.53</v>
      </c>
      <c r="F49" s="319">
        <f t="shared" si="9"/>
        <v>28952.149999999998</v>
      </c>
      <c r="G49" s="482">
        <f t="shared" si="10"/>
        <v>33869.550000000003</v>
      </c>
      <c r="H49" s="319">
        <f t="shared" si="4"/>
        <v>28952.149999999998</v>
      </c>
      <c r="I49" s="319">
        <f t="shared" si="5"/>
        <v>33869.550000000003</v>
      </c>
      <c r="J49" s="319">
        <f t="shared" si="6"/>
        <v>33584.493999999999</v>
      </c>
      <c r="K49" s="319">
        <f t="shared" si="7"/>
        <v>39288.678</v>
      </c>
      <c r="M49" s="319">
        <f t="shared" si="2"/>
        <v>1962.4415999999999</v>
      </c>
      <c r="N49" s="319">
        <f t="shared" si="3"/>
        <v>1962.4415999999999</v>
      </c>
      <c r="O49" s="220"/>
      <c r="P49" s="220"/>
    </row>
    <row r="50" spans="2:16" s="58" customFormat="1" ht="15" hidden="1" customHeight="1">
      <c r="B50" s="153">
        <f t="shared" si="8"/>
        <v>29</v>
      </c>
      <c r="C50" s="148"/>
      <c r="D50" s="319">
        <f>FACTORES!F68</f>
        <v>22151.599999999999</v>
      </c>
      <c r="E50" s="319">
        <f>FACTORES!G68</f>
        <v>25360.58</v>
      </c>
      <c r="F50" s="319">
        <f t="shared" si="9"/>
        <v>30330.46</v>
      </c>
      <c r="G50" s="482">
        <f t="shared" si="10"/>
        <v>35280.120000000003</v>
      </c>
      <c r="H50" s="319">
        <f t="shared" si="4"/>
        <v>30330.46</v>
      </c>
      <c r="I50" s="319">
        <f t="shared" si="5"/>
        <v>35280.120000000003</v>
      </c>
      <c r="J50" s="319">
        <f t="shared" si="6"/>
        <v>35183.333599999998</v>
      </c>
      <c r="K50" s="319">
        <f t="shared" si="7"/>
        <v>40924.939200000001</v>
      </c>
      <c r="M50" s="319">
        <f t="shared" si="2"/>
        <v>1962.4415999999999</v>
      </c>
      <c r="N50" s="319">
        <f t="shared" si="3"/>
        <v>1962.4415999999999</v>
      </c>
      <c r="O50" s="220"/>
      <c r="P50" s="220"/>
    </row>
    <row r="51" spans="2:16" s="58" customFormat="1" ht="15" hidden="1" customHeight="1">
      <c r="B51" s="153">
        <f t="shared" si="8"/>
        <v>30</v>
      </c>
      <c r="C51" s="148"/>
      <c r="D51" s="319">
        <f>FACTORES!F69</f>
        <v>23143.360000000001</v>
      </c>
      <c r="E51" s="319">
        <f>FACTORES!G69</f>
        <v>26560.29</v>
      </c>
      <c r="F51" s="319">
        <f t="shared" si="9"/>
        <v>31612.649999999998</v>
      </c>
      <c r="G51" s="482">
        <f t="shared" si="10"/>
        <v>36831.160000000003</v>
      </c>
      <c r="H51" s="319">
        <f t="shared" si="4"/>
        <v>31612.649999999998</v>
      </c>
      <c r="I51" s="319">
        <f t="shared" si="5"/>
        <v>36831.160000000003</v>
      </c>
      <c r="J51" s="319">
        <f t="shared" si="6"/>
        <v>36670.673999999992</v>
      </c>
      <c r="K51" s="319">
        <f t="shared" si="7"/>
        <v>42724.145600000003</v>
      </c>
      <c r="M51" s="319">
        <f t="shared" si="2"/>
        <v>1962.4415999999999</v>
      </c>
      <c r="N51" s="319">
        <f t="shared" si="3"/>
        <v>1962.4415999999999</v>
      </c>
      <c r="O51" s="220"/>
      <c r="P51" s="220"/>
    </row>
    <row r="52" spans="2:16" s="58" customFormat="1" ht="15" hidden="1" customHeight="1">
      <c r="B52" s="153">
        <f t="shared" si="8"/>
        <v>31</v>
      </c>
      <c r="C52" s="148"/>
      <c r="D52" s="319">
        <f>FACTORES!F70</f>
        <v>24096.43</v>
      </c>
      <c r="E52" s="319">
        <f>FACTORES!G70</f>
        <v>27792.3</v>
      </c>
      <c r="F52" s="319">
        <f t="shared" si="9"/>
        <v>32844.83</v>
      </c>
      <c r="G52" s="482">
        <f t="shared" si="10"/>
        <v>38423.97</v>
      </c>
      <c r="H52" s="319">
        <f t="shared" si="4"/>
        <v>32844.83</v>
      </c>
      <c r="I52" s="319">
        <f t="shared" si="5"/>
        <v>38423.97</v>
      </c>
      <c r="J52" s="319">
        <f t="shared" si="6"/>
        <v>38100.002800000002</v>
      </c>
      <c r="K52" s="319">
        <f t="shared" si="7"/>
        <v>44571.805199999995</v>
      </c>
      <c r="M52" s="319">
        <f t="shared" si="2"/>
        <v>1962.4415999999999</v>
      </c>
      <c r="N52" s="319">
        <f t="shared" si="3"/>
        <v>1962.4415999999999</v>
      </c>
      <c r="O52" s="220"/>
      <c r="P52" s="220"/>
    </row>
    <row r="53" spans="2:16" s="58" customFormat="1" ht="15" hidden="1" customHeight="1">
      <c r="B53" s="153">
        <f t="shared" si="8"/>
        <v>32</v>
      </c>
      <c r="C53" s="148"/>
      <c r="D53" s="319">
        <f>FACTORES!F71</f>
        <v>25578.22</v>
      </c>
      <c r="E53" s="319">
        <f>FACTORES!G71</f>
        <v>29044.06</v>
      </c>
      <c r="F53" s="319">
        <f t="shared" si="9"/>
        <v>34760.560000000005</v>
      </c>
      <c r="G53" s="482">
        <f t="shared" si="10"/>
        <v>40042.300000000003</v>
      </c>
      <c r="H53" s="319">
        <f t="shared" si="4"/>
        <v>34760.560000000005</v>
      </c>
      <c r="I53" s="319">
        <f t="shared" si="5"/>
        <v>40042.300000000003</v>
      </c>
      <c r="J53" s="319">
        <f t="shared" si="6"/>
        <v>40322.249600000003</v>
      </c>
      <c r="K53" s="319">
        <f t="shared" si="7"/>
        <v>46449.067999999999</v>
      </c>
      <c r="M53" s="319">
        <f t="shared" ref="M53:M84" si="11">(D53*$G$5*$G$6*$G$7*$G$11*$G$12*$G$8+(ADIC+DENTAL+CVISION+IKE)*(1-DESC))*(1+IVA)</f>
        <v>1962.4415999999999</v>
      </c>
      <c r="N53" s="319">
        <f t="shared" ref="N53:N84" si="12">(E53*$G$5*$G$6*$G$7*$G$11*$G$12*$G$8+(ADIC+DENTAL+CVISION+IKE)*(1-DESC))*(1+IVA)</f>
        <v>1962.4415999999999</v>
      </c>
      <c r="O53" s="220"/>
      <c r="P53" s="220"/>
    </row>
    <row r="54" spans="2:16" s="58" customFormat="1" ht="15" hidden="1" customHeight="1">
      <c r="B54" s="153">
        <f t="shared" si="8"/>
        <v>33</v>
      </c>
      <c r="C54" s="148"/>
      <c r="D54" s="319">
        <f>FACTORES!F72</f>
        <v>26480.58</v>
      </c>
      <c r="E54" s="319">
        <f>FACTORES!G72</f>
        <v>30319.85</v>
      </c>
      <c r="F54" s="319">
        <f t="shared" si="9"/>
        <v>35927.18</v>
      </c>
      <c r="G54" s="482">
        <f t="shared" si="10"/>
        <v>41691.71</v>
      </c>
      <c r="H54" s="319">
        <f t="shared" si="4"/>
        <v>35927.18</v>
      </c>
      <c r="I54" s="319">
        <f t="shared" si="5"/>
        <v>41691.71</v>
      </c>
      <c r="J54" s="319">
        <f t="shared" si="6"/>
        <v>41675.5288</v>
      </c>
      <c r="K54" s="319">
        <f t="shared" si="7"/>
        <v>48362.383599999994</v>
      </c>
      <c r="M54" s="319">
        <f t="shared" si="11"/>
        <v>1962.4415999999999</v>
      </c>
      <c r="N54" s="319">
        <f t="shared" si="12"/>
        <v>1962.4415999999999</v>
      </c>
      <c r="O54" s="220"/>
      <c r="P54" s="220"/>
    </row>
    <row r="55" spans="2:16" s="58" customFormat="1" ht="15" hidden="1" customHeight="1">
      <c r="B55" s="153">
        <f t="shared" si="8"/>
        <v>34</v>
      </c>
      <c r="C55" s="148"/>
      <c r="D55" s="319">
        <f>FACTORES!F73</f>
        <v>27962</v>
      </c>
      <c r="E55" s="319">
        <f>FACTORES!G73</f>
        <v>31685.79</v>
      </c>
      <c r="F55" s="319">
        <f t="shared" si="9"/>
        <v>37842.43</v>
      </c>
      <c r="G55" s="482">
        <f t="shared" si="10"/>
        <v>43457.66</v>
      </c>
      <c r="H55" s="319">
        <f t="shared" si="4"/>
        <v>37842.43</v>
      </c>
      <c r="I55" s="319">
        <f t="shared" si="5"/>
        <v>43457.66</v>
      </c>
      <c r="J55" s="319">
        <f t="shared" si="6"/>
        <v>43897.218799999995</v>
      </c>
      <c r="K55" s="319">
        <f t="shared" si="7"/>
        <v>50410.885600000001</v>
      </c>
      <c r="M55" s="319">
        <f t="shared" si="11"/>
        <v>1962.4415999999999</v>
      </c>
      <c r="N55" s="319">
        <f t="shared" si="12"/>
        <v>1962.4415999999999</v>
      </c>
      <c r="O55" s="220"/>
      <c r="P55" s="220"/>
    </row>
    <row r="56" spans="2:16" s="58" customFormat="1" ht="15" hidden="1" customHeight="1">
      <c r="B56" s="153">
        <f t="shared" si="8"/>
        <v>35</v>
      </c>
      <c r="C56" s="148"/>
      <c r="D56" s="319">
        <f>FACTORES!F74</f>
        <v>29506.29</v>
      </c>
      <c r="E56" s="319">
        <f>FACTORES!G74</f>
        <v>33133.22</v>
      </c>
      <c r="F56" s="319">
        <f t="shared" si="9"/>
        <v>39838.97</v>
      </c>
      <c r="G56" s="482">
        <f t="shared" si="10"/>
        <v>45328.97</v>
      </c>
      <c r="H56" s="319">
        <f t="shared" si="4"/>
        <v>39838.97</v>
      </c>
      <c r="I56" s="319">
        <f t="shared" si="5"/>
        <v>45328.97</v>
      </c>
      <c r="J56" s="319">
        <f t="shared" si="6"/>
        <v>46213.205199999997</v>
      </c>
      <c r="K56" s="319">
        <f t="shared" si="7"/>
        <v>52581.605199999998</v>
      </c>
      <c r="M56" s="319">
        <f t="shared" si="11"/>
        <v>1962.4415999999999</v>
      </c>
      <c r="N56" s="319">
        <f t="shared" si="12"/>
        <v>1962.4415999999999</v>
      </c>
      <c r="O56" s="220"/>
      <c r="P56" s="220"/>
    </row>
    <row r="57" spans="2:16" s="58" customFormat="1" ht="15" hidden="1" customHeight="1">
      <c r="B57" s="153">
        <f t="shared" si="8"/>
        <v>36</v>
      </c>
      <c r="C57" s="148"/>
      <c r="D57" s="319">
        <f>FACTORES!F75</f>
        <v>30767.63</v>
      </c>
      <c r="E57" s="319">
        <f>FACTORES!G75</f>
        <v>34616.85</v>
      </c>
      <c r="F57" s="319">
        <f t="shared" si="9"/>
        <v>41469.69</v>
      </c>
      <c r="G57" s="482">
        <f t="shared" si="10"/>
        <v>47247.08</v>
      </c>
      <c r="H57" s="319">
        <f t="shared" si="4"/>
        <v>41469.69</v>
      </c>
      <c r="I57" s="319">
        <f t="shared" si="5"/>
        <v>47247.08</v>
      </c>
      <c r="J57" s="319">
        <f t="shared" si="6"/>
        <v>48104.840400000001</v>
      </c>
      <c r="K57" s="319">
        <f t="shared" si="7"/>
        <v>54806.612799999995</v>
      </c>
      <c r="M57" s="319">
        <f t="shared" si="11"/>
        <v>1962.4415999999999</v>
      </c>
      <c r="N57" s="319">
        <f t="shared" si="12"/>
        <v>1962.4415999999999</v>
      </c>
      <c r="O57" s="220"/>
      <c r="P57" s="220"/>
    </row>
    <row r="58" spans="2:16" s="58" customFormat="1" ht="15" hidden="1" customHeight="1">
      <c r="B58" s="153">
        <f t="shared" si="8"/>
        <v>37</v>
      </c>
      <c r="C58" s="148"/>
      <c r="D58" s="319">
        <f>FACTORES!F76</f>
        <v>32445.19</v>
      </c>
      <c r="E58" s="319">
        <f>FACTORES!G76</f>
        <v>36271.96</v>
      </c>
      <c r="F58" s="319">
        <f t="shared" si="9"/>
        <v>43638.520000000004</v>
      </c>
      <c r="G58" s="482">
        <f t="shared" si="10"/>
        <v>49386.89</v>
      </c>
      <c r="H58" s="319">
        <f t="shared" si="4"/>
        <v>43638.520000000004</v>
      </c>
      <c r="I58" s="319">
        <f t="shared" si="5"/>
        <v>49386.89</v>
      </c>
      <c r="J58" s="319">
        <f t="shared" si="6"/>
        <v>50620.683199999999</v>
      </c>
      <c r="K58" s="319">
        <f t="shared" si="7"/>
        <v>57288.792399999998</v>
      </c>
      <c r="M58" s="319">
        <f t="shared" si="11"/>
        <v>1962.4415999999999</v>
      </c>
      <c r="N58" s="319">
        <f t="shared" si="12"/>
        <v>1962.4415999999999</v>
      </c>
      <c r="O58" s="220"/>
      <c r="P58" s="220"/>
    </row>
    <row r="59" spans="2:16" s="58" customFormat="1" ht="15" hidden="1" customHeight="1">
      <c r="B59" s="153">
        <f t="shared" si="8"/>
        <v>38</v>
      </c>
      <c r="C59" s="148"/>
      <c r="D59" s="319">
        <f>FACTORES!F77</f>
        <v>34175.25</v>
      </c>
      <c r="E59" s="319">
        <f>FACTORES!G77</f>
        <v>37867.339999999997</v>
      </c>
      <c r="F59" s="319">
        <f t="shared" si="9"/>
        <v>45875.23</v>
      </c>
      <c r="G59" s="482">
        <f t="shared" si="10"/>
        <v>51449.48</v>
      </c>
      <c r="H59" s="319">
        <f t="shared" si="4"/>
        <v>45875.23</v>
      </c>
      <c r="I59" s="319">
        <f t="shared" si="5"/>
        <v>51449.48</v>
      </c>
      <c r="J59" s="319">
        <f t="shared" si="6"/>
        <v>53215.266799999998</v>
      </c>
      <c r="K59" s="319">
        <f t="shared" si="7"/>
        <v>59681.396800000002</v>
      </c>
      <c r="M59" s="319">
        <f t="shared" si="11"/>
        <v>1962.4415999999999</v>
      </c>
      <c r="N59" s="319">
        <f t="shared" si="12"/>
        <v>1962.4415999999999</v>
      </c>
      <c r="O59" s="220"/>
      <c r="P59" s="220"/>
    </row>
    <row r="60" spans="2:16" s="58" customFormat="1" ht="15" hidden="1" customHeight="1">
      <c r="B60" s="153">
        <f t="shared" si="8"/>
        <v>39</v>
      </c>
      <c r="C60" s="148"/>
      <c r="D60" s="319">
        <f>FACTORES!F78</f>
        <v>36041.18</v>
      </c>
      <c r="E60" s="319">
        <f>FACTORES!G78</f>
        <v>39583.699999999997</v>
      </c>
      <c r="F60" s="319">
        <f t="shared" si="9"/>
        <v>48287.6</v>
      </c>
      <c r="G60" s="482">
        <f t="shared" si="10"/>
        <v>53668.480000000003</v>
      </c>
      <c r="H60" s="319">
        <f t="shared" si="4"/>
        <v>48287.6</v>
      </c>
      <c r="I60" s="319">
        <f t="shared" si="5"/>
        <v>53668.480000000003</v>
      </c>
      <c r="J60" s="319">
        <f t="shared" si="6"/>
        <v>56013.615999999995</v>
      </c>
      <c r="K60" s="319">
        <f t="shared" si="7"/>
        <v>62255.436799999996</v>
      </c>
      <c r="M60" s="319">
        <f t="shared" si="11"/>
        <v>1962.4415999999999</v>
      </c>
      <c r="N60" s="319">
        <f t="shared" si="12"/>
        <v>1962.4415999999999</v>
      </c>
      <c r="O60" s="220"/>
      <c r="P60" s="220"/>
    </row>
    <row r="61" spans="2:16" s="58" customFormat="1" ht="15" hidden="1" customHeight="1">
      <c r="B61" s="153">
        <f t="shared" si="8"/>
        <v>40</v>
      </c>
      <c r="C61" s="148"/>
      <c r="D61" s="319">
        <f>FACTORES!F79</f>
        <v>37308.69</v>
      </c>
      <c r="E61" s="319">
        <f>FACTORES!G79</f>
        <v>41362.29</v>
      </c>
      <c r="F61" s="319">
        <f t="shared" si="9"/>
        <v>49926.3</v>
      </c>
      <c r="G61" s="482">
        <f t="shared" si="10"/>
        <v>55967.93</v>
      </c>
      <c r="H61" s="319">
        <f t="shared" si="4"/>
        <v>49926.3</v>
      </c>
      <c r="I61" s="319">
        <f t="shared" si="5"/>
        <v>55967.93</v>
      </c>
      <c r="J61" s="319">
        <f t="shared" si="6"/>
        <v>57914.508000000002</v>
      </c>
      <c r="K61" s="319">
        <f t="shared" si="7"/>
        <v>64922.798799999997</v>
      </c>
      <c r="M61" s="319">
        <f t="shared" si="11"/>
        <v>1962.4415999999999</v>
      </c>
      <c r="N61" s="319">
        <f t="shared" si="12"/>
        <v>1962.4415999999999</v>
      </c>
      <c r="O61" s="220"/>
      <c r="P61" s="220"/>
    </row>
    <row r="62" spans="2:16" s="58" customFormat="1" ht="15" hidden="1" customHeight="1">
      <c r="B62" s="153">
        <f t="shared" si="8"/>
        <v>41</v>
      </c>
      <c r="C62" s="148"/>
      <c r="D62" s="319">
        <f>FACTORES!F80</f>
        <v>38696.870000000003</v>
      </c>
      <c r="E62" s="319">
        <f>FACTORES!G80</f>
        <v>43227.79</v>
      </c>
      <c r="F62" s="319">
        <f t="shared" si="9"/>
        <v>51721.01</v>
      </c>
      <c r="G62" s="482">
        <f t="shared" si="10"/>
        <v>58379.740000000005</v>
      </c>
      <c r="H62" s="319">
        <f t="shared" si="4"/>
        <v>51721.01</v>
      </c>
      <c r="I62" s="319">
        <f t="shared" si="5"/>
        <v>58379.740000000005</v>
      </c>
      <c r="J62" s="319">
        <f t="shared" si="6"/>
        <v>59996.371599999999</v>
      </c>
      <c r="K62" s="319">
        <f t="shared" si="7"/>
        <v>67720.498399999997</v>
      </c>
      <c r="M62" s="319">
        <f t="shared" si="11"/>
        <v>1962.4415999999999</v>
      </c>
      <c r="N62" s="319">
        <f t="shared" si="12"/>
        <v>1962.4415999999999</v>
      </c>
      <c r="O62" s="220"/>
      <c r="P62" s="220"/>
    </row>
    <row r="63" spans="2:16" s="58" customFormat="1" ht="15" hidden="1" customHeight="1">
      <c r="B63" s="153">
        <f t="shared" si="8"/>
        <v>42</v>
      </c>
      <c r="C63" s="148"/>
      <c r="D63" s="319">
        <f>FACTORES!F81</f>
        <v>40198.410000000003</v>
      </c>
      <c r="E63" s="319">
        <f>FACTORES!G81</f>
        <v>45169.15</v>
      </c>
      <c r="F63" s="319">
        <f t="shared" si="9"/>
        <v>53662.270000000004</v>
      </c>
      <c r="G63" s="482">
        <f t="shared" si="10"/>
        <v>60889.630000000005</v>
      </c>
      <c r="H63" s="319">
        <f t="shared" si="4"/>
        <v>53662.270000000004</v>
      </c>
      <c r="I63" s="319">
        <f t="shared" si="5"/>
        <v>60889.630000000005</v>
      </c>
      <c r="J63" s="319">
        <f t="shared" si="6"/>
        <v>62248.233200000002</v>
      </c>
      <c r="K63" s="319">
        <f t="shared" si="7"/>
        <v>70631.970799999996</v>
      </c>
      <c r="M63" s="319">
        <f t="shared" si="11"/>
        <v>1962.4415999999999</v>
      </c>
      <c r="N63" s="319">
        <f t="shared" si="12"/>
        <v>1962.4415999999999</v>
      </c>
      <c r="O63" s="220"/>
      <c r="P63" s="220"/>
    </row>
    <row r="64" spans="2:16" s="58" customFormat="1" ht="15" hidden="1" customHeight="1">
      <c r="B64" s="153">
        <f t="shared" si="8"/>
        <v>43</v>
      </c>
      <c r="C64" s="148"/>
      <c r="D64" s="319">
        <f>FACTORES!F82</f>
        <v>41803.629999999997</v>
      </c>
      <c r="E64" s="319">
        <f>FACTORES!G82</f>
        <v>47188.7</v>
      </c>
      <c r="F64" s="319">
        <f t="shared" si="9"/>
        <v>55737.58</v>
      </c>
      <c r="G64" s="482">
        <f t="shared" si="10"/>
        <v>63500.600000000006</v>
      </c>
      <c r="H64" s="319">
        <f t="shared" si="4"/>
        <v>55737.58</v>
      </c>
      <c r="I64" s="319">
        <f t="shared" si="5"/>
        <v>63500.600000000006</v>
      </c>
      <c r="J64" s="319">
        <f t="shared" si="6"/>
        <v>64655.592799999999</v>
      </c>
      <c r="K64" s="319">
        <f t="shared" si="7"/>
        <v>73660.695999999996</v>
      </c>
      <c r="M64" s="319">
        <f t="shared" si="11"/>
        <v>1962.4415999999999</v>
      </c>
      <c r="N64" s="319">
        <f t="shared" si="12"/>
        <v>1962.4415999999999</v>
      </c>
      <c r="O64" s="220"/>
      <c r="P64" s="220"/>
    </row>
    <row r="65" spans="2:23" s="58" customFormat="1" ht="15" hidden="1" customHeight="1">
      <c r="B65" s="153">
        <f t="shared" si="8"/>
        <v>44</v>
      </c>
      <c r="C65" s="148"/>
      <c r="D65" s="319">
        <f>FACTORES!F83</f>
        <v>43602.46</v>
      </c>
      <c r="E65" s="319">
        <f>FACTORES!G83</f>
        <v>49581.41</v>
      </c>
      <c r="F65" s="319">
        <f t="shared" si="9"/>
        <v>58063.200000000004</v>
      </c>
      <c r="G65" s="482">
        <f t="shared" si="10"/>
        <v>66594.01999999999</v>
      </c>
      <c r="H65" s="319">
        <f t="shared" si="4"/>
        <v>58063.200000000004</v>
      </c>
      <c r="I65" s="319">
        <f t="shared" si="5"/>
        <v>66594.01999999999</v>
      </c>
      <c r="J65" s="319">
        <f t="shared" si="6"/>
        <v>67353.312000000005</v>
      </c>
      <c r="K65" s="319">
        <f t="shared" si="7"/>
        <v>77249.06319999999</v>
      </c>
      <c r="M65" s="319">
        <f t="shared" si="11"/>
        <v>1962.4415999999999</v>
      </c>
      <c r="N65" s="319">
        <f t="shared" si="12"/>
        <v>1962.4415999999999</v>
      </c>
      <c r="O65" s="220"/>
      <c r="P65" s="220"/>
    </row>
    <row r="66" spans="2:23" s="58" customFormat="1" ht="15" hidden="1" customHeight="1">
      <c r="B66" s="153">
        <f t="shared" si="8"/>
        <v>45</v>
      </c>
      <c r="C66" s="148"/>
      <c r="D66" s="319">
        <f>FACTORES!F84</f>
        <v>45563.03</v>
      </c>
      <c r="E66" s="319">
        <f>FACTORES!G84</f>
        <v>51356.49</v>
      </c>
      <c r="F66" s="319">
        <f t="shared" si="9"/>
        <v>60597.920000000006</v>
      </c>
      <c r="G66" s="482">
        <f t="shared" si="10"/>
        <v>68888.929999999993</v>
      </c>
      <c r="H66" s="319">
        <f t="shared" si="4"/>
        <v>60597.920000000006</v>
      </c>
      <c r="I66" s="319">
        <f t="shared" si="5"/>
        <v>68888.929999999993</v>
      </c>
      <c r="J66" s="319">
        <f t="shared" si="6"/>
        <v>70293.587199999994</v>
      </c>
      <c r="K66" s="319">
        <f t="shared" si="7"/>
        <v>79911.15879999999</v>
      </c>
      <c r="M66" s="319">
        <f t="shared" si="11"/>
        <v>1962.4415999999999</v>
      </c>
      <c r="N66" s="319">
        <f t="shared" si="12"/>
        <v>1962.4415999999999</v>
      </c>
      <c r="O66" s="220"/>
      <c r="P66" s="220"/>
    </row>
    <row r="67" spans="2:23" s="58" customFormat="1" ht="15" hidden="1" customHeight="1">
      <c r="B67" s="153">
        <f t="shared" si="8"/>
        <v>46</v>
      </c>
      <c r="C67" s="148"/>
      <c r="D67" s="319">
        <f>FACTORES!F85</f>
        <v>47712.5</v>
      </c>
      <c r="E67" s="319">
        <f>FACTORES!G85</f>
        <v>53288.7</v>
      </c>
      <c r="F67" s="319">
        <f t="shared" si="9"/>
        <v>63376.87</v>
      </c>
      <c r="G67" s="482">
        <f t="shared" si="10"/>
        <v>71386.989999999991</v>
      </c>
      <c r="H67" s="319">
        <f t="shared" si="4"/>
        <v>63376.87</v>
      </c>
      <c r="I67" s="319">
        <f t="shared" si="5"/>
        <v>71386.989999999991</v>
      </c>
      <c r="J67" s="319">
        <f t="shared" si="6"/>
        <v>73517.169200000004</v>
      </c>
      <c r="K67" s="319">
        <f t="shared" si="7"/>
        <v>82808.908399999986</v>
      </c>
      <c r="M67" s="319">
        <f t="shared" si="11"/>
        <v>1962.4415999999999</v>
      </c>
      <c r="N67" s="319">
        <f t="shared" si="12"/>
        <v>1962.4415999999999</v>
      </c>
      <c r="O67" s="220"/>
      <c r="P67" s="220"/>
    </row>
    <row r="68" spans="2:23" s="58" customFormat="1" ht="15" hidden="1" customHeight="1">
      <c r="B68" s="153">
        <f t="shared" si="8"/>
        <v>47</v>
      </c>
      <c r="C68" s="148"/>
      <c r="D68" s="319">
        <f>FACTORES!F86</f>
        <v>50072.63</v>
      </c>
      <c r="E68" s="319">
        <f>FACTORES!G86</f>
        <v>56005.27</v>
      </c>
      <c r="F68" s="319">
        <f t="shared" si="9"/>
        <v>66428.160000000003</v>
      </c>
      <c r="G68" s="482">
        <f t="shared" si="10"/>
        <v>74899.099999999991</v>
      </c>
      <c r="H68" s="319">
        <f t="shared" si="4"/>
        <v>66428.160000000003</v>
      </c>
      <c r="I68" s="319">
        <f t="shared" si="5"/>
        <v>74899.099999999991</v>
      </c>
      <c r="J68" s="319">
        <f t="shared" si="6"/>
        <v>77056.665599999993</v>
      </c>
      <c r="K68" s="319">
        <f t="shared" si="7"/>
        <v>86882.955999999991</v>
      </c>
      <c r="M68" s="319">
        <f t="shared" si="11"/>
        <v>1962.4415999999999</v>
      </c>
      <c r="N68" s="319">
        <f t="shared" si="12"/>
        <v>1962.4415999999999</v>
      </c>
      <c r="O68" s="220"/>
      <c r="P68" s="220"/>
      <c r="W68" s="62"/>
    </row>
    <row r="69" spans="2:23" s="58" customFormat="1" ht="15" hidden="1" customHeight="1">
      <c r="B69" s="153">
        <f t="shared" si="8"/>
        <v>48</v>
      </c>
      <c r="C69" s="148"/>
      <c r="D69" s="319">
        <f>FACTORES!F87</f>
        <v>52638.879999999997</v>
      </c>
      <c r="E69" s="319">
        <f>FACTORES!G87</f>
        <v>58256.25</v>
      </c>
      <c r="F69" s="319">
        <f t="shared" si="9"/>
        <v>69745.939999999988</v>
      </c>
      <c r="G69" s="482">
        <f t="shared" si="10"/>
        <v>77809.279999999984</v>
      </c>
      <c r="H69" s="319">
        <f t="shared" si="4"/>
        <v>69745.939999999988</v>
      </c>
      <c r="I69" s="319">
        <f t="shared" si="5"/>
        <v>77809.279999999984</v>
      </c>
      <c r="J69" s="319">
        <f t="shared" si="6"/>
        <v>80905.290399999983</v>
      </c>
      <c r="K69" s="319">
        <f t="shared" si="7"/>
        <v>90258.764799999975</v>
      </c>
      <c r="M69" s="319">
        <f t="shared" si="11"/>
        <v>1962.4415999999999</v>
      </c>
      <c r="N69" s="319">
        <f t="shared" si="12"/>
        <v>1962.4415999999999</v>
      </c>
      <c r="O69" s="220"/>
      <c r="P69" s="220"/>
    </row>
    <row r="70" spans="2:23" s="58" customFormat="1" ht="15" hidden="1" customHeight="1">
      <c r="B70" s="153">
        <f t="shared" si="8"/>
        <v>49</v>
      </c>
      <c r="C70" s="148"/>
      <c r="D70" s="319">
        <f>FACTORES!F88</f>
        <v>55452.89</v>
      </c>
      <c r="E70" s="319">
        <f>FACTORES!G88</f>
        <v>60684.02</v>
      </c>
      <c r="F70" s="319">
        <f t="shared" si="9"/>
        <v>73384.03</v>
      </c>
      <c r="G70" s="482">
        <f t="shared" si="10"/>
        <v>80948.029999999984</v>
      </c>
      <c r="H70" s="319">
        <f t="shared" si="4"/>
        <v>73384.03</v>
      </c>
      <c r="I70" s="319">
        <f t="shared" si="5"/>
        <v>80948.029999999984</v>
      </c>
      <c r="J70" s="319">
        <f t="shared" si="6"/>
        <v>85125.474799999996</v>
      </c>
      <c r="K70" s="319">
        <f t="shared" si="7"/>
        <v>93899.714799999972</v>
      </c>
      <c r="M70" s="319">
        <f t="shared" si="11"/>
        <v>1962.4415999999999</v>
      </c>
      <c r="N70" s="319">
        <f t="shared" si="12"/>
        <v>1962.4415999999999</v>
      </c>
      <c r="O70" s="220"/>
      <c r="P70" s="220"/>
    </row>
    <row r="71" spans="2:23" s="58" customFormat="1" ht="15" hidden="1" customHeight="1">
      <c r="B71" s="153">
        <f t="shared" si="8"/>
        <v>50</v>
      </c>
      <c r="C71" s="148"/>
      <c r="D71" s="319">
        <f>FACTORES!F89</f>
        <v>58546.29</v>
      </c>
      <c r="E71" s="319">
        <f>FACTORES!G89</f>
        <v>63259.79</v>
      </c>
      <c r="F71" s="319">
        <f t="shared" ref="F71:F106" si="13">ROUND(D71*$G$5*$G$6*$G$7,2)+ADIC+DENTAL+IKE+CVISION</f>
        <v>77383.33</v>
      </c>
      <c r="G71" s="482">
        <f t="shared" si="10"/>
        <v>84278.109999999986</v>
      </c>
      <c r="H71" s="319">
        <f t="shared" si="4"/>
        <v>77383.33</v>
      </c>
      <c r="I71" s="319">
        <f t="shared" si="5"/>
        <v>84278.109999999986</v>
      </c>
      <c r="J71" s="319">
        <f t="shared" si="6"/>
        <v>89764.662799999991</v>
      </c>
      <c r="K71" s="319">
        <f t="shared" si="7"/>
        <v>97762.607599999974</v>
      </c>
      <c r="M71" s="319">
        <f t="shared" si="11"/>
        <v>1962.4415999999999</v>
      </c>
      <c r="N71" s="319">
        <f t="shared" si="12"/>
        <v>1962.4415999999999</v>
      </c>
      <c r="O71" s="220"/>
      <c r="P71" s="220"/>
    </row>
    <row r="72" spans="2:23" s="58" customFormat="1" ht="15" hidden="1" customHeight="1">
      <c r="B72" s="153">
        <f t="shared" si="8"/>
        <v>51</v>
      </c>
      <c r="C72" s="148"/>
      <c r="D72" s="319">
        <f>FACTORES!F90</f>
        <v>61886.65</v>
      </c>
      <c r="E72" s="319">
        <f>FACTORES!G90</f>
        <v>66018.399999999994</v>
      </c>
      <c r="F72" s="319">
        <f t="shared" si="13"/>
        <v>81701.919999999998</v>
      </c>
      <c r="G72" s="482">
        <f t="shared" si="10"/>
        <v>87844.579999999987</v>
      </c>
      <c r="H72" s="319">
        <f t="shared" si="4"/>
        <v>81701.919999999998</v>
      </c>
      <c r="I72" s="319">
        <f t="shared" si="5"/>
        <v>87844.579999999987</v>
      </c>
      <c r="J72" s="319">
        <f t="shared" si="6"/>
        <v>94774.227199999994</v>
      </c>
      <c r="K72" s="319">
        <f t="shared" si="7"/>
        <v>101899.71279999998</v>
      </c>
      <c r="M72" s="319">
        <f t="shared" si="11"/>
        <v>1962.4415999999999</v>
      </c>
      <c r="N72" s="319">
        <f t="shared" si="12"/>
        <v>1962.4415999999999</v>
      </c>
      <c r="O72" s="220"/>
      <c r="P72" s="220"/>
      <c r="Q72" s="46"/>
      <c r="R72" s="46"/>
      <c r="S72" s="46"/>
      <c r="T72" s="46"/>
      <c r="U72" s="46"/>
      <c r="V72" s="46"/>
      <c r="W72" s="46"/>
    </row>
    <row r="73" spans="2:23" s="58" customFormat="1" ht="15" hidden="1" customHeight="1">
      <c r="B73" s="153">
        <f t="shared" si="8"/>
        <v>52</v>
      </c>
      <c r="C73" s="148"/>
      <c r="D73" s="319">
        <f>FACTORES!F91</f>
        <v>65536.42</v>
      </c>
      <c r="E73" s="319">
        <f>FACTORES!G91</f>
        <v>68983.33</v>
      </c>
      <c r="F73" s="319">
        <f t="shared" si="13"/>
        <v>86420.51999999999</v>
      </c>
      <c r="G73" s="482">
        <f t="shared" si="10"/>
        <v>91677.79</v>
      </c>
      <c r="H73" s="319">
        <f t="shared" si="4"/>
        <v>86420.51999999999</v>
      </c>
      <c r="I73" s="319">
        <f t="shared" si="5"/>
        <v>91677.79</v>
      </c>
      <c r="J73" s="319">
        <f t="shared" si="6"/>
        <v>100247.80319999998</v>
      </c>
      <c r="K73" s="319">
        <f t="shared" si="7"/>
        <v>106346.23639999998</v>
      </c>
      <c r="M73" s="319">
        <f t="shared" si="11"/>
        <v>1962.4415999999999</v>
      </c>
      <c r="N73" s="319">
        <f t="shared" si="12"/>
        <v>1962.4415999999999</v>
      </c>
      <c r="O73" s="220"/>
      <c r="P73" s="220"/>
      <c r="Q73" s="57"/>
      <c r="R73" s="64"/>
      <c r="S73" s="64"/>
      <c r="W73" s="65"/>
    </row>
    <row r="74" spans="2:23" s="58" customFormat="1" ht="15" hidden="1" customHeight="1">
      <c r="B74" s="153">
        <f t="shared" si="8"/>
        <v>53</v>
      </c>
      <c r="C74" s="148"/>
      <c r="D74" s="319">
        <f>FACTORES!F92</f>
        <v>69469.25</v>
      </c>
      <c r="E74" s="319">
        <f>FACTORES!G92</f>
        <v>72168.02</v>
      </c>
      <c r="F74" s="319">
        <f t="shared" si="13"/>
        <v>91505.08</v>
      </c>
      <c r="G74" s="482">
        <f t="shared" si="10"/>
        <v>95795.109999999986</v>
      </c>
      <c r="H74" s="319">
        <f t="shared" si="4"/>
        <v>91505.08</v>
      </c>
      <c r="I74" s="319">
        <f t="shared" si="5"/>
        <v>95795.109999999986</v>
      </c>
      <c r="J74" s="319">
        <f t="shared" si="6"/>
        <v>106145.8928</v>
      </c>
      <c r="K74" s="319">
        <f t="shared" si="7"/>
        <v>111122.32759999998</v>
      </c>
      <c r="M74" s="319">
        <f t="shared" si="11"/>
        <v>1962.4415999999999</v>
      </c>
      <c r="N74" s="319">
        <f t="shared" si="12"/>
        <v>1962.4415999999999</v>
      </c>
      <c r="O74" s="220"/>
      <c r="P74" s="220"/>
      <c r="Q74" s="57"/>
      <c r="R74" s="64"/>
      <c r="S74" s="64"/>
    </row>
    <row r="75" spans="2:23" s="58" customFormat="1" ht="15" hidden="1" customHeight="1">
      <c r="B75" s="153">
        <f t="shared" si="8"/>
        <v>54</v>
      </c>
      <c r="C75" s="148"/>
      <c r="D75" s="319">
        <f>FACTORES!F93</f>
        <v>73736.87</v>
      </c>
      <c r="E75" s="319">
        <f>FACTORES!G93</f>
        <v>75561.89</v>
      </c>
      <c r="F75" s="319">
        <f t="shared" si="13"/>
        <v>97022.47</v>
      </c>
      <c r="G75" s="482">
        <f t="shared" si="10"/>
        <v>100182.87999999999</v>
      </c>
      <c r="H75" s="319">
        <f t="shared" si="4"/>
        <v>97022.47</v>
      </c>
      <c r="I75" s="319">
        <f t="shared" si="5"/>
        <v>100182.87999999999</v>
      </c>
      <c r="J75" s="319">
        <f t="shared" si="6"/>
        <v>112546.0652</v>
      </c>
      <c r="K75" s="319">
        <f t="shared" si="7"/>
        <v>116212.14079999998</v>
      </c>
      <c r="M75" s="319">
        <f t="shared" si="11"/>
        <v>1962.4415999999999</v>
      </c>
      <c r="N75" s="319">
        <f t="shared" si="12"/>
        <v>1962.4415999999999</v>
      </c>
      <c r="O75" s="220"/>
      <c r="P75" s="220"/>
      <c r="Q75" s="57"/>
      <c r="R75" s="67"/>
      <c r="S75" s="57"/>
      <c r="V75" s="61"/>
      <c r="W75" s="57"/>
    </row>
    <row r="76" spans="2:23" s="58" customFormat="1" ht="15" hidden="1" customHeight="1">
      <c r="B76" s="153">
        <f t="shared" si="8"/>
        <v>55</v>
      </c>
      <c r="C76" s="148"/>
      <c r="D76" s="319">
        <f>FACTORES!F94</f>
        <v>78328.240000000005</v>
      </c>
      <c r="E76" s="319">
        <f>FACTORES!G94</f>
        <v>79649.7</v>
      </c>
      <c r="F76" s="319">
        <f t="shared" si="13"/>
        <v>102958.43</v>
      </c>
      <c r="G76" s="319">
        <f t="shared" ref="G76:G106" si="14">ROUND(E76*$G$5*$G$6*$G$7,2)+ADIC+DENTAL+IKE+CVISION</f>
        <v>104666.87</v>
      </c>
      <c r="H76" s="319">
        <f t="shared" si="4"/>
        <v>102958.43</v>
      </c>
      <c r="I76" s="319">
        <f t="shared" si="5"/>
        <v>104666.87</v>
      </c>
      <c r="J76" s="319">
        <f t="shared" si="6"/>
        <v>119431.77879999999</v>
      </c>
      <c r="K76" s="319">
        <f t="shared" si="7"/>
        <v>121413.56919999998</v>
      </c>
      <c r="M76" s="319">
        <f t="shared" si="11"/>
        <v>1962.4415999999999</v>
      </c>
      <c r="N76" s="319">
        <f t="shared" si="12"/>
        <v>1962.4415999999999</v>
      </c>
      <c r="O76" s="220"/>
      <c r="P76" s="220"/>
      <c r="Q76" s="61"/>
      <c r="R76" s="61"/>
      <c r="S76" s="61"/>
    </row>
    <row r="77" spans="2:23" s="58" customFormat="1" ht="15" hidden="1" customHeight="1">
      <c r="B77" s="153">
        <f t="shared" si="8"/>
        <v>56</v>
      </c>
      <c r="C77" s="148"/>
      <c r="D77" s="319">
        <f>FACTORES!F95</f>
        <v>83284.97</v>
      </c>
      <c r="E77" s="319">
        <f>FACTORES!G95</f>
        <v>85036.07</v>
      </c>
      <c r="F77" s="319">
        <f t="shared" si="13"/>
        <v>109366.73</v>
      </c>
      <c r="G77" s="319">
        <f t="shared" si="14"/>
        <v>111630.64</v>
      </c>
      <c r="H77" s="319">
        <f t="shared" si="4"/>
        <v>109366.73</v>
      </c>
      <c r="I77" s="319">
        <f t="shared" si="5"/>
        <v>111630.64</v>
      </c>
      <c r="J77" s="319">
        <f t="shared" si="6"/>
        <v>126865.40679999998</v>
      </c>
      <c r="K77" s="319">
        <f t="shared" si="7"/>
        <v>129491.54239999999</v>
      </c>
      <c r="M77" s="319">
        <f t="shared" si="11"/>
        <v>1962.4415999999999</v>
      </c>
      <c r="N77" s="319">
        <f t="shared" si="12"/>
        <v>1962.4415999999999</v>
      </c>
      <c r="O77" s="220"/>
      <c r="P77" s="220"/>
      <c r="Q77" s="46"/>
      <c r="R77" s="46"/>
      <c r="S77" s="46"/>
      <c r="T77" s="46"/>
      <c r="U77" s="46"/>
      <c r="V77" s="46"/>
      <c r="W77" s="46"/>
    </row>
    <row r="78" spans="2:23" s="58" customFormat="1" ht="15" hidden="1" customHeight="1">
      <c r="B78" s="153">
        <f t="shared" si="8"/>
        <v>57</v>
      </c>
      <c r="C78" s="148"/>
      <c r="D78" s="319">
        <f>FACTORES!F96</f>
        <v>88644.34</v>
      </c>
      <c r="E78" s="319">
        <f>FACTORES!G96</f>
        <v>88272.59</v>
      </c>
      <c r="F78" s="319">
        <f t="shared" si="13"/>
        <v>116295.59</v>
      </c>
      <c r="G78" s="319">
        <f t="shared" si="14"/>
        <v>115814.98</v>
      </c>
      <c r="H78" s="319">
        <f t="shared" si="4"/>
        <v>116295.59</v>
      </c>
      <c r="I78" s="319">
        <f t="shared" si="5"/>
        <v>115814.98</v>
      </c>
      <c r="J78" s="319">
        <f t="shared" si="6"/>
        <v>134902.88439999998</v>
      </c>
      <c r="K78" s="319">
        <f t="shared" si="7"/>
        <v>134345.3768</v>
      </c>
      <c r="M78" s="319">
        <f t="shared" si="11"/>
        <v>1962.4415999999999</v>
      </c>
      <c r="N78" s="319">
        <f t="shared" si="12"/>
        <v>1962.4415999999999</v>
      </c>
      <c r="O78" s="220"/>
      <c r="P78" s="220"/>
      <c r="Q78" s="61"/>
      <c r="R78" s="61"/>
      <c r="S78" s="61"/>
    </row>
    <row r="79" spans="2:23" s="58" customFormat="1" ht="15" hidden="1" customHeight="1">
      <c r="B79" s="153">
        <f t="shared" si="8"/>
        <v>58</v>
      </c>
      <c r="C79" s="148"/>
      <c r="D79" s="319">
        <f>FACTORES!F97</f>
        <v>92450.98</v>
      </c>
      <c r="E79" s="319">
        <f>FACTORES!G97</f>
        <v>91797.69</v>
      </c>
      <c r="F79" s="319">
        <f t="shared" si="13"/>
        <v>121217.01</v>
      </c>
      <c r="G79" s="319">
        <f t="shared" si="14"/>
        <v>120372.4</v>
      </c>
      <c r="H79" s="319">
        <f t="shared" si="4"/>
        <v>121217.01</v>
      </c>
      <c r="I79" s="319">
        <f t="shared" si="5"/>
        <v>120372.4</v>
      </c>
      <c r="J79" s="319">
        <f t="shared" si="6"/>
        <v>140611.73159999997</v>
      </c>
      <c r="K79" s="319">
        <f t="shared" si="7"/>
        <v>139631.984</v>
      </c>
      <c r="M79" s="319">
        <f t="shared" si="11"/>
        <v>1962.4415999999999</v>
      </c>
      <c r="N79" s="319">
        <f t="shared" si="12"/>
        <v>1962.4415999999999</v>
      </c>
      <c r="O79" s="220"/>
      <c r="P79" s="220"/>
      <c r="Q79" s="61"/>
      <c r="R79" s="61"/>
      <c r="S79" s="61"/>
      <c r="U79" s="59"/>
    </row>
    <row r="80" spans="2:23" s="58" customFormat="1" ht="15" hidden="1" customHeight="1">
      <c r="B80" s="153">
        <f t="shared" si="8"/>
        <v>59</v>
      </c>
      <c r="C80" s="148"/>
      <c r="D80" s="319">
        <f>FACTORES!F98</f>
        <v>98454.55</v>
      </c>
      <c r="E80" s="319">
        <f>FACTORES!G98</f>
        <v>93299.67</v>
      </c>
      <c r="F80" s="319">
        <f t="shared" si="13"/>
        <v>128978.72</v>
      </c>
      <c r="G80" s="319">
        <f t="shared" si="14"/>
        <v>122314.23999999999</v>
      </c>
      <c r="H80" s="319">
        <f t="shared" si="4"/>
        <v>128978.72</v>
      </c>
      <c r="I80" s="319">
        <f t="shared" si="5"/>
        <v>122314.23999999999</v>
      </c>
      <c r="J80" s="319">
        <f t="shared" si="6"/>
        <v>149615.31519999998</v>
      </c>
      <c r="K80" s="319">
        <f t="shared" si="7"/>
        <v>141884.51839999997</v>
      </c>
      <c r="M80" s="319">
        <f t="shared" si="11"/>
        <v>1962.4415999999999</v>
      </c>
      <c r="N80" s="319">
        <f t="shared" si="12"/>
        <v>1962.4415999999999</v>
      </c>
      <c r="O80" s="220"/>
      <c r="P80" s="220"/>
      <c r="Q80" s="61"/>
      <c r="R80" s="61"/>
      <c r="S80" s="61"/>
      <c r="U80" s="59"/>
    </row>
    <row r="81" spans="2:22" s="58" customFormat="1" ht="15" hidden="1" customHeight="1">
      <c r="B81" s="153">
        <f t="shared" si="8"/>
        <v>60</v>
      </c>
      <c r="C81" s="148"/>
      <c r="D81" s="319">
        <f>FACTORES!F99</f>
        <v>158478.32999999999</v>
      </c>
      <c r="E81" s="319">
        <f>FACTORES!G99</f>
        <v>153294.49</v>
      </c>
      <c r="F81" s="319">
        <f t="shared" si="13"/>
        <v>206580.47</v>
      </c>
      <c r="G81" s="319">
        <f t="shared" si="14"/>
        <v>199878.54</v>
      </c>
      <c r="H81" s="319">
        <f t="shared" si="4"/>
        <v>206580.47</v>
      </c>
      <c r="I81" s="319">
        <f t="shared" si="5"/>
        <v>199878.54</v>
      </c>
      <c r="J81" s="319">
        <f t="shared" si="6"/>
        <v>239633.34519999998</v>
      </c>
      <c r="K81" s="319">
        <f t="shared" si="7"/>
        <v>231859.10639999999</v>
      </c>
      <c r="M81" s="319">
        <f t="shared" si="11"/>
        <v>1962.4415999999999</v>
      </c>
      <c r="N81" s="319">
        <f t="shared" si="12"/>
        <v>1962.4415999999999</v>
      </c>
      <c r="O81" s="220"/>
      <c r="P81" s="220"/>
      <c r="Q81" s="61"/>
      <c r="R81" s="61"/>
      <c r="S81" s="66"/>
      <c r="U81" s="59"/>
    </row>
    <row r="82" spans="2:22" s="58" customFormat="1" ht="15" hidden="1" customHeight="1">
      <c r="B82" s="153">
        <f t="shared" si="8"/>
        <v>61</v>
      </c>
      <c r="C82" s="148"/>
      <c r="D82" s="319">
        <f>FACTORES!F100</f>
        <v>167034.98000000001</v>
      </c>
      <c r="E82" s="319">
        <f>FACTORES!G100</f>
        <v>159782.09</v>
      </c>
      <c r="F82" s="319">
        <f t="shared" si="13"/>
        <v>217642.93000000002</v>
      </c>
      <c r="G82" s="319">
        <f t="shared" si="14"/>
        <v>208266.04</v>
      </c>
      <c r="H82" s="319">
        <f t="shared" si="4"/>
        <v>217642.93000000002</v>
      </c>
      <c r="I82" s="319">
        <f t="shared" si="5"/>
        <v>208266.04</v>
      </c>
      <c r="J82" s="319">
        <f t="shared" si="6"/>
        <v>252465.79880000002</v>
      </c>
      <c r="K82" s="319">
        <f t="shared" si="7"/>
        <v>241588.60639999999</v>
      </c>
      <c r="M82" s="319">
        <f t="shared" si="11"/>
        <v>1962.4415999999999</v>
      </c>
      <c r="N82" s="319">
        <f t="shared" si="12"/>
        <v>1962.4415999999999</v>
      </c>
      <c r="O82" s="220"/>
      <c r="P82" s="220"/>
      <c r="Q82" s="61"/>
      <c r="R82" s="61"/>
      <c r="S82" s="66"/>
      <c r="U82" s="59"/>
    </row>
    <row r="83" spans="2:22" s="58" customFormat="1" ht="15" hidden="1" customHeight="1">
      <c r="B83" s="153">
        <f t="shared" si="8"/>
        <v>62</v>
      </c>
      <c r="C83" s="148"/>
      <c r="D83" s="319">
        <f>FACTORES!F101</f>
        <v>176049.79</v>
      </c>
      <c r="E83" s="319">
        <f>FACTORES!G101</f>
        <v>166617.42000000001</v>
      </c>
      <c r="F83" s="319">
        <f t="shared" si="13"/>
        <v>229297.73</v>
      </c>
      <c r="G83" s="319">
        <f t="shared" si="14"/>
        <v>217103.09</v>
      </c>
      <c r="H83" s="319">
        <f t="shared" si="4"/>
        <v>229297.73</v>
      </c>
      <c r="I83" s="319">
        <f t="shared" si="5"/>
        <v>217103.09</v>
      </c>
      <c r="J83" s="319">
        <f t="shared" si="6"/>
        <v>265985.36680000002</v>
      </c>
      <c r="K83" s="319">
        <f t="shared" si="7"/>
        <v>251839.58439999999</v>
      </c>
      <c r="M83" s="319">
        <f t="shared" si="11"/>
        <v>1962.4415999999999</v>
      </c>
      <c r="N83" s="319">
        <f t="shared" si="12"/>
        <v>1962.4415999999999</v>
      </c>
      <c r="O83" s="220"/>
      <c r="P83" s="220"/>
      <c r="Q83" s="61"/>
      <c r="R83" s="61"/>
      <c r="S83" s="61"/>
    </row>
    <row r="84" spans="2:22" s="58" customFormat="1" ht="15" hidden="1" customHeight="1">
      <c r="B84" s="153">
        <f t="shared" si="8"/>
        <v>63</v>
      </c>
      <c r="C84" s="148"/>
      <c r="D84" s="319">
        <f>FACTORES!F102</f>
        <v>185426.22</v>
      </c>
      <c r="E84" s="319">
        <f>FACTORES!G102</f>
        <v>173740.36</v>
      </c>
      <c r="F84" s="319">
        <f t="shared" si="13"/>
        <v>241420.05000000002</v>
      </c>
      <c r="G84" s="319">
        <f t="shared" si="14"/>
        <v>226311.98</v>
      </c>
      <c r="H84" s="319">
        <f t="shared" si="4"/>
        <v>241420.05000000002</v>
      </c>
      <c r="I84" s="319">
        <f t="shared" si="5"/>
        <v>226311.98</v>
      </c>
      <c r="J84" s="319">
        <f t="shared" si="6"/>
        <v>280047.25799999997</v>
      </c>
      <c r="K84" s="319">
        <f t="shared" si="7"/>
        <v>262521.89679999999</v>
      </c>
      <c r="M84" s="319">
        <f t="shared" si="11"/>
        <v>1962.4415999999999</v>
      </c>
      <c r="N84" s="319">
        <f t="shared" si="12"/>
        <v>1962.4415999999999</v>
      </c>
      <c r="O84" s="220"/>
      <c r="P84" s="220"/>
      <c r="Q84" s="61"/>
      <c r="R84" s="61"/>
      <c r="S84" s="66"/>
      <c r="U84" s="69"/>
    </row>
    <row r="85" spans="2:22" s="58" customFormat="1" ht="15" hidden="1" customHeight="1">
      <c r="B85" s="153">
        <f t="shared" si="8"/>
        <v>64</v>
      </c>
      <c r="C85" s="148"/>
      <c r="D85" s="319">
        <f>FACTORES!F103</f>
        <v>195326.2</v>
      </c>
      <c r="E85" s="319">
        <f>FACTORES!G103</f>
        <v>181346.27</v>
      </c>
      <c r="F85" s="319">
        <f t="shared" si="13"/>
        <v>254219.24000000002</v>
      </c>
      <c r="G85" s="319">
        <f t="shared" si="14"/>
        <v>236145.29</v>
      </c>
      <c r="H85" s="319">
        <f t="shared" si="4"/>
        <v>254219.24000000002</v>
      </c>
      <c r="I85" s="319">
        <f t="shared" si="5"/>
        <v>236145.29</v>
      </c>
      <c r="J85" s="319">
        <f t="shared" si="6"/>
        <v>294894.31839999999</v>
      </c>
      <c r="K85" s="319">
        <f t="shared" si="7"/>
        <v>273928.53639999998</v>
      </c>
      <c r="M85" s="319">
        <f t="shared" ref="M85:M104" si="15">(D85*$G$5*$G$6*$G$7*$G$11*$G$12*$G$8+(ADIC+DENTAL+CVISION+IKE)*(1-DESC))*(1+IVA)</f>
        <v>1962.4415999999999</v>
      </c>
      <c r="N85" s="319">
        <f t="shared" ref="N85:N104" si="16">(E85*$G$5*$G$6*$G$7*$G$11*$G$12*$G$8+(ADIC+DENTAL+CVISION+IKE)*(1-DESC))*(1+IVA)</f>
        <v>1962.4415999999999</v>
      </c>
      <c r="O85" s="220"/>
      <c r="P85" s="220"/>
      <c r="Q85" s="57"/>
      <c r="R85" s="57"/>
      <c r="S85" s="66"/>
      <c r="U85" s="69"/>
    </row>
    <row r="86" spans="2:22" s="58" customFormat="1" ht="15" hidden="1" customHeight="1">
      <c r="B86" s="153">
        <f t="shared" si="8"/>
        <v>65</v>
      </c>
      <c r="C86" s="148"/>
      <c r="D86" s="319">
        <f>FACTORES!F104</f>
        <v>205421.96</v>
      </c>
      <c r="E86" s="319">
        <f>FACTORES!G104</f>
        <v>189030.54</v>
      </c>
      <c r="F86" s="319">
        <f t="shared" si="13"/>
        <v>267271.54000000004</v>
      </c>
      <c r="G86" s="319">
        <f t="shared" si="14"/>
        <v>246079.89</v>
      </c>
      <c r="H86" s="319">
        <f t="shared" ref="H86:H104" si="17">(F86*(1+$I$18))+$I$19</f>
        <v>267271.54000000004</v>
      </c>
      <c r="I86" s="319">
        <f t="shared" ref="I86:I104" si="18">(G86*(1+$I$18))+$I$19</f>
        <v>246079.89</v>
      </c>
      <c r="J86" s="319">
        <f t="shared" ref="J86:J104" si="19">H86*(1+$K$19)</f>
        <v>310034.98639999999</v>
      </c>
      <c r="K86" s="319">
        <f t="shared" ref="K86:K104" si="20">I86*(1+$K$19)</f>
        <v>285452.67239999998</v>
      </c>
      <c r="M86" s="319">
        <f t="shared" si="15"/>
        <v>1962.4415999999999</v>
      </c>
      <c r="N86" s="319">
        <f t="shared" si="16"/>
        <v>1962.4415999999999</v>
      </c>
      <c r="O86" s="220"/>
      <c r="P86" s="220"/>
      <c r="Q86" s="46"/>
      <c r="R86" s="46"/>
    </row>
    <row r="87" spans="2:22" s="58" customFormat="1" ht="15" hidden="1" customHeight="1">
      <c r="B87" s="153">
        <f t="shared" ref="B87:B121" si="21">+B86+1</f>
        <v>66</v>
      </c>
      <c r="C87" s="148"/>
      <c r="D87" s="319">
        <f>FACTORES!F105</f>
        <v>216214.2</v>
      </c>
      <c r="E87" s="319">
        <f>FACTORES!G105</f>
        <v>197483.59</v>
      </c>
      <c r="F87" s="319">
        <f t="shared" si="13"/>
        <v>281224.29000000004</v>
      </c>
      <c r="G87" s="319">
        <f t="shared" si="14"/>
        <v>257008.42</v>
      </c>
      <c r="H87" s="319">
        <f t="shared" si="17"/>
        <v>281224.29000000004</v>
      </c>
      <c r="I87" s="319">
        <f t="shared" si="18"/>
        <v>257008.42</v>
      </c>
      <c r="J87" s="319">
        <f t="shared" si="19"/>
        <v>326220.1764</v>
      </c>
      <c r="K87" s="319">
        <f t="shared" si="20"/>
        <v>298129.7672</v>
      </c>
      <c r="M87" s="319">
        <f t="shared" si="15"/>
        <v>1962.4415999999999</v>
      </c>
      <c r="N87" s="319">
        <f t="shared" si="16"/>
        <v>1962.4415999999999</v>
      </c>
      <c r="O87" s="220"/>
      <c r="P87" s="220"/>
      <c r="V87" s="70"/>
    </row>
    <row r="88" spans="2:22" s="58" customFormat="1" ht="15" hidden="1" customHeight="1">
      <c r="B88" s="153">
        <f t="shared" si="21"/>
        <v>67</v>
      </c>
      <c r="C88" s="148"/>
      <c r="D88" s="319">
        <f>FACTORES!F106</f>
        <v>227478.48</v>
      </c>
      <c r="E88" s="319">
        <f>FACTORES!G106</f>
        <v>205596.34</v>
      </c>
      <c r="F88" s="319">
        <f t="shared" si="13"/>
        <v>295787.31</v>
      </c>
      <c r="G88" s="319">
        <f t="shared" si="14"/>
        <v>267496.99</v>
      </c>
      <c r="H88" s="319">
        <f t="shared" si="17"/>
        <v>295787.31</v>
      </c>
      <c r="I88" s="319">
        <f t="shared" si="18"/>
        <v>267496.99</v>
      </c>
      <c r="J88" s="319">
        <f t="shared" si="19"/>
        <v>343113.27959999995</v>
      </c>
      <c r="K88" s="319">
        <f t="shared" si="20"/>
        <v>310296.50839999999</v>
      </c>
      <c r="M88" s="319">
        <f t="shared" si="15"/>
        <v>1962.4415999999999</v>
      </c>
      <c r="N88" s="319">
        <f t="shared" si="16"/>
        <v>1962.4415999999999</v>
      </c>
      <c r="O88" s="220"/>
      <c r="P88" s="220"/>
      <c r="V88" s="70"/>
    </row>
    <row r="89" spans="2:22" s="58" customFormat="1" ht="15" hidden="1" customHeight="1">
      <c r="B89" s="153">
        <f t="shared" si="21"/>
        <v>68</v>
      </c>
      <c r="C89" s="148"/>
      <c r="D89" s="319">
        <f>FACTORES!F107</f>
        <v>239048.37</v>
      </c>
      <c r="E89" s="319">
        <f>FACTORES!G107</f>
        <v>214516.32</v>
      </c>
      <c r="F89" s="319">
        <f t="shared" si="13"/>
        <v>310745.45</v>
      </c>
      <c r="G89" s="319">
        <f t="shared" si="14"/>
        <v>279029.18</v>
      </c>
      <c r="H89" s="319">
        <f t="shared" si="17"/>
        <v>310745.45</v>
      </c>
      <c r="I89" s="319">
        <f t="shared" si="18"/>
        <v>279029.18</v>
      </c>
      <c r="J89" s="319">
        <f t="shared" si="19"/>
        <v>360464.72200000001</v>
      </c>
      <c r="K89" s="319">
        <f t="shared" si="20"/>
        <v>323673.84879999998</v>
      </c>
      <c r="M89" s="319">
        <f t="shared" si="15"/>
        <v>1962.4415999999999</v>
      </c>
      <c r="N89" s="319">
        <f t="shared" si="16"/>
        <v>1962.4415999999999</v>
      </c>
      <c r="O89" s="220"/>
      <c r="P89" s="220"/>
    </row>
    <row r="90" spans="2:22" s="58" customFormat="1" ht="15" hidden="1" customHeight="1">
      <c r="B90" s="153">
        <f t="shared" si="21"/>
        <v>69</v>
      </c>
      <c r="C90" s="148"/>
      <c r="D90" s="319">
        <f>FACTORES!F108</f>
        <v>251234.41</v>
      </c>
      <c r="E90" s="319">
        <f>FACTORES!G108</f>
        <v>224099.61</v>
      </c>
      <c r="F90" s="319">
        <f t="shared" si="13"/>
        <v>326500.17</v>
      </c>
      <c r="G90" s="319">
        <f t="shared" si="14"/>
        <v>291418.94</v>
      </c>
      <c r="H90" s="319">
        <f t="shared" si="17"/>
        <v>326500.17</v>
      </c>
      <c r="I90" s="319">
        <f t="shared" si="18"/>
        <v>291418.94</v>
      </c>
      <c r="J90" s="319">
        <f t="shared" si="19"/>
        <v>378740.19719999994</v>
      </c>
      <c r="K90" s="319">
        <f t="shared" si="20"/>
        <v>338045.97039999999</v>
      </c>
      <c r="M90" s="319">
        <f t="shared" si="15"/>
        <v>1962.4415999999999</v>
      </c>
      <c r="N90" s="319">
        <f t="shared" si="16"/>
        <v>1962.4415999999999</v>
      </c>
      <c r="O90" s="220"/>
      <c r="P90" s="220"/>
      <c r="Q90" s="71"/>
      <c r="R90" s="72"/>
    </row>
    <row r="91" spans="2:22" s="58" customFormat="1" ht="15" hidden="1" customHeight="1">
      <c r="B91" s="153">
        <f t="shared" si="21"/>
        <v>70</v>
      </c>
      <c r="C91" s="148"/>
      <c r="D91" s="319">
        <f>FACTORES!F109</f>
        <v>263751.64</v>
      </c>
      <c r="E91" s="319">
        <f>FACTORES!G109</f>
        <v>233485.34</v>
      </c>
      <c r="F91" s="319">
        <f t="shared" si="13"/>
        <v>342683.07</v>
      </c>
      <c r="G91" s="319">
        <f t="shared" si="14"/>
        <v>303553.28000000003</v>
      </c>
      <c r="H91" s="319">
        <f t="shared" si="17"/>
        <v>342683.07</v>
      </c>
      <c r="I91" s="319">
        <f t="shared" si="18"/>
        <v>303553.28000000003</v>
      </c>
      <c r="J91" s="319">
        <f t="shared" si="19"/>
        <v>397512.36119999998</v>
      </c>
      <c r="K91" s="319">
        <f t="shared" si="20"/>
        <v>352121.80479999998</v>
      </c>
      <c r="M91" s="319">
        <f t="shared" si="15"/>
        <v>1962.4415999999999</v>
      </c>
      <c r="N91" s="319">
        <f t="shared" si="16"/>
        <v>1962.4415999999999</v>
      </c>
      <c r="O91" s="220"/>
      <c r="P91" s="220"/>
      <c r="Q91" s="73"/>
      <c r="R91" s="73"/>
    </row>
    <row r="92" spans="2:22" s="58" customFormat="1" ht="15" hidden="1" customHeight="1">
      <c r="B92" s="153">
        <f t="shared" si="21"/>
        <v>71</v>
      </c>
      <c r="C92" s="148"/>
      <c r="D92" s="319">
        <f>FACTORES!F110</f>
        <v>276493.03999999998</v>
      </c>
      <c r="E92" s="319">
        <f>FACTORES!G110</f>
        <v>243320.77</v>
      </c>
      <c r="F92" s="319">
        <f t="shared" si="13"/>
        <v>359155.79000000004</v>
      </c>
      <c r="G92" s="319">
        <f t="shared" si="14"/>
        <v>316269.02</v>
      </c>
      <c r="H92" s="319">
        <f t="shared" si="17"/>
        <v>359155.79000000004</v>
      </c>
      <c r="I92" s="319">
        <f t="shared" si="18"/>
        <v>316269.02</v>
      </c>
      <c r="J92" s="319">
        <f t="shared" si="19"/>
        <v>416620.71640000003</v>
      </c>
      <c r="K92" s="319">
        <f t="shared" si="20"/>
        <v>366872.06319999998</v>
      </c>
      <c r="M92" s="319">
        <f t="shared" si="15"/>
        <v>1962.4415999999999</v>
      </c>
      <c r="N92" s="319">
        <f t="shared" si="16"/>
        <v>1962.4415999999999</v>
      </c>
      <c r="O92" s="220"/>
      <c r="P92" s="220"/>
      <c r="Q92" s="66"/>
      <c r="R92" s="66"/>
    </row>
    <row r="93" spans="2:22" s="58" customFormat="1" ht="15" hidden="1" customHeight="1">
      <c r="B93" s="153">
        <f t="shared" si="21"/>
        <v>72</v>
      </c>
      <c r="C93" s="148"/>
      <c r="D93" s="319">
        <f>FACTORES!F111</f>
        <v>289702.06</v>
      </c>
      <c r="E93" s="319">
        <f>FACTORES!G111</f>
        <v>253830.09</v>
      </c>
      <c r="F93" s="319">
        <f t="shared" si="13"/>
        <v>376233.07</v>
      </c>
      <c r="G93" s="319">
        <f t="shared" si="14"/>
        <v>329855.99</v>
      </c>
      <c r="H93" s="319">
        <f t="shared" si="17"/>
        <v>376233.07</v>
      </c>
      <c r="I93" s="319">
        <f t="shared" si="18"/>
        <v>329855.99</v>
      </c>
      <c r="J93" s="319">
        <f t="shared" si="19"/>
        <v>436430.36119999998</v>
      </c>
      <c r="K93" s="319">
        <f t="shared" si="20"/>
        <v>382632.94839999994</v>
      </c>
      <c r="M93" s="319">
        <f t="shared" si="15"/>
        <v>1962.4415999999999</v>
      </c>
      <c r="N93" s="319">
        <f t="shared" si="16"/>
        <v>1962.4415999999999</v>
      </c>
      <c r="O93" s="220"/>
      <c r="P93" s="220"/>
      <c r="Q93" s="66"/>
      <c r="R93" s="66"/>
    </row>
    <row r="94" spans="2:22" s="58" customFormat="1" ht="15" hidden="1" customHeight="1">
      <c r="B94" s="153">
        <f t="shared" si="21"/>
        <v>73</v>
      </c>
      <c r="C94" s="148"/>
      <c r="D94" s="319">
        <f>FACTORES!F112</f>
        <v>303208.06</v>
      </c>
      <c r="E94" s="319">
        <f>FACTORES!G112</f>
        <v>264123.24</v>
      </c>
      <c r="F94" s="319">
        <f t="shared" si="13"/>
        <v>393694.3</v>
      </c>
      <c r="G94" s="319">
        <f t="shared" si="14"/>
        <v>343163.49</v>
      </c>
      <c r="H94" s="319">
        <f t="shared" si="17"/>
        <v>393694.3</v>
      </c>
      <c r="I94" s="319">
        <f t="shared" si="18"/>
        <v>343163.49</v>
      </c>
      <c r="J94" s="319">
        <f t="shared" si="19"/>
        <v>456685.38799999998</v>
      </c>
      <c r="K94" s="319">
        <f t="shared" si="20"/>
        <v>398069.64839999995</v>
      </c>
      <c r="M94" s="319">
        <f t="shared" si="15"/>
        <v>1962.4415999999999</v>
      </c>
      <c r="N94" s="319">
        <f t="shared" si="16"/>
        <v>1962.4415999999999</v>
      </c>
      <c r="O94" s="220"/>
      <c r="P94" s="220"/>
    </row>
    <row r="95" spans="2:22" s="58" customFormat="1" ht="15" hidden="1" customHeight="1">
      <c r="B95" s="153">
        <f t="shared" si="21"/>
        <v>74</v>
      </c>
      <c r="C95" s="148"/>
      <c r="D95" s="319">
        <f>FACTORES!F113</f>
        <v>317810.63</v>
      </c>
      <c r="E95" s="319">
        <f>FACTORES!G113</f>
        <v>274622.24</v>
      </c>
      <c r="F95" s="319">
        <f t="shared" si="13"/>
        <v>412573.23</v>
      </c>
      <c r="G95" s="319">
        <f t="shared" si="14"/>
        <v>356737.12</v>
      </c>
      <c r="H95" s="319">
        <f t="shared" si="17"/>
        <v>412573.23</v>
      </c>
      <c r="I95" s="319">
        <f t="shared" si="18"/>
        <v>356737.12</v>
      </c>
      <c r="J95" s="319">
        <f t="shared" si="19"/>
        <v>478584.94679999992</v>
      </c>
      <c r="K95" s="319">
        <f t="shared" si="20"/>
        <v>413815.05919999996</v>
      </c>
      <c r="M95" s="319">
        <f t="shared" si="15"/>
        <v>1962.4415999999999</v>
      </c>
      <c r="N95" s="319">
        <f t="shared" si="16"/>
        <v>1962.4415999999999</v>
      </c>
      <c r="O95" s="220"/>
      <c r="P95" s="220"/>
    </row>
    <row r="96" spans="2:22" s="58" customFormat="1" ht="15" hidden="1" customHeight="1">
      <c r="B96" s="153">
        <f t="shared" si="21"/>
        <v>75</v>
      </c>
      <c r="C96" s="148"/>
      <c r="D96" s="319">
        <f>FACTORES!F114</f>
        <v>331568.43</v>
      </c>
      <c r="E96" s="319">
        <f>FACTORES!G114</f>
        <v>285928.14</v>
      </c>
      <c r="F96" s="319">
        <f t="shared" si="13"/>
        <v>430360</v>
      </c>
      <c r="G96" s="319">
        <f t="shared" si="14"/>
        <v>371353.96</v>
      </c>
      <c r="H96" s="319">
        <f t="shared" si="17"/>
        <v>430360</v>
      </c>
      <c r="I96" s="319">
        <f t="shared" si="18"/>
        <v>371353.96</v>
      </c>
      <c r="J96" s="319">
        <f t="shared" si="19"/>
        <v>499217.6</v>
      </c>
      <c r="K96" s="319">
        <f t="shared" si="20"/>
        <v>430770.59360000002</v>
      </c>
      <c r="M96" s="319">
        <f t="shared" si="15"/>
        <v>1962.4415999999999</v>
      </c>
      <c r="N96" s="319">
        <f t="shared" si="16"/>
        <v>1962.4415999999999</v>
      </c>
      <c r="O96" s="220"/>
      <c r="P96" s="220"/>
    </row>
    <row r="97" spans="2:21" s="58" customFormat="1" ht="15" hidden="1" customHeight="1">
      <c r="B97" s="153">
        <f t="shared" si="21"/>
        <v>76</v>
      </c>
      <c r="C97" s="148"/>
      <c r="D97" s="319">
        <f>FACTORES!F115</f>
        <v>348368.21</v>
      </c>
      <c r="E97" s="319">
        <f>FACTORES!G115</f>
        <v>298339.55</v>
      </c>
      <c r="F97" s="319">
        <f t="shared" si="13"/>
        <v>452079.60000000003</v>
      </c>
      <c r="G97" s="319">
        <f t="shared" si="14"/>
        <v>387400.05</v>
      </c>
      <c r="H97" s="319">
        <f t="shared" si="17"/>
        <v>452079.60000000003</v>
      </c>
      <c r="I97" s="319">
        <f t="shared" si="18"/>
        <v>387400.05</v>
      </c>
      <c r="J97" s="319">
        <f t="shared" si="19"/>
        <v>524412.33600000001</v>
      </c>
      <c r="K97" s="319">
        <f t="shared" si="20"/>
        <v>449384.05799999996</v>
      </c>
      <c r="M97" s="319">
        <f t="shared" si="15"/>
        <v>1962.4415999999999</v>
      </c>
      <c r="N97" s="319">
        <f t="shared" si="16"/>
        <v>1962.4415999999999</v>
      </c>
      <c r="O97" s="220"/>
      <c r="P97" s="220"/>
      <c r="U97" s="74"/>
    </row>
    <row r="98" spans="2:21" s="58" customFormat="1" ht="15" hidden="1" customHeight="1">
      <c r="B98" s="153">
        <f t="shared" si="21"/>
        <v>77</v>
      </c>
      <c r="C98" s="148"/>
      <c r="D98" s="319">
        <f>FACTORES!F116</f>
        <v>366318.01</v>
      </c>
      <c r="E98" s="319">
        <f>FACTORES!G116</f>
        <v>311651.39</v>
      </c>
      <c r="F98" s="319">
        <f t="shared" si="13"/>
        <v>475286</v>
      </c>
      <c r="G98" s="319">
        <f t="shared" si="14"/>
        <v>404610.26</v>
      </c>
      <c r="H98" s="319">
        <f t="shared" si="17"/>
        <v>475286</v>
      </c>
      <c r="I98" s="319">
        <f t="shared" si="18"/>
        <v>404610.26</v>
      </c>
      <c r="J98" s="319">
        <f t="shared" si="19"/>
        <v>551331.76</v>
      </c>
      <c r="K98" s="319">
        <f t="shared" si="20"/>
        <v>469347.90159999998</v>
      </c>
      <c r="M98" s="319">
        <f t="shared" si="15"/>
        <v>1962.4415999999999</v>
      </c>
      <c r="N98" s="319">
        <f t="shared" si="16"/>
        <v>1962.4415999999999</v>
      </c>
      <c r="O98" s="220"/>
      <c r="P98" s="220"/>
      <c r="U98" s="74"/>
    </row>
    <row r="99" spans="2:21" s="58" customFormat="1" ht="15" hidden="1" customHeight="1">
      <c r="B99" s="153">
        <f t="shared" si="21"/>
        <v>78</v>
      </c>
      <c r="C99" s="148"/>
      <c r="D99" s="319">
        <f>FACTORES!F117</f>
        <v>384978.01</v>
      </c>
      <c r="E99" s="319">
        <f>FACTORES!G117</f>
        <v>325519.28000000003</v>
      </c>
      <c r="F99" s="319">
        <f t="shared" si="13"/>
        <v>499410.58</v>
      </c>
      <c r="G99" s="319">
        <f t="shared" si="14"/>
        <v>422539.36</v>
      </c>
      <c r="H99" s="319">
        <f t="shared" si="17"/>
        <v>499410.58</v>
      </c>
      <c r="I99" s="319">
        <f t="shared" si="18"/>
        <v>422539.36</v>
      </c>
      <c r="J99" s="319">
        <f t="shared" si="19"/>
        <v>579316.27280000004</v>
      </c>
      <c r="K99" s="319">
        <f t="shared" si="20"/>
        <v>490145.65759999998</v>
      </c>
      <c r="M99" s="319">
        <f t="shared" si="15"/>
        <v>1962.4415999999999</v>
      </c>
      <c r="N99" s="319">
        <f t="shared" si="16"/>
        <v>1962.4415999999999</v>
      </c>
      <c r="O99" s="220"/>
      <c r="P99" s="220"/>
      <c r="U99" s="74"/>
    </row>
    <row r="100" spans="2:21" s="58" customFormat="1" ht="15" hidden="1" customHeight="1">
      <c r="B100" s="153">
        <f t="shared" si="21"/>
        <v>79</v>
      </c>
      <c r="C100" s="148"/>
      <c r="D100" s="319">
        <f>FACTORES!F118</f>
        <v>405460.98</v>
      </c>
      <c r="E100" s="319">
        <f>FACTORES!G118</f>
        <v>339431.34</v>
      </c>
      <c r="F100" s="319">
        <f t="shared" si="13"/>
        <v>525891.99</v>
      </c>
      <c r="G100" s="319">
        <f t="shared" si="14"/>
        <v>440525.57</v>
      </c>
      <c r="H100" s="319">
        <f t="shared" si="17"/>
        <v>525891.99</v>
      </c>
      <c r="I100" s="319">
        <f t="shared" si="18"/>
        <v>440525.57</v>
      </c>
      <c r="J100" s="319">
        <f t="shared" si="19"/>
        <v>610034.7084</v>
      </c>
      <c r="K100" s="319">
        <f t="shared" si="20"/>
        <v>511009.66119999997</v>
      </c>
      <c r="M100" s="319">
        <f t="shared" si="15"/>
        <v>1962.4415999999999</v>
      </c>
      <c r="N100" s="319">
        <f t="shared" si="16"/>
        <v>1962.4415999999999</v>
      </c>
      <c r="O100" s="220"/>
      <c r="P100" s="220"/>
      <c r="U100" s="74"/>
    </row>
    <row r="101" spans="2:21" s="58" customFormat="1" ht="15" hidden="1" customHeight="1">
      <c r="B101" s="153">
        <f t="shared" si="21"/>
        <v>80</v>
      </c>
      <c r="C101" s="148"/>
      <c r="D101" s="319">
        <f>FACTORES!F119</f>
        <v>425330.09</v>
      </c>
      <c r="E101" s="319">
        <f>FACTORES!G119</f>
        <v>354116.78</v>
      </c>
      <c r="F101" s="319">
        <f t="shared" si="13"/>
        <v>551579.77</v>
      </c>
      <c r="G101" s="319">
        <f t="shared" si="14"/>
        <v>459511.64</v>
      </c>
      <c r="H101" s="319">
        <f t="shared" si="17"/>
        <v>551579.77</v>
      </c>
      <c r="I101" s="319">
        <f t="shared" si="18"/>
        <v>459511.64</v>
      </c>
      <c r="J101" s="319">
        <f t="shared" si="19"/>
        <v>639832.53319999995</v>
      </c>
      <c r="K101" s="319">
        <f t="shared" si="20"/>
        <v>533033.5024</v>
      </c>
      <c r="M101" s="319">
        <f t="shared" si="15"/>
        <v>1962.4415999999999</v>
      </c>
      <c r="N101" s="319">
        <f t="shared" si="16"/>
        <v>1962.4415999999999</v>
      </c>
      <c r="O101" s="220"/>
      <c r="P101" s="220"/>
      <c r="U101" s="74"/>
    </row>
    <row r="102" spans="2:21" s="58" customFormat="1" ht="15" hidden="1" customHeight="1">
      <c r="B102" s="153">
        <f t="shared" si="21"/>
        <v>81</v>
      </c>
      <c r="C102" s="148"/>
      <c r="D102" s="319">
        <f>FACTORES!F120</f>
        <v>448670.34</v>
      </c>
      <c r="E102" s="319">
        <f>FACTORES!G120</f>
        <v>368996.56</v>
      </c>
      <c r="F102" s="319">
        <f t="shared" si="13"/>
        <v>581755.21</v>
      </c>
      <c r="G102" s="319">
        <f t="shared" si="14"/>
        <v>478748.96</v>
      </c>
      <c r="H102" s="319">
        <f t="shared" si="17"/>
        <v>581755.21</v>
      </c>
      <c r="I102" s="319">
        <f t="shared" si="18"/>
        <v>478748.96</v>
      </c>
      <c r="J102" s="319">
        <f t="shared" si="19"/>
        <v>674836.04359999986</v>
      </c>
      <c r="K102" s="319">
        <f t="shared" si="20"/>
        <v>555348.79359999998</v>
      </c>
      <c r="M102" s="319">
        <f t="shared" si="15"/>
        <v>1962.4415999999999</v>
      </c>
      <c r="N102" s="319">
        <f t="shared" si="16"/>
        <v>1962.4415999999999</v>
      </c>
      <c r="O102" s="220"/>
      <c r="P102" s="220"/>
      <c r="U102" s="74"/>
    </row>
    <row r="103" spans="2:21" s="58" customFormat="1" ht="15" hidden="1" customHeight="1">
      <c r="B103" s="153">
        <f t="shared" si="21"/>
        <v>82</v>
      </c>
      <c r="C103" s="148"/>
      <c r="D103" s="319">
        <f>FACTORES!F121</f>
        <v>472895.59</v>
      </c>
      <c r="E103" s="319">
        <f>FACTORES!G121</f>
        <v>383268.62</v>
      </c>
      <c r="F103" s="319">
        <f t="shared" si="13"/>
        <v>613074.82000000007</v>
      </c>
      <c r="G103" s="319">
        <f t="shared" si="14"/>
        <v>497200.60000000003</v>
      </c>
      <c r="H103" s="319">
        <f t="shared" si="17"/>
        <v>613074.82000000007</v>
      </c>
      <c r="I103" s="319">
        <f t="shared" si="18"/>
        <v>497200.60000000003</v>
      </c>
      <c r="J103" s="319">
        <f t="shared" si="19"/>
        <v>711166.79119999998</v>
      </c>
      <c r="K103" s="319">
        <f t="shared" si="20"/>
        <v>576752.696</v>
      </c>
      <c r="M103" s="319">
        <f t="shared" si="15"/>
        <v>1962.4415999999999</v>
      </c>
      <c r="N103" s="319">
        <f t="shared" si="16"/>
        <v>1962.4415999999999</v>
      </c>
      <c r="O103" s="220"/>
      <c r="P103" s="220"/>
      <c r="U103" s="74"/>
    </row>
    <row r="104" spans="2:21" s="58" customFormat="1" ht="15" hidden="1" customHeight="1">
      <c r="B104" s="153">
        <f t="shared" si="21"/>
        <v>83</v>
      </c>
      <c r="C104" s="148"/>
      <c r="D104" s="319">
        <f>FACTORES!F122</f>
        <v>498141</v>
      </c>
      <c r="E104" s="319">
        <f>FACTORES!G122</f>
        <v>399520.63</v>
      </c>
      <c r="F104" s="319">
        <f t="shared" si="13"/>
        <v>645713.35</v>
      </c>
      <c r="G104" s="319">
        <f t="shared" si="14"/>
        <v>518212.01</v>
      </c>
      <c r="H104" s="319">
        <f t="shared" si="17"/>
        <v>645713.35</v>
      </c>
      <c r="I104" s="319">
        <f t="shared" si="18"/>
        <v>518212.01</v>
      </c>
      <c r="J104" s="319">
        <f t="shared" si="19"/>
        <v>749027.48599999992</v>
      </c>
      <c r="K104" s="319">
        <f t="shared" si="20"/>
        <v>601125.93160000001</v>
      </c>
      <c r="M104" s="319">
        <f t="shared" si="15"/>
        <v>1962.4415999999999</v>
      </c>
      <c r="N104" s="319">
        <f t="shared" si="16"/>
        <v>1962.4415999999999</v>
      </c>
      <c r="O104" s="220"/>
      <c r="P104" s="220"/>
      <c r="U104" s="74"/>
    </row>
    <row r="105" spans="2:21" s="58" customFormat="1" ht="15" hidden="1" customHeight="1">
      <c r="B105" s="153">
        <f t="shared" si="21"/>
        <v>84</v>
      </c>
      <c r="C105" s="148"/>
      <c r="D105" s="319">
        <f>FACTORES!F123</f>
        <v>524568.06999999995</v>
      </c>
      <c r="E105" s="319">
        <f>FACTORES!G123</f>
        <v>415289.25</v>
      </c>
      <c r="F105" s="319">
        <f t="shared" si="13"/>
        <v>679879.59</v>
      </c>
      <c r="G105" s="319">
        <f t="shared" si="14"/>
        <v>538598.47</v>
      </c>
      <c r="H105" s="319">
        <f t="shared" ref="H105:I107" si="22">(F105*(1+$I$18))+$I$19</f>
        <v>679879.59</v>
      </c>
      <c r="I105" s="319">
        <f t="shared" si="22"/>
        <v>538598.47</v>
      </c>
      <c r="J105" s="319">
        <f t="shared" ref="J105:K107" si="23">H105*(1+$K$19)</f>
        <v>788660.32439999992</v>
      </c>
      <c r="K105" s="319">
        <f t="shared" si="23"/>
        <v>624774.22519999987</v>
      </c>
      <c r="M105" s="319">
        <f>(D105*$G$5*$G$6*$G$7*$G$11*$G$12*$G$8+(ADIC+DENTAL+CVISION+IKE)*(1-DESC))*(1+IVA)</f>
        <v>1962.4415999999999</v>
      </c>
      <c r="N105" s="319">
        <f>(E105*$G$5*$G$6*$G$7*$G$11*$G$12*$G$8+(ADIC+DENTAL+CVISION+IKE)*(1-DESC))*(1+IVA)</f>
        <v>1962.4415999999999</v>
      </c>
      <c r="O105" s="220"/>
      <c r="P105" s="220"/>
      <c r="U105" s="74"/>
    </row>
    <row r="106" spans="2:21" s="58" customFormat="1" ht="15" hidden="1" customHeight="1" thickBot="1">
      <c r="B106" s="153">
        <f t="shared" si="21"/>
        <v>85</v>
      </c>
      <c r="C106" s="148"/>
      <c r="D106" s="319">
        <f>FACTORES!$F$124</f>
        <v>552366.77</v>
      </c>
      <c r="E106" s="319">
        <f>FACTORES!$G$124</f>
        <v>431503.31</v>
      </c>
      <c r="F106" s="319">
        <f t="shared" si="13"/>
        <v>715819.14</v>
      </c>
      <c r="G106" s="319">
        <f t="shared" si="14"/>
        <v>559560.81000000006</v>
      </c>
      <c r="H106" s="319">
        <f t="shared" si="22"/>
        <v>715819.14</v>
      </c>
      <c r="I106" s="319">
        <f t="shared" si="22"/>
        <v>559560.81000000006</v>
      </c>
      <c r="J106" s="319">
        <f t="shared" si="23"/>
        <v>830350.20239999995</v>
      </c>
      <c r="K106" s="319">
        <f t="shared" si="23"/>
        <v>649090.53960000002</v>
      </c>
      <c r="M106" s="320">
        <f>(D106*$G$5*$G$6*$G$7*$G$11*$G$12*$G$8+(ADIC+DENTAL+CVISION+IKE)*(1-DESC))*(1+IVA)</f>
        <v>1962.4415999999999</v>
      </c>
      <c r="N106" s="320">
        <f>(E106*$G$5*$G$6*$G$7*$G$11*$G$12*$G$8+(ADIC+DENTAL+CVISION+IKE)*(1-DESC))*(1+IVA)</f>
        <v>1962.4415999999999</v>
      </c>
      <c r="O106" s="220"/>
      <c r="P106" s="220"/>
      <c r="U106" s="74"/>
    </row>
    <row r="107" spans="2:21" s="58" customFormat="1" ht="15" hidden="1" customHeight="1" thickTop="1">
      <c r="B107" s="153">
        <f t="shared" si="21"/>
        <v>86</v>
      </c>
      <c r="C107" s="148"/>
      <c r="D107" s="319">
        <f>FACTORES!$F$124</f>
        <v>552366.77</v>
      </c>
      <c r="E107" s="319">
        <f>FACTORES!$G$124</f>
        <v>431503.31</v>
      </c>
      <c r="F107" s="319">
        <f t="shared" ref="F107" si="24">ROUND(D107*$G$5*$G$6*$G$7,2)+ADIC+DENTAL+IKE+CVISION</f>
        <v>715819.14</v>
      </c>
      <c r="G107" s="319">
        <f t="shared" ref="G107" si="25">ROUND(E107*$G$5*$G$6*$G$7,2)+ADIC+DENTAL+IKE+CVISION</f>
        <v>559560.81000000006</v>
      </c>
      <c r="H107" s="319">
        <f t="shared" si="22"/>
        <v>715819.14</v>
      </c>
      <c r="I107" s="319">
        <f t="shared" si="22"/>
        <v>559560.81000000006</v>
      </c>
      <c r="J107" s="319">
        <f t="shared" si="23"/>
        <v>830350.20239999995</v>
      </c>
      <c r="K107" s="319">
        <f t="shared" si="23"/>
        <v>649090.53960000002</v>
      </c>
      <c r="O107" s="68"/>
    </row>
    <row r="108" spans="2:21" s="58" customFormat="1" ht="15" hidden="1" customHeight="1">
      <c r="B108" s="153">
        <f t="shared" si="21"/>
        <v>87</v>
      </c>
      <c r="C108" s="148"/>
      <c r="D108" s="319">
        <f>FACTORES!$F$124</f>
        <v>552366.77</v>
      </c>
      <c r="E108" s="319">
        <f>FACTORES!$G$124</f>
        <v>431503.31</v>
      </c>
      <c r="F108" s="319">
        <f t="shared" ref="F108:F121" si="26">ROUND(D108*$G$5*$G$6*$G$7,2)+ADIC+DENTAL+IKE+CVISION</f>
        <v>715819.14</v>
      </c>
      <c r="G108" s="319">
        <f t="shared" ref="G108:G121" si="27">ROUND(E108*$G$5*$G$6*$G$7,2)+ADIC+DENTAL+IKE+CVISION</f>
        <v>559560.81000000006</v>
      </c>
      <c r="H108" s="319">
        <f t="shared" ref="H108:H121" si="28">(F108*(1+$I$18))+$I$19</f>
        <v>715819.14</v>
      </c>
      <c r="I108" s="319">
        <f t="shared" ref="I108:I121" si="29">(G108*(1+$I$18))+$I$19</f>
        <v>559560.81000000006</v>
      </c>
      <c r="J108" s="319">
        <f t="shared" ref="J108:J121" si="30">H108*(1+$K$19)</f>
        <v>830350.20239999995</v>
      </c>
      <c r="K108" s="319">
        <f t="shared" ref="K108:K121" si="31">I108*(1+$K$19)</f>
        <v>649090.53960000002</v>
      </c>
      <c r="O108" s="68"/>
    </row>
    <row r="109" spans="2:21" s="58" customFormat="1" ht="15" hidden="1" customHeight="1">
      <c r="B109" s="153">
        <f t="shared" si="21"/>
        <v>88</v>
      </c>
      <c r="C109" s="148"/>
      <c r="D109" s="319">
        <f>FACTORES!$F$124</f>
        <v>552366.77</v>
      </c>
      <c r="E109" s="319">
        <f>FACTORES!$G$124</f>
        <v>431503.31</v>
      </c>
      <c r="F109" s="319">
        <f t="shared" si="26"/>
        <v>715819.14</v>
      </c>
      <c r="G109" s="319">
        <f t="shared" si="27"/>
        <v>559560.81000000006</v>
      </c>
      <c r="H109" s="319">
        <f t="shared" si="28"/>
        <v>715819.14</v>
      </c>
      <c r="I109" s="319">
        <f t="shared" si="29"/>
        <v>559560.81000000006</v>
      </c>
      <c r="J109" s="319">
        <f t="shared" si="30"/>
        <v>830350.20239999995</v>
      </c>
      <c r="K109" s="319">
        <f t="shared" si="31"/>
        <v>649090.53960000002</v>
      </c>
      <c r="O109" s="68"/>
    </row>
    <row r="110" spans="2:21" s="58" customFormat="1" ht="15" hidden="1" customHeight="1">
      <c r="B110" s="153">
        <f t="shared" si="21"/>
        <v>89</v>
      </c>
      <c r="C110" s="148"/>
      <c r="D110" s="319">
        <f>FACTORES!$F$124</f>
        <v>552366.77</v>
      </c>
      <c r="E110" s="319">
        <f>FACTORES!$G$124</f>
        <v>431503.31</v>
      </c>
      <c r="F110" s="319">
        <f t="shared" si="26"/>
        <v>715819.14</v>
      </c>
      <c r="G110" s="319">
        <f t="shared" si="27"/>
        <v>559560.81000000006</v>
      </c>
      <c r="H110" s="319">
        <f t="shared" si="28"/>
        <v>715819.14</v>
      </c>
      <c r="I110" s="319">
        <f t="shared" si="29"/>
        <v>559560.81000000006</v>
      </c>
      <c r="J110" s="319">
        <f t="shared" si="30"/>
        <v>830350.20239999995</v>
      </c>
      <c r="K110" s="319">
        <f t="shared" si="31"/>
        <v>649090.53960000002</v>
      </c>
      <c r="O110" s="68"/>
    </row>
    <row r="111" spans="2:21" s="58" customFormat="1" ht="15" hidden="1" customHeight="1">
      <c r="B111" s="153">
        <f t="shared" si="21"/>
        <v>90</v>
      </c>
      <c r="C111" s="148"/>
      <c r="D111" s="319">
        <f>FACTORES!$F$124</f>
        <v>552366.77</v>
      </c>
      <c r="E111" s="319">
        <f>FACTORES!$G$124</f>
        <v>431503.31</v>
      </c>
      <c r="F111" s="319">
        <f t="shared" si="26"/>
        <v>715819.14</v>
      </c>
      <c r="G111" s="319">
        <f t="shared" si="27"/>
        <v>559560.81000000006</v>
      </c>
      <c r="H111" s="319">
        <f t="shared" si="28"/>
        <v>715819.14</v>
      </c>
      <c r="I111" s="319">
        <f t="shared" si="29"/>
        <v>559560.81000000006</v>
      </c>
      <c r="J111" s="319">
        <f t="shared" si="30"/>
        <v>830350.20239999995</v>
      </c>
      <c r="K111" s="319">
        <f t="shared" si="31"/>
        <v>649090.53960000002</v>
      </c>
      <c r="O111" s="68"/>
    </row>
    <row r="112" spans="2:21" s="58" customFormat="1" ht="15" hidden="1" customHeight="1">
      <c r="B112" s="153">
        <f t="shared" si="21"/>
        <v>91</v>
      </c>
      <c r="C112" s="148"/>
      <c r="D112" s="319">
        <f>FACTORES!$F$124</f>
        <v>552366.77</v>
      </c>
      <c r="E112" s="319">
        <f>FACTORES!$G$124</f>
        <v>431503.31</v>
      </c>
      <c r="F112" s="319">
        <f t="shared" si="26"/>
        <v>715819.14</v>
      </c>
      <c r="G112" s="319">
        <f t="shared" si="27"/>
        <v>559560.81000000006</v>
      </c>
      <c r="H112" s="319">
        <f t="shared" si="28"/>
        <v>715819.14</v>
      </c>
      <c r="I112" s="319">
        <f t="shared" si="29"/>
        <v>559560.81000000006</v>
      </c>
      <c r="J112" s="319">
        <f t="shared" si="30"/>
        <v>830350.20239999995</v>
      </c>
      <c r="K112" s="319">
        <f t="shared" si="31"/>
        <v>649090.53960000002</v>
      </c>
    </row>
    <row r="113" spans="2:15" s="58" customFormat="1" ht="15" hidden="1" customHeight="1">
      <c r="B113" s="153">
        <f t="shared" si="21"/>
        <v>92</v>
      </c>
      <c r="C113" s="148"/>
      <c r="D113" s="319">
        <f>FACTORES!$F$124</f>
        <v>552366.77</v>
      </c>
      <c r="E113" s="319">
        <f>FACTORES!$G$124</f>
        <v>431503.31</v>
      </c>
      <c r="F113" s="319">
        <f t="shared" si="26"/>
        <v>715819.14</v>
      </c>
      <c r="G113" s="319">
        <f t="shared" si="27"/>
        <v>559560.81000000006</v>
      </c>
      <c r="H113" s="319">
        <f t="shared" si="28"/>
        <v>715819.14</v>
      </c>
      <c r="I113" s="319">
        <f t="shared" si="29"/>
        <v>559560.81000000006</v>
      </c>
      <c r="J113" s="319">
        <f t="shared" si="30"/>
        <v>830350.20239999995</v>
      </c>
      <c r="K113" s="319">
        <f t="shared" si="31"/>
        <v>649090.53960000002</v>
      </c>
      <c r="O113" s="68"/>
    </row>
    <row r="114" spans="2:15" s="58" customFormat="1" ht="15" hidden="1" customHeight="1">
      <c r="B114" s="153">
        <f t="shared" si="21"/>
        <v>93</v>
      </c>
      <c r="C114" s="148"/>
      <c r="D114" s="319">
        <f>FACTORES!$F$124</f>
        <v>552366.77</v>
      </c>
      <c r="E114" s="319">
        <f>FACTORES!$G$124</f>
        <v>431503.31</v>
      </c>
      <c r="F114" s="319">
        <f t="shared" si="26"/>
        <v>715819.14</v>
      </c>
      <c r="G114" s="319">
        <f t="shared" si="27"/>
        <v>559560.81000000006</v>
      </c>
      <c r="H114" s="319">
        <f t="shared" si="28"/>
        <v>715819.14</v>
      </c>
      <c r="I114" s="319">
        <f t="shared" si="29"/>
        <v>559560.81000000006</v>
      </c>
      <c r="J114" s="319">
        <f t="shared" si="30"/>
        <v>830350.20239999995</v>
      </c>
      <c r="K114" s="319">
        <f t="shared" si="31"/>
        <v>649090.53960000002</v>
      </c>
      <c r="O114" s="68"/>
    </row>
    <row r="115" spans="2:15" s="58" customFormat="1" ht="15" hidden="1" customHeight="1">
      <c r="B115" s="153">
        <f t="shared" si="21"/>
        <v>94</v>
      </c>
      <c r="C115" s="148"/>
      <c r="D115" s="319">
        <f>FACTORES!$F$124</f>
        <v>552366.77</v>
      </c>
      <c r="E115" s="319">
        <f>FACTORES!$G$124</f>
        <v>431503.31</v>
      </c>
      <c r="F115" s="319">
        <f t="shared" si="26"/>
        <v>715819.14</v>
      </c>
      <c r="G115" s="319">
        <f t="shared" si="27"/>
        <v>559560.81000000006</v>
      </c>
      <c r="H115" s="319">
        <f t="shared" si="28"/>
        <v>715819.14</v>
      </c>
      <c r="I115" s="319">
        <f t="shared" si="29"/>
        <v>559560.81000000006</v>
      </c>
      <c r="J115" s="319">
        <f t="shared" si="30"/>
        <v>830350.20239999995</v>
      </c>
      <c r="K115" s="319">
        <f t="shared" si="31"/>
        <v>649090.53960000002</v>
      </c>
      <c r="O115" s="68"/>
    </row>
    <row r="116" spans="2:15" s="58" customFormat="1" ht="15" hidden="1" customHeight="1">
      <c r="B116" s="153">
        <f t="shared" si="21"/>
        <v>95</v>
      </c>
      <c r="C116" s="148"/>
      <c r="D116" s="319">
        <f>FACTORES!$F$124</f>
        <v>552366.77</v>
      </c>
      <c r="E116" s="319">
        <f>FACTORES!$G$124</f>
        <v>431503.31</v>
      </c>
      <c r="F116" s="319">
        <f t="shared" si="26"/>
        <v>715819.14</v>
      </c>
      <c r="G116" s="319">
        <f t="shared" si="27"/>
        <v>559560.81000000006</v>
      </c>
      <c r="H116" s="319">
        <f t="shared" si="28"/>
        <v>715819.14</v>
      </c>
      <c r="I116" s="319">
        <f t="shared" si="29"/>
        <v>559560.81000000006</v>
      </c>
      <c r="J116" s="319">
        <f t="shared" si="30"/>
        <v>830350.20239999995</v>
      </c>
      <c r="K116" s="319">
        <f t="shared" si="31"/>
        <v>649090.53960000002</v>
      </c>
      <c r="O116" s="68"/>
    </row>
    <row r="117" spans="2:15" s="58" customFormat="1" ht="15" hidden="1" customHeight="1">
      <c r="B117" s="153">
        <f t="shared" si="21"/>
        <v>96</v>
      </c>
      <c r="C117" s="148"/>
      <c r="D117" s="319">
        <f>FACTORES!$F$124</f>
        <v>552366.77</v>
      </c>
      <c r="E117" s="319">
        <f>FACTORES!$G$124</f>
        <v>431503.31</v>
      </c>
      <c r="F117" s="319">
        <f t="shared" si="26"/>
        <v>715819.14</v>
      </c>
      <c r="G117" s="319">
        <f t="shared" si="27"/>
        <v>559560.81000000006</v>
      </c>
      <c r="H117" s="319">
        <f t="shared" si="28"/>
        <v>715819.14</v>
      </c>
      <c r="I117" s="319">
        <f t="shared" si="29"/>
        <v>559560.81000000006</v>
      </c>
      <c r="J117" s="319">
        <f t="shared" si="30"/>
        <v>830350.20239999995</v>
      </c>
      <c r="K117" s="319">
        <f t="shared" si="31"/>
        <v>649090.53960000002</v>
      </c>
    </row>
    <row r="118" spans="2:15" s="58" customFormat="1" ht="15" hidden="1" customHeight="1">
      <c r="B118" s="153">
        <f t="shared" si="21"/>
        <v>97</v>
      </c>
      <c r="C118" s="148"/>
      <c r="D118" s="319">
        <f>FACTORES!$F$124</f>
        <v>552366.77</v>
      </c>
      <c r="E118" s="319">
        <f>FACTORES!$G$124</f>
        <v>431503.31</v>
      </c>
      <c r="F118" s="319">
        <f t="shared" si="26"/>
        <v>715819.14</v>
      </c>
      <c r="G118" s="319">
        <f t="shared" si="27"/>
        <v>559560.81000000006</v>
      </c>
      <c r="H118" s="319">
        <f t="shared" si="28"/>
        <v>715819.14</v>
      </c>
      <c r="I118" s="319">
        <f t="shared" si="29"/>
        <v>559560.81000000006</v>
      </c>
      <c r="J118" s="319">
        <f t="shared" si="30"/>
        <v>830350.20239999995</v>
      </c>
      <c r="K118" s="319">
        <f t="shared" si="31"/>
        <v>649090.53960000002</v>
      </c>
      <c r="O118" s="68"/>
    </row>
    <row r="119" spans="2:15" s="58" customFormat="1" ht="15" hidden="1" customHeight="1">
      <c r="B119" s="153">
        <f t="shared" si="21"/>
        <v>98</v>
      </c>
      <c r="C119" s="148"/>
      <c r="D119" s="319">
        <f>FACTORES!$F$124</f>
        <v>552366.77</v>
      </c>
      <c r="E119" s="319">
        <f>FACTORES!$G$124</f>
        <v>431503.31</v>
      </c>
      <c r="F119" s="319">
        <f t="shared" si="26"/>
        <v>715819.14</v>
      </c>
      <c r="G119" s="319">
        <f t="shared" si="27"/>
        <v>559560.81000000006</v>
      </c>
      <c r="H119" s="319">
        <f t="shared" si="28"/>
        <v>715819.14</v>
      </c>
      <c r="I119" s="319">
        <f t="shared" si="29"/>
        <v>559560.81000000006</v>
      </c>
      <c r="J119" s="319">
        <f t="shared" si="30"/>
        <v>830350.20239999995</v>
      </c>
      <c r="K119" s="319">
        <f t="shared" si="31"/>
        <v>649090.53960000002</v>
      </c>
      <c r="O119" s="68"/>
    </row>
    <row r="120" spans="2:15" s="58" customFormat="1" ht="15" hidden="1" customHeight="1">
      <c r="B120" s="153">
        <f t="shared" si="21"/>
        <v>99</v>
      </c>
      <c r="C120" s="148"/>
      <c r="D120" s="319">
        <f>FACTORES!$F$124</f>
        <v>552366.77</v>
      </c>
      <c r="E120" s="319">
        <f>FACTORES!$G$124</f>
        <v>431503.31</v>
      </c>
      <c r="F120" s="319">
        <f t="shared" si="26"/>
        <v>715819.14</v>
      </c>
      <c r="G120" s="319">
        <f t="shared" si="27"/>
        <v>559560.81000000006</v>
      </c>
      <c r="H120" s="319">
        <f t="shared" si="28"/>
        <v>715819.14</v>
      </c>
      <c r="I120" s="319">
        <f t="shared" si="29"/>
        <v>559560.81000000006</v>
      </c>
      <c r="J120" s="319">
        <f t="shared" si="30"/>
        <v>830350.20239999995</v>
      </c>
      <c r="K120" s="319">
        <f t="shared" si="31"/>
        <v>649090.53960000002</v>
      </c>
      <c r="O120" s="68"/>
    </row>
    <row r="121" spans="2:15" s="58" customFormat="1" ht="15" hidden="1" customHeight="1" thickBot="1">
      <c r="B121" s="154">
        <f t="shared" si="21"/>
        <v>100</v>
      </c>
      <c r="C121" s="149"/>
      <c r="D121" s="320">
        <f>FACTORES!$F$124</f>
        <v>552366.77</v>
      </c>
      <c r="E121" s="320">
        <f>FACTORES!$G$124</f>
        <v>431503.31</v>
      </c>
      <c r="F121" s="320">
        <f t="shared" si="26"/>
        <v>715819.14</v>
      </c>
      <c r="G121" s="320">
        <f t="shared" si="27"/>
        <v>559560.81000000006</v>
      </c>
      <c r="H121" s="320">
        <f t="shared" si="28"/>
        <v>715819.14</v>
      </c>
      <c r="I121" s="320">
        <f t="shared" si="29"/>
        <v>559560.81000000006</v>
      </c>
      <c r="J121" s="320">
        <f t="shared" si="30"/>
        <v>830350.20239999995</v>
      </c>
      <c r="K121" s="320">
        <f t="shared" si="31"/>
        <v>649090.53960000002</v>
      </c>
      <c r="O121" s="68"/>
    </row>
    <row r="122" spans="2:15" s="58" customFormat="1" ht="15" hidden="1" customHeight="1" thickTop="1"/>
    <row r="123" spans="2:15" s="58" customFormat="1" ht="15" hidden="1" customHeight="1">
      <c r="O123" s="68"/>
    </row>
    <row r="124" spans="2:15" s="58" customFormat="1" ht="15" hidden="1" customHeight="1">
      <c r="O124" s="68"/>
    </row>
    <row r="125" spans="2:15" s="58" customFormat="1" ht="15" hidden="1" customHeight="1">
      <c r="O125" s="68"/>
    </row>
    <row r="126" spans="2:15" s="58" customFormat="1" ht="15" hidden="1" customHeight="1">
      <c r="O126" s="68"/>
    </row>
    <row r="127" spans="2:15" s="58" customFormat="1" ht="15" hidden="1" customHeight="1">
      <c r="O127" s="68"/>
    </row>
    <row r="128" spans="2:15" s="58" customFormat="1" ht="15" hidden="1" customHeight="1">
      <c r="O128" s="68"/>
    </row>
    <row r="129" spans="15:23" s="58" customFormat="1" ht="15" hidden="1" customHeight="1">
      <c r="O129" s="68"/>
    </row>
    <row r="130" spans="15:23" s="58" customFormat="1" ht="15" hidden="1" customHeight="1">
      <c r="O130" s="68"/>
    </row>
    <row r="131" spans="15:23" s="58" customFormat="1" ht="15" hidden="1" customHeight="1">
      <c r="O131" s="68"/>
    </row>
    <row r="132" spans="15:23" s="58" customFormat="1" ht="15" hidden="1" customHeight="1">
      <c r="O132" s="68"/>
    </row>
    <row r="133" spans="15:23" s="58" customFormat="1" ht="15" hidden="1" customHeight="1"/>
    <row r="134" spans="15:23" s="58" customFormat="1" ht="15" hidden="1" customHeight="1">
      <c r="P134" s="749"/>
      <c r="Q134" s="749"/>
      <c r="R134" s="749"/>
      <c r="S134" s="749"/>
      <c r="T134" s="749"/>
      <c r="U134" s="749"/>
      <c r="V134" s="749"/>
      <c r="W134" s="749"/>
    </row>
    <row r="135" spans="15:23" s="58" customFormat="1" ht="15" hidden="1" customHeight="1">
      <c r="P135" s="749"/>
      <c r="Q135" s="749"/>
      <c r="R135" s="749"/>
      <c r="S135" s="749"/>
      <c r="T135" s="57"/>
      <c r="U135" s="57"/>
      <c r="V135" s="57"/>
      <c r="W135" s="57"/>
    </row>
    <row r="136" spans="15:23" s="58" customFormat="1" ht="15" hidden="1" customHeight="1">
      <c r="P136" s="57"/>
      <c r="Q136" s="57"/>
      <c r="R136" s="57"/>
      <c r="S136" s="57"/>
      <c r="T136" s="57"/>
      <c r="U136" s="57"/>
      <c r="V136" s="57"/>
      <c r="W136" s="57"/>
    </row>
    <row r="137" spans="15:23" s="58" customFormat="1" ht="15" hidden="1" customHeight="1">
      <c r="P137" s="46"/>
      <c r="T137" s="75"/>
      <c r="U137" s="57"/>
      <c r="W137" s="59"/>
    </row>
    <row r="138" spans="15:23" s="58" customFormat="1" ht="15" hidden="1" customHeight="1">
      <c r="S138" s="76"/>
      <c r="T138" s="75"/>
      <c r="U138" s="61"/>
      <c r="W138" s="59"/>
    </row>
    <row r="139" spans="15:23" s="58" customFormat="1" ht="10" hidden="1">
      <c r="S139" s="77"/>
      <c r="T139" s="75"/>
      <c r="U139" s="61"/>
      <c r="W139" s="59"/>
    </row>
    <row r="140" spans="15:23" s="58" customFormat="1" ht="10" hidden="1">
      <c r="S140" s="77"/>
      <c r="T140" s="75"/>
      <c r="U140" s="61"/>
      <c r="W140" s="59"/>
    </row>
    <row r="141" spans="15:23" s="58" customFormat="1" ht="10" hidden="1">
      <c r="S141" s="78"/>
      <c r="T141" s="75"/>
      <c r="U141" s="61"/>
      <c r="W141" s="59"/>
    </row>
    <row r="142" spans="15:23" s="58" customFormat="1" ht="10" hidden="1">
      <c r="Q142" s="79"/>
      <c r="R142" s="79"/>
      <c r="S142" s="79"/>
      <c r="T142" s="75"/>
      <c r="U142" s="61"/>
      <c r="W142" s="59"/>
    </row>
    <row r="143" spans="15:23" s="58" customFormat="1" ht="10" hidden="1">
      <c r="Q143" s="79"/>
      <c r="R143" s="79"/>
      <c r="S143" s="79"/>
      <c r="T143" s="75"/>
      <c r="U143" s="61"/>
      <c r="W143" s="59"/>
    </row>
    <row r="144" spans="15:23" s="58" customFormat="1" ht="10" hidden="1">
      <c r="Q144" s="79"/>
      <c r="R144" s="79"/>
      <c r="T144" s="75"/>
      <c r="U144" s="61"/>
      <c r="W144" s="59"/>
    </row>
    <row r="145" spans="16:23" s="58" customFormat="1" ht="10" hidden="1">
      <c r="Q145" s="79"/>
      <c r="R145" s="79"/>
      <c r="T145" s="75"/>
      <c r="U145" s="61"/>
      <c r="W145" s="59"/>
    </row>
    <row r="146" spans="16:23" s="58" customFormat="1" ht="10" hidden="1">
      <c r="Q146" s="80"/>
      <c r="R146" s="71"/>
      <c r="T146" s="75"/>
      <c r="U146" s="61"/>
      <c r="W146" s="59"/>
    </row>
    <row r="147" spans="16:23" s="58" customFormat="1" ht="10" hidden="1">
      <c r="Q147" s="80"/>
      <c r="R147" s="71"/>
      <c r="T147" s="75"/>
      <c r="U147" s="61"/>
      <c r="W147" s="59"/>
    </row>
    <row r="148" spans="16:23" s="58" customFormat="1" ht="10" hidden="1">
      <c r="Q148" s="79"/>
      <c r="R148" s="79"/>
      <c r="T148" s="75"/>
      <c r="U148" s="61"/>
      <c r="W148" s="59"/>
    </row>
    <row r="149" spans="16:23" s="58" customFormat="1" ht="10" hidden="1">
      <c r="P149" s="70"/>
      <c r="Q149" s="79"/>
      <c r="R149" s="79"/>
      <c r="W149" s="63"/>
    </row>
    <row r="150" spans="16:23" s="58" customFormat="1" ht="10" hidden="1">
      <c r="P150" s="70"/>
      <c r="Q150" s="748"/>
      <c r="R150" s="748"/>
      <c r="S150" s="747"/>
      <c r="T150" s="747"/>
      <c r="W150" s="59"/>
    </row>
    <row r="151" spans="16:23" s="58" customFormat="1" ht="10" hidden="1">
      <c r="P151" s="70"/>
      <c r="Q151" s="79"/>
      <c r="R151" s="79"/>
      <c r="W151" s="59"/>
    </row>
    <row r="152" spans="16:23" s="58" customFormat="1" ht="10" hidden="1">
      <c r="P152" s="62"/>
      <c r="Q152" s="80"/>
      <c r="R152" s="80"/>
      <c r="W152" s="59"/>
    </row>
    <row r="153" spans="16:23" s="58" customFormat="1" ht="10" hidden="1">
      <c r="P153" s="62"/>
      <c r="Q153" s="80"/>
      <c r="R153" s="80"/>
      <c r="W153" s="59"/>
    </row>
    <row r="154" spans="16:23" s="58" customFormat="1" ht="10" hidden="1">
      <c r="P154" s="57"/>
      <c r="R154" s="79"/>
      <c r="U154" s="46"/>
      <c r="V154" s="46"/>
      <c r="W154" s="63"/>
    </row>
    <row r="155" spans="16:23" s="58" customFormat="1" ht="10" hidden="1">
      <c r="R155" s="79"/>
    </row>
    <row r="156" spans="16:23" s="58" customFormat="1" ht="10" hidden="1"/>
    <row r="157" spans="16:23" s="58" customFormat="1" ht="10" hidden="1"/>
    <row r="158" spans="16:23" s="58" customFormat="1" ht="10" hidden="1"/>
    <row r="159" spans="16:23" s="58" customFormat="1" ht="10" hidden="1"/>
    <row r="160" spans="16:23" s="58" customFormat="1" ht="10" hidden="1"/>
    <row r="161" s="58" customFormat="1" ht="10" hidden="1"/>
    <row r="162" s="58" customFormat="1" ht="10" hidden="1"/>
    <row r="163" s="58" customFormat="1" ht="10" hidden="1"/>
    <row r="164" s="58" customFormat="1" ht="10" hidden="1"/>
    <row r="165" s="58" customFormat="1" ht="10" hidden="1"/>
    <row r="166" s="58" customFormat="1" ht="10" hidden="1"/>
    <row r="167" s="58" customFormat="1" ht="10" hidden="1"/>
    <row r="168" s="58" customFormat="1" ht="10" hidden="1"/>
    <row r="169" s="58" customFormat="1" ht="10" hidden="1"/>
    <row r="170" s="58" customFormat="1" ht="10" hidden="1"/>
    <row r="171" s="58" customFormat="1" ht="10" hidden="1"/>
    <row r="172" s="58" customFormat="1" ht="10" hidden="1"/>
    <row r="173" s="58" customFormat="1" ht="10" hidden="1"/>
    <row r="174" s="58" customFormat="1" ht="10" hidden="1"/>
    <row r="175" s="58" customFormat="1" ht="10" hidden="1"/>
    <row r="176" s="58" customFormat="1" ht="10" hidden="1"/>
    <row r="177" s="58" customFormat="1" ht="10" hidden="1"/>
    <row r="178" s="58" customFormat="1" ht="10" hidden="1"/>
    <row r="179" s="58" customFormat="1" ht="10" hidden="1"/>
    <row r="180" s="58" customFormat="1" ht="10" hidden="1"/>
    <row r="181" s="58" customFormat="1" ht="10" hidden="1"/>
    <row r="182" s="58" customFormat="1" ht="10" hidden="1"/>
    <row r="183" s="58" customFormat="1" ht="10" hidden="1"/>
    <row r="184" s="58" customFormat="1" ht="10" hidden="1"/>
    <row r="185" s="58" customFormat="1" ht="10" hidden="1"/>
    <row r="186" s="58" customFormat="1" ht="10" hidden="1"/>
    <row r="187" s="58" customFormat="1" ht="10" hidden="1"/>
    <row r="188" s="58" customFormat="1" ht="10" hidden="1"/>
    <row r="189" s="58" customFormat="1" ht="10" hidden="1"/>
    <row r="190" s="58" customFormat="1" ht="10" hidden="1"/>
    <row r="191" s="58" customFormat="1" ht="10" hidden="1"/>
    <row r="192" s="58" customFormat="1" ht="10" hidden="1"/>
    <row r="193" s="58" customFormat="1" ht="10" hidden="1"/>
    <row r="194" s="58" customFormat="1" ht="10" hidden="1"/>
    <row r="195" s="58" customFormat="1" ht="10" hidden="1"/>
    <row r="196" s="58" customFormat="1" ht="10" hidden="1"/>
    <row r="197" s="58" customFormat="1" ht="10" hidden="1"/>
    <row r="198" s="58" customFormat="1" ht="10" hidden="1"/>
    <row r="199" s="58" customFormat="1" ht="10" hidden="1"/>
    <row r="200" s="58" customFormat="1" ht="10" hidden="1"/>
    <row r="201" s="58" customFormat="1" ht="10" hidden="1"/>
    <row r="202" s="58" customFormat="1" ht="10" hidden="1"/>
    <row r="203" s="58" customFormat="1" ht="10" hidden="1"/>
    <row r="204" s="58" customFormat="1" ht="10" hidden="1"/>
    <row r="205" s="58" customFormat="1" ht="10" hidden="1"/>
    <row r="206" s="58" customFormat="1" ht="10" hidden="1"/>
    <row r="207" s="58" customFormat="1" ht="10" hidden="1"/>
    <row r="208" s="58" customFormat="1" ht="10" hidden="1"/>
    <row r="209" s="58" customFormat="1" ht="10" hidden="1"/>
    <row r="210" s="58" customFormat="1" ht="10" hidden="1"/>
    <row r="211" s="58" customFormat="1" ht="10" hidden="1"/>
    <row r="212" s="58" customFormat="1" ht="10" hidden="1"/>
    <row r="213" s="58" customFormat="1" ht="10" hidden="1"/>
    <row r="214" s="58" customFormat="1" ht="10" hidden="1"/>
    <row r="215" s="58" customFormat="1" ht="10" hidden="1"/>
    <row r="216" s="58" customFormat="1" ht="10" hidden="1"/>
    <row r="217" s="58" customFormat="1" ht="10" hidden="1"/>
    <row r="218" s="58" customFormat="1" ht="10" hidden="1"/>
    <row r="219" s="58" customFormat="1" ht="10" hidden="1"/>
  </sheetData>
  <sheetProtection algorithmName="SHA-512" hashValue="f/oDY0hda+VUgd9z7MRQpFlqsxrxffoAqVlNociv0czhy+5X/2m9PbKWhJLA0iLmHWCbxYjAfFlXUMq+u7WseA==" saltValue="PGmqEDCp6/gyEbB+PUYxhg==" spinCount="100000" sheet="1" selectLockedCells="1" selectUnlockedCells="1"/>
  <mergeCells count="12">
    <mergeCell ref="B20:C20"/>
    <mergeCell ref="S150:T150"/>
    <mergeCell ref="Q150:R150"/>
    <mergeCell ref="P135:S135"/>
    <mergeCell ref="P134:W134"/>
    <mergeCell ref="M18:N18"/>
    <mergeCell ref="I2:J8"/>
    <mergeCell ref="F19:G19"/>
    <mergeCell ref="D19:E19"/>
    <mergeCell ref="J18:K18"/>
    <mergeCell ref="D18:E18"/>
    <mergeCell ref="F18:G18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workbookViewId="0"/>
  </sheetViews>
  <sheetFormatPr baseColWidth="10" defaultColWidth="11.453125" defaultRowHeight="12.5" zeroHeight="1"/>
  <cols>
    <col min="1" max="1" width="7" style="3" customWidth="1"/>
    <col min="2" max="2" width="5.81640625" style="3" hidden="1" customWidth="1"/>
    <col min="3" max="3" width="2" style="3" hidden="1" customWidth="1"/>
    <col min="4" max="4" width="12.7265625" style="3" hidden="1" customWidth="1"/>
    <col min="5" max="5" width="14.269531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7" width="11.4531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0" style="3" hidden="1" customWidth="1"/>
    <col min="42" max="16384" width="11.453125" style="3"/>
  </cols>
  <sheetData>
    <row r="1" spans="2:19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9" hidden="1">
      <c r="G2" s="4"/>
      <c r="I2" s="736" t="str">
        <f>IF(ISERROR(VLOOKUP(E3,VALORES!$A$6:$B$11,2,FALSE)),"REGION NO VALIDA",VLOOKUP(E3,VALORES!$A$6:$B$11,2,FALSE))</f>
        <v>BAJA CALIFORNIA, BAJA CALIFORNIA SUR, MORELOS, QUERETARO, SAN LUIS POTOSI, SINALOA, SONORA</v>
      </c>
      <c r="J2" s="736"/>
    </row>
    <row r="3" spans="2:19" hidden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49" t="s">
        <v>25</v>
      </c>
      <c r="I3" s="736"/>
      <c r="J3" s="736"/>
    </row>
    <row r="4" spans="2:19" ht="10.5" hidden="1" customHeight="1">
      <c r="E4" s="165"/>
      <c r="F4" s="44"/>
      <c r="G4" s="4"/>
      <c r="I4" s="736"/>
      <c r="J4" s="736"/>
    </row>
    <row r="5" spans="2:19" hidden="1">
      <c r="B5" s="47" t="s">
        <v>12</v>
      </c>
      <c r="C5" s="48"/>
      <c r="D5" s="48"/>
      <c r="E5" s="166">
        <f>+COTIZACION!D11</f>
        <v>100000000</v>
      </c>
      <c r="F5" s="44"/>
      <c r="G5" s="177">
        <f>+TITULAR!G5</f>
        <v>1.53</v>
      </c>
      <c r="I5" s="736"/>
      <c r="J5" s="736"/>
    </row>
    <row r="6" spans="2:19" hidden="1">
      <c r="B6" s="47" t="s">
        <v>13</v>
      </c>
      <c r="C6" s="48"/>
      <c r="D6" s="48"/>
      <c r="E6" s="166">
        <f>+COTIZACION!D12</f>
        <v>12000</v>
      </c>
      <c r="F6" s="44"/>
      <c r="G6" s="177">
        <f>+TITULAR!G6</f>
        <v>0.84499999999999997</v>
      </c>
      <c r="I6" s="736"/>
      <c r="J6" s="736"/>
    </row>
    <row r="7" spans="2:19" hidden="1">
      <c r="B7" s="47" t="s">
        <v>14</v>
      </c>
      <c r="C7" s="48"/>
      <c r="D7" s="48"/>
      <c r="E7" s="166">
        <f>+COTIZACION!D13</f>
        <v>0.1</v>
      </c>
      <c r="F7" s="84"/>
      <c r="G7" s="186">
        <f>+TITULAR!G8</f>
        <v>1</v>
      </c>
      <c r="H7" s="81"/>
      <c r="I7" s="736"/>
      <c r="J7" s="736"/>
    </row>
    <row r="8" spans="2:19" ht="11.25" hidden="1" customHeight="1">
      <c r="B8" s="47" t="s">
        <v>100</v>
      </c>
      <c r="C8" s="48"/>
      <c r="D8" s="48"/>
      <c r="E8" s="166"/>
      <c r="F8" s="84"/>
      <c r="G8" s="179"/>
      <c r="H8" s="4"/>
      <c r="I8" s="736"/>
      <c r="J8" s="736"/>
    </row>
    <row r="9" spans="2:19" hidden="1">
      <c r="E9" s="167"/>
      <c r="F9" s="85" t="s">
        <v>24</v>
      </c>
      <c r="G9" s="185"/>
      <c r="H9" s="82"/>
      <c r="I9" s="117"/>
      <c r="J9" s="117"/>
      <c r="S9" s="50" t="s">
        <v>37</v>
      </c>
    </row>
    <row r="10" spans="2:19" ht="12.75" hidden="1" customHeight="1">
      <c r="B10" s="47" t="s">
        <v>42</v>
      </c>
      <c r="C10" s="48"/>
      <c r="D10" s="48"/>
      <c r="E10" s="164"/>
      <c r="F10" s="164"/>
      <c r="G10" s="186"/>
      <c r="H10" s="82"/>
      <c r="S10" s="50" t="s">
        <v>36</v>
      </c>
    </row>
    <row r="11" spans="2:19" ht="12.75" hidden="1" customHeight="1">
      <c r="B11" s="47" t="s">
        <v>43</v>
      </c>
      <c r="C11" s="48"/>
      <c r="D11" s="48"/>
      <c r="E11" s="164"/>
      <c r="F11" s="164"/>
      <c r="G11" s="186"/>
      <c r="H11" s="82"/>
      <c r="K11" s="121" t="s">
        <v>37</v>
      </c>
      <c r="S11" s="50"/>
    </row>
    <row r="12" spans="2:19" ht="21" hidden="1" customHeight="1">
      <c r="B12" s="2"/>
      <c r="D12" s="2"/>
      <c r="E12" s="2"/>
      <c r="F12" s="51"/>
      <c r="G12" s="187"/>
      <c r="K12" s="121" t="s">
        <v>48</v>
      </c>
    </row>
    <row r="13" spans="2:19" hidden="1">
      <c r="B13" s="47" t="s">
        <v>15</v>
      </c>
      <c r="C13" s="48"/>
      <c r="D13" s="48"/>
      <c r="E13" s="164">
        <f>+COTIZACION!C21</f>
        <v>0</v>
      </c>
      <c r="F13" s="44"/>
      <c r="G13" s="186">
        <f>+TITULAR!G17</f>
        <v>0</v>
      </c>
      <c r="K13" s="121" t="s">
        <v>35</v>
      </c>
    </row>
    <row r="14" spans="2:19" hidden="1">
      <c r="H14" s="52"/>
    </row>
    <row r="15" spans="2:19" hidden="1">
      <c r="H15" s="52"/>
    </row>
    <row r="16" spans="2:19" hidden="1">
      <c r="H16" s="52"/>
    </row>
    <row r="17" spans="2:19" ht="13" hidden="1" thickBot="1">
      <c r="H17" s="52"/>
    </row>
    <row r="18" spans="2:19" ht="12.75" hidden="1" customHeight="1" thickTop="1">
      <c r="B18" s="88"/>
      <c r="C18" s="146"/>
      <c r="D18" s="744" t="s">
        <v>45</v>
      </c>
      <c r="E18" s="743"/>
      <c r="F18" s="744" t="s">
        <v>46</v>
      </c>
      <c r="G18" s="743"/>
      <c r="H18" s="95" t="s">
        <v>41</v>
      </c>
      <c r="I18" s="92">
        <f>G13</f>
        <v>0</v>
      </c>
      <c r="J18" s="740" t="s">
        <v>39</v>
      </c>
      <c r="K18" s="741"/>
      <c r="L18" s="100"/>
    </row>
    <row r="19" spans="2:19" ht="12.75" hidden="1" customHeight="1">
      <c r="B19" s="151"/>
      <c r="C19" s="150"/>
      <c r="D19" s="737" t="s">
        <v>44</v>
      </c>
      <c r="E19" s="738"/>
      <c r="F19" s="737" t="s">
        <v>44</v>
      </c>
      <c r="G19" s="738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</row>
    <row r="20" spans="2:19" ht="15" hidden="1" customHeight="1" thickBot="1">
      <c r="B20" s="734" t="s">
        <v>9</v>
      </c>
      <c r="C20" s="735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</row>
    <row r="21" spans="2:19" ht="15" hidden="1" customHeight="1" thickTop="1">
      <c r="B21" s="152">
        <v>0</v>
      </c>
      <c r="C21" s="147"/>
      <c r="D21" s="317">
        <f>FACTORES!F39</f>
        <v>13061.3</v>
      </c>
      <c r="E21" s="317">
        <f>FACTORES!G39</f>
        <v>13116.05</v>
      </c>
      <c r="F21" s="318">
        <f t="shared" ref="F21:F38" si="0">ROUND(D21*$G$5*$G$6*$G$7,2)+ADIC+DENTAL+IKE+CVISION</f>
        <v>18578.059999999998</v>
      </c>
      <c r="G21" s="318">
        <f t="shared" ref="G21:G38" si="1">ROUND(E21*$G$5*$G$6*$G$7,2)+ADIC+DENTAL+IKE+CVISION</f>
        <v>18648.849999999999</v>
      </c>
      <c r="H21" s="318">
        <f>(F21*(1+$I$18))+$I$19</f>
        <v>18578.059999999998</v>
      </c>
      <c r="I21" s="318">
        <f>(G21*(1+$I$18))+$I$19</f>
        <v>18648.849999999999</v>
      </c>
      <c r="J21" s="318">
        <f>H21*(1+$K$19)</f>
        <v>21550.549599999995</v>
      </c>
      <c r="K21" s="318">
        <f>I21*(1+$K$19)</f>
        <v>21632.665999999997</v>
      </c>
      <c r="L21" s="102"/>
      <c r="M21" s="102"/>
    </row>
    <row r="22" spans="2:19" ht="15" hidden="1" customHeight="1">
      <c r="B22" s="153">
        <f>+B21+1</f>
        <v>1</v>
      </c>
      <c r="C22" s="148"/>
      <c r="D22" s="319">
        <f>FACTORES!F40</f>
        <v>13061.3</v>
      </c>
      <c r="E22" s="319">
        <f>FACTORES!G40</f>
        <v>13116.05</v>
      </c>
      <c r="F22" s="319">
        <f t="shared" si="0"/>
        <v>18578.059999999998</v>
      </c>
      <c r="G22" s="319">
        <f t="shared" si="1"/>
        <v>18648.849999999999</v>
      </c>
      <c r="H22" s="319">
        <f t="shared" ref="H22:H45" si="2">(F22*(1+$I$18))+$I$19</f>
        <v>18578.059999999998</v>
      </c>
      <c r="I22" s="319">
        <f t="shared" ref="I22:I45" si="3">(G22*(1+$I$18))+$I$19</f>
        <v>18648.849999999999</v>
      </c>
      <c r="J22" s="319">
        <f t="shared" ref="J22:J45" si="4">H22*(1+$K$19)</f>
        <v>21550.549599999995</v>
      </c>
      <c r="K22" s="319">
        <f t="shared" ref="K22:K45" si="5">I22*(1+$K$19)</f>
        <v>21632.665999999997</v>
      </c>
      <c r="L22" s="102"/>
      <c r="M22" s="102"/>
    </row>
    <row r="23" spans="2:19" ht="15" hidden="1" customHeight="1">
      <c r="B23" s="153">
        <f t="shared" ref="B23:B45" si="6">+B22+1</f>
        <v>2</v>
      </c>
      <c r="C23" s="148"/>
      <c r="D23" s="319">
        <f>FACTORES!F41</f>
        <v>13061.3</v>
      </c>
      <c r="E23" s="319">
        <f>FACTORES!G41</f>
        <v>13116.05</v>
      </c>
      <c r="F23" s="319">
        <f t="shared" si="0"/>
        <v>18578.059999999998</v>
      </c>
      <c r="G23" s="319">
        <f t="shared" si="1"/>
        <v>18648.849999999999</v>
      </c>
      <c r="H23" s="319">
        <f t="shared" si="2"/>
        <v>18578.059999999998</v>
      </c>
      <c r="I23" s="319">
        <f t="shared" si="3"/>
        <v>18648.849999999999</v>
      </c>
      <c r="J23" s="319">
        <f t="shared" si="4"/>
        <v>21550.549599999995</v>
      </c>
      <c r="K23" s="319">
        <f t="shared" si="5"/>
        <v>21632.665999999997</v>
      </c>
      <c r="L23" s="102"/>
      <c r="M23" s="102"/>
    </row>
    <row r="24" spans="2:19" s="58" customFormat="1" ht="15" hidden="1" customHeight="1">
      <c r="B24" s="153">
        <f t="shared" si="6"/>
        <v>3</v>
      </c>
      <c r="C24" s="148"/>
      <c r="D24" s="319">
        <f>FACTORES!F42</f>
        <v>13061.3</v>
      </c>
      <c r="E24" s="319">
        <f>FACTORES!G42</f>
        <v>13116.05</v>
      </c>
      <c r="F24" s="319">
        <f t="shared" si="0"/>
        <v>18578.059999999998</v>
      </c>
      <c r="G24" s="319">
        <f t="shared" si="1"/>
        <v>18648.849999999999</v>
      </c>
      <c r="H24" s="319">
        <f t="shared" si="2"/>
        <v>18578.059999999998</v>
      </c>
      <c r="I24" s="319">
        <f t="shared" si="3"/>
        <v>18648.849999999999</v>
      </c>
      <c r="J24" s="319">
        <f t="shared" si="4"/>
        <v>21550.549599999995</v>
      </c>
      <c r="K24" s="319">
        <f t="shared" si="5"/>
        <v>21632.665999999997</v>
      </c>
      <c r="L24" s="102"/>
      <c r="M24" s="102"/>
      <c r="N24"/>
      <c r="O24"/>
      <c r="P24"/>
      <c r="Q24"/>
    </row>
    <row r="25" spans="2:19" s="58" customFormat="1" ht="15" hidden="1" customHeight="1">
      <c r="B25" s="153">
        <f t="shared" si="6"/>
        <v>4</v>
      </c>
      <c r="C25" s="148"/>
      <c r="D25" s="319">
        <f>FACTORES!F43</f>
        <v>13061.3</v>
      </c>
      <c r="E25" s="319">
        <f>FACTORES!G43</f>
        <v>13116.05</v>
      </c>
      <c r="F25" s="319">
        <f t="shared" si="0"/>
        <v>18578.059999999998</v>
      </c>
      <c r="G25" s="319">
        <f t="shared" si="1"/>
        <v>18648.849999999999</v>
      </c>
      <c r="H25" s="319">
        <f t="shared" si="2"/>
        <v>18578.059999999998</v>
      </c>
      <c r="I25" s="319">
        <f t="shared" si="3"/>
        <v>18648.849999999999</v>
      </c>
      <c r="J25" s="319">
        <f t="shared" si="4"/>
        <v>21550.549599999995</v>
      </c>
      <c r="K25" s="319">
        <f t="shared" si="5"/>
        <v>21632.665999999997</v>
      </c>
      <c r="L25" s="102"/>
      <c r="M25" s="102"/>
      <c r="N25"/>
      <c r="O25"/>
      <c r="P25"/>
      <c r="Q25"/>
    </row>
    <row r="26" spans="2:19" s="58" customFormat="1" ht="15" hidden="1" customHeight="1">
      <c r="B26" s="153">
        <f t="shared" si="6"/>
        <v>5</v>
      </c>
      <c r="C26" s="148"/>
      <c r="D26" s="319">
        <f>FACTORES!F44</f>
        <v>13061.3</v>
      </c>
      <c r="E26" s="319">
        <f>FACTORES!G44</f>
        <v>13116.05</v>
      </c>
      <c r="F26" s="319">
        <f t="shared" si="0"/>
        <v>18578.059999999998</v>
      </c>
      <c r="G26" s="319">
        <f t="shared" si="1"/>
        <v>18648.849999999999</v>
      </c>
      <c r="H26" s="319">
        <f t="shared" si="2"/>
        <v>18578.059999999998</v>
      </c>
      <c r="I26" s="319">
        <f t="shared" si="3"/>
        <v>18648.849999999999</v>
      </c>
      <c r="J26" s="319">
        <f t="shared" si="4"/>
        <v>21550.549599999995</v>
      </c>
      <c r="K26" s="319">
        <f t="shared" si="5"/>
        <v>21632.665999999997</v>
      </c>
      <c r="L26" s="102"/>
      <c r="M26" s="102"/>
      <c r="N26"/>
      <c r="O26"/>
      <c r="P26"/>
      <c r="Q26"/>
    </row>
    <row r="27" spans="2:19" s="58" customFormat="1" ht="15" hidden="1" customHeight="1">
      <c r="B27" s="153">
        <f t="shared" si="6"/>
        <v>6</v>
      </c>
      <c r="C27" s="148"/>
      <c r="D27" s="319">
        <f>FACTORES!F45</f>
        <v>13061.3</v>
      </c>
      <c r="E27" s="319">
        <f>FACTORES!G45</f>
        <v>13116.05</v>
      </c>
      <c r="F27" s="319">
        <f t="shared" si="0"/>
        <v>18578.059999999998</v>
      </c>
      <c r="G27" s="319">
        <f t="shared" si="1"/>
        <v>18648.849999999999</v>
      </c>
      <c r="H27" s="319">
        <f t="shared" si="2"/>
        <v>18578.059999999998</v>
      </c>
      <c r="I27" s="319">
        <f t="shared" si="3"/>
        <v>18648.849999999999</v>
      </c>
      <c r="J27" s="319">
        <f t="shared" si="4"/>
        <v>21550.549599999995</v>
      </c>
      <c r="K27" s="319">
        <f t="shared" si="5"/>
        <v>21632.665999999997</v>
      </c>
      <c r="L27" s="102"/>
      <c r="M27" s="102"/>
      <c r="N27"/>
      <c r="O27"/>
      <c r="P27"/>
      <c r="Q27"/>
    </row>
    <row r="28" spans="2:19" s="58" customFormat="1" ht="15" hidden="1" customHeight="1">
      <c r="B28" s="153">
        <f t="shared" si="6"/>
        <v>7</v>
      </c>
      <c r="C28" s="148"/>
      <c r="D28" s="319">
        <f>FACTORES!F46</f>
        <v>13061.3</v>
      </c>
      <c r="E28" s="319">
        <f>FACTORES!G46</f>
        <v>13116.05</v>
      </c>
      <c r="F28" s="319">
        <f t="shared" si="0"/>
        <v>18578.059999999998</v>
      </c>
      <c r="G28" s="319">
        <f t="shared" si="1"/>
        <v>18648.849999999999</v>
      </c>
      <c r="H28" s="319">
        <f t="shared" si="2"/>
        <v>18578.059999999998</v>
      </c>
      <c r="I28" s="319">
        <f t="shared" si="3"/>
        <v>18648.849999999999</v>
      </c>
      <c r="J28" s="319">
        <f t="shared" si="4"/>
        <v>21550.549599999995</v>
      </c>
      <c r="K28" s="319">
        <f t="shared" si="5"/>
        <v>21632.665999999997</v>
      </c>
      <c r="L28" s="102"/>
      <c r="M28" s="102"/>
      <c r="N28"/>
      <c r="O28"/>
      <c r="P28"/>
      <c r="Q28"/>
    </row>
    <row r="29" spans="2:19" s="58" customFormat="1" ht="15" hidden="1" customHeight="1">
      <c r="B29" s="153">
        <f t="shared" si="6"/>
        <v>8</v>
      </c>
      <c r="C29" s="148"/>
      <c r="D29" s="319">
        <f>FACTORES!F47</f>
        <v>13061.3</v>
      </c>
      <c r="E29" s="319">
        <f>FACTORES!G47</f>
        <v>13116.05</v>
      </c>
      <c r="F29" s="319">
        <f t="shared" si="0"/>
        <v>18578.059999999998</v>
      </c>
      <c r="G29" s="319">
        <f t="shared" si="1"/>
        <v>18648.849999999999</v>
      </c>
      <c r="H29" s="319">
        <f t="shared" si="2"/>
        <v>18578.059999999998</v>
      </c>
      <c r="I29" s="319">
        <f t="shared" si="3"/>
        <v>18648.849999999999</v>
      </c>
      <c r="J29" s="319">
        <f t="shared" si="4"/>
        <v>21550.549599999995</v>
      </c>
      <c r="K29" s="319">
        <f t="shared" si="5"/>
        <v>21632.665999999997</v>
      </c>
      <c r="L29" s="102"/>
      <c r="M29" s="102"/>
      <c r="N29"/>
      <c r="O29"/>
      <c r="P29"/>
      <c r="Q29"/>
      <c r="R29" s="750"/>
      <c r="S29" s="750"/>
    </row>
    <row r="30" spans="2:19" s="58" customFormat="1" ht="15" hidden="1" customHeight="1">
      <c r="B30" s="153">
        <f t="shared" si="6"/>
        <v>9</v>
      </c>
      <c r="C30" s="148"/>
      <c r="D30" s="319">
        <f>FACTORES!F48</f>
        <v>13061.3</v>
      </c>
      <c r="E30" s="319">
        <f>FACTORES!G48</f>
        <v>13116.05</v>
      </c>
      <c r="F30" s="319">
        <f t="shared" si="0"/>
        <v>18578.059999999998</v>
      </c>
      <c r="G30" s="319">
        <f t="shared" si="1"/>
        <v>18648.849999999999</v>
      </c>
      <c r="H30" s="319">
        <f t="shared" si="2"/>
        <v>18578.059999999998</v>
      </c>
      <c r="I30" s="319">
        <f t="shared" si="3"/>
        <v>18648.849999999999</v>
      </c>
      <c r="J30" s="319">
        <f t="shared" si="4"/>
        <v>21550.549599999995</v>
      </c>
      <c r="K30" s="319">
        <f t="shared" si="5"/>
        <v>21632.665999999997</v>
      </c>
      <c r="L30" s="102"/>
      <c r="M30" s="102"/>
      <c r="N30"/>
      <c r="O30"/>
      <c r="P30"/>
      <c r="Q30"/>
      <c r="R30" s="750"/>
      <c r="S30" s="750"/>
    </row>
    <row r="31" spans="2:19" s="58" customFormat="1" ht="15" hidden="1" customHeight="1">
      <c r="B31" s="153">
        <f t="shared" si="6"/>
        <v>10</v>
      </c>
      <c r="C31" s="148"/>
      <c r="D31" s="319">
        <f>FACTORES!F49</f>
        <v>13061.3</v>
      </c>
      <c r="E31" s="319">
        <f>FACTORES!G49</f>
        <v>13116.05</v>
      </c>
      <c r="F31" s="319">
        <f t="shared" si="0"/>
        <v>18578.059999999998</v>
      </c>
      <c r="G31" s="319">
        <f t="shared" si="1"/>
        <v>18648.849999999999</v>
      </c>
      <c r="H31" s="319">
        <f t="shared" si="2"/>
        <v>18578.059999999998</v>
      </c>
      <c r="I31" s="319">
        <f t="shared" si="3"/>
        <v>18648.849999999999</v>
      </c>
      <c r="J31" s="319">
        <f t="shared" si="4"/>
        <v>21550.549599999995</v>
      </c>
      <c r="K31" s="319">
        <f t="shared" si="5"/>
        <v>21632.665999999997</v>
      </c>
      <c r="L31" s="102"/>
      <c r="M31" s="102"/>
      <c r="N31"/>
      <c r="O31"/>
      <c r="P31"/>
      <c r="Q31"/>
      <c r="R31" s="103"/>
      <c r="S31" s="103"/>
    </row>
    <row r="32" spans="2:19" s="58" customFormat="1" ht="15" hidden="1" customHeight="1">
      <c r="B32" s="153">
        <f t="shared" si="6"/>
        <v>11</v>
      </c>
      <c r="C32" s="148"/>
      <c r="D32" s="319">
        <f>FACTORES!F50</f>
        <v>13209.16</v>
      </c>
      <c r="E32" s="319">
        <f>FACTORES!G50</f>
        <v>13109.5</v>
      </c>
      <c r="F32" s="319">
        <f t="shared" si="0"/>
        <v>18769.219999999998</v>
      </c>
      <c r="G32" s="319">
        <f t="shared" si="1"/>
        <v>18640.379999999997</v>
      </c>
      <c r="H32" s="319">
        <f t="shared" si="2"/>
        <v>18769.219999999998</v>
      </c>
      <c r="I32" s="319">
        <f t="shared" si="3"/>
        <v>18640.379999999997</v>
      </c>
      <c r="J32" s="319">
        <f t="shared" si="4"/>
        <v>21772.295199999997</v>
      </c>
      <c r="K32" s="319">
        <f t="shared" si="5"/>
        <v>21622.840799999994</v>
      </c>
      <c r="L32" s="102"/>
      <c r="M32" s="102"/>
      <c r="N32"/>
      <c r="O32"/>
      <c r="P32"/>
      <c r="Q32"/>
      <c r="R32" s="104"/>
      <c r="S32" s="104"/>
    </row>
    <row r="33" spans="2:19" s="58" customFormat="1" ht="15" hidden="1" customHeight="1">
      <c r="B33" s="153">
        <f t="shared" si="6"/>
        <v>12</v>
      </c>
      <c r="C33" s="148"/>
      <c r="D33" s="319">
        <f>FACTORES!F51</f>
        <v>13160.04</v>
      </c>
      <c r="E33" s="319">
        <f>FACTORES!G51</f>
        <v>13235.31</v>
      </c>
      <c r="F33" s="319">
        <f t="shared" si="0"/>
        <v>18705.719999999998</v>
      </c>
      <c r="G33" s="319">
        <f t="shared" si="1"/>
        <v>18803.03</v>
      </c>
      <c r="H33" s="319">
        <f t="shared" si="2"/>
        <v>18705.719999999998</v>
      </c>
      <c r="I33" s="319">
        <f t="shared" si="3"/>
        <v>18803.03</v>
      </c>
      <c r="J33" s="319">
        <f t="shared" si="4"/>
        <v>21698.635199999997</v>
      </c>
      <c r="K33" s="319">
        <f t="shared" si="5"/>
        <v>21811.514799999997</v>
      </c>
      <c r="L33" s="102"/>
      <c r="M33" s="102"/>
      <c r="N33"/>
      <c r="O33"/>
      <c r="P33"/>
      <c r="Q33"/>
      <c r="R33" s="104"/>
      <c r="S33" s="104"/>
    </row>
    <row r="34" spans="2:19" s="58" customFormat="1" ht="15" hidden="1" customHeight="1">
      <c r="B34" s="153">
        <f t="shared" si="6"/>
        <v>13</v>
      </c>
      <c r="C34" s="148"/>
      <c r="D34" s="319">
        <f>FACTORES!F52</f>
        <v>13062.51</v>
      </c>
      <c r="E34" s="319">
        <f>FACTORES!G52</f>
        <v>13152.95</v>
      </c>
      <c r="F34" s="319">
        <f t="shared" si="0"/>
        <v>18579.629999999997</v>
      </c>
      <c r="G34" s="319">
        <f t="shared" si="1"/>
        <v>18696.55</v>
      </c>
      <c r="H34" s="319">
        <f t="shared" si="2"/>
        <v>18579.629999999997</v>
      </c>
      <c r="I34" s="319">
        <f t="shared" si="3"/>
        <v>18696.55</v>
      </c>
      <c r="J34" s="319">
        <f t="shared" si="4"/>
        <v>21552.370799999997</v>
      </c>
      <c r="K34" s="319">
        <f t="shared" si="5"/>
        <v>21687.997999999996</v>
      </c>
      <c r="L34" s="102"/>
      <c r="M34" s="102"/>
      <c r="N34"/>
      <c r="O34"/>
      <c r="P34"/>
      <c r="Q34"/>
      <c r="R34" s="104"/>
      <c r="S34" s="104"/>
    </row>
    <row r="35" spans="2:19" s="58" customFormat="1" ht="15" hidden="1" customHeight="1">
      <c r="B35" s="153">
        <f t="shared" si="6"/>
        <v>14</v>
      </c>
      <c r="C35" s="148"/>
      <c r="D35" s="319">
        <f>FACTORES!F53</f>
        <v>12709.26</v>
      </c>
      <c r="E35" s="319">
        <f>FACTORES!G53</f>
        <v>12896.85</v>
      </c>
      <c r="F35" s="319">
        <f t="shared" si="0"/>
        <v>18122.929999999997</v>
      </c>
      <c r="G35" s="319">
        <f t="shared" si="1"/>
        <v>18365.449999999997</v>
      </c>
      <c r="H35" s="319">
        <f t="shared" si="2"/>
        <v>18122.929999999997</v>
      </c>
      <c r="I35" s="319">
        <f t="shared" si="3"/>
        <v>18365.449999999997</v>
      </c>
      <c r="J35" s="319">
        <f t="shared" si="4"/>
        <v>21022.598799999996</v>
      </c>
      <c r="K35" s="319">
        <f t="shared" si="5"/>
        <v>21303.921999999995</v>
      </c>
      <c r="L35" s="102"/>
      <c r="M35" s="102"/>
      <c r="R35" s="104"/>
      <c r="S35" s="104"/>
    </row>
    <row r="36" spans="2:19" s="58" customFormat="1" ht="15" hidden="1" customHeight="1">
      <c r="B36" s="153">
        <f t="shared" si="6"/>
        <v>15</v>
      </c>
      <c r="C36" s="148"/>
      <c r="D36" s="319">
        <f>FACTORES!F54</f>
        <v>12756.31</v>
      </c>
      <c r="E36" s="319">
        <f>FACTORES!G54</f>
        <v>12685.79</v>
      </c>
      <c r="F36" s="319">
        <f t="shared" si="0"/>
        <v>18183.759999999998</v>
      </c>
      <c r="G36" s="319">
        <f t="shared" si="1"/>
        <v>18092.579999999998</v>
      </c>
      <c r="H36" s="319">
        <f t="shared" si="2"/>
        <v>18183.759999999998</v>
      </c>
      <c r="I36" s="319">
        <f t="shared" si="3"/>
        <v>18092.579999999998</v>
      </c>
      <c r="J36" s="319">
        <f t="shared" si="4"/>
        <v>21093.161599999996</v>
      </c>
      <c r="K36" s="319">
        <f t="shared" si="5"/>
        <v>20987.392799999998</v>
      </c>
      <c r="L36" s="102"/>
      <c r="M36" s="102"/>
      <c r="R36" s="104"/>
      <c r="S36" s="104"/>
    </row>
    <row r="37" spans="2:19" s="58" customFormat="1" ht="15" hidden="1" customHeight="1">
      <c r="B37" s="153">
        <f t="shared" si="6"/>
        <v>16</v>
      </c>
      <c r="C37" s="148"/>
      <c r="D37" s="319">
        <f>FACTORES!F55</f>
        <v>12540.11</v>
      </c>
      <c r="E37" s="319">
        <f>FACTORES!G55</f>
        <v>11728.11</v>
      </c>
      <c r="F37" s="319">
        <f t="shared" si="0"/>
        <v>17904.239999999998</v>
      </c>
      <c r="G37" s="319">
        <f t="shared" si="1"/>
        <v>16854.449999999997</v>
      </c>
      <c r="H37" s="319">
        <f t="shared" si="2"/>
        <v>17904.239999999998</v>
      </c>
      <c r="I37" s="319">
        <f t="shared" si="3"/>
        <v>16854.449999999997</v>
      </c>
      <c r="J37" s="319">
        <f t="shared" si="4"/>
        <v>20768.918399999995</v>
      </c>
      <c r="K37" s="319">
        <f t="shared" si="5"/>
        <v>19551.161999999997</v>
      </c>
      <c r="L37" s="102"/>
      <c r="M37" s="102"/>
      <c r="R37" s="104"/>
      <c r="S37" s="104"/>
    </row>
    <row r="38" spans="2:19" s="58" customFormat="1" ht="15" hidden="1" customHeight="1">
      <c r="B38" s="153">
        <f t="shared" si="6"/>
        <v>17</v>
      </c>
      <c r="C38" s="148"/>
      <c r="D38" s="319">
        <f>FACTORES!F56</f>
        <v>12620.51</v>
      </c>
      <c r="E38" s="319">
        <f>FACTORES!G56</f>
        <v>11920.72</v>
      </c>
      <c r="F38" s="319">
        <f t="shared" si="0"/>
        <v>18008.189999999999</v>
      </c>
      <c r="G38" s="319">
        <f t="shared" si="1"/>
        <v>17103.46</v>
      </c>
      <c r="H38" s="319">
        <f t="shared" si="2"/>
        <v>18008.189999999999</v>
      </c>
      <c r="I38" s="319">
        <f t="shared" si="3"/>
        <v>17103.46</v>
      </c>
      <c r="J38" s="319">
        <f t="shared" si="4"/>
        <v>20889.500399999997</v>
      </c>
      <c r="K38" s="319">
        <f t="shared" si="5"/>
        <v>19840.013599999998</v>
      </c>
      <c r="L38" s="102"/>
      <c r="M38" s="102"/>
      <c r="R38" s="104"/>
      <c r="S38" s="104"/>
    </row>
    <row r="39" spans="2:19" s="58" customFormat="1" ht="15" hidden="1" customHeight="1">
      <c r="B39" s="153">
        <f t="shared" si="6"/>
        <v>18</v>
      </c>
      <c r="C39" s="148"/>
      <c r="D39" s="319">
        <f>FACTORES!F57</f>
        <v>12974.47</v>
      </c>
      <c r="E39" s="319">
        <f>FACTORES!G57</f>
        <v>11553.12</v>
      </c>
      <c r="F39" s="319">
        <f t="shared" ref="F39:F45" si="7">ROUND(D39*$G$5*$G$6*$G$7,2)+ADIC+DENTAL+IKE+CVISION</f>
        <v>18465.8</v>
      </c>
      <c r="G39" s="482">
        <f t="shared" ref="G39:G45" si="8">ROUND(E39*$G$5*$G$6*$G$7,2)+ADIC+DENTAL+IKE+PARTO+CVISION</f>
        <v>17429.14</v>
      </c>
      <c r="H39" s="319">
        <f t="shared" si="2"/>
        <v>18465.8</v>
      </c>
      <c r="I39" s="319">
        <f t="shared" si="3"/>
        <v>17429.14</v>
      </c>
      <c r="J39" s="319">
        <f t="shared" si="4"/>
        <v>21420.327999999998</v>
      </c>
      <c r="K39" s="319">
        <f t="shared" si="5"/>
        <v>20217.802399999997</v>
      </c>
      <c r="L39" s="102"/>
      <c r="M39" s="102"/>
      <c r="R39" s="104"/>
      <c r="S39" s="104"/>
    </row>
    <row r="40" spans="2:19" s="58" customFormat="1" ht="15" hidden="1" customHeight="1">
      <c r="B40" s="153">
        <f t="shared" si="6"/>
        <v>19</v>
      </c>
      <c r="C40" s="148"/>
      <c r="D40" s="319">
        <f>FACTORES!F58</f>
        <v>13406.2</v>
      </c>
      <c r="E40" s="319">
        <f>FACTORES!G58</f>
        <v>11722.65</v>
      </c>
      <c r="F40" s="319">
        <f t="shared" si="7"/>
        <v>19023.969999999998</v>
      </c>
      <c r="G40" s="482">
        <f t="shared" si="8"/>
        <v>17648.319999999996</v>
      </c>
      <c r="H40" s="319">
        <f t="shared" si="2"/>
        <v>19023.969999999998</v>
      </c>
      <c r="I40" s="319">
        <f t="shared" si="3"/>
        <v>17648.319999999996</v>
      </c>
      <c r="J40" s="319">
        <f t="shared" si="4"/>
        <v>22067.805199999995</v>
      </c>
      <c r="K40" s="319">
        <f t="shared" si="5"/>
        <v>20472.051199999994</v>
      </c>
      <c r="L40" s="102"/>
      <c r="M40" s="102"/>
      <c r="R40" s="104"/>
      <c r="S40" s="104"/>
    </row>
    <row r="41" spans="2:19" s="58" customFormat="1" ht="15" hidden="1" customHeight="1">
      <c r="B41" s="153">
        <f t="shared" si="6"/>
        <v>20</v>
      </c>
      <c r="C41" s="148"/>
      <c r="D41" s="319">
        <f>FACTORES!F59</f>
        <v>13894.05</v>
      </c>
      <c r="E41" s="319">
        <f>FACTORES!G59</f>
        <v>13881.66</v>
      </c>
      <c r="F41" s="319">
        <f t="shared" si="7"/>
        <v>19654.679999999997</v>
      </c>
      <c r="G41" s="482">
        <f t="shared" si="8"/>
        <v>20439.59</v>
      </c>
      <c r="H41" s="319">
        <f t="shared" si="2"/>
        <v>19654.679999999997</v>
      </c>
      <c r="I41" s="319">
        <f t="shared" si="3"/>
        <v>20439.59</v>
      </c>
      <c r="J41" s="319">
        <f t="shared" si="4"/>
        <v>22799.428799999994</v>
      </c>
      <c r="K41" s="319">
        <f t="shared" si="5"/>
        <v>23709.9244</v>
      </c>
      <c r="L41" s="102"/>
      <c r="M41" s="102"/>
      <c r="R41" s="104"/>
      <c r="S41" s="104"/>
    </row>
    <row r="42" spans="2:19" s="58" customFormat="1" ht="15" hidden="1" customHeight="1">
      <c r="B42" s="153">
        <f t="shared" si="6"/>
        <v>21</v>
      </c>
      <c r="C42" s="148"/>
      <c r="D42" s="319">
        <f>FACTORES!F60</f>
        <v>14878.95</v>
      </c>
      <c r="E42" s="319">
        <f>FACTORES!G60</f>
        <v>17774.3</v>
      </c>
      <c r="F42" s="319">
        <f t="shared" si="7"/>
        <v>20928.009999999998</v>
      </c>
      <c r="G42" s="482">
        <f t="shared" si="8"/>
        <v>25472.19</v>
      </c>
      <c r="H42" s="319">
        <f t="shared" si="2"/>
        <v>20928.009999999998</v>
      </c>
      <c r="I42" s="319">
        <f t="shared" si="3"/>
        <v>25472.19</v>
      </c>
      <c r="J42" s="319">
        <f t="shared" si="4"/>
        <v>24276.491599999998</v>
      </c>
      <c r="K42" s="319">
        <f t="shared" si="5"/>
        <v>29547.740399999995</v>
      </c>
      <c r="L42" s="102"/>
      <c r="M42" s="102"/>
      <c r="R42" s="104"/>
      <c r="S42" s="104"/>
    </row>
    <row r="43" spans="2:19" s="58" customFormat="1" ht="15" hidden="1" customHeight="1">
      <c r="B43" s="153">
        <f t="shared" si="6"/>
        <v>22</v>
      </c>
      <c r="C43" s="148"/>
      <c r="D43" s="319">
        <f>FACTORES!F61</f>
        <v>15528.67</v>
      </c>
      <c r="E43" s="319">
        <f>FACTORES!G61</f>
        <v>18621.63</v>
      </c>
      <c r="F43" s="319">
        <f t="shared" si="7"/>
        <v>21768</v>
      </c>
      <c r="G43" s="482">
        <f t="shared" si="8"/>
        <v>26567.66</v>
      </c>
      <c r="H43" s="319">
        <f t="shared" si="2"/>
        <v>21768</v>
      </c>
      <c r="I43" s="319">
        <f t="shared" si="3"/>
        <v>26567.66</v>
      </c>
      <c r="J43" s="319">
        <f t="shared" si="4"/>
        <v>25250.879999999997</v>
      </c>
      <c r="K43" s="319">
        <f t="shared" si="5"/>
        <v>30818.485599999996</v>
      </c>
      <c r="L43" s="102"/>
      <c r="M43" s="102"/>
    </row>
    <row r="44" spans="2:19" s="58" customFormat="1" ht="15" hidden="1" customHeight="1">
      <c r="B44" s="153">
        <f t="shared" si="6"/>
        <v>23</v>
      </c>
      <c r="C44" s="148"/>
      <c r="D44" s="319">
        <f>FACTORES!F62</f>
        <v>16559.22</v>
      </c>
      <c r="E44" s="319">
        <f>FACTORES!G62</f>
        <v>19491.04</v>
      </c>
      <c r="F44" s="319">
        <f t="shared" si="7"/>
        <v>23100.35</v>
      </c>
      <c r="G44" s="482">
        <f t="shared" si="8"/>
        <v>27691.68</v>
      </c>
      <c r="H44" s="319">
        <f t="shared" si="2"/>
        <v>23100.35</v>
      </c>
      <c r="I44" s="319">
        <f t="shared" si="3"/>
        <v>27691.68</v>
      </c>
      <c r="J44" s="319">
        <f t="shared" si="4"/>
        <v>26796.405999999995</v>
      </c>
      <c r="K44" s="319">
        <f t="shared" si="5"/>
        <v>32122.3488</v>
      </c>
      <c r="L44" s="102"/>
      <c r="M44" s="102"/>
    </row>
    <row r="45" spans="2:19" s="58" customFormat="1" ht="15" hidden="1" customHeight="1" thickBot="1">
      <c r="B45" s="154">
        <f t="shared" si="6"/>
        <v>24</v>
      </c>
      <c r="C45" s="149"/>
      <c r="D45" s="320">
        <f>FACTORES!F63</f>
        <v>17231.34</v>
      </c>
      <c r="E45" s="320">
        <f>FACTORES!G63</f>
        <v>20402.39</v>
      </c>
      <c r="F45" s="320">
        <f t="shared" si="7"/>
        <v>23969.3</v>
      </c>
      <c r="G45" s="487">
        <f t="shared" si="8"/>
        <v>28869.919999999998</v>
      </c>
      <c r="H45" s="320">
        <f t="shared" si="2"/>
        <v>23969.3</v>
      </c>
      <c r="I45" s="320">
        <f t="shared" si="3"/>
        <v>28869.919999999998</v>
      </c>
      <c r="J45" s="320">
        <f t="shared" si="4"/>
        <v>27804.387999999999</v>
      </c>
      <c r="K45" s="320">
        <f t="shared" si="5"/>
        <v>33489.107199999999</v>
      </c>
      <c r="L45" s="102"/>
      <c r="M45" s="102"/>
    </row>
    <row r="46" spans="2:19" s="58" customFormat="1" ht="15" hidden="1" customHeight="1" thickTop="1"/>
    <row r="47" spans="2:19" s="58" customFormat="1" ht="15" hidden="1" customHeight="1"/>
    <row r="48" spans="2:19" s="58" customFormat="1" ht="15" hidden="1" customHeight="1"/>
    <row r="49" s="58" customFormat="1" ht="15" hidden="1" customHeight="1"/>
    <row r="50" s="58" customFormat="1" ht="15" hidden="1" customHeight="1"/>
    <row r="51" s="58" customFormat="1" ht="15" hidden="1" customHeight="1"/>
    <row r="52" s="58" customFormat="1" ht="15" hidden="1" customHeight="1"/>
    <row r="53" s="58" customFormat="1" ht="15" hidden="1" customHeight="1"/>
    <row r="54" s="58" customFormat="1" ht="15" hidden="1" customHeight="1"/>
    <row r="55" s="58" customFormat="1" ht="15" hidden="1" customHeight="1"/>
    <row r="56" s="58" customFormat="1" ht="15" hidden="1" customHeight="1"/>
    <row r="57" s="58" customFormat="1" ht="15" hidden="1" customHeight="1"/>
    <row r="58" s="58" customFormat="1" ht="15" hidden="1" customHeight="1"/>
    <row r="59" s="58" customFormat="1" ht="15" hidden="1" customHeight="1"/>
    <row r="60" s="58" customFormat="1" ht="15" hidden="1" customHeight="1"/>
    <row r="61" s="58" customFormat="1" ht="15" hidden="1" customHeight="1"/>
    <row r="62" s="58" customFormat="1" ht="15" hidden="1" customHeight="1"/>
    <row r="63" s="58" customFormat="1" ht="15" hidden="1" customHeight="1"/>
    <row r="64" s="58" customFormat="1" ht="15" hidden="1" customHeight="1"/>
    <row r="65" spans="19:27" s="58" customFormat="1" ht="15" hidden="1" customHeight="1">
      <c r="AA65" s="62"/>
    </row>
    <row r="66" spans="19:27" s="58" customFormat="1" ht="15" hidden="1" customHeight="1"/>
    <row r="67" spans="19:27" s="58" customFormat="1" ht="15" hidden="1" customHeight="1"/>
    <row r="68" spans="19:27" s="58" customFormat="1" ht="15" hidden="1" customHeight="1"/>
    <row r="69" spans="19:27" s="58" customFormat="1" ht="15" hidden="1" customHeight="1">
      <c r="T69" s="749"/>
      <c r="U69" s="749"/>
      <c r="V69" s="749"/>
      <c r="W69" s="749"/>
      <c r="X69" s="749"/>
      <c r="Y69" s="749"/>
      <c r="Z69" s="749"/>
      <c r="AA69" s="749"/>
    </row>
    <row r="70" spans="19:27" s="58" customFormat="1" ht="15" hidden="1" customHeight="1">
      <c r="T70" s="57"/>
      <c r="U70" s="57"/>
      <c r="V70" s="64"/>
      <c r="W70" s="64"/>
      <c r="AA70" s="65"/>
    </row>
    <row r="71" spans="19:27" s="58" customFormat="1" ht="15" hidden="1" customHeight="1">
      <c r="T71" s="57"/>
      <c r="U71" s="57"/>
      <c r="V71" s="64"/>
      <c r="W71" s="64"/>
    </row>
    <row r="72" spans="19:27" s="58" customFormat="1" ht="15" hidden="1" customHeight="1">
      <c r="T72" s="66"/>
      <c r="U72" s="57"/>
      <c r="V72" s="67"/>
      <c r="W72" s="57"/>
      <c r="Z72" s="61"/>
      <c r="AA72" s="57"/>
    </row>
    <row r="73" spans="19:27" s="58" customFormat="1" ht="15" hidden="1" customHeight="1">
      <c r="T73" s="66"/>
      <c r="U73" s="61"/>
      <c r="V73" s="61"/>
      <c r="W73" s="61"/>
    </row>
    <row r="74" spans="19:27" s="58" customFormat="1" ht="15" hidden="1" customHeight="1">
      <c r="T74" s="749"/>
      <c r="U74" s="749"/>
      <c r="V74" s="749"/>
      <c r="W74" s="749"/>
      <c r="X74" s="749"/>
      <c r="Y74" s="749"/>
      <c r="Z74" s="749"/>
      <c r="AA74" s="749"/>
    </row>
    <row r="75" spans="19:27" s="58" customFormat="1" ht="15" hidden="1" customHeight="1">
      <c r="T75" s="66"/>
      <c r="U75" s="61"/>
      <c r="V75" s="61"/>
      <c r="W75" s="61"/>
    </row>
    <row r="76" spans="19:27" s="58" customFormat="1" ht="15" hidden="1" customHeight="1">
      <c r="S76" s="68"/>
      <c r="U76" s="61"/>
      <c r="V76" s="61"/>
      <c r="W76" s="61"/>
      <c r="Y76" s="59"/>
    </row>
    <row r="77" spans="19:27" s="58" customFormat="1" ht="15" hidden="1" customHeight="1">
      <c r="U77" s="61"/>
      <c r="V77" s="61"/>
      <c r="W77" s="61"/>
      <c r="Y77" s="59"/>
    </row>
    <row r="78" spans="19:27" s="58" customFormat="1" ht="15" hidden="1" customHeight="1">
      <c r="S78" s="68"/>
      <c r="U78" s="61"/>
      <c r="V78" s="61"/>
      <c r="W78" s="66"/>
      <c r="Y78" s="59"/>
    </row>
    <row r="79" spans="19:27" s="58" customFormat="1" ht="15" hidden="1" customHeight="1">
      <c r="U79" s="61"/>
      <c r="V79" s="61"/>
      <c r="W79" s="66"/>
      <c r="Y79" s="59"/>
    </row>
    <row r="80" spans="19:27" s="58" customFormat="1" ht="15" hidden="1" customHeight="1">
      <c r="U80" s="61"/>
      <c r="V80" s="61"/>
      <c r="W80" s="61"/>
    </row>
    <row r="81" spans="19:26" s="58" customFormat="1" ht="15" hidden="1" customHeight="1">
      <c r="S81" s="68"/>
      <c r="U81" s="61"/>
      <c r="V81" s="61"/>
      <c r="W81" s="66"/>
      <c r="Y81" s="69"/>
    </row>
    <row r="82" spans="19:26" s="58" customFormat="1" ht="15" hidden="1" customHeight="1">
      <c r="U82" s="57"/>
      <c r="V82" s="57"/>
      <c r="W82" s="66"/>
      <c r="Y82" s="69"/>
    </row>
    <row r="83" spans="19:26" s="58" customFormat="1" ht="15" hidden="1" customHeight="1">
      <c r="U83" s="46"/>
      <c r="V83" s="46"/>
    </row>
    <row r="84" spans="19:26" s="58" customFormat="1" ht="15" hidden="1" customHeight="1">
      <c r="S84" s="68"/>
      <c r="Z84" s="70"/>
    </row>
    <row r="85" spans="19:26" s="58" customFormat="1" ht="15" hidden="1" customHeight="1">
      <c r="S85" s="68"/>
      <c r="Z85" s="70"/>
    </row>
    <row r="86" spans="19:26" s="58" customFormat="1" ht="15" hidden="1" customHeight="1">
      <c r="S86" s="68"/>
    </row>
    <row r="87" spans="19:26" s="58" customFormat="1" ht="15" hidden="1" customHeight="1">
      <c r="S87" s="68"/>
      <c r="U87" s="71"/>
      <c r="V87" s="72"/>
    </row>
    <row r="88" spans="19:26" s="58" customFormat="1" ht="15" hidden="1" customHeight="1">
      <c r="S88" s="68"/>
      <c r="U88" s="73"/>
      <c r="V88" s="73"/>
    </row>
    <row r="89" spans="19:26" s="58" customFormat="1" ht="15" hidden="1" customHeight="1">
      <c r="S89" s="68"/>
      <c r="U89" s="66"/>
      <c r="V89" s="66"/>
    </row>
    <row r="90" spans="19:26" s="58" customFormat="1" ht="15" hidden="1" customHeight="1">
      <c r="S90" s="68"/>
      <c r="U90" s="66"/>
      <c r="V90" s="66"/>
    </row>
    <row r="91" spans="19:26" s="58" customFormat="1" ht="15" hidden="1" customHeight="1">
      <c r="S91" s="68"/>
    </row>
    <row r="92" spans="19:26" s="58" customFormat="1" ht="15" hidden="1" customHeight="1">
      <c r="S92" s="68"/>
    </row>
    <row r="93" spans="19:26" s="58" customFormat="1" ht="15" hidden="1" customHeight="1">
      <c r="S93" s="68"/>
    </row>
    <row r="94" spans="19:26" s="58" customFormat="1" ht="15" hidden="1" customHeight="1">
      <c r="S94" s="68"/>
      <c r="Y94" s="74"/>
    </row>
    <row r="95" spans="19:26" s="58" customFormat="1" ht="15" hidden="1" customHeight="1">
      <c r="S95" s="68"/>
      <c r="Y95" s="74"/>
    </row>
    <row r="96" spans="19:26" s="58" customFormat="1" ht="15" hidden="1" customHeight="1">
      <c r="S96" s="68"/>
      <c r="Y96" s="74"/>
    </row>
    <row r="97" spans="19:25" s="58" customFormat="1" ht="15" hidden="1" customHeight="1">
      <c r="S97" s="68"/>
      <c r="Y97" s="74"/>
    </row>
    <row r="98" spans="19:25" s="58" customFormat="1" ht="15" hidden="1" customHeight="1">
      <c r="S98" s="68"/>
      <c r="Y98" s="74"/>
    </row>
    <row r="99" spans="19:25" s="58" customFormat="1" ht="15" hidden="1" customHeight="1">
      <c r="S99" s="68"/>
      <c r="Y99" s="74"/>
    </row>
    <row r="100" spans="19:25" s="58" customFormat="1" ht="15" hidden="1" customHeight="1">
      <c r="S100" s="68"/>
      <c r="Y100" s="74"/>
    </row>
    <row r="101" spans="19:25" s="58" customFormat="1" ht="15" hidden="1" customHeight="1">
      <c r="S101" s="68"/>
      <c r="Y101" s="74"/>
    </row>
    <row r="102" spans="19:25" s="58" customFormat="1" ht="15" hidden="1" customHeight="1">
      <c r="S102" s="68"/>
      <c r="Y102" s="74"/>
    </row>
    <row r="103" spans="19:25" s="58" customFormat="1" ht="15" hidden="1" customHeight="1">
      <c r="S103" s="68"/>
    </row>
    <row r="104" spans="19:25" s="58" customFormat="1" ht="15" hidden="1" customHeight="1">
      <c r="S104" s="68"/>
    </row>
    <row r="105" spans="19:25" s="58" customFormat="1" ht="15" hidden="1" customHeight="1">
      <c r="S105" s="68"/>
    </row>
    <row r="106" spans="19:25" s="58" customFormat="1" ht="15" hidden="1" customHeight="1">
      <c r="S106" s="68"/>
    </row>
    <row r="107" spans="19:25" s="58" customFormat="1" ht="15" hidden="1" customHeight="1">
      <c r="S107" s="68"/>
    </row>
    <row r="108" spans="19:25" s="58" customFormat="1" ht="15" hidden="1" customHeight="1"/>
    <row r="109" spans="19:25" s="58" customFormat="1" ht="15" hidden="1" customHeight="1">
      <c r="S109" s="68"/>
    </row>
    <row r="110" spans="19:25" s="58" customFormat="1" ht="15" hidden="1" customHeight="1">
      <c r="S110" s="68"/>
    </row>
    <row r="111" spans="19:25" s="58" customFormat="1" ht="15" hidden="1" customHeight="1">
      <c r="S111" s="68"/>
    </row>
    <row r="112" spans="19:25" s="58" customFormat="1" ht="15" hidden="1" customHeight="1">
      <c r="S112" s="68"/>
    </row>
    <row r="113" spans="19:19" s="58" customFormat="1" ht="15" hidden="1" customHeight="1"/>
    <row r="114" spans="19:19" s="58" customFormat="1" ht="15" hidden="1" customHeight="1">
      <c r="S114" s="68"/>
    </row>
    <row r="115" spans="19:19" s="58" customFormat="1" ht="15" hidden="1" customHeight="1">
      <c r="S115" s="68"/>
    </row>
    <row r="116" spans="19:19" s="58" customFormat="1" ht="15" hidden="1" customHeight="1">
      <c r="S116" s="68"/>
    </row>
    <row r="117" spans="19:19" s="58" customFormat="1" ht="15" hidden="1" customHeight="1">
      <c r="S117" s="68"/>
    </row>
    <row r="118" spans="19:19" s="58" customFormat="1" ht="15" hidden="1" customHeight="1"/>
    <row r="119" spans="19:19" s="58" customFormat="1" ht="15" hidden="1" customHeight="1">
      <c r="S119" s="68"/>
    </row>
    <row r="120" spans="19:19" s="58" customFormat="1" ht="15" hidden="1" customHeight="1">
      <c r="S120" s="68"/>
    </row>
    <row r="121" spans="19:19" s="58" customFormat="1" ht="15" hidden="1" customHeight="1">
      <c r="S121" s="68"/>
    </row>
    <row r="122" spans="19:19" s="58" customFormat="1" ht="15" hidden="1" customHeight="1">
      <c r="S122" s="68"/>
    </row>
    <row r="123" spans="19:19" s="58" customFormat="1" ht="15" hidden="1" customHeight="1">
      <c r="S123" s="68"/>
    </row>
    <row r="124" spans="19:19" s="58" customFormat="1" ht="15" hidden="1" customHeight="1">
      <c r="S124" s="68"/>
    </row>
    <row r="125" spans="19:19" s="58" customFormat="1" ht="15" hidden="1" customHeight="1">
      <c r="S125" s="68"/>
    </row>
    <row r="126" spans="19:19" s="58" customFormat="1" ht="15" hidden="1" customHeight="1">
      <c r="S126" s="68"/>
    </row>
    <row r="127" spans="19:19" s="58" customFormat="1" ht="15" hidden="1" customHeight="1">
      <c r="S127" s="68"/>
    </row>
    <row r="128" spans="19:19" s="58" customFormat="1" ht="15" hidden="1" customHeight="1">
      <c r="S128" s="68"/>
    </row>
    <row r="129" spans="20:27" s="58" customFormat="1" ht="15" hidden="1" customHeight="1"/>
    <row r="130" spans="20:27" s="58" customFormat="1" ht="15" hidden="1" customHeight="1">
      <c r="T130" s="749"/>
      <c r="U130" s="749"/>
      <c r="V130" s="749"/>
      <c r="W130" s="749"/>
      <c r="X130" s="749"/>
      <c r="Y130" s="749"/>
      <c r="Z130" s="749"/>
      <c r="AA130" s="749"/>
    </row>
    <row r="131" spans="20:27" s="58" customFormat="1" ht="15" hidden="1" customHeight="1">
      <c r="T131" s="749"/>
      <c r="U131" s="749"/>
      <c r="V131" s="749"/>
      <c r="W131" s="749"/>
      <c r="X131" s="57"/>
      <c r="Y131" s="57"/>
      <c r="Z131" s="57"/>
      <c r="AA131" s="57"/>
    </row>
    <row r="132" spans="20:27" s="58" customFormat="1" ht="15" hidden="1" customHeight="1">
      <c r="T132" s="57"/>
      <c r="U132" s="57"/>
      <c r="V132" s="57"/>
      <c r="W132" s="57"/>
      <c r="X132" s="57"/>
      <c r="Y132" s="57"/>
      <c r="Z132" s="57"/>
      <c r="AA132" s="57"/>
    </row>
    <row r="133" spans="20:27" s="58" customFormat="1" ht="15" hidden="1" customHeight="1">
      <c r="T133" s="46"/>
      <c r="X133" s="75"/>
      <c r="Y133" s="57"/>
      <c r="AA133" s="59"/>
    </row>
    <row r="134" spans="20:27" s="58" customFormat="1" ht="15" hidden="1" customHeight="1">
      <c r="W134" s="76"/>
      <c r="X134" s="75"/>
      <c r="Y134" s="61"/>
      <c r="AA134" s="59"/>
    </row>
    <row r="135" spans="20:27" s="58" customFormat="1" ht="15" hidden="1" customHeight="1">
      <c r="W135" s="77"/>
      <c r="X135" s="75"/>
      <c r="Y135" s="61"/>
      <c r="AA135" s="59"/>
    </row>
    <row r="136" spans="20:27" s="58" customFormat="1" ht="15" hidden="1" customHeight="1">
      <c r="W136" s="77"/>
      <c r="X136" s="75"/>
      <c r="Y136" s="61"/>
      <c r="AA136" s="59"/>
    </row>
    <row r="137" spans="20:27" s="58" customFormat="1" ht="15" hidden="1" customHeight="1">
      <c r="W137" s="78"/>
      <c r="X137" s="75"/>
      <c r="Y137" s="61"/>
      <c r="AA137" s="59"/>
    </row>
    <row r="138" spans="20:27" s="58" customFormat="1" ht="15" hidden="1" customHeight="1">
      <c r="U138" s="79"/>
      <c r="V138" s="79"/>
      <c r="W138" s="79"/>
      <c r="X138" s="75"/>
      <c r="Y138" s="61"/>
      <c r="AA138" s="59"/>
    </row>
    <row r="139" spans="20:27" s="58" customFormat="1" ht="15" hidden="1" customHeight="1">
      <c r="U139" s="79"/>
      <c r="V139" s="79"/>
      <c r="W139" s="79"/>
      <c r="X139" s="75"/>
      <c r="Y139" s="61"/>
      <c r="AA139" s="59"/>
    </row>
    <row r="140" spans="20:27" s="58" customFormat="1" ht="15" hidden="1" customHeight="1">
      <c r="U140" s="79"/>
      <c r="V140" s="79"/>
      <c r="X140" s="75"/>
      <c r="Y140" s="61"/>
      <c r="AA140" s="59"/>
    </row>
    <row r="141" spans="20:27" s="58" customFormat="1" ht="15" hidden="1" customHeight="1">
      <c r="U141" s="79"/>
      <c r="V141" s="79"/>
      <c r="X141" s="75"/>
      <c r="Y141" s="61"/>
      <c r="AA141" s="59"/>
    </row>
    <row r="142" spans="20:27" s="58" customFormat="1" ht="15" hidden="1" customHeight="1">
      <c r="U142" s="80"/>
      <c r="V142" s="71"/>
      <c r="X142" s="75"/>
      <c r="Y142" s="61"/>
      <c r="AA142" s="59"/>
    </row>
    <row r="143" spans="20:27" s="58" customFormat="1" ht="15" hidden="1" customHeight="1">
      <c r="U143" s="80"/>
      <c r="V143" s="71"/>
      <c r="X143" s="75"/>
      <c r="Y143" s="61"/>
      <c r="AA143" s="59"/>
    </row>
    <row r="144" spans="20:27" s="58" customFormat="1" ht="15" hidden="1" customHeight="1">
      <c r="U144" s="79"/>
      <c r="V144" s="79"/>
      <c r="X144" s="75"/>
      <c r="Y144" s="61"/>
      <c r="AA144" s="59"/>
    </row>
    <row r="145" spans="20:27" s="58" customFormat="1" ht="15" hidden="1" customHeight="1">
      <c r="T145" s="70"/>
      <c r="U145" s="79"/>
      <c r="V145" s="79"/>
      <c r="AA145" s="63"/>
    </row>
    <row r="146" spans="20:27" s="58" customFormat="1" ht="15" hidden="1" customHeight="1">
      <c r="T146" s="70"/>
      <c r="U146" s="748"/>
      <c r="V146" s="748"/>
      <c r="W146" s="747"/>
      <c r="X146" s="747"/>
      <c r="AA146" s="59"/>
    </row>
    <row r="147" spans="20:27" s="58" customFormat="1" ht="15" hidden="1" customHeight="1">
      <c r="T147" s="70"/>
      <c r="U147" s="79"/>
      <c r="V147" s="79"/>
      <c r="AA147" s="59"/>
    </row>
    <row r="148" spans="20:27" s="58" customFormat="1" ht="15" hidden="1" customHeight="1">
      <c r="T148" s="62"/>
      <c r="U148" s="80"/>
      <c r="V148" s="80"/>
      <c r="AA148" s="59"/>
    </row>
    <row r="149" spans="20:27" s="58" customFormat="1" ht="15" hidden="1" customHeight="1">
      <c r="T149" s="62"/>
      <c r="U149" s="80"/>
      <c r="V149" s="80"/>
      <c r="AA149" s="59"/>
    </row>
    <row r="150" spans="20:27" s="58" customFormat="1" ht="15" hidden="1" customHeight="1">
      <c r="T150" s="57"/>
      <c r="V150" s="79"/>
      <c r="Y150" s="46"/>
      <c r="Z150" s="46"/>
      <c r="AA150" s="63"/>
    </row>
    <row r="151" spans="20:27" s="58" customFormat="1" ht="15" hidden="1" customHeight="1">
      <c r="V151" s="79"/>
    </row>
    <row r="152" spans="20:27" s="58" customFormat="1" ht="15" hidden="1" customHeight="1"/>
    <row r="153" spans="20:27" s="58" customFormat="1" ht="15" hidden="1" customHeight="1"/>
    <row r="154" spans="20:27" s="58" customFormat="1" ht="15" hidden="1" customHeight="1"/>
    <row r="155" spans="20:27" s="58" customFormat="1" ht="15" hidden="1" customHeight="1"/>
    <row r="156" spans="20:27" s="58" customFormat="1" ht="15" hidden="1" customHeight="1"/>
    <row r="157" spans="20:27" s="58" customFormat="1" ht="15" hidden="1" customHeight="1"/>
    <row r="158" spans="20:27" s="58" customFormat="1" ht="15" hidden="1" customHeight="1"/>
    <row r="159" spans="20:27" s="58" customFormat="1" ht="15" hidden="1" customHeight="1"/>
    <row r="160" spans="20:27" s="58" customFormat="1" ht="15" hidden="1" customHeight="1"/>
    <row r="161" s="58" customFormat="1" ht="15" hidden="1" customHeight="1"/>
    <row r="162" s="58" customFormat="1" ht="15" hidden="1" customHeight="1"/>
    <row r="163" s="58" customFormat="1" ht="15" hidden="1" customHeight="1"/>
    <row r="164" s="58" customFormat="1" ht="15" hidden="1" customHeight="1"/>
    <row r="165" s="58" customFormat="1" ht="15" hidden="1" customHeight="1"/>
    <row r="166" s="58" customFormat="1" ht="15" hidden="1" customHeight="1"/>
    <row r="167" s="58" customFormat="1" ht="15" hidden="1" customHeight="1"/>
    <row r="168" s="58" customFormat="1" ht="15" hidden="1" customHeight="1"/>
    <row r="169" s="58" customFormat="1" ht="15" hidden="1" customHeight="1"/>
    <row r="170" s="58" customFormat="1" ht="15" hidden="1" customHeight="1"/>
    <row r="171" s="58" customFormat="1" ht="15" hidden="1" customHeight="1"/>
    <row r="172" s="58" customFormat="1" ht="15" hidden="1" customHeight="1"/>
    <row r="173" s="58" customFormat="1" ht="15" hidden="1" customHeight="1"/>
    <row r="174" s="58" customFormat="1" ht="15" hidden="1" customHeight="1"/>
    <row r="175" s="58" customFormat="1" ht="15" hidden="1" customHeight="1"/>
    <row r="176" s="58" customFormat="1" ht="15" hidden="1" customHeight="1"/>
    <row r="177" s="58" customFormat="1" ht="15" hidden="1" customHeight="1"/>
    <row r="178" s="58" customFormat="1" ht="15" hidden="1" customHeight="1"/>
    <row r="179" s="58" customFormat="1" ht="15" hidden="1" customHeight="1"/>
    <row r="180" s="58" customFormat="1" ht="15" hidden="1" customHeight="1"/>
    <row r="181" s="58" customFormat="1" ht="15" hidden="1" customHeight="1"/>
    <row r="182" s="58" customFormat="1" ht="15" hidden="1" customHeight="1"/>
    <row r="183" s="58" customFormat="1" ht="15" hidden="1" customHeight="1"/>
    <row r="184" s="58" customFormat="1" ht="15" hidden="1" customHeight="1"/>
    <row r="185" s="58" customFormat="1" ht="15" hidden="1" customHeight="1"/>
    <row r="186" s="58" customFormat="1" ht="15" hidden="1" customHeight="1"/>
    <row r="187" s="58" customFormat="1" ht="15" hidden="1" customHeight="1"/>
    <row r="188" s="58" customFormat="1" ht="10" hidden="1"/>
    <row r="189" s="58" customFormat="1" ht="10" hidden="1"/>
    <row r="190" s="58" customFormat="1" ht="10" hidden="1"/>
    <row r="191" s="58" customFormat="1" ht="10" hidden="1"/>
    <row r="192" s="58" customFormat="1" ht="10" hidden="1"/>
    <row r="193" s="58" customFormat="1" ht="10" hidden="1"/>
    <row r="194" s="58" customFormat="1" ht="10" hidden="1"/>
    <row r="195" s="58" customFormat="1" ht="10" hidden="1"/>
    <row r="196" s="58" customFormat="1" ht="10" hidden="1"/>
    <row r="197" s="58" customFormat="1" ht="10" hidden="1"/>
    <row r="198" s="58" customFormat="1" ht="10" hidden="1"/>
    <row r="199" s="58" customFormat="1" ht="10" hidden="1"/>
    <row r="200" s="58" customFormat="1" ht="10" hidden="1"/>
    <row r="201" s="58" customFormat="1" ht="10" hidden="1"/>
    <row r="202" s="58" customFormat="1" ht="10" hidden="1"/>
    <row r="203" s="58" customFormat="1" ht="10" hidden="1"/>
    <row r="204" s="58" customFormat="1" ht="10" hidden="1"/>
    <row r="205" s="58" customFormat="1" ht="10" hidden="1"/>
    <row r="206" s="58" customFormat="1" ht="10" hidden="1"/>
    <row r="207" s="58" customFormat="1" ht="10" hidden="1"/>
    <row r="208" s="58" customFormat="1" ht="10" hidden="1"/>
    <row r="209" s="58" customFormat="1" ht="10" hidden="1"/>
    <row r="210" s="58" customFormat="1" ht="10" hidden="1"/>
    <row r="211" s="58" customFormat="1" ht="10" hidden="1"/>
    <row r="212" s="58" customFormat="1" ht="10" hidden="1"/>
    <row r="213" s="58" customFormat="1" ht="10" hidden="1"/>
    <row r="214" s="58" customFormat="1" ht="10" hidden="1"/>
    <row r="215" s="58" customFormat="1" ht="10" hidden="1"/>
  </sheetData>
  <sheetProtection algorithmName="SHA-512" hashValue="Z5wEc1eFLa8JoJInuVbtTgi27faQGgV+15SMj/1/OZYQj+W5rCkfDeIVNE3MKJOfPb3h5Upq6GJDQpq03auKvg==" saltValue="3DC4GyCmGD26KNrimd8+3g==" spinCount="100000" sheet="1" objects="1" scenarios="1"/>
  <mergeCells count="14">
    <mergeCell ref="R29:S30"/>
    <mergeCell ref="I2:J8"/>
    <mergeCell ref="F19:G19"/>
    <mergeCell ref="W146:X146"/>
    <mergeCell ref="U146:V146"/>
    <mergeCell ref="T69:AA69"/>
    <mergeCell ref="T131:W131"/>
    <mergeCell ref="T74:AA74"/>
    <mergeCell ref="T130:AA130"/>
    <mergeCell ref="B20:C20"/>
    <mergeCell ref="D19:E19"/>
    <mergeCell ref="J18:K18"/>
    <mergeCell ref="D18:E18"/>
    <mergeCell ref="F18:G18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ColWidth="11.453125" defaultRowHeight="12.5"/>
  <cols>
    <col min="1" max="1" width="23.7265625" style="1" customWidth="1"/>
    <col min="2" max="2" width="11.7265625" style="1" customWidth="1"/>
    <col min="3" max="3" width="13.7265625" style="1" customWidth="1"/>
    <col min="4" max="4" width="11.453125" style="1"/>
    <col min="5" max="5" width="16.7265625" style="1" customWidth="1"/>
    <col min="6" max="6" width="11.453125" style="1"/>
    <col min="7" max="7" width="20.7265625" style="1" customWidth="1"/>
    <col min="8" max="8" width="19.1796875" style="1" customWidth="1"/>
    <col min="9" max="9" width="7.453125" style="1" customWidth="1"/>
    <col min="10" max="10" width="15.54296875" style="1" customWidth="1"/>
    <col min="11" max="12" width="15.7265625" style="1" customWidth="1"/>
    <col min="13" max="13" width="12.7265625" style="1" customWidth="1"/>
    <col min="14" max="14" width="21.54296875" style="1" customWidth="1"/>
    <col min="15" max="15" width="13.54296875" style="1" customWidth="1"/>
    <col min="16" max="16" width="14.453125" style="1" customWidth="1"/>
    <col min="17" max="18" width="119.1796875" style="1" bestFit="1" customWidth="1"/>
    <col min="19" max="19" width="17.54296875" style="1" customWidth="1"/>
    <col min="20" max="16384" width="11.453125" style="1"/>
  </cols>
  <sheetData>
    <row r="1" spans="1:19" ht="13" thickTop="1">
      <c r="A1" s="34" t="s">
        <v>32</v>
      </c>
    </row>
    <row r="2" spans="1:19">
      <c r="A2" s="42" t="s">
        <v>33</v>
      </c>
    </row>
    <row r="3" spans="1:19" ht="13" thickBot="1">
      <c r="A3" s="43" t="s">
        <v>34</v>
      </c>
    </row>
    <row r="4" spans="1:19" ht="13.5" thickTop="1" thickBot="1"/>
    <row r="5" spans="1:19" ht="13" thickTop="1">
      <c r="A5" s="34" t="s">
        <v>47</v>
      </c>
      <c r="B5" s="28" t="s">
        <v>10</v>
      </c>
      <c r="C5" s="29"/>
      <c r="D5" s="29"/>
      <c r="E5" s="29"/>
      <c r="F5" s="29"/>
      <c r="G5" s="29"/>
      <c r="H5" s="29"/>
      <c r="I5" s="29"/>
      <c r="J5" s="29"/>
      <c r="K5" s="30"/>
      <c r="L5" s="5"/>
      <c r="M5" s="5"/>
    </row>
    <row r="6" spans="1:19">
      <c r="A6" s="97">
        <v>1</v>
      </c>
      <c r="B6" s="211" t="s">
        <v>209</v>
      </c>
      <c r="C6" s="5"/>
      <c r="D6" s="5"/>
      <c r="E6" s="5"/>
      <c r="F6" s="5"/>
      <c r="G6" s="5"/>
      <c r="H6" s="5"/>
      <c r="I6" s="5"/>
      <c r="J6" s="5"/>
      <c r="K6" s="31"/>
      <c r="L6" s="5"/>
      <c r="M6" s="5"/>
    </row>
    <row r="7" spans="1:19">
      <c r="A7" s="98">
        <v>2</v>
      </c>
      <c r="B7" s="211" t="s">
        <v>210</v>
      </c>
      <c r="C7" s="5"/>
      <c r="D7" s="5"/>
      <c r="E7" s="5"/>
      <c r="F7" s="5"/>
      <c r="G7" s="5"/>
      <c r="H7" s="5"/>
      <c r="I7" s="5"/>
      <c r="J7" s="5"/>
      <c r="K7" s="31"/>
      <c r="L7" s="5"/>
      <c r="M7" s="5"/>
    </row>
    <row r="8" spans="1:19">
      <c r="A8" s="98">
        <v>3</v>
      </c>
      <c r="B8" s="211" t="s">
        <v>162</v>
      </c>
      <c r="C8" s="5"/>
      <c r="D8" s="5"/>
      <c r="E8" s="5"/>
      <c r="F8" s="5"/>
      <c r="G8" s="5"/>
      <c r="H8" s="5"/>
      <c r="I8" s="5"/>
      <c r="J8" s="5"/>
      <c r="K8" s="31"/>
      <c r="L8" s="5"/>
      <c r="M8" s="5"/>
    </row>
    <row r="9" spans="1:19">
      <c r="A9" s="98">
        <v>4</v>
      </c>
      <c r="B9" s="211" t="s">
        <v>163</v>
      </c>
      <c r="C9" s="5"/>
      <c r="D9" s="5"/>
      <c r="E9" s="5"/>
      <c r="F9" s="5"/>
      <c r="G9" s="5"/>
      <c r="H9" s="5"/>
      <c r="I9" s="5"/>
      <c r="J9" s="5"/>
      <c r="K9" s="31"/>
      <c r="L9" s="5"/>
      <c r="M9" s="5"/>
      <c r="R9" s="15"/>
      <c r="S9" s="15"/>
    </row>
    <row r="10" spans="1:19">
      <c r="A10" s="98">
        <v>5</v>
      </c>
      <c r="B10" s="212" t="s">
        <v>211</v>
      </c>
      <c r="C10" s="5"/>
      <c r="D10" s="5"/>
      <c r="E10" s="5"/>
      <c r="F10" s="5"/>
      <c r="G10" s="5"/>
      <c r="H10" s="5"/>
      <c r="I10" s="5"/>
      <c r="J10" s="5"/>
      <c r="K10" s="31"/>
      <c r="L10" s="5"/>
      <c r="M10" s="5"/>
      <c r="R10" s="15"/>
      <c r="S10" s="15"/>
    </row>
    <row r="11" spans="1:19" ht="13" thickBot="1">
      <c r="A11" s="99">
        <v>6</v>
      </c>
      <c r="B11" s="213" t="s">
        <v>123</v>
      </c>
      <c r="C11" s="32"/>
      <c r="D11" s="32"/>
      <c r="E11" s="32"/>
      <c r="F11" s="32"/>
      <c r="G11" s="32"/>
      <c r="H11" s="32"/>
      <c r="I11" s="32"/>
      <c r="J11" s="32"/>
      <c r="K11" s="33"/>
      <c r="L11" s="5"/>
      <c r="M11" s="5"/>
      <c r="R11" s="15"/>
      <c r="S11" s="15"/>
    </row>
    <row r="12" spans="1:19" ht="13.5" thickTop="1" thickBot="1">
      <c r="P12" s="15"/>
      <c r="Q12" s="15"/>
      <c r="R12" s="15"/>
    </row>
    <row r="13" spans="1:19" ht="13" thickTop="1">
      <c r="A13" s="34" t="s">
        <v>1</v>
      </c>
      <c r="C13" s="34" t="s">
        <v>2</v>
      </c>
      <c r="E13" s="34" t="s">
        <v>3</v>
      </c>
      <c r="G13" s="34" t="s">
        <v>21</v>
      </c>
      <c r="H13" s="34" t="s">
        <v>21</v>
      </c>
      <c r="P13" s="15"/>
      <c r="Q13" s="15"/>
      <c r="R13" s="15"/>
    </row>
    <row r="14" spans="1:19">
      <c r="A14" s="35">
        <v>500000</v>
      </c>
      <c r="C14" s="35">
        <v>4000</v>
      </c>
      <c r="E14" s="214">
        <v>0</v>
      </c>
      <c r="G14" s="169" t="s">
        <v>37</v>
      </c>
      <c r="H14" s="169" t="s">
        <v>92</v>
      </c>
      <c r="P14" s="15"/>
      <c r="Q14" s="15"/>
      <c r="R14" s="15"/>
    </row>
    <row r="15" spans="1:19" ht="13" thickBot="1">
      <c r="A15" s="35">
        <v>750000</v>
      </c>
      <c r="C15" s="35">
        <v>4500</v>
      </c>
      <c r="E15" s="36">
        <v>0.05</v>
      </c>
      <c r="G15" s="170" t="s">
        <v>36</v>
      </c>
      <c r="H15" s="170" t="s">
        <v>93</v>
      </c>
      <c r="P15" s="15"/>
      <c r="Q15" s="15"/>
      <c r="R15" s="15"/>
    </row>
    <row r="16" spans="1:19" ht="13" thickTop="1">
      <c r="A16" s="35">
        <v>1000000</v>
      </c>
      <c r="C16" s="35">
        <v>5000</v>
      </c>
      <c r="E16" s="36">
        <v>0.1</v>
      </c>
      <c r="G16"/>
      <c r="H16"/>
      <c r="N16" s="15"/>
      <c r="P16" s="15"/>
      <c r="Q16" s="15"/>
      <c r="R16" s="15"/>
    </row>
    <row r="17" spans="1:9">
      <c r="A17" s="35">
        <f>+A16+1000000</f>
        <v>2000000</v>
      </c>
      <c r="C17" s="35">
        <v>6000</v>
      </c>
      <c r="E17" s="36">
        <v>0.15</v>
      </c>
    </row>
    <row r="18" spans="1:9">
      <c r="A18" s="35">
        <f t="shared" ref="A18:A24" si="0">+A17+1000000</f>
        <v>3000000</v>
      </c>
      <c r="C18" s="35">
        <v>7000</v>
      </c>
      <c r="E18" s="36">
        <v>0.2</v>
      </c>
    </row>
    <row r="19" spans="1:9">
      <c r="A19" s="35">
        <f t="shared" si="0"/>
        <v>4000000</v>
      </c>
      <c r="C19" s="35">
        <v>8000</v>
      </c>
      <c r="E19" s="36">
        <v>0.25</v>
      </c>
    </row>
    <row r="20" spans="1:9">
      <c r="A20" s="35">
        <f t="shared" si="0"/>
        <v>5000000</v>
      </c>
      <c r="C20" s="35">
        <v>9000</v>
      </c>
      <c r="E20" s="36">
        <v>0.3</v>
      </c>
    </row>
    <row r="21" spans="1:9">
      <c r="A21" s="35">
        <f t="shared" si="0"/>
        <v>6000000</v>
      </c>
      <c r="C21" s="35">
        <v>10000</v>
      </c>
      <c r="E21" s="36">
        <v>0.35</v>
      </c>
    </row>
    <row r="22" spans="1:9" ht="13" thickBot="1">
      <c r="A22" s="35">
        <f t="shared" si="0"/>
        <v>7000000</v>
      </c>
      <c r="C22" s="35">
        <v>20000</v>
      </c>
      <c r="E22" s="37">
        <v>0.4</v>
      </c>
    </row>
    <row r="23" spans="1:9" ht="13.5" thickTop="1" thickBot="1">
      <c r="A23" s="35">
        <f t="shared" si="0"/>
        <v>8000000</v>
      </c>
      <c r="C23" s="38">
        <v>50000</v>
      </c>
    </row>
    <row r="24" spans="1:9" ht="13.5" thickTop="1" thickBot="1">
      <c r="A24" s="38">
        <f t="shared" si="0"/>
        <v>9000000</v>
      </c>
    </row>
    <row r="25" spans="1:9" ht="13" thickTop="1"/>
    <row r="26" spans="1:9">
      <c r="A26" s="17"/>
    </row>
    <row r="27" spans="1:9">
      <c r="A27" s="17"/>
    </row>
    <row r="28" spans="1:9">
      <c r="A28" s="17"/>
      <c r="C28" s="17"/>
    </row>
    <row r="29" spans="1:9" ht="13" thickBot="1"/>
    <row r="30" spans="1:9" ht="13" thickTop="1">
      <c r="A30" s="34" t="s">
        <v>24</v>
      </c>
      <c r="B30" s="39" t="s">
        <v>26</v>
      </c>
      <c r="C30" s="29"/>
      <c r="D30" s="29"/>
      <c r="E30" s="29"/>
      <c r="F30" s="29"/>
      <c r="G30" s="29"/>
      <c r="H30" s="29"/>
      <c r="I30" s="30"/>
    </row>
    <row r="31" spans="1:9">
      <c r="A31" s="122" t="s">
        <v>37</v>
      </c>
      <c r="B31" s="119" t="s">
        <v>49</v>
      </c>
      <c r="C31" s="5"/>
      <c r="D31" s="5"/>
      <c r="E31" s="5"/>
      <c r="F31" s="5"/>
      <c r="G31" s="5"/>
      <c r="H31" s="5"/>
      <c r="I31" s="31"/>
    </row>
    <row r="32" spans="1:9">
      <c r="A32" s="123" t="s">
        <v>48</v>
      </c>
      <c r="B32" s="119" t="s">
        <v>50</v>
      </c>
      <c r="C32" s="5"/>
      <c r="D32" s="5"/>
      <c r="E32" s="5"/>
      <c r="F32" s="5"/>
      <c r="G32" s="5"/>
      <c r="H32" s="5"/>
      <c r="I32" s="31"/>
    </row>
    <row r="33" spans="1:9" ht="13" thickBot="1">
      <c r="A33" s="124" t="s">
        <v>35</v>
      </c>
      <c r="B33" s="120" t="s">
        <v>51</v>
      </c>
      <c r="C33" s="32"/>
      <c r="D33" s="32"/>
      <c r="E33" s="32"/>
      <c r="F33" s="32"/>
      <c r="G33" s="32"/>
      <c r="H33" s="32"/>
      <c r="I33" s="33"/>
    </row>
    <row r="34" spans="1:9" ht="13.5" thickTop="1" thickBot="1">
      <c r="A34" s="5"/>
    </row>
    <row r="35" spans="1:9" ht="13" thickTop="1">
      <c r="A35" s="39" t="s">
        <v>27</v>
      </c>
      <c r="B35" s="29"/>
      <c r="C35" s="29"/>
      <c r="D35" s="29"/>
      <c r="E35" s="29"/>
      <c r="F35" s="29"/>
      <c r="G35" s="29"/>
      <c r="H35" s="30"/>
    </row>
    <row r="36" spans="1:9">
      <c r="A36" s="40" t="s">
        <v>28</v>
      </c>
      <c r="B36" s="5"/>
      <c r="C36" s="5"/>
      <c r="D36" s="5"/>
      <c r="E36" s="5"/>
      <c r="F36" s="5"/>
      <c r="G36" s="5"/>
      <c r="H36" s="31"/>
    </row>
    <row r="37" spans="1:9">
      <c r="A37" s="40" t="s">
        <v>29</v>
      </c>
      <c r="B37" s="5"/>
      <c r="C37" s="5"/>
      <c r="D37" s="5"/>
      <c r="E37" s="5"/>
      <c r="F37" s="5"/>
      <c r="G37" s="5"/>
      <c r="H37" s="31"/>
    </row>
    <row r="38" spans="1:9" ht="13" thickBot="1">
      <c r="A38" s="41" t="s">
        <v>30</v>
      </c>
      <c r="B38" s="32"/>
      <c r="C38" s="32"/>
      <c r="D38" s="32"/>
      <c r="E38" s="32"/>
      <c r="F38" s="32"/>
      <c r="G38" s="32"/>
      <c r="H38" s="33"/>
    </row>
    <row r="39" spans="1:9" ht="13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C15" sqref="C15"/>
    </sheetView>
  </sheetViews>
  <sheetFormatPr baseColWidth="10" defaultColWidth="11.453125" defaultRowHeight="10"/>
  <cols>
    <col min="1" max="1" width="3.453125" style="126" customWidth="1"/>
    <col min="2" max="2" width="3.453125" style="144" customWidth="1"/>
    <col min="3" max="6" width="11.453125" style="126"/>
    <col min="7" max="7" width="23.81640625" style="126" customWidth="1"/>
    <col min="8" max="8" width="11.453125" style="126"/>
    <col min="9" max="9" width="6.81640625" style="126" customWidth="1"/>
    <col min="10" max="10" width="14.1796875" style="126" bestFit="1" customWidth="1"/>
    <col min="11" max="16384" width="11.453125" style="126"/>
  </cols>
  <sheetData>
    <row r="1" spans="2:10">
      <c r="B1" s="127"/>
      <c r="C1" s="127"/>
      <c r="D1" s="127"/>
      <c r="E1" s="127"/>
      <c r="F1" s="127"/>
      <c r="G1" s="127"/>
      <c r="H1" s="127"/>
      <c r="I1" s="127"/>
      <c r="J1" s="127"/>
    </row>
    <row r="2" spans="2:10">
      <c r="B2" s="127"/>
      <c r="C2" s="127"/>
      <c r="D2" s="127"/>
      <c r="E2" s="127"/>
      <c r="F2" s="127"/>
      <c r="G2" s="127"/>
      <c r="H2" s="127"/>
      <c r="I2" s="127"/>
      <c r="J2" s="127"/>
    </row>
    <row r="3" spans="2:10">
      <c r="B3" s="127"/>
      <c r="C3" s="127"/>
      <c r="D3" s="127"/>
      <c r="E3" s="127"/>
      <c r="F3" s="127"/>
      <c r="G3" s="127"/>
      <c r="H3" s="127"/>
      <c r="I3" s="127"/>
      <c r="J3" s="128"/>
    </row>
    <row r="4" spans="2:10">
      <c r="B4" s="127"/>
      <c r="C4" s="127"/>
      <c r="D4" s="127"/>
      <c r="E4" s="127"/>
      <c r="F4" s="127"/>
      <c r="G4" s="127"/>
      <c r="H4" s="127"/>
      <c r="I4" s="127"/>
      <c r="J4" s="127"/>
    </row>
    <row r="5" spans="2:10">
      <c r="B5" s="127"/>
      <c r="C5" s="127"/>
      <c r="D5" s="127"/>
      <c r="E5" s="127"/>
      <c r="F5" s="127"/>
      <c r="G5" s="127"/>
      <c r="H5" s="127"/>
      <c r="I5" s="127"/>
      <c r="J5" s="127"/>
    </row>
    <row r="6" spans="2:10">
      <c r="B6" s="127"/>
      <c r="C6" s="127"/>
      <c r="D6" s="127"/>
      <c r="E6" s="127"/>
      <c r="F6" s="127"/>
      <c r="G6" s="127"/>
      <c r="H6" s="127"/>
      <c r="I6" s="127"/>
      <c r="J6" s="127"/>
    </row>
    <row r="7" spans="2:10">
      <c r="B7" s="127"/>
      <c r="C7" s="127"/>
      <c r="D7" s="127"/>
      <c r="E7" s="127"/>
      <c r="F7" s="127"/>
      <c r="G7" s="127"/>
      <c r="H7" s="127"/>
      <c r="I7" s="127"/>
      <c r="J7" s="127"/>
    </row>
    <row r="8" spans="2:10">
      <c r="B8" s="127"/>
      <c r="C8" s="127"/>
      <c r="D8" s="127"/>
      <c r="E8" s="127"/>
      <c r="F8" s="127"/>
      <c r="G8" s="127"/>
      <c r="H8" s="127"/>
      <c r="I8" s="127"/>
      <c r="J8" s="127"/>
    </row>
    <row r="9" spans="2:10" ht="12.5">
      <c r="B9" s="127"/>
      <c r="C9" s="751"/>
      <c r="D9" s="751"/>
      <c r="E9" s="751"/>
      <c r="F9" s="751"/>
      <c r="G9" s="751"/>
      <c r="H9" s="751"/>
      <c r="I9" s="751"/>
      <c r="J9" s="751"/>
    </row>
    <row r="10" spans="2:10">
      <c r="B10" s="127"/>
      <c r="C10" s="129"/>
      <c r="D10" s="129"/>
      <c r="E10" s="130"/>
      <c r="F10" s="130"/>
      <c r="G10" s="127"/>
      <c r="H10" s="127"/>
      <c r="I10" s="127"/>
      <c r="J10" s="131">
        <f ca="1">TODAY()</f>
        <v>44991</v>
      </c>
    </row>
    <row r="11" spans="2:10">
      <c r="B11" s="127"/>
      <c r="C11" s="129"/>
      <c r="D11" s="129"/>
      <c r="E11" s="130"/>
      <c r="F11" s="130"/>
      <c r="G11" s="127"/>
      <c r="H11" s="127"/>
      <c r="I11" s="127"/>
      <c r="J11" s="127"/>
    </row>
    <row r="12" spans="2:10">
      <c r="B12" s="127"/>
      <c r="C12" s="132"/>
      <c r="D12" s="129"/>
      <c r="E12" s="133"/>
      <c r="F12" s="129"/>
      <c r="G12" s="127"/>
      <c r="H12" s="127"/>
      <c r="I12" s="134" t="s">
        <v>10</v>
      </c>
      <c r="J12" s="135">
        <f>TITULAR!E3</f>
        <v>5</v>
      </c>
    </row>
    <row r="13" spans="2:10">
      <c r="B13" s="127"/>
      <c r="C13" s="132"/>
      <c r="D13" s="136"/>
      <c r="E13" s="136"/>
      <c r="F13" s="136"/>
      <c r="G13" s="127"/>
      <c r="H13" s="127"/>
      <c r="I13" s="127"/>
      <c r="J13" s="127"/>
    </row>
    <row r="14" spans="2:10" ht="12.75" customHeight="1">
      <c r="B14" s="752" t="s">
        <v>53</v>
      </c>
      <c r="C14" s="753"/>
      <c r="D14" s="753"/>
      <c r="E14" s="753"/>
      <c r="F14" s="753"/>
      <c r="G14" s="753"/>
      <c r="H14" s="753"/>
      <c r="I14" s="753"/>
      <c r="J14" s="754"/>
    </row>
    <row r="15" spans="2:10">
      <c r="B15" s="127" t="s">
        <v>54</v>
      </c>
      <c r="C15" s="132" t="s">
        <v>108</v>
      </c>
      <c r="D15" s="136"/>
      <c r="E15" s="136"/>
      <c r="F15" s="136"/>
      <c r="G15" s="127"/>
      <c r="H15" s="127" t="s">
        <v>114</v>
      </c>
      <c r="I15" s="127"/>
      <c r="J15" s="127"/>
    </row>
    <row r="16" spans="2:10">
      <c r="B16" s="127"/>
      <c r="C16" s="132"/>
      <c r="D16" s="136"/>
      <c r="E16" s="136"/>
      <c r="F16" s="136"/>
      <c r="G16" s="127"/>
      <c r="H16" s="127"/>
      <c r="I16" s="127"/>
      <c r="J16" s="127"/>
    </row>
    <row r="17" spans="2:10">
      <c r="B17" s="137" t="s">
        <v>54</v>
      </c>
      <c r="C17" s="138" t="s">
        <v>55</v>
      </c>
      <c r="D17" s="136"/>
      <c r="E17" s="136"/>
      <c r="F17" s="136"/>
      <c r="G17" s="127"/>
      <c r="H17" s="196">
        <f>+TITULAR!E5</f>
        <v>100000000</v>
      </c>
      <c r="I17" s="127" t="str">
        <f>IF(H17&lt;&gt;"SIN LÍMITE","M.N.","")</f>
        <v>M.N.</v>
      </c>
      <c r="J17" s="127"/>
    </row>
    <row r="18" spans="2:10">
      <c r="B18" s="127"/>
      <c r="C18" s="127"/>
      <c r="D18" s="136"/>
      <c r="E18" s="136"/>
      <c r="F18" s="136"/>
      <c r="G18" s="127"/>
      <c r="H18" s="139"/>
      <c r="I18" s="127"/>
      <c r="J18" s="127"/>
    </row>
    <row r="19" spans="2:10">
      <c r="B19" s="137" t="s">
        <v>54</v>
      </c>
      <c r="C19" s="138" t="s">
        <v>57</v>
      </c>
      <c r="D19" s="136"/>
      <c r="E19" s="136"/>
      <c r="F19" s="132" t="s">
        <v>58</v>
      </c>
      <c r="G19" s="127"/>
      <c r="H19" s="139">
        <f>+TITULAR!E6</f>
        <v>12000</v>
      </c>
      <c r="I19" s="127" t="s">
        <v>56</v>
      </c>
      <c r="J19" s="127"/>
    </row>
    <row r="20" spans="2:10">
      <c r="B20" s="127"/>
      <c r="C20" s="127"/>
      <c r="D20" s="136"/>
      <c r="E20" s="136"/>
      <c r="F20" s="132" t="s">
        <v>59</v>
      </c>
      <c r="G20" s="127"/>
      <c r="H20" s="139">
        <v>0</v>
      </c>
      <c r="I20" s="127" t="s">
        <v>56</v>
      </c>
      <c r="J20" s="127"/>
    </row>
    <row r="21" spans="2:10">
      <c r="B21" s="127"/>
      <c r="C21" s="127"/>
      <c r="D21" s="136"/>
      <c r="E21" s="136"/>
      <c r="F21" s="136"/>
      <c r="G21" s="127"/>
      <c r="H21" s="127"/>
      <c r="I21" s="127"/>
      <c r="J21" s="127"/>
    </row>
    <row r="22" spans="2:10">
      <c r="B22" s="137" t="s">
        <v>54</v>
      </c>
      <c r="C22" s="138" t="s">
        <v>60</v>
      </c>
      <c r="D22" s="136"/>
      <c r="E22" s="136"/>
      <c r="F22" s="132" t="s">
        <v>58</v>
      </c>
      <c r="G22" s="127"/>
      <c r="H22" s="140">
        <f>+TITULAR!E8</f>
        <v>0.1</v>
      </c>
      <c r="I22" s="127">
        <f>+COTIZACION!S26</f>
        <v>0</v>
      </c>
      <c r="J22" s="127"/>
    </row>
    <row r="23" spans="2:10">
      <c r="B23" s="127"/>
      <c r="C23" s="138"/>
      <c r="D23" s="129"/>
      <c r="E23" s="129"/>
      <c r="F23" s="132" t="s">
        <v>59</v>
      </c>
      <c r="G23" s="127"/>
      <c r="H23" s="140">
        <v>0</v>
      </c>
      <c r="I23" s="127"/>
      <c r="J23" s="127"/>
    </row>
    <row r="24" spans="2:10">
      <c r="B24" s="127"/>
      <c r="C24" s="138"/>
      <c r="D24" s="129"/>
      <c r="E24" s="129"/>
      <c r="F24" s="132"/>
      <c r="G24" s="127"/>
      <c r="H24" s="140"/>
      <c r="I24" s="127"/>
      <c r="J24" s="127"/>
    </row>
    <row r="25" spans="2:10">
      <c r="B25" s="138">
        <f>+COTIZACION!L29</f>
        <v>0</v>
      </c>
      <c r="C25" s="138">
        <f>+COTIZACION!M29</f>
        <v>0</v>
      </c>
      <c r="D25" s="129"/>
      <c r="E25" s="129"/>
      <c r="F25" s="132"/>
      <c r="G25" s="127"/>
      <c r="H25" s="140">
        <f>+TITULAR!E9</f>
        <v>0</v>
      </c>
      <c r="I25" s="127"/>
      <c r="J25" s="127"/>
    </row>
    <row r="26" spans="2:10">
      <c r="B26" s="138">
        <f>+COTIZACION!L30</f>
        <v>0</v>
      </c>
      <c r="C26" s="138">
        <f>+COTIZACION!M30</f>
        <v>0</v>
      </c>
      <c r="D26" s="141"/>
      <c r="E26" s="141"/>
      <c r="F26" s="127"/>
      <c r="G26" s="127"/>
      <c r="H26" s="188">
        <f>+COTIZACION!R30</f>
        <v>0</v>
      </c>
      <c r="I26" s="201">
        <f>+COTIZACION!S30</f>
        <v>0</v>
      </c>
      <c r="J26" s="127"/>
    </row>
    <row r="27" spans="2:10" hidden="1">
      <c r="B27" s="138"/>
      <c r="C27" s="138"/>
      <c r="D27" s="142"/>
      <c r="E27" s="143"/>
      <c r="F27" s="138"/>
      <c r="G27" s="127"/>
      <c r="H27" s="188"/>
      <c r="I27" s="188"/>
      <c r="J27" s="127"/>
    </row>
    <row r="28" spans="2:10" hidden="1">
      <c r="B28" s="138"/>
      <c r="C28" s="138"/>
      <c r="D28" s="142"/>
      <c r="E28" s="143"/>
      <c r="F28" s="138"/>
      <c r="G28" s="127"/>
      <c r="H28" s="188"/>
      <c r="I28" s="188"/>
      <c r="J28" s="127"/>
    </row>
    <row r="29" spans="2:10">
      <c r="B29" s="138">
        <f>+COTIZACION!L33</f>
        <v>0</v>
      </c>
      <c r="C29" s="138">
        <f>+COTIZACION!M33</f>
        <v>0</v>
      </c>
      <c r="D29" s="142"/>
      <c r="E29" s="143"/>
      <c r="F29" s="138"/>
      <c r="G29" s="127"/>
      <c r="H29" s="201">
        <f>+COTIZACION!R33</f>
        <v>0</v>
      </c>
      <c r="I29" s="188"/>
      <c r="J29" s="127"/>
    </row>
    <row r="30" spans="2:10">
      <c r="B30" s="138">
        <f>+COTIZACION!L34</f>
        <v>0</v>
      </c>
      <c r="C30" s="138">
        <f>+COTIZACION!M34</f>
        <v>0</v>
      </c>
      <c r="D30" s="142"/>
      <c r="E30" s="143"/>
      <c r="F30" s="138"/>
      <c r="G30" s="127"/>
      <c r="H30" s="201">
        <f>+COTIZACION!R34</f>
        <v>0</v>
      </c>
      <c r="I30" s="188"/>
      <c r="J30" s="127"/>
    </row>
    <row r="31" spans="2:10">
      <c r="B31" s="138">
        <f>+COTIZACION!L35</f>
        <v>0</v>
      </c>
      <c r="C31" s="138">
        <f>+COTIZACION!M35</f>
        <v>0</v>
      </c>
      <c r="D31" s="142"/>
      <c r="E31" s="143"/>
      <c r="F31" s="138"/>
      <c r="G31" s="127"/>
      <c r="H31" s="201">
        <f>+COTIZACION!R35</f>
        <v>0</v>
      </c>
      <c r="I31" s="188"/>
      <c r="J31" s="127"/>
    </row>
    <row r="32" spans="2:10">
      <c r="B32" s="138">
        <f>+COTIZACION!L36</f>
        <v>0</v>
      </c>
      <c r="C32" s="138">
        <f>+COTIZACION!M36</f>
        <v>0</v>
      </c>
      <c r="D32" s="142"/>
      <c r="E32" s="143"/>
      <c r="F32" s="138"/>
      <c r="G32" s="127"/>
      <c r="H32" s="201">
        <f>+COTIZACION!R36</f>
        <v>0</v>
      </c>
      <c r="I32" s="188"/>
      <c r="J32" s="127"/>
    </row>
    <row r="33" spans="2:10">
      <c r="B33" s="138">
        <f>+COTIZACION!L37</f>
        <v>0</v>
      </c>
      <c r="C33" s="138">
        <f>+COTIZACION!M37</f>
        <v>0</v>
      </c>
      <c r="D33" s="142"/>
      <c r="E33" s="143"/>
      <c r="F33" s="138"/>
      <c r="G33" s="127"/>
      <c r="H33" s="201"/>
      <c r="I33" s="188"/>
      <c r="J33" s="127"/>
    </row>
    <row r="34" spans="2:10">
      <c r="B34" s="138"/>
      <c r="C34" s="138">
        <f>+COTIZACION!M38</f>
        <v>0</v>
      </c>
      <c r="D34" s="142"/>
      <c r="E34" s="143"/>
      <c r="F34" s="138"/>
      <c r="G34" s="127"/>
      <c r="H34" s="235">
        <f>+COTIZACION!R38</f>
        <v>0</v>
      </c>
      <c r="I34" s="188"/>
      <c r="J34" s="127"/>
    </row>
    <row r="35" spans="2:10">
      <c r="B35" s="138">
        <f>+COTIZACION!L39</f>
        <v>0</v>
      </c>
      <c r="C35" s="138">
        <f>+COTIZACION!M39</f>
        <v>0</v>
      </c>
      <c r="D35" s="142"/>
      <c r="E35" s="143"/>
      <c r="F35" s="138"/>
      <c r="G35" s="127"/>
      <c r="H35" s="235">
        <f>+COTIZACION!R39</f>
        <v>0</v>
      </c>
      <c r="I35" s="188"/>
      <c r="J35" s="127"/>
    </row>
    <row r="36" spans="2:10">
      <c r="B36" s="138">
        <f>+COTIZACION!L40</f>
        <v>0</v>
      </c>
      <c r="C36" s="138">
        <f>+COTIZACION!M40</f>
        <v>0</v>
      </c>
      <c r="D36" s="142"/>
      <c r="E36" s="143"/>
      <c r="F36" s="138"/>
      <c r="G36" s="127"/>
      <c r="H36" s="201">
        <f>+COTIZACION!R40</f>
        <v>0</v>
      </c>
      <c r="I36" s="188"/>
      <c r="J36" s="127"/>
    </row>
    <row r="37" spans="2:10">
      <c r="B37" s="138">
        <f>+COTIZACION!L41</f>
        <v>0</v>
      </c>
      <c r="C37" s="138">
        <f>+COTIZACION!M41</f>
        <v>0</v>
      </c>
      <c r="D37" s="142"/>
      <c r="E37" s="143"/>
      <c r="F37" s="138"/>
      <c r="G37" s="127"/>
      <c r="H37" s="201">
        <f>+COTIZACION!R41</f>
        <v>0</v>
      </c>
      <c r="I37" s="188"/>
      <c r="J37" s="127"/>
    </row>
    <row r="38" spans="2:10">
      <c r="B38" s="138">
        <f>+COTIZACION!L42</f>
        <v>0</v>
      </c>
      <c r="C38" s="138">
        <f>+COTIZACION!M42</f>
        <v>0</v>
      </c>
      <c r="D38" s="142"/>
      <c r="E38" s="143"/>
      <c r="F38" s="138"/>
      <c r="G38" s="127"/>
      <c r="H38" s="201">
        <f>+COTIZACION!R42</f>
        <v>0</v>
      </c>
      <c r="I38" s="188"/>
      <c r="J38" s="127"/>
    </row>
    <row r="39" spans="2:10">
      <c r="B39" s="138">
        <f>+COTIZACION!L43</f>
        <v>0</v>
      </c>
      <c r="C39" s="138">
        <f>+COTIZACION!M43</f>
        <v>0</v>
      </c>
      <c r="D39" s="142"/>
      <c r="E39" s="143"/>
      <c r="F39" s="138"/>
      <c r="G39" s="127"/>
      <c r="H39" s="201">
        <f>+COTIZACION!R43</f>
        <v>0</v>
      </c>
      <c r="I39" s="188"/>
      <c r="J39" s="127"/>
    </row>
    <row r="40" spans="2:10">
      <c r="B40" s="138">
        <f>+COTIZACION!L44</f>
        <v>0</v>
      </c>
      <c r="C40" s="138">
        <f>+COTIZACION!M44</f>
        <v>0</v>
      </c>
      <c r="D40" s="142"/>
      <c r="E40" s="143"/>
      <c r="F40" s="138"/>
      <c r="G40" s="127"/>
      <c r="H40" s="201">
        <f>+COTIZACION!R44</f>
        <v>0</v>
      </c>
      <c r="I40" s="188"/>
      <c r="J40" s="127"/>
    </row>
    <row r="41" spans="2:10">
      <c r="B41" s="138">
        <f>+COTIZACION!L45</f>
        <v>0</v>
      </c>
      <c r="C41" s="138">
        <f>+COTIZACION!M45</f>
        <v>0</v>
      </c>
      <c r="D41" s="142"/>
      <c r="E41" s="143"/>
      <c r="F41" s="138"/>
      <c r="G41" s="127"/>
      <c r="H41" s="201"/>
      <c r="I41" s="188"/>
      <c r="J41" s="127"/>
    </row>
    <row r="42" spans="2:10">
      <c r="B42" s="138"/>
      <c r="C42" s="138">
        <f>+COTIZACION!M46</f>
        <v>0</v>
      </c>
      <c r="D42" s="142"/>
      <c r="E42" s="143"/>
      <c r="F42" s="138"/>
      <c r="G42" s="127"/>
      <c r="H42" s="201">
        <f>FACTORES!D37</f>
        <v>15000</v>
      </c>
      <c r="I42" s="188"/>
      <c r="J42" s="127"/>
    </row>
    <row r="43" spans="2:10">
      <c r="B43" s="138">
        <f>+COTIZACION!L47</f>
        <v>0</v>
      </c>
      <c r="C43" s="138">
        <f>+COTIZACION!M47</f>
        <v>0</v>
      </c>
      <c r="D43" s="142"/>
      <c r="E43" s="143"/>
      <c r="F43" s="138"/>
      <c r="G43" s="127"/>
      <c r="H43" s="201"/>
      <c r="I43" s="188"/>
      <c r="J43" s="127"/>
    </row>
    <row r="44" spans="2:10">
      <c r="B44" s="138"/>
      <c r="C44" s="138">
        <f>+COTIZACION!M48</f>
        <v>0</v>
      </c>
      <c r="D44" s="142"/>
      <c r="E44" s="143"/>
      <c r="F44" s="138"/>
      <c r="G44" s="127"/>
      <c r="H44" s="202">
        <f>+COTIZACION!R48</f>
        <v>0</v>
      </c>
      <c r="I44" s="188"/>
      <c r="J44" s="127"/>
    </row>
    <row r="45" spans="2:10">
      <c r="B45" s="138">
        <f>+COTIZACION!L49</f>
        <v>0</v>
      </c>
      <c r="C45" s="138">
        <f>+COTIZACION!M49</f>
        <v>0</v>
      </c>
      <c r="D45" s="142"/>
      <c r="E45" s="143"/>
      <c r="F45" s="138"/>
      <c r="G45" s="127"/>
      <c r="H45" s="201"/>
      <c r="I45" s="188"/>
      <c r="J45" s="127"/>
    </row>
    <row r="46" spans="2:10">
      <c r="B46" s="138"/>
      <c r="C46" s="138">
        <f>+COTIZACION!M50</f>
        <v>0</v>
      </c>
      <c r="D46" s="142"/>
      <c r="E46" s="143"/>
      <c r="F46" s="138"/>
      <c r="G46" s="127"/>
      <c r="H46" s="202">
        <f>+COTIZACION!R50</f>
        <v>0</v>
      </c>
      <c r="I46" s="188"/>
      <c r="J46" s="127"/>
    </row>
    <row r="47" spans="2:10">
      <c r="B47" s="138">
        <f>+COTIZACION!L51</f>
        <v>0</v>
      </c>
      <c r="C47" s="138">
        <f>+COTIZACION!M51</f>
        <v>0</v>
      </c>
      <c r="D47" s="142"/>
      <c r="E47" s="143"/>
      <c r="F47" s="138"/>
      <c r="G47" s="127"/>
      <c r="H47" s="202">
        <f>+COTIZACION!R51</f>
        <v>0</v>
      </c>
      <c r="I47" s="188"/>
      <c r="J47" s="127"/>
    </row>
    <row r="48" spans="2:10">
      <c r="B48" s="138"/>
      <c r="C48" s="138">
        <f>+COTIZACION!M52</f>
        <v>0</v>
      </c>
      <c r="D48" s="142"/>
      <c r="E48" s="143"/>
      <c r="F48" s="138"/>
      <c r="G48" s="127"/>
      <c r="H48" s="201"/>
      <c r="I48" s="188"/>
      <c r="J48" s="127"/>
    </row>
    <row r="49" spans="2:10">
      <c r="B49" s="138">
        <f>+COTIZACION!L53</f>
        <v>0</v>
      </c>
      <c r="C49" s="138">
        <f>+COTIZACION!M53</f>
        <v>0</v>
      </c>
      <c r="D49" s="142"/>
      <c r="E49" s="143"/>
      <c r="F49" s="138"/>
      <c r="G49" s="127"/>
      <c r="H49" s="202">
        <f>+COTIZACION!R53</f>
        <v>0</v>
      </c>
      <c r="I49" s="188"/>
      <c r="J49" s="127"/>
    </row>
    <row r="50" spans="2:10">
      <c r="B50" s="138">
        <f>+COTIZACION!L54</f>
        <v>0</v>
      </c>
      <c r="C50" s="138">
        <f>+COTIZACION!M54</f>
        <v>0</v>
      </c>
      <c r="D50" s="142"/>
      <c r="E50" s="143"/>
      <c r="F50" s="138"/>
      <c r="G50" s="127"/>
      <c r="H50" s="138"/>
      <c r="I50" s="188"/>
      <c r="J50" s="127"/>
    </row>
    <row r="51" spans="2:10">
      <c r="B51" s="138"/>
      <c r="C51" s="138">
        <f>+COTIZACION!M55</f>
        <v>0</v>
      </c>
      <c r="D51" s="138"/>
      <c r="E51" s="138"/>
      <c r="F51" s="138"/>
      <c r="G51" s="138"/>
      <c r="H51" s="138"/>
      <c r="I51" s="188"/>
      <c r="J51" s="127"/>
    </row>
    <row r="52" spans="2:10">
      <c r="B52" s="138"/>
      <c r="C52" s="138">
        <f>+COTIZACION!M56</f>
        <v>0</v>
      </c>
      <c r="D52" s="138"/>
      <c r="E52" s="138"/>
      <c r="F52" s="138"/>
      <c r="G52" s="138"/>
      <c r="H52" s="138"/>
      <c r="I52" s="188"/>
      <c r="J52" s="127"/>
    </row>
    <row r="53" spans="2:10">
      <c r="B53" s="138"/>
      <c r="C53" s="138">
        <f>+COTIZACION!M57</f>
        <v>0</v>
      </c>
      <c r="D53" s="138"/>
      <c r="E53" s="138"/>
      <c r="F53" s="138"/>
      <c r="G53" s="138"/>
      <c r="H53" s="138"/>
      <c r="I53" s="188"/>
      <c r="J53" s="127"/>
    </row>
    <row r="54" spans="2:10">
      <c r="B54" s="138"/>
      <c r="C54" s="138">
        <f>+COTIZACION!M58</f>
        <v>0</v>
      </c>
      <c r="D54" s="138"/>
      <c r="E54" s="138"/>
      <c r="F54" s="138"/>
      <c r="G54" s="138"/>
      <c r="H54" s="138">
        <f>+COTIZACION!R58</f>
        <v>0</v>
      </c>
      <c r="I54" s="188"/>
      <c r="J54" s="127"/>
    </row>
    <row r="55" spans="2:10">
      <c r="B55" s="138">
        <f>+COTIZACION!L59</f>
        <v>0</v>
      </c>
      <c r="C55" s="138">
        <f>+COTIZACION!M59</f>
        <v>0</v>
      </c>
      <c r="D55" s="138"/>
      <c r="E55" s="138"/>
      <c r="F55" s="138"/>
      <c r="G55" s="138"/>
      <c r="H55" s="138">
        <f>+COTIZACION!R59</f>
        <v>0</v>
      </c>
      <c r="I55" s="188"/>
      <c r="J55" s="127"/>
    </row>
    <row r="56" spans="2:10">
      <c r="B56" s="138">
        <f>+COTIZACION!L60</f>
        <v>0</v>
      </c>
      <c r="C56" s="138">
        <f>+COTIZACION!M60</f>
        <v>0</v>
      </c>
      <c r="D56" s="138"/>
      <c r="E56" s="138"/>
      <c r="F56" s="138"/>
      <c r="G56" s="138"/>
      <c r="H56" s="138"/>
      <c r="I56" s="188"/>
      <c r="J56" s="127"/>
    </row>
    <row r="57" spans="2:10">
      <c r="B57" s="138"/>
      <c r="C57" s="138">
        <f>+COTIZACION!M61</f>
        <v>0</v>
      </c>
      <c r="D57" s="138"/>
      <c r="E57" s="138"/>
      <c r="F57" s="138"/>
      <c r="G57" s="138"/>
      <c r="H57" s="138">
        <f>+COTIZACION!R61</f>
        <v>0</v>
      </c>
      <c r="I57" s="188"/>
      <c r="J57" s="127"/>
    </row>
    <row r="58" spans="2:10">
      <c r="B58" s="138">
        <f>+COTIZACION!L62</f>
        <v>0</v>
      </c>
      <c r="C58" s="138">
        <f>+COTIZACION!M62</f>
        <v>0</v>
      </c>
      <c r="D58" s="138"/>
      <c r="E58" s="138"/>
      <c r="F58" s="138"/>
      <c r="G58" s="138"/>
      <c r="H58" s="138">
        <f>+COTIZACION!R62</f>
        <v>0</v>
      </c>
      <c r="I58" s="188"/>
      <c r="J58" s="127"/>
    </row>
    <row r="59" spans="2:10">
      <c r="B59" s="138">
        <f>+COTIZACION!L63</f>
        <v>0</v>
      </c>
      <c r="C59" s="138">
        <f>+COTIZACION!M63</f>
        <v>0</v>
      </c>
      <c r="D59" s="138"/>
      <c r="E59" s="138"/>
      <c r="F59" s="138"/>
      <c r="G59" s="138"/>
      <c r="H59" s="138"/>
      <c r="I59" s="201"/>
      <c r="J59" s="127"/>
    </row>
    <row r="60" spans="2:10">
      <c r="B60" s="138"/>
      <c r="C60" s="138">
        <f>+COTIZACION!M64</f>
        <v>0</v>
      </c>
      <c r="D60" s="138"/>
      <c r="E60" s="138"/>
      <c r="F60" s="138"/>
      <c r="G60" s="138"/>
      <c r="H60" s="138">
        <f>+COTIZACION!R64</f>
        <v>0</v>
      </c>
      <c r="I60" s="188"/>
      <c r="J60" s="127"/>
    </row>
    <row r="61" spans="2:10">
      <c r="B61" s="138">
        <f>+COTIZACION!L65</f>
        <v>0</v>
      </c>
      <c r="C61" s="138">
        <f>+COTIZACION!M65</f>
        <v>0</v>
      </c>
      <c r="D61" s="138"/>
      <c r="E61" s="138"/>
      <c r="F61" s="138"/>
      <c r="G61" s="138"/>
      <c r="H61" s="138">
        <f>+COTIZACION!R65</f>
        <v>0</v>
      </c>
      <c r="I61" s="188"/>
      <c r="J61" s="127"/>
    </row>
    <row r="62" spans="2:10">
      <c r="B62" s="138">
        <f>+COTIZACION!L66</f>
        <v>0</v>
      </c>
      <c r="C62" s="138">
        <f>+COTIZACION!M66</f>
        <v>0</v>
      </c>
      <c r="D62" s="138"/>
      <c r="E62" s="138"/>
      <c r="F62" s="138"/>
      <c r="G62" s="138"/>
      <c r="H62" s="138">
        <f>+COTIZACION!R66</f>
        <v>0</v>
      </c>
      <c r="I62" s="188"/>
      <c r="J62" s="127"/>
    </row>
    <row r="63" spans="2:10">
      <c r="B63" s="138">
        <f>+COTIZACION!L67</f>
        <v>0</v>
      </c>
      <c r="C63" s="138">
        <f>+COTIZACION!M67</f>
        <v>0</v>
      </c>
      <c r="D63" s="138"/>
      <c r="E63" s="138"/>
      <c r="F63" s="138"/>
      <c r="G63" s="138"/>
      <c r="H63" s="138">
        <f>+COTIZACION!R67</f>
        <v>0</v>
      </c>
      <c r="I63" s="188"/>
      <c r="J63" s="127"/>
    </row>
    <row r="64" spans="2:10">
      <c r="B64" s="138">
        <f>+COTIZACION!L68</f>
        <v>0</v>
      </c>
      <c r="C64" s="138">
        <f>+COTIZACION!M68</f>
        <v>0</v>
      </c>
      <c r="D64" s="138"/>
      <c r="E64" s="138"/>
      <c r="F64" s="138"/>
      <c r="G64" s="138"/>
      <c r="H64" s="138">
        <f>+COTIZACION!R68</f>
        <v>0</v>
      </c>
      <c r="I64" s="188"/>
      <c r="J64" s="127"/>
    </row>
    <row r="65" spans="2:10">
      <c r="B65" s="138">
        <f>+COTIZACION!L69</f>
        <v>0</v>
      </c>
      <c r="C65" s="138">
        <f>+COTIZACION!M69</f>
        <v>0</v>
      </c>
      <c r="D65" s="138"/>
      <c r="E65" s="138"/>
      <c r="F65" s="138"/>
      <c r="G65" s="138"/>
      <c r="H65" s="138">
        <f>+COTIZACION!R69</f>
        <v>0</v>
      </c>
      <c r="I65" s="188"/>
      <c r="J65" s="127"/>
    </row>
    <row r="66" spans="2:10">
      <c r="B66" s="138">
        <f>+COTIZACION!L70</f>
        <v>0</v>
      </c>
      <c r="C66" s="138">
        <f>+COTIZACION!M70</f>
        <v>0</v>
      </c>
      <c r="H66" s="138">
        <f>+COTIZACION!R70</f>
        <v>0</v>
      </c>
    </row>
    <row r="67" spans="2:10">
      <c r="B67" s="138">
        <f>+COTIZACION!L71</f>
        <v>0</v>
      </c>
      <c r="C67" s="138">
        <f>+COTIZACION!M71</f>
        <v>0</v>
      </c>
      <c r="H67" s="138">
        <f>+COTIZACION!R71</f>
        <v>0</v>
      </c>
    </row>
    <row r="68" spans="2:10">
      <c r="B68" s="138">
        <f>+COTIZACION!L72</f>
        <v>0</v>
      </c>
      <c r="C68" s="138">
        <f>+COTIZACION!M72</f>
        <v>0</v>
      </c>
      <c r="H68" s="138">
        <f>+COTIZACION!R72</f>
        <v>0</v>
      </c>
    </row>
    <row r="69" spans="2:10">
      <c r="B69" s="138">
        <f>+COTIZACION!L73</f>
        <v>0</v>
      </c>
      <c r="C69" s="138">
        <f>+COTIZACION!M73</f>
        <v>0</v>
      </c>
      <c r="H69" s="138">
        <f>+COTIZACION!R73</f>
        <v>0</v>
      </c>
    </row>
    <row r="70" spans="2:10">
      <c r="B70" s="138">
        <f>+COTIZACION!L74</f>
        <v>0</v>
      </c>
      <c r="C70" s="138">
        <f>+COTIZACION!M74</f>
        <v>0</v>
      </c>
      <c r="H70" s="138">
        <f>+COTIZACION!R74</f>
        <v>0</v>
      </c>
    </row>
    <row r="71" spans="2:10">
      <c r="B71" s="236" t="s">
        <v>54</v>
      </c>
      <c r="C71" s="145" t="s">
        <v>132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107950</xdr:colOff>
                <xdr:row>3</xdr:row>
                <xdr:rowOff>50800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AL363"/>
  <sheetViews>
    <sheetView showGridLines="0" zoomScale="85" zoomScaleNormal="85" workbookViewId="0">
      <selection activeCell="D8" sqref="D8"/>
    </sheetView>
  </sheetViews>
  <sheetFormatPr baseColWidth="10" defaultColWidth="0" defaultRowHeight="10" zeroHeight="1"/>
  <cols>
    <col min="1" max="1" width="3.453125" style="246" customWidth="1"/>
    <col min="2" max="2" width="32.54296875" style="246" customWidth="1"/>
    <col min="3" max="3" width="37.453125" style="246" customWidth="1"/>
    <col min="4" max="4" width="23.81640625" style="246" bestFit="1" customWidth="1"/>
    <col min="5" max="5" width="14" style="246" customWidth="1"/>
    <col min="6" max="6" width="18" style="246" customWidth="1"/>
    <col min="7" max="8" width="15.1796875" style="246" customWidth="1"/>
    <col min="9" max="9" width="17.7265625" style="246" customWidth="1"/>
    <col min="10" max="10" width="14.26953125" style="246" customWidth="1"/>
    <col min="11" max="11" width="4.26953125" style="246" customWidth="1"/>
    <col min="12" max="12" width="7" style="247" bestFit="1" customWidth="1"/>
    <col min="13" max="13" width="12.54296875" style="246" customWidth="1"/>
    <col min="14" max="14" width="11.7265625" style="246" customWidth="1"/>
    <col min="15" max="15" width="13.453125" style="246" customWidth="1"/>
    <col min="16" max="16" width="11.453125" style="246" hidden="1" customWidth="1"/>
    <col min="17" max="17" width="8" style="246" hidden="1" customWidth="1"/>
    <col min="18" max="19" width="11.453125" style="246" hidden="1" customWidth="1"/>
    <col min="20" max="20" width="15.54296875" style="246" hidden="1" customWidth="1"/>
    <col min="21" max="21" width="13.54296875" style="246" hidden="1" customWidth="1"/>
    <col min="22" max="38" width="0" style="246" hidden="1" customWidth="1"/>
    <col min="39" max="16384" width="11.453125" style="246" hidden="1"/>
  </cols>
  <sheetData>
    <row r="1" spans="1:20" ht="3.75" customHeight="1"/>
    <row r="2" spans="1:20" ht="12.5">
      <c r="B2" s="758"/>
      <c r="C2" s="758"/>
    </row>
    <row r="3" spans="1:20" ht="12.5">
      <c r="B3" s="758"/>
      <c r="C3" s="758"/>
      <c r="D3" s="370"/>
    </row>
    <row r="4" spans="1:20" s="301" customFormat="1" ht="14.25" customHeight="1">
      <c r="A4" s="246"/>
      <c r="G4" s="535"/>
      <c r="H4" s="535"/>
      <c r="I4" s="535"/>
      <c r="L4" s="371"/>
      <c r="M4" s="371"/>
      <c r="Q4" s="371"/>
      <c r="R4" s="371"/>
      <c r="S4" s="371"/>
      <c r="T4" s="372"/>
    </row>
    <row r="5" spans="1:20" s="301" customFormat="1" ht="6" customHeight="1">
      <c r="E5" s="363"/>
      <c r="F5" s="363"/>
      <c r="G5" s="535"/>
      <c r="H5" s="535"/>
      <c r="I5" s="535"/>
      <c r="L5" s="371"/>
      <c r="M5" s="371"/>
      <c r="Q5" s="371"/>
      <c r="R5" s="371"/>
      <c r="S5" s="371"/>
      <c r="T5" s="371"/>
    </row>
    <row r="6" spans="1:20" s="301" customFormat="1" ht="7.5" customHeight="1" thickBot="1">
      <c r="B6" s="343"/>
      <c r="C6" s="343"/>
      <c r="G6" s="535"/>
      <c r="H6" s="535"/>
      <c r="I6" s="535"/>
      <c r="L6" s="371"/>
      <c r="M6" s="371"/>
      <c r="Q6" s="371"/>
      <c r="R6" s="371"/>
      <c r="S6" s="371"/>
      <c r="T6" s="371"/>
    </row>
    <row r="7" spans="1:20" s="301" customFormat="1" ht="21.75" customHeight="1" thickBot="1">
      <c r="B7" s="761" t="s">
        <v>298</v>
      </c>
      <c r="C7" s="762"/>
      <c r="D7" s="763"/>
      <c r="E7" s="364"/>
      <c r="F7" s="364"/>
      <c r="G7" s="535"/>
      <c r="H7" s="535"/>
      <c r="I7" s="535"/>
      <c r="L7" s="371"/>
      <c r="M7" s="371"/>
      <c r="Q7" s="371"/>
      <c r="R7" s="371"/>
      <c r="S7" s="371"/>
      <c r="T7" s="371"/>
    </row>
    <row r="8" spans="1:20" s="301" customFormat="1" ht="12.5">
      <c r="B8" s="496" t="s">
        <v>269</v>
      </c>
      <c r="C8" s="344"/>
      <c r="D8" s="538" t="s">
        <v>270</v>
      </c>
      <c r="E8" s="534" t="str">
        <f>+IF(AND(D8="NUEVA",D9="ANTES DEL 01/10/2016"),"NO ES VÁLIDA, RECONSIDERAR SU PRIMERA EMISIÓN",CONCATENATE("APLICA PARA AQUELLA PÓLIZA ",D8," CON PRIMER VIGENCIA EMITIDA ",D9))</f>
        <v>APLICA PARA AQUELLA PÓLIZA NUEVA  CON PRIMER VIGENCIA EMITIDA A PARTIR DEL 01/10/2016</v>
      </c>
      <c r="F8" s="364"/>
      <c r="G8" s="535"/>
      <c r="H8" s="535"/>
      <c r="I8" s="535"/>
      <c r="L8" s="371"/>
      <c r="M8" s="371"/>
      <c r="Q8" s="371"/>
      <c r="R8" s="371"/>
      <c r="S8" s="371"/>
      <c r="T8" s="371"/>
    </row>
    <row r="9" spans="1:20" s="301" customFormat="1" ht="12.5">
      <c r="B9" s="700" t="s">
        <v>296</v>
      </c>
      <c r="C9" s="344"/>
      <c r="D9" s="537" t="s">
        <v>316</v>
      </c>
      <c r="E9" s="534" t="str">
        <f>+IF(IFERROR(FACTORES!A37,"VALIDAR INICIO DE VIGENCIA")=0,"","VALIDAR INICIO DE VIGENCIA")</f>
        <v/>
      </c>
      <c r="F9" s="364"/>
      <c r="G9" s="535"/>
      <c r="H9" s="535"/>
      <c r="I9" s="535"/>
      <c r="L9" s="371"/>
      <c r="M9" s="371"/>
      <c r="Q9" s="371"/>
      <c r="R9" s="371"/>
      <c r="S9" s="371"/>
      <c r="T9" s="371"/>
    </row>
    <row r="10" spans="1:20" s="301" customFormat="1" ht="12.5">
      <c r="B10" s="345" t="s">
        <v>113</v>
      </c>
      <c r="C10" s="346"/>
      <c r="D10" s="538" t="s">
        <v>106</v>
      </c>
      <c r="E10" s="364"/>
      <c r="F10" s="364"/>
      <c r="G10" s="535"/>
      <c r="H10" s="535"/>
      <c r="I10" s="535"/>
      <c r="L10" s="371"/>
      <c r="M10" s="371"/>
      <c r="Q10" s="371"/>
      <c r="R10" s="371"/>
      <c r="S10" s="371"/>
      <c r="T10" s="371"/>
    </row>
    <row r="11" spans="1:20" s="301" customFormat="1" ht="14.25" customHeight="1">
      <c r="B11" s="345" t="s">
        <v>55</v>
      </c>
      <c r="D11" s="558">
        <v>100000000</v>
      </c>
      <c r="E11" s="363"/>
      <c r="F11" s="363"/>
      <c r="G11" s="535"/>
      <c r="H11" s="535"/>
      <c r="I11" s="535"/>
      <c r="L11" s="371"/>
      <c r="M11" s="371"/>
      <c r="Q11" s="371"/>
      <c r="R11" s="371"/>
      <c r="S11" s="371"/>
      <c r="T11" s="371"/>
    </row>
    <row r="12" spans="1:20" s="301" customFormat="1" ht="14.25" customHeight="1">
      <c r="B12" s="347" t="s">
        <v>57</v>
      </c>
      <c r="D12" s="559">
        <v>12000</v>
      </c>
      <c r="E12" s="534" t="str">
        <f>+IF(D8="NUEVA ",IF(D12&lt;10000,"Deducible no permitido para pólizas nuevas",""),"")</f>
        <v/>
      </c>
      <c r="F12" s="365"/>
      <c r="G12" s="535"/>
      <c r="H12" s="535"/>
      <c r="I12" s="535"/>
      <c r="L12" s="371"/>
      <c r="M12" s="374"/>
      <c r="N12" s="374"/>
      <c r="O12" s="374"/>
      <c r="P12" s="374"/>
      <c r="Q12" s="374"/>
      <c r="R12" s="374"/>
      <c r="S12" s="374"/>
      <c r="T12" s="374"/>
    </row>
    <row r="13" spans="1:20" s="301" customFormat="1" ht="14.25" customHeight="1">
      <c r="B13" s="345" t="str">
        <f>+CONCATENATE("Coaseguro con tope a ",VLOOKUP(D13,FACTORES!C16:D20,2,FALSE))</f>
        <v>Coaseguro con tope a $30,000</v>
      </c>
      <c r="D13" s="560">
        <v>0.1</v>
      </c>
      <c r="E13" s="363"/>
      <c r="F13" s="363"/>
      <c r="G13" s="363"/>
      <c r="J13" s="366"/>
      <c r="L13" s="371"/>
      <c r="N13" s="370"/>
      <c r="O13" s="375"/>
      <c r="P13" s="375"/>
      <c r="Q13" s="371"/>
      <c r="R13" s="371"/>
      <c r="S13" s="371"/>
      <c r="T13" s="376"/>
    </row>
    <row r="14" spans="1:20" s="301" customFormat="1" ht="14.25" customHeight="1">
      <c r="B14" s="345" t="s">
        <v>179</v>
      </c>
      <c r="D14" s="561" t="s">
        <v>283</v>
      </c>
      <c r="E14" s="363"/>
      <c r="F14" s="363"/>
      <c r="G14" s="363"/>
      <c r="J14" s="366"/>
      <c r="L14" s="371"/>
      <c r="M14" s="370"/>
      <c r="N14" s="370"/>
      <c r="O14" s="375"/>
      <c r="P14" s="375"/>
      <c r="Q14" s="371"/>
      <c r="R14" s="371"/>
      <c r="S14" s="371"/>
      <c r="T14" s="376"/>
    </row>
    <row r="15" spans="1:20" s="301" customFormat="1" ht="14.25" customHeight="1">
      <c r="B15" s="345" t="s">
        <v>87</v>
      </c>
      <c r="D15" s="562">
        <f>+VLOOKUP(D14,C310:D341,2,0)</f>
        <v>5</v>
      </c>
      <c r="E15" s="363"/>
      <c r="F15" s="363"/>
      <c r="G15" s="363"/>
      <c r="J15" s="366"/>
      <c r="L15" s="371"/>
      <c r="M15" s="370"/>
      <c r="N15" s="370"/>
      <c r="O15" s="375"/>
      <c r="P15" s="375"/>
      <c r="Q15" s="371"/>
      <c r="R15" s="371"/>
      <c r="S15" s="371"/>
      <c r="T15" s="376"/>
    </row>
    <row r="16" spans="1:20" s="301" customFormat="1" ht="14.25" customHeight="1">
      <c r="B16" s="345" t="s">
        <v>330</v>
      </c>
      <c r="D16" s="538" t="s">
        <v>96</v>
      </c>
      <c r="E16" s="363"/>
      <c r="F16" s="363"/>
      <c r="G16" s="363"/>
      <c r="J16" s="366"/>
      <c r="L16" s="371"/>
      <c r="M16" s="370"/>
      <c r="N16" s="370"/>
      <c r="O16" s="375"/>
      <c r="P16" s="375"/>
      <c r="Q16" s="371"/>
      <c r="R16" s="371"/>
      <c r="S16" s="371"/>
      <c r="T16" s="376"/>
    </row>
    <row r="17" spans="1:20" s="301" customFormat="1" ht="14.25" customHeight="1">
      <c r="B17" s="760" t="s">
        <v>129</v>
      </c>
      <c r="C17" s="760"/>
      <c r="D17" s="563">
        <v>15000</v>
      </c>
      <c r="E17" s="363"/>
      <c r="F17" s="363"/>
      <c r="G17" s="363"/>
      <c r="J17" s="366"/>
      <c r="L17" s="371"/>
      <c r="M17" s="370"/>
      <c r="N17" s="370"/>
      <c r="O17" s="375"/>
      <c r="P17" s="375"/>
      <c r="Q17" s="371"/>
      <c r="R17" s="371"/>
      <c r="S17" s="371"/>
      <c r="T17" s="376"/>
    </row>
    <row r="18" spans="1:20" s="301" customFormat="1" ht="14.25" customHeight="1">
      <c r="B18" s="345" t="s">
        <v>268</v>
      </c>
      <c r="C18" s="373"/>
      <c r="D18" s="538" t="s">
        <v>96</v>
      </c>
      <c r="E18" s="363"/>
      <c r="F18" s="363"/>
      <c r="G18" s="367"/>
      <c r="H18" s="367"/>
      <c r="I18" s="367"/>
      <c r="J18" s="366"/>
      <c r="L18" s="251"/>
      <c r="M18" s="251"/>
      <c r="N18" s="251"/>
      <c r="O18" s="251"/>
      <c r="P18" s="251"/>
      <c r="Q18" s="251"/>
      <c r="R18" s="251"/>
      <c r="S18" s="251"/>
      <c r="T18" s="251"/>
    </row>
    <row r="19" spans="1:20" s="301" customFormat="1" ht="14.25" customHeight="1">
      <c r="B19" s="345" t="s">
        <v>165</v>
      </c>
      <c r="D19" s="564" t="s">
        <v>96</v>
      </c>
      <c r="E19" s="358" t="str">
        <f>IF(AND(D19&lt;&gt;"NO",SUM(A27:A34)&lt;1),"NO CUMPLE CON LOS LIMITES DE EDAD","")</f>
        <v/>
      </c>
      <c r="F19" s="342"/>
      <c r="G19" s="342"/>
      <c r="H19" s="342"/>
      <c r="I19" s="342"/>
      <c r="J19" s="366"/>
      <c r="L19" s="371"/>
      <c r="M19" s="377"/>
      <c r="N19" s="378"/>
      <c r="O19" s="378"/>
      <c r="P19" s="378"/>
      <c r="Q19" s="371"/>
      <c r="R19" s="371"/>
      <c r="S19" s="371"/>
      <c r="T19" s="371"/>
    </row>
    <row r="20" spans="1:20" s="301" customFormat="1" ht="14.25" customHeight="1">
      <c r="B20" s="345" t="s">
        <v>40</v>
      </c>
      <c r="D20" s="701">
        <v>0.16</v>
      </c>
      <c r="E20" s="312"/>
      <c r="F20" s="312"/>
      <c r="G20" s="312"/>
      <c r="H20" s="348"/>
      <c r="I20" s="312"/>
      <c r="J20" s="366"/>
      <c r="L20" s="371"/>
      <c r="M20" s="377"/>
      <c r="N20" s="378"/>
      <c r="O20" s="378"/>
      <c r="P20" s="378"/>
      <c r="Q20" s="371"/>
      <c r="R20" s="371"/>
      <c r="S20" s="371"/>
      <c r="T20" s="371"/>
    </row>
    <row r="21" spans="1:20" ht="12.75" customHeight="1">
      <c r="A21" s="301"/>
      <c r="B21" s="345"/>
      <c r="C21" s="301"/>
      <c r="E21" s="237"/>
      <c r="F21" s="237"/>
      <c r="H21" s="349" t="s">
        <v>144</v>
      </c>
      <c r="J21" s="301"/>
      <c r="K21" s="301"/>
      <c r="L21" s="379"/>
      <c r="M21" s="349" t="s">
        <v>144</v>
      </c>
      <c r="N21" s="380"/>
      <c r="O21" s="380"/>
      <c r="P21" s="380"/>
      <c r="Q21" s="251"/>
      <c r="R21" s="381"/>
      <c r="S21" s="382"/>
      <c r="T21" s="251"/>
    </row>
    <row r="22" spans="1:20" s="301" customFormat="1">
      <c r="B22" s="366"/>
      <c r="C22" s="366"/>
      <c r="E22" s="312"/>
      <c r="F22" s="312"/>
      <c r="H22" s="368"/>
      <c r="L22" s="379"/>
      <c r="M22" s="368"/>
      <c r="N22" s="380"/>
      <c r="O22" s="380"/>
      <c r="P22" s="380"/>
      <c r="Q22" s="251"/>
      <c r="R22" s="383"/>
      <c r="S22" s="251"/>
      <c r="T22" s="251"/>
    </row>
    <row r="23" spans="1:20" s="301" customFormat="1" ht="13.5" customHeight="1">
      <c r="E23" s="312"/>
      <c r="F23" s="312"/>
      <c r="H23" s="369">
        <v>0</v>
      </c>
      <c r="L23" s="251"/>
      <c r="M23" s="369">
        <v>0</v>
      </c>
      <c r="N23" s="380"/>
      <c r="O23" s="380"/>
      <c r="P23" s="380"/>
      <c r="Q23" s="251"/>
      <c r="R23" s="384"/>
      <c r="S23" s="251"/>
      <c r="T23" s="251"/>
    </row>
    <row r="24" spans="1:20" s="301" customFormat="1">
      <c r="B24" s="385"/>
      <c r="C24" s="386"/>
      <c r="H24" s="368"/>
      <c r="L24" s="379"/>
      <c r="M24" s="251"/>
      <c r="N24" s="380"/>
      <c r="O24" s="387"/>
      <c r="P24" s="388"/>
      <c r="Q24" s="251"/>
      <c r="R24" s="384"/>
      <c r="S24" s="251"/>
      <c r="T24" s="251"/>
    </row>
    <row r="25" spans="1:20" s="301" customFormat="1" ht="10.5" thickBot="1">
      <c r="L25" s="251"/>
      <c r="M25" s="251"/>
      <c r="N25" s="380"/>
      <c r="O25" s="380"/>
      <c r="P25" s="380"/>
      <c r="Q25" s="251"/>
      <c r="R25" s="251"/>
      <c r="S25" s="251"/>
      <c r="T25" s="251"/>
    </row>
    <row r="26" spans="1:20" s="301" customFormat="1" ht="21" customHeight="1" thickBot="1">
      <c r="B26" s="579" t="s">
        <v>141</v>
      </c>
      <c r="C26" s="579" t="s">
        <v>86</v>
      </c>
      <c r="D26" s="579" t="s">
        <v>85</v>
      </c>
      <c r="E26" s="580" t="s">
        <v>9</v>
      </c>
      <c r="F26" s="389"/>
      <c r="G26" s="573" t="s">
        <v>299</v>
      </c>
      <c r="H26" s="573" t="s">
        <v>300</v>
      </c>
      <c r="I26" s="573" t="s">
        <v>301</v>
      </c>
      <c r="J26" s="573" t="s">
        <v>302</v>
      </c>
      <c r="L26" s="379"/>
      <c r="M26" s="251"/>
      <c r="N26" s="380"/>
      <c r="O26" s="387"/>
      <c r="P26" s="388"/>
      <c r="Q26" s="251"/>
      <c r="R26" s="390"/>
      <c r="S26" s="251"/>
      <c r="T26" s="251"/>
    </row>
    <row r="27" spans="1:20" s="301" customFormat="1" ht="15" customHeight="1">
      <c r="A27" s="354">
        <f>IF($D$8="NUEVA ",IF(AND(E27&gt;=18,E27&lt;60),1,0),IF(AND(E27&gt;=18,E27&lt;65),1,0))</f>
        <v>0</v>
      </c>
      <c r="B27" s="567" t="s">
        <v>118</v>
      </c>
      <c r="C27" s="568"/>
      <c r="D27" s="569"/>
      <c r="E27" s="569"/>
      <c r="F27" s="536" t="str">
        <f>IF(AND(D8="NUEVA ",D12&lt;10000),"DEDUCIBLE INVÁLIDO",IF(D8="NUEVA ",IF(E27&gt;64,"EDAD NO PERMITIDA",IF(D10="FAMILIAR",IF(E27&lt;18,"EDAD NO PERMIDITA",""),"")),IF(D10="FAMILIAR",IF(E27&lt;18,"EDAD NO PERMIDITA",""),"")))</f>
        <v/>
      </c>
      <c r="G27" s="570" t="s">
        <v>92</v>
      </c>
      <c r="H27" s="571">
        <f>+IMPRESION!K86</f>
        <v>0</v>
      </c>
      <c r="I27" s="571">
        <v>0</v>
      </c>
      <c r="J27" s="572">
        <f>+H27</f>
        <v>0</v>
      </c>
      <c r="L27" s="251"/>
      <c r="M27" s="251"/>
      <c r="N27" s="250"/>
      <c r="O27" s="387"/>
      <c r="P27" s="391"/>
      <c r="Q27" s="392"/>
      <c r="R27" s="390"/>
      <c r="S27" s="251"/>
      <c r="T27" s="251"/>
    </row>
    <row r="28" spans="1:20" s="301" customFormat="1" ht="15" customHeight="1">
      <c r="A28" s="354">
        <f t="shared" ref="A28:A34" si="0">IF($D$8="NUEVA ",IF(AND(E28&gt;=18,E28&lt;60),1,0),IF(AND(E28&gt;=18,E28&lt;65),1,0))</f>
        <v>0</v>
      </c>
      <c r="B28" s="540" t="str">
        <f>IF(D10="FAMILIAR","Cónyuge","")</f>
        <v/>
      </c>
      <c r="C28" s="541"/>
      <c r="D28" s="542"/>
      <c r="E28" s="542"/>
      <c r="F28" s="499" t="str">
        <f>IF($D$8="NUEVA ",IF(E28&gt;64,"EDAD NO PERMITIDA"," ")," ")</f>
        <v xml:space="preserve"> </v>
      </c>
      <c r="G28" s="543" t="s">
        <v>93</v>
      </c>
      <c r="H28" s="544">
        <f>IF((IMPRESION!K81*RSEM/2+DER)*(1+$D$20)&lt;1000,0,(IMPRESION!K81*RSEM/2+DER)*(1+$D$20))</f>
        <v>0</v>
      </c>
      <c r="I28" s="544">
        <f>IF(H28=0,0,(IMPRESION!K81*RSEM/2)*(1+$D$20))</f>
        <v>0</v>
      </c>
      <c r="J28" s="557">
        <f>+I28+H28</f>
        <v>0</v>
      </c>
      <c r="L28" s="393"/>
      <c r="M28" s="392"/>
      <c r="N28" s="392"/>
      <c r="O28" s="392"/>
      <c r="P28" s="394"/>
      <c r="Q28" s="251"/>
      <c r="R28" s="251"/>
      <c r="S28" s="251"/>
      <c r="T28" s="251"/>
    </row>
    <row r="29" spans="1:20" s="301" customFormat="1" ht="15" customHeight="1">
      <c r="A29" s="354">
        <f t="shared" si="0"/>
        <v>0</v>
      </c>
      <c r="B29" s="540" t="str">
        <f>IF($D$10="FAMILIAR","Dependiente 1","")</f>
        <v/>
      </c>
      <c r="C29" s="541"/>
      <c r="D29" s="542"/>
      <c r="E29" s="542"/>
      <c r="F29" s="499" t="str">
        <f t="shared" ref="F29:F34" si="1">IF($D$8="NUEVA ",IF(E29&gt;69,"EDAD NO PERMITIDA"," ")," ")</f>
        <v xml:space="preserve"> </v>
      </c>
      <c r="G29" s="543" t="s">
        <v>154</v>
      </c>
      <c r="H29" s="544">
        <f>IF((IMPRESION!K81*RTRIM/4+DER)*(1+$D$20)&lt;1000,0,(IMPRESION!K81*RTRIM/4+DER)*(1+$D$20))</f>
        <v>0</v>
      </c>
      <c r="I29" s="544">
        <f>IF(H29=0,0,(IMPRESION!K81*RTRIM/4)*(1+$D$20))</f>
        <v>0</v>
      </c>
      <c r="J29" s="557">
        <f>+I29*3+H29</f>
        <v>0</v>
      </c>
      <c r="L29" s="395"/>
      <c r="M29" s="392"/>
      <c r="N29" s="392"/>
      <c r="O29" s="392"/>
      <c r="P29" s="396"/>
      <c r="Q29" s="251"/>
      <c r="R29" s="390"/>
      <c r="S29" s="251"/>
      <c r="T29" s="382"/>
    </row>
    <row r="30" spans="1:20" s="301" customFormat="1" ht="15" customHeight="1">
      <c r="A30" s="354">
        <f t="shared" si="0"/>
        <v>0</v>
      </c>
      <c r="B30" s="540" t="str">
        <f>IF($D$10="FAMILIAR","Dependiente 2","")</f>
        <v/>
      </c>
      <c r="C30" s="541"/>
      <c r="D30" s="542"/>
      <c r="E30" s="542"/>
      <c r="F30" s="499" t="str">
        <f t="shared" si="1"/>
        <v xml:space="preserve"> </v>
      </c>
      <c r="G30" s="543" t="s">
        <v>157</v>
      </c>
      <c r="H30" s="544">
        <f>IF((IMPRESION!K81*RMES/12+DER)*(1+$D$20)&lt;1000,0,(IMPRESION!K81*RMES/12+DER)*(1+$D$20))</f>
        <v>0</v>
      </c>
      <c r="I30" s="544">
        <f>IF(H30=0,0,(IMPRESION!K81*RMES/12)*(1+$D$20))</f>
        <v>0</v>
      </c>
      <c r="J30" s="557">
        <f>+I30*11+H30</f>
        <v>0</v>
      </c>
      <c r="L30" s="395"/>
      <c r="M30" s="392"/>
      <c r="N30" s="392"/>
      <c r="O30" s="392"/>
      <c r="P30" s="394"/>
      <c r="Q30" s="251"/>
      <c r="R30" s="397"/>
      <c r="S30" s="251"/>
      <c r="T30" s="251"/>
    </row>
    <row r="31" spans="1:20" s="301" customFormat="1" ht="15" customHeight="1">
      <c r="A31" s="354">
        <f t="shared" si="0"/>
        <v>0</v>
      </c>
      <c r="B31" s="540" t="str">
        <f>IF($D$10="FAMILIAR","Dependiente 3","")</f>
        <v/>
      </c>
      <c r="C31" s="541"/>
      <c r="D31" s="542"/>
      <c r="E31" s="542"/>
      <c r="F31" s="499" t="str">
        <f t="shared" si="1"/>
        <v xml:space="preserve"> </v>
      </c>
      <c r="G31" s="339"/>
      <c r="H31" s="366"/>
      <c r="I31" s="366"/>
      <c r="J31" s="398"/>
      <c r="L31" s="379"/>
      <c r="M31" s="399"/>
      <c r="N31" s="400"/>
      <c r="O31" s="400"/>
      <c r="P31" s="251"/>
      <c r="Q31" s="251"/>
      <c r="R31" s="251"/>
      <c r="S31" s="251"/>
      <c r="T31" s="251"/>
    </row>
    <row r="32" spans="1:20" s="301" customFormat="1" ht="15" customHeight="1">
      <c r="A32" s="354">
        <f t="shared" si="0"/>
        <v>0</v>
      </c>
      <c r="B32" s="540" t="str">
        <f>IF($D$10="FAMILIAR","Dependiente 4","")</f>
        <v/>
      </c>
      <c r="C32" s="541"/>
      <c r="D32" s="542"/>
      <c r="E32" s="542"/>
      <c r="F32" s="499" t="str">
        <f t="shared" si="1"/>
        <v xml:space="preserve"> </v>
      </c>
      <c r="G32" s="366"/>
      <c r="H32" s="366"/>
      <c r="I32" s="759"/>
      <c r="J32" s="759"/>
      <c r="L32" s="379"/>
      <c r="M32" s="399"/>
      <c r="N32" s="400"/>
      <c r="O32" s="400"/>
      <c r="P32" s="251"/>
      <c r="Q32" s="251"/>
      <c r="R32" s="251"/>
      <c r="S32" s="251"/>
      <c r="T32" s="251"/>
    </row>
    <row r="33" spans="1:20" s="301" customFormat="1" ht="15" customHeight="1">
      <c r="A33" s="354">
        <f t="shared" si="0"/>
        <v>0</v>
      </c>
      <c r="B33" s="540" t="str">
        <f>IF($D$10="FAMILIAR","Dependiente 5","")</f>
        <v/>
      </c>
      <c r="C33" s="541"/>
      <c r="D33" s="542"/>
      <c r="E33" s="542"/>
      <c r="F33" s="499" t="str">
        <f t="shared" si="1"/>
        <v xml:space="preserve"> </v>
      </c>
      <c r="G33" s="355"/>
      <c r="H33" s="366"/>
      <c r="L33" s="379"/>
      <c r="M33" s="399"/>
      <c r="N33" s="388"/>
      <c r="O33" s="388"/>
      <c r="P33" s="251"/>
      <c r="Q33" s="251"/>
      <c r="R33" s="251"/>
      <c r="S33" s="382"/>
      <c r="T33" s="382"/>
    </row>
    <row r="34" spans="1:20" s="301" customFormat="1" ht="15" customHeight="1" thickBot="1">
      <c r="A34" s="354">
        <f t="shared" si="0"/>
        <v>0</v>
      </c>
      <c r="B34" s="540" t="str">
        <f>IF($D$10="FAMILIAR","Dependiente 6","")</f>
        <v/>
      </c>
      <c r="C34" s="541"/>
      <c r="D34" s="542"/>
      <c r="E34" s="542"/>
      <c r="F34" s="499" t="str">
        <f t="shared" si="1"/>
        <v xml:space="preserve"> </v>
      </c>
      <c r="G34" s="355" t="s">
        <v>153</v>
      </c>
      <c r="L34" s="379"/>
      <c r="M34" s="399"/>
      <c r="N34" s="251"/>
      <c r="O34" s="251"/>
      <c r="P34" s="251"/>
      <c r="Q34" s="251"/>
      <c r="R34" s="251"/>
      <c r="S34" s="382"/>
      <c r="T34" s="382"/>
    </row>
    <row r="35" spans="1:20" s="301" customFormat="1" ht="20.25" customHeight="1" thickBot="1">
      <c r="E35" s="401"/>
      <c r="F35" s="401"/>
      <c r="G35" s="575" t="s">
        <v>299</v>
      </c>
      <c r="H35" s="575" t="s">
        <v>303</v>
      </c>
      <c r="L35" s="379"/>
      <c r="M35" s="399"/>
      <c r="N35" s="251"/>
      <c r="O35" s="251"/>
      <c r="P35" s="251"/>
      <c r="Q35" s="251"/>
      <c r="R35" s="251"/>
      <c r="S35" s="382"/>
      <c r="T35" s="382"/>
    </row>
    <row r="36" spans="1:20" s="301" customFormat="1" ht="15" customHeight="1">
      <c r="B36" s="402" t="s">
        <v>84</v>
      </c>
      <c r="F36" s="402"/>
      <c r="G36" s="574" t="s">
        <v>93</v>
      </c>
      <c r="H36" s="576">
        <v>4.7300000000000002E-2</v>
      </c>
      <c r="L36" s="379"/>
      <c r="M36" s="399"/>
      <c r="N36" s="251"/>
      <c r="O36" s="251"/>
      <c r="P36" s="251"/>
      <c r="Q36" s="251"/>
      <c r="R36" s="251"/>
      <c r="S36" s="382"/>
      <c r="T36" s="382"/>
    </row>
    <row r="37" spans="1:20" s="301" customFormat="1" ht="15" customHeight="1">
      <c r="E37" s="401"/>
      <c r="F37" s="401"/>
      <c r="G37" s="545" t="s">
        <v>154</v>
      </c>
      <c r="H37" s="577">
        <v>6.9900000000000004E-2</v>
      </c>
      <c r="I37" s="756" t="s">
        <v>204</v>
      </c>
      <c r="J37" s="756"/>
      <c r="L37" s="379"/>
      <c r="M37" s="399"/>
      <c r="N37" s="251"/>
      <c r="O37" s="251"/>
      <c r="P37" s="251"/>
      <c r="Q37" s="251"/>
      <c r="R37" s="366"/>
      <c r="S37" s="382"/>
      <c r="T37" s="382"/>
    </row>
    <row r="38" spans="1:20" s="301" customFormat="1" ht="15" customHeight="1">
      <c r="G38" s="545" t="s">
        <v>157</v>
      </c>
      <c r="H38" s="577">
        <v>9.9900000000000003E-2</v>
      </c>
      <c r="I38" s="756"/>
      <c r="J38" s="756"/>
      <c r="L38" s="379"/>
      <c r="M38" s="399"/>
      <c r="N38" s="251"/>
      <c r="O38" s="251"/>
      <c r="P38" s="251"/>
      <c r="Q38" s="251"/>
      <c r="R38" s="403"/>
      <c r="S38" s="382"/>
      <c r="T38" s="382"/>
    </row>
    <row r="39" spans="1:20" s="301" customFormat="1" ht="15" customHeight="1">
      <c r="B39" s="578" t="s">
        <v>304</v>
      </c>
      <c r="C39" s="757"/>
      <c r="D39" s="757"/>
      <c r="E39" s="757"/>
      <c r="F39" s="404"/>
      <c r="G39" s="405"/>
      <c r="H39" s="270"/>
      <c r="I39" s="756"/>
      <c r="J39" s="756"/>
      <c r="L39" s="379"/>
      <c r="M39" s="399"/>
      <c r="N39" s="251"/>
      <c r="O39" s="251"/>
      <c r="P39" s="251"/>
      <c r="Q39" s="251"/>
      <c r="R39" s="403"/>
      <c r="S39" s="382"/>
      <c r="T39" s="382"/>
    </row>
    <row r="40" spans="1:20" s="301" customFormat="1" ht="14.15" customHeight="1">
      <c r="D40" s="406"/>
      <c r="L40" s="379"/>
      <c r="M40" s="399"/>
      <c r="N40" s="251"/>
      <c r="O40" s="251"/>
      <c r="P40" s="251"/>
      <c r="Q40" s="251"/>
      <c r="R40" s="251"/>
      <c r="S40" s="251"/>
      <c r="T40" s="382"/>
    </row>
    <row r="41" spans="1:20" s="301" customFormat="1" ht="30" customHeight="1">
      <c r="B41" s="755" t="s">
        <v>295</v>
      </c>
      <c r="C41" s="755"/>
      <c r="D41" s="755"/>
      <c r="E41" s="755"/>
      <c r="F41" s="755"/>
      <c r="L41" s="379"/>
      <c r="M41" s="399"/>
      <c r="N41" s="251"/>
      <c r="O41" s="251"/>
      <c r="P41" s="251"/>
      <c r="Q41" s="251"/>
      <c r="R41" s="251"/>
      <c r="S41" s="382"/>
      <c r="T41" s="382"/>
    </row>
    <row r="42" spans="1:20" s="301" customFormat="1" ht="14.15" customHeight="1">
      <c r="D42" s="406"/>
      <c r="L42" s="379"/>
      <c r="M42" s="399"/>
      <c r="N42" s="251"/>
      <c r="O42" s="251"/>
      <c r="P42" s="251"/>
      <c r="Q42" s="251"/>
      <c r="R42" s="251"/>
      <c r="S42" s="251"/>
      <c r="T42" s="380"/>
    </row>
    <row r="43" spans="1:20" s="301" customFormat="1" ht="14.15" customHeight="1">
      <c r="L43" s="379"/>
      <c r="M43" s="251"/>
      <c r="N43" s="251"/>
      <c r="O43" s="251"/>
      <c r="P43" s="251"/>
      <c r="Q43" s="251"/>
      <c r="R43" s="251"/>
      <c r="S43" s="382"/>
      <c r="T43" s="382"/>
    </row>
    <row r="44" spans="1:20" s="301" customFormat="1" ht="24.5">
      <c r="B44" s="714" t="str">
        <f>IF(OR(E27&gt;64,E28&gt;64),"Esta cotización solo es valida para renovaciones"," ")</f>
        <v xml:space="preserve"> </v>
      </c>
      <c r="D44" s="407"/>
      <c r="L44" s="379"/>
      <c r="M44" s="251"/>
      <c r="N44" s="251"/>
      <c r="O44" s="251"/>
      <c r="P44" s="251"/>
      <c r="Q44" s="251"/>
      <c r="R44" s="251"/>
      <c r="S44" s="382"/>
      <c r="T44" s="251"/>
    </row>
    <row r="45" spans="1:20" s="301" customFormat="1">
      <c r="L45" s="379"/>
      <c r="M45" s="251"/>
      <c r="N45" s="251"/>
      <c r="O45" s="251"/>
      <c r="P45" s="251"/>
      <c r="Q45" s="251"/>
      <c r="R45" s="251"/>
      <c r="S45" s="251"/>
      <c r="T45" s="382"/>
    </row>
    <row r="46" spans="1:20" s="301" customFormat="1">
      <c r="L46" s="379"/>
      <c r="M46" s="251"/>
      <c r="N46" s="251"/>
      <c r="O46" s="251"/>
      <c r="P46" s="251"/>
      <c r="Q46" s="251"/>
      <c r="R46" s="408"/>
      <c r="S46" s="251"/>
      <c r="T46" s="382"/>
    </row>
    <row r="47" spans="1:20" s="301" customFormat="1">
      <c r="L47" s="379"/>
      <c r="M47" s="251"/>
      <c r="N47" s="251"/>
      <c r="O47" s="251"/>
      <c r="P47" s="251"/>
      <c r="Q47" s="251"/>
      <c r="R47" s="251"/>
      <c r="S47" s="251"/>
      <c r="T47" s="382"/>
    </row>
    <row r="48" spans="1:20" s="301" customFormat="1">
      <c r="L48" s="251"/>
      <c r="M48" s="251"/>
      <c r="N48" s="251"/>
      <c r="O48" s="251"/>
      <c r="P48" s="251"/>
      <c r="Q48" s="251"/>
      <c r="R48" s="251"/>
      <c r="S48" s="251"/>
      <c r="T48" s="251"/>
    </row>
    <row r="49" spans="12:20" s="301" customFormat="1" ht="10.5" customHeight="1">
      <c r="L49" s="379"/>
      <c r="M49" s="251"/>
      <c r="N49" s="251"/>
      <c r="O49" s="251"/>
      <c r="P49" s="251"/>
      <c r="Q49" s="251"/>
      <c r="R49" s="251"/>
      <c r="S49" s="251"/>
      <c r="T49" s="251"/>
    </row>
    <row r="50" spans="12:20" s="301" customFormat="1" ht="10.5" customHeight="1">
      <c r="L50" s="379"/>
      <c r="M50" s="251"/>
      <c r="N50" s="251"/>
      <c r="O50" s="251"/>
      <c r="P50" s="251"/>
      <c r="Q50" s="251"/>
      <c r="R50" s="409"/>
      <c r="S50" s="251"/>
      <c r="T50" s="251"/>
    </row>
    <row r="51" spans="12:20" s="301" customFormat="1" ht="12.75" customHeight="1">
      <c r="L51" s="379"/>
      <c r="M51" s="251"/>
      <c r="N51" s="251"/>
      <c r="O51" s="410"/>
      <c r="P51" s="251"/>
      <c r="Q51" s="251"/>
      <c r="R51" s="251"/>
      <c r="S51" s="366"/>
      <c r="T51" s="251"/>
    </row>
    <row r="52" spans="12:20" s="301" customFormat="1" ht="10.5" customHeight="1">
      <c r="L52" s="379"/>
      <c r="M52" s="251"/>
      <c r="N52" s="251"/>
      <c r="O52" s="251"/>
      <c r="P52" s="251"/>
      <c r="Q52" s="251"/>
      <c r="R52" s="251"/>
      <c r="S52" s="366"/>
      <c r="T52" s="251"/>
    </row>
    <row r="53" spans="12:20" s="301" customFormat="1" ht="12.75" customHeight="1">
      <c r="L53" s="379"/>
      <c r="M53" s="251"/>
      <c r="N53" s="251"/>
      <c r="O53" s="410"/>
      <c r="P53" s="251"/>
      <c r="Q53" s="251"/>
      <c r="R53" s="251"/>
      <c r="S53" s="366"/>
      <c r="T53" s="251"/>
    </row>
    <row r="54" spans="12:20" s="301" customFormat="1" ht="10.5" hidden="1" customHeight="1">
      <c r="L54" s="379"/>
      <c r="M54" s="251"/>
      <c r="N54" s="251"/>
      <c r="O54" s="251"/>
      <c r="P54" s="251"/>
      <c r="Q54" s="251"/>
      <c r="R54" s="251"/>
      <c r="S54" s="251"/>
      <c r="T54" s="251"/>
    </row>
    <row r="55" spans="12:20" s="301" customFormat="1" ht="10.5" hidden="1" customHeight="1">
      <c r="L55" s="379"/>
      <c r="M55" s="251"/>
      <c r="N55" s="251"/>
      <c r="O55" s="251"/>
      <c r="P55" s="251"/>
      <c r="Q55" s="251"/>
      <c r="R55" s="251"/>
      <c r="S55" s="251"/>
      <c r="T55" s="251"/>
    </row>
    <row r="56" spans="12:20" s="301" customFormat="1" ht="10.5" hidden="1" customHeight="1">
      <c r="L56" s="379"/>
      <c r="M56" s="251"/>
      <c r="N56" s="251"/>
      <c r="O56" s="251"/>
      <c r="P56" s="251"/>
      <c r="Q56" s="251"/>
      <c r="R56" s="251"/>
      <c r="S56" s="251"/>
      <c r="T56" s="251"/>
    </row>
    <row r="57" spans="12:20" s="301" customFormat="1" ht="10.5" hidden="1" customHeight="1">
      <c r="L57" s="379"/>
      <c r="M57" s="251"/>
      <c r="N57" s="251"/>
      <c r="O57" s="251"/>
      <c r="P57" s="251"/>
      <c r="Q57" s="251"/>
      <c r="R57" s="382"/>
      <c r="S57" s="251"/>
      <c r="T57" s="251"/>
    </row>
    <row r="58" spans="12:20" s="301" customFormat="1" ht="10.5" hidden="1" customHeight="1">
      <c r="L58" s="379"/>
      <c r="M58" s="251"/>
      <c r="N58" s="251"/>
      <c r="O58" s="251"/>
      <c r="P58" s="251"/>
      <c r="Q58" s="251"/>
      <c r="R58" s="251"/>
      <c r="S58" s="251"/>
      <c r="T58" s="251"/>
    </row>
    <row r="59" spans="12:20" s="301" customFormat="1" ht="10.5" hidden="1" customHeight="1">
      <c r="L59" s="379"/>
      <c r="M59" s="251"/>
      <c r="N59" s="251"/>
      <c r="O59" s="251"/>
      <c r="P59" s="251"/>
      <c r="Q59" s="251"/>
      <c r="R59" s="251"/>
      <c r="S59" s="251"/>
      <c r="T59" s="382"/>
    </row>
    <row r="60" spans="12:20" s="301" customFormat="1" ht="10.5" hidden="1" customHeight="1">
      <c r="L60" s="379"/>
      <c r="M60" s="251"/>
      <c r="N60" s="251"/>
      <c r="O60" s="251"/>
      <c r="P60" s="251"/>
      <c r="Q60" s="251"/>
      <c r="R60" s="251"/>
      <c r="S60" s="251"/>
      <c r="T60" s="382"/>
    </row>
    <row r="61" spans="12:20" s="301" customFormat="1" ht="10.5" hidden="1" customHeight="1">
      <c r="L61" s="379"/>
      <c r="M61" s="251"/>
      <c r="N61" s="251"/>
      <c r="O61" s="251"/>
      <c r="P61" s="251"/>
      <c r="Q61" s="251"/>
      <c r="R61" s="251"/>
      <c r="S61" s="251"/>
      <c r="T61" s="382"/>
    </row>
    <row r="62" spans="12:20" s="301" customFormat="1" ht="12.75" hidden="1" customHeight="1">
      <c r="L62" s="379"/>
      <c r="M62" s="251"/>
      <c r="N62" s="251"/>
      <c r="O62" s="410"/>
      <c r="P62" s="251"/>
      <c r="Q62" s="251"/>
      <c r="R62" s="251"/>
      <c r="S62" s="366"/>
      <c r="T62" s="382"/>
    </row>
    <row r="63" spans="12:20" s="301" customFormat="1" ht="10.5" hidden="1" customHeight="1">
      <c r="L63" s="379"/>
      <c r="M63" s="251"/>
      <c r="N63" s="251"/>
      <c r="O63" s="251"/>
      <c r="P63" s="251"/>
      <c r="Q63" s="251"/>
      <c r="R63" s="251"/>
      <c r="S63" s="251"/>
      <c r="T63" s="251"/>
    </row>
    <row r="64" spans="12:20" s="301" customFormat="1" ht="10.5" hidden="1" customHeight="1">
      <c r="L64" s="379"/>
      <c r="M64" s="251"/>
      <c r="N64" s="251"/>
      <c r="O64" s="251"/>
      <c r="P64" s="251"/>
      <c r="Q64" s="251"/>
      <c r="R64" s="251"/>
      <c r="S64" s="251"/>
      <c r="T64" s="251"/>
    </row>
    <row r="65" spans="1:22" s="301" customFormat="1" ht="10.5" hidden="1" customHeight="1">
      <c r="L65" s="379"/>
      <c r="M65" s="251"/>
      <c r="N65" s="251"/>
      <c r="O65" s="251"/>
      <c r="P65" s="251"/>
      <c r="Q65" s="251"/>
      <c r="R65" s="251"/>
      <c r="S65" s="251"/>
      <c r="T65" s="251"/>
    </row>
    <row r="66" spans="1:22" s="301" customFormat="1" ht="10.5" hidden="1" customHeight="1">
      <c r="L66" s="379"/>
      <c r="M66" s="251"/>
      <c r="N66" s="251"/>
      <c r="O66" s="251"/>
      <c r="P66" s="251"/>
      <c r="Q66" s="251"/>
      <c r="R66" s="251"/>
      <c r="S66" s="251"/>
      <c r="T66" s="251"/>
    </row>
    <row r="67" spans="1:22" s="301" customFormat="1" ht="10.5" hidden="1" customHeight="1">
      <c r="L67" s="379"/>
      <c r="M67" s="251"/>
      <c r="N67" s="251"/>
      <c r="O67" s="251"/>
      <c r="P67" s="251"/>
      <c r="Q67" s="251"/>
      <c r="R67" s="251"/>
      <c r="S67" s="251"/>
      <c r="T67" s="251"/>
    </row>
    <row r="68" spans="1:22" s="301" customFormat="1" ht="10.5" hidden="1" customHeight="1">
      <c r="L68" s="379"/>
      <c r="M68" s="251"/>
      <c r="N68" s="251"/>
      <c r="O68" s="251"/>
      <c r="P68" s="251"/>
      <c r="Q68" s="411"/>
      <c r="R68" s="388"/>
      <c r="S68" s="412"/>
      <c r="T68" s="251"/>
    </row>
    <row r="69" spans="1:22" s="301" customFormat="1" ht="10.5" hidden="1" customHeight="1">
      <c r="L69" s="379"/>
      <c r="M69" s="251"/>
      <c r="N69" s="251"/>
      <c r="O69" s="251"/>
      <c r="P69" s="251"/>
      <c r="Q69" s="411"/>
      <c r="R69" s="388"/>
      <c r="S69" s="412"/>
      <c r="T69" s="388"/>
    </row>
    <row r="70" spans="1:22" s="301" customFormat="1" ht="10.5" hidden="1" customHeight="1">
      <c r="L70" s="379"/>
      <c r="M70" s="251"/>
      <c r="N70" s="251"/>
      <c r="O70" s="251"/>
      <c r="P70" s="251"/>
      <c r="Q70" s="411"/>
      <c r="R70" s="388"/>
      <c r="S70" s="412"/>
      <c r="T70" s="388"/>
    </row>
    <row r="71" spans="1:22" s="301" customFormat="1" ht="10.5" hidden="1" customHeight="1">
      <c r="L71" s="379"/>
      <c r="M71" s="251"/>
      <c r="N71" s="251"/>
      <c r="O71" s="251"/>
      <c r="P71" s="251"/>
      <c r="Q71" s="411"/>
      <c r="R71" s="251"/>
      <c r="S71" s="412"/>
      <c r="T71" s="388"/>
    </row>
    <row r="72" spans="1:22" s="301" customFormat="1" ht="10.5" hidden="1" customHeight="1">
      <c r="L72" s="379"/>
      <c r="M72" s="251"/>
      <c r="N72" s="251"/>
      <c r="O72" s="251"/>
      <c r="P72" s="251"/>
      <c r="Q72" s="411"/>
      <c r="R72" s="251"/>
      <c r="S72" s="412"/>
      <c r="T72" s="388"/>
    </row>
    <row r="73" spans="1:22" s="301" customFormat="1" ht="10.5" hidden="1" customHeight="1">
      <c r="L73" s="379"/>
      <c r="M73" s="251"/>
      <c r="N73" s="251"/>
      <c r="O73" s="251"/>
      <c r="P73" s="251"/>
      <c r="Q73" s="251"/>
      <c r="R73" s="251"/>
      <c r="S73" s="251"/>
      <c r="T73" s="251"/>
    </row>
    <row r="74" spans="1:22" s="301" customFormat="1" ht="10.5" hidden="1" customHeight="1">
      <c r="L74" s="379"/>
      <c r="M74" s="251"/>
      <c r="N74" s="251"/>
      <c r="O74" s="251"/>
      <c r="P74" s="251"/>
      <c r="Q74" s="251"/>
      <c r="R74" s="251"/>
      <c r="S74" s="251"/>
      <c r="T74" s="251"/>
    </row>
    <row r="75" spans="1:22" ht="3.75" hidden="1" customHeight="1">
      <c r="A75" s="301"/>
      <c r="B75" s="301"/>
      <c r="C75" s="301"/>
      <c r="D75" s="301"/>
      <c r="E75" s="301"/>
      <c r="F75" s="301"/>
      <c r="G75" s="301"/>
      <c r="H75" s="301"/>
      <c r="I75" s="301"/>
      <c r="J75" s="301"/>
      <c r="K75" s="301"/>
      <c r="L75" s="413"/>
      <c r="M75" s="382"/>
      <c r="N75" s="382"/>
      <c r="O75" s="382"/>
      <c r="P75" s="382"/>
      <c r="Q75" s="382"/>
      <c r="R75" s="382"/>
      <c r="S75" s="382"/>
      <c r="T75" s="382"/>
    </row>
    <row r="76" spans="1:22" ht="10.5" hidden="1" customHeight="1">
      <c r="L76" s="413"/>
      <c r="M76" s="357"/>
      <c r="N76" s="250"/>
      <c r="O76" s="250"/>
      <c r="P76" s="250"/>
      <c r="Q76" s="250"/>
      <c r="R76" s="250"/>
      <c r="S76" s="250"/>
      <c r="T76" s="250"/>
    </row>
    <row r="77" spans="1:22" s="301" customFormat="1" ht="12.75" hidden="1" customHeight="1">
      <c r="A77" s="246"/>
      <c r="B77" s="246"/>
      <c r="C77" s="246"/>
      <c r="D77" s="246"/>
      <c r="E77" s="246"/>
      <c r="F77" s="246"/>
      <c r="G77" s="246"/>
      <c r="H77" s="246"/>
      <c r="I77" s="246"/>
      <c r="J77" s="246"/>
      <c r="K77" s="246"/>
      <c r="L77" s="413"/>
      <c r="M77" s="414"/>
      <c r="N77" s="415"/>
      <c r="O77" s="415"/>
      <c r="P77" s="415"/>
      <c r="Q77" s="250"/>
      <c r="R77" s="250"/>
      <c r="S77" s="250"/>
      <c r="T77" s="250"/>
    </row>
    <row r="78" spans="1:22" s="301" customFormat="1" ht="10.5" hidden="1" customHeight="1">
      <c r="L78" s="413"/>
      <c r="M78" s="250"/>
      <c r="N78" s="250"/>
      <c r="O78" s="250"/>
      <c r="P78" s="250"/>
      <c r="Q78" s="250"/>
      <c r="R78" s="250"/>
      <c r="S78" s="250"/>
      <c r="T78" s="250"/>
    </row>
    <row r="79" spans="1:22" s="301" customFormat="1" ht="10.5" hidden="1" customHeight="1">
      <c r="L79" s="416"/>
      <c r="M79" s="382"/>
      <c r="N79" s="382"/>
      <c r="O79" s="382"/>
      <c r="P79" s="382"/>
      <c r="Q79" s="417"/>
      <c r="R79" s="417"/>
      <c r="S79" s="417"/>
      <c r="T79" s="418"/>
      <c r="U79" s="406"/>
      <c r="V79" s="406"/>
    </row>
    <row r="80" spans="1:22" s="301" customFormat="1" ht="10.5" hidden="1" customHeight="1">
      <c r="L80" s="416"/>
      <c r="M80" s="382"/>
      <c r="N80" s="382"/>
      <c r="O80" s="382"/>
      <c r="P80" s="382"/>
      <c r="Q80" s="417"/>
      <c r="R80" s="417"/>
      <c r="S80" s="417"/>
      <c r="T80" s="418"/>
      <c r="U80" s="406"/>
      <c r="V80" s="406"/>
    </row>
    <row r="81" spans="1:23" s="301" customFormat="1" ht="10.5" hidden="1" customHeight="1">
      <c r="L81" s="416"/>
      <c r="M81" s="382"/>
      <c r="N81" s="382"/>
      <c r="O81" s="382"/>
      <c r="P81" s="382"/>
      <c r="Q81" s="417"/>
      <c r="R81" s="417"/>
      <c r="S81" s="417"/>
      <c r="T81" s="418"/>
      <c r="U81" s="406"/>
      <c r="V81" s="406"/>
    </row>
    <row r="82" spans="1:23" s="301" customFormat="1" ht="10.5" hidden="1" customHeight="1">
      <c r="L82" s="416"/>
      <c r="M82" s="382"/>
      <c r="N82" s="382"/>
      <c r="O82" s="382"/>
      <c r="P82" s="382"/>
      <c r="Q82" s="417"/>
      <c r="R82" s="417"/>
      <c r="S82" s="417"/>
      <c r="T82" s="418"/>
      <c r="U82" s="406"/>
      <c r="V82" s="406"/>
    </row>
    <row r="83" spans="1:23" s="301" customFormat="1" ht="10.5" hidden="1" customHeight="1">
      <c r="L83" s="416"/>
      <c r="M83" s="382"/>
      <c r="N83" s="382"/>
      <c r="O83" s="382"/>
      <c r="P83" s="382"/>
      <c r="Q83" s="417"/>
      <c r="R83" s="417"/>
      <c r="S83" s="417"/>
      <c r="T83" s="418"/>
      <c r="U83" s="406"/>
      <c r="V83" s="406"/>
      <c r="W83" s="407"/>
    </row>
    <row r="84" spans="1:23" s="301" customFormat="1" ht="10.5" hidden="1" customHeight="1">
      <c r="L84" s="416"/>
      <c r="M84" s="382"/>
      <c r="N84" s="382"/>
      <c r="O84" s="382"/>
      <c r="P84" s="382"/>
      <c r="Q84" s="417"/>
      <c r="R84" s="417"/>
      <c r="S84" s="417"/>
      <c r="T84" s="418"/>
      <c r="U84" s="406"/>
      <c r="V84" s="406"/>
      <c r="W84" s="419"/>
    </row>
    <row r="85" spans="1:23" s="301" customFormat="1" ht="10.5" hidden="1" customHeight="1">
      <c r="L85" s="416"/>
      <c r="M85" s="382"/>
      <c r="N85" s="382"/>
      <c r="O85" s="382"/>
      <c r="P85" s="382"/>
      <c r="Q85" s="417"/>
      <c r="R85" s="417"/>
      <c r="S85" s="417"/>
      <c r="T85" s="418"/>
      <c r="U85" s="407"/>
      <c r="V85" s="406"/>
    </row>
    <row r="86" spans="1:23" s="301" customFormat="1" ht="10.5" hidden="1" customHeight="1">
      <c r="L86" s="416"/>
      <c r="M86" s="382"/>
      <c r="N86" s="382"/>
      <c r="O86" s="382"/>
      <c r="P86" s="382"/>
      <c r="Q86" s="417"/>
      <c r="R86" s="417"/>
      <c r="S86" s="417"/>
      <c r="T86" s="418"/>
      <c r="U86" s="407"/>
      <c r="V86" s="406"/>
    </row>
    <row r="87" spans="1:23" s="301" customFormat="1" ht="10.5" hidden="1" customHeight="1">
      <c r="L87" s="416"/>
      <c r="M87" s="382"/>
      <c r="N87" s="382"/>
      <c r="O87" s="382"/>
      <c r="P87" s="382"/>
      <c r="Q87" s="417"/>
      <c r="R87" s="417"/>
      <c r="S87" s="417"/>
      <c r="T87" s="418"/>
      <c r="U87" s="407"/>
      <c r="V87" s="406"/>
    </row>
    <row r="88" spans="1:23" s="301" customFormat="1" ht="12.75" hidden="1" customHeight="1">
      <c r="L88" s="416"/>
      <c r="M88" s="420"/>
      <c r="N88" s="421"/>
      <c r="O88" s="422"/>
      <c r="P88" s="415"/>
      <c r="Q88" s="382"/>
      <c r="R88" s="423"/>
      <c r="S88" s="382"/>
      <c r="T88" s="424"/>
      <c r="U88" s="407"/>
      <c r="V88" s="406"/>
    </row>
    <row r="89" spans="1:23" s="301" customFormat="1" ht="12.75" hidden="1" customHeight="1">
      <c r="L89" s="416"/>
      <c r="M89" s="425"/>
      <c r="N89" s="421"/>
      <c r="O89" s="384"/>
      <c r="P89" s="415"/>
      <c r="Q89" s="382"/>
      <c r="R89" s="251"/>
      <c r="S89" s="251"/>
      <c r="T89" s="426"/>
      <c r="U89" s="407"/>
      <c r="V89" s="427"/>
    </row>
    <row r="90" spans="1:23" s="301" customFormat="1" ht="12.75" hidden="1" customHeight="1">
      <c r="L90" s="416"/>
      <c r="M90" s="425"/>
      <c r="N90" s="421"/>
      <c r="O90" s="384"/>
      <c r="P90" s="415"/>
      <c r="Q90" s="251"/>
      <c r="R90" s="251"/>
      <c r="S90" s="251"/>
      <c r="T90" s="384"/>
      <c r="U90" s="419"/>
      <c r="V90" s="428"/>
    </row>
    <row r="91" spans="1:23" s="301" customFormat="1" ht="10.5" hidden="1" customHeight="1">
      <c r="L91" s="416"/>
      <c r="M91" s="382"/>
      <c r="N91" s="382"/>
      <c r="O91" s="382"/>
      <c r="P91" s="382"/>
      <c r="Q91" s="251"/>
      <c r="R91" s="251"/>
      <c r="S91" s="251"/>
      <c r="T91" s="418"/>
      <c r="V91" s="406"/>
    </row>
    <row r="92" spans="1:23" s="301" customFormat="1" ht="12.75" hidden="1" customHeight="1">
      <c r="L92" s="416"/>
      <c r="M92" s="414"/>
      <c r="N92" s="415"/>
      <c r="O92" s="250"/>
      <c r="P92" s="251"/>
      <c r="Q92" s="251"/>
      <c r="R92" s="251"/>
      <c r="S92" s="251"/>
      <c r="T92" s="384"/>
      <c r="V92" s="428"/>
    </row>
    <row r="93" spans="1:23" ht="12.75" hidden="1" customHeight="1">
      <c r="A93" s="301"/>
      <c r="B93" s="301"/>
      <c r="C93" s="301"/>
      <c r="D93" s="301"/>
      <c r="E93" s="301"/>
      <c r="F93" s="301"/>
      <c r="G93" s="301"/>
      <c r="H93" s="301"/>
      <c r="I93" s="301"/>
      <c r="J93" s="301"/>
      <c r="K93" s="301"/>
      <c r="L93" s="416"/>
      <c r="M93" s="382"/>
      <c r="N93" s="382"/>
      <c r="O93" s="382"/>
      <c r="P93" s="382"/>
      <c r="Q93" s="251"/>
      <c r="R93" s="414"/>
      <c r="S93" s="414"/>
      <c r="T93" s="429"/>
      <c r="V93" s="430"/>
    </row>
    <row r="94" spans="1:23" ht="12.75" hidden="1" customHeight="1">
      <c r="L94" s="416"/>
      <c r="M94" s="250"/>
      <c r="N94" s="251"/>
      <c r="O94" s="415"/>
      <c r="P94" s="415"/>
      <c r="Q94" s="382"/>
      <c r="R94" s="382"/>
      <c r="S94" s="382"/>
      <c r="T94" s="382"/>
    </row>
    <row r="95" spans="1:23" ht="3.75" hidden="1" customHeight="1">
      <c r="L95" s="416"/>
      <c r="M95" s="250"/>
      <c r="N95" s="251"/>
      <c r="O95" s="251"/>
      <c r="P95" s="251"/>
      <c r="Q95" s="382"/>
      <c r="R95" s="382"/>
      <c r="S95" s="382"/>
      <c r="T95" s="382"/>
    </row>
    <row r="96" spans="1:23" ht="10.5" hidden="1" customHeight="1">
      <c r="L96" s="416"/>
      <c r="M96" s="431"/>
      <c r="N96" s="431"/>
      <c r="O96" s="431"/>
      <c r="P96" s="431"/>
      <c r="Q96" s="251"/>
      <c r="R96" s="382"/>
      <c r="S96" s="382"/>
      <c r="T96" s="382"/>
    </row>
    <row r="97" spans="12:20" ht="10.5" hidden="1" customHeight="1">
      <c r="L97" s="416"/>
      <c r="M97" s="250"/>
      <c r="N97" s="383"/>
      <c r="O97" s="383"/>
      <c r="P97" s="383"/>
      <c r="Q97" s="251"/>
      <c r="R97" s="382"/>
      <c r="S97" s="382"/>
      <c r="T97" s="382"/>
    </row>
    <row r="98" spans="12:20" ht="10.5" hidden="1" customHeight="1">
      <c r="L98" s="416"/>
      <c r="M98" s="250"/>
      <c r="N98" s="383"/>
      <c r="O98" s="383"/>
      <c r="P98" s="383"/>
      <c r="Q98" s="251"/>
      <c r="R98" s="382"/>
      <c r="S98" s="382"/>
      <c r="T98" s="382"/>
    </row>
    <row r="99" spans="12:20" ht="10.5" hidden="1" customHeight="1">
      <c r="L99" s="416"/>
      <c r="M99" s="432"/>
      <c r="N99" s="383"/>
      <c r="O99" s="383"/>
      <c r="P99" s="383"/>
      <c r="Q99" s="251"/>
      <c r="R99" s="382"/>
      <c r="S99" s="382"/>
      <c r="T99" s="382"/>
    </row>
    <row r="100" spans="12:20" ht="10.5" hidden="1" customHeight="1">
      <c r="L100" s="416"/>
      <c r="M100" s="432"/>
      <c r="N100" s="383"/>
      <c r="O100" s="383"/>
      <c r="P100" s="383"/>
      <c r="Q100" s="433"/>
      <c r="R100" s="382"/>
      <c r="S100" s="382"/>
      <c r="T100" s="382"/>
    </row>
    <row r="101" spans="12:20" ht="3.75" hidden="1" customHeight="1">
      <c r="L101" s="413"/>
      <c r="M101" s="382"/>
      <c r="N101" s="382"/>
      <c r="O101" s="382"/>
      <c r="P101" s="382"/>
      <c r="Q101" s="382"/>
      <c r="R101" s="382"/>
      <c r="S101" s="382"/>
      <c r="T101" s="382"/>
    </row>
    <row r="102" spans="12:20" ht="12.75" hidden="1" customHeight="1">
      <c r="L102" s="413"/>
      <c r="M102" s="434"/>
      <c r="N102" s="434"/>
      <c r="O102" s="434"/>
      <c r="P102" s="434"/>
      <c r="Q102" s="434"/>
      <c r="R102" s="434"/>
      <c r="S102" s="434"/>
      <c r="T102" s="434"/>
    </row>
    <row r="103" spans="12:20" ht="10.5" hidden="1" customHeight="1">
      <c r="L103" s="413"/>
      <c r="M103" s="434"/>
      <c r="N103" s="434"/>
      <c r="O103" s="434"/>
      <c r="P103" s="434"/>
      <c r="Q103" s="434"/>
      <c r="R103" s="434"/>
      <c r="S103" s="434"/>
      <c r="T103" s="434"/>
    </row>
    <row r="104" spans="12:20" ht="10.5" hidden="1" customHeight="1">
      <c r="L104" s="413"/>
      <c r="M104" s="434"/>
      <c r="N104" s="434"/>
      <c r="O104" s="434"/>
      <c r="P104" s="434"/>
      <c r="Q104" s="434"/>
      <c r="R104" s="434"/>
      <c r="S104" s="434"/>
      <c r="T104" s="434"/>
    </row>
    <row r="105" spans="12:20" ht="10.5" hidden="1" customHeight="1">
      <c r="L105" s="413"/>
      <c r="M105" s="382"/>
      <c r="N105" s="382"/>
      <c r="O105" s="382"/>
      <c r="P105" s="382"/>
      <c r="Q105" s="382"/>
      <c r="R105" s="382"/>
      <c r="S105" s="382"/>
      <c r="T105" s="382"/>
    </row>
    <row r="106" spans="12:20" ht="10.5" hidden="1" customHeight="1">
      <c r="L106" s="413"/>
      <c r="M106" s="382"/>
      <c r="N106" s="382"/>
      <c r="O106" s="382"/>
      <c r="P106" s="382"/>
      <c r="Q106" s="382"/>
      <c r="R106" s="382"/>
      <c r="S106" s="382"/>
      <c r="T106" s="382"/>
    </row>
    <row r="107" spans="12:20" ht="10.5" hidden="1" customHeight="1">
      <c r="L107" s="413"/>
      <c r="M107" s="382"/>
      <c r="N107" s="382"/>
      <c r="O107" s="382"/>
      <c r="P107" s="382"/>
      <c r="Q107" s="382"/>
      <c r="R107" s="382"/>
      <c r="S107" s="382"/>
      <c r="T107" s="382"/>
    </row>
    <row r="108" spans="12:20" ht="10.5" hidden="1" customHeight="1">
      <c r="L108" s="413"/>
      <c r="M108" s="382"/>
      <c r="N108" s="382"/>
      <c r="O108" s="382"/>
      <c r="P108" s="382"/>
      <c r="Q108" s="382"/>
      <c r="R108" s="382"/>
      <c r="S108" s="382"/>
      <c r="T108" s="382"/>
    </row>
    <row r="109" spans="12:20" ht="10.5" hidden="1" customHeight="1">
      <c r="L109" s="413"/>
      <c r="M109" s="382"/>
      <c r="N109" s="382"/>
      <c r="O109" s="382"/>
      <c r="P109" s="382"/>
      <c r="Q109" s="382"/>
      <c r="R109" s="382"/>
      <c r="S109" s="382"/>
      <c r="T109" s="382"/>
    </row>
    <row r="110" spans="12:20" ht="10.5" hidden="1" customHeight="1">
      <c r="L110" s="413"/>
      <c r="M110" s="382"/>
      <c r="N110" s="382"/>
      <c r="O110" s="382"/>
      <c r="P110" s="382"/>
      <c r="Q110" s="382"/>
      <c r="R110" s="382"/>
      <c r="S110" s="382"/>
      <c r="T110" s="382"/>
    </row>
    <row r="111" spans="12:20" ht="10.5" hidden="1" customHeight="1">
      <c r="L111" s="413"/>
      <c r="M111" s="382"/>
      <c r="N111" s="382"/>
      <c r="O111" s="382"/>
      <c r="P111" s="382"/>
      <c r="Q111" s="382"/>
      <c r="R111" s="382"/>
      <c r="S111" s="382"/>
      <c r="T111" s="382"/>
    </row>
    <row r="112" spans="12:20" ht="10.5" hidden="1" customHeight="1">
      <c r="L112" s="413"/>
      <c r="M112" s="382"/>
      <c r="N112" s="382"/>
      <c r="O112" s="382"/>
      <c r="P112" s="382"/>
      <c r="Q112" s="382"/>
      <c r="R112" s="382"/>
      <c r="S112" s="382"/>
      <c r="T112" s="382"/>
    </row>
    <row r="113" spans="12:20" ht="10.5" hidden="1" customHeight="1">
      <c r="L113" s="413"/>
      <c r="M113" s="382"/>
      <c r="N113" s="382"/>
      <c r="O113" s="382"/>
      <c r="P113" s="382"/>
      <c r="Q113" s="382"/>
      <c r="R113" s="382"/>
      <c r="S113" s="382"/>
      <c r="T113" s="382"/>
    </row>
    <row r="114" spans="12:20" ht="10.5" hidden="1" customHeight="1">
      <c r="L114" s="413"/>
      <c r="M114" s="382"/>
      <c r="N114" s="382"/>
      <c r="O114" s="382"/>
      <c r="P114" s="382"/>
      <c r="Q114" s="382"/>
      <c r="R114" s="382"/>
      <c r="S114" s="382"/>
      <c r="T114" s="382"/>
    </row>
    <row r="115" spans="12:20" ht="10.5" hidden="1" customHeight="1">
      <c r="L115" s="413"/>
      <c r="M115" s="382"/>
      <c r="N115" s="382"/>
      <c r="O115" s="382"/>
      <c r="P115" s="382"/>
      <c r="Q115" s="382"/>
      <c r="R115" s="382"/>
      <c r="S115" s="382"/>
      <c r="T115" s="382"/>
    </row>
    <row r="116" spans="12:20" ht="10.5" hidden="1" customHeight="1">
      <c r="L116" s="413"/>
      <c r="M116" s="382"/>
      <c r="N116" s="382"/>
      <c r="O116" s="382"/>
      <c r="P116" s="382"/>
      <c r="Q116" s="382"/>
      <c r="R116" s="382"/>
      <c r="S116" s="382"/>
      <c r="T116" s="382"/>
    </row>
    <row r="117" spans="12:20" ht="10.5" hidden="1" customHeight="1">
      <c r="L117" s="413"/>
      <c r="M117" s="382"/>
      <c r="N117" s="382"/>
      <c r="O117" s="382"/>
      <c r="P117" s="382"/>
      <c r="Q117" s="382"/>
      <c r="R117" s="382"/>
      <c r="S117" s="382"/>
      <c r="T117" s="382"/>
    </row>
    <row r="118" spans="12:20" ht="10.5" hidden="1" customHeight="1">
      <c r="L118" s="413"/>
      <c r="M118" s="382"/>
      <c r="N118" s="382"/>
      <c r="O118" s="382"/>
      <c r="P118" s="382"/>
      <c r="Q118" s="382"/>
      <c r="R118" s="382"/>
      <c r="S118" s="382"/>
      <c r="T118" s="382"/>
    </row>
    <row r="119" spans="12:20" ht="10.5" hidden="1" customHeight="1">
      <c r="L119" s="413"/>
      <c r="M119" s="382"/>
      <c r="N119" s="382"/>
      <c r="O119" s="382"/>
      <c r="P119" s="382"/>
      <c r="Q119" s="382"/>
      <c r="R119" s="382"/>
      <c r="S119" s="382"/>
      <c r="T119" s="382"/>
    </row>
    <row r="120" spans="12:20" ht="10.5" hidden="1" customHeight="1">
      <c r="L120" s="413"/>
      <c r="M120" s="382"/>
      <c r="N120" s="382"/>
      <c r="O120" s="382"/>
      <c r="P120" s="382"/>
      <c r="Q120" s="382"/>
      <c r="R120" s="382"/>
      <c r="S120" s="382"/>
      <c r="T120" s="382"/>
    </row>
    <row r="121" spans="12:20" ht="10.5" hidden="1" customHeight="1">
      <c r="L121" s="413"/>
      <c r="M121" s="382"/>
      <c r="N121" s="382"/>
      <c r="O121" s="382"/>
      <c r="P121" s="382"/>
      <c r="Q121" s="382"/>
      <c r="R121" s="382"/>
      <c r="S121" s="382"/>
      <c r="T121" s="382"/>
    </row>
    <row r="122" spans="12:20" ht="10.5" hidden="1" customHeight="1">
      <c r="L122" s="413"/>
      <c r="M122" s="382"/>
      <c r="N122" s="382"/>
      <c r="O122" s="382"/>
      <c r="P122" s="382"/>
      <c r="Q122" s="382"/>
      <c r="R122" s="382"/>
      <c r="S122" s="382"/>
      <c r="T122" s="382"/>
    </row>
    <row r="123" spans="12:20" ht="10.5" hidden="1" customHeight="1">
      <c r="L123" s="413"/>
      <c r="M123" s="382"/>
      <c r="N123" s="382"/>
      <c r="O123" s="382"/>
      <c r="P123" s="382"/>
      <c r="Q123" s="382"/>
      <c r="R123" s="382"/>
      <c r="S123" s="382"/>
      <c r="T123" s="382"/>
    </row>
    <row r="124" spans="12:20" ht="10.5" hidden="1" customHeight="1">
      <c r="L124" s="413"/>
      <c r="M124" s="382"/>
      <c r="N124" s="382"/>
      <c r="O124" s="382"/>
      <c r="P124" s="382"/>
      <c r="Q124" s="382"/>
      <c r="R124" s="382"/>
      <c r="S124" s="382"/>
      <c r="T124" s="382"/>
    </row>
    <row r="125" spans="12:20" ht="10.5" hidden="1" customHeight="1">
      <c r="L125" s="413"/>
      <c r="M125" s="382"/>
      <c r="N125" s="382"/>
      <c r="O125" s="382"/>
      <c r="P125" s="382"/>
      <c r="Q125" s="382"/>
      <c r="R125" s="382"/>
      <c r="S125" s="382"/>
      <c r="T125" s="382"/>
    </row>
    <row r="126" spans="12:20" ht="10.5" hidden="1" customHeight="1">
      <c r="L126" s="413"/>
      <c r="M126" s="382"/>
      <c r="N126" s="382"/>
      <c r="O126" s="382"/>
      <c r="P126" s="382"/>
      <c r="Q126" s="382"/>
      <c r="R126" s="382"/>
      <c r="S126" s="382"/>
      <c r="T126" s="382"/>
    </row>
    <row r="127" spans="12:20" ht="10.5" hidden="1" customHeight="1">
      <c r="L127" s="413"/>
      <c r="M127" s="382"/>
      <c r="N127" s="382"/>
      <c r="O127" s="382"/>
      <c r="P127" s="382"/>
      <c r="Q127" s="382"/>
      <c r="R127" s="382"/>
      <c r="S127" s="382"/>
      <c r="T127" s="382"/>
    </row>
    <row r="128" spans="12:20" ht="10.5" hidden="1" customHeight="1">
      <c r="L128" s="413"/>
      <c r="M128" s="382"/>
      <c r="N128" s="382"/>
      <c r="O128" s="382"/>
      <c r="P128" s="382"/>
      <c r="Q128" s="382"/>
      <c r="R128" s="382"/>
      <c r="S128" s="382"/>
      <c r="T128" s="382"/>
    </row>
    <row r="129" spans="12:20" ht="10.5" hidden="1" customHeight="1">
      <c r="L129" s="413"/>
      <c r="M129" s="382"/>
      <c r="N129" s="382"/>
      <c r="O129" s="382"/>
      <c r="P129" s="382"/>
      <c r="Q129" s="382"/>
      <c r="R129" s="382"/>
      <c r="S129" s="382"/>
      <c r="T129" s="382"/>
    </row>
    <row r="130" spans="12:20" ht="10.5" hidden="1" customHeight="1"/>
    <row r="131" spans="12:20" ht="10.5" hidden="1" customHeight="1"/>
    <row r="132" spans="12:20" ht="10.5" hidden="1" customHeight="1"/>
    <row r="133" spans="12:20" ht="10.5" hidden="1" customHeight="1"/>
    <row r="134" spans="12:20" ht="10.5" hidden="1" customHeight="1"/>
    <row r="135" spans="12:20" ht="10.5" hidden="1" customHeight="1"/>
    <row r="136" spans="12:20" ht="10.5" hidden="1" customHeight="1"/>
    <row r="137" spans="12:20" ht="10.5" hidden="1" customHeight="1"/>
    <row r="138" spans="12:20" ht="10.5" hidden="1" customHeight="1"/>
    <row r="139" spans="12:20" ht="10.5" hidden="1" customHeight="1"/>
    <row r="140" spans="12:20" ht="10.5" hidden="1" customHeight="1"/>
    <row r="141" spans="12:20" ht="10.5" hidden="1" customHeight="1"/>
    <row r="142" spans="12:20" ht="10.5" hidden="1" customHeight="1"/>
    <row r="143" spans="12:20" ht="10.5" hidden="1" customHeight="1"/>
    <row r="144" spans="12:20" ht="10.5" hidden="1" customHeight="1"/>
    <row r="145" ht="10.5" hidden="1" customHeight="1"/>
    <row r="146" ht="10.5" hidden="1" customHeight="1"/>
    <row r="147" ht="10.5" hidden="1" customHeight="1"/>
    <row r="148" ht="10.5" hidden="1" customHeight="1"/>
    <row r="149" ht="10.5" hidden="1" customHeight="1"/>
    <row r="150" ht="10.5" hidden="1" customHeight="1"/>
    <row r="151" ht="10.5" hidden="1" customHeight="1"/>
    <row r="152" ht="10.5" hidden="1" customHeight="1"/>
    <row r="153" ht="10.5" hidden="1" customHeight="1"/>
    <row r="154" ht="10.5" hidden="1" customHeight="1"/>
    <row r="155" ht="10.5" hidden="1" customHeight="1"/>
    <row r="156" ht="10.5" hidden="1" customHeight="1"/>
    <row r="157" ht="10.5" hidden="1" customHeight="1"/>
    <row r="158" ht="10.5" hidden="1" customHeight="1"/>
    <row r="159" ht="10.5" hidden="1" customHeight="1"/>
    <row r="160" ht="10.5" hidden="1" customHeight="1"/>
    <row r="161" ht="10.5" hidden="1" customHeight="1"/>
    <row r="162" ht="10.5" hidden="1" customHeight="1"/>
    <row r="163" ht="10.5" hidden="1" customHeight="1"/>
    <row r="164" ht="10.5" hidden="1" customHeight="1"/>
    <row r="165" ht="10.5" hidden="1" customHeight="1"/>
    <row r="166" ht="10.5" hidden="1" customHeight="1"/>
    <row r="167" ht="10.5" hidden="1" customHeight="1"/>
    <row r="168" ht="10.5" hidden="1" customHeight="1"/>
    <row r="169" ht="10.5" hidden="1" customHeight="1"/>
    <row r="170" ht="10.5" hidden="1" customHeight="1"/>
    <row r="171" ht="10.5" hidden="1" customHeight="1"/>
    <row r="172" ht="10.5" hidden="1" customHeight="1"/>
    <row r="173" ht="10.5" hidden="1" customHeight="1"/>
    <row r="174" ht="10.5" hidden="1" customHeight="1"/>
    <row r="175" ht="10.5" hidden="1" customHeight="1"/>
    <row r="176" ht="10.5" hidden="1" customHeight="1"/>
    <row r="177" ht="10.5" hidden="1" customHeight="1"/>
    <row r="178" ht="10.5" hidden="1" customHeight="1"/>
    <row r="179" ht="10.5" hidden="1" customHeight="1"/>
    <row r="180" ht="10.5" hidden="1" customHeight="1"/>
    <row r="181" ht="10.5" hidden="1" customHeight="1"/>
    <row r="182" ht="10.5" hidden="1" customHeight="1"/>
    <row r="183" ht="10.5" hidden="1" customHeight="1"/>
    <row r="184" ht="10.5" hidden="1" customHeight="1"/>
    <row r="185" ht="10.5" hidden="1" customHeight="1"/>
    <row r="186" ht="10.5" hidden="1" customHeight="1"/>
    <row r="187" ht="10.5" hidden="1" customHeight="1"/>
    <row r="188" ht="10.5" hidden="1" customHeight="1"/>
    <row r="189" ht="10.5" hidden="1" customHeight="1"/>
    <row r="190" ht="10.5" hidden="1" customHeight="1"/>
    <row r="191" ht="10.5" hidden="1" customHeight="1"/>
    <row r="192" ht="10.5" hidden="1" customHeight="1"/>
    <row r="193" ht="10.5" hidden="1" customHeight="1"/>
    <row r="194" ht="10.5" hidden="1" customHeight="1"/>
    <row r="195" ht="10.5" hidden="1" customHeight="1"/>
    <row r="196" ht="10.5" hidden="1" customHeight="1"/>
    <row r="197" ht="10.5" hidden="1" customHeight="1"/>
    <row r="198" ht="10.5" hidden="1" customHeight="1"/>
    <row r="199" ht="10.5" hidden="1" customHeight="1"/>
    <row r="200" ht="10.5" hidden="1" customHeight="1"/>
    <row r="201" ht="10.5" hidden="1" customHeight="1"/>
    <row r="202" ht="10.5" hidden="1" customHeight="1"/>
    <row r="203" ht="10.5" hidden="1" customHeight="1"/>
    <row r="204" ht="10.5" hidden="1" customHeight="1"/>
    <row r="205" ht="10.5" hidden="1" customHeight="1"/>
    <row r="206" ht="10.5" hidden="1" customHeight="1"/>
    <row r="207" ht="10.5" hidden="1" customHeight="1"/>
    <row r="208" ht="10.5" hidden="1" customHeight="1"/>
    <row r="209" spans="1:14" ht="12" hidden="1" customHeight="1"/>
    <row r="210" spans="1:14" ht="10.5" hidden="1" customHeight="1"/>
    <row r="211" spans="1:14" ht="10.5" hidden="1" customHeight="1"/>
    <row r="212" spans="1:14" ht="10.5" hidden="1" customHeight="1"/>
    <row r="213" spans="1:14" ht="10.5" hidden="1" customHeight="1"/>
    <row r="214" spans="1:14" ht="11.25" hidden="1" customHeight="1" thickBot="1"/>
    <row r="215" spans="1:14" s="249" customFormat="1" ht="11.25" hidden="1" customHeight="1" thickTop="1">
      <c r="A215" s="350" t="s">
        <v>47</v>
      </c>
      <c r="B215" s="351" t="s">
        <v>10</v>
      </c>
      <c r="C215" s="435"/>
      <c r="D215" s="435"/>
      <c r="E215" s="435"/>
      <c r="F215" s="435"/>
      <c r="G215" s="435"/>
      <c r="H215" s="435"/>
      <c r="I215" s="435"/>
      <c r="J215" s="435"/>
      <c r="K215" s="435"/>
      <c r="L215" s="436"/>
      <c r="M215" s="251"/>
      <c r="N215" s="251"/>
    </row>
    <row r="216" spans="1:14" s="249" customFormat="1" ht="10.5" hidden="1" customHeight="1">
      <c r="A216" s="437">
        <v>1</v>
      </c>
      <c r="B216" s="438" t="s">
        <v>120</v>
      </c>
      <c r="C216" s="439"/>
      <c r="D216" s="439"/>
      <c r="E216" s="439"/>
      <c r="F216" s="439"/>
      <c r="G216" s="439"/>
      <c r="H216" s="439"/>
      <c r="I216" s="439"/>
      <c r="J216" s="439"/>
      <c r="K216" s="439"/>
      <c r="L216" s="440"/>
      <c r="M216" s="251"/>
      <c r="N216" s="251"/>
    </row>
    <row r="217" spans="1:14" s="249" customFormat="1" ht="10.5" hidden="1" customHeight="1">
      <c r="A217" s="352">
        <v>2</v>
      </c>
      <c r="B217" s="438" t="s">
        <v>121</v>
      </c>
      <c r="C217" s="439"/>
      <c r="D217" s="439"/>
      <c r="E217" s="439"/>
      <c r="F217" s="439"/>
      <c r="G217" s="439"/>
      <c r="H217" s="439"/>
      <c r="I217" s="439"/>
      <c r="J217" s="439"/>
      <c r="K217" s="439"/>
      <c r="L217" s="440"/>
      <c r="M217" s="251"/>
      <c r="N217" s="251"/>
    </row>
    <row r="218" spans="1:14" s="249" customFormat="1" ht="10.5" hidden="1" customHeight="1">
      <c r="A218" s="352">
        <v>3</v>
      </c>
      <c r="B218" s="438" t="s">
        <v>155</v>
      </c>
      <c r="C218" s="439"/>
      <c r="D218" s="439"/>
      <c r="E218" s="439"/>
      <c r="F218" s="439"/>
      <c r="G218" s="439"/>
      <c r="H218" s="439"/>
      <c r="I218" s="439"/>
      <c r="J218" s="439"/>
      <c r="K218" s="439"/>
      <c r="L218" s="440"/>
      <c r="M218" s="251"/>
      <c r="N218" s="251"/>
    </row>
    <row r="219" spans="1:14" s="249" customFormat="1" ht="10.5" hidden="1" customHeight="1">
      <c r="A219" s="352">
        <v>4</v>
      </c>
      <c r="B219" s="438" t="s">
        <v>122</v>
      </c>
      <c r="C219" s="439"/>
      <c r="D219" s="439"/>
      <c r="E219" s="439"/>
      <c r="F219" s="439"/>
      <c r="G219" s="439"/>
      <c r="H219" s="439"/>
      <c r="I219" s="439"/>
      <c r="J219" s="439"/>
      <c r="K219" s="439"/>
      <c r="L219" s="440"/>
      <c r="M219" s="251"/>
      <c r="N219" s="251"/>
    </row>
    <row r="220" spans="1:14" s="249" customFormat="1" ht="10.5" hidden="1" customHeight="1">
      <c r="A220" s="352">
        <v>5</v>
      </c>
      <c r="B220" s="441" t="s">
        <v>149</v>
      </c>
      <c r="C220" s="439"/>
      <c r="D220" s="439"/>
      <c r="E220" s="439"/>
      <c r="F220" s="439"/>
      <c r="G220" s="439"/>
      <c r="H220" s="439"/>
      <c r="I220" s="439"/>
      <c r="J220" s="439"/>
      <c r="K220" s="439"/>
      <c r="L220" s="440"/>
      <c r="M220" s="251"/>
      <c r="N220" s="251"/>
    </row>
    <row r="221" spans="1:14" s="249" customFormat="1" ht="11.25" hidden="1" customHeight="1" thickBot="1">
      <c r="A221" s="442">
        <v>6</v>
      </c>
      <c r="B221" s="443" t="s">
        <v>123</v>
      </c>
      <c r="C221" s="444"/>
      <c r="D221" s="444"/>
      <c r="E221" s="444"/>
      <c r="F221" s="444"/>
      <c r="G221" s="444"/>
      <c r="H221" s="444"/>
      <c r="I221" s="444"/>
      <c r="J221" s="444"/>
      <c r="K221" s="444"/>
      <c r="L221" s="445"/>
      <c r="M221" s="251"/>
      <c r="N221" s="251"/>
    </row>
    <row r="222" spans="1:14" s="249" customFormat="1" ht="12" hidden="1" customHeight="1" thickTop="1" thickBot="1">
      <c r="A222" s="446"/>
      <c r="B222" s="446"/>
      <c r="C222" s="446"/>
      <c r="D222" s="446"/>
      <c r="E222" s="446"/>
      <c r="F222" s="446"/>
      <c r="G222" s="446"/>
      <c r="H222" s="446"/>
      <c r="I222" s="446"/>
      <c r="J222" s="446"/>
      <c r="K222" s="446"/>
      <c r="L222" s="446"/>
    </row>
    <row r="223" spans="1:14" s="249" customFormat="1" ht="14.25" hidden="1" customHeight="1" thickTop="1" thickBot="1">
      <c r="A223" s="447"/>
      <c r="B223" s="446"/>
      <c r="C223" s="448" t="s">
        <v>2</v>
      </c>
      <c r="D223" s="446"/>
      <c r="E223" s="350" t="s">
        <v>3</v>
      </c>
      <c r="F223" s="449"/>
      <c r="G223" s="446"/>
      <c r="H223" s="450" t="s">
        <v>21</v>
      </c>
      <c r="I223" s="451"/>
      <c r="J223" s="446"/>
      <c r="K223" s="452" t="s">
        <v>105</v>
      </c>
      <c r="L223" s="446"/>
    </row>
    <row r="224" spans="1:14" s="249" customFormat="1" ht="13.5" hidden="1" customHeight="1" thickTop="1">
      <c r="A224" s="447"/>
      <c r="B224" s="446"/>
      <c r="C224" s="453">
        <v>3500</v>
      </c>
      <c r="D224" s="446"/>
      <c r="E224" s="454"/>
      <c r="F224" s="449"/>
      <c r="G224" s="446"/>
      <c r="H224" s="455"/>
      <c r="I224" s="456"/>
      <c r="J224" s="446"/>
      <c r="K224" s="452"/>
      <c r="L224" s="446"/>
    </row>
    <row r="225" spans="1:12" s="249" customFormat="1" ht="12.75" hidden="1" customHeight="1">
      <c r="A225" s="447"/>
      <c r="B225" s="446"/>
      <c r="C225" s="353">
        <v>4000</v>
      </c>
      <c r="D225" s="446"/>
      <c r="E225" s="457"/>
      <c r="F225" s="458"/>
      <c r="G225" s="446"/>
      <c r="H225" s="459" t="s">
        <v>37</v>
      </c>
      <c r="I225" s="460" t="str">
        <f>IF(H27=0,"NO APLICA","ANUAL")</f>
        <v>NO APLICA</v>
      </c>
      <c r="J225" s="446"/>
      <c r="K225" s="452">
        <f>IF(C21="ANUAL",1,IF(C21="SEMESTRAL",2,IF(C21="TRIMESTRAL",4,IF(C21="MENSUAL",12,1))))</f>
        <v>1</v>
      </c>
      <c r="L225" s="446"/>
    </row>
    <row r="226" spans="1:12" s="249" customFormat="1" ht="12.75" hidden="1" customHeight="1">
      <c r="A226" s="447"/>
      <c r="B226" s="446"/>
      <c r="C226" s="353">
        <v>4500</v>
      </c>
      <c r="D226" s="446"/>
      <c r="E226" s="457"/>
      <c r="F226" s="458"/>
      <c r="G226" s="446"/>
      <c r="H226" s="460" t="s">
        <v>36</v>
      </c>
      <c r="I226" s="460" t="str">
        <f>IF(H28=0,"NO APLICA","SEMESTRAL")</f>
        <v>NO APLICA</v>
      </c>
      <c r="J226" s="446"/>
      <c r="K226" s="446"/>
      <c r="L226" s="446"/>
    </row>
    <row r="227" spans="1:12" s="249" customFormat="1" ht="12.75" hidden="1" customHeight="1">
      <c r="A227" s="447"/>
      <c r="B227" s="446"/>
      <c r="C227" s="353">
        <v>5500</v>
      </c>
      <c r="D227" s="446"/>
      <c r="E227" s="457">
        <v>0.1</v>
      </c>
      <c r="F227" s="458"/>
      <c r="G227" s="446"/>
      <c r="H227" s="460" t="s">
        <v>104</v>
      </c>
      <c r="I227" s="460" t="str">
        <f>IF(H29=0,"NO APLICA","TRIMESTRAL")</f>
        <v>NO APLICA</v>
      </c>
      <c r="J227" s="446"/>
      <c r="K227" s="446" t="s">
        <v>40</v>
      </c>
      <c r="L227" s="446"/>
    </row>
    <row r="228" spans="1:12" s="249" customFormat="1" ht="13.5" hidden="1" customHeight="1" thickBot="1">
      <c r="A228" s="447"/>
      <c r="B228" s="446"/>
      <c r="C228" s="353">
        <v>6000</v>
      </c>
      <c r="D228" s="446"/>
      <c r="E228" s="457">
        <v>0.15</v>
      </c>
      <c r="F228" s="458"/>
      <c r="G228" s="446"/>
      <c r="H228" s="460" t="s">
        <v>102</v>
      </c>
      <c r="I228" s="460" t="str">
        <f>IF(H30=0,"NO APLICA","MENSUAL")</f>
        <v>NO APLICA</v>
      </c>
      <c r="J228" s="446"/>
      <c r="K228" s="461">
        <v>0.11</v>
      </c>
      <c r="L228" s="446"/>
    </row>
    <row r="229" spans="1:12" s="249" customFormat="1" ht="14.25" hidden="1" customHeight="1" thickTop="1" thickBot="1">
      <c r="A229" s="447"/>
      <c r="B229" s="446"/>
      <c r="C229" s="353">
        <v>8000</v>
      </c>
      <c r="D229" s="446"/>
      <c r="E229" s="462">
        <v>0.2</v>
      </c>
      <c r="F229" s="458"/>
      <c r="G229" s="446"/>
      <c r="H229" s="450" t="s">
        <v>94</v>
      </c>
      <c r="I229" s="451"/>
      <c r="J229" s="446"/>
      <c r="K229" s="461">
        <v>0.16</v>
      </c>
      <c r="L229" s="446"/>
    </row>
    <row r="230" spans="1:12" s="249" customFormat="1" ht="13.5" hidden="1" customHeight="1" thickTop="1">
      <c r="A230" s="447"/>
      <c r="B230" s="446"/>
      <c r="C230" s="720">
        <v>12000</v>
      </c>
      <c r="D230" s="446"/>
      <c r="E230" s="446"/>
      <c r="F230" s="446"/>
      <c r="G230" s="446"/>
      <c r="H230" s="459" t="s">
        <v>36</v>
      </c>
      <c r="I230" s="459" t="s">
        <v>95</v>
      </c>
      <c r="J230" s="446"/>
      <c r="K230" s="446"/>
      <c r="L230" s="446"/>
    </row>
    <row r="231" spans="1:12" s="249" customFormat="1" ht="12.75" hidden="1" customHeight="1">
      <c r="A231" s="447"/>
      <c r="B231" s="446"/>
      <c r="C231" s="720">
        <v>15000</v>
      </c>
      <c r="D231" s="446"/>
      <c r="E231" s="446"/>
      <c r="F231" s="446"/>
      <c r="G231" s="446"/>
      <c r="H231" s="460" t="s">
        <v>88</v>
      </c>
      <c r="I231" s="460" t="s">
        <v>96</v>
      </c>
      <c r="J231" s="446"/>
      <c r="K231" s="446"/>
      <c r="L231" s="446"/>
    </row>
    <row r="232" spans="1:12" s="249" customFormat="1" ht="13.5" hidden="1" customHeight="1" thickBot="1">
      <c r="A232" s="447"/>
      <c r="B232" s="446"/>
      <c r="C232" s="720">
        <v>25000</v>
      </c>
      <c r="D232" s="446"/>
      <c r="G232" s="446"/>
      <c r="H232" s="463"/>
      <c r="I232" s="463"/>
      <c r="J232" s="446"/>
      <c r="K232" s="446"/>
      <c r="L232" s="446"/>
    </row>
    <row r="233" spans="1:12" s="249" customFormat="1" ht="14.25" hidden="1" customHeight="1" thickTop="1" thickBot="1">
      <c r="A233" s="447"/>
      <c r="B233" s="446"/>
      <c r="C233" s="720">
        <v>35000</v>
      </c>
      <c r="D233" s="446"/>
      <c r="E233" s="446"/>
      <c r="F233" s="446"/>
      <c r="G233" s="446"/>
      <c r="H233" s="450" t="s">
        <v>147</v>
      </c>
      <c r="I233" s="451"/>
      <c r="J233" s="446"/>
      <c r="K233" s="446"/>
      <c r="L233" s="446"/>
    </row>
    <row r="234" spans="1:12" s="249" customFormat="1" ht="13.5" hidden="1" customHeight="1" thickTop="1">
      <c r="A234" s="447"/>
      <c r="B234" s="446"/>
      <c r="C234" s="720">
        <v>40000</v>
      </c>
      <c r="D234" s="446"/>
      <c r="E234" s="446"/>
      <c r="F234" s="446"/>
      <c r="G234" s="350" t="s">
        <v>99</v>
      </c>
      <c r="H234" s="459" t="s">
        <v>36</v>
      </c>
      <c r="I234" s="459" t="s">
        <v>95</v>
      </c>
      <c r="J234" s="446"/>
      <c r="K234" s="446"/>
      <c r="L234" s="446"/>
    </row>
    <row r="235" spans="1:12" s="249" customFormat="1" ht="12.75" hidden="1" customHeight="1">
      <c r="A235" s="447"/>
      <c r="B235" s="446"/>
      <c r="C235" s="720">
        <v>50000</v>
      </c>
      <c r="D235" s="446"/>
      <c r="E235" s="446"/>
      <c r="F235" s="446"/>
      <c r="G235" s="454"/>
      <c r="H235" s="460" t="s">
        <v>88</v>
      </c>
      <c r="I235" s="460" t="s">
        <v>96</v>
      </c>
      <c r="J235" s="446"/>
      <c r="K235" s="446"/>
      <c r="L235" s="446"/>
    </row>
    <row r="236" spans="1:12" s="249" customFormat="1" ht="13.5" hidden="1" customHeight="1" thickBot="1">
      <c r="A236" s="447"/>
      <c r="B236" s="446"/>
      <c r="C236" s="353">
        <v>55000</v>
      </c>
      <c r="D236" s="446"/>
      <c r="E236" s="446"/>
      <c r="F236" s="446"/>
      <c r="G236" s="454"/>
      <c r="H236" s="463"/>
      <c r="I236" s="463"/>
      <c r="J236" s="446"/>
      <c r="K236" s="446"/>
      <c r="L236" s="446"/>
    </row>
    <row r="237" spans="1:12" s="249" customFormat="1" ht="13.5" hidden="1" customHeight="1" thickTop="1" thickBot="1">
      <c r="A237" s="447"/>
      <c r="B237" s="446"/>
      <c r="C237" s="353">
        <v>60000</v>
      </c>
      <c r="D237" s="446"/>
      <c r="E237" s="446"/>
      <c r="F237" s="446"/>
      <c r="G237" s="454"/>
      <c r="H237" s="446"/>
      <c r="I237" s="446"/>
      <c r="J237" s="446"/>
      <c r="K237" s="446"/>
      <c r="L237" s="446"/>
    </row>
    <row r="238" spans="1:12" s="249" customFormat="1" ht="12.75" hidden="1" customHeight="1" thickTop="1">
      <c r="A238" s="447"/>
      <c r="B238" s="446"/>
      <c r="C238" s="353">
        <v>70000</v>
      </c>
      <c r="D238" s="446"/>
      <c r="E238" s="446"/>
      <c r="F238" s="446"/>
      <c r="G238" s="454"/>
      <c r="H238" s="450" t="s">
        <v>269</v>
      </c>
      <c r="I238" s="451"/>
      <c r="J238" s="446"/>
      <c r="K238" s="446"/>
      <c r="L238" s="446"/>
    </row>
    <row r="239" spans="1:12" s="249" customFormat="1" ht="12.75" hidden="1" customHeight="1">
      <c r="A239" s="447"/>
      <c r="B239" s="446"/>
      <c r="C239" s="353">
        <v>80000</v>
      </c>
      <c r="D239" s="446"/>
      <c r="E239" s="446"/>
      <c r="F239" s="446"/>
      <c r="G239" s="454"/>
      <c r="H239" s="459" t="s">
        <v>270</v>
      </c>
      <c r="I239" s="459">
        <v>0</v>
      </c>
      <c r="J239" s="446"/>
      <c r="K239" s="446"/>
      <c r="L239" s="446"/>
    </row>
    <row r="240" spans="1:12" s="249" customFormat="1" ht="12.75" hidden="1" customHeight="1">
      <c r="A240" s="447"/>
      <c r="B240" s="446"/>
      <c r="C240" s="353">
        <v>90000</v>
      </c>
      <c r="D240" s="446"/>
      <c r="E240" s="446"/>
      <c r="F240" s="446"/>
      <c r="G240" s="454"/>
      <c r="H240" s="460" t="s">
        <v>271</v>
      </c>
      <c r="I240" s="460">
        <v>1</v>
      </c>
      <c r="J240" s="446"/>
      <c r="K240" s="446"/>
      <c r="L240" s="446"/>
    </row>
    <row r="241" spans="1:12" s="249" customFormat="1" ht="12.75" hidden="1" customHeight="1" thickBot="1">
      <c r="A241" s="447"/>
      <c r="B241" s="446"/>
      <c r="C241" s="353">
        <v>100000</v>
      </c>
      <c r="D241" s="446"/>
      <c r="E241" s="446"/>
      <c r="F241" s="446"/>
      <c r="G241" s="454"/>
      <c r="H241" s="463" t="s">
        <v>315</v>
      </c>
      <c r="I241" s="463">
        <v>1</v>
      </c>
      <c r="J241" s="446"/>
      <c r="K241" s="446"/>
      <c r="L241" s="446"/>
    </row>
    <row r="242" spans="1:12" s="249" customFormat="1" ht="12.75" hidden="1" customHeight="1" thickTop="1" thickBot="1">
      <c r="A242" s="447"/>
      <c r="B242" s="446"/>
      <c r="C242" s="353">
        <v>200000</v>
      </c>
      <c r="D242" s="446"/>
      <c r="E242" s="446"/>
      <c r="F242" s="446"/>
      <c r="G242" s="454"/>
      <c r="H242" s="463" t="s">
        <v>316</v>
      </c>
      <c r="I242" s="463">
        <v>0</v>
      </c>
      <c r="J242" s="446"/>
      <c r="K242" s="446"/>
      <c r="L242" s="446"/>
    </row>
    <row r="243" spans="1:12" s="249" customFormat="1" ht="12.75" hidden="1" customHeight="1" thickTop="1">
      <c r="A243" s="447"/>
      <c r="B243" s="446"/>
      <c r="C243" s="353">
        <v>300000</v>
      </c>
      <c r="D243" s="446"/>
      <c r="E243" s="446"/>
      <c r="F243" s="446"/>
      <c r="G243" s="454"/>
      <c r="H243" s="446"/>
      <c r="I243" s="446"/>
      <c r="J243" s="446"/>
      <c r="K243" s="446"/>
      <c r="L243" s="446"/>
    </row>
    <row r="244" spans="1:12" s="249" customFormat="1" ht="12.75" hidden="1" customHeight="1">
      <c r="A244" s="447"/>
      <c r="B244" s="446"/>
      <c r="C244" s="353">
        <v>400000</v>
      </c>
      <c r="D244" s="446"/>
      <c r="E244" s="446"/>
      <c r="F244" s="446"/>
      <c r="G244" s="454"/>
      <c r="H244" s="446" t="str">
        <f>+CONCATENATE(H239,H242)</f>
        <v>NUEVA A PARTIR DEL 01/10/2016</v>
      </c>
      <c r="I244" s="446">
        <v>0</v>
      </c>
      <c r="J244" s="446"/>
      <c r="K244" s="446"/>
      <c r="L244" s="446"/>
    </row>
    <row r="245" spans="1:12" s="249" customFormat="1" ht="12.75" hidden="1" customHeight="1">
      <c r="A245" s="447"/>
      <c r="B245" s="446"/>
      <c r="C245" s="353">
        <v>500000</v>
      </c>
      <c r="D245" s="446"/>
      <c r="E245" s="446"/>
      <c r="F245" s="446"/>
      <c r="G245" s="454"/>
      <c r="H245" s="446" t="str">
        <f>+CONCATENATE(H240,H241)</f>
        <v>RENOVADAANTES DEL 01/10/2016</v>
      </c>
      <c r="I245" s="446">
        <v>1</v>
      </c>
      <c r="J245" s="446"/>
      <c r="K245" s="446"/>
      <c r="L245" s="446"/>
    </row>
    <row r="246" spans="1:12" s="249" customFormat="1" ht="12.75" hidden="1" customHeight="1">
      <c r="A246" s="447"/>
      <c r="B246" s="446"/>
      <c r="C246" s="353">
        <v>600000</v>
      </c>
      <c r="D246" s="446"/>
      <c r="E246" s="446"/>
      <c r="F246" s="446"/>
      <c r="G246" s="454"/>
      <c r="H246" s="446" t="str">
        <f>+CONCATENATE(H240,H242)</f>
        <v>RENOVADAA PARTIR DEL 01/10/2016</v>
      </c>
      <c r="I246" s="446">
        <v>0</v>
      </c>
      <c r="J246" s="446"/>
      <c r="K246" s="446"/>
      <c r="L246" s="446"/>
    </row>
    <row r="247" spans="1:12" s="249" customFormat="1" ht="12.75" hidden="1" customHeight="1">
      <c r="A247" s="447"/>
      <c r="B247" s="446"/>
      <c r="C247" s="353">
        <v>700000</v>
      </c>
      <c r="D247" s="446"/>
      <c r="E247" s="446"/>
      <c r="F247" s="446"/>
      <c r="G247" s="454"/>
      <c r="H247" s="446"/>
      <c r="I247" s="446"/>
      <c r="J247" s="446"/>
      <c r="K247" s="446"/>
      <c r="L247" s="446"/>
    </row>
    <row r="248" spans="1:12" s="249" customFormat="1" ht="12.75" hidden="1" customHeight="1">
      <c r="A248" s="447"/>
      <c r="B248" s="446"/>
      <c r="C248" s="353">
        <v>800000</v>
      </c>
      <c r="D248" s="446"/>
      <c r="E248" s="446"/>
      <c r="F248" s="446"/>
      <c r="G248" s="454"/>
      <c r="H248" s="446"/>
      <c r="I248" s="446"/>
      <c r="J248" s="446"/>
      <c r="K248" s="446"/>
      <c r="L248" s="446"/>
    </row>
    <row r="249" spans="1:12" s="249" customFormat="1" ht="12.75" hidden="1" customHeight="1">
      <c r="A249" s="447"/>
      <c r="B249" s="446"/>
      <c r="C249" s="353">
        <v>900000</v>
      </c>
      <c r="D249" s="446"/>
      <c r="E249" s="446"/>
      <c r="F249" s="446"/>
      <c r="G249" s="454"/>
      <c r="H249" s="446"/>
      <c r="I249" s="446"/>
      <c r="J249" s="446"/>
      <c r="K249" s="446"/>
      <c r="L249" s="446"/>
    </row>
    <row r="250" spans="1:12" s="249" customFormat="1" ht="13.5" hidden="1" customHeight="1" thickBot="1">
      <c r="A250" s="447"/>
      <c r="B250" s="446"/>
      <c r="C250" s="464">
        <v>1000000</v>
      </c>
      <c r="D250" s="446"/>
      <c r="E250" s="446"/>
      <c r="F250" s="446"/>
      <c r="G250" s="454"/>
      <c r="H250" s="446"/>
      <c r="I250" s="446"/>
      <c r="J250" s="446"/>
      <c r="K250" s="446"/>
      <c r="L250" s="446"/>
    </row>
    <row r="251" spans="1:12" s="249" customFormat="1" ht="13.5" hidden="1" customHeight="1" thickTop="1">
      <c r="A251" s="447"/>
      <c r="B251" s="446"/>
      <c r="C251" s="465"/>
      <c r="D251" s="446"/>
      <c r="E251" s="446"/>
      <c r="F251" s="446"/>
      <c r="G251" s="454"/>
      <c r="H251" s="446"/>
      <c r="I251" s="446"/>
      <c r="J251" s="446"/>
      <c r="K251" s="446"/>
      <c r="L251" s="446"/>
    </row>
    <row r="252" spans="1:12" s="249" customFormat="1" ht="13.5" hidden="1" customHeight="1" thickBot="1">
      <c r="A252" s="447"/>
      <c r="B252" s="446"/>
      <c r="C252" s="446"/>
      <c r="D252" s="446"/>
      <c r="E252" s="446"/>
      <c r="F252" s="446"/>
      <c r="G252" s="457">
        <v>0</v>
      </c>
      <c r="H252" s="447"/>
      <c r="I252" s="446"/>
      <c r="J252" s="446"/>
      <c r="K252" s="446"/>
      <c r="L252" s="446"/>
    </row>
    <row r="253" spans="1:12" s="249" customFormat="1" ht="13.5" hidden="1" customHeight="1" thickTop="1">
      <c r="A253" s="447"/>
      <c r="B253" s="466" t="s">
        <v>130</v>
      </c>
      <c r="C253" s="350" t="s">
        <v>124</v>
      </c>
      <c r="D253" s="446"/>
      <c r="E253" s="446"/>
      <c r="F253" s="446"/>
      <c r="G253" s="457">
        <v>0.15</v>
      </c>
      <c r="H253" s="467">
        <v>25800</v>
      </c>
      <c r="I253" s="446">
        <f>+Base</f>
        <v>25800</v>
      </c>
      <c r="J253" s="446"/>
      <c r="K253" s="446"/>
      <c r="L253" s="446"/>
    </row>
    <row r="254" spans="1:12" s="249" customFormat="1" ht="12.75" hidden="1" customHeight="1">
      <c r="A254" s="447"/>
      <c r="B254" s="468" t="s">
        <v>95</v>
      </c>
      <c r="C254" s="469">
        <v>20000</v>
      </c>
      <c r="D254" s="446"/>
      <c r="E254" s="446"/>
      <c r="F254" s="446"/>
      <c r="G254" s="457">
        <v>0.25</v>
      </c>
      <c r="H254" s="447"/>
      <c r="I254" s="446"/>
      <c r="J254" s="446"/>
      <c r="K254" s="446"/>
      <c r="L254" s="446"/>
    </row>
    <row r="255" spans="1:12" s="249" customFormat="1" ht="13.5" hidden="1" customHeight="1" thickBot="1">
      <c r="A255" s="447"/>
      <c r="B255" s="470" t="s">
        <v>96</v>
      </c>
      <c r="C255" s="469">
        <v>30000</v>
      </c>
      <c r="D255" s="446"/>
      <c r="E255" s="446"/>
      <c r="F255" s="446"/>
      <c r="G255" s="457">
        <v>0.5</v>
      </c>
      <c r="H255" s="447"/>
      <c r="I255" s="446"/>
      <c r="J255" s="446"/>
      <c r="K255" s="446"/>
      <c r="L255" s="446"/>
    </row>
    <row r="256" spans="1:12" s="249" customFormat="1" ht="13.5" hidden="1" customHeight="1" thickTop="1">
      <c r="A256" s="465"/>
      <c r="B256" s="446"/>
      <c r="C256" s="469">
        <v>40000</v>
      </c>
      <c r="D256" s="446"/>
      <c r="E256" s="446"/>
      <c r="F256" s="446"/>
      <c r="G256" s="457">
        <v>0.75</v>
      </c>
      <c r="H256" s="447"/>
      <c r="I256" s="446"/>
      <c r="J256" s="446"/>
      <c r="K256" s="446"/>
      <c r="L256" s="446"/>
    </row>
    <row r="257" spans="1:12" s="249" customFormat="1" ht="13.5" hidden="1" customHeight="1" thickBot="1">
      <c r="A257" s="465"/>
      <c r="B257" s="446"/>
      <c r="C257" s="470">
        <v>50000</v>
      </c>
      <c r="D257" s="446"/>
      <c r="E257" s="446"/>
      <c r="F257" s="446"/>
      <c r="G257" s="462">
        <v>1</v>
      </c>
      <c r="H257" s="447"/>
      <c r="I257" s="446"/>
      <c r="J257" s="446"/>
      <c r="K257" s="446"/>
      <c r="L257" s="446"/>
    </row>
    <row r="258" spans="1:12" s="249" customFormat="1" ht="12" hidden="1" customHeight="1" thickTop="1" thickBot="1">
      <c r="A258" s="446"/>
      <c r="B258" s="446"/>
      <c r="C258" s="446"/>
      <c r="D258" s="446"/>
      <c r="E258" s="446"/>
      <c r="F258" s="446"/>
      <c r="G258" s="446"/>
      <c r="H258" s="446"/>
      <c r="I258" s="446"/>
      <c r="J258" s="446"/>
      <c r="K258" s="446"/>
      <c r="L258" s="446"/>
    </row>
    <row r="259" spans="1:12" s="249" customFormat="1" ht="11.25" hidden="1" customHeight="1" thickTop="1">
      <c r="A259" s="451" t="s">
        <v>24</v>
      </c>
      <c r="B259" s="471" t="s">
        <v>26</v>
      </c>
      <c r="C259" s="435"/>
      <c r="D259" s="435"/>
      <c r="E259" s="435"/>
      <c r="F259" s="435"/>
      <c r="G259" s="435"/>
      <c r="H259" s="435"/>
      <c r="I259" s="435"/>
      <c r="J259" s="436"/>
      <c r="K259" s="446"/>
      <c r="L259" s="446"/>
    </row>
    <row r="260" spans="1:12" s="249" customFormat="1" ht="10.5" hidden="1" customHeight="1">
      <c r="A260" s="472" t="s">
        <v>37</v>
      </c>
      <c r="B260" s="473" t="s">
        <v>49</v>
      </c>
      <c r="C260" s="439"/>
      <c r="D260" s="439"/>
      <c r="E260" s="439"/>
      <c r="F260" s="439"/>
      <c r="G260" s="439"/>
      <c r="H260" s="439"/>
      <c r="I260" s="439"/>
      <c r="J260" s="440"/>
      <c r="K260" s="446"/>
      <c r="L260" s="446"/>
    </row>
    <row r="261" spans="1:12" s="249" customFormat="1" ht="10.5" hidden="1" customHeight="1">
      <c r="A261" s="474" t="s">
        <v>48</v>
      </c>
      <c r="B261" s="473" t="s">
        <v>50</v>
      </c>
      <c r="C261" s="439"/>
      <c r="D261" s="439"/>
      <c r="E261" s="439"/>
      <c r="F261" s="439"/>
      <c r="G261" s="439"/>
      <c r="H261" s="439"/>
      <c r="I261" s="439"/>
      <c r="J261" s="440"/>
      <c r="K261" s="446"/>
      <c r="L261" s="446"/>
    </row>
    <row r="262" spans="1:12" s="249" customFormat="1" ht="11.25" hidden="1" customHeight="1" thickBot="1">
      <c r="A262" s="475" t="s">
        <v>35</v>
      </c>
      <c r="B262" s="476" t="s">
        <v>51</v>
      </c>
      <c r="C262" s="444"/>
      <c r="D262" s="444"/>
      <c r="E262" s="444"/>
      <c r="F262" s="444"/>
      <c r="G262" s="444"/>
      <c r="H262" s="444"/>
      <c r="I262" s="444"/>
      <c r="J262" s="445"/>
      <c r="K262" s="446"/>
      <c r="L262" s="446"/>
    </row>
    <row r="263" spans="1:12" ht="11.25" hidden="1" customHeight="1" thickTop="1">
      <c r="A263" s="246">
        <v>0</v>
      </c>
    </row>
    <row r="264" spans="1:12" ht="10.5" hidden="1" customHeight="1">
      <c r="A264" s="246">
        <f>1+A263</f>
        <v>1</v>
      </c>
    </row>
    <row r="265" spans="1:12" ht="10.5" hidden="1" customHeight="1">
      <c r="A265" s="246">
        <f t="shared" ref="A265:A328" si="2">1+A264</f>
        <v>2</v>
      </c>
      <c r="C265" s="246" t="s">
        <v>103</v>
      </c>
      <c r="D265" s="246" t="s">
        <v>112</v>
      </c>
    </row>
    <row r="266" spans="1:12" ht="10.5" hidden="1" customHeight="1">
      <c r="A266" s="246">
        <f t="shared" si="2"/>
        <v>3</v>
      </c>
      <c r="C266" s="246" t="s">
        <v>97</v>
      </c>
      <c r="D266" s="246" t="str">
        <f>IF((IF(C28=""," ",D27))="H","M",IF((IF(C28="","",D27))="M","H",IF((IF(C28="","",D27))="","")))</f>
        <v/>
      </c>
    </row>
    <row r="267" spans="1:12" ht="10.5" hidden="1" customHeight="1">
      <c r="A267" s="246">
        <f t="shared" si="2"/>
        <v>4</v>
      </c>
      <c r="C267" s="246" t="s">
        <v>102</v>
      </c>
    </row>
    <row r="268" spans="1:12" ht="10.5" hidden="1" customHeight="1">
      <c r="A268" s="246">
        <f t="shared" si="2"/>
        <v>5</v>
      </c>
    </row>
    <row r="269" spans="1:12" ht="11.25" hidden="1" customHeight="1" thickBot="1">
      <c r="A269" s="246">
        <f t="shared" si="2"/>
        <v>6</v>
      </c>
    </row>
    <row r="270" spans="1:12" ht="13.5" hidden="1" customHeight="1" thickTop="1">
      <c r="A270" s="246">
        <f t="shared" si="2"/>
        <v>7</v>
      </c>
      <c r="C270" s="451" t="s">
        <v>1</v>
      </c>
      <c r="D270" s="477"/>
      <c r="H270" s="451" t="s">
        <v>152</v>
      </c>
    </row>
    <row r="271" spans="1:12" ht="12.75" hidden="1" customHeight="1">
      <c r="A271" s="246">
        <f t="shared" si="2"/>
        <v>8</v>
      </c>
      <c r="C271" s="478">
        <v>200000</v>
      </c>
      <c r="D271" s="477"/>
      <c r="E271" s="246" t="s">
        <v>113</v>
      </c>
      <c r="H271" s="478" t="s">
        <v>96</v>
      </c>
    </row>
    <row r="272" spans="1:12" ht="12.75" hidden="1" customHeight="1">
      <c r="A272" s="246">
        <f t="shared" si="2"/>
        <v>9</v>
      </c>
      <c r="C272" s="478">
        <v>250000</v>
      </c>
      <c r="D272" s="477"/>
      <c r="E272" s="246" t="s">
        <v>106</v>
      </c>
      <c r="H272" s="478">
        <v>10000</v>
      </c>
    </row>
    <row r="273" spans="1:8" ht="12.75" hidden="1" customHeight="1">
      <c r="A273" s="246">
        <f t="shared" si="2"/>
        <v>10</v>
      </c>
      <c r="C273" s="478">
        <v>300000</v>
      </c>
      <c r="D273" s="477"/>
      <c r="E273" s="246" t="s">
        <v>107</v>
      </c>
      <c r="H273" s="478">
        <v>20000</v>
      </c>
    </row>
    <row r="274" spans="1:8" ht="12.75" hidden="1" customHeight="1">
      <c r="A274" s="246">
        <f t="shared" si="2"/>
        <v>11</v>
      </c>
      <c r="C274" s="478">
        <v>350000</v>
      </c>
      <c r="D274" s="477"/>
      <c r="H274" s="478">
        <v>30000</v>
      </c>
    </row>
    <row r="275" spans="1:8" ht="12.75" hidden="1" customHeight="1">
      <c r="A275" s="246">
        <f t="shared" si="2"/>
        <v>12</v>
      </c>
      <c r="C275" s="478">
        <v>400000</v>
      </c>
      <c r="D275" s="477"/>
      <c r="H275" s="478">
        <v>40000</v>
      </c>
    </row>
    <row r="276" spans="1:8" ht="12.75" hidden="1" customHeight="1">
      <c r="A276" s="246">
        <f t="shared" si="2"/>
        <v>13</v>
      </c>
      <c r="C276" s="478">
        <v>450000</v>
      </c>
      <c r="D276" s="477"/>
      <c r="H276" s="478">
        <v>50000</v>
      </c>
    </row>
    <row r="277" spans="1:8" ht="12.75" hidden="1" customHeight="1">
      <c r="A277" s="246">
        <f t="shared" si="2"/>
        <v>14</v>
      </c>
      <c r="C277" s="478">
        <v>500000</v>
      </c>
      <c r="D277" s="477"/>
      <c r="H277" s="478">
        <v>75000</v>
      </c>
    </row>
    <row r="278" spans="1:8" ht="12.75" hidden="1" customHeight="1">
      <c r="A278" s="246">
        <f t="shared" si="2"/>
        <v>15</v>
      </c>
      <c r="C278" s="478">
        <v>550000</v>
      </c>
      <c r="D278" s="477"/>
      <c r="H278" s="478">
        <v>100000</v>
      </c>
    </row>
    <row r="279" spans="1:8" ht="12.75" hidden="1" customHeight="1">
      <c r="A279" s="246">
        <f t="shared" si="2"/>
        <v>16</v>
      </c>
      <c r="C279" s="478">
        <v>600000</v>
      </c>
      <c r="D279" s="477"/>
      <c r="H279" s="478">
        <v>150000</v>
      </c>
    </row>
    <row r="280" spans="1:8" ht="12.75" hidden="1" customHeight="1">
      <c r="A280" s="246">
        <f t="shared" si="2"/>
        <v>17</v>
      </c>
      <c r="C280" s="478">
        <v>650000</v>
      </c>
      <c r="D280" s="477"/>
      <c r="H280" s="478">
        <v>200000</v>
      </c>
    </row>
    <row r="281" spans="1:8" ht="12.75" hidden="1" customHeight="1">
      <c r="A281" s="246">
        <f t="shared" si="2"/>
        <v>18</v>
      </c>
      <c r="C281" s="478">
        <v>700000</v>
      </c>
      <c r="D281" s="477"/>
      <c r="H281" s="478">
        <v>250000</v>
      </c>
    </row>
    <row r="282" spans="1:8" ht="12.75" hidden="1" customHeight="1">
      <c r="A282" s="246">
        <f t="shared" si="2"/>
        <v>19</v>
      </c>
      <c r="C282" s="478">
        <v>750000</v>
      </c>
      <c r="D282" s="477"/>
      <c r="H282" s="478">
        <v>300000</v>
      </c>
    </row>
    <row r="283" spans="1:8" ht="12.75" hidden="1" customHeight="1">
      <c r="A283" s="246">
        <f t="shared" si="2"/>
        <v>20</v>
      </c>
      <c r="C283" s="478">
        <v>1000000</v>
      </c>
      <c r="D283" s="477"/>
      <c r="H283" s="478">
        <v>350000</v>
      </c>
    </row>
    <row r="284" spans="1:8" ht="12.75" hidden="1" customHeight="1">
      <c r="A284" s="246">
        <f t="shared" si="2"/>
        <v>21</v>
      </c>
      <c r="C284" s="478">
        <v>2000000</v>
      </c>
      <c r="D284" s="477"/>
      <c r="H284" s="478">
        <v>400000</v>
      </c>
    </row>
    <row r="285" spans="1:8" ht="12.75" hidden="1" customHeight="1">
      <c r="A285" s="246">
        <f t="shared" si="2"/>
        <v>22</v>
      </c>
      <c r="C285" s="478">
        <v>3000000</v>
      </c>
      <c r="D285" s="477"/>
      <c r="H285" s="478">
        <v>450000</v>
      </c>
    </row>
    <row r="286" spans="1:8" ht="12.75" hidden="1" customHeight="1">
      <c r="A286" s="246">
        <f t="shared" si="2"/>
        <v>23</v>
      </c>
      <c r="C286" s="478">
        <v>4000000</v>
      </c>
      <c r="D286" s="477"/>
      <c r="H286" s="478">
        <v>500000</v>
      </c>
    </row>
    <row r="287" spans="1:8" ht="12.75" hidden="1" customHeight="1">
      <c r="A287" s="246">
        <f t="shared" si="2"/>
        <v>24</v>
      </c>
      <c r="C287" s="478">
        <v>5000000</v>
      </c>
      <c r="D287" s="477"/>
      <c r="H287" s="478">
        <v>550000</v>
      </c>
    </row>
    <row r="288" spans="1:8" ht="12.75" hidden="1" customHeight="1">
      <c r="A288" s="246">
        <f t="shared" si="2"/>
        <v>25</v>
      </c>
      <c r="C288" s="478">
        <v>6000000</v>
      </c>
      <c r="D288" s="477"/>
      <c r="H288" s="478">
        <v>600000</v>
      </c>
    </row>
    <row r="289" spans="1:8" ht="12.75" hidden="1" customHeight="1">
      <c r="A289" s="246">
        <f t="shared" si="2"/>
        <v>26</v>
      </c>
      <c r="C289" s="478">
        <v>7000000</v>
      </c>
      <c r="D289" s="477"/>
      <c r="H289" s="478">
        <v>650000</v>
      </c>
    </row>
    <row r="290" spans="1:8" ht="12.75" hidden="1" customHeight="1">
      <c r="A290" s="246">
        <f t="shared" si="2"/>
        <v>27</v>
      </c>
      <c r="C290" s="478">
        <v>8000000</v>
      </c>
      <c r="D290" s="477"/>
      <c r="H290" s="478">
        <v>700000</v>
      </c>
    </row>
    <row r="291" spans="1:8" ht="12.75" hidden="1" customHeight="1">
      <c r="A291" s="246">
        <f t="shared" si="2"/>
        <v>28</v>
      </c>
      <c r="C291" s="478">
        <v>9000000</v>
      </c>
      <c r="D291" s="477"/>
      <c r="H291" s="478">
        <v>750000</v>
      </c>
    </row>
    <row r="292" spans="1:8" ht="12.75" hidden="1" customHeight="1">
      <c r="A292" s="246">
        <f t="shared" si="2"/>
        <v>29</v>
      </c>
      <c r="C292" s="478">
        <v>10000000</v>
      </c>
      <c r="D292" s="477"/>
      <c r="H292" s="478">
        <v>800000</v>
      </c>
    </row>
    <row r="293" spans="1:8" ht="13.5" hidden="1" customHeight="1" thickBot="1">
      <c r="A293" s="246">
        <f t="shared" si="2"/>
        <v>30</v>
      </c>
      <c r="C293" s="478">
        <v>20000000</v>
      </c>
      <c r="D293" s="477"/>
      <c r="H293" s="479">
        <v>850000</v>
      </c>
    </row>
    <row r="294" spans="1:8" ht="13.5" hidden="1" customHeight="1" thickTop="1">
      <c r="A294" s="246">
        <f t="shared" si="2"/>
        <v>31</v>
      </c>
      <c r="C294" s="478">
        <v>30000000</v>
      </c>
      <c r="D294" s="477"/>
    </row>
    <row r="295" spans="1:8" ht="12.75" hidden="1" customHeight="1">
      <c r="A295" s="246">
        <f t="shared" si="2"/>
        <v>32</v>
      </c>
      <c r="C295" s="478">
        <v>40000000</v>
      </c>
      <c r="D295" s="477"/>
    </row>
    <row r="296" spans="1:8" ht="12.75" hidden="1" customHeight="1">
      <c r="A296" s="246">
        <f t="shared" si="2"/>
        <v>33</v>
      </c>
      <c r="C296" s="478">
        <v>50000000</v>
      </c>
      <c r="D296" s="477"/>
    </row>
    <row r="297" spans="1:8" ht="12.75" hidden="1" customHeight="1">
      <c r="A297" s="246">
        <f t="shared" si="2"/>
        <v>34</v>
      </c>
      <c r="C297" s="478">
        <v>70000000</v>
      </c>
      <c r="D297" s="477"/>
    </row>
    <row r="298" spans="1:8" ht="12.75" hidden="1" customHeight="1">
      <c r="A298" s="246">
        <f t="shared" si="2"/>
        <v>35</v>
      </c>
      <c r="C298" s="478">
        <v>100000000</v>
      </c>
      <c r="D298" s="477"/>
    </row>
    <row r="299" spans="1:8" ht="12.75" hidden="1" customHeight="1">
      <c r="A299" s="246">
        <f t="shared" si="2"/>
        <v>36</v>
      </c>
      <c r="C299" s="478">
        <v>125000000</v>
      </c>
      <c r="D299" s="382"/>
    </row>
    <row r="300" spans="1:8" ht="12.75" hidden="1" customHeight="1">
      <c r="A300" s="246">
        <f t="shared" si="2"/>
        <v>37</v>
      </c>
      <c r="C300" s="478">
        <v>150000000</v>
      </c>
      <c r="D300" s="382"/>
    </row>
    <row r="301" spans="1:8" ht="12.75" hidden="1" customHeight="1">
      <c r="A301" s="246">
        <f t="shared" si="2"/>
        <v>38</v>
      </c>
      <c r="C301" s="478"/>
    </row>
    <row r="302" spans="1:8" ht="12.75" hidden="1" customHeight="1">
      <c r="A302" s="246">
        <f t="shared" si="2"/>
        <v>39</v>
      </c>
      <c r="C302" s="478"/>
    </row>
    <row r="303" spans="1:8" ht="12.75" hidden="1" customHeight="1">
      <c r="A303" s="246">
        <f t="shared" si="2"/>
        <v>40</v>
      </c>
      <c r="C303" s="478"/>
    </row>
    <row r="304" spans="1:8" ht="12.75" hidden="1" customHeight="1">
      <c r="A304" s="246">
        <f t="shared" si="2"/>
        <v>41</v>
      </c>
      <c r="C304" s="478"/>
    </row>
    <row r="305" spans="1:5" ht="13.5" hidden="1" customHeight="1" thickBot="1">
      <c r="A305" s="246">
        <f t="shared" si="2"/>
        <v>42</v>
      </c>
      <c r="C305" s="479"/>
    </row>
    <row r="306" spans="1:5" ht="14.25" hidden="1" customHeight="1" thickTop="1" thickBot="1">
      <c r="A306" s="246">
        <f t="shared" si="2"/>
        <v>43</v>
      </c>
      <c r="C306" s="479"/>
    </row>
    <row r="307" spans="1:5" ht="11.25" hidden="1" customHeight="1" thickTop="1">
      <c r="A307" s="246">
        <f t="shared" si="2"/>
        <v>44</v>
      </c>
    </row>
    <row r="308" spans="1:5" ht="11.25" hidden="1" customHeight="1" thickBot="1">
      <c r="A308" s="246">
        <f t="shared" si="2"/>
        <v>45</v>
      </c>
    </row>
    <row r="309" spans="1:5" ht="11.25" hidden="1" customHeight="1" thickTop="1">
      <c r="A309" s="246">
        <f t="shared" si="2"/>
        <v>46</v>
      </c>
      <c r="C309" s="350" t="s">
        <v>179</v>
      </c>
      <c r="D309" s="351" t="s">
        <v>10</v>
      </c>
      <c r="E309" s="351" t="s">
        <v>281</v>
      </c>
    </row>
    <row r="310" spans="1:5" ht="10.5" hidden="1" customHeight="1">
      <c r="A310" s="246">
        <f t="shared" si="2"/>
        <v>47</v>
      </c>
      <c r="C310" s="352" t="s">
        <v>180</v>
      </c>
      <c r="D310" s="353">
        <v>3</v>
      </c>
      <c r="E310" s="353">
        <v>2</v>
      </c>
    </row>
    <row r="311" spans="1:5" ht="10.5" hidden="1" customHeight="1">
      <c r="A311" s="246">
        <f t="shared" si="2"/>
        <v>48</v>
      </c>
      <c r="C311" s="352" t="s">
        <v>282</v>
      </c>
      <c r="D311" s="353">
        <v>2</v>
      </c>
      <c r="E311" s="353">
        <v>3</v>
      </c>
    </row>
    <row r="312" spans="1:5" ht="10.5" hidden="1" customHeight="1">
      <c r="A312" s="246">
        <f t="shared" si="2"/>
        <v>49</v>
      </c>
      <c r="C312" s="352" t="s">
        <v>181</v>
      </c>
      <c r="D312" s="353">
        <v>3</v>
      </c>
      <c r="E312" s="353">
        <v>3</v>
      </c>
    </row>
    <row r="313" spans="1:5" ht="10.5" hidden="1" customHeight="1">
      <c r="A313" s="246">
        <f t="shared" si="2"/>
        <v>50</v>
      </c>
      <c r="C313" s="352" t="s">
        <v>182</v>
      </c>
      <c r="D313" s="353">
        <v>1</v>
      </c>
      <c r="E313" s="353">
        <v>1</v>
      </c>
    </row>
    <row r="314" spans="1:5" ht="10.5" hidden="1" customHeight="1">
      <c r="A314" s="246">
        <f t="shared" si="2"/>
        <v>51</v>
      </c>
      <c r="C314" s="352" t="s">
        <v>183</v>
      </c>
      <c r="D314" s="353">
        <v>2</v>
      </c>
      <c r="E314" s="353">
        <v>1</v>
      </c>
    </row>
    <row r="315" spans="1:5" ht="10.5" hidden="1" customHeight="1">
      <c r="A315" s="246">
        <f t="shared" si="2"/>
        <v>52</v>
      </c>
      <c r="C315" s="352" t="s">
        <v>184</v>
      </c>
      <c r="D315" s="353">
        <v>4</v>
      </c>
      <c r="E315" s="353">
        <v>3</v>
      </c>
    </row>
    <row r="316" spans="1:5" ht="10.5" hidden="1" customHeight="1">
      <c r="A316" s="246">
        <f t="shared" si="2"/>
        <v>53</v>
      </c>
      <c r="C316" s="352" t="s">
        <v>185</v>
      </c>
      <c r="D316" s="353">
        <v>4</v>
      </c>
      <c r="E316" s="353">
        <v>2</v>
      </c>
    </row>
    <row r="317" spans="1:5" ht="10.5" hidden="1" customHeight="1">
      <c r="A317" s="246">
        <f t="shared" si="2"/>
        <v>54</v>
      </c>
      <c r="C317" s="352" t="s">
        <v>186</v>
      </c>
      <c r="D317" s="353">
        <v>3</v>
      </c>
      <c r="E317" s="353">
        <v>2</v>
      </c>
    </row>
    <row r="318" spans="1:5" ht="10.5" hidden="1" customHeight="1">
      <c r="A318" s="246">
        <f t="shared" si="2"/>
        <v>55</v>
      </c>
      <c r="C318" s="352" t="s">
        <v>283</v>
      </c>
      <c r="D318" s="353">
        <v>5</v>
      </c>
      <c r="E318" s="353">
        <v>4</v>
      </c>
    </row>
    <row r="319" spans="1:5" ht="10.5" hidden="1" customHeight="1">
      <c r="A319" s="246">
        <f t="shared" si="2"/>
        <v>56</v>
      </c>
      <c r="C319" s="352" t="s">
        <v>187</v>
      </c>
      <c r="D319" s="353">
        <v>3</v>
      </c>
      <c r="E319" s="353">
        <v>2</v>
      </c>
    </row>
    <row r="320" spans="1:5" ht="10.5" hidden="1" customHeight="1">
      <c r="A320" s="246">
        <f t="shared" si="2"/>
        <v>57</v>
      </c>
      <c r="C320" s="352" t="s">
        <v>188</v>
      </c>
      <c r="D320" s="353">
        <v>5</v>
      </c>
      <c r="E320" s="353">
        <v>4</v>
      </c>
    </row>
    <row r="321" spans="1:5" ht="10.5" hidden="1" customHeight="1">
      <c r="A321" s="246">
        <f t="shared" si="2"/>
        <v>58</v>
      </c>
      <c r="C321" s="352" t="s">
        <v>189</v>
      </c>
      <c r="D321" s="353">
        <v>2</v>
      </c>
      <c r="E321" s="353">
        <v>2</v>
      </c>
    </row>
    <row r="322" spans="1:5" ht="10.5" hidden="1" customHeight="1">
      <c r="A322" s="246">
        <f t="shared" si="2"/>
        <v>59</v>
      </c>
      <c r="C322" s="352" t="s">
        <v>190</v>
      </c>
      <c r="D322" s="353">
        <v>2</v>
      </c>
      <c r="E322" s="353">
        <v>1</v>
      </c>
    </row>
    <row r="323" spans="1:5" ht="10.5" hidden="1" customHeight="1">
      <c r="A323" s="246">
        <f t="shared" si="2"/>
        <v>60</v>
      </c>
      <c r="C323" s="352" t="s">
        <v>284</v>
      </c>
      <c r="D323" s="353">
        <v>3</v>
      </c>
      <c r="E323" s="353">
        <v>1</v>
      </c>
    </row>
    <row r="324" spans="1:5" ht="10.5" hidden="1" customHeight="1">
      <c r="A324" s="246">
        <f t="shared" si="2"/>
        <v>61</v>
      </c>
      <c r="C324" s="352" t="s">
        <v>191</v>
      </c>
      <c r="D324" s="353">
        <v>3</v>
      </c>
      <c r="E324" s="353">
        <v>2</v>
      </c>
    </row>
    <row r="325" spans="1:5" ht="10.5" hidden="1" customHeight="1">
      <c r="A325" s="246">
        <f t="shared" si="2"/>
        <v>62</v>
      </c>
      <c r="C325" s="352" t="s">
        <v>285</v>
      </c>
      <c r="D325" s="353">
        <v>3</v>
      </c>
      <c r="E325" s="353">
        <v>2</v>
      </c>
    </row>
    <row r="326" spans="1:5" ht="10.5" hidden="1" customHeight="1">
      <c r="A326" s="246">
        <f t="shared" si="2"/>
        <v>63</v>
      </c>
      <c r="C326" s="352" t="s">
        <v>192</v>
      </c>
      <c r="D326" s="353">
        <v>4</v>
      </c>
      <c r="E326" s="353">
        <v>3</v>
      </c>
    </row>
    <row r="327" spans="1:5" ht="10.5" hidden="1" customHeight="1">
      <c r="A327" s="246">
        <f t="shared" si="2"/>
        <v>64</v>
      </c>
      <c r="C327" s="352" t="s">
        <v>193</v>
      </c>
      <c r="D327" s="353">
        <v>2</v>
      </c>
      <c r="E327" s="353">
        <v>1</v>
      </c>
    </row>
    <row r="328" spans="1:5" ht="10.5" hidden="1" customHeight="1">
      <c r="A328" s="246">
        <f t="shared" si="2"/>
        <v>65</v>
      </c>
      <c r="C328" s="352" t="s">
        <v>286</v>
      </c>
      <c r="D328" s="353">
        <v>4</v>
      </c>
      <c r="E328" s="353">
        <v>3</v>
      </c>
    </row>
    <row r="329" spans="1:5" ht="10.5" hidden="1" customHeight="1">
      <c r="A329" s="246">
        <f>1+A328</f>
        <v>66</v>
      </c>
      <c r="C329" s="352" t="s">
        <v>194</v>
      </c>
      <c r="D329" s="353">
        <v>1</v>
      </c>
      <c r="E329" s="353">
        <v>1</v>
      </c>
    </row>
    <row r="330" spans="1:5" ht="10.5" hidden="1" customHeight="1">
      <c r="A330" s="246">
        <f>1+A329</f>
        <v>67</v>
      </c>
      <c r="C330" s="352" t="s">
        <v>195</v>
      </c>
      <c r="D330" s="353">
        <v>2</v>
      </c>
      <c r="E330" s="353">
        <v>1</v>
      </c>
    </row>
    <row r="331" spans="1:5" ht="10.5" hidden="1" customHeight="1">
      <c r="A331" s="246">
        <f>1+A330</f>
        <v>68</v>
      </c>
      <c r="C331" s="352" t="s">
        <v>287</v>
      </c>
      <c r="D331" s="353">
        <v>3</v>
      </c>
      <c r="E331" s="353">
        <v>3</v>
      </c>
    </row>
    <row r="332" spans="1:5" ht="10.5" hidden="1" customHeight="1">
      <c r="A332" s="246">
        <f>1+A331</f>
        <v>69</v>
      </c>
      <c r="C332" s="494" t="s">
        <v>196</v>
      </c>
      <c r="D332" s="495">
        <v>2</v>
      </c>
      <c r="E332" s="495">
        <v>1</v>
      </c>
    </row>
    <row r="333" spans="1:5" ht="10.5" hidden="1" customHeight="1">
      <c r="A333" s="246">
        <f t="shared" ref="A333:A353" si="3">1+A332</f>
        <v>70</v>
      </c>
      <c r="C333" s="352" t="s">
        <v>288</v>
      </c>
      <c r="D333" s="353">
        <v>4</v>
      </c>
      <c r="E333" s="353">
        <v>3</v>
      </c>
    </row>
    <row r="334" spans="1:5" ht="10.5" hidden="1" customHeight="1">
      <c r="A334" s="246">
        <f t="shared" si="3"/>
        <v>71</v>
      </c>
      <c r="C334" s="352" t="s">
        <v>197</v>
      </c>
      <c r="D334" s="353">
        <v>3</v>
      </c>
      <c r="E334" s="353">
        <v>3</v>
      </c>
    </row>
    <row r="335" spans="1:5" ht="10.5" hidden="1" customHeight="1">
      <c r="A335" s="246">
        <f t="shared" si="3"/>
        <v>72</v>
      </c>
      <c r="C335" s="352" t="s">
        <v>198</v>
      </c>
      <c r="D335" s="353">
        <v>4</v>
      </c>
      <c r="E335" s="353">
        <v>3</v>
      </c>
    </row>
    <row r="336" spans="1:5" ht="10.5" hidden="1" customHeight="1">
      <c r="A336" s="246">
        <f t="shared" si="3"/>
        <v>73</v>
      </c>
      <c r="C336" s="352" t="s">
        <v>199</v>
      </c>
      <c r="D336" s="353">
        <v>2</v>
      </c>
      <c r="E336" s="353">
        <v>1</v>
      </c>
    </row>
    <row r="337" spans="1:5" ht="10.5" hidden="1" customHeight="1">
      <c r="A337" s="246">
        <f t="shared" si="3"/>
        <v>74</v>
      </c>
      <c r="C337" s="352" t="s">
        <v>200</v>
      </c>
      <c r="D337" s="353">
        <v>4</v>
      </c>
      <c r="E337" s="353">
        <v>3</v>
      </c>
    </row>
    <row r="338" spans="1:5" ht="10.5" hidden="1" customHeight="1">
      <c r="A338" s="246">
        <f t="shared" si="3"/>
        <v>75</v>
      </c>
      <c r="C338" s="352" t="s">
        <v>201</v>
      </c>
      <c r="D338" s="353">
        <v>1</v>
      </c>
      <c r="E338" s="353">
        <v>1</v>
      </c>
    </row>
    <row r="339" spans="1:5" ht="10.5" hidden="1" customHeight="1">
      <c r="A339" s="246">
        <f t="shared" si="3"/>
        <v>76</v>
      </c>
      <c r="C339" s="352" t="s">
        <v>202</v>
      </c>
      <c r="D339" s="353">
        <v>2</v>
      </c>
      <c r="E339" s="353">
        <v>1</v>
      </c>
    </row>
    <row r="340" spans="1:5" ht="10.5" hidden="1" customHeight="1">
      <c r="A340" s="246">
        <f t="shared" si="3"/>
        <v>77</v>
      </c>
      <c r="C340" s="352" t="s">
        <v>289</v>
      </c>
      <c r="D340" s="353">
        <v>1</v>
      </c>
      <c r="E340" s="353">
        <v>1</v>
      </c>
    </row>
    <row r="341" spans="1:5" ht="10.5" hidden="1" customHeight="1">
      <c r="A341" s="246">
        <f t="shared" si="3"/>
        <v>78</v>
      </c>
      <c r="C341" s="352" t="s">
        <v>203</v>
      </c>
      <c r="D341" s="353">
        <v>3</v>
      </c>
      <c r="E341" s="353">
        <v>2</v>
      </c>
    </row>
    <row r="342" spans="1:5" ht="10.5" hidden="1" customHeight="1">
      <c r="A342" s="246">
        <f t="shared" si="3"/>
        <v>79</v>
      </c>
    </row>
    <row r="343" spans="1:5" ht="10.5" hidden="1" customHeight="1">
      <c r="A343" s="246">
        <f t="shared" si="3"/>
        <v>80</v>
      </c>
    </row>
    <row r="344" spans="1:5" ht="10.5" hidden="1" customHeight="1">
      <c r="A344" s="246">
        <f t="shared" si="3"/>
        <v>81</v>
      </c>
    </row>
    <row r="345" spans="1:5" ht="10.5" hidden="1" customHeight="1">
      <c r="A345" s="246">
        <f t="shared" si="3"/>
        <v>82</v>
      </c>
    </row>
    <row r="346" spans="1:5" ht="10.5" hidden="1" customHeight="1">
      <c r="A346" s="246">
        <f t="shared" si="3"/>
        <v>83</v>
      </c>
    </row>
    <row r="347" spans="1:5" ht="10.5" hidden="1" customHeight="1">
      <c r="A347" s="246">
        <f t="shared" si="3"/>
        <v>84</v>
      </c>
    </row>
    <row r="348" spans="1:5" ht="10.5" hidden="1" customHeight="1">
      <c r="A348" s="246">
        <f t="shared" si="3"/>
        <v>85</v>
      </c>
    </row>
    <row r="349" spans="1:5" ht="10.5" hidden="1" customHeight="1">
      <c r="A349" s="246">
        <f t="shared" si="3"/>
        <v>86</v>
      </c>
    </row>
    <row r="350" spans="1:5" ht="10.5" hidden="1" customHeight="1">
      <c r="A350" s="246">
        <f t="shared" si="3"/>
        <v>87</v>
      </c>
    </row>
    <row r="351" spans="1:5" ht="10.5" hidden="1" customHeight="1">
      <c r="A351" s="246">
        <f t="shared" si="3"/>
        <v>88</v>
      </c>
    </row>
    <row r="352" spans="1:5" ht="10.5" hidden="1" customHeight="1">
      <c r="A352" s="246">
        <f t="shared" si="3"/>
        <v>89</v>
      </c>
    </row>
    <row r="353" spans="1:1" ht="10.5" hidden="1" customHeight="1">
      <c r="A353" s="246">
        <f t="shared" si="3"/>
        <v>90</v>
      </c>
    </row>
    <row r="354" spans="1:1" ht="10.5" hidden="1" customHeight="1">
      <c r="A354" s="246">
        <f>1+A353</f>
        <v>91</v>
      </c>
    </row>
    <row r="355" spans="1:1" ht="10.5" hidden="1" customHeight="1">
      <c r="A355" s="246">
        <f>1+A354</f>
        <v>92</v>
      </c>
    </row>
    <row r="356" spans="1:1" ht="10.5" hidden="1" customHeight="1">
      <c r="A356" s="246">
        <f>1+A355</f>
        <v>93</v>
      </c>
    </row>
    <row r="357" spans="1:1" ht="10.5" hidden="1" customHeight="1">
      <c r="A357" s="246">
        <f t="shared" ref="A357:A363" si="4">1+A356</f>
        <v>94</v>
      </c>
    </row>
    <row r="358" spans="1:1" ht="10.5" hidden="1" customHeight="1">
      <c r="A358" s="246">
        <f t="shared" si="4"/>
        <v>95</v>
      </c>
    </row>
    <row r="359" spans="1:1" ht="10.5" hidden="1" customHeight="1">
      <c r="A359" s="246">
        <f t="shared" si="4"/>
        <v>96</v>
      </c>
    </row>
    <row r="360" spans="1:1" ht="10.5" hidden="1" customHeight="1">
      <c r="A360" s="246">
        <f t="shared" si="4"/>
        <v>97</v>
      </c>
    </row>
    <row r="361" spans="1:1" ht="10.5" hidden="1" customHeight="1">
      <c r="A361" s="246">
        <f t="shared" si="4"/>
        <v>98</v>
      </c>
    </row>
    <row r="362" spans="1:1" ht="10.5" hidden="1" customHeight="1">
      <c r="A362" s="246">
        <f t="shared" si="4"/>
        <v>99</v>
      </c>
    </row>
    <row r="363" spans="1:1" ht="10.5" hidden="1" customHeight="1">
      <c r="A363" s="246">
        <f t="shared" si="4"/>
        <v>100</v>
      </c>
    </row>
  </sheetData>
  <sheetProtection algorithmName="SHA-512" hashValue="QiTlBaWQin0TIYccY9Ixu0qmAsuS2OLOW8JQF+PjIiSqbpEnbgZjsD/q8SEiD33VYd4DGZXjkL91AixuFDXTNA==" saltValue="ykiM0qpCU9JEY966soY6+g==" spinCount="100000" sheet="1" selectLockedCells="1"/>
  <dataConsolidate/>
  <mergeCells count="8">
    <mergeCell ref="B41:F41"/>
    <mergeCell ref="I37:J39"/>
    <mergeCell ref="C39:E39"/>
    <mergeCell ref="B2:C2"/>
    <mergeCell ref="B3:C3"/>
    <mergeCell ref="I32:J32"/>
    <mergeCell ref="B17:C17"/>
    <mergeCell ref="B7:D7"/>
  </mergeCells>
  <phoneticPr fontId="0" type="noConversion"/>
  <conditionalFormatting sqref="B29:E34 B28:D28">
    <cfRule type="expression" dxfId="1" priority="2">
      <formula>$D$10="INDIVIDUAL"</formula>
    </cfRule>
  </conditionalFormatting>
  <conditionalFormatting sqref="E28">
    <cfRule type="expression" dxfId="0" priority="1">
      <formula>$D$10="INDIVIDUAL"</formula>
    </cfRule>
  </conditionalFormatting>
  <dataValidations count="12">
    <dataValidation type="list" allowBlank="1" showInputMessage="1" showErrorMessage="1" sqref="D18">
      <formula1>$I$230:$I$231</formula1>
    </dataValidation>
    <dataValidation type="list" allowBlank="1" showInputMessage="1" showErrorMessage="1" sqref="D27:D34">
      <formula1>$C$266:$C$267</formula1>
    </dataValidation>
    <dataValidation type="list" allowBlank="1" showInputMessage="1" showErrorMessage="1" sqref="D19">
      <formula1>$H$271:$H$278</formula1>
    </dataValidation>
    <dataValidation type="list" allowBlank="1" showInputMessage="1" showErrorMessage="1" sqref="D10">
      <formula1>$E$272:$E$273</formula1>
    </dataValidation>
    <dataValidation type="list" operator="notBetween" allowBlank="1" showInputMessage="1" showErrorMessage="1" errorTitle="AVISO" error="SUMA ASEGURADA FUERA DE RANGO" sqref="D11">
      <formula1>$C$271:$C$298</formula1>
    </dataValidation>
    <dataValidation type="list" allowBlank="1" showInputMessage="1" showErrorMessage="1" sqref="D14">
      <formula1>$C$310:$C$341</formula1>
    </dataValidation>
    <dataValidation type="list" allowBlank="1" showInputMessage="1" showErrorMessage="1" sqref="D12">
      <formula1>$C$230:$C$235</formula1>
    </dataValidation>
    <dataValidation type="list" allowBlank="1" showInputMessage="1" showErrorMessage="1" sqref="D8">
      <formula1>$H$239:$H$240</formula1>
    </dataValidation>
    <dataValidation type="list" allowBlank="1" showInputMessage="1" showErrorMessage="1" sqref="D9">
      <formula1>$H$241:$H$242</formula1>
    </dataValidation>
    <dataValidation type="list" allowBlank="1" showInputMessage="1" showErrorMessage="1" sqref="D16">
      <formula1>$I$234:$I$235</formula1>
    </dataValidation>
    <dataValidation type="list" allowBlank="1" showInputMessage="1" showErrorMessage="1" sqref="E29:E34">
      <formula1>A$263:A$287</formula1>
    </dataValidation>
    <dataValidation type="list" allowBlank="1" showInputMessage="1" showErrorMessage="1" sqref="E27:E28">
      <formula1>IF($D$8="NUEVA ",$A$263:$A$327,$A$263:$A$363)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75" orientation="landscape" r:id="rId1"/>
  <headerFooter alignWithMargins="0"/>
  <cellWatches>
    <cellWatch r="D11"/>
    <cellWatch r="G4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AC241"/>
  <sheetViews>
    <sheetView showGridLines="0" zoomScaleNormal="100" workbookViewId="0">
      <selection activeCell="C102" sqref="C102"/>
    </sheetView>
  </sheetViews>
  <sheetFormatPr baseColWidth="10" defaultColWidth="0" defaultRowHeight="10" zeroHeight="1"/>
  <cols>
    <col min="1" max="1" width="3.453125" style="126" customWidth="1"/>
    <col min="2" max="2" width="3" style="144" customWidth="1"/>
    <col min="3" max="3" width="14.81640625" style="126" customWidth="1"/>
    <col min="4" max="4" width="14" style="126" customWidth="1"/>
    <col min="5" max="5" width="14.54296875" style="126" customWidth="1"/>
    <col min="6" max="6" width="19.26953125" style="126" customWidth="1"/>
    <col min="7" max="7" width="13.7265625" style="126" customWidth="1"/>
    <col min="8" max="8" width="18.81640625" style="126" customWidth="1"/>
    <col min="9" max="9" width="15.453125" style="126" customWidth="1"/>
    <col min="10" max="10" width="12.26953125" style="126" customWidth="1"/>
    <col min="11" max="11" width="18.1796875" style="126" customWidth="1"/>
    <col min="12" max="12" width="13.54296875" style="126" bestFit="1" customWidth="1"/>
    <col min="13" max="16384" width="0" style="126" hidden="1"/>
  </cols>
  <sheetData>
    <row r="1" spans="1:29" s="157" customFormat="1" ht="9" customHeight="1">
      <c r="A1" s="301"/>
      <c r="B1" s="686"/>
      <c r="C1" s="686"/>
      <c r="D1" s="686"/>
      <c r="E1" s="686"/>
      <c r="F1" s="686"/>
      <c r="G1" s="686"/>
      <c r="H1" s="686"/>
      <c r="I1" s="686"/>
      <c r="J1" s="686"/>
      <c r="K1" s="687"/>
      <c r="L1" s="301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</row>
    <row r="2" spans="1:29" s="157" customFormat="1" ht="9">
      <c r="A2" s="301"/>
      <c r="B2" s="686"/>
      <c r="C2" s="686"/>
      <c r="D2" s="686"/>
      <c r="E2" s="686"/>
      <c r="F2" s="686"/>
      <c r="G2" s="686"/>
      <c r="H2" s="686"/>
      <c r="I2" s="686"/>
      <c r="J2" s="686"/>
      <c r="K2" s="686"/>
      <c r="L2" s="301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</row>
    <row r="3" spans="1:29" s="157" customFormat="1" ht="9">
      <c r="A3" s="301"/>
      <c r="B3" s="686"/>
      <c r="C3" s="686"/>
      <c r="D3" s="686"/>
      <c r="E3" s="686"/>
      <c r="F3" s="686"/>
      <c r="G3" s="686"/>
      <c r="H3" s="686"/>
      <c r="I3" s="686"/>
      <c r="J3" s="686"/>
      <c r="K3" s="686"/>
      <c r="L3" s="301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</row>
    <row r="4" spans="1:29" s="157" customFormat="1" ht="9">
      <c r="A4" s="301"/>
      <c r="B4" s="686"/>
      <c r="C4" s="686"/>
      <c r="D4" s="686"/>
      <c r="E4" s="686"/>
      <c r="F4" s="686"/>
      <c r="G4" s="686"/>
      <c r="H4" s="686"/>
      <c r="I4" s="686"/>
      <c r="J4" s="686"/>
      <c r="K4" s="686"/>
      <c r="L4" s="301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</row>
    <row r="5" spans="1:29" s="160" customFormat="1" ht="15.75" customHeight="1">
      <c r="A5" s="366"/>
      <c r="B5" s="371"/>
      <c r="C5" s="371"/>
      <c r="D5" s="371"/>
      <c r="E5" s="371"/>
      <c r="F5" s="371"/>
      <c r="G5" s="371"/>
      <c r="H5" s="371"/>
      <c r="I5" s="371"/>
      <c r="J5" s="371"/>
      <c r="K5" s="371"/>
      <c r="L5" s="366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</row>
    <row r="6" spans="1:29" s="157" customFormat="1" ht="15">
      <c r="A6" s="301"/>
      <c r="B6" s="337"/>
      <c r="C6" s="688"/>
      <c r="D6" s="688"/>
      <c r="E6" s="688"/>
      <c r="F6" s="689"/>
      <c r="G6" s="689"/>
      <c r="H6" s="686"/>
      <c r="I6" s="686"/>
      <c r="J6" s="686"/>
      <c r="K6" s="361">
        <f ca="1">TODAY()</f>
        <v>44991</v>
      </c>
      <c r="L6" s="301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</row>
    <row r="7" spans="1:29" s="157" customFormat="1" ht="10.5" customHeight="1">
      <c r="A7" s="301"/>
      <c r="B7" s="765" t="str">
        <f>+"Apreciable  "&amp;COTIZACION!C27</f>
        <v xml:space="preserve">Apreciable  </v>
      </c>
      <c r="C7" s="765"/>
      <c r="D7" s="765"/>
      <c r="E7" s="765"/>
      <c r="F7" s="765"/>
      <c r="G7" s="765"/>
      <c r="H7" s="765"/>
      <c r="I7" s="765"/>
      <c r="J7" s="765"/>
      <c r="K7" s="765"/>
      <c r="L7" s="301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</row>
    <row r="8" spans="1:29" s="157" customFormat="1" ht="13.5" customHeight="1">
      <c r="A8" s="301"/>
      <c r="B8" s="765"/>
      <c r="C8" s="765"/>
      <c r="D8" s="765"/>
      <c r="E8" s="765"/>
      <c r="F8" s="765"/>
      <c r="G8" s="765"/>
      <c r="H8" s="765"/>
      <c r="I8" s="765"/>
      <c r="J8" s="765"/>
      <c r="K8" s="765"/>
      <c r="L8" s="301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</row>
    <row r="9" spans="1:29" s="157" customFormat="1" ht="13.5" customHeight="1">
      <c r="A9" s="301"/>
      <c r="B9" s="766" t="str">
        <f>+"Agradecemos de antemano su preferencia y esperamos que la presente propuesta de Gastos Médicos "&amp;COTIZACION!D10&amp;" cumpla sus expectativas."</f>
        <v>Agradecemos de antemano su preferencia y esperamos que la presente propuesta de Gastos Médicos INDIVIDUAL cumpla sus expectativas.</v>
      </c>
      <c r="C9" s="766"/>
      <c r="D9" s="766"/>
      <c r="E9" s="766"/>
      <c r="F9" s="766"/>
      <c r="G9" s="766"/>
      <c r="H9" s="766"/>
      <c r="I9" s="766"/>
      <c r="J9" s="766"/>
      <c r="K9" s="766"/>
      <c r="L9" s="301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</row>
    <row r="10" spans="1:29" s="157" customFormat="1" ht="13.5" customHeight="1">
      <c r="A10" s="301"/>
      <c r="B10" s="766"/>
      <c r="C10" s="766"/>
      <c r="D10" s="766"/>
      <c r="E10" s="766"/>
      <c r="F10" s="766"/>
      <c r="G10" s="766"/>
      <c r="H10" s="766"/>
      <c r="I10" s="766"/>
      <c r="J10" s="766"/>
      <c r="K10" s="766"/>
      <c r="L10" s="301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</row>
    <row r="11" spans="1:29" s="157" customFormat="1" ht="3" customHeight="1" thickBot="1">
      <c r="A11" s="301"/>
      <c r="B11" s="686"/>
      <c r="C11" s="690"/>
      <c r="D11" s="690"/>
      <c r="E11" s="691"/>
      <c r="F11" s="691"/>
      <c r="G11" s="691"/>
      <c r="H11" s="686"/>
      <c r="I11" s="686"/>
      <c r="J11" s="686"/>
      <c r="K11" s="686"/>
      <c r="L11" s="301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</row>
    <row r="12" spans="1:29" s="157" customFormat="1" ht="15.75" customHeight="1" thickBot="1">
      <c r="A12" s="246"/>
      <c r="B12" s="772" t="s">
        <v>53</v>
      </c>
      <c r="C12" s="773"/>
      <c r="D12" s="773"/>
      <c r="E12" s="773"/>
      <c r="F12" s="773"/>
      <c r="G12" s="773"/>
      <c r="H12" s="773"/>
      <c r="I12" s="773"/>
      <c r="J12" s="773"/>
      <c r="K12" s="774"/>
      <c r="L12" s="301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</row>
    <row r="13" spans="1:29" ht="12.75" customHeight="1">
      <c r="A13" s="301"/>
      <c r="B13" s="252" t="s">
        <v>54</v>
      </c>
      <c r="C13" s="242" t="s">
        <v>108</v>
      </c>
      <c r="D13" s="242"/>
      <c r="E13" s="243"/>
      <c r="F13" s="243"/>
      <c r="G13" s="243"/>
      <c r="H13" s="240"/>
      <c r="I13" s="241" t="s">
        <v>174</v>
      </c>
      <c r="J13" s="239"/>
      <c r="K13" s="240"/>
      <c r="L13" s="246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</row>
    <row r="14" spans="1:29" s="157" customFormat="1" ht="3" customHeight="1">
      <c r="A14" s="301"/>
      <c r="B14" s="246"/>
      <c r="C14" s="239"/>
      <c r="D14" s="239"/>
      <c r="E14" s="239"/>
      <c r="F14" s="239"/>
      <c r="G14" s="239"/>
      <c r="H14" s="239"/>
      <c r="I14" s="281"/>
      <c r="J14" s="239"/>
      <c r="K14" s="239"/>
      <c r="L14" s="301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</row>
    <row r="15" spans="1:29" s="157" customFormat="1" ht="12.5">
      <c r="A15" s="301"/>
      <c r="B15" s="252" t="s">
        <v>54</v>
      </c>
      <c r="C15" s="242" t="s">
        <v>55</v>
      </c>
      <c r="D15" s="242"/>
      <c r="E15" s="243"/>
      <c r="F15" s="243"/>
      <c r="G15" s="243"/>
      <c r="H15" s="240"/>
      <c r="I15" s="279">
        <f>+COTIZACION!D11</f>
        <v>100000000</v>
      </c>
      <c r="J15" s="240" t="str">
        <f>IF(I15&lt;&gt;"SIN LÍMITE","M.N.","")</f>
        <v>M.N.</v>
      </c>
      <c r="K15" s="240"/>
      <c r="L15" s="301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</row>
    <row r="16" spans="1:29" s="157" customFormat="1" ht="3" customHeight="1">
      <c r="A16" s="301"/>
      <c r="B16" s="249"/>
      <c r="C16" s="240"/>
      <c r="D16" s="240"/>
      <c r="E16" s="243"/>
      <c r="F16" s="243"/>
      <c r="G16" s="243"/>
      <c r="H16" s="240"/>
      <c r="I16" s="241"/>
      <c r="J16" s="240"/>
      <c r="K16" s="240"/>
      <c r="L16" s="301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</row>
    <row r="17" spans="1:29" s="157" customFormat="1" ht="12.5">
      <c r="A17" s="301"/>
      <c r="B17" s="252" t="s">
        <v>54</v>
      </c>
      <c r="C17" s="242" t="s">
        <v>148</v>
      </c>
      <c r="D17" s="242"/>
      <c r="E17" s="243"/>
      <c r="F17" s="243"/>
      <c r="G17" s="245"/>
      <c r="H17" s="240"/>
      <c r="I17" s="279">
        <f>+TITULAR!E6</f>
        <v>12000</v>
      </c>
      <c r="J17" s="240" t="s">
        <v>56</v>
      </c>
      <c r="K17" s="240"/>
      <c r="L17" s="301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</row>
    <row r="18" spans="1:29" s="157" customFormat="1" ht="3" customHeight="1">
      <c r="A18" s="301"/>
      <c r="B18" s="249"/>
      <c r="C18" s="240"/>
      <c r="D18" s="240"/>
      <c r="E18" s="243"/>
      <c r="F18" s="243"/>
      <c r="G18" s="243"/>
      <c r="H18" s="240"/>
      <c r="I18" s="245"/>
      <c r="J18" s="240"/>
      <c r="K18" s="240"/>
      <c r="L18" s="301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</row>
    <row r="19" spans="1:29" s="157" customFormat="1" ht="12.5">
      <c r="A19" s="301"/>
      <c r="B19" s="252" t="s">
        <v>54</v>
      </c>
      <c r="C19" s="242" t="s">
        <v>60</v>
      </c>
      <c r="D19" s="242"/>
      <c r="E19" s="243"/>
      <c r="F19" s="243"/>
      <c r="G19" s="245" t="s">
        <v>58</v>
      </c>
      <c r="H19" s="240"/>
      <c r="I19" s="280" t="str">
        <f>+CONCATENATE(TITULAR!E8*100,"% con tope de ",VLOOKUP(COTIZACION!D13,FACTORES!C16:D20,2,FALSE)&amp;" M.N.")</f>
        <v>10% con tope de $30,000 M.N.</v>
      </c>
      <c r="J19" s="240"/>
      <c r="K19" s="240"/>
      <c r="L19" s="301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</row>
    <row r="20" spans="1:29" s="157" customFormat="1" ht="12" customHeight="1">
      <c r="A20" s="301"/>
      <c r="B20" s="249"/>
      <c r="C20" s="242"/>
      <c r="D20" s="242"/>
      <c r="E20" s="254"/>
      <c r="F20" s="254"/>
      <c r="G20" s="245" t="s">
        <v>59</v>
      </c>
      <c r="H20" s="240"/>
      <c r="I20" s="280">
        <v>0</v>
      </c>
      <c r="J20" s="240"/>
      <c r="K20" s="240"/>
      <c r="L20" s="301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</row>
    <row r="21" spans="1:29" s="157" customFormat="1" ht="6" customHeight="1">
      <c r="A21" s="301"/>
      <c r="B21" s="249"/>
      <c r="C21" s="242"/>
      <c r="D21" s="242"/>
      <c r="E21" s="692"/>
      <c r="F21" s="692"/>
      <c r="G21" s="240"/>
      <c r="H21" s="240"/>
      <c r="I21" s="245"/>
      <c r="J21" s="240"/>
      <c r="K21" s="240"/>
      <c r="L21" s="301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</row>
    <row r="22" spans="1:29" s="157" customFormat="1" ht="10.5" hidden="1" customHeight="1">
      <c r="A22" s="301"/>
      <c r="B22" s="252" t="s">
        <v>54</v>
      </c>
      <c r="C22" s="253" t="s">
        <v>109</v>
      </c>
      <c r="D22" s="253"/>
      <c r="E22" s="254"/>
      <c r="F22" s="254"/>
      <c r="G22" s="245"/>
      <c r="H22" s="240"/>
      <c r="I22" s="280">
        <f>+TITULAR!E9</f>
        <v>0</v>
      </c>
      <c r="J22" s="240"/>
      <c r="K22" s="239"/>
      <c r="L22" s="301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</row>
    <row r="23" spans="1:29" s="157" customFormat="1" ht="13.5" customHeight="1">
      <c r="A23" s="301"/>
      <c r="B23" s="252" t="s">
        <v>54</v>
      </c>
      <c r="C23" s="253" t="s">
        <v>119</v>
      </c>
      <c r="D23" s="253"/>
      <c r="E23" s="255"/>
      <c r="F23" s="256"/>
      <c r="G23" s="242"/>
      <c r="H23" s="240"/>
      <c r="I23" s="242" t="s">
        <v>177</v>
      </c>
      <c r="J23" s="240"/>
      <c r="K23" s="240"/>
      <c r="L23" s="301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</row>
    <row r="24" spans="1:29" s="157" customFormat="1" ht="13.5" customHeight="1">
      <c r="A24" s="301"/>
      <c r="B24" s="252" t="s">
        <v>54</v>
      </c>
      <c r="C24" s="253" t="s">
        <v>61</v>
      </c>
      <c r="D24" s="253"/>
      <c r="E24" s="244"/>
      <c r="F24" s="244"/>
      <c r="G24" s="242"/>
      <c r="H24" s="240"/>
      <c r="I24" s="242" t="s">
        <v>177</v>
      </c>
      <c r="J24" s="239"/>
      <c r="K24" s="239"/>
      <c r="L24" s="301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</row>
    <row r="25" spans="1:29" s="157" customFormat="1" ht="13.5" customHeight="1">
      <c r="A25" s="301"/>
      <c r="B25" s="252" t="s">
        <v>54</v>
      </c>
      <c r="C25" s="253" t="s">
        <v>62</v>
      </c>
      <c r="D25" s="253"/>
      <c r="E25" s="240"/>
      <c r="F25" s="242"/>
      <c r="G25" s="242"/>
      <c r="H25" s="240"/>
      <c r="I25" s="242" t="s">
        <v>177</v>
      </c>
      <c r="J25" s="239"/>
      <c r="K25" s="239"/>
      <c r="L25" s="301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</row>
    <row r="26" spans="1:29" s="157" customFormat="1" ht="13.5" customHeight="1">
      <c r="A26" s="301"/>
      <c r="B26" s="252" t="s">
        <v>54</v>
      </c>
      <c r="C26" s="253" t="s">
        <v>89</v>
      </c>
      <c r="D26" s="253"/>
      <c r="E26" s="240"/>
      <c r="F26" s="242"/>
      <c r="G26" s="242"/>
      <c r="H26" s="240"/>
      <c r="I26" s="242" t="s">
        <v>177</v>
      </c>
      <c r="J26" s="239"/>
      <c r="K26" s="239"/>
      <c r="L26" s="301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</row>
    <row r="27" spans="1:29" s="157" customFormat="1" ht="13.5" customHeight="1">
      <c r="A27" s="301"/>
      <c r="B27" s="252" t="s">
        <v>54</v>
      </c>
      <c r="C27" s="253" t="s">
        <v>63</v>
      </c>
      <c r="D27" s="253"/>
      <c r="E27" s="240"/>
      <c r="F27" s="242"/>
      <c r="G27" s="242"/>
      <c r="H27" s="489"/>
      <c r="I27" s="242" t="s">
        <v>64</v>
      </c>
      <c r="J27" s="239"/>
      <c r="K27" s="239"/>
      <c r="L27" s="301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4"/>
      <c r="AB27" s="174"/>
      <c r="AC27" s="174"/>
    </row>
    <row r="28" spans="1:29" s="157" customFormat="1" ht="13.5" customHeight="1">
      <c r="A28" s="301"/>
      <c r="B28" s="252" t="s">
        <v>54</v>
      </c>
      <c r="C28" s="253" t="s">
        <v>115</v>
      </c>
      <c r="D28" s="253"/>
      <c r="E28" s="240"/>
      <c r="F28" s="242"/>
      <c r="G28" s="242"/>
      <c r="H28" s="240"/>
      <c r="I28" s="242"/>
      <c r="J28" s="239"/>
      <c r="K28" s="239"/>
      <c r="L28" s="301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</row>
    <row r="29" spans="1:29" s="157" customFormat="1" ht="13.5" customHeight="1">
      <c r="A29" s="301"/>
      <c r="B29" s="252"/>
      <c r="C29" s="253" t="s">
        <v>116</v>
      </c>
      <c r="D29" s="253"/>
      <c r="E29" s="240"/>
      <c r="F29" s="242"/>
      <c r="G29" s="242"/>
      <c r="H29" s="240"/>
      <c r="I29" s="359" t="s">
        <v>71</v>
      </c>
      <c r="J29" s="239"/>
      <c r="K29" s="239"/>
      <c r="L29" s="301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</row>
    <row r="30" spans="1:29" s="157" customFormat="1" ht="13.5" customHeight="1">
      <c r="A30" s="301"/>
      <c r="B30" s="252" t="s">
        <v>54</v>
      </c>
      <c r="C30" s="253" t="s">
        <v>117</v>
      </c>
      <c r="D30" s="253"/>
      <c r="E30" s="240"/>
      <c r="F30" s="242"/>
      <c r="G30" s="242"/>
      <c r="H30" s="240"/>
      <c r="I30" s="359" t="s">
        <v>71</v>
      </c>
      <c r="J30" s="239"/>
      <c r="K30" s="239"/>
      <c r="L30" s="301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</row>
    <row r="31" spans="1:29" s="157" customFormat="1" ht="13.5" customHeight="1">
      <c r="A31" s="301"/>
      <c r="B31" s="252" t="s">
        <v>54</v>
      </c>
      <c r="C31" s="253" t="s">
        <v>65</v>
      </c>
      <c r="D31" s="253"/>
      <c r="E31" s="240"/>
      <c r="F31" s="242"/>
      <c r="G31" s="242"/>
      <c r="H31" s="240"/>
      <c r="I31" s="242" t="s">
        <v>66</v>
      </c>
      <c r="J31" s="239"/>
      <c r="K31" s="239"/>
      <c r="L31" s="301"/>
      <c r="M31" s="174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</row>
    <row r="32" spans="1:29" s="157" customFormat="1" ht="13.5" customHeight="1">
      <c r="A32" s="301"/>
      <c r="B32" s="252" t="s">
        <v>54</v>
      </c>
      <c r="C32" s="253" t="s">
        <v>67</v>
      </c>
      <c r="D32" s="253"/>
      <c r="E32" s="240"/>
      <c r="F32" s="242"/>
      <c r="G32" s="242"/>
      <c r="H32" s="240"/>
      <c r="I32" s="242" t="s">
        <v>66</v>
      </c>
      <c r="J32" s="240"/>
      <c r="K32" s="243"/>
      <c r="L32" s="301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</row>
    <row r="33" spans="1:29" s="157" customFormat="1" ht="13.5" customHeight="1">
      <c r="A33" s="301"/>
      <c r="B33" s="252" t="s">
        <v>54</v>
      </c>
      <c r="C33" s="253" t="s">
        <v>68</v>
      </c>
      <c r="D33" s="253"/>
      <c r="E33" s="240"/>
      <c r="F33" s="242"/>
      <c r="G33" s="242"/>
      <c r="H33" s="240"/>
      <c r="I33" s="277">
        <v>50000</v>
      </c>
      <c r="J33" s="240" t="str">
        <f>IF(I33="Excluido","","M.N")</f>
        <v>M.N</v>
      </c>
      <c r="K33" s="239"/>
      <c r="L33" s="301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</row>
    <row r="34" spans="1:29" s="157" customFormat="1" ht="13.5" customHeight="1">
      <c r="A34" s="301"/>
      <c r="B34" s="252" t="s">
        <v>54</v>
      </c>
      <c r="C34" s="253" t="s">
        <v>90</v>
      </c>
      <c r="D34" s="253"/>
      <c r="E34" s="240"/>
      <c r="F34" s="242"/>
      <c r="G34" s="242"/>
      <c r="H34" s="240"/>
      <c r="I34" s="277">
        <v>150</v>
      </c>
      <c r="J34" s="240" t="str">
        <f>IF(I34="Excluido","","M.N")</f>
        <v>M.N</v>
      </c>
      <c r="K34" s="240"/>
      <c r="L34" s="301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</row>
    <row r="35" spans="1:29" s="157" customFormat="1" ht="13.5" customHeight="1">
      <c r="A35" s="301"/>
      <c r="B35" s="252" t="s">
        <v>54</v>
      </c>
      <c r="C35" s="253" t="s">
        <v>135</v>
      </c>
      <c r="D35" s="253"/>
      <c r="E35" s="240"/>
      <c r="F35" s="240"/>
      <c r="G35" s="240"/>
      <c r="H35" s="240"/>
      <c r="I35" s="244"/>
      <c r="J35" s="240"/>
      <c r="K35" s="239"/>
      <c r="L35" s="301"/>
      <c r="M35" s="174"/>
      <c r="N35" s="174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4"/>
      <c r="Z35" s="174"/>
      <c r="AA35" s="174"/>
      <c r="AB35" s="174"/>
      <c r="AC35" s="174"/>
    </row>
    <row r="36" spans="1:29" s="157" customFormat="1" ht="13.5" customHeight="1">
      <c r="A36" s="301"/>
      <c r="B36" s="252"/>
      <c r="C36" s="253" t="s">
        <v>136</v>
      </c>
      <c r="D36" s="253"/>
      <c r="E36" s="240"/>
      <c r="F36" s="240"/>
      <c r="G36" s="240"/>
      <c r="H36" s="240"/>
      <c r="I36" s="278">
        <v>15000</v>
      </c>
      <c r="J36" s="240" t="str">
        <f>IF(I36="Excluido","","M.N")</f>
        <v>M.N</v>
      </c>
      <c r="K36" s="239"/>
      <c r="L36" s="301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</row>
    <row r="37" spans="1:29" s="157" customFormat="1" ht="13.5" customHeight="1">
      <c r="A37" s="301"/>
      <c r="B37" s="252" t="s">
        <v>54</v>
      </c>
      <c r="C37" s="253" t="s">
        <v>138</v>
      </c>
      <c r="D37" s="253"/>
      <c r="E37" s="240"/>
      <c r="F37" s="242"/>
      <c r="G37" s="242"/>
      <c r="H37" s="240"/>
      <c r="I37" s="242"/>
      <c r="J37" s="240"/>
      <c r="K37" s="239"/>
      <c r="L37" s="301"/>
      <c r="M37" s="174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</row>
    <row r="38" spans="1:29" s="157" customFormat="1" ht="13.5" customHeight="1">
      <c r="A38" s="301"/>
      <c r="B38" s="252"/>
      <c r="C38" s="253" t="s">
        <v>137</v>
      </c>
      <c r="D38" s="253"/>
      <c r="E38" s="240"/>
      <c r="F38" s="240"/>
      <c r="G38" s="240"/>
      <c r="H38" s="240"/>
      <c r="I38" s="242" t="s">
        <v>177</v>
      </c>
      <c r="J38" s="240"/>
      <c r="K38" s="240"/>
      <c r="L38" s="301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</row>
    <row r="39" spans="1:29" s="157" customFormat="1" ht="13.5" customHeight="1">
      <c r="A39" s="301"/>
      <c r="B39" s="252" t="s">
        <v>54</v>
      </c>
      <c r="C39" s="253" t="s">
        <v>127</v>
      </c>
      <c r="D39" s="253"/>
      <c r="E39" s="240"/>
      <c r="F39" s="242"/>
      <c r="G39" s="242"/>
      <c r="H39" s="240"/>
      <c r="I39" s="488" t="s">
        <v>240</v>
      </c>
      <c r="J39" s="489"/>
      <c r="K39" s="240"/>
      <c r="L39" s="301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/>
      <c r="Z39" s="174"/>
      <c r="AA39" s="174"/>
      <c r="AB39" s="174"/>
      <c r="AC39" s="174"/>
    </row>
    <row r="40" spans="1:29" s="157" customFormat="1" ht="13.5" customHeight="1">
      <c r="A40" s="301"/>
      <c r="B40" s="252"/>
      <c r="C40" s="253" t="s">
        <v>69</v>
      </c>
      <c r="D40" s="253"/>
      <c r="E40" s="240"/>
      <c r="F40" s="242"/>
      <c r="G40" s="242"/>
      <c r="H40" s="240"/>
      <c r="I40" s="490" t="s">
        <v>241</v>
      </c>
      <c r="J40" s="489" t="str">
        <f>IF(I40="Excluido","","Por Evento")</f>
        <v>Por Evento</v>
      </c>
      <c r="K40" s="240"/>
      <c r="L40" s="301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</row>
    <row r="41" spans="1:29" s="157" customFormat="1" ht="13.5" customHeight="1">
      <c r="A41" s="301"/>
      <c r="B41" s="252" t="s">
        <v>54</v>
      </c>
      <c r="C41" s="253" t="s">
        <v>139</v>
      </c>
      <c r="D41" s="253"/>
      <c r="E41" s="240"/>
      <c r="F41" s="242"/>
      <c r="G41" s="242"/>
      <c r="H41" s="240"/>
      <c r="I41" s="242" t="s">
        <v>66</v>
      </c>
      <c r="J41" s="240"/>
      <c r="K41" s="240"/>
      <c r="L41" s="301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</row>
    <row r="42" spans="1:29" s="157" customFormat="1" ht="13.5" customHeight="1">
      <c r="A42" s="301"/>
      <c r="B42" s="252"/>
      <c r="C42" s="245" t="s">
        <v>140</v>
      </c>
      <c r="D42" s="245"/>
      <c r="E42" s="240"/>
      <c r="F42" s="242"/>
      <c r="G42" s="242"/>
      <c r="H42" s="240"/>
      <c r="I42" s="242"/>
      <c r="J42" s="240"/>
      <c r="K42" s="240"/>
      <c r="L42" s="301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</row>
    <row r="43" spans="1:29" s="157" customFormat="1" ht="13.5" customHeight="1">
      <c r="A43" s="301"/>
      <c r="B43" s="252" t="s">
        <v>54</v>
      </c>
      <c r="C43" s="253" t="s">
        <v>134</v>
      </c>
      <c r="D43" s="253"/>
      <c r="E43" s="240"/>
      <c r="F43" s="242"/>
      <c r="G43" s="242"/>
      <c r="H43" s="240"/>
      <c r="I43" s="242" t="s">
        <v>66</v>
      </c>
      <c r="J43" s="240"/>
      <c r="K43" s="240"/>
      <c r="L43" s="301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</row>
    <row r="44" spans="1:29" s="157" customFormat="1" ht="13.5" customHeight="1">
      <c r="A44" s="301"/>
      <c r="B44" s="252" t="s">
        <v>54</v>
      </c>
      <c r="C44" s="693" t="s">
        <v>273</v>
      </c>
      <c r="D44" s="519"/>
      <c r="E44" s="520"/>
      <c r="F44" s="242"/>
      <c r="G44" s="242"/>
      <c r="H44" s="240"/>
      <c r="I44" s="242"/>
      <c r="J44" s="240"/>
      <c r="K44" s="240"/>
      <c r="L44" s="301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</row>
    <row r="45" spans="1:29" s="157" customFormat="1" ht="13.5" customHeight="1">
      <c r="A45" s="301"/>
      <c r="B45" s="252"/>
      <c r="C45" s="694" t="s">
        <v>274</v>
      </c>
      <c r="D45" s="501"/>
      <c r="E45" s="521"/>
      <c r="F45" s="242"/>
      <c r="G45" s="242"/>
      <c r="H45" s="240"/>
      <c r="I45" s="242"/>
      <c r="J45" s="240"/>
      <c r="K45" s="240"/>
      <c r="L45" s="301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</row>
    <row r="46" spans="1:29" s="157" customFormat="1" ht="13.5" customHeight="1">
      <c r="A46" s="301"/>
      <c r="B46" s="252"/>
      <c r="C46" s="694" t="s">
        <v>275</v>
      </c>
      <c r="D46" s="501"/>
      <c r="E46" s="521"/>
      <c r="F46" s="242"/>
      <c r="G46" s="242"/>
      <c r="H46" s="240"/>
      <c r="I46" s="242"/>
      <c r="J46" s="240"/>
      <c r="K46" s="240"/>
      <c r="L46" s="301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</row>
    <row r="47" spans="1:29" s="157" customFormat="1" ht="13.5" customHeight="1">
      <c r="A47" s="301"/>
      <c r="B47" s="252"/>
      <c r="C47" s="695" t="s">
        <v>276</v>
      </c>
      <c r="D47" s="522"/>
      <c r="E47" s="523"/>
      <c r="F47" s="242"/>
      <c r="G47" s="242"/>
      <c r="H47" s="240"/>
      <c r="I47" s="242" t="s">
        <v>71</v>
      </c>
      <c r="J47" s="240"/>
      <c r="K47" s="240"/>
      <c r="L47" s="301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</row>
    <row r="48" spans="1:29" s="157" customFormat="1" ht="13.5" customHeight="1">
      <c r="A48" s="301"/>
      <c r="B48" s="252" t="s">
        <v>54</v>
      </c>
      <c r="C48" s="360" t="s">
        <v>208</v>
      </c>
      <c r="D48" s="253"/>
      <c r="E48" s="240"/>
      <c r="F48" s="242"/>
      <c r="G48" s="242"/>
      <c r="H48" s="240"/>
      <c r="I48" s="242"/>
      <c r="J48" s="240"/>
      <c r="K48" s="239"/>
      <c r="L48" s="301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</row>
    <row r="49" spans="1:29" s="157" customFormat="1" ht="13.5" customHeight="1">
      <c r="A49" s="301"/>
      <c r="B49" s="252"/>
      <c r="C49" s="253" t="s">
        <v>70</v>
      </c>
      <c r="D49" s="253"/>
      <c r="E49" s="240"/>
      <c r="F49" s="242"/>
      <c r="G49" s="242"/>
      <c r="H49" s="240"/>
      <c r="I49" s="242" t="s">
        <v>71</v>
      </c>
      <c r="J49" s="240"/>
      <c r="K49" s="240"/>
      <c r="L49" s="301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</row>
    <row r="50" spans="1:29" s="157" customFormat="1" ht="13.5" customHeight="1">
      <c r="A50" s="301"/>
      <c r="B50" s="252" t="s">
        <v>54</v>
      </c>
      <c r="C50" s="253" t="s">
        <v>128</v>
      </c>
      <c r="D50" s="253"/>
      <c r="E50" s="240"/>
      <c r="F50" s="242"/>
      <c r="G50" s="242"/>
      <c r="H50" s="240"/>
      <c r="I50" s="242" t="s">
        <v>71</v>
      </c>
      <c r="J50" s="240"/>
      <c r="K50" s="240"/>
      <c r="L50" s="301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</row>
    <row r="51" spans="1:29" s="157" customFormat="1" ht="13.5" customHeight="1">
      <c r="A51" s="301"/>
      <c r="B51" s="252" t="s">
        <v>54</v>
      </c>
      <c r="C51" s="362" t="s">
        <v>207</v>
      </c>
      <c r="D51" s="245"/>
      <c r="E51" s="240"/>
      <c r="F51" s="242"/>
      <c r="G51" s="242"/>
      <c r="H51" s="240"/>
      <c r="I51" s="242"/>
      <c r="J51" s="240"/>
      <c r="K51" s="240"/>
      <c r="L51" s="301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</row>
    <row r="52" spans="1:29" s="157" customFormat="1" ht="13.5" customHeight="1">
      <c r="A52" s="301"/>
      <c r="B52" s="252"/>
      <c r="C52" s="245" t="s">
        <v>133</v>
      </c>
      <c r="D52" s="245"/>
      <c r="E52" s="240"/>
      <c r="F52" s="242"/>
      <c r="G52" s="242"/>
      <c r="H52" s="240"/>
      <c r="I52" s="242" t="s">
        <v>71</v>
      </c>
      <c r="J52" s="240"/>
      <c r="K52" s="240"/>
      <c r="L52" s="301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</row>
    <row r="53" spans="1:29" s="157" customFormat="1" ht="13.5" customHeight="1">
      <c r="A53" s="301"/>
      <c r="B53" s="252" t="s">
        <v>54</v>
      </c>
      <c r="C53" s="253" t="s">
        <v>101</v>
      </c>
      <c r="D53" s="253"/>
      <c r="E53" s="240"/>
      <c r="F53" s="240"/>
      <c r="G53" s="240"/>
      <c r="H53" s="240"/>
      <c r="I53" s="242" t="s">
        <v>71</v>
      </c>
      <c r="J53" s="240"/>
      <c r="K53" s="240"/>
      <c r="L53" s="301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</row>
    <row r="54" spans="1:29" s="157" customFormat="1" ht="13.5" customHeight="1">
      <c r="A54" s="301"/>
      <c r="B54" s="500" t="s">
        <v>54</v>
      </c>
      <c r="C54" s="501" t="s">
        <v>164</v>
      </c>
      <c r="D54" s="501"/>
      <c r="E54" s="502"/>
      <c r="F54" s="502"/>
      <c r="G54" s="502"/>
      <c r="H54" s="502"/>
      <c r="I54" s="502" t="s">
        <v>71</v>
      </c>
      <c r="J54" s="502"/>
      <c r="K54" s="502"/>
      <c r="L54" s="301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</row>
    <row r="55" spans="1:29" s="157" customFormat="1" ht="13.5" hidden="1" customHeight="1">
      <c r="A55" s="301"/>
      <c r="B55" s="500" t="s">
        <v>54</v>
      </c>
      <c r="C55" s="503" t="s">
        <v>171</v>
      </c>
      <c r="D55" s="504"/>
      <c r="E55" s="505"/>
      <c r="F55" s="505"/>
      <c r="G55" s="505"/>
      <c r="H55" s="505"/>
      <c r="I55" s="505" t="s">
        <v>71</v>
      </c>
      <c r="J55" s="502"/>
      <c r="K55" s="502"/>
      <c r="L55" s="301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</row>
    <row r="56" spans="1:29" s="157" customFormat="1" ht="13.5" customHeight="1">
      <c r="A56" s="301"/>
      <c r="B56" s="500" t="s">
        <v>54</v>
      </c>
      <c r="C56" s="506" t="s">
        <v>252</v>
      </c>
      <c r="D56" s="507"/>
      <c r="E56" s="508"/>
      <c r="F56" s="508"/>
      <c r="G56" s="508"/>
      <c r="H56" s="508"/>
      <c r="I56" s="508" t="s">
        <v>71</v>
      </c>
      <c r="J56" s="502"/>
      <c r="K56" s="502"/>
      <c r="L56" s="301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</row>
    <row r="57" spans="1:29" s="157" customFormat="1" ht="13.5" customHeight="1">
      <c r="A57" s="301"/>
      <c r="B57" s="252" t="s">
        <v>54</v>
      </c>
      <c r="C57" s="245" t="s">
        <v>173</v>
      </c>
      <c r="D57" s="253"/>
      <c r="E57" s="240"/>
      <c r="F57" s="242"/>
      <c r="G57" s="242"/>
      <c r="H57" s="240"/>
      <c r="I57" s="242" t="s">
        <v>71</v>
      </c>
      <c r="J57" s="240"/>
      <c r="K57" s="240"/>
      <c r="L57" s="301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</row>
    <row r="58" spans="1:29" s="157" customFormat="1" ht="18.75" customHeight="1">
      <c r="A58" s="301"/>
      <c r="B58" s="302"/>
      <c r="C58" s="784" t="s">
        <v>297</v>
      </c>
      <c r="D58" s="784"/>
      <c r="E58" s="784"/>
      <c r="F58" s="784"/>
      <c r="G58" s="784"/>
      <c r="H58" s="784"/>
      <c r="I58" s="784"/>
      <c r="J58" s="784"/>
      <c r="K58" s="784"/>
      <c r="L58" s="301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</row>
    <row r="59" spans="1:29" s="157" customFormat="1" ht="13.5" customHeight="1">
      <c r="A59" s="301"/>
      <c r="B59" s="276" t="s">
        <v>54</v>
      </c>
      <c r="C59" s="245" t="s">
        <v>165</v>
      </c>
      <c r="D59" s="253"/>
      <c r="E59" s="240"/>
      <c r="F59" s="240"/>
      <c r="G59" s="242"/>
      <c r="H59" s="696"/>
      <c r="I59" s="277" t="str">
        <f>IF(OR(COTIZACION!D19="NO",SUM(COTIZACION!A27:A34)&lt;=0),"Excluido",COTIZACION!D19)</f>
        <v>Excluido</v>
      </c>
      <c r="J59" s="362" t="str">
        <f>IF(I59="EXCLUIDO","","M.N.")</f>
        <v/>
      </c>
      <c r="K59" s="245"/>
      <c r="L59" s="301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</row>
    <row r="60" spans="1:29" s="157" customFormat="1" ht="13.5" customHeight="1">
      <c r="A60" s="301"/>
      <c r="B60" s="509" t="s">
        <v>54</v>
      </c>
      <c r="C60" s="506" t="s">
        <v>268</v>
      </c>
      <c r="D60" s="507"/>
      <c r="E60" s="508"/>
      <c r="F60" s="508"/>
      <c r="G60" s="508"/>
      <c r="H60" s="697"/>
      <c r="I60" s="510" t="str">
        <f>IF(COTIZACION!D18="SI","Incluido","Excluido")</f>
        <v>Excluido</v>
      </c>
      <c r="J60" s="511"/>
      <c r="K60" s="512"/>
      <c r="L60" s="301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</row>
    <row r="61" spans="1:29" s="157" customFormat="1" ht="13.5" customHeight="1">
      <c r="A61" s="301"/>
      <c r="B61" s="250" t="s">
        <v>54</v>
      </c>
      <c r="C61" s="657" t="s">
        <v>330</v>
      </c>
      <c r="D61" s="658"/>
      <c r="E61" s="659"/>
      <c r="F61" s="659"/>
      <c r="G61" s="659"/>
      <c r="H61" s="698"/>
      <c r="I61" s="660" t="str">
        <f>+IF(COTIZACION!D16="SI","Incluido","Excluido")</f>
        <v>Excluido</v>
      </c>
      <c r="J61" s="661"/>
      <c r="K61" s="244"/>
      <c r="L61" s="301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</row>
    <row r="62" spans="1:29" s="157" customFormat="1" ht="13.5" customHeight="1">
      <c r="A62" s="301"/>
      <c r="B62" s="276"/>
      <c r="C62" s="245"/>
      <c r="D62" s="253"/>
      <c r="E62" s="240"/>
      <c r="F62" s="240"/>
      <c r="G62" s="242"/>
      <c r="H62" s="696"/>
      <c r="I62" s="277"/>
      <c r="J62" s="302"/>
      <c r="K62" s="245"/>
      <c r="L62" s="301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</row>
    <row r="63" spans="1:29" ht="12.75" customHeight="1">
      <c r="A63" s="301"/>
      <c r="B63" s="247"/>
      <c r="C63" s="362" t="s">
        <v>206</v>
      </c>
      <c r="D63" s="245"/>
      <c r="E63" s="239"/>
      <c r="F63" s="239"/>
      <c r="G63" s="239"/>
      <c r="H63" s="239"/>
      <c r="I63" s="246"/>
      <c r="J63" s="239"/>
      <c r="K63" s="239"/>
      <c r="L63" s="246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</row>
    <row r="64" spans="1:29" ht="12.75" customHeight="1">
      <c r="A64" s="301"/>
      <c r="B64" s="247"/>
      <c r="C64" s="362" t="s">
        <v>212</v>
      </c>
      <c r="D64" s="245"/>
      <c r="E64" s="239"/>
      <c r="F64" s="239"/>
      <c r="G64" s="239"/>
      <c r="H64" s="239"/>
      <c r="I64" s="242"/>
      <c r="J64" s="239"/>
      <c r="K64" s="239"/>
      <c r="L64" s="246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</row>
    <row r="65" spans="1:29" ht="12.75" customHeight="1">
      <c r="A65" s="301"/>
      <c r="B65" s="247"/>
      <c r="C65" s="362" t="s">
        <v>290</v>
      </c>
      <c r="D65" s="245"/>
      <c r="E65" s="239"/>
      <c r="F65" s="239"/>
      <c r="G65" s="239"/>
      <c r="H65" s="239"/>
      <c r="I65" s="242"/>
      <c r="J65" s="239"/>
      <c r="K65" s="239"/>
      <c r="L65" s="246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</row>
    <row r="66" spans="1:29" ht="12.75" hidden="1" customHeight="1">
      <c r="A66" s="301"/>
      <c r="B66" s="699"/>
      <c r="C66" s="506" t="s">
        <v>291</v>
      </c>
      <c r="D66" s="513"/>
      <c r="E66" s="514"/>
      <c r="F66" s="514"/>
      <c r="G66" s="514"/>
      <c r="H66" s="514"/>
      <c r="I66" s="508"/>
      <c r="J66" s="514"/>
      <c r="K66" s="514"/>
      <c r="L66" s="246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</row>
    <row r="67" spans="1:29" ht="12.75" hidden="1" customHeight="1">
      <c r="A67" s="301"/>
      <c r="B67" s="699"/>
      <c r="C67" s="506" t="s">
        <v>272</v>
      </c>
      <c r="D67" s="513"/>
      <c r="E67" s="514"/>
      <c r="F67" s="514"/>
      <c r="G67" s="514"/>
      <c r="H67" s="514"/>
      <c r="I67" s="508"/>
      <c r="J67" s="514"/>
      <c r="K67" s="514"/>
      <c r="L67" s="246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</row>
    <row r="68" spans="1:29" ht="12.75" hidden="1" customHeight="1">
      <c r="A68" s="301"/>
      <c r="B68" s="699"/>
      <c r="C68" s="506" t="s">
        <v>259</v>
      </c>
      <c r="D68" s="513"/>
      <c r="E68" s="514"/>
      <c r="F68" s="514"/>
      <c r="G68" s="514"/>
      <c r="H68" s="514"/>
      <c r="I68" s="508"/>
      <c r="J68" s="514"/>
      <c r="K68" s="514"/>
      <c r="L68" s="246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</row>
    <row r="69" spans="1:29" ht="7.5" customHeight="1" thickBot="1">
      <c r="A69" s="301"/>
      <c r="B69" s="252"/>
      <c r="C69" s="245"/>
      <c r="D69" s="245"/>
      <c r="E69" s="239"/>
      <c r="F69" s="239"/>
      <c r="G69" s="239"/>
      <c r="H69" s="239"/>
      <c r="I69" s="242"/>
      <c r="J69" s="239"/>
      <c r="K69" s="239"/>
      <c r="L69" s="246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</row>
    <row r="70" spans="1:29" ht="16.5" customHeight="1" thickBot="1">
      <c r="A70" s="246"/>
      <c r="B70" s="247"/>
      <c r="C70" s="785" t="s">
        <v>73</v>
      </c>
      <c r="D70" s="786"/>
      <c r="E70" s="786"/>
      <c r="F70" s="786"/>
      <c r="G70" s="786"/>
      <c r="H70" s="786"/>
      <c r="I70" s="786"/>
      <c r="J70" s="786"/>
      <c r="K70" s="787"/>
      <c r="L70" s="246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</row>
    <row r="71" spans="1:29" s="157" customFormat="1" ht="11.5">
      <c r="A71" s="246"/>
      <c r="B71" s="247"/>
      <c r="C71" s="775" t="s">
        <v>74</v>
      </c>
      <c r="D71" s="776"/>
      <c r="E71" s="776"/>
      <c r="F71" s="776"/>
      <c r="G71" s="777"/>
      <c r="H71" s="781" t="s">
        <v>72</v>
      </c>
      <c r="I71" s="781" t="s">
        <v>75</v>
      </c>
      <c r="J71" s="781" t="s">
        <v>76</v>
      </c>
      <c r="K71" s="546" t="s">
        <v>77</v>
      </c>
      <c r="L71" s="301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</row>
    <row r="72" spans="1:29" s="157" customFormat="1" ht="12" thickBot="1">
      <c r="A72" s="301"/>
      <c r="B72" s="247"/>
      <c r="C72" s="778"/>
      <c r="D72" s="779"/>
      <c r="E72" s="779"/>
      <c r="F72" s="779"/>
      <c r="G72" s="780"/>
      <c r="H72" s="782"/>
      <c r="I72" s="782"/>
      <c r="J72" s="782"/>
      <c r="K72" s="546" t="s">
        <v>78</v>
      </c>
      <c r="L72" s="407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</row>
    <row r="73" spans="1:29" s="157" customFormat="1" ht="12" customHeight="1">
      <c r="A73" s="354">
        <f t="shared" ref="A73:A80" si="0">IF(AND(H73&lt;&gt;"",H73&gt;69),1,0)</f>
        <v>0</v>
      </c>
      <c r="B73" s="248"/>
      <c r="C73" s="293" t="str">
        <f>IF(COTIZACION!C27="","",COTIZACION!C27)</f>
        <v/>
      </c>
      <c r="D73" s="293"/>
      <c r="E73" s="293"/>
      <c r="F73" s="293"/>
      <c r="G73" s="293"/>
      <c r="H73" s="338" t="str">
        <f>IF(COTIZACION!E27="","",COTIZACION!E27)</f>
        <v/>
      </c>
      <c r="I73" s="338" t="str">
        <f>IF(COTIZACION!D27="","",COTIZACION!D27)</f>
        <v/>
      </c>
      <c r="J73" s="338" t="str">
        <f>IF(COTIZACION!C27="","",COTIZACION!B27)</f>
        <v/>
      </c>
      <c r="K73" s="517" t="str">
        <f>IFERROR(IF(COTIZACION!F27&lt;&gt;"","",IF(H73="","",IF(I73="H",VLOOKUP(H73,TITULAR!$B$27:$G$127,5,0),IF(I73="M",VLOOKUP(H73,TITULAR!$B$27:$G$127,6,0),"")))),"")</f>
        <v/>
      </c>
      <c r="L73" s="406"/>
      <c r="M73" s="189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</row>
    <row r="74" spans="1:29" s="157" customFormat="1" ht="12" customHeight="1">
      <c r="A74" s="354">
        <f>IF(AND(H74&lt;&gt;"",H74&gt;69),1,0)</f>
        <v>0</v>
      </c>
      <c r="B74" s="248"/>
      <c r="C74" s="550" t="str">
        <f>IF(COTIZACION!C28="","",COTIZACION!C28)</f>
        <v/>
      </c>
      <c r="D74" s="550"/>
      <c r="E74" s="550"/>
      <c r="F74" s="550"/>
      <c r="G74" s="550"/>
      <c r="H74" s="551" t="str">
        <f>IF(COTIZACION!$D$10="INDIVIDUAL","",IF(COTIZACION!E28="","",COTIZACION!E28))</f>
        <v/>
      </c>
      <c r="I74" s="551" t="str">
        <f>IF(COTIZACION!D28="","",COTIZACION!D28)</f>
        <v/>
      </c>
      <c r="J74" s="551" t="str">
        <f>IF(COTIZACION!C28="","",COTIZACION!B28)</f>
        <v/>
      </c>
      <c r="K74" s="552" t="str">
        <f>IFERROR(IF(COTIZACION!F27&lt;&gt;"","",IF(H74="","",IF(I74="H",VLOOKUP(H74,CONYUGE!$B$21:$G$121,5,0),IF(I74="M",VLOOKUP(H74,CONYUGE!$B$21:$G$121,6,0),"")))),"")</f>
        <v/>
      </c>
      <c r="L74" s="406"/>
      <c r="M74" s="189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</row>
    <row r="75" spans="1:29" s="157" customFormat="1" ht="12" customHeight="1">
      <c r="A75" s="354">
        <f>IF(AND(H75&lt;&gt;"",H75&gt;69),1,0)</f>
        <v>0</v>
      </c>
      <c r="B75" s="248"/>
      <c r="C75" s="293" t="str">
        <f>IF(COTIZACION!C29="","",COTIZACION!C29)</f>
        <v/>
      </c>
      <c r="D75" s="293"/>
      <c r="E75" s="293"/>
      <c r="F75" s="293"/>
      <c r="G75" s="293"/>
      <c r="H75" s="338" t="str">
        <f>IF(COTIZACION!$D$10="INDIVIDUAL","",IF(COTIZACION!E29="","",COTIZACION!E29))</f>
        <v/>
      </c>
      <c r="I75" s="338" t="str">
        <f>IF(COTIZACION!D29="","",COTIZACION!D29)</f>
        <v/>
      </c>
      <c r="J75" s="338" t="str">
        <f>IF(COTIZACION!C29="","",COTIZACION!B29)</f>
        <v/>
      </c>
      <c r="K75" s="517" t="str">
        <f>IFERROR(IF(COTIZACION!F27&lt;&gt;"","",IF(H75="","",IF(I75="H",VLOOKUP(H75,DEPENDIENTE!$B$21:$G$112,5,0),IF(I75="M",VLOOKUP(H75,DEPENDIENTE!$B$21:$G$112,6,0),"")))),"")</f>
        <v/>
      </c>
      <c r="L75" s="406"/>
      <c r="M75" s="189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</row>
    <row r="76" spans="1:29" s="157" customFormat="1" ht="12" customHeight="1">
      <c r="A76" s="354">
        <f t="shared" si="0"/>
        <v>0</v>
      </c>
      <c r="B76" s="248"/>
      <c r="C76" s="550" t="str">
        <f>IF(COTIZACION!C30="","",COTIZACION!C30)</f>
        <v/>
      </c>
      <c r="D76" s="550"/>
      <c r="E76" s="550"/>
      <c r="F76" s="550"/>
      <c r="G76" s="550"/>
      <c r="H76" s="551" t="str">
        <f>IF(COTIZACION!$D$10="INDIVIDUAL","",IF(COTIZACION!E30="","",COTIZACION!E30))</f>
        <v/>
      </c>
      <c r="I76" s="551" t="str">
        <f>IF(COTIZACION!D30="","",COTIZACION!D30)</f>
        <v/>
      </c>
      <c r="J76" s="551" t="str">
        <f>IF(COTIZACION!C30="","",COTIZACION!B30)</f>
        <v/>
      </c>
      <c r="K76" s="553" t="str">
        <f>IFERROR(IF(COTIZACION!F27&lt;&gt;"","",IF(H76="","",IF(I76="H",VLOOKUP(H76,DEPENDIENTE!$B$21:$G$112,5,0),IF(I76="M",VLOOKUP(H76,DEPENDIENTE!$B$21:$G$112,6,0),"")))),"")</f>
        <v/>
      </c>
      <c r="L76" s="406"/>
      <c r="M76" s="189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</row>
    <row r="77" spans="1:29" s="157" customFormat="1" ht="12" customHeight="1">
      <c r="A77" s="354">
        <f t="shared" si="0"/>
        <v>0</v>
      </c>
      <c r="B77" s="248"/>
      <c r="C77" s="293" t="str">
        <f>IF(COTIZACION!C31="","",COTIZACION!C31)</f>
        <v/>
      </c>
      <c r="D77" s="293"/>
      <c r="E77" s="293"/>
      <c r="F77" s="293"/>
      <c r="G77" s="293"/>
      <c r="H77" s="338" t="str">
        <f>IF(COTIZACION!$D$10="INDIVIDUAL","",IF(COTIZACION!E31="","",COTIZACION!E31))</f>
        <v/>
      </c>
      <c r="I77" s="338" t="str">
        <f>IF(COTIZACION!D31="","",COTIZACION!D31)</f>
        <v/>
      </c>
      <c r="J77" s="338" t="str">
        <f>IF(COTIZACION!C31="","",COTIZACION!B31)</f>
        <v/>
      </c>
      <c r="K77" s="518" t="str">
        <f>IFERROR(IF(COTIZACION!F27&lt;&gt;"","",IF(H77="","",IF(I77="H",VLOOKUP(H77,DEPENDIENTE!$B$21:$G$112,5,0),IF(I77="M",VLOOKUP(H77,DEPENDIENTE!$B$21:$G$112,6,0),"")))),"")</f>
        <v/>
      </c>
      <c r="L77" s="406"/>
      <c r="M77" s="189"/>
      <c r="N77" s="190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</row>
    <row r="78" spans="1:29" s="157" customFormat="1" ht="12" customHeight="1">
      <c r="A78" s="354">
        <f t="shared" si="0"/>
        <v>0</v>
      </c>
      <c r="B78" s="248"/>
      <c r="C78" s="550" t="str">
        <f>IF(COTIZACION!C32="","",COTIZACION!C32)</f>
        <v/>
      </c>
      <c r="D78" s="550"/>
      <c r="E78" s="550"/>
      <c r="F78" s="550"/>
      <c r="G78" s="550"/>
      <c r="H78" s="551" t="str">
        <f>IF(COTIZACION!$D$10="INDIVIDUAL","",IF(COTIZACION!E32="","",COTIZACION!E32))</f>
        <v/>
      </c>
      <c r="I78" s="551" t="str">
        <f>IF(COTIZACION!D32="","",COTIZACION!D32)</f>
        <v/>
      </c>
      <c r="J78" s="551" t="str">
        <f>IF(COTIZACION!C32="","",COTIZACION!B32)</f>
        <v/>
      </c>
      <c r="K78" s="553" t="str">
        <f>IFERROR(IF(COTIZACION!F27&lt;&gt;"","",IF(H78="","",IF(I78="H",VLOOKUP(H78,DEPENDIENTE!$B$21:$G$112,5,0),IF(I78="M",VLOOKUP(H78,DEPENDIENTE!$B$21:$G$112,6,0),"")))),"")</f>
        <v/>
      </c>
      <c r="L78" s="406"/>
      <c r="M78" s="189"/>
      <c r="N78" s="191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</row>
    <row r="79" spans="1:29" s="157" customFormat="1" ht="12" customHeight="1">
      <c r="A79" s="354">
        <f t="shared" si="0"/>
        <v>0</v>
      </c>
      <c r="B79" s="248"/>
      <c r="C79" s="293" t="str">
        <f>IF(COTIZACION!C33="","",COTIZACION!C33)</f>
        <v/>
      </c>
      <c r="D79" s="293"/>
      <c r="E79" s="293"/>
      <c r="F79" s="293"/>
      <c r="G79" s="293"/>
      <c r="H79" s="338" t="str">
        <f>IF(COTIZACION!$D$10="INDIVIDUAL","",IF(COTIZACION!E33="","",COTIZACION!E33))</f>
        <v/>
      </c>
      <c r="I79" s="338" t="str">
        <f>IF(COTIZACION!D33="","",COTIZACION!D33)</f>
        <v/>
      </c>
      <c r="J79" s="338" t="str">
        <f>IF(COTIZACION!C33="","",COTIZACION!B33)</f>
        <v/>
      </c>
      <c r="K79" s="518" t="str">
        <f>IFERROR(IF(COTIZACION!F27&lt;&gt;"","",IF(H79="","",IF(I79="H",VLOOKUP(H79,DEPENDIENTE!$B$21:$G$112,5,0),IF(I79="M",VLOOKUP(H79,DEPENDIENTE!$B$21:$G$112,6,0),"")))),"")</f>
        <v/>
      </c>
      <c r="L79" s="407"/>
      <c r="M79" s="189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</row>
    <row r="80" spans="1:29" s="157" customFormat="1" ht="12" customHeight="1" thickBot="1">
      <c r="A80" s="354">
        <f t="shared" si="0"/>
        <v>0</v>
      </c>
      <c r="B80" s="248"/>
      <c r="C80" s="554" t="str">
        <f>IF(COTIZACION!C34="","",COTIZACION!C34)</f>
        <v/>
      </c>
      <c r="D80" s="554"/>
      <c r="E80" s="554"/>
      <c r="F80" s="554"/>
      <c r="G80" s="554"/>
      <c r="H80" s="555" t="str">
        <f>IF(COTIZACION!$D$10="INDIVIDUAL","",IF(COTIZACION!E34="","",COTIZACION!E34))</f>
        <v/>
      </c>
      <c r="I80" s="555" t="str">
        <f>IF(COTIZACION!D34="","",COTIZACION!D34)</f>
        <v/>
      </c>
      <c r="J80" s="555" t="str">
        <f>IF(COTIZACION!C34="","",COTIZACION!B34)</f>
        <v/>
      </c>
      <c r="K80" s="556" t="str">
        <f>IFERROR(IF(COTIZACION!F27&lt;&gt;"","",IF(H80="","",IF(I80="H",VLOOKUP(H80,DEPENDIENTE!$B$21:$G$112,5,0),IF(I80="M",VLOOKUP(H80,DEPENDIENTE!$B$21:$G$112,6,0),"")))),"")</f>
        <v/>
      </c>
      <c r="L80" s="407"/>
      <c r="M80" s="189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</row>
    <row r="81" spans="1:29" s="157" customFormat="1" ht="11.5">
      <c r="A81" s="301"/>
      <c r="B81" s="248"/>
      <c r="C81" s="246"/>
      <c r="D81" s="246"/>
      <c r="E81" s="246"/>
      <c r="F81" s="246"/>
      <c r="G81" s="246"/>
      <c r="H81" s="246"/>
      <c r="I81" s="294" t="s">
        <v>358</v>
      </c>
      <c r="J81" s="295"/>
      <c r="K81" s="296">
        <f>IF(COTIZACION!D8="NUEVA ",IF(A100=0,SUM(K73:K80),0),SUM(K73:K80))</f>
        <v>0</v>
      </c>
      <c r="L81" s="407"/>
      <c r="M81" s="189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</row>
    <row r="82" spans="1:29" s="157" customFormat="1" ht="11.5" hidden="1">
      <c r="A82" s="301"/>
      <c r="B82" s="248"/>
      <c r="C82" s="246"/>
      <c r="D82" s="246"/>
      <c r="E82" s="246"/>
      <c r="F82" s="246"/>
      <c r="G82" s="246"/>
      <c r="H82" s="246"/>
      <c r="I82" s="297" t="s">
        <v>79</v>
      </c>
      <c r="J82" s="297"/>
      <c r="K82" s="298">
        <f>+TITULAR!G17</f>
        <v>0</v>
      </c>
      <c r="L82" s="407"/>
      <c r="M82" s="192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</row>
    <row r="83" spans="1:29" s="157" customFormat="1" ht="20">
      <c r="A83" s="301"/>
      <c r="B83" s="248"/>
      <c r="C83" s="715" t="str">
        <f>+COTIZACION!B44</f>
        <v xml:space="preserve"> </v>
      </c>
      <c r="D83" s="246"/>
      <c r="E83" s="246"/>
      <c r="F83" s="246"/>
      <c r="G83" s="246"/>
      <c r="H83" s="249"/>
      <c r="I83" s="297" t="s">
        <v>80</v>
      </c>
      <c r="J83" s="297"/>
      <c r="K83" s="298">
        <f>IF(K81=0,0,+TITULAR!I25)</f>
        <v>0</v>
      </c>
      <c r="L83" s="419"/>
      <c r="M83" s="193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</row>
    <row r="84" spans="1:29" s="157" customFormat="1" ht="11.5">
      <c r="A84" s="301"/>
      <c r="B84" s="248"/>
      <c r="C84" s="246"/>
      <c r="D84" s="246"/>
      <c r="E84" s="246"/>
      <c r="F84" s="246"/>
      <c r="G84" s="246"/>
      <c r="H84" s="249"/>
      <c r="I84" s="297" t="s">
        <v>81</v>
      </c>
      <c r="J84" s="297"/>
      <c r="K84" s="296">
        <f>+K81+K83</f>
        <v>0</v>
      </c>
      <c r="L84" s="301"/>
      <c r="M84" s="189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</row>
    <row r="85" spans="1:29" s="157" customFormat="1" ht="14.25" customHeight="1">
      <c r="A85" s="301"/>
      <c r="B85" s="248"/>
      <c r="C85" s="788" t="s">
        <v>111</v>
      </c>
      <c r="D85" s="789"/>
      <c r="E85" s="790" t="str">
        <f>+COTIZACION!D14</f>
        <v>CIUDAD DE MÉXICO</v>
      </c>
      <c r="F85" s="791"/>
      <c r="G85" s="246"/>
      <c r="H85" s="249"/>
      <c r="I85" s="297" t="s">
        <v>82</v>
      </c>
      <c r="J85" s="297"/>
      <c r="K85" s="298">
        <f>+K84*TITULAR!K25</f>
        <v>0</v>
      </c>
      <c r="L85" s="301"/>
      <c r="M85" s="193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</row>
    <row r="86" spans="1:29" ht="12.75" customHeight="1">
      <c r="A86" s="301"/>
      <c r="B86" s="248"/>
      <c r="C86" s="246"/>
      <c r="D86" s="246"/>
      <c r="E86" s="246"/>
      <c r="F86" s="246"/>
      <c r="G86" s="246"/>
      <c r="H86" s="249"/>
      <c r="I86" s="299" t="s">
        <v>83</v>
      </c>
      <c r="J86" s="299"/>
      <c r="K86" s="300">
        <f>SUM(K84:K85)</f>
        <v>0</v>
      </c>
      <c r="L86" s="246"/>
      <c r="M86" s="194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</row>
    <row r="87" spans="1:29" ht="14.5">
      <c r="A87" s="246"/>
      <c r="B87" s="248"/>
      <c r="C87" s="788" t="s">
        <v>305</v>
      </c>
      <c r="D87" s="789"/>
      <c r="E87" s="783" t="str">
        <f>IF(COTIZACION!C39="","",COTIZACION!C39)</f>
        <v/>
      </c>
      <c r="F87" s="783"/>
      <c r="G87" s="783"/>
      <c r="H87" s="246"/>
      <c r="I87" s="246"/>
      <c r="J87" s="246"/>
      <c r="K87" s="246"/>
      <c r="L87" s="246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</row>
    <row r="88" spans="1:29" ht="10.5" customHeight="1" thickBot="1">
      <c r="A88" s="246"/>
      <c r="B88" s="248"/>
      <c r="C88" s="250"/>
      <c r="D88" s="250"/>
      <c r="E88" s="251"/>
      <c r="F88" s="251"/>
      <c r="G88" s="251"/>
      <c r="H88" s="246"/>
      <c r="I88" s="246"/>
      <c r="J88" s="246"/>
      <c r="K88" s="246"/>
      <c r="L88" s="246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</row>
    <row r="89" spans="1:29" ht="19.5" customHeight="1" thickBot="1">
      <c r="A89" s="246"/>
      <c r="B89" s="248"/>
      <c r="C89" s="770" t="s">
        <v>306</v>
      </c>
      <c r="D89" s="771"/>
      <c r="E89" s="582" t="s">
        <v>307</v>
      </c>
      <c r="F89" s="582" t="s">
        <v>308</v>
      </c>
      <c r="G89" s="582" t="s">
        <v>302</v>
      </c>
      <c r="H89" s="249"/>
      <c r="I89" s="246"/>
      <c r="J89" s="246"/>
      <c r="K89" s="292"/>
      <c r="L89" s="246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</row>
    <row r="90" spans="1:29" ht="15" customHeight="1">
      <c r="A90" s="246"/>
      <c r="B90" s="248"/>
      <c r="C90" s="769" t="str">
        <f>+COTIZACION!G27</f>
        <v>ANUAL</v>
      </c>
      <c r="D90" s="769"/>
      <c r="E90" s="581">
        <f>IF(K81=0,0,(K81/(1+K82)+DER)*(1+COTIZACION!$D$20))</f>
        <v>0</v>
      </c>
      <c r="F90" s="581">
        <v>0</v>
      </c>
      <c r="G90" s="581">
        <f>+F90+E90</f>
        <v>0</v>
      </c>
      <c r="H90" s="249"/>
      <c r="I90" s="246"/>
      <c r="J90" s="246"/>
      <c r="K90" s="292"/>
      <c r="L90" s="246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</row>
    <row r="91" spans="1:29" ht="15" customHeight="1">
      <c r="A91" s="246"/>
      <c r="B91" s="248"/>
      <c r="C91" s="548" t="str">
        <f>"SEMESTRAL    (Recargo "&amp;COTIZACION!H36*100&amp;"%)"</f>
        <v>SEMESTRAL    (Recargo 4.73%)</v>
      </c>
      <c r="D91" s="548"/>
      <c r="E91" s="547">
        <f>+COTIZACION!H28</f>
        <v>0</v>
      </c>
      <c r="F91" s="547">
        <f>+COTIZACION!I28</f>
        <v>0</v>
      </c>
      <c r="G91" s="547">
        <f>+F91+E91</f>
        <v>0</v>
      </c>
      <c r="H91" s="249"/>
      <c r="I91" s="246"/>
      <c r="J91" s="246"/>
      <c r="K91" s="246"/>
      <c r="L91" s="246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</row>
    <row r="92" spans="1:29" ht="15" customHeight="1">
      <c r="A92" s="246"/>
      <c r="B92" s="248"/>
      <c r="C92" s="543" t="str">
        <f>"TRIMESTRAL  (Recargo "&amp;COTIZACION!H37*100&amp;"%)"</f>
        <v>TRIMESTRAL  (Recargo 6.99%)</v>
      </c>
      <c r="D92" s="549"/>
      <c r="E92" s="547">
        <f>+COTIZACION!H29</f>
        <v>0</v>
      </c>
      <c r="F92" s="547">
        <f>+COTIZACION!I29</f>
        <v>0</v>
      </c>
      <c r="G92" s="547">
        <f>+F92*3+E92</f>
        <v>0</v>
      </c>
      <c r="H92" s="249"/>
      <c r="I92" s="246"/>
      <c r="J92" s="246"/>
      <c r="K92" s="246"/>
      <c r="L92" s="246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</row>
    <row r="93" spans="1:29" ht="15" customHeight="1">
      <c r="A93" s="246"/>
      <c r="B93" s="248"/>
      <c r="C93" s="543" t="str">
        <f>"MENSUAL        (Recargo "&amp;COTIZACION!H38*100&amp;"%)"</f>
        <v>MENSUAL        (Recargo 9.99%)</v>
      </c>
      <c r="D93" s="549"/>
      <c r="E93" s="547">
        <f>+COTIZACION!H30</f>
        <v>0</v>
      </c>
      <c r="F93" s="547">
        <f>+COTIZACION!I30</f>
        <v>0</v>
      </c>
      <c r="G93" s="547">
        <f>+F93*11+E93</f>
        <v>0</v>
      </c>
      <c r="H93" s="339"/>
      <c r="I93" s="246"/>
      <c r="J93" s="246"/>
      <c r="K93" s="246"/>
      <c r="L93" s="246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</row>
    <row r="94" spans="1:29" ht="9.75" customHeight="1">
      <c r="A94" s="246"/>
      <c r="B94" s="247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</row>
    <row r="95" spans="1:29" ht="12.75" customHeight="1">
      <c r="A95" s="246"/>
      <c r="B95" s="247"/>
      <c r="C95" s="767" t="s">
        <v>110</v>
      </c>
      <c r="D95" s="767"/>
      <c r="E95" s="767"/>
      <c r="F95" s="767"/>
      <c r="G95" s="767"/>
      <c r="H95" s="767"/>
      <c r="I95" s="767"/>
      <c r="J95" s="767"/>
      <c r="K95" s="767"/>
      <c r="L95" s="246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</row>
    <row r="96" spans="1:29" ht="12.75" customHeight="1">
      <c r="A96" s="246"/>
      <c r="B96" s="247"/>
      <c r="C96" s="515" t="s">
        <v>253</v>
      </c>
      <c r="D96" s="516"/>
      <c r="E96" s="516"/>
      <c r="F96" s="516"/>
      <c r="G96" s="516"/>
      <c r="H96" s="516"/>
      <c r="I96" s="516"/>
      <c r="J96" s="516"/>
      <c r="K96" s="516"/>
      <c r="L96" s="246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</row>
    <row r="97" spans="1:29" ht="12.75" customHeight="1">
      <c r="A97" s="246"/>
      <c r="B97" s="247"/>
      <c r="C97" s="515" t="s">
        <v>254</v>
      </c>
      <c r="D97" s="516"/>
      <c r="E97" s="516"/>
      <c r="F97" s="516"/>
      <c r="G97" s="516"/>
      <c r="H97" s="516"/>
      <c r="I97" s="516"/>
      <c r="J97" s="516"/>
      <c r="K97" s="516"/>
      <c r="L97" s="246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</row>
    <row r="98" spans="1:29">
      <c r="A98" s="246"/>
      <c r="B98" s="247"/>
      <c r="C98" s="768" t="s">
        <v>292</v>
      </c>
      <c r="D98" s="768"/>
      <c r="E98" s="768"/>
      <c r="F98" s="768"/>
      <c r="G98" s="768"/>
      <c r="H98" s="768"/>
      <c r="I98" s="768"/>
      <c r="J98" s="768"/>
      <c r="K98" s="768"/>
      <c r="L98" s="246"/>
    </row>
    <row r="99" spans="1:29" ht="10.5" customHeight="1">
      <c r="A99" s="246"/>
      <c r="B99" s="247"/>
      <c r="C99" s="768"/>
      <c r="D99" s="768"/>
      <c r="E99" s="768"/>
      <c r="F99" s="768"/>
      <c r="G99" s="768"/>
      <c r="H99" s="768"/>
      <c r="I99" s="768"/>
      <c r="J99" s="768"/>
      <c r="K99" s="768"/>
      <c r="L99" s="246"/>
    </row>
    <row r="100" spans="1:29" ht="21.75" customHeight="1">
      <c r="A100" s="480">
        <f>SUM(A73:A80)</f>
        <v>0</v>
      </c>
      <c r="B100" s="764" t="str">
        <f>+CONCATENATE("EN SEGUROS BANORTE ESTA COTIZACIÓN ",COTIZACION!E8)</f>
        <v>EN SEGUROS BANORTE ESTA COTIZACIÓN APLICA PARA AQUELLA PÓLIZA NUEVA  CON PRIMER VIGENCIA EMITIDA A PARTIR DEL 01/10/2016</v>
      </c>
      <c r="C100" s="764"/>
      <c r="D100" s="764"/>
      <c r="E100" s="764"/>
      <c r="F100" s="764"/>
      <c r="G100" s="764"/>
      <c r="H100" s="764"/>
      <c r="I100" s="764"/>
      <c r="J100" s="764"/>
      <c r="K100" s="764"/>
      <c r="L100" s="764"/>
    </row>
    <row r="101" spans="1:29">
      <c r="A101" s="246"/>
      <c r="B101" s="764"/>
      <c r="C101" s="764"/>
      <c r="D101" s="764"/>
      <c r="E101" s="764"/>
      <c r="F101" s="764"/>
      <c r="G101" s="764"/>
      <c r="H101" s="764"/>
      <c r="I101" s="764"/>
      <c r="J101" s="764"/>
      <c r="K101" s="764"/>
      <c r="L101" s="764"/>
    </row>
    <row r="102" spans="1:29">
      <c r="A102" s="246"/>
      <c r="B102" s="247"/>
      <c r="C102" s="246" t="s">
        <v>359</v>
      </c>
      <c r="D102" s="246"/>
      <c r="E102" s="246"/>
      <c r="F102" s="246"/>
      <c r="G102" s="246"/>
      <c r="H102" s="246"/>
      <c r="I102" s="246"/>
      <c r="J102" s="246"/>
      <c r="K102" s="246"/>
      <c r="L102" s="246"/>
    </row>
    <row r="103" spans="1:29">
      <c r="A103" s="246"/>
      <c r="B103" s="247"/>
      <c r="C103" s="246"/>
      <c r="D103" s="246"/>
      <c r="E103" s="246"/>
      <c r="F103" s="246"/>
      <c r="G103" s="246"/>
      <c r="H103" s="246"/>
      <c r="I103" s="246"/>
      <c r="J103" s="246"/>
      <c r="K103" s="246"/>
      <c r="L103" s="246"/>
    </row>
    <row r="104" spans="1:29">
      <c r="A104" s="246"/>
      <c r="B104" s="247"/>
      <c r="C104" s="246"/>
      <c r="D104" s="246"/>
      <c r="E104" s="246"/>
      <c r="F104" s="246"/>
      <c r="G104" s="246"/>
      <c r="H104" s="246"/>
      <c r="I104" s="246"/>
      <c r="J104" s="246"/>
      <c r="K104" s="246"/>
      <c r="L104" s="246"/>
    </row>
    <row r="105" spans="1:29">
      <c r="A105" s="246"/>
      <c r="B105" s="247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</row>
    <row r="106" spans="1:29">
      <c r="A106" s="246"/>
      <c r="B106" s="247"/>
      <c r="C106" s="246"/>
      <c r="D106" s="246"/>
      <c r="E106" s="246"/>
      <c r="F106" s="246"/>
      <c r="G106" s="246"/>
      <c r="H106" s="246"/>
      <c r="I106" s="246"/>
      <c r="J106" s="246"/>
      <c r="K106" s="246"/>
      <c r="L106" s="246"/>
    </row>
    <row r="107" spans="1:29">
      <c r="A107" s="246"/>
      <c r="B107" s="247"/>
      <c r="C107" s="246"/>
      <c r="D107" s="246"/>
      <c r="E107" s="246"/>
      <c r="F107" s="246"/>
      <c r="G107" s="246"/>
      <c r="H107" s="246"/>
      <c r="I107" s="246"/>
      <c r="J107" s="246"/>
      <c r="K107" s="246"/>
      <c r="L107" s="246"/>
    </row>
    <row r="108" spans="1:29">
      <c r="A108" s="246"/>
      <c r="B108" s="247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</row>
    <row r="109" spans="1:29" hidden="1">
      <c r="A109" s="246"/>
      <c r="B109" s="247"/>
      <c r="C109" s="246"/>
      <c r="D109" s="246"/>
      <c r="E109" s="246"/>
      <c r="F109" s="246"/>
      <c r="G109" s="246"/>
      <c r="H109" s="246"/>
      <c r="I109" s="246"/>
      <c r="J109" s="246"/>
      <c r="K109" s="246"/>
      <c r="L109" s="246"/>
    </row>
    <row r="110" spans="1:29" hidden="1">
      <c r="A110" s="246"/>
      <c r="B110" s="247"/>
      <c r="C110" s="246"/>
      <c r="D110" s="246"/>
      <c r="E110" s="246"/>
      <c r="F110" s="246"/>
      <c r="G110" s="246"/>
      <c r="H110" s="246"/>
      <c r="I110" s="246"/>
      <c r="J110" s="246"/>
      <c r="K110" s="246"/>
      <c r="L110" s="246"/>
    </row>
    <row r="111" spans="1:29" hidden="1">
      <c r="A111" s="246"/>
      <c r="B111" s="247"/>
      <c r="C111" s="246"/>
      <c r="D111" s="246"/>
      <c r="E111" s="246"/>
      <c r="F111" s="246"/>
      <c r="G111" s="246"/>
      <c r="H111" s="246"/>
      <c r="I111" s="246"/>
      <c r="J111" s="246"/>
      <c r="K111" s="246"/>
      <c r="L111" s="246"/>
    </row>
    <row r="112" spans="1:29" hidden="1">
      <c r="A112" s="246"/>
      <c r="B112" s="247"/>
      <c r="C112" s="246"/>
      <c r="D112" s="246"/>
      <c r="E112" s="246"/>
      <c r="F112" s="246"/>
      <c r="G112" s="246"/>
      <c r="H112" s="246"/>
      <c r="I112" s="246"/>
      <c r="J112" s="246"/>
      <c r="K112" s="246"/>
      <c r="L112" s="246"/>
    </row>
    <row r="113" spans="1:12" hidden="1">
      <c r="A113" s="246"/>
      <c r="B113" s="247"/>
      <c r="C113" s="246"/>
      <c r="D113" s="246"/>
      <c r="E113" s="246"/>
      <c r="F113" s="246"/>
      <c r="G113" s="246"/>
      <c r="H113" s="246"/>
      <c r="I113" s="246"/>
      <c r="J113" s="246"/>
      <c r="K113" s="246"/>
      <c r="L113" s="246"/>
    </row>
    <row r="114" spans="1:12" hidden="1">
      <c r="A114" s="246"/>
      <c r="B114" s="247"/>
      <c r="C114" s="246"/>
      <c r="D114" s="246"/>
      <c r="E114" s="246"/>
      <c r="F114" s="246"/>
      <c r="G114" s="246"/>
      <c r="H114" s="246"/>
      <c r="I114" s="246"/>
      <c r="J114" s="246"/>
      <c r="K114" s="246"/>
      <c r="L114" s="246"/>
    </row>
    <row r="115" spans="1:12" hidden="1">
      <c r="A115" s="246"/>
      <c r="B115" s="247"/>
      <c r="C115" s="246"/>
      <c r="D115" s="246"/>
      <c r="E115" s="246"/>
      <c r="F115" s="246"/>
      <c r="G115" s="246"/>
      <c r="H115" s="246"/>
      <c r="I115" s="246"/>
      <c r="J115" s="246"/>
      <c r="K115" s="246"/>
      <c r="L115" s="246"/>
    </row>
    <row r="116" spans="1:12" hidden="1">
      <c r="A116" s="246"/>
      <c r="B116" s="247"/>
      <c r="C116" s="246"/>
      <c r="D116" s="246"/>
      <c r="E116" s="246"/>
      <c r="F116" s="246"/>
      <c r="G116" s="246"/>
      <c r="H116" s="246"/>
      <c r="I116" s="246"/>
      <c r="J116" s="246"/>
      <c r="K116" s="246"/>
      <c r="L116" s="246"/>
    </row>
    <row r="117" spans="1:12" hidden="1">
      <c r="A117" s="246"/>
      <c r="B117" s="247"/>
      <c r="C117" s="246"/>
      <c r="D117" s="246"/>
      <c r="E117" s="246"/>
      <c r="F117" s="246"/>
      <c r="G117" s="246"/>
      <c r="H117" s="246"/>
      <c r="I117" s="246"/>
      <c r="J117" s="246"/>
      <c r="K117" s="246"/>
      <c r="L117" s="246"/>
    </row>
    <row r="118" spans="1:12" hidden="1">
      <c r="A118" s="246"/>
      <c r="B118" s="247"/>
      <c r="C118" s="246"/>
      <c r="D118" s="246"/>
      <c r="E118" s="246"/>
      <c r="F118" s="246"/>
      <c r="G118" s="246"/>
      <c r="H118" s="246"/>
      <c r="I118" s="246"/>
      <c r="J118" s="246"/>
      <c r="K118" s="246"/>
      <c r="L118" s="246"/>
    </row>
    <row r="119" spans="1:12" hidden="1">
      <c r="A119" s="246"/>
      <c r="B119" s="247"/>
      <c r="C119" s="246"/>
      <c r="D119" s="246"/>
      <c r="E119" s="246"/>
      <c r="F119" s="246"/>
      <c r="G119" s="246"/>
      <c r="H119" s="246"/>
      <c r="I119" s="246"/>
      <c r="J119" s="246"/>
      <c r="K119" s="246"/>
      <c r="L119" s="246"/>
    </row>
    <row r="120" spans="1:12" hidden="1">
      <c r="A120" s="246"/>
      <c r="B120" s="247"/>
      <c r="C120" s="246"/>
      <c r="D120" s="246"/>
      <c r="E120" s="246"/>
      <c r="F120" s="246"/>
      <c r="G120" s="246"/>
      <c r="H120" s="246"/>
      <c r="I120" s="246"/>
      <c r="J120" s="246"/>
      <c r="K120" s="246"/>
      <c r="L120" s="246"/>
    </row>
    <row r="121" spans="1:12" hidden="1">
      <c r="A121" s="246"/>
      <c r="B121" s="247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</row>
    <row r="122" spans="1:12" hidden="1">
      <c r="A122" s="246"/>
      <c r="B122" s="247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</row>
    <row r="123" spans="1:12" hidden="1">
      <c r="A123" s="246"/>
      <c r="B123" s="247"/>
      <c r="C123" s="246"/>
      <c r="D123" s="246"/>
      <c r="E123" s="246"/>
      <c r="F123" s="246"/>
      <c r="G123" s="246"/>
      <c r="H123" s="246"/>
      <c r="I123" s="246"/>
      <c r="J123" s="246"/>
      <c r="K123" s="246"/>
      <c r="L123" s="246"/>
    </row>
    <row r="124" spans="1:12" hidden="1">
      <c r="A124" s="246"/>
      <c r="B124" s="247"/>
      <c r="C124" s="246"/>
      <c r="D124" s="246"/>
      <c r="E124" s="246"/>
      <c r="F124" s="246"/>
      <c r="G124" s="246"/>
      <c r="H124" s="246"/>
      <c r="I124" s="246"/>
      <c r="J124" s="246"/>
      <c r="K124" s="246"/>
      <c r="L124" s="246"/>
    </row>
    <row r="125" spans="1:12" hidden="1">
      <c r="A125" s="246"/>
      <c r="B125" s="247"/>
      <c r="C125" s="246"/>
      <c r="D125" s="246"/>
      <c r="E125" s="246"/>
      <c r="F125" s="246"/>
      <c r="G125" s="246"/>
      <c r="H125" s="246"/>
      <c r="I125" s="246"/>
      <c r="J125" s="246"/>
      <c r="K125" s="246"/>
      <c r="L125" s="246"/>
    </row>
    <row r="126" spans="1:12" hidden="1">
      <c r="A126" s="246"/>
      <c r="B126" s="247"/>
      <c r="C126" s="246"/>
      <c r="D126" s="246"/>
      <c r="E126" s="246"/>
      <c r="F126" s="246"/>
      <c r="G126" s="246"/>
      <c r="H126" s="246"/>
      <c r="I126" s="246"/>
      <c r="J126" s="246"/>
      <c r="K126" s="246"/>
      <c r="L126" s="246"/>
    </row>
    <row r="127" spans="1:12" hidden="1">
      <c r="A127" s="246"/>
      <c r="B127" s="247"/>
      <c r="C127" s="246"/>
      <c r="D127" s="246"/>
      <c r="E127" s="246"/>
      <c r="F127" s="246"/>
      <c r="G127" s="246"/>
      <c r="H127" s="246"/>
      <c r="I127" s="246"/>
      <c r="J127" s="246"/>
      <c r="K127" s="246"/>
      <c r="L127" s="246"/>
    </row>
    <row r="128" spans="1:12" hidden="1">
      <c r="A128" s="246"/>
      <c r="B128" s="247"/>
      <c r="C128" s="246"/>
      <c r="D128" s="246"/>
      <c r="E128" s="246"/>
      <c r="F128" s="246"/>
      <c r="G128" s="246"/>
      <c r="H128" s="246"/>
      <c r="I128" s="246"/>
      <c r="J128" s="246"/>
      <c r="K128" s="246"/>
      <c r="L128" s="246"/>
    </row>
    <row r="129" spans="1:12" hidden="1">
      <c r="A129" s="246"/>
      <c r="B129" s="247"/>
      <c r="C129" s="246"/>
      <c r="D129" s="246"/>
      <c r="E129" s="246"/>
      <c r="F129" s="246"/>
      <c r="G129" s="246"/>
      <c r="H129" s="246"/>
      <c r="I129" s="246"/>
      <c r="J129" s="246"/>
      <c r="K129" s="246"/>
      <c r="L129" s="246"/>
    </row>
    <row r="130" spans="1:12" hidden="1">
      <c r="A130" s="246"/>
      <c r="B130" s="247"/>
      <c r="C130" s="246"/>
      <c r="D130" s="246"/>
      <c r="E130" s="246"/>
      <c r="F130" s="246"/>
      <c r="G130" s="246"/>
      <c r="H130" s="246"/>
      <c r="I130" s="246"/>
      <c r="J130" s="246"/>
      <c r="K130" s="246"/>
      <c r="L130" s="246"/>
    </row>
    <row r="131" spans="1:12" hidden="1">
      <c r="A131" s="246"/>
      <c r="B131" s="247"/>
      <c r="C131" s="246"/>
      <c r="D131" s="246"/>
      <c r="E131" s="246"/>
      <c r="F131" s="246"/>
      <c r="G131" s="246"/>
      <c r="H131" s="246"/>
      <c r="I131" s="246"/>
      <c r="J131" s="246"/>
      <c r="K131" s="246"/>
      <c r="L131" s="246"/>
    </row>
    <row r="132" spans="1:12" hidden="1">
      <c r="A132" s="246"/>
      <c r="B132" s="247"/>
      <c r="C132" s="246"/>
      <c r="D132" s="246"/>
      <c r="E132" s="246"/>
      <c r="F132" s="246"/>
      <c r="G132" s="246"/>
      <c r="H132" s="246"/>
      <c r="I132" s="246"/>
      <c r="J132" s="246"/>
      <c r="K132" s="246"/>
      <c r="L132" s="246"/>
    </row>
    <row r="133" spans="1:12" hidden="1">
      <c r="A133" s="246"/>
      <c r="B133" s="247"/>
      <c r="C133" s="246"/>
      <c r="D133" s="246"/>
      <c r="E133" s="246"/>
      <c r="F133" s="246"/>
      <c r="G133" s="246"/>
      <c r="H133" s="246"/>
      <c r="I133" s="246"/>
      <c r="J133" s="246"/>
      <c r="K133" s="246"/>
      <c r="L133" s="246"/>
    </row>
    <row r="134" spans="1:12" hidden="1">
      <c r="A134" s="246"/>
      <c r="B134" s="247"/>
      <c r="C134" s="246"/>
      <c r="D134" s="246"/>
      <c r="E134" s="246"/>
      <c r="F134" s="246"/>
      <c r="G134" s="246"/>
      <c r="H134" s="246"/>
      <c r="I134" s="246"/>
      <c r="J134" s="246"/>
      <c r="K134" s="246"/>
      <c r="L134" s="246"/>
    </row>
    <row r="135" spans="1:12" hidden="1">
      <c r="A135" s="246"/>
      <c r="B135" s="247"/>
      <c r="C135" s="246"/>
      <c r="D135" s="246"/>
      <c r="E135" s="246"/>
      <c r="F135" s="246"/>
      <c r="G135" s="246"/>
      <c r="H135" s="246"/>
      <c r="I135" s="246"/>
      <c r="J135" s="246"/>
      <c r="K135" s="246"/>
      <c r="L135" s="246"/>
    </row>
    <row r="136" spans="1:12" hidden="1">
      <c r="A136" s="246"/>
      <c r="B136" s="247"/>
      <c r="C136" s="246"/>
      <c r="D136" s="246"/>
      <c r="E136" s="246"/>
      <c r="F136" s="246"/>
      <c r="G136" s="246"/>
      <c r="H136" s="246"/>
      <c r="I136" s="246"/>
      <c r="J136" s="246"/>
      <c r="K136" s="246"/>
      <c r="L136" s="246"/>
    </row>
    <row r="137" spans="1:12" hidden="1">
      <c r="A137" s="246"/>
      <c r="B137" s="247"/>
      <c r="C137" s="246"/>
      <c r="D137" s="246"/>
      <c r="E137" s="246"/>
      <c r="F137" s="246"/>
      <c r="G137" s="246"/>
      <c r="H137" s="246"/>
      <c r="I137" s="246"/>
      <c r="J137" s="246"/>
      <c r="K137" s="246"/>
      <c r="L137" s="246"/>
    </row>
    <row r="138" spans="1:12" hidden="1">
      <c r="A138" s="246"/>
      <c r="B138" s="247"/>
      <c r="C138" s="246"/>
      <c r="D138" s="246"/>
      <c r="E138" s="246"/>
      <c r="F138" s="246"/>
      <c r="G138" s="246"/>
      <c r="H138" s="246"/>
      <c r="I138" s="246"/>
      <c r="J138" s="246"/>
      <c r="K138" s="246"/>
      <c r="L138" s="246"/>
    </row>
    <row r="139" spans="1:12" hidden="1">
      <c r="A139" s="246"/>
      <c r="B139" s="247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</row>
    <row r="140" spans="1:12" hidden="1">
      <c r="A140" s="246"/>
      <c r="B140" s="247"/>
      <c r="C140" s="246"/>
      <c r="D140" s="246"/>
      <c r="E140" s="246"/>
      <c r="F140" s="246"/>
      <c r="G140" s="246"/>
      <c r="H140" s="246"/>
      <c r="I140" s="246"/>
      <c r="J140" s="246"/>
      <c r="K140" s="246"/>
      <c r="L140" s="246"/>
    </row>
    <row r="141" spans="1:12" hidden="1">
      <c r="A141" s="246"/>
      <c r="B141" s="247"/>
      <c r="C141" s="246"/>
      <c r="D141" s="246"/>
      <c r="E141" s="246"/>
      <c r="F141" s="246"/>
      <c r="G141" s="246"/>
      <c r="H141" s="246"/>
      <c r="I141" s="246"/>
      <c r="J141" s="246"/>
      <c r="K141" s="246"/>
      <c r="L141" s="246"/>
    </row>
    <row r="142" spans="1:12" hidden="1">
      <c r="A142" s="246"/>
      <c r="B142" s="247"/>
      <c r="C142" s="246"/>
      <c r="D142" s="246"/>
      <c r="E142" s="246"/>
      <c r="F142" s="246"/>
      <c r="G142" s="246"/>
      <c r="H142" s="246"/>
      <c r="I142" s="246"/>
      <c r="J142" s="246"/>
      <c r="K142" s="246"/>
      <c r="L142" s="246"/>
    </row>
    <row r="143" spans="1:12" hidden="1">
      <c r="A143" s="246"/>
      <c r="B143" s="247"/>
      <c r="C143" s="246"/>
      <c r="D143" s="246"/>
      <c r="E143" s="246"/>
      <c r="F143" s="246"/>
      <c r="G143" s="246"/>
      <c r="H143" s="246"/>
      <c r="I143" s="246"/>
      <c r="J143" s="246"/>
      <c r="K143" s="246"/>
      <c r="L143" s="246"/>
    </row>
    <row r="144" spans="1:12" hidden="1">
      <c r="A144" s="246"/>
      <c r="B144" s="247"/>
      <c r="C144" s="246"/>
      <c r="D144" s="246"/>
      <c r="E144" s="246"/>
      <c r="F144" s="246"/>
      <c r="G144" s="246"/>
      <c r="H144" s="246"/>
      <c r="I144" s="246"/>
      <c r="J144" s="246"/>
      <c r="K144" s="246"/>
      <c r="L144" s="246"/>
    </row>
    <row r="145" spans="1:12" hidden="1">
      <c r="A145" s="246"/>
      <c r="B145" s="247"/>
      <c r="C145" s="246"/>
      <c r="D145" s="246"/>
      <c r="E145" s="246"/>
      <c r="F145" s="246"/>
      <c r="G145" s="246"/>
      <c r="H145" s="246"/>
      <c r="I145" s="246"/>
      <c r="J145" s="246"/>
      <c r="K145" s="246"/>
      <c r="L145" s="246"/>
    </row>
    <row r="146" spans="1:12" hidden="1">
      <c r="A146" s="246"/>
      <c r="B146" s="247"/>
      <c r="C146" s="246"/>
      <c r="D146" s="246"/>
      <c r="E146" s="246"/>
      <c r="F146" s="246"/>
      <c r="G146" s="246"/>
      <c r="H146" s="246"/>
      <c r="I146" s="246"/>
      <c r="J146" s="246"/>
      <c r="K146" s="246"/>
      <c r="L146" s="246"/>
    </row>
    <row r="147" spans="1:12" hidden="1">
      <c r="A147" s="246"/>
      <c r="B147" s="247"/>
      <c r="C147" s="246"/>
      <c r="D147" s="246"/>
      <c r="E147" s="246"/>
      <c r="F147" s="246"/>
      <c r="G147" s="246"/>
      <c r="H147" s="246"/>
      <c r="I147" s="246"/>
      <c r="J147" s="246"/>
      <c r="K147" s="246"/>
      <c r="L147" s="246"/>
    </row>
    <row r="148" spans="1:12" hidden="1">
      <c r="A148" s="246"/>
      <c r="B148" s="247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</row>
    <row r="149" spans="1:12" hidden="1">
      <c r="A149" s="246"/>
      <c r="B149" s="247"/>
      <c r="C149" s="246"/>
      <c r="D149" s="246"/>
      <c r="E149" s="246"/>
      <c r="F149" s="246"/>
      <c r="G149" s="246"/>
      <c r="H149" s="246"/>
      <c r="I149" s="246"/>
      <c r="J149" s="246"/>
      <c r="K149" s="246"/>
      <c r="L149" s="246"/>
    </row>
    <row r="150" spans="1:12" hidden="1">
      <c r="A150" s="246"/>
      <c r="B150" s="247"/>
      <c r="C150" s="246"/>
      <c r="D150" s="246"/>
      <c r="E150" s="246"/>
      <c r="F150" s="246"/>
      <c r="G150" s="246"/>
      <c r="H150" s="246"/>
      <c r="I150" s="246"/>
      <c r="J150" s="246"/>
      <c r="K150" s="246"/>
      <c r="L150" s="246"/>
    </row>
    <row r="151" spans="1:12" hidden="1">
      <c r="A151" s="246"/>
      <c r="B151" s="247"/>
      <c r="C151" s="246"/>
      <c r="D151" s="246"/>
      <c r="E151" s="246"/>
      <c r="F151" s="246"/>
      <c r="G151" s="246"/>
      <c r="H151" s="246"/>
      <c r="I151" s="246"/>
      <c r="J151" s="246"/>
      <c r="K151" s="246"/>
      <c r="L151" s="246"/>
    </row>
    <row r="152" spans="1:12" hidden="1">
      <c r="A152" s="246"/>
      <c r="B152" s="247"/>
      <c r="C152" s="246"/>
      <c r="D152" s="246"/>
      <c r="E152" s="246"/>
      <c r="F152" s="246"/>
      <c r="G152" s="246"/>
      <c r="H152" s="246"/>
      <c r="I152" s="246"/>
      <c r="J152" s="246"/>
      <c r="K152" s="246"/>
      <c r="L152" s="246"/>
    </row>
    <row r="153" spans="1:12" hidden="1">
      <c r="A153" s="246"/>
      <c r="B153" s="247"/>
      <c r="C153" s="246"/>
      <c r="D153" s="246"/>
      <c r="E153" s="246"/>
      <c r="F153" s="246"/>
      <c r="G153" s="246"/>
      <c r="H153" s="246"/>
      <c r="I153" s="246"/>
      <c r="J153" s="246"/>
      <c r="K153" s="246"/>
      <c r="L153" s="246"/>
    </row>
    <row r="154" spans="1:12" hidden="1">
      <c r="A154" s="246"/>
      <c r="B154" s="247"/>
      <c r="C154" s="246"/>
      <c r="D154" s="246"/>
      <c r="E154" s="246"/>
      <c r="F154" s="246"/>
      <c r="G154" s="246"/>
      <c r="H154" s="246"/>
      <c r="I154" s="246"/>
      <c r="J154" s="246"/>
      <c r="K154" s="246"/>
      <c r="L154" s="246"/>
    </row>
    <row r="155" spans="1:12" hidden="1">
      <c r="A155" s="246"/>
      <c r="B155" s="247"/>
      <c r="C155" s="246"/>
      <c r="D155" s="246"/>
      <c r="E155" s="246"/>
      <c r="F155" s="246"/>
      <c r="G155" s="246"/>
      <c r="H155" s="246"/>
      <c r="I155" s="246"/>
      <c r="J155" s="246"/>
      <c r="K155" s="246"/>
      <c r="L155" s="246"/>
    </row>
    <row r="156" spans="1:12" hidden="1">
      <c r="A156" s="246"/>
      <c r="B156" s="24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</row>
    <row r="157" spans="1:12" hidden="1">
      <c r="A157" s="246"/>
      <c r="B157" s="247"/>
      <c r="C157" s="246"/>
      <c r="D157" s="246"/>
      <c r="E157" s="246"/>
      <c r="F157" s="246"/>
      <c r="G157" s="246"/>
      <c r="H157" s="246"/>
      <c r="I157" s="246"/>
      <c r="J157" s="246"/>
      <c r="K157" s="246"/>
      <c r="L157" s="246"/>
    </row>
    <row r="158" spans="1:12" hidden="1">
      <c r="A158" s="246"/>
      <c r="B158" s="247"/>
      <c r="C158" s="246"/>
      <c r="D158" s="246"/>
      <c r="E158" s="246"/>
      <c r="F158" s="246"/>
      <c r="G158" s="246"/>
      <c r="H158" s="246"/>
      <c r="I158" s="246"/>
      <c r="J158" s="246"/>
      <c r="K158" s="246"/>
      <c r="L158" s="246"/>
    </row>
    <row r="159" spans="1:12" hidden="1">
      <c r="A159" s="246"/>
      <c r="B159" s="247"/>
      <c r="C159" s="246"/>
      <c r="D159" s="246"/>
      <c r="E159" s="246"/>
      <c r="F159" s="246"/>
      <c r="G159" s="246"/>
      <c r="H159" s="246"/>
      <c r="I159" s="246"/>
      <c r="J159" s="246"/>
      <c r="K159" s="246"/>
      <c r="L159" s="246"/>
    </row>
    <row r="160" spans="1:12" hidden="1">
      <c r="A160" s="246"/>
      <c r="B160" s="247"/>
      <c r="C160" s="246"/>
      <c r="D160" s="246"/>
      <c r="E160" s="246"/>
      <c r="F160" s="246"/>
      <c r="G160" s="246"/>
      <c r="H160" s="246"/>
      <c r="I160" s="246"/>
      <c r="J160" s="246"/>
      <c r="K160" s="246"/>
      <c r="L160" s="246"/>
    </row>
    <row r="161" spans="1:12" hidden="1">
      <c r="A161" s="246"/>
      <c r="B161" s="247"/>
      <c r="C161" s="246"/>
      <c r="D161" s="246"/>
      <c r="E161" s="246"/>
      <c r="F161" s="246"/>
      <c r="G161" s="246"/>
      <c r="H161" s="246"/>
      <c r="I161" s="246"/>
      <c r="J161" s="246"/>
      <c r="K161" s="246"/>
      <c r="L161" s="246"/>
    </row>
    <row r="162" spans="1:12" hidden="1">
      <c r="A162" s="246"/>
      <c r="B162" s="247"/>
      <c r="C162" s="246"/>
      <c r="D162" s="246"/>
      <c r="E162" s="246"/>
      <c r="F162" s="246"/>
      <c r="G162" s="246"/>
      <c r="H162" s="246"/>
      <c r="I162" s="246"/>
      <c r="J162" s="246"/>
      <c r="K162" s="246"/>
      <c r="L162" s="246"/>
    </row>
    <row r="163" spans="1:12" hidden="1">
      <c r="A163" s="246"/>
      <c r="B163" s="247"/>
      <c r="C163" s="246"/>
      <c r="D163" s="246"/>
      <c r="E163" s="246"/>
      <c r="F163" s="246"/>
      <c r="G163" s="246"/>
      <c r="H163" s="246"/>
      <c r="I163" s="246"/>
      <c r="J163" s="246"/>
      <c r="K163" s="246"/>
      <c r="L163" s="246"/>
    </row>
    <row r="164" spans="1:12" hidden="1">
      <c r="A164" s="246"/>
      <c r="B164" s="247"/>
      <c r="C164" s="246"/>
      <c r="D164" s="246"/>
      <c r="E164" s="246"/>
      <c r="F164" s="246"/>
      <c r="G164" s="246"/>
      <c r="H164" s="246"/>
      <c r="I164" s="246"/>
      <c r="J164" s="246"/>
      <c r="K164" s="246"/>
      <c r="L164" s="246"/>
    </row>
    <row r="165" spans="1:12" hidden="1">
      <c r="A165" s="246"/>
      <c r="B165" s="247"/>
      <c r="C165" s="246"/>
      <c r="D165" s="246"/>
      <c r="E165" s="246"/>
      <c r="F165" s="246"/>
      <c r="G165" s="246"/>
      <c r="H165" s="246"/>
      <c r="I165" s="246"/>
      <c r="J165" s="246"/>
      <c r="K165" s="246"/>
      <c r="L165" s="246"/>
    </row>
    <row r="166" spans="1:12" hidden="1">
      <c r="A166" s="246"/>
      <c r="B166" s="247"/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</row>
    <row r="167" spans="1:12" hidden="1">
      <c r="A167" s="246"/>
      <c r="B167" s="247"/>
      <c r="C167" s="246"/>
      <c r="D167" s="246"/>
      <c r="E167" s="246"/>
      <c r="F167" s="246"/>
      <c r="G167" s="246"/>
      <c r="H167" s="246"/>
      <c r="I167" s="246"/>
      <c r="J167" s="246"/>
      <c r="K167" s="246"/>
      <c r="L167" s="246"/>
    </row>
    <row r="168" spans="1:12" hidden="1">
      <c r="A168" s="246"/>
      <c r="B168" s="247"/>
      <c r="C168" s="246"/>
      <c r="D168" s="246"/>
      <c r="E168" s="246"/>
      <c r="F168" s="246"/>
      <c r="G168" s="246"/>
      <c r="H168" s="246"/>
      <c r="I168" s="246"/>
      <c r="J168" s="246"/>
      <c r="K168" s="246"/>
      <c r="L168" s="246"/>
    </row>
    <row r="169" spans="1:12" hidden="1">
      <c r="A169" s="246"/>
      <c r="B169" s="247"/>
      <c r="C169" s="246"/>
      <c r="D169" s="246"/>
      <c r="E169" s="246"/>
      <c r="F169" s="246"/>
      <c r="G169" s="246"/>
      <c r="H169" s="246"/>
      <c r="I169" s="246"/>
      <c r="J169" s="246"/>
      <c r="K169" s="246"/>
      <c r="L169" s="246"/>
    </row>
    <row r="170" spans="1:12" hidden="1">
      <c r="A170" s="246"/>
      <c r="B170" s="247"/>
      <c r="C170" s="246"/>
      <c r="D170" s="246"/>
      <c r="E170" s="246"/>
      <c r="F170" s="246"/>
      <c r="G170" s="246"/>
      <c r="H170" s="246"/>
      <c r="I170" s="246"/>
      <c r="J170" s="246"/>
      <c r="K170" s="246"/>
      <c r="L170" s="246"/>
    </row>
    <row r="171" spans="1:12" hidden="1">
      <c r="A171" s="246"/>
      <c r="B171" s="247"/>
      <c r="C171" s="246"/>
      <c r="D171" s="246"/>
      <c r="E171" s="246"/>
      <c r="F171" s="246"/>
      <c r="G171" s="246"/>
      <c r="H171" s="246"/>
      <c r="I171" s="246"/>
      <c r="J171" s="246"/>
      <c r="K171" s="246"/>
      <c r="L171" s="246"/>
    </row>
    <row r="172" spans="1:12" hidden="1">
      <c r="A172" s="246"/>
      <c r="B172" s="247"/>
      <c r="C172" s="246"/>
      <c r="D172" s="246"/>
      <c r="E172" s="246"/>
      <c r="F172" s="246"/>
      <c r="G172" s="246"/>
      <c r="H172" s="246"/>
      <c r="I172" s="246"/>
      <c r="J172" s="246"/>
      <c r="K172" s="246"/>
      <c r="L172" s="246"/>
    </row>
    <row r="173" spans="1:12" hidden="1">
      <c r="A173" s="246"/>
      <c r="B173" s="247"/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</row>
    <row r="174" spans="1:12" hidden="1">
      <c r="A174" s="246"/>
      <c r="B174" s="247"/>
      <c r="C174" s="246"/>
      <c r="D174" s="246"/>
      <c r="E174" s="246"/>
      <c r="F174" s="246"/>
      <c r="G174" s="246"/>
      <c r="H174" s="246"/>
      <c r="I174" s="246"/>
      <c r="J174" s="246"/>
      <c r="K174" s="246"/>
      <c r="L174" s="246"/>
    </row>
    <row r="175" spans="1:12" hidden="1">
      <c r="A175" s="246"/>
      <c r="B175" s="247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</row>
    <row r="176" spans="1:12" hidden="1">
      <c r="A176" s="246"/>
      <c r="B176" s="247"/>
      <c r="C176" s="246"/>
      <c r="D176" s="246"/>
      <c r="E176" s="246"/>
      <c r="F176" s="246"/>
      <c r="G176" s="246"/>
      <c r="H176" s="246"/>
      <c r="I176" s="246"/>
      <c r="J176" s="246"/>
      <c r="K176" s="246"/>
      <c r="L176" s="246"/>
    </row>
    <row r="177" spans="1:12" hidden="1">
      <c r="A177" s="246"/>
      <c r="B177" s="247"/>
      <c r="C177" s="246"/>
      <c r="D177" s="246"/>
      <c r="E177" s="246"/>
      <c r="F177" s="246"/>
      <c r="G177" s="246"/>
      <c r="H177" s="246"/>
      <c r="I177" s="246"/>
      <c r="J177" s="246"/>
      <c r="K177" s="246"/>
      <c r="L177" s="246"/>
    </row>
    <row r="178" spans="1:12" hidden="1">
      <c r="A178" s="246"/>
      <c r="B178" s="247"/>
      <c r="C178" s="246"/>
      <c r="D178" s="246"/>
      <c r="E178" s="246"/>
      <c r="F178" s="246"/>
      <c r="G178" s="246"/>
      <c r="H178" s="246"/>
      <c r="I178" s="246"/>
      <c r="J178" s="246"/>
      <c r="K178" s="246"/>
      <c r="L178" s="246"/>
    </row>
    <row r="179" spans="1:12" hidden="1">
      <c r="A179" s="246"/>
      <c r="B179" s="247"/>
      <c r="C179" s="246"/>
      <c r="D179" s="246"/>
      <c r="E179" s="246"/>
      <c r="F179" s="246"/>
      <c r="G179" s="246"/>
      <c r="H179" s="246"/>
      <c r="I179" s="246"/>
      <c r="J179" s="246"/>
      <c r="K179" s="246"/>
      <c r="L179" s="246"/>
    </row>
    <row r="180" spans="1:12" hidden="1">
      <c r="A180" s="246"/>
      <c r="B180" s="247"/>
      <c r="C180" s="246"/>
      <c r="D180" s="246"/>
      <c r="E180" s="246"/>
      <c r="F180" s="246"/>
      <c r="G180" s="246"/>
      <c r="H180" s="246"/>
      <c r="I180" s="246"/>
      <c r="J180" s="246"/>
      <c r="K180" s="246"/>
      <c r="L180" s="246"/>
    </row>
    <row r="181" spans="1:12" hidden="1">
      <c r="A181" s="246"/>
      <c r="B181" s="247"/>
      <c r="C181" s="246"/>
      <c r="D181" s="246"/>
      <c r="E181" s="246"/>
      <c r="F181" s="246"/>
      <c r="G181" s="246"/>
      <c r="H181" s="246"/>
      <c r="I181" s="246"/>
      <c r="J181" s="246"/>
      <c r="K181" s="246"/>
      <c r="L181" s="246"/>
    </row>
    <row r="182" spans="1:12" hidden="1">
      <c r="A182" s="246"/>
      <c r="B182" s="247"/>
      <c r="C182" s="246"/>
      <c r="D182" s="246"/>
      <c r="E182" s="246"/>
      <c r="F182" s="246"/>
      <c r="G182" s="246"/>
      <c r="H182" s="246"/>
      <c r="I182" s="246"/>
      <c r="J182" s="246"/>
      <c r="K182" s="246"/>
      <c r="L182" s="246"/>
    </row>
    <row r="183" spans="1:12" hidden="1">
      <c r="A183" s="246"/>
      <c r="B183" s="247"/>
      <c r="C183" s="246"/>
      <c r="D183" s="246"/>
      <c r="E183" s="246"/>
      <c r="F183" s="246"/>
      <c r="G183" s="246"/>
      <c r="H183" s="246"/>
      <c r="I183" s="246"/>
      <c r="J183" s="246"/>
      <c r="K183" s="246"/>
      <c r="L183" s="246"/>
    </row>
    <row r="184" spans="1:12" hidden="1">
      <c r="A184" s="246"/>
      <c r="B184" s="247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</row>
    <row r="185" spans="1:12" hidden="1">
      <c r="A185" s="246"/>
      <c r="B185" s="247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</row>
    <row r="186" spans="1:12" hidden="1">
      <c r="A186" s="246"/>
      <c r="B186" s="247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</row>
    <row r="187" spans="1:12" hidden="1">
      <c r="A187" s="246"/>
      <c r="B187" s="247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</row>
    <row r="188" spans="1:12" hidden="1">
      <c r="A188" s="246"/>
      <c r="B188" s="247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</row>
    <row r="189" spans="1:12" hidden="1">
      <c r="A189" s="246"/>
      <c r="B189" s="247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</row>
    <row r="190" spans="1:12" hidden="1">
      <c r="A190" s="246"/>
      <c r="B190" s="247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</row>
    <row r="191" spans="1:12" hidden="1">
      <c r="A191" s="246"/>
      <c r="B191" s="247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</row>
    <row r="192" spans="1:12" hidden="1">
      <c r="A192" s="246"/>
      <c r="B192" s="247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</row>
    <row r="193" spans="1:12" hidden="1">
      <c r="A193" s="246"/>
      <c r="B193" s="247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</row>
    <row r="194" spans="1:12" hidden="1">
      <c r="A194" s="246"/>
      <c r="B194" s="247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</row>
    <row r="195" spans="1:12" hidden="1">
      <c r="A195" s="246"/>
      <c r="B195" s="247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</row>
    <row r="196" spans="1:12" hidden="1">
      <c r="A196" s="246"/>
      <c r="B196" s="247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</row>
    <row r="197" spans="1:12" hidden="1">
      <c r="A197" s="246"/>
      <c r="B197" s="247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</row>
    <row r="198" spans="1:12" hidden="1">
      <c r="A198" s="246"/>
      <c r="B198" s="247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</row>
    <row r="199" spans="1:12" hidden="1">
      <c r="A199" s="246"/>
      <c r="B199" s="247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</row>
    <row r="200" spans="1:12" hidden="1">
      <c r="A200" s="246"/>
      <c r="B200" s="247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</row>
    <row r="201" spans="1:12" hidden="1">
      <c r="A201" s="246"/>
      <c r="B201" s="247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</row>
    <row r="202" spans="1:12" hidden="1">
      <c r="A202" s="246"/>
      <c r="B202" s="247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</row>
    <row r="203" spans="1:12" hidden="1">
      <c r="A203" s="246"/>
      <c r="B203" s="247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</row>
    <row r="204" spans="1:12" ht="12" hidden="1" customHeight="1">
      <c r="A204" s="246"/>
      <c r="B204" s="247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</row>
    <row r="205" spans="1:12" hidden="1">
      <c r="A205" s="246"/>
      <c r="B205" s="247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</row>
    <row r="206" spans="1:12" hidden="1">
      <c r="A206" s="246"/>
      <c r="B206" s="247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</row>
    <row r="207" spans="1:12" hidden="1">
      <c r="A207" s="246"/>
      <c r="B207" s="24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</row>
    <row r="208" spans="1:12" hidden="1">
      <c r="A208" s="246"/>
      <c r="B208" s="247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</row>
    <row r="209" spans="1:12" ht="10.5" hidden="1" thickBot="1">
      <c r="A209" s="246"/>
      <c r="B209" s="247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</row>
    <row r="210" spans="1:12" s="127" customFormat="1" ht="10.5" hidden="1" thickTop="1">
      <c r="A210" s="435"/>
      <c r="B210" s="436"/>
      <c r="C210" s="251"/>
      <c r="D210" s="251"/>
      <c r="E210" s="251"/>
      <c r="F210" s="249"/>
      <c r="G210" s="249"/>
      <c r="H210" s="249"/>
      <c r="I210" s="249"/>
      <c r="J210" s="249"/>
      <c r="K210" s="249"/>
      <c r="L210" s="249"/>
    </row>
    <row r="211" spans="1:12" s="127" customFormat="1" hidden="1">
      <c r="A211" s="439"/>
      <c r="B211" s="440"/>
      <c r="C211" s="251"/>
      <c r="D211" s="251"/>
      <c r="E211" s="251"/>
      <c r="F211" s="249"/>
      <c r="G211" s="249"/>
      <c r="H211" s="249"/>
      <c r="I211" s="249"/>
      <c r="J211" s="249"/>
      <c r="K211" s="249"/>
      <c r="L211" s="249"/>
    </row>
    <row r="212" spans="1:12" s="127" customFormat="1" hidden="1">
      <c r="A212" s="439"/>
      <c r="B212" s="440"/>
      <c r="C212" s="251"/>
      <c r="D212" s="251"/>
      <c r="E212" s="251"/>
      <c r="F212" s="249"/>
      <c r="G212" s="249"/>
      <c r="H212" s="249"/>
      <c r="I212" s="249"/>
      <c r="J212" s="249"/>
      <c r="K212" s="249"/>
      <c r="L212" s="249"/>
    </row>
    <row r="213" spans="1:12" s="127" customFormat="1" hidden="1">
      <c r="A213" s="439"/>
      <c r="B213" s="440"/>
      <c r="C213" s="251"/>
      <c r="D213" s="251"/>
      <c r="E213" s="251"/>
      <c r="F213" s="249"/>
      <c r="G213" s="249"/>
      <c r="H213" s="249"/>
      <c r="I213" s="249"/>
      <c r="J213" s="249"/>
      <c r="K213" s="249"/>
      <c r="L213" s="249"/>
    </row>
    <row r="214" spans="1:12" s="127" customFormat="1" hidden="1">
      <c r="A214" s="439"/>
      <c r="B214" s="440"/>
      <c r="C214" s="251"/>
      <c r="D214" s="251"/>
      <c r="E214" s="251"/>
      <c r="F214" s="249"/>
      <c r="G214" s="249"/>
      <c r="H214" s="249"/>
      <c r="I214" s="249"/>
      <c r="J214" s="249"/>
      <c r="K214" s="249"/>
      <c r="L214" s="249"/>
    </row>
    <row r="215" spans="1:12" s="127" customFormat="1" hidden="1">
      <c r="A215" s="439"/>
      <c r="B215" s="440"/>
      <c r="C215" s="251"/>
      <c r="D215" s="251"/>
      <c r="E215" s="251"/>
      <c r="F215" s="249"/>
      <c r="G215" s="249"/>
      <c r="H215" s="249"/>
      <c r="I215" s="249"/>
      <c r="J215" s="249"/>
      <c r="K215" s="249"/>
      <c r="L215" s="249"/>
    </row>
    <row r="216" spans="1:12" s="127" customFormat="1" hidden="1">
      <c r="A216" s="439"/>
      <c r="B216" s="440"/>
      <c r="C216" s="251"/>
      <c r="D216" s="251"/>
      <c r="E216" s="251"/>
      <c r="F216" s="249"/>
      <c r="G216" s="249"/>
      <c r="H216" s="249"/>
      <c r="I216" s="249"/>
      <c r="J216" s="249"/>
      <c r="K216" s="249"/>
      <c r="L216" s="249"/>
    </row>
    <row r="217" spans="1:12" s="127" customFormat="1" ht="10.5" hidden="1" thickBot="1">
      <c r="A217" s="444"/>
      <c r="B217" s="445"/>
      <c r="C217" s="251"/>
      <c r="D217" s="251"/>
      <c r="E217" s="251"/>
      <c r="F217" s="249"/>
      <c r="G217" s="249"/>
      <c r="H217" s="249"/>
      <c r="I217" s="249"/>
      <c r="J217" s="249"/>
      <c r="K217" s="249"/>
      <c r="L217" s="249"/>
    </row>
    <row r="218" spans="1:12" s="127" customFormat="1" ht="10.5" hidden="1" thickTop="1">
      <c r="A218" s="446"/>
      <c r="B218" s="446"/>
      <c r="C218" s="249"/>
      <c r="D218" s="249"/>
      <c r="E218" s="249"/>
      <c r="F218" s="249"/>
      <c r="G218" s="249"/>
      <c r="H218" s="249"/>
      <c r="I218" s="249"/>
      <c r="J218" s="249"/>
      <c r="K218" s="249"/>
      <c r="L218" s="249"/>
    </row>
    <row r="219" spans="1:12" s="127" customFormat="1" hidden="1">
      <c r="A219" s="452" t="s">
        <v>105</v>
      </c>
      <c r="B219" s="446"/>
      <c r="C219" s="249"/>
      <c r="D219" s="249"/>
      <c r="E219" s="249"/>
      <c r="F219" s="249"/>
      <c r="G219" s="249"/>
      <c r="H219" s="249"/>
      <c r="I219" s="249"/>
      <c r="J219" s="249"/>
      <c r="K219" s="249"/>
      <c r="L219" s="249"/>
    </row>
    <row r="220" spans="1:12" s="127" customFormat="1" hidden="1">
      <c r="A220" s="452" t="e">
        <f>IF(#REF!="ANUAL",1,IF(#REF!="SEMESTRAL",2,IF(#REF!="TRIMESTRAL",4,IF(#REF!="MENSUAL",12,1))))</f>
        <v>#REF!</v>
      </c>
      <c r="B220" s="446"/>
      <c r="C220" s="249"/>
      <c r="D220" s="249"/>
      <c r="E220" s="249"/>
      <c r="F220" s="249"/>
      <c r="G220" s="249"/>
      <c r="H220" s="249"/>
      <c r="I220" s="249"/>
      <c r="J220" s="249"/>
      <c r="K220" s="249"/>
      <c r="L220" s="249"/>
    </row>
    <row r="221" spans="1:12" s="127" customFormat="1" hidden="1">
      <c r="A221" s="446"/>
      <c r="B221" s="446"/>
      <c r="C221" s="249"/>
      <c r="D221" s="249"/>
      <c r="E221" s="249"/>
      <c r="F221" s="249"/>
      <c r="G221" s="249"/>
      <c r="H221" s="249"/>
      <c r="I221" s="249"/>
      <c r="J221" s="249"/>
      <c r="K221" s="249"/>
      <c r="L221" s="249"/>
    </row>
    <row r="222" spans="1:12" s="127" customFormat="1" hidden="1">
      <c r="A222" s="446" t="s">
        <v>40</v>
      </c>
      <c r="B222" s="446"/>
      <c r="C222" s="249"/>
      <c r="D222" s="249"/>
      <c r="E222" s="249"/>
      <c r="F222" s="249"/>
      <c r="G222" s="249"/>
      <c r="H222" s="249"/>
      <c r="I222" s="249"/>
      <c r="J222" s="249"/>
      <c r="K222" s="249"/>
      <c r="L222" s="249"/>
    </row>
    <row r="223" spans="1:12" s="127" customFormat="1" hidden="1">
      <c r="A223" s="461">
        <v>0.1</v>
      </c>
      <c r="B223" s="446"/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</row>
    <row r="224" spans="1:12" s="127" customFormat="1" hidden="1">
      <c r="A224" s="461">
        <v>0.15</v>
      </c>
      <c r="B224" s="446"/>
      <c r="C224" s="249"/>
      <c r="D224" s="249"/>
      <c r="E224" s="249"/>
      <c r="F224" s="249"/>
      <c r="G224" s="249"/>
      <c r="H224" s="249"/>
      <c r="I224" s="249"/>
      <c r="J224" s="249"/>
      <c r="K224" s="249"/>
      <c r="L224" s="249"/>
    </row>
    <row r="225" spans="1:12" s="127" customFormat="1" hidden="1">
      <c r="A225" s="446"/>
      <c r="B225" s="446"/>
      <c r="C225" s="249"/>
      <c r="D225" s="249"/>
      <c r="E225" s="249"/>
      <c r="F225" s="249"/>
      <c r="G225" s="249"/>
      <c r="H225" s="249"/>
      <c r="I225" s="249"/>
      <c r="J225" s="249"/>
      <c r="K225" s="249"/>
      <c r="L225" s="249"/>
    </row>
    <row r="226" spans="1:12" s="127" customFormat="1" hidden="1">
      <c r="A226" s="446"/>
      <c r="B226" s="446"/>
      <c r="C226" s="249"/>
      <c r="D226" s="249"/>
      <c r="E226" s="249"/>
      <c r="F226" s="249"/>
      <c r="G226" s="249"/>
      <c r="H226" s="249"/>
      <c r="I226" s="249"/>
      <c r="J226" s="249"/>
      <c r="K226" s="249"/>
      <c r="L226" s="249"/>
    </row>
    <row r="227" spans="1:12" s="127" customFormat="1" hidden="1">
      <c r="A227" s="446"/>
      <c r="B227" s="446"/>
      <c r="C227" s="249"/>
      <c r="D227" s="249"/>
      <c r="E227" s="249"/>
      <c r="F227" s="249"/>
      <c r="G227" s="249"/>
      <c r="H227" s="249"/>
      <c r="I227" s="249"/>
      <c r="J227" s="249"/>
      <c r="K227" s="249"/>
      <c r="L227" s="249"/>
    </row>
    <row r="228" spans="1:12" s="127" customFormat="1" hidden="1">
      <c r="A228" s="446"/>
      <c r="B228" s="446"/>
      <c r="C228" s="249"/>
      <c r="D228" s="249"/>
      <c r="E228" s="249"/>
      <c r="F228" s="249"/>
      <c r="G228" s="249"/>
      <c r="H228" s="249"/>
      <c r="I228" s="249"/>
      <c r="J228" s="249"/>
      <c r="K228" s="249"/>
      <c r="L228" s="249"/>
    </row>
    <row r="229" spans="1:12" s="127" customFormat="1" hidden="1">
      <c r="A229" s="446"/>
      <c r="B229" s="446"/>
      <c r="C229" s="249"/>
      <c r="D229" s="249"/>
      <c r="E229" s="249"/>
      <c r="F229" s="249"/>
      <c r="G229" s="249"/>
      <c r="H229" s="249"/>
      <c r="I229" s="249"/>
      <c r="J229" s="249"/>
      <c r="K229" s="249"/>
      <c r="L229" s="249"/>
    </row>
    <row r="230" spans="1:12" s="127" customFormat="1" hidden="1">
      <c r="A230" s="446"/>
      <c r="B230" s="446"/>
      <c r="C230" s="249"/>
      <c r="D230" s="249"/>
      <c r="E230" s="249"/>
      <c r="F230" s="249"/>
      <c r="G230" s="249"/>
      <c r="H230" s="249"/>
      <c r="I230" s="249"/>
      <c r="J230" s="249"/>
      <c r="K230" s="249"/>
      <c r="L230" s="249"/>
    </row>
    <row r="231" spans="1:12" s="127" customFormat="1" hidden="1">
      <c r="A231" s="446"/>
      <c r="B231" s="446"/>
      <c r="C231" s="249"/>
      <c r="D231" s="249"/>
      <c r="E231" s="249"/>
      <c r="F231" s="249"/>
      <c r="G231" s="249"/>
      <c r="H231" s="249"/>
      <c r="I231" s="249"/>
      <c r="J231" s="249"/>
      <c r="K231" s="249"/>
      <c r="L231" s="249"/>
    </row>
    <row r="232" spans="1:12" s="127" customFormat="1" hidden="1">
      <c r="A232" s="446"/>
      <c r="B232" s="446"/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</row>
    <row r="233" spans="1:12" s="127" customFormat="1" hidden="1">
      <c r="A233" s="446"/>
      <c r="B233" s="446"/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</row>
    <row r="234" spans="1:12" s="127" customFormat="1" hidden="1">
      <c r="A234" s="446"/>
      <c r="B234" s="446"/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</row>
    <row r="235" spans="1:12" s="127" customFormat="1" hidden="1">
      <c r="A235" s="446"/>
      <c r="B235" s="446"/>
      <c r="C235" s="249"/>
      <c r="D235" s="249"/>
      <c r="E235" s="249"/>
      <c r="F235" s="249"/>
      <c r="G235" s="249"/>
      <c r="H235" s="249"/>
      <c r="I235" s="249"/>
      <c r="J235" s="249"/>
      <c r="K235" s="249"/>
      <c r="L235" s="249"/>
    </row>
    <row r="236" spans="1:12" s="127" customFormat="1" hidden="1">
      <c r="A236" s="446"/>
      <c r="B236" s="446"/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</row>
    <row r="237" spans="1:12" s="127" customFormat="1" hidden="1">
      <c r="A237" s="446"/>
      <c r="B237" s="446"/>
      <c r="C237" s="249"/>
      <c r="D237" s="249"/>
      <c r="E237" s="249"/>
      <c r="F237" s="249"/>
      <c r="G237" s="249"/>
      <c r="H237" s="249"/>
      <c r="I237" s="249"/>
      <c r="J237" s="249"/>
      <c r="K237" s="249"/>
      <c r="L237" s="249"/>
    </row>
    <row r="238" spans="1:12" s="127" customFormat="1" hidden="1">
      <c r="A238" s="446"/>
      <c r="B238" s="446"/>
      <c r="C238" s="249"/>
      <c r="D238" s="249"/>
      <c r="E238" s="249"/>
      <c r="F238" s="249"/>
      <c r="G238" s="249"/>
      <c r="H238" s="249"/>
      <c r="I238" s="249"/>
      <c r="J238" s="249"/>
      <c r="K238" s="249"/>
      <c r="L238" s="249"/>
    </row>
    <row r="239" spans="1:12" s="127" customFormat="1" hidden="1">
      <c r="A239" s="446"/>
      <c r="B239" s="446"/>
      <c r="C239" s="249"/>
      <c r="D239" s="249"/>
      <c r="E239" s="249"/>
      <c r="F239" s="249"/>
      <c r="G239" s="249"/>
      <c r="H239" s="249"/>
      <c r="I239" s="249"/>
      <c r="J239" s="249"/>
      <c r="K239" s="249"/>
      <c r="L239" s="249"/>
    </row>
    <row r="240" spans="1:12">
      <c r="A240" s="246"/>
      <c r="B240" s="247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</row>
    <row r="241" spans="1:12">
      <c r="A241" s="246"/>
      <c r="B241" s="247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</row>
  </sheetData>
  <sheetProtection algorithmName="SHA-512" hashValue="Om6j/7e6Z2a1gnpODn1t5fQE66AAMrNnaR40hWhUWfgCfH5uUZ2hflbFUh0TilJiIOJUyE7UiH95gfHlqOCz2g==" saltValue="GvEmscqi/NhihdiyWmS0jw==" spinCount="100000" sheet="1" selectLockedCells="1"/>
  <mergeCells count="18">
    <mergeCell ref="E85:F85"/>
    <mergeCell ref="C87:D87"/>
    <mergeCell ref="B100:L101"/>
    <mergeCell ref="B7:K8"/>
    <mergeCell ref="B9:K10"/>
    <mergeCell ref="C95:K95"/>
    <mergeCell ref="C98:K99"/>
    <mergeCell ref="C90:D90"/>
    <mergeCell ref="C89:D89"/>
    <mergeCell ref="B12:K12"/>
    <mergeCell ref="C71:G72"/>
    <mergeCell ref="H71:H72"/>
    <mergeCell ref="I71:I72"/>
    <mergeCell ref="E87:G87"/>
    <mergeCell ref="J71:J72"/>
    <mergeCell ref="C58:K58"/>
    <mergeCell ref="C70:K70"/>
    <mergeCell ref="C85:D85"/>
  </mergeCells>
  <phoneticPr fontId="0" type="noConversion"/>
  <printOptions horizontalCentered="1" verticalCentered="1"/>
  <pageMargins left="0.39370078740157483" right="0.39370078740157483" top="0.2" bottom="0.36" header="0" footer="0.23"/>
  <pageSetup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P254"/>
  <sheetViews>
    <sheetView showGridLines="0" zoomScaleNormal="100" workbookViewId="0">
      <selection activeCell="AM1" sqref="AM1"/>
    </sheetView>
  </sheetViews>
  <sheetFormatPr baseColWidth="10" defaultColWidth="0" defaultRowHeight="10" zeroHeight="1"/>
  <cols>
    <col min="1" max="1" width="5.7265625" style="3" customWidth="1"/>
    <col min="2" max="2" width="12.81640625" style="3" customWidth="1"/>
    <col min="3" max="3" width="11.1796875" style="3" customWidth="1"/>
    <col min="4" max="4" width="16" style="3" customWidth="1"/>
    <col min="5" max="5" width="12.1796875" style="3" customWidth="1"/>
    <col min="6" max="6" width="11.1796875" style="3" customWidth="1"/>
    <col min="7" max="7" width="12" style="3" customWidth="1"/>
    <col min="8" max="8" width="13.54296875" style="3" customWidth="1"/>
    <col min="9" max="9" width="12.1796875" style="3" customWidth="1"/>
    <col min="10" max="10" width="11.453125" style="3" customWidth="1"/>
    <col min="11" max="11" width="14.26953125" style="3" customWidth="1"/>
    <col min="12" max="12" width="13.54296875" style="3" customWidth="1"/>
    <col min="13" max="13" width="11.453125" style="3" customWidth="1"/>
    <col min="14" max="16" width="11.453125" style="163" customWidth="1"/>
    <col min="17" max="16384" width="11.453125" style="163" hidden="1"/>
  </cols>
  <sheetData>
    <row r="1" spans="1:13"/>
    <row r="2" spans="1:13"/>
    <row r="3" spans="1:13"/>
    <row r="4" spans="1:13"/>
    <row r="5" spans="1:13"/>
    <row r="6" spans="1:13" ht="10.5" thickBot="1"/>
    <row r="7" spans="1:13" ht="18.75" customHeight="1" thickBot="1">
      <c r="B7" s="792" t="s">
        <v>314</v>
      </c>
      <c r="C7" s="793"/>
      <c r="D7" s="539" t="str">
        <f>+COTIZACION!D8</f>
        <v xml:space="preserve">NUEVA </v>
      </c>
      <c r="F7" s="2"/>
      <c r="J7" s="792" t="s">
        <v>313</v>
      </c>
      <c r="K7" s="793"/>
      <c r="L7" s="584">
        <f>+COTIZACION!D15</f>
        <v>5</v>
      </c>
    </row>
    <row r="8" spans="1:13">
      <c r="B8" s="117"/>
      <c r="C8" s="117"/>
      <c r="D8" s="117"/>
      <c r="F8" s="117"/>
      <c r="G8" s="117"/>
      <c r="H8" s="117"/>
      <c r="J8" s="117"/>
      <c r="K8" s="117"/>
      <c r="L8" s="117"/>
    </row>
    <row r="9" spans="1:13" ht="11.5">
      <c r="B9" s="331" t="s">
        <v>12</v>
      </c>
      <c r="C9" s="332"/>
      <c r="D9" s="333">
        <f>TITULAR!E5</f>
        <v>100000000</v>
      </c>
      <c r="F9" s="331" t="s">
        <v>12</v>
      </c>
      <c r="G9" s="332"/>
      <c r="H9" s="333">
        <f>CONYUGE!E5</f>
        <v>100000000</v>
      </c>
      <c r="J9" s="331" t="s">
        <v>12</v>
      </c>
      <c r="K9" s="332"/>
      <c r="L9" s="333">
        <f>DEPENDIENTE!E5</f>
        <v>100000000</v>
      </c>
    </row>
    <row r="10" spans="1:13" ht="11.5">
      <c r="B10" s="331" t="s">
        <v>13</v>
      </c>
      <c r="C10" s="332"/>
      <c r="D10" s="333">
        <f>TITULAR!E6</f>
        <v>12000</v>
      </c>
      <c r="F10" s="331" t="s">
        <v>13</v>
      </c>
      <c r="G10" s="332"/>
      <c r="H10" s="333">
        <f>CONYUGE!E6</f>
        <v>12000</v>
      </c>
      <c r="J10" s="331" t="s">
        <v>13</v>
      </c>
      <c r="K10" s="332"/>
      <c r="L10" s="333">
        <f>DEPENDIENTE!E6</f>
        <v>12000</v>
      </c>
    </row>
    <row r="11" spans="1:13" ht="11.5">
      <c r="B11" s="331" t="s">
        <v>14</v>
      </c>
      <c r="C11" s="332"/>
      <c r="D11" s="334">
        <f>TITULAR!E8</f>
        <v>0.1</v>
      </c>
      <c r="F11" s="331" t="s">
        <v>14</v>
      </c>
      <c r="G11" s="332"/>
      <c r="H11" s="334">
        <f>CONYUGE!E7</f>
        <v>0.1</v>
      </c>
      <c r="J11" s="331" t="s">
        <v>14</v>
      </c>
      <c r="K11" s="332"/>
      <c r="L11" s="334">
        <f>DEPENDIENTE!E7</f>
        <v>0.1</v>
      </c>
    </row>
    <row r="12" spans="1:13" ht="10.5" thickBot="1"/>
    <row r="13" spans="1:13" ht="13.5" customHeight="1">
      <c r="A13" s="58"/>
      <c r="B13" s="796" t="s">
        <v>309</v>
      </c>
      <c r="C13" s="797"/>
      <c r="D13" s="798"/>
      <c r="E13" s="58"/>
      <c r="F13" s="796" t="s">
        <v>310</v>
      </c>
      <c r="G13" s="797"/>
      <c r="H13" s="798"/>
      <c r="I13" s="58"/>
      <c r="J13" s="796" t="s">
        <v>311</v>
      </c>
      <c r="K13" s="797"/>
      <c r="L13" s="798"/>
      <c r="M13" s="58"/>
    </row>
    <row r="14" spans="1:13" ht="3.75" customHeight="1" thickBot="1">
      <c r="A14" s="58"/>
      <c r="B14" s="799"/>
      <c r="C14" s="800"/>
      <c r="D14" s="801"/>
      <c r="E14" s="58"/>
      <c r="F14" s="799"/>
      <c r="G14" s="800"/>
      <c r="H14" s="801"/>
      <c r="I14" s="58"/>
      <c r="J14" s="799"/>
      <c r="K14" s="800"/>
      <c r="L14" s="801"/>
      <c r="M14" s="58"/>
    </row>
    <row r="15" spans="1:13" ht="10.5" thickBot="1">
      <c r="A15" s="58"/>
      <c r="B15" s="583" t="s">
        <v>9</v>
      </c>
      <c r="C15" s="583" t="s">
        <v>16</v>
      </c>
      <c r="D15" s="583" t="s">
        <v>17</v>
      </c>
      <c r="E15" s="58"/>
      <c r="F15" s="583" t="s">
        <v>9</v>
      </c>
      <c r="G15" s="583" t="s">
        <v>16</v>
      </c>
      <c r="H15" s="583" t="s">
        <v>17</v>
      </c>
      <c r="I15" s="58"/>
      <c r="J15" s="583" t="s">
        <v>9</v>
      </c>
      <c r="K15" s="583" t="s">
        <v>16</v>
      </c>
      <c r="L15" s="583" t="s">
        <v>17</v>
      </c>
      <c r="M15" s="58"/>
    </row>
    <row r="16" spans="1:13">
      <c r="A16" s="58"/>
      <c r="B16" s="335" t="s">
        <v>175</v>
      </c>
      <c r="C16" s="336">
        <f>IFERROR(TITULAR!J45,0)</f>
        <v>22406.327999999998</v>
      </c>
      <c r="D16" s="336">
        <f>IFERROR(TITULAR!K45,0)</f>
        <v>21203.802399999997</v>
      </c>
      <c r="E16" s="58"/>
      <c r="F16" s="335" t="s">
        <v>175</v>
      </c>
      <c r="G16" s="336">
        <f>IFERROR(+CONYUGE!J39,0)</f>
        <v>21420.327999999998</v>
      </c>
      <c r="H16" s="336">
        <f>IFERROR(+CONYUGE!K39,0)</f>
        <v>20217.802399999997</v>
      </c>
      <c r="I16" s="58"/>
      <c r="J16" s="335" t="s">
        <v>176</v>
      </c>
      <c r="K16" s="336">
        <f>IFERROR(DEPENDIENTE!J26,0)</f>
        <v>21550.549599999995</v>
      </c>
      <c r="L16" s="336">
        <f>IFERROR(DEPENDIENTE!K26,0)</f>
        <v>21632.665999999997</v>
      </c>
      <c r="M16" s="58"/>
    </row>
    <row r="17" spans="1:13">
      <c r="A17" s="57"/>
      <c r="B17" s="565">
        <f>+B16+1</f>
        <v>19</v>
      </c>
      <c r="C17" s="566">
        <f>IFERROR(TITULAR!J46,0)</f>
        <v>23053.805199999995</v>
      </c>
      <c r="D17" s="566">
        <f>IFERROR(TITULAR!K46,0)</f>
        <v>21458.051199999994</v>
      </c>
      <c r="E17" s="57"/>
      <c r="F17" s="565">
        <f>+F16+1</f>
        <v>19</v>
      </c>
      <c r="G17" s="566">
        <f>IFERROR(+CONYUGE!J40,0)</f>
        <v>22067.805199999995</v>
      </c>
      <c r="H17" s="566">
        <f>IFERROR(+CONYUGE!K40,0)</f>
        <v>20472.051199999994</v>
      </c>
      <c r="I17" s="57"/>
      <c r="J17" s="565">
        <v>6</v>
      </c>
      <c r="K17" s="566">
        <f>IFERROR(DEPENDIENTE!J27,0)</f>
        <v>21550.549599999995</v>
      </c>
      <c r="L17" s="566">
        <f>IFERROR(DEPENDIENTE!K27,0)</f>
        <v>21632.665999999997</v>
      </c>
      <c r="M17" s="58"/>
    </row>
    <row r="18" spans="1:13">
      <c r="A18" s="57"/>
      <c r="B18" s="335">
        <f t="shared" ref="B18:B67" si="0">+B17+1</f>
        <v>20</v>
      </c>
      <c r="C18" s="336">
        <f>IFERROR(TITULAR!J47,0)</f>
        <v>23785.428799999994</v>
      </c>
      <c r="D18" s="336">
        <f>IFERROR(TITULAR!K47,0)</f>
        <v>24695.9244</v>
      </c>
      <c r="E18" s="57"/>
      <c r="F18" s="335">
        <f t="shared" ref="F18:F67" si="1">+F17+1</f>
        <v>20</v>
      </c>
      <c r="G18" s="336">
        <f>IFERROR(+CONYUGE!J41,0)</f>
        <v>22799.428799999994</v>
      </c>
      <c r="H18" s="336">
        <f>IFERROR(+CONYUGE!K41,0)</f>
        <v>23709.9244</v>
      </c>
      <c r="I18" s="57"/>
      <c r="J18" s="335">
        <f>+J17+1</f>
        <v>7</v>
      </c>
      <c r="K18" s="336">
        <f>IFERROR(DEPENDIENTE!J28,0)</f>
        <v>21550.549599999995</v>
      </c>
      <c r="L18" s="336">
        <f>IFERROR(DEPENDIENTE!K28,0)</f>
        <v>21632.665999999997</v>
      </c>
      <c r="M18" s="58"/>
    </row>
    <row r="19" spans="1:13">
      <c r="A19" s="59"/>
      <c r="B19" s="565">
        <f t="shared" si="0"/>
        <v>21</v>
      </c>
      <c r="C19" s="566">
        <f>IFERROR(TITULAR!J48,0)</f>
        <v>25262.491599999998</v>
      </c>
      <c r="D19" s="566">
        <f>IFERROR(TITULAR!K48,0)</f>
        <v>30533.740399999995</v>
      </c>
      <c r="E19" s="59"/>
      <c r="F19" s="565">
        <f t="shared" si="1"/>
        <v>21</v>
      </c>
      <c r="G19" s="566">
        <f>IFERROR(+CONYUGE!J42,0)</f>
        <v>24276.491599999998</v>
      </c>
      <c r="H19" s="566">
        <f>IFERROR(+CONYUGE!K42,0)</f>
        <v>29547.740399999995</v>
      </c>
      <c r="I19" s="59"/>
      <c r="J19" s="565">
        <f t="shared" ref="J19:J35" si="2">+J18+1</f>
        <v>8</v>
      </c>
      <c r="K19" s="566">
        <f>IFERROR(DEPENDIENTE!J29,0)</f>
        <v>21550.549599999995</v>
      </c>
      <c r="L19" s="566">
        <f>IFERROR(DEPENDIENTE!K29,0)</f>
        <v>21632.665999999997</v>
      </c>
      <c r="M19" s="58"/>
    </row>
    <row r="20" spans="1:13">
      <c r="A20" s="59"/>
      <c r="B20" s="335">
        <f t="shared" si="0"/>
        <v>22</v>
      </c>
      <c r="C20" s="336">
        <f>IFERROR(TITULAR!J49,0)</f>
        <v>26236.879999999997</v>
      </c>
      <c r="D20" s="336">
        <f>IFERROR(TITULAR!K49,0)</f>
        <v>31804.485599999996</v>
      </c>
      <c r="E20" s="59"/>
      <c r="F20" s="335">
        <f t="shared" si="1"/>
        <v>22</v>
      </c>
      <c r="G20" s="336">
        <f>IFERROR(+CONYUGE!J43,0)</f>
        <v>25250.879999999997</v>
      </c>
      <c r="H20" s="336">
        <f>IFERROR(+CONYUGE!K43,0)</f>
        <v>30818.485599999996</v>
      </c>
      <c r="I20" s="59"/>
      <c r="J20" s="335">
        <f t="shared" si="2"/>
        <v>9</v>
      </c>
      <c r="K20" s="336">
        <f>IFERROR(DEPENDIENTE!J30,0)</f>
        <v>21550.549599999995</v>
      </c>
      <c r="L20" s="336">
        <f>IFERROR(DEPENDIENTE!K30,0)</f>
        <v>21632.665999999997</v>
      </c>
      <c r="M20" s="58"/>
    </row>
    <row r="21" spans="1:13">
      <c r="A21" s="59"/>
      <c r="B21" s="565">
        <f t="shared" si="0"/>
        <v>23</v>
      </c>
      <c r="C21" s="566">
        <f>IFERROR(TITULAR!J50,0)</f>
        <v>27782.405999999995</v>
      </c>
      <c r="D21" s="566">
        <f>IFERROR(TITULAR!K50,0)</f>
        <v>33108.3488</v>
      </c>
      <c r="E21" s="59"/>
      <c r="F21" s="565">
        <f t="shared" si="1"/>
        <v>23</v>
      </c>
      <c r="G21" s="566">
        <f>IFERROR(+CONYUGE!J44,0)</f>
        <v>26796.405999999995</v>
      </c>
      <c r="H21" s="566">
        <f>IFERROR(+CONYUGE!K44,0)</f>
        <v>32122.3488</v>
      </c>
      <c r="I21" s="59"/>
      <c r="J21" s="565">
        <f t="shared" si="2"/>
        <v>10</v>
      </c>
      <c r="K21" s="566">
        <f>IFERROR(DEPENDIENTE!J31,0)</f>
        <v>21550.549599999995</v>
      </c>
      <c r="L21" s="566">
        <f>IFERROR(DEPENDIENTE!K31,0)</f>
        <v>21632.665999999997</v>
      </c>
      <c r="M21" s="58"/>
    </row>
    <row r="22" spans="1:13">
      <c r="A22" s="59"/>
      <c r="B22" s="335">
        <f t="shared" si="0"/>
        <v>24</v>
      </c>
      <c r="C22" s="336">
        <f>IFERROR(TITULAR!J51,0)</f>
        <v>28790.387999999995</v>
      </c>
      <c r="D22" s="336">
        <f>IFERROR(TITULAR!K51,0)</f>
        <v>34475.107199999999</v>
      </c>
      <c r="E22" s="59"/>
      <c r="F22" s="335">
        <f t="shared" si="1"/>
        <v>24</v>
      </c>
      <c r="G22" s="336">
        <f>IFERROR(+CONYUGE!J45,0)</f>
        <v>27804.387999999999</v>
      </c>
      <c r="H22" s="336">
        <f>IFERROR(+CONYUGE!K45,0)</f>
        <v>33489.107199999999</v>
      </c>
      <c r="I22" s="59"/>
      <c r="J22" s="335">
        <f t="shared" si="2"/>
        <v>11</v>
      </c>
      <c r="K22" s="336">
        <f>IFERROR(DEPENDIENTE!J32,0)</f>
        <v>21772.295199999997</v>
      </c>
      <c r="L22" s="336">
        <f>IFERROR(DEPENDIENTE!K32,0)</f>
        <v>21622.840799999994</v>
      </c>
      <c r="M22" s="58"/>
    </row>
    <row r="23" spans="1:13">
      <c r="A23" s="59"/>
      <c r="B23" s="565">
        <f t="shared" si="0"/>
        <v>25</v>
      </c>
      <c r="C23" s="566">
        <f>IFERROR(TITULAR!J52,0)</f>
        <v>29801.293199999993</v>
      </c>
      <c r="D23" s="566">
        <f>IFERROR(TITULAR!K52,0)</f>
        <v>35891.687599999997</v>
      </c>
      <c r="E23" s="59"/>
      <c r="F23" s="565">
        <f t="shared" si="1"/>
        <v>25</v>
      </c>
      <c r="G23" s="566">
        <f>IFERROR(+CONYUGE!J46,0)</f>
        <v>28815.293199999993</v>
      </c>
      <c r="H23" s="566">
        <f>IFERROR(+CONYUGE!K46,0)</f>
        <v>34905.687599999997</v>
      </c>
      <c r="I23" s="59"/>
      <c r="J23" s="565">
        <f t="shared" si="2"/>
        <v>12</v>
      </c>
      <c r="K23" s="566">
        <f>IFERROR(DEPENDIENTE!J33,0)</f>
        <v>21698.635199999997</v>
      </c>
      <c r="L23" s="566">
        <f>IFERROR(DEPENDIENTE!K33,0)</f>
        <v>21811.514799999997</v>
      </c>
      <c r="M23" s="58"/>
    </row>
    <row r="24" spans="1:13">
      <c r="A24" s="59"/>
      <c r="B24" s="335">
        <f t="shared" si="0"/>
        <v>26</v>
      </c>
      <c r="C24" s="336">
        <f>IFERROR(TITULAR!J53,0)</f>
        <v>31580.547599999994</v>
      </c>
      <c r="D24" s="336">
        <f>IFERROR(TITULAR!K53,0)</f>
        <v>37133.9548</v>
      </c>
      <c r="E24" s="59"/>
      <c r="F24" s="335">
        <f t="shared" si="1"/>
        <v>26</v>
      </c>
      <c r="G24" s="336">
        <f>IFERROR(+CONYUGE!J47,0)</f>
        <v>30594.547599999994</v>
      </c>
      <c r="H24" s="336">
        <f>IFERROR(+CONYUGE!K47,0)</f>
        <v>36147.9548</v>
      </c>
      <c r="I24" s="59"/>
      <c r="J24" s="335">
        <f t="shared" si="2"/>
        <v>13</v>
      </c>
      <c r="K24" s="336">
        <f>IFERROR(DEPENDIENTE!J34,0)</f>
        <v>21552.370799999997</v>
      </c>
      <c r="L24" s="336">
        <f>IFERROR(DEPENDIENTE!K34,0)</f>
        <v>21687.997999999996</v>
      </c>
      <c r="M24" s="58"/>
    </row>
    <row r="25" spans="1:13">
      <c r="A25" s="59"/>
      <c r="B25" s="565">
        <f t="shared" si="0"/>
        <v>27</v>
      </c>
      <c r="C25" s="566">
        <f>IFERROR(TITULAR!J54,0)</f>
        <v>32847.395199999992</v>
      </c>
      <c r="D25" s="566">
        <f>IFERROR(TITULAR!K54,0)</f>
        <v>38653.276399999988</v>
      </c>
      <c r="E25" s="59"/>
      <c r="F25" s="565">
        <f t="shared" si="1"/>
        <v>27</v>
      </c>
      <c r="G25" s="566">
        <f>IFERROR(+CONYUGE!J48,0)</f>
        <v>31861.395199999995</v>
      </c>
      <c r="H25" s="566">
        <f>IFERROR(+CONYUGE!K48,0)</f>
        <v>37667.276399999995</v>
      </c>
      <c r="I25" s="59"/>
      <c r="J25" s="565">
        <f t="shared" si="2"/>
        <v>14</v>
      </c>
      <c r="K25" s="566">
        <f>IFERROR(DEPENDIENTE!J35,0)</f>
        <v>21022.598799999996</v>
      </c>
      <c r="L25" s="566">
        <f>IFERROR(DEPENDIENTE!K35,0)</f>
        <v>21303.921999999995</v>
      </c>
      <c r="M25" s="58"/>
    </row>
    <row r="26" spans="1:13">
      <c r="A26" s="59"/>
      <c r="B26" s="335">
        <f t="shared" si="0"/>
        <v>28</v>
      </c>
      <c r="C26" s="336">
        <f>IFERROR(TITULAR!J55,0)</f>
        <v>34570.493999999992</v>
      </c>
      <c r="D26" s="336">
        <f>IFERROR(TITULAR!K55,0)</f>
        <v>40274.678</v>
      </c>
      <c r="E26" s="59"/>
      <c r="F26" s="335">
        <f t="shared" si="1"/>
        <v>28</v>
      </c>
      <c r="G26" s="336">
        <f>IFERROR(+CONYUGE!J49,0)</f>
        <v>33584.493999999999</v>
      </c>
      <c r="H26" s="336">
        <f>IFERROR(+CONYUGE!K49,0)</f>
        <v>39288.678</v>
      </c>
      <c r="I26" s="59"/>
      <c r="J26" s="335">
        <f t="shared" si="2"/>
        <v>15</v>
      </c>
      <c r="K26" s="336">
        <f>IFERROR(DEPENDIENTE!J36,0)</f>
        <v>21093.161599999996</v>
      </c>
      <c r="L26" s="336">
        <f>IFERROR(DEPENDIENTE!K36,0)</f>
        <v>20987.392799999998</v>
      </c>
      <c r="M26" s="58"/>
    </row>
    <row r="27" spans="1:13">
      <c r="A27" s="59"/>
      <c r="B27" s="565">
        <f t="shared" si="0"/>
        <v>29</v>
      </c>
      <c r="C27" s="566">
        <f>IFERROR(TITULAR!J56,0)</f>
        <v>36169.333599999998</v>
      </c>
      <c r="D27" s="566">
        <f>IFERROR(TITULAR!K56,0)</f>
        <v>41910.939200000001</v>
      </c>
      <c r="E27" s="59"/>
      <c r="F27" s="565">
        <f t="shared" si="1"/>
        <v>29</v>
      </c>
      <c r="G27" s="566">
        <f>IFERROR(+CONYUGE!J50,0)</f>
        <v>35183.333599999998</v>
      </c>
      <c r="H27" s="566">
        <f>IFERROR(+CONYUGE!K50,0)</f>
        <v>40924.939200000001</v>
      </c>
      <c r="I27" s="59"/>
      <c r="J27" s="565">
        <f t="shared" si="2"/>
        <v>16</v>
      </c>
      <c r="K27" s="566">
        <f>IFERROR(DEPENDIENTE!J37,0)</f>
        <v>20768.918399999995</v>
      </c>
      <c r="L27" s="566">
        <f>IFERROR(DEPENDIENTE!K37,0)</f>
        <v>19551.161999999997</v>
      </c>
      <c r="M27" s="58"/>
    </row>
    <row r="28" spans="1:13">
      <c r="A28" s="59"/>
      <c r="B28" s="335">
        <f t="shared" si="0"/>
        <v>30</v>
      </c>
      <c r="C28" s="336">
        <f>IFERROR(TITULAR!J57,0)</f>
        <v>37656.673999999992</v>
      </c>
      <c r="D28" s="336">
        <f>IFERROR(TITULAR!K57,0)</f>
        <v>43710.145600000003</v>
      </c>
      <c r="E28" s="59"/>
      <c r="F28" s="335">
        <f t="shared" si="1"/>
        <v>30</v>
      </c>
      <c r="G28" s="336">
        <f>IFERROR(+CONYUGE!J51,0)</f>
        <v>36670.673999999992</v>
      </c>
      <c r="H28" s="336">
        <f>IFERROR(+CONYUGE!K51,0)</f>
        <v>42724.145600000003</v>
      </c>
      <c r="I28" s="59"/>
      <c r="J28" s="335">
        <f t="shared" si="2"/>
        <v>17</v>
      </c>
      <c r="K28" s="336">
        <f>IFERROR(DEPENDIENTE!J38,0)</f>
        <v>20889.500399999997</v>
      </c>
      <c r="L28" s="336">
        <f>IFERROR(DEPENDIENTE!K38,0)</f>
        <v>19840.013599999998</v>
      </c>
      <c r="M28" s="58"/>
    </row>
    <row r="29" spans="1:13">
      <c r="A29" s="59"/>
      <c r="B29" s="565">
        <f t="shared" si="0"/>
        <v>31</v>
      </c>
      <c r="C29" s="566">
        <f>IFERROR(TITULAR!J58,0)</f>
        <v>39086.002800000002</v>
      </c>
      <c r="D29" s="566">
        <f>IFERROR(TITULAR!K58,0)</f>
        <v>45557.805199999995</v>
      </c>
      <c r="E29" s="59"/>
      <c r="F29" s="565">
        <f t="shared" si="1"/>
        <v>31</v>
      </c>
      <c r="G29" s="566">
        <f>IFERROR(+CONYUGE!J52,0)</f>
        <v>38100.002800000002</v>
      </c>
      <c r="H29" s="566">
        <f>IFERROR(+CONYUGE!K52,0)</f>
        <v>44571.805199999995</v>
      </c>
      <c r="I29" s="59"/>
      <c r="J29" s="565">
        <f t="shared" si="2"/>
        <v>18</v>
      </c>
      <c r="K29" s="566">
        <f>IFERROR(DEPENDIENTE!J39,0)</f>
        <v>21420.327999999998</v>
      </c>
      <c r="L29" s="566">
        <f>IFERROR(DEPENDIENTE!K39,0)</f>
        <v>20217.802399999997</v>
      </c>
      <c r="M29" s="58"/>
    </row>
    <row r="30" spans="1:13">
      <c r="A30" s="59"/>
      <c r="B30" s="335">
        <f t="shared" si="0"/>
        <v>32</v>
      </c>
      <c r="C30" s="336">
        <f>IFERROR(TITULAR!J59,0)</f>
        <v>41308.249600000003</v>
      </c>
      <c r="D30" s="336">
        <f>IFERROR(TITULAR!K59,0)</f>
        <v>47435.067999999999</v>
      </c>
      <c r="E30" s="59"/>
      <c r="F30" s="335">
        <f t="shared" si="1"/>
        <v>32</v>
      </c>
      <c r="G30" s="336">
        <f>IFERROR(+CONYUGE!J53,0)</f>
        <v>40322.249600000003</v>
      </c>
      <c r="H30" s="336">
        <f>IFERROR(+CONYUGE!K53,0)</f>
        <v>46449.067999999999</v>
      </c>
      <c r="I30" s="59"/>
      <c r="J30" s="335">
        <f t="shared" si="2"/>
        <v>19</v>
      </c>
      <c r="K30" s="336">
        <f>IFERROR(DEPENDIENTE!J40,0)</f>
        <v>22067.805199999995</v>
      </c>
      <c r="L30" s="336">
        <f>IFERROR(DEPENDIENTE!K40,0)</f>
        <v>20472.051199999994</v>
      </c>
      <c r="M30" s="58"/>
    </row>
    <row r="31" spans="1:13">
      <c r="A31" s="59"/>
      <c r="B31" s="565">
        <f t="shared" si="0"/>
        <v>33</v>
      </c>
      <c r="C31" s="566">
        <f>IFERROR(TITULAR!J60,0)</f>
        <v>42661.5288</v>
      </c>
      <c r="D31" s="566">
        <f>IFERROR(TITULAR!K60,0)</f>
        <v>49348.383599999994</v>
      </c>
      <c r="E31" s="59"/>
      <c r="F31" s="565">
        <f t="shared" si="1"/>
        <v>33</v>
      </c>
      <c r="G31" s="566">
        <f>IFERROR(+CONYUGE!J54,0)</f>
        <v>41675.5288</v>
      </c>
      <c r="H31" s="566">
        <f>IFERROR(+CONYUGE!K54,0)</f>
        <v>48362.383599999994</v>
      </c>
      <c r="I31" s="59"/>
      <c r="J31" s="565">
        <f t="shared" si="2"/>
        <v>20</v>
      </c>
      <c r="K31" s="566">
        <f>IFERROR(DEPENDIENTE!J41,0)</f>
        <v>22799.428799999994</v>
      </c>
      <c r="L31" s="566">
        <f>IFERROR(DEPENDIENTE!K41,0)</f>
        <v>23709.9244</v>
      </c>
      <c r="M31" s="58"/>
    </row>
    <row r="32" spans="1:13">
      <c r="A32" s="59"/>
      <c r="B32" s="335">
        <f t="shared" si="0"/>
        <v>34</v>
      </c>
      <c r="C32" s="336">
        <f>IFERROR(TITULAR!J61,0)</f>
        <v>44883.218799999995</v>
      </c>
      <c r="D32" s="336">
        <f>IFERROR(TITULAR!K61,0)</f>
        <v>51396.885600000001</v>
      </c>
      <c r="E32" s="59"/>
      <c r="F32" s="335">
        <f t="shared" si="1"/>
        <v>34</v>
      </c>
      <c r="G32" s="336">
        <f>IFERROR(+CONYUGE!J55,0)</f>
        <v>43897.218799999995</v>
      </c>
      <c r="H32" s="336">
        <f>IFERROR(+CONYUGE!K55,0)</f>
        <v>50410.885600000001</v>
      </c>
      <c r="I32" s="59"/>
      <c r="J32" s="335">
        <f t="shared" si="2"/>
        <v>21</v>
      </c>
      <c r="K32" s="336">
        <f>IFERROR(DEPENDIENTE!J42,0)</f>
        <v>24276.491599999998</v>
      </c>
      <c r="L32" s="336">
        <f>IFERROR(DEPENDIENTE!K42,0)</f>
        <v>29547.740399999995</v>
      </c>
      <c r="M32" s="58"/>
    </row>
    <row r="33" spans="1:13">
      <c r="A33" s="59"/>
      <c r="B33" s="565">
        <f t="shared" si="0"/>
        <v>35</v>
      </c>
      <c r="C33" s="566">
        <f>IFERROR(TITULAR!J62,0)</f>
        <v>47199.205199999997</v>
      </c>
      <c r="D33" s="566">
        <f>IFERROR(TITULAR!K62,0)</f>
        <v>53567.605199999998</v>
      </c>
      <c r="E33" s="59"/>
      <c r="F33" s="565">
        <f t="shared" si="1"/>
        <v>35</v>
      </c>
      <c r="G33" s="566">
        <f>IFERROR(+CONYUGE!J56,0)</f>
        <v>46213.205199999997</v>
      </c>
      <c r="H33" s="566">
        <f>IFERROR(+CONYUGE!K56,0)</f>
        <v>52581.605199999998</v>
      </c>
      <c r="I33" s="59"/>
      <c r="J33" s="565">
        <f t="shared" si="2"/>
        <v>22</v>
      </c>
      <c r="K33" s="566">
        <f>IFERROR(DEPENDIENTE!J43,0)</f>
        <v>25250.879999999997</v>
      </c>
      <c r="L33" s="566">
        <f>IFERROR(DEPENDIENTE!K43,0)</f>
        <v>30818.485599999996</v>
      </c>
      <c r="M33" s="58"/>
    </row>
    <row r="34" spans="1:13">
      <c r="A34" s="59"/>
      <c r="B34" s="335">
        <f t="shared" si="0"/>
        <v>36</v>
      </c>
      <c r="C34" s="336">
        <f>IFERROR(TITULAR!J63,0)</f>
        <v>49090.840400000001</v>
      </c>
      <c r="D34" s="336">
        <f>IFERROR(TITULAR!K63,0)</f>
        <v>55792.612799999995</v>
      </c>
      <c r="E34" s="59"/>
      <c r="F34" s="335">
        <f t="shared" si="1"/>
        <v>36</v>
      </c>
      <c r="G34" s="336">
        <f>IFERROR(+CONYUGE!J57,0)</f>
        <v>48104.840400000001</v>
      </c>
      <c r="H34" s="336">
        <f>IFERROR(+CONYUGE!K57,0)</f>
        <v>54806.612799999995</v>
      </c>
      <c r="I34" s="59"/>
      <c r="J34" s="335">
        <f t="shared" si="2"/>
        <v>23</v>
      </c>
      <c r="K34" s="336">
        <f>IFERROR(DEPENDIENTE!J44,0)</f>
        <v>26796.405999999995</v>
      </c>
      <c r="L34" s="336">
        <f>IFERROR(DEPENDIENTE!K44,0)</f>
        <v>32122.3488</v>
      </c>
      <c r="M34" s="58"/>
    </row>
    <row r="35" spans="1:13">
      <c r="A35" s="59"/>
      <c r="B35" s="565">
        <f t="shared" si="0"/>
        <v>37</v>
      </c>
      <c r="C35" s="566">
        <f>IFERROR(TITULAR!J64,0)</f>
        <v>51606.683199999999</v>
      </c>
      <c r="D35" s="566">
        <f>IFERROR(TITULAR!K64,0)</f>
        <v>58274.792399999998</v>
      </c>
      <c r="E35" s="59"/>
      <c r="F35" s="565">
        <f t="shared" si="1"/>
        <v>37</v>
      </c>
      <c r="G35" s="566">
        <f>IFERROR(+CONYUGE!J58,0)</f>
        <v>50620.683199999999</v>
      </c>
      <c r="H35" s="566">
        <f>IFERROR(+CONYUGE!K58,0)</f>
        <v>57288.792399999998</v>
      </c>
      <c r="I35" s="59"/>
      <c r="J35" s="565">
        <f t="shared" si="2"/>
        <v>24</v>
      </c>
      <c r="K35" s="566">
        <f>IFERROR(DEPENDIENTE!J45,0)</f>
        <v>27804.387999999999</v>
      </c>
      <c r="L35" s="566">
        <f>IFERROR(DEPENDIENTE!K45,0)</f>
        <v>33489.107199999999</v>
      </c>
      <c r="M35" s="58"/>
    </row>
    <row r="36" spans="1:13">
      <c r="A36" s="59"/>
      <c r="B36" s="335">
        <f t="shared" si="0"/>
        <v>38</v>
      </c>
      <c r="C36" s="336">
        <f>IFERROR(TITULAR!J65,0)</f>
        <v>54201.266799999998</v>
      </c>
      <c r="D36" s="336">
        <f>IFERROR(TITULAR!K65,0)</f>
        <v>60667.396800000002</v>
      </c>
      <c r="E36" s="59"/>
      <c r="F36" s="335">
        <f t="shared" si="1"/>
        <v>38</v>
      </c>
      <c r="G36" s="336">
        <f>IFERROR(+CONYUGE!J59,0)</f>
        <v>53215.266799999998</v>
      </c>
      <c r="H36" s="336">
        <f>IFERROR(+CONYUGE!K59,0)</f>
        <v>59681.396800000002</v>
      </c>
      <c r="I36" s="59"/>
      <c r="J36" s="105"/>
      <c r="K36" s="102"/>
      <c r="L36" s="102"/>
      <c r="M36" s="58"/>
    </row>
    <row r="37" spans="1:13">
      <c r="A37" s="59"/>
      <c r="B37" s="565">
        <f t="shared" si="0"/>
        <v>39</v>
      </c>
      <c r="C37" s="566">
        <f>IFERROR(TITULAR!J66,0)</f>
        <v>56999.615999999995</v>
      </c>
      <c r="D37" s="566">
        <f>IFERROR(TITULAR!K66,0)</f>
        <v>63241.436799999996</v>
      </c>
      <c r="E37" s="59"/>
      <c r="F37" s="565">
        <f t="shared" si="1"/>
        <v>39</v>
      </c>
      <c r="G37" s="566">
        <f>IFERROR(+CONYUGE!J60,0)</f>
        <v>56013.615999999995</v>
      </c>
      <c r="H37" s="566">
        <f>IFERROR(+CONYUGE!K60,0)</f>
        <v>62255.436799999996</v>
      </c>
      <c r="I37" s="59"/>
      <c r="J37" s="105"/>
      <c r="K37" s="102"/>
      <c r="L37" s="102"/>
      <c r="M37" s="58"/>
    </row>
    <row r="38" spans="1:13">
      <c r="A38" s="59"/>
      <c r="B38" s="335">
        <f t="shared" si="0"/>
        <v>40</v>
      </c>
      <c r="C38" s="336">
        <f>IFERROR(TITULAR!J67,0)</f>
        <v>58900.508000000002</v>
      </c>
      <c r="D38" s="336">
        <f>IFERROR(TITULAR!K67,0)</f>
        <v>65908.79879999999</v>
      </c>
      <c r="E38" s="59"/>
      <c r="F38" s="335">
        <f t="shared" si="1"/>
        <v>40</v>
      </c>
      <c r="G38" s="336">
        <f>IFERROR(+CONYUGE!J61,0)</f>
        <v>57914.508000000002</v>
      </c>
      <c r="H38" s="336">
        <f>IFERROR(+CONYUGE!K61,0)</f>
        <v>64922.798799999997</v>
      </c>
      <c r="I38" s="59"/>
      <c r="J38" s="105"/>
      <c r="K38" s="102"/>
      <c r="L38" s="102"/>
      <c r="M38" s="58"/>
    </row>
    <row r="39" spans="1:13">
      <c r="A39" s="59"/>
      <c r="B39" s="565">
        <f t="shared" si="0"/>
        <v>41</v>
      </c>
      <c r="C39" s="566">
        <f>IFERROR(TITULAR!J68,0)</f>
        <v>60982.371599999999</v>
      </c>
      <c r="D39" s="566">
        <f>IFERROR(TITULAR!K68,0)</f>
        <v>68706.498399999997</v>
      </c>
      <c r="E39" s="59"/>
      <c r="F39" s="565">
        <f t="shared" si="1"/>
        <v>41</v>
      </c>
      <c r="G39" s="566">
        <f>IFERROR(+CONYUGE!J62,0)</f>
        <v>59996.371599999999</v>
      </c>
      <c r="H39" s="566">
        <f>IFERROR(+CONYUGE!K62,0)</f>
        <v>67720.498399999997</v>
      </c>
      <c r="I39" s="59"/>
      <c r="J39" s="105"/>
      <c r="K39" s="102"/>
      <c r="L39" s="102"/>
      <c r="M39" s="58"/>
    </row>
    <row r="40" spans="1:13">
      <c r="A40" s="59"/>
      <c r="B40" s="335">
        <f t="shared" si="0"/>
        <v>42</v>
      </c>
      <c r="C40" s="336">
        <f>IFERROR(TITULAR!J69,0)</f>
        <v>63234.233200000002</v>
      </c>
      <c r="D40" s="336">
        <f>IFERROR(TITULAR!K69,0)</f>
        <v>71617.970799999996</v>
      </c>
      <c r="E40" s="59"/>
      <c r="F40" s="335">
        <f t="shared" si="1"/>
        <v>42</v>
      </c>
      <c r="G40" s="336">
        <f>IFERROR(+CONYUGE!J63,0)</f>
        <v>62248.233200000002</v>
      </c>
      <c r="H40" s="336">
        <f>IFERROR(+CONYUGE!K63,0)</f>
        <v>70631.970799999996</v>
      </c>
      <c r="I40" s="59"/>
      <c r="J40" s="105"/>
      <c r="K40" s="102"/>
      <c r="L40" s="102"/>
      <c r="M40" s="58"/>
    </row>
    <row r="41" spans="1:13">
      <c r="A41" s="59"/>
      <c r="B41" s="565">
        <f t="shared" si="0"/>
        <v>43</v>
      </c>
      <c r="C41" s="566">
        <f>IFERROR(TITULAR!J70,0)</f>
        <v>65641.592799999999</v>
      </c>
      <c r="D41" s="566">
        <f>IFERROR(TITULAR!K70,0)</f>
        <v>74646.695999999996</v>
      </c>
      <c r="E41" s="59"/>
      <c r="F41" s="565">
        <f t="shared" si="1"/>
        <v>43</v>
      </c>
      <c r="G41" s="566">
        <f>IFERROR(+CONYUGE!J64,0)</f>
        <v>64655.592799999999</v>
      </c>
      <c r="H41" s="566">
        <f>IFERROR(+CONYUGE!K64,0)</f>
        <v>73660.695999999996</v>
      </c>
      <c r="I41" s="59"/>
      <c r="J41" s="105"/>
      <c r="K41" s="102"/>
      <c r="L41" s="102"/>
      <c r="M41" s="58"/>
    </row>
    <row r="42" spans="1:13">
      <c r="A42" s="59"/>
      <c r="B42" s="335">
        <f t="shared" si="0"/>
        <v>44</v>
      </c>
      <c r="C42" s="336">
        <f>IFERROR(TITULAR!J71,0)</f>
        <v>68339.312000000005</v>
      </c>
      <c r="D42" s="336">
        <f>IFERROR(TITULAR!K71,0)</f>
        <v>78235.06319999999</v>
      </c>
      <c r="E42" s="59"/>
      <c r="F42" s="335">
        <f t="shared" si="1"/>
        <v>44</v>
      </c>
      <c r="G42" s="336">
        <f>IFERROR(+CONYUGE!J65,0)</f>
        <v>67353.312000000005</v>
      </c>
      <c r="H42" s="336">
        <f>IFERROR(+CONYUGE!K65,0)</f>
        <v>77249.06319999999</v>
      </c>
      <c r="I42" s="59"/>
      <c r="J42" s="105"/>
      <c r="K42" s="102"/>
      <c r="L42" s="102"/>
      <c r="M42" s="58"/>
    </row>
    <row r="43" spans="1:13">
      <c r="A43" s="59"/>
      <c r="B43" s="565">
        <f t="shared" si="0"/>
        <v>45</v>
      </c>
      <c r="C43" s="566">
        <f>IFERROR(TITULAR!J72,0)</f>
        <v>71279.587199999994</v>
      </c>
      <c r="D43" s="566">
        <f>IFERROR(TITULAR!K72,0)</f>
        <v>80897.15879999999</v>
      </c>
      <c r="E43" s="59"/>
      <c r="F43" s="565">
        <f t="shared" si="1"/>
        <v>45</v>
      </c>
      <c r="G43" s="566">
        <f>IFERROR(+CONYUGE!J66,0)</f>
        <v>70293.587199999994</v>
      </c>
      <c r="H43" s="566">
        <f>IFERROR(+CONYUGE!K66,0)</f>
        <v>79911.15879999999</v>
      </c>
      <c r="I43" s="59"/>
      <c r="J43" s="105"/>
      <c r="K43" s="102"/>
      <c r="L43" s="102"/>
      <c r="M43" s="58"/>
    </row>
    <row r="44" spans="1:13">
      <c r="A44" s="59"/>
      <c r="B44" s="335">
        <f t="shared" si="0"/>
        <v>46</v>
      </c>
      <c r="C44" s="336">
        <f>IFERROR(TITULAR!J73,0)</f>
        <v>74503.169200000004</v>
      </c>
      <c r="D44" s="336">
        <f>IFERROR(TITULAR!K73,0)</f>
        <v>83794.908399999986</v>
      </c>
      <c r="E44" s="59"/>
      <c r="F44" s="335">
        <f t="shared" si="1"/>
        <v>46</v>
      </c>
      <c r="G44" s="336">
        <f>IFERROR(+CONYUGE!J67,0)</f>
        <v>73517.169200000004</v>
      </c>
      <c r="H44" s="336">
        <f>IFERROR(+CONYUGE!K67,0)</f>
        <v>82808.908399999986</v>
      </c>
      <c r="I44" s="59"/>
      <c r="J44" s="105"/>
      <c r="K44" s="102"/>
      <c r="L44" s="102"/>
      <c r="M44" s="58"/>
    </row>
    <row r="45" spans="1:13">
      <c r="A45" s="59"/>
      <c r="B45" s="565">
        <f t="shared" si="0"/>
        <v>47</v>
      </c>
      <c r="C45" s="566">
        <f>IFERROR(TITULAR!J74,0)</f>
        <v>78042.665599999993</v>
      </c>
      <c r="D45" s="566">
        <f>IFERROR(TITULAR!K74,0)</f>
        <v>87868.955999999991</v>
      </c>
      <c r="E45" s="59"/>
      <c r="F45" s="565">
        <f t="shared" si="1"/>
        <v>47</v>
      </c>
      <c r="G45" s="566">
        <f>IFERROR(+CONYUGE!J68,0)</f>
        <v>77056.665599999993</v>
      </c>
      <c r="H45" s="566">
        <f>IFERROR(+CONYUGE!K68,0)</f>
        <v>86882.955999999991</v>
      </c>
      <c r="I45" s="59"/>
      <c r="J45" s="105"/>
      <c r="K45" s="102"/>
      <c r="L45" s="102"/>
      <c r="M45" s="58"/>
    </row>
    <row r="46" spans="1:13">
      <c r="A46" s="59"/>
      <c r="B46" s="335">
        <f t="shared" si="0"/>
        <v>48</v>
      </c>
      <c r="C46" s="336">
        <f>IFERROR(TITULAR!J75,0)</f>
        <v>81891.290399999983</v>
      </c>
      <c r="D46" s="336">
        <f>IFERROR(TITULAR!K75,0)</f>
        <v>91244.764799999975</v>
      </c>
      <c r="E46" s="59"/>
      <c r="F46" s="335">
        <f t="shared" si="1"/>
        <v>48</v>
      </c>
      <c r="G46" s="336">
        <f>IFERROR(+CONYUGE!J69,0)</f>
        <v>80905.290399999983</v>
      </c>
      <c r="H46" s="336">
        <f>IFERROR(+CONYUGE!K69,0)</f>
        <v>90258.764799999975</v>
      </c>
      <c r="I46" s="59"/>
      <c r="J46" s="105"/>
      <c r="K46" s="102"/>
      <c r="L46" s="102"/>
      <c r="M46" s="58"/>
    </row>
    <row r="47" spans="1:13">
      <c r="A47" s="59"/>
      <c r="B47" s="565">
        <f t="shared" si="0"/>
        <v>49</v>
      </c>
      <c r="C47" s="566">
        <f>IFERROR(TITULAR!J76,0)</f>
        <v>86111.474799999996</v>
      </c>
      <c r="D47" s="566">
        <f>IFERROR(TITULAR!K76,0)</f>
        <v>94885.714799999972</v>
      </c>
      <c r="E47" s="59"/>
      <c r="F47" s="565">
        <f t="shared" si="1"/>
        <v>49</v>
      </c>
      <c r="G47" s="566">
        <f>IFERROR(+CONYUGE!J70,0)</f>
        <v>85125.474799999996</v>
      </c>
      <c r="H47" s="566">
        <f>IFERROR(+CONYUGE!K70,0)</f>
        <v>93899.714799999972</v>
      </c>
      <c r="I47" s="59"/>
      <c r="J47" s="105"/>
      <c r="K47" s="102"/>
      <c r="L47" s="102"/>
      <c r="M47" s="58"/>
    </row>
    <row r="48" spans="1:13">
      <c r="A48" s="59"/>
      <c r="B48" s="335">
        <f t="shared" si="0"/>
        <v>50</v>
      </c>
      <c r="C48" s="336">
        <f>IFERROR(TITULAR!J77,0)</f>
        <v>90750.662799999991</v>
      </c>
      <c r="D48" s="336">
        <f>IFERROR(TITULAR!K77,0)</f>
        <v>98748.607599999974</v>
      </c>
      <c r="E48" s="59"/>
      <c r="F48" s="335">
        <f t="shared" si="1"/>
        <v>50</v>
      </c>
      <c r="G48" s="336">
        <f>IFERROR(+CONYUGE!J71,0)</f>
        <v>89764.662799999991</v>
      </c>
      <c r="H48" s="336">
        <f>IFERROR(+CONYUGE!K71,0)</f>
        <v>97762.607599999974</v>
      </c>
      <c r="I48" s="59"/>
      <c r="J48" s="105"/>
      <c r="K48" s="102"/>
      <c r="L48" s="102"/>
      <c r="M48" s="58"/>
    </row>
    <row r="49" spans="1:13">
      <c r="A49" s="59"/>
      <c r="B49" s="565">
        <f t="shared" si="0"/>
        <v>51</v>
      </c>
      <c r="C49" s="566">
        <f>IFERROR(TITULAR!J78,0)</f>
        <v>95760.227199999994</v>
      </c>
      <c r="D49" s="566">
        <f>IFERROR(TITULAR!K78,0)</f>
        <v>102885.71279999998</v>
      </c>
      <c r="E49" s="59"/>
      <c r="F49" s="565">
        <f t="shared" si="1"/>
        <v>51</v>
      </c>
      <c r="G49" s="566">
        <f>IFERROR(+CONYUGE!J72,0)</f>
        <v>94774.227199999994</v>
      </c>
      <c r="H49" s="566">
        <f>IFERROR(+CONYUGE!K72,0)</f>
        <v>101899.71279999998</v>
      </c>
      <c r="I49" s="59"/>
      <c r="J49" s="105"/>
      <c r="K49" s="102"/>
      <c r="L49" s="102"/>
      <c r="M49" s="58"/>
    </row>
    <row r="50" spans="1:13">
      <c r="A50" s="59"/>
      <c r="B50" s="335">
        <f t="shared" si="0"/>
        <v>52</v>
      </c>
      <c r="C50" s="336">
        <f>IFERROR(TITULAR!J79,0)</f>
        <v>101233.80319999998</v>
      </c>
      <c r="D50" s="336">
        <f>IFERROR(TITULAR!K79,0)</f>
        <v>107332.23639999998</v>
      </c>
      <c r="E50" s="59"/>
      <c r="F50" s="335">
        <f t="shared" si="1"/>
        <v>52</v>
      </c>
      <c r="G50" s="336">
        <f>IFERROR(+CONYUGE!J73,0)</f>
        <v>100247.80319999998</v>
      </c>
      <c r="H50" s="336">
        <f>IFERROR(+CONYUGE!K73,0)</f>
        <v>106346.23639999998</v>
      </c>
      <c r="I50" s="59"/>
      <c r="J50" s="105"/>
      <c r="K50" s="102"/>
      <c r="L50" s="102"/>
      <c r="M50" s="58"/>
    </row>
    <row r="51" spans="1:13">
      <c r="A51" s="59"/>
      <c r="B51" s="565">
        <f t="shared" si="0"/>
        <v>53</v>
      </c>
      <c r="C51" s="566">
        <f>IFERROR(TITULAR!J80,0)</f>
        <v>107131.8928</v>
      </c>
      <c r="D51" s="566">
        <f>IFERROR(TITULAR!K80,0)</f>
        <v>112108.32759999998</v>
      </c>
      <c r="E51" s="59"/>
      <c r="F51" s="565">
        <f t="shared" si="1"/>
        <v>53</v>
      </c>
      <c r="G51" s="566">
        <f>IFERROR(+CONYUGE!J74,0)</f>
        <v>106145.8928</v>
      </c>
      <c r="H51" s="566">
        <f>IFERROR(+CONYUGE!K74,0)</f>
        <v>111122.32759999998</v>
      </c>
      <c r="I51" s="59"/>
      <c r="J51" s="105"/>
      <c r="K51" s="102"/>
      <c r="L51" s="102"/>
      <c r="M51" s="58"/>
    </row>
    <row r="52" spans="1:13">
      <c r="A52" s="59"/>
      <c r="B52" s="335">
        <f t="shared" si="0"/>
        <v>54</v>
      </c>
      <c r="C52" s="336">
        <f>IFERROR(TITULAR!J81,0)</f>
        <v>113532.0652</v>
      </c>
      <c r="D52" s="336">
        <f>IFERROR(TITULAR!K81,0)</f>
        <v>117198.14079999998</v>
      </c>
      <c r="E52" s="59"/>
      <c r="F52" s="335">
        <f t="shared" si="1"/>
        <v>54</v>
      </c>
      <c r="G52" s="336">
        <f>IFERROR(+CONYUGE!J75,0)</f>
        <v>112546.0652</v>
      </c>
      <c r="H52" s="336">
        <f>IFERROR(+CONYUGE!K75,0)</f>
        <v>116212.14079999998</v>
      </c>
      <c r="I52" s="59"/>
      <c r="J52" s="105"/>
      <c r="K52" s="102"/>
      <c r="L52" s="102"/>
      <c r="M52" s="58"/>
    </row>
    <row r="53" spans="1:13">
      <c r="A53" s="59"/>
      <c r="B53" s="565">
        <f t="shared" si="0"/>
        <v>55</v>
      </c>
      <c r="C53" s="566">
        <f>IFERROR(TITULAR!J82,0)</f>
        <v>120417.77879999999</v>
      </c>
      <c r="D53" s="566">
        <f>IFERROR(TITULAR!K82,0)</f>
        <v>122399.56919999998</v>
      </c>
      <c r="E53" s="59"/>
      <c r="F53" s="565">
        <f t="shared" si="1"/>
        <v>55</v>
      </c>
      <c r="G53" s="566">
        <f>IFERROR(+CONYUGE!J76,0)</f>
        <v>119431.77879999999</v>
      </c>
      <c r="H53" s="566">
        <f>IFERROR(+CONYUGE!K76,0)</f>
        <v>121413.56919999998</v>
      </c>
      <c r="I53" s="59"/>
      <c r="J53" s="105"/>
      <c r="K53" s="102"/>
      <c r="L53" s="102"/>
      <c r="M53" s="58"/>
    </row>
    <row r="54" spans="1:13">
      <c r="A54" s="59"/>
      <c r="B54" s="335">
        <f t="shared" si="0"/>
        <v>56</v>
      </c>
      <c r="C54" s="336">
        <f>IFERROR(TITULAR!J83,0)</f>
        <v>127851.40679999998</v>
      </c>
      <c r="D54" s="336">
        <f>IFERROR(TITULAR!K83,0)</f>
        <v>130477.54239999999</v>
      </c>
      <c r="E54" s="59"/>
      <c r="F54" s="335">
        <f t="shared" si="1"/>
        <v>56</v>
      </c>
      <c r="G54" s="336">
        <f>IFERROR(+CONYUGE!J77,0)</f>
        <v>126865.40679999998</v>
      </c>
      <c r="H54" s="336">
        <f>IFERROR(+CONYUGE!K77,0)</f>
        <v>129491.54239999999</v>
      </c>
      <c r="I54" s="59"/>
      <c r="J54" s="105"/>
      <c r="K54" s="102"/>
      <c r="L54" s="102"/>
      <c r="M54" s="58"/>
    </row>
    <row r="55" spans="1:13">
      <c r="A55" s="59"/>
      <c r="B55" s="565">
        <f t="shared" si="0"/>
        <v>57</v>
      </c>
      <c r="C55" s="566">
        <f>IFERROR(TITULAR!J84,0)</f>
        <v>135888.88439999998</v>
      </c>
      <c r="D55" s="566">
        <f>IFERROR(TITULAR!K84,0)</f>
        <v>135331.3768</v>
      </c>
      <c r="E55" s="59"/>
      <c r="F55" s="565">
        <f t="shared" si="1"/>
        <v>57</v>
      </c>
      <c r="G55" s="566">
        <f>IFERROR(+CONYUGE!J78,0)</f>
        <v>134902.88439999998</v>
      </c>
      <c r="H55" s="566">
        <f>IFERROR(+CONYUGE!K78,0)</f>
        <v>134345.3768</v>
      </c>
      <c r="I55" s="59"/>
      <c r="J55" s="105"/>
      <c r="K55" s="102"/>
      <c r="L55" s="102"/>
      <c r="M55" s="58"/>
    </row>
    <row r="56" spans="1:13">
      <c r="A56" s="59"/>
      <c r="B56" s="335">
        <f t="shared" si="0"/>
        <v>58</v>
      </c>
      <c r="C56" s="336">
        <f>IFERROR(TITULAR!J85,0)</f>
        <v>141597.73159999997</v>
      </c>
      <c r="D56" s="336">
        <f>IFERROR(TITULAR!K85,0)</f>
        <v>140617.984</v>
      </c>
      <c r="E56" s="59"/>
      <c r="F56" s="335">
        <f t="shared" si="1"/>
        <v>58</v>
      </c>
      <c r="G56" s="336">
        <f>IFERROR(+CONYUGE!J79,0)</f>
        <v>140611.73159999997</v>
      </c>
      <c r="H56" s="336">
        <f>IFERROR(+CONYUGE!K79,0)</f>
        <v>139631.984</v>
      </c>
      <c r="I56" s="59"/>
      <c r="J56" s="105"/>
      <c r="K56" s="102"/>
      <c r="L56" s="102"/>
      <c r="M56" s="58"/>
    </row>
    <row r="57" spans="1:13">
      <c r="A57" s="59"/>
      <c r="B57" s="565">
        <f t="shared" si="0"/>
        <v>59</v>
      </c>
      <c r="C57" s="566">
        <f>IFERROR(TITULAR!J86,0)</f>
        <v>150601.31519999998</v>
      </c>
      <c r="D57" s="566">
        <f>IFERROR(TITULAR!K86,0)</f>
        <v>142870.51839999997</v>
      </c>
      <c r="E57" s="59"/>
      <c r="F57" s="565">
        <f t="shared" si="1"/>
        <v>59</v>
      </c>
      <c r="G57" s="566">
        <f>IFERROR(+CONYUGE!J80,0)</f>
        <v>149615.31519999998</v>
      </c>
      <c r="H57" s="566">
        <f>IFERROR(+CONYUGE!K80,0)</f>
        <v>141884.51839999997</v>
      </c>
      <c r="I57" s="59"/>
      <c r="J57" s="105"/>
      <c r="K57" s="102"/>
      <c r="L57" s="102"/>
      <c r="M57" s="58"/>
    </row>
    <row r="58" spans="1:13">
      <c r="A58" s="59"/>
      <c r="B58" s="335">
        <f t="shared" si="0"/>
        <v>60</v>
      </c>
      <c r="C58" s="336">
        <f>IFERROR(TITULAR!J87,0)</f>
        <v>240619.34519999998</v>
      </c>
      <c r="D58" s="336">
        <f>IFERROR(TITULAR!K87,0)</f>
        <v>232845.10639999999</v>
      </c>
      <c r="E58" s="59"/>
      <c r="F58" s="335">
        <f t="shared" si="1"/>
        <v>60</v>
      </c>
      <c r="G58" s="336">
        <f>IFERROR(+CONYUGE!J81,0)</f>
        <v>239633.34519999998</v>
      </c>
      <c r="H58" s="336">
        <f>IFERROR(+CONYUGE!K81,0)</f>
        <v>231859.10639999999</v>
      </c>
      <c r="I58" s="59"/>
      <c r="J58" s="105"/>
      <c r="K58" s="102"/>
      <c r="L58" s="102"/>
      <c r="M58" s="58"/>
    </row>
    <row r="59" spans="1:13">
      <c r="A59" s="59"/>
      <c r="B59" s="565">
        <f t="shared" si="0"/>
        <v>61</v>
      </c>
      <c r="C59" s="566">
        <f>IFERROR(TITULAR!J88,0)</f>
        <v>253451.79880000002</v>
      </c>
      <c r="D59" s="566">
        <f>IFERROR(TITULAR!K88,0)</f>
        <v>242574.60639999999</v>
      </c>
      <c r="E59" s="59"/>
      <c r="F59" s="565">
        <f t="shared" si="1"/>
        <v>61</v>
      </c>
      <c r="G59" s="566">
        <f>IFERROR(+CONYUGE!J82,0)</f>
        <v>252465.79880000002</v>
      </c>
      <c r="H59" s="566">
        <f>IFERROR(+CONYUGE!K82,0)</f>
        <v>241588.60639999999</v>
      </c>
      <c r="I59" s="59"/>
      <c r="J59" s="105"/>
      <c r="K59" s="102"/>
      <c r="L59" s="102"/>
      <c r="M59" s="58"/>
    </row>
    <row r="60" spans="1:13">
      <c r="A60" s="59"/>
      <c r="B60" s="335">
        <f t="shared" si="0"/>
        <v>62</v>
      </c>
      <c r="C60" s="336">
        <f>IFERROR(TITULAR!J89,0)</f>
        <v>266971.36680000002</v>
      </c>
      <c r="D60" s="336">
        <f>IFERROR(TITULAR!K89,0)</f>
        <v>252825.58439999999</v>
      </c>
      <c r="E60" s="59"/>
      <c r="F60" s="335">
        <f t="shared" si="1"/>
        <v>62</v>
      </c>
      <c r="G60" s="336">
        <f>IFERROR(+CONYUGE!J83,0)</f>
        <v>265985.36680000002</v>
      </c>
      <c r="H60" s="336">
        <f>IFERROR(+CONYUGE!K83,0)</f>
        <v>251839.58439999999</v>
      </c>
      <c r="I60" s="59"/>
      <c r="J60" s="105"/>
      <c r="K60" s="102"/>
      <c r="L60" s="102"/>
      <c r="M60" s="58"/>
    </row>
    <row r="61" spans="1:13">
      <c r="A61" s="59"/>
      <c r="B61" s="565">
        <f t="shared" si="0"/>
        <v>63</v>
      </c>
      <c r="C61" s="566">
        <f>IFERROR(TITULAR!J90,0)</f>
        <v>281033.25799999997</v>
      </c>
      <c r="D61" s="566">
        <f>IFERROR(TITULAR!K90,0)</f>
        <v>263507.89679999999</v>
      </c>
      <c r="E61" s="59"/>
      <c r="F61" s="565">
        <f t="shared" si="1"/>
        <v>63</v>
      </c>
      <c r="G61" s="566">
        <f>IFERROR(+CONYUGE!J84,0)</f>
        <v>280047.25799999997</v>
      </c>
      <c r="H61" s="566">
        <f>IFERROR(+CONYUGE!K84,0)</f>
        <v>262521.89679999999</v>
      </c>
      <c r="I61" s="59"/>
      <c r="J61" s="105"/>
      <c r="K61" s="102"/>
      <c r="L61" s="102"/>
      <c r="M61" s="58"/>
    </row>
    <row r="62" spans="1:13">
      <c r="A62" s="59"/>
      <c r="B62" s="335">
        <f t="shared" si="0"/>
        <v>64</v>
      </c>
      <c r="C62" s="336">
        <f>IFERROR(TITULAR!J91,0)</f>
        <v>295880.31839999999</v>
      </c>
      <c r="D62" s="336">
        <f>IFERROR(TITULAR!K91,0)</f>
        <v>274914.53639999998</v>
      </c>
      <c r="E62" s="59"/>
      <c r="F62" s="335">
        <f t="shared" si="1"/>
        <v>64</v>
      </c>
      <c r="G62" s="336">
        <f>IFERROR(+CONYUGE!J85,0)</f>
        <v>294894.31839999999</v>
      </c>
      <c r="H62" s="336">
        <f>IFERROR(+CONYUGE!K85,0)</f>
        <v>273928.53639999998</v>
      </c>
      <c r="I62" s="59"/>
      <c r="J62" s="105"/>
      <c r="K62" s="102"/>
      <c r="L62" s="102"/>
      <c r="M62" s="58"/>
    </row>
    <row r="63" spans="1:13">
      <c r="A63" s="59"/>
      <c r="B63" s="565">
        <f t="shared" si="0"/>
        <v>65</v>
      </c>
      <c r="C63" s="566">
        <f>IFERROR(TITULAR!J92,0)</f>
        <v>311020.98639999999</v>
      </c>
      <c r="D63" s="566">
        <f>IFERROR(TITULAR!K92,0)</f>
        <v>286438.67239999998</v>
      </c>
      <c r="E63" s="59"/>
      <c r="F63" s="565">
        <f t="shared" si="1"/>
        <v>65</v>
      </c>
      <c r="G63" s="566">
        <f>IFERROR(+CONYUGE!J86,0)</f>
        <v>310034.98639999999</v>
      </c>
      <c r="H63" s="566">
        <f>IFERROR(+CONYUGE!K86,0)</f>
        <v>285452.67239999998</v>
      </c>
      <c r="I63" s="59"/>
      <c r="J63" s="105"/>
      <c r="K63" s="102"/>
      <c r="L63" s="102"/>
      <c r="M63" s="58"/>
    </row>
    <row r="64" spans="1:13">
      <c r="A64" s="59"/>
      <c r="B64" s="335">
        <f t="shared" si="0"/>
        <v>66</v>
      </c>
      <c r="C64" s="336">
        <f>IFERROR(TITULAR!J93,0)</f>
        <v>327206.1764</v>
      </c>
      <c r="D64" s="336">
        <f>IFERROR(TITULAR!K93,0)</f>
        <v>299115.7672</v>
      </c>
      <c r="E64" s="59"/>
      <c r="F64" s="335">
        <f t="shared" si="1"/>
        <v>66</v>
      </c>
      <c r="G64" s="336">
        <f>IFERROR(+CONYUGE!J87,0)</f>
        <v>326220.1764</v>
      </c>
      <c r="H64" s="336">
        <f>IFERROR(+CONYUGE!K87,0)</f>
        <v>298129.7672</v>
      </c>
      <c r="I64" s="59"/>
      <c r="J64" s="105"/>
      <c r="K64" s="102"/>
      <c r="L64" s="102"/>
      <c r="M64" s="58"/>
    </row>
    <row r="65" spans="1:13">
      <c r="A65" s="59"/>
      <c r="B65" s="565">
        <f t="shared" si="0"/>
        <v>67</v>
      </c>
      <c r="C65" s="566">
        <f>IFERROR(TITULAR!J94,0)</f>
        <v>344099.27959999995</v>
      </c>
      <c r="D65" s="566">
        <f>IFERROR(TITULAR!K94,0)</f>
        <v>311282.50839999999</v>
      </c>
      <c r="E65" s="59"/>
      <c r="F65" s="565">
        <f t="shared" si="1"/>
        <v>67</v>
      </c>
      <c r="G65" s="566">
        <f>IFERROR(+CONYUGE!J88,0)</f>
        <v>343113.27959999995</v>
      </c>
      <c r="H65" s="566">
        <f>IFERROR(+CONYUGE!K88,0)</f>
        <v>310296.50839999999</v>
      </c>
      <c r="I65" s="59"/>
      <c r="J65" s="105"/>
      <c r="K65" s="102"/>
      <c r="L65" s="102"/>
      <c r="M65" s="58"/>
    </row>
    <row r="66" spans="1:13">
      <c r="A66" s="59"/>
      <c r="B66" s="335">
        <f t="shared" si="0"/>
        <v>68</v>
      </c>
      <c r="C66" s="336">
        <f>IFERROR(TITULAR!J95,0)</f>
        <v>361450.72200000001</v>
      </c>
      <c r="D66" s="336">
        <f>IFERROR(TITULAR!K95,0)</f>
        <v>324659.84879999998</v>
      </c>
      <c r="E66" s="59"/>
      <c r="F66" s="335">
        <f t="shared" si="1"/>
        <v>68</v>
      </c>
      <c r="G66" s="336">
        <f>IFERROR(+CONYUGE!J89,0)</f>
        <v>360464.72200000001</v>
      </c>
      <c r="H66" s="336">
        <f>IFERROR(+CONYUGE!K89,0)</f>
        <v>323673.84879999998</v>
      </c>
      <c r="I66" s="59"/>
      <c r="J66" s="105"/>
      <c r="K66" s="102"/>
      <c r="L66" s="102"/>
      <c r="M66" s="58"/>
    </row>
    <row r="67" spans="1:13">
      <c r="A67" s="59"/>
      <c r="B67" s="565">
        <f t="shared" si="0"/>
        <v>69</v>
      </c>
      <c r="C67" s="566">
        <f>IFERROR(TITULAR!J96,0)</f>
        <v>379726.19719999994</v>
      </c>
      <c r="D67" s="566">
        <f>IFERROR(TITULAR!K96,0)</f>
        <v>339031.97039999999</v>
      </c>
      <c r="E67" s="59"/>
      <c r="F67" s="565">
        <f t="shared" si="1"/>
        <v>69</v>
      </c>
      <c r="G67" s="566">
        <f>IFERROR(+CONYUGE!J90,0)</f>
        <v>378740.19719999994</v>
      </c>
      <c r="H67" s="566">
        <f>IFERROR(+CONYUGE!K90,0)</f>
        <v>338045.97039999999</v>
      </c>
      <c r="I67" s="59"/>
      <c r="J67" s="105"/>
      <c r="K67" s="102"/>
      <c r="L67" s="102"/>
      <c r="M67" s="58"/>
    </row>
    <row r="68" spans="1:13">
      <c r="A68" s="59"/>
      <c r="B68" s="58"/>
      <c r="C68" s="62"/>
      <c r="D68" s="59"/>
      <c r="E68" s="59"/>
      <c r="F68" s="58"/>
      <c r="G68" s="62"/>
      <c r="H68" s="59"/>
      <c r="I68" s="59"/>
      <c r="J68" s="58"/>
      <c r="K68" s="62"/>
      <c r="L68" s="59"/>
      <c r="M68" s="58"/>
    </row>
    <row r="69" spans="1:13">
      <c r="A69" s="59"/>
      <c r="M69" s="58"/>
    </row>
    <row r="70" spans="1:13">
      <c r="A70" s="58"/>
      <c r="B70" s="58"/>
      <c r="C70" s="62"/>
      <c r="D70" s="59"/>
      <c r="E70" s="58"/>
      <c r="F70" s="58"/>
      <c r="G70" s="62"/>
      <c r="H70" s="59"/>
      <c r="I70" s="58"/>
      <c r="J70" s="58"/>
      <c r="K70" s="62"/>
      <c r="L70" s="59"/>
      <c r="M70" s="58"/>
    </row>
    <row r="71" spans="1:13">
      <c r="A71" s="58"/>
      <c r="B71" s="795"/>
      <c r="C71" s="795"/>
      <c r="D71" s="795"/>
      <c r="E71" s="58"/>
      <c r="F71" s="58"/>
      <c r="G71" s="62"/>
      <c r="H71" s="59"/>
      <c r="I71" s="58"/>
      <c r="J71" s="58"/>
      <c r="K71" s="62"/>
      <c r="L71" s="59"/>
      <c r="M71" s="58"/>
    </row>
    <row r="72" spans="1:13">
      <c r="A72" s="58"/>
      <c r="B72" s="58"/>
      <c r="C72" s="62"/>
      <c r="D72" s="59"/>
      <c r="E72" s="58"/>
      <c r="F72" s="58"/>
      <c r="G72" s="62"/>
      <c r="H72" s="59"/>
      <c r="I72" s="58"/>
      <c r="J72" s="58"/>
      <c r="K72" s="62"/>
      <c r="L72" s="59"/>
      <c r="M72" s="58"/>
    </row>
    <row r="73" spans="1:13" ht="11.5">
      <c r="A73" s="58"/>
      <c r="B73" s="331" t="s">
        <v>12</v>
      </c>
      <c r="C73" s="332"/>
      <c r="D73" s="333">
        <f>+D9</f>
        <v>100000000</v>
      </c>
      <c r="E73" s="58"/>
      <c r="F73" s="58"/>
      <c r="G73" s="62"/>
      <c r="H73" s="63"/>
      <c r="I73" s="58"/>
      <c r="J73" s="58"/>
      <c r="K73" s="62"/>
      <c r="L73" s="63"/>
      <c r="M73" s="58"/>
    </row>
    <row r="74" spans="1:13" ht="11.5">
      <c r="A74" s="58"/>
      <c r="B74" s="331" t="s">
        <v>13</v>
      </c>
      <c r="C74" s="332"/>
      <c r="D74" s="333">
        <f>+D10</f>
        <v>12000</v>
      </c>
      <c r="E74" s="58"/>
      <c r="F74" s="58"/>
      <c r="G74" s="62"/>
      <c r="H74" s="63"/>
      <c r="I74" s="58"/>
      <c r="J74" s="58"/>
      <c r="K74" s="62"/>
      <c r="L74" s="63"/>
      <c r="M74" s="58"/>
    </row>
    <row r="75" spans="1:13" ht="12" thickBot="1">
      <c r="A75" s="58"/>
      <c r="B75" s="331" t="s">
        <v>14</v>
      </c>
      <c r="C75" s="332"/>
      <c r="D75" s="334">
        <f>+D11</f>
        <v>0.1</v>
      </c>
      <c r="E75" s="58"/>
      <c r="F75" s="58"/>
      <c r="G75" s="62"/>
      <c r="H75" s="63"/>
      <c r="I75" s="58"/>
      <c r="J75" s="58"/>
      <c r="K75" s="62"/>
      <c r="L75" s="63"/>
      <c r="M75" s="58"/>
    </row>
    <row r="76" spans="1:13" ht="10.5" thickBot="1">
      <c r="A76" s="58"/>
      <c r="E76" s="58"/>
      <c r="F76" s="58"/>
      <c r="G76" s="62"/>
      <c r="H76" s="63"/>
      <c r="I76" s="58"/>
      <c r="J76" s="58"/>
      <c r="K76" s="62"/>
      <c r="L76" s="63"/>
      <c r="M76" s="58"/>
    </row>
    <row r="77" spans="1:13">
      <c r="A77" s="58"/>
      <c r="B77" s="796" t="s">
        <v>312</v>
      </c>
      <c r="C77" s="797"/>
      <c r="D77" s="798"/>
      <c r="E77" s="58"/>
      <c r="F77" s="58"/>
      <c r="G77" s="62"/>
      <c r="H77" s="63"/>
      <c r="I77" s="58"/>
      <c r="J77" s="58"/>
      <c r="K77" s="62"/>
      <c r="L77" s="63"/>
      <c r="M77" s="58"/>
    </row>
    <row r="78" spans="1:13" ht="6.75" customHeight="1" thickBot="1">
      <c r="A78" s="58"/>
      <c r="B78" s="799"/>
      <c r="C78" s="800"/>
      <c r="D78" s="801"/>
      <c r="E78" s="58"/>
      <c r="F78" s="58"/>
      <c r="G78" s="62"/>
      <c r="H78" s="63"/>
      <c r="I78" s="58"/>
      <c r="J78" s="58"/>
      <c r="K78" s="62"/>
      <c r="L78" s="63"/>
      <c r="M78" s="58"/>
    </row>
    <row r="79" spans="1:13" ht="10.5" thickBot="1">
      <c r="A79" s="58"/>
      <c r="B79" s="583" t="s">
        <v>9</v>
      </c>
      <c r="C79" s="583" t="s">
        <v>16</v>
      </c>
      <c r="D79" s="583" t="s">
        <v>17</v>
      </c>
      <c r="E79" s="58"/>
      <c r="F79" s="58"/>
      <c r="G79" s="62"/>
      <c r="H79" s="63"/>
      <c r="I79" s="58"/>
      <c r="J79" s="58"/>
      <c r="K79" s="62"/>
      <c r="L79" s="63"/>
      <c r="M79" s="58"/>
    </row>
    <row r="80" spans="1:13">
      <c r="A80" s="58"/>
      <c r="B80" s="335" t="s">
        <v>176</v>
      </c>
      <c r="C80" s="336">
        <f>IFERROR(TITULAR!J32,0)</f>
        <v>22536.549599999995</v>
      </c>
      <c r="D80" s="336">
        <f>IFERROR(TITULAR!K32,0)</f>
        <v>22618.665999999997</v>
      </c>
      <c r="E80" s="58"/>
      <c r="F80" s="58"/>
      <c r="G80" s="62"/>
      <c r="H80" s="63"/>
      <c r="I80" s="58"/>
      <c r="J80" s="58"/>
      <c r="K80" s="62"/>
      <c r="L80" s="63"/>
      <c r="M80" s="58"/>
    </row>
    <row r="81" spans="1:13">
      <c r="A81" s="58"/>
      <c r="B81" s="565">
        <v>6</v>
      </c>
      <c r="C81" s="566">
        <f>IFERROR(TITULAR!J33,0)</f>
        <v>22536.549599999995</v>
      </c>
      <c r="D81" s="566">
        <f>IFERROR(TITULAR!K33,0)</f>
        <v>22618.665999999997</v>
      </c>
      <c r="E81" s="58"/>
      <c r="F81" s="58"/>
      <c r="G81" s="62"/>
      <c r="H81" s="63"/>
      <c r="I81" s="58"/>
      <c r="J81" s="58"/>
      <c r="K81" s="62"/>
      <c r="L81" s="63"/>
      <c r="M81" s="58"/>
    </row>
    <row r="82" spans="1:13">
      <c r="A82" s="58"/>
      <c r="B82" s="335">
        <f>+B81+1</f>
        <v>7</v>
      </c>
      <c r="C82" s="336">
        <f>IFERROR(TITULAR!J34,0)</f>
        <v>22536.549599999995</v>
      </c>
      <c r="D82" s="336">
        <f>IFERROR(TITULAR!K34,0)</f>
        <v>22618.665999999997</v>
      </c>
      <c r="E82" s="58"/>
      <c r="F82" s="58"/>
      <c r="G82" s="62"/>
      <c r="H82" s="63"/>
      <c r="I82" s="58"/>
      <c r="J82" s="58"/>
      <c r="K82" s="62"/>
      <c r="L82" s="63"/>
      <c r="M82" s="58"/>
    </row>
    <row r="83" spans="1:13">
      <c r="A83" s="58"/>
      <c r="B83" s="565">
        <f t="shared" ref="B83:B92" si="3">+B82+1</f>
        <v>8</v>
      </c>
      <c r="C83" s="566">
        <f>IFERROR(TITULAR!J35,0)</f>
        <v>22536.549599999995</v>
      </c>
      <c r="D83" s="566">
        <f>IFERROR(TITULAR!K35,0)</f>
        <v>22618.665999999997</v>
      </c>
      <c r="E83" s="58"/>
      <c r="F83" s="58"/>
      <c r="G83" s="62"/>
      <c r="H83" s="63"/>
      <c r="I83" s="58"/>
      <c r="J83" s="58"/>
      <c r="K83" s="62"/>
      <c r="L83" s="63"/>
      <c r="M83" s="58"/>
    </row>
    <row r="84" spans="1:13">
      <c r="A84" s="58"/>
      <c r="B84" s="335">
        <f t="shared" si="3"/>
        <v>9</v>
      </c>
      <c r="C84" s="336">
        <f>IFERROR(TITULAR!J36,0)</f>
        <v>22536.549599999995</v>
      </c>
      <c r="D84" s="336">
        <f>IFERROR(TITULAR!K36,0)</f>
        <v>22618.665999999997</v>
      </c>
      <c r="E84" s="58"/>
      <c r="F84" s="58"/>
      <c r="G84" s="62"/>
      <c r="H84" s="63"/>
      <c r="I84" s="58"/>
      <c r="J84" s="58"/>
      <c r="K84" s="62"/>
      <c r="L84" s="63"/>
      <c r="M84" s="58"/>
    </row>
    <row r="85" spans="1:13">
      <c r="A85" s="58"/>
      <c r="B85" s="565">
        <f t="shared" si="3"/>
        <v>10</v>
      </c>
      <c r="C85" s="566">
        <f>IFERROR(TITULAR!J37,0)</f>
        <v>22536.549599999995</v>
      </c>
      <c r="D85" s="566">
        <f>IFERROR(TITULAR!K37,0)</f>
        <v>22618.665999999997</v>
      </c>
      <c r="E85" s="58"/>
      <c r="F85" s="58"/>
      <c r="G85" s="62"/>
      <c r="H85" s="63"/>
      <c r="I85" s="58"/>
      <c r="J85" s="58"/>
      <c r="K85" s="62"/>
      <c r="L85" s="63"/>
      <c r="M85" s="58"/>
    </row>
    <row r="86" spans="1:13">
      <c r="A86" s="58"/>
      <c r="B86" s="335">
        <f t="shared" si="3"/>
        <v>11</v>
      </c>
      <c r="C86" s="336">
        <f>IFERROR(TITULAR!J38,0)</f>
        <v>22758.295199999997</v>
      </c>
      <c r="D86" s="336">
        <f>IFERROR(TITULAR!K38,0)</f>
        <v>22608.840799999994</v>
      </c>
      <c r="E86" s="58"/>
      <c r="F86" s="58"/>
      <c r="G86" s="62"/>
      <c r="H86" s="63"/>
      <c r="I86" s="58"/>
      <c r="J86" s="58"/>
      <c r="K86" s="62"/>
      <c r="L86" s="63"/>
      <c r="M86" s="58"/>
    </row>
    <row r="87" spans="1:13">
      <c r="A87" s="58"/>
      <c r="B87" s="565">
        <f t="shared" si="3"/>
        <v>12</v>
      </c>
      <c r="C87" s="566">
        <f>IFERROR(TITULAR!J39,0)</f>
        <v>22684.635199999997</v>
      </c>
      <c r="D87" s="566">
        <f>IFERROR(TITULAR!K39,0)</f>
        <v>22797.514799999997</v>
      </c>
      <c r="E87" s="58"/>
      <c r="F87" s="58"/>
      <c r="G87" s="62"/>
      <c r="H87" s="63"/>
      <c r="I87" s="58"/>
      <c r="J87" s="58"/>
      <c r="K87" s="62"/>
      <c r="L87" s="63"/>
      <c r="M87" s="58"/>
    </row>
    <row r="88" spans="1:13">
      <c r="A88" s="58"/>
      <c r="B88" s="335">
        <f t="shared" si="3"/>
        <v>13</v>
      </c>
      <c r="C88" s="336">
        <f>IFERROR(TITULAR!J40,0)</f>
        <v>22538.370799999997</v>
      </c>
      <c r="D88" s="336">
        <f>IFERROR(TITULAR!K40,0)</f>
        <v>22673.997999999996</v>
      </c>
      <c r="E88" s="58"/>
      <c r="F88" s="58"/>
      <c r="G88" s="62"/>
      <c r="H88" s="63"/>
      <c r="I88" s="58"/>
      <c r="J88" s="58"/>
      <c r="K88" s="62"/>
      <c r="L88" s="63"/>
      <c r="M88" s="58"/>
    </row>
    <row r="89" spans="1:13">
      <c r="A89" s="58"/>
      <c r="B89" s="565">
        <f t="shared" si="3"/>
        <v>14</v>
      </c>
      <c r="C89" s="566">
        <f>IFERROR(TITULAR!J41,0)</f>
        <v>22008.598799999996</v>
      </c>
      <c r="D89" s="566">
        <f>IFERROR(TITULAR!K41,0)</f>
        <v>22289.921999999995</v>
      </c>
      <c r="E89" s="58"/>
      <c r="F89" s="58"/>
      <c r="G89" s="62"/>
      <c r="H89" s="63"/>
      <c r="I89" s="58"/>
      <c r="J89" s="58"/>
      <c r="K89" s="62"/>
      <c r="L89" s="63"/>
      <c r="M89" s="58"/>
    </row>
    <row r="90" spans="1:13">
      <c r="A90" s="58"/>
      <c r="B90" s="335">
        <f t="shared" si="3"/>
        <v>15</v>
      </c>
      <c r="C90" s="336">
        <f>IFERROR(TITULAR!J42,0)</f>
        <v>22079.161599999996</v>
      </c>
      <c r="D90" s="336">
        <f>IFERROR(TITULAR!K42,0)</f>
        <v>21973.392799999998</v>
      </c>
      <c r="E90" s="58"/>
      <c r="F90" s="58"/>
      <c r="G90" s="62"/>
      <c r="H90" s="63"/>
      <c r="I90" s="58"/>
      <c r="J90" s="58"/>
      <c r="K90" s="62"/>
      <c r="L90" s="63"/>
      <c r="M90" s="58"/>
    </row>
    <row r="91" spans="1:13">
      <c r="A91" s="58"/>
      <c r="B91" s="565">
        <f t="shared" si="3"/>
        <v>16</v>
      </c>
      <c r="C91" s="566">
        <f>IFERROR(TITULAR!J43,0)</f>
        <v>21754.918399999995</v>
      </c>
      <c r="D91" s="566">
        <f>IFERROR(TITULAR!K43,0)</f>
        <v>20537.161999999997</v>
      </c>
      <c r="E91" s="58"/>
      <c r="F91" s="58"/>
      <c r="G91" s="62"/>
      <c r="H91" s="63"/>
      <c r="I91" s="58"/>
      <c r="J91" s="58"/>
      <c r="K91" s="62"/>
      <c r="L91" s="63"/>
      <c r="M91" s="58"/>
    </row>
    <row r="92" spans="1:13">
      <c r="A92" s="58"/>
      <c r="B92" s="335">
        <f t="shared" si="3"/>
        <v>17</v>
      </c>
      <c r="C92" s="336">
        <f>IFERROR(TITULAR!J44,0)</f>
        <v>21875.500399999997</v>
      </c>
      <c r="D92" s="336">
        <f>IFERROR(TITULAR!K44,0)</f>
        <v>20826.013599999998</v>
      </c>
      <c r="E92" s="58"/>
      <c r="F92" s="58"/>
      <c r="G92" s="62"/>
      <c r="H92" s="63"/>
      <c r="I92" s="58"/>
      <c r="J92" s="58"/>
      <c r="K92" s="62"/>
      <c r="L92" s="63"/>
      <c r="M92" s="58"/>
    </row>
    <row r="93" spans="1:13">
      <c r="A93" s="58"/>
      <c r="B93" s="58"/>
      <c r="C93" s="62"/>
      <c r="D93" s="63"/>
      <c r="E93" s="58"/>
      <c r="F93" s="58"/>
      <c r="G93" s="62"/>
      <c r="H93" s="63"/>
      <c r="I93" s="58"/>
      <c r="J93" s="58"/>
      <c r="K93" s="62"/>
      <c r="L93" s="63"/>
      <c r="M93" s="58"/>
    </row>
    <row r="94" spans="1:13">
      <c r="A94" s="58"/>
      <c r="B94" s="58"/>
      <c r="C94" s="62"/>
      <c r="D94" s="63"/>
      <c r="E94" s="58"/>
      <c r="F94" s="58"/>
      <c r="G94" s="62"/>
      <c r="H94" s="63"/>
      <c r="I94" s="58"/>
      <c r="J94" s="58"/>
      <c r="K94" s="62"/>
      <c r="L94" s="63"/>
      <c r="M94" s="58"/>
    </row>
    <row r="95" spans="1:13">
      <c r="A95" s="58"/>
      <c r="B95" s="58"/>
      <c r="C95" s="62"/>
      <c r="D95" s="63"/>
      <c r="E95" s="58"/>
      <c r="F95" s="58"/>
      <c r="G95" s="62"/>
      <c r="H95" s="63"/>
      <c r="I95" s="58"/>
      <c r="J95" s="58"/>
      <c r="K95" s="62"/>
      <c r="L95" s="63"/>
      <c r="M95" s="58"/>
    </row>
    <row r="96" spans="1:13" ht="22.5" customHeight="1">
      <c r="A96" s="58"/>
      <c r="B96" s="794" t="s">
        <v>343</v>
      </c>
      <c r="C96" s="794"/>
      <c r="D96" s="794"/>
      <c r="E96" s="794"/>
      <c r="F96" s="794"/>
      <c r="G96" s="794"/>
      <c r="H96" s="794"/>
      <c r="I96" s="794"/>
      <c r="J96" s="794"/>
      <c r="K96" s="794"/>
      <c r="L96" s="794"/>
      <c r="M96" s="58"/>
    </row>
    <row r="97" spans="1:13">
      <c r="A97" s="58"/>
      <c r="B97" s="58"/>
      <c r="C97" s="62"/>
      <c r="D97" s="63"/>
      <c r="E97" s="58"/>
      <c r="F97" s="58"/>
      <c r="G97" s="62"/>
      <c r="H97" s="63"/>
      <c r="I97" s="58"/>
      <c r="J97" s="58"/>
      <c r="K97" s="62"/>
      <c r="L97" s="63"/>
      <c r="M97" s="58"/>
    </row>
    <row r="98" spans="1:13">
      <c r="A98" s="58"/>
      <c r="B98" s="58" t="str">
        <f>+IMPRESION!C102</f>
        <v>Tarifa Esencial Vig: Marzo 01, 2023</v>
      </c>
      <c r="C98" s="62"/>
      <c r="D98" s="63"/>
      <c r="E98" s="58"/>
      <c r="F98" s="58"/>
      <c r="G98" s="62"/>
      <c r="H98" s="63"/>
      <c r="I98" s="58"/>
      <c r="J98" s="58"/>
      <c r="K98" s="62"/>
      <c r="L98" s="63"/>
      <c r="M98" s="58"/>
    </row>
    <row r="99" spans="1:13">
      <c r="A99" s="58"/>
      <c r="B99" s="58"/>
      <c r="C99" s="62"/>
      <c r="D99" s="63"/>
      <c r="E99" s="58"/>
      <c r="F99" s="58"/>
      <c r="G99" s="62"/>
      <c r="H99" s="63"/>
      <c r="I99" s="58"/>
      <c r="J99" s="58"/>
      <c r="K99" s="62"/>
      <c r="L99" s="63"/>
      <c r="M99" s="58"/>
    </row>
    <row r="100" spans="1:13">
      <c r="A100" s="58"/>
      <c r="B100" s="58"/>
      <c r="C100" s="62"/>
      <c r="D100" s="63"/>
      <c r="E100" s="58"/>
      <c r="F100" s="58"/>
      <c r="G100" s="62"/>
      <c r="H100" s="63"/>
      <c r="I100" s="58"/>
      <c r="J100" s="58"/>
      <c r="K100" s="62"/>
      <c r="L100" s="63"/>
      <c r="M100" s="58"/>
    </row>
    <row r="101" spans="1:13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</row>
    <row r="102" spans="1:13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</row>
    <row r="103" spans="1:13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</row>
    <row r="104" spans="1:13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</row>
    <row r="105" spans="1:13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</row>
    <row r="106" spans="1:13" hidden="1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</row>
    <row r="107" spans="1:13" hidden="1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</row>
    <row r="108" spans="1:13" hidden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</row>
    <row r="109" spans="1:13" hidden="1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</row>
    <row r="110" spans="1:13" hidden="1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</row>
    <row r="111" spans="1:13" hidden="1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</row>
    <row r="112" spans="1:13" hidden="1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</row>
    <row r="113" spans="1:13" hidden="1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</row>
    <row r="114" spans="1:13" hidden="1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</row>
    <row r="115" spans="1:13" hidden="1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</row>
    <row r="116" spans="1:13" hidden="1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</row>
    <row r="117" spans="1:13" hidden="1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</row>
    <row r="118" spans="1:13" hidden="1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</row>
    <row r="119" spans="1:13" hidden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</row>
    <row r="120" spans="1:13" hidden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</row>
    <row r="121" spans="1:13" hidden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</row>
    <row r="122" spans="1:13" hidden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</row>
    <row r="123" spans="1:13" hidden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</row>
    <row r="124" spans="1:13" hidden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</row>
    <row r="125" spans="1:13" hidden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</row>
    <row r="126" spans="1:13" hidden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</row>
    <row r="127" spans="1:13" hidden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</row>
    <row r="128" spans="1:13" hidden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</row>
    <row r="129" spans="1:13" hidden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</row>
    <row r="130" spans="1:13" hidden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</row>
    <row r="131" spans="1:13" hidden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</row>
    <row r="132" spans="1:13" hidden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</row>
    <row r="133" spans="1:13" hidden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</row>
    <row r="134" spans="1:13" hidden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</row>
    <row r="135" spans="1:13" hidden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</row>
    <row r="136" spans="1:13" hidden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</row>
    <row r="137" spans="1:13" hidden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</row>
    <row r="138" spans="1:13" hidden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</row>
    <row r="139" spans="1:13" hidden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</row>
    <row r="140" spans="1:13" hidden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</row>
    <row r="141" spans="1:13" hidden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</row>
    <row r="142" spans="1:13" hidden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</row>
    <row r="143" spans="1:13" hidden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</row>
    <row r="144" spans="1:13" hidden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</row>
    <row r="145" spans="1:13" hidden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</row>
    <row r="146" spans="1:13" hidden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</row>
    <row r="147" spans="1:13" hidden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</row>
    <row r="148" spans="1:13" hidden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</row>
    <row r="149" spans="1:13" hidden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</row>
    <row r="150" spans="1:13" hidden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</row>
    <row r="151" spans="1:13" hidden="1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</row>
    <row r="152" spans="1:13" hidden="1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</row>
    <row r="153" spans="1:13" hidden="1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</row>
    <row r="154" spans="1:13" hidden="1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</row>
    <row r="155" spans="1:13" hidden="1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</row>
    <row r="156" spans="1:13" hidden="1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</row>
    <row r="157" spans="1:13" hidden="1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</row>
    <row r="158" spans="1:13" hidden="1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</row>
    <row r="159" spans="1:13" hidden="1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</row>
    <row r="160" spans="1:13" hidden="1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</row>
    <row r="161" spans="1:13" hidden="1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</row>
    <row r="162" spans="1:13" hidden="1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</row>
    <row r="163" spans="1:13" hidden="1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</row>
    <row r="164" spans="1:13" hidden="1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</row>
    <row r="165" spans="1:13" hidden="1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</row>
    <row r="166" spans="1:13" hidden="1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</row>
    <row r="167" spans="1:13" hidden="1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</row>
    <row r="168" spans="1:13" hidden="1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</row>
    <row r="169" spans="1:13" hidden="1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</row>
    <row r="170" spans="1:13" hidden="1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</row>
    <row r="171" spans="1:13" hidden="1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</row>
    <row r="172" spans="1:13" hidden="1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</row>
    <row r="173" spans="1:13" hidden="1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</row>
    <row r="174" spans="1:13" hidden="1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</row>
    <row r="175" spans="1:13" hidden="1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</row>
    <row r="176" spans="1:13" hidden="1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</row>
    <row r="177" spans="1:13" hidden="1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</row>
    <row r="178" spans="1:13" hidden="1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</row>
    <row r="179" spans="1:13" hidden="1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</row>
    <row r="180" spans="1:13" hidden="1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</row>
    <row r="181" spans="1:13" hidden="1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</row>
    <row r="182" spans="1:13" hidden="1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</row>
    <row r="183" spans="1:13" hidden="1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</row>
    <row r="184" spans="1:13" hidden="1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</row>
    <row r="185" spans="1:13" hidden="1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</row>
    <row r="186" spans="1:13" hidden="1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</row>
    <row r="187" spans="1:13" hidden="1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</row>
    <row r="188" spans="1:13" hidden="1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</row>
    <row r="189" spans="1:13" hidden="1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</row>
    <row r="190" spans="1:13" hidden="1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</row>
    <row r="191" spans="1:13" hidden="1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</row>
    <row r="192" spans="1:13" hidden="1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</row>
    <row r="193" spans="1:13" hidden="1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</row>
    <row r="194" spans="1:13" hidden="1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</row>
    <row r="195" spans="1:13" hidden="1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</row>
    <row r="196" spans="1:13" hidden="1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</row>
    <row r="197" spans="1:13" hidden="1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</row>
    <row r="198" spans="1:13" hidden="1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</row>
    <row r="199" spans="1:13" hidden="1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</row>
    <row r="200" spans="1:13" hidden="1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</row>
    <row r="201" spans="1:13" hidden="1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</row>
    <row r="202" spans="1:13" hidden="1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</row>
    <row r="203" spans="1:13" hidden="1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</row>
    <row r="204" spans="1:13" hidden="1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</row>
    <row r="205" spans="1:13" hidden="1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</row>
    <row r="206" spans="1:13" hidden="1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</row>
    <row r="207" spans="1:13" hidden="1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</row>
    <row r="208" spans="1:13" hidden="1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</row>
    <row r="209" spans="1:13" hidden="1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</row>
    <row r="210" spans="1:13" hidden="1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</row>
    <row r="211" spans="1:13" hidden="1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</row>
    <row r="212" spans="1:13" hidden="1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</row>
    <row r="213" spans="1:13" hidden="1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</row>
    <row r="214" spans="1:13" hidden="1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</row>
    <row r="215" spans="1:13" hidden="1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</row>
    <row r="216" spans="1:13" hidden="1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</row>
    <row r="217" spans="1:13" hidden="1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</row>
    <row r="218" spans="1:13" hidden="1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</row>
    <row r="219" spans="1:13" hidden="1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</row>
    <row r="220" spans="1:13" hidden="1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</row>
    <row r="221" spans="1:13" hidden="1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</row>
    <row r="222" spans="1:13" hidden="1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</row>
    <row r="223" spans="1:13" hidden="1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</row>
    <row r="224" spans="1:13" hidden="1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</row>
    <row r="225" spans="1:13" hidden="1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</row>
    <row r="226" spans="1:13" hidden="1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</row>
    <row r="227" spans="1:13" hidden="1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</row>
    <row r="228" spans="1:13" hidden="1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</row>
    <row r="229" spans="1:13" hidden="1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</row>
    <row r="230" spans="1:13" hidden="1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</row>
    <row r="231" spans="1:13" hidden="1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</row>
    <row r="232" spans="1:13" hidden="1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</row>
    <row r="233" spans="1:13" hidden="1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</row>
    <row r="234" spans="1:13" hidden="1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</row>
    <row r="235" spans="1:13" hidden="1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</row>
    <row r="236" spans="1:13" hidden="1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</row>
    <row r="237" spans="1:13" hidden="1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</row>
    <row r="238" spans="1:13" hidden="1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</row>
    <row r="239" spans="1:13" hidden="1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</row>
    <row r="240" spans="1:13" hidden="1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</row>
    <row r="241" spans="1:13" hidden="1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</row>
    <row r="242" spans="1:13" hidden="1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</row>
    <row r="243" spans="1:13" hidden="1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</row>
    <row r="244" spans="1:13" hidden="1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</row>
    <row r="245" spans="1:13" hidden="1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</row>
    <row r="246" spans="1:13" hidden="1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</row>
    <row r="247" spans="1:13" hidden="1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</row>
    <row r="248" spans="1:13" hidden="1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</row>
    <row r="249" spans="1:13" hidden="1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</row>
    <row r="250" spans="1:13" hidden="1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</row>
    <row r="251" spans="1:13" hidden="1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</row>
    <row r="252" spans="1:13" hidden="1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</row>
    <row r="253" spans="1:13" hidden="1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</row>
    <row r="254" spans="1:13" hidden="1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</row>
  </sheetData>
  <sheetProtection algorithmName="SHA-512" hashValue="vGCpIg1I+fMlqanWGhYCrbjuc6t/UUsrFBK3lowWH8xc1dTtT4vEvL/FQWnNRW3bRKnKXYO+8OGur8XrHsZxBg==" saltValue="XLwwRcsHZtQEqvMNpl40kg==" spinCount="100000" sheet="1" selectLockedCells="1" selectUnlockedCells="1"/>
  <mergeCells count="8">
    <mergeCell ref="J7:K7"/>
    <mergeCell ref="B7:C7"/>
    <mergeCell ref="B96:L96"/>
    <mergeCell ref="B71:D71"/>
    <mergeCell ref="B13:D14"/>
    <mergeCell ref="F13:H14"/>
    <mergeCell ref="J13:L14"/>
    <mergeCell ref="B77:D78"/>
  </mergeCells>
  <phoneticPr fontId="0" type="noConversion"/>
  <printOptions horizontalCentered="1" verticalCentered="1"/>
  <pageMargins left="0.74803149606299213" right="0.74803149606299213" top="0.98425196850393704" bottom="0.98425196850393704" header="0" footer="0"/>
  <pageSetup scale="5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O41"/>
  <sheetViews>
    <sheetView showGridLines="0" showRowColHeaders="0" zoomScaleNormal="100" workbookViewId="0">
      <selection activeCell="K6" sqref="K6"/>
    </sheetView>
  </sheetViews>
  <sheetFormatPr baseColWidth="10" defaultColWidth="0" defaultRowHeight="12.5" zeroHeight="1"/>
  <cols>
    <col min="1" max="8" width="11.453125" customWidth="1"/>
    <col min="9" max="9" width="17.54296875" customWidth="1"/>
    <col min="10" max="15" width="11.453125" customWidth="1"/>
    <col min="16" max="16384" width="11.453125" hidden="1"/>
  </cols>
  <sheetData>
    <row r="1" spans="1:10">
      <c r="A1" s="158"/>
      <c r="B1" s="158"/>
      <c r="C1" s="158"/>
      <c r="D1" s="158"/>
      <c r="E1" s="158"/>
      <c r="F1" s="158"/>
      <c r="G1" s="158"/>
      <c r="H1" s="158"/>
      <c r="I1" s="162"/>
    </row>
    <row r="2" spans="1:10">
      <c r="A2" s="158"/>
      <c r="B2" s="158"/>
      <c r="C2" s="158"/>
      <c r="D2" s="158"/>
      <c r="E2" s="158"/>
      <c r="F2" s="158"/>
      <c r="G2" s="158"/>
      <c r="H2" s="158"/>
      <c r="I2" s="162"/>
    </row>
    <row r="3" spans="1:10">
      <c r="A3" s="158"/>
      <c r="B3" s="158"/>
      <c r="C3" s="158"/>
      <c r="D3" s="158"/>
      <c r="E3" s="158"/>
      <c r="F3" s="158"/>
      <c r="G3" s="158"/>
      <c r="H3" s="158"/>
      <c r="I3" s="162"/>
    </row>
    <row r="4" spans="1:10">
      <c r="A4" s="158"/>
      <c r="B4" s="158"/>
      <c r="C4" s="158"/>
      <c r="D4" s="158"/>
      <c r="E4" s="158"/>
      <c r="F4" s="158"/>
      <c r="G4" s="158"/>
      <c r="H4" s="158"/>
      <c r="I4" s="158"/>
    </row>
    <row r="5" spans="1:10">
      <c r="A5" s="158"/>
      <c r="B5" s="158"/>
      <c r="C5" s="158"/>
      <c r="D5" s="158"/>
      <c r="E5" s="158"/>
      <c r="F5" s="158"/>
      <c r="G5" s="158"/>
      <c r="H5" s="158"/>
      <c r="I5" s="158"/>
    </row>
    <row r="6" spans="1:10">
      <c r="A6" s="158"/>
      <c r="B6" s="158"/>
      <c r="C6" s="158"/>
      <c r="D6" s="158"/>
      <c r="E6" s="158"/>
      <c r="F6" s="158"/>
      <c r="G6" s="158"/>
      <c r="H6" s="158"/>
      <c r="I6" s="158"/>
    </row>
    <row r="7" spans="1:10">
      <c r="A7" s="158"/>
      <c r="B7" s="159"/>
      <c r="C7" s="159"/>
      <c r="D7" s="159"/>
      <c r="E7" s="159"/>
      <c r="F7" s="159"/>
      <c r="G7" s="159"/>
      <c r="H7" s="159"/>
      <c r="I7" s="257">
        <f ca="1">TODAY()</f>
        <v>44991</v>
      </c>
    </row>
    <row r="8" spans="1:10">
      <c r="A8" s="158"/>
      <c r="B8" s="159"/>
      <c r="C8" s="159"/>
      <c r="D8" s="159"/>
      <c r="E8" s="159"/>
      <c r="F8" s="159"/>
      <c r="G8" s="159"/>
      <c r="H8" s="159"/>
      <c r="I8" s="159"/>
    </row>
    <row r="9" spans="1:10">
      <c r="A9" s="158"/>
      <c r="B9" s="159"/>
      <c r="C9" s="159"/>
      <c r="D9" s="161"/>
      <c r="E9" s="161"/>
      <c r="F9" s="158"/>
      <c r="G9" s="157"/>
      <c r="H9" s="157"/>
    </row>
    <row r="10" spans="1:10" ht="14">
      <c r="A10" s="144"/>
      <c r="B10" s="806" t="s">
        <v>131</v>
      </c>
      <c r="C10" s="806"/>
      <c r="D10" s="806"/>
      <c r="E10" s="806"/>
      <c r="F10" s="806"/>
      <c r="G10" s="806"/>
      <c r="H10" s="806"/>
      <c r="I10" s="806"/>
    </row>
    <row r="11" spans="1:10" ht="14">
      <c r="A11" s="144"/>
      <c r="B11" s="703"/>
      <c r="C11" s="703"/>
      <c r="D11" s="703"/>
      <c r="E11" s="703"/>
      <c r="F11" s="703"/>
      <c r="G11" s="703"/>
      <c r="H11" s="703"/>
      <c r="I11" s="703"/>
    </row>
    <row r="12" spans="1:10">
      <c r="A12" s="144"/>
      <c r="B12" s="802" t="s">
        <v>344</v>
      </c>
      <c r="C12" s="802"/>
      <c r="D12" s="802"/>
      <c r="E12" s="802"/>
      <c r="F12" s="802"/>
      <c r="G12" s="802"/>
      <c r="H12" s="802"/>
      <c r="I12" s="802"/>
      <c r="J12" s="340"/>
    </row>
    <row r="13" spans="1:10" ht="20">
      <c r="A13" s="144"/>
      <c r="B13" s="807" t="s">
        <v>205</v>
      </c>
      <c r="C13" s="807"/>
      <c r="D13" s="807"/>
      <c r="E13" s="807"/>
      <c r="F13" s="807"/>
      <c r="G13" s="807"/>
      <c r="H13" s="807"/>
      <c r="I13" s="807"/>
      <c r="J13" s="340"/>
    </row>
    <row r="14" spans="1:10">
      <c r="A14" s="144"/>
      <c r="B14" s="808"/>
      <c r="C14" s="808"/>
      <c r="D14" s="808"/>
      <c r="E14" s="808"/>
      <c r="F14" s="808"/>
      <c r="G14" s="808"/>
      <c r="H14" s="808"/>
      <c r="I14" s="808"/>
      <c r="J14" s="704"/>
    </row>
    <row r="15" spans="1:10">
      <c r="A15" s="144"/>
      <c r="B15" s="702"/>
      <c r="C15" s="702"/>
      <c r="D15" s="702"/>
      <c r="E15" s="702"/>
      <c r="F15" s="702"/>
      <c r="G15" s="702"/>
      <c r="H15" s="702"/>
      <c r="I15" s="702"/>
      <c r="J15" s="704"/>
    </row>
    <row r="16" spans="1:10">
      <c r="A16" s="144"/>
      <c r="B16" s="341"/>
      <c r="C16" s="341"/>
      <c r="D16" s="341"/>
      <c r="E16" s="341"/>
      <c r="F16" s="341"/>
      <c r="G16" s="341"/>
      <c r="H16" s="341"/>
      <c r="I16" s="341"/>
      <c r="J16" s="341"/>
    </row>
    <row r="17" spans="1:10">
      <c r="A17" s="144"/>
      <c r="B17" s="802" t="s">
        <v>345</v>
      </c>
      <c r="C17" s="802"/>
      <c r="D17" s="802"/>
      <c r="E17" s="802"/>
      <c r="F17" s="802"/>
      <c r="G17" s="802"/>
      <c r="H17" s="802"/>
      <c r="I17" s="802"/>
    </row>
    <row r="18" spans="1:10" ht="12.75" customHeight="1">
      <c r="A18" s="144"/>
      <c r="B18" s="802" t="s">
        <v>346</v>
      </c>
      <c r="C18" s="802"/>
      <c r="D18" s="802"/>
      <c r="E18" s="802"/>
      <c r="F18" s="802"/>
      <c r="G18" s="802"/>
      <c r="H18" s="802"/>
      <c r="I18" s="802"/>
    </row>
    <row r="19" spans="1:10" ht="12.75" customHeight="1">
      <c r="A19" s="144"/>
      <c r="B19" s="802" t="s">
        <v>347</v>
      </c>
      <c r="C19" s="802"/>
      <c r="D19" s="802"/>
      <c r="E19" s="802"/>
      <c r="F19" s="802"/>
      <c r="G19" s="802"/>
      <c r="H19" s="802"/>
      <c r="I19" s="802"/>
    </row>
    <row r="20" spans="1:10" ht="12.75" customHeight="1">
      <c r="A20" s="144"/>
      <c r="B20" s="802" t="s">
        <v>348</v>
      </c>
      <c r="C20" s="802"/>
      <c r="D20" s="802"/>
      <c r="E20" s="802"/>
      <c r="F20" s="802"/>
      <c r="G20" s="802"/>
      <c r="H20" s="802"/>
      <c r="I20" s="802"/>
    </row>
    <row r="21" spans="1:10" ht="12.75" customHeight="1">
      <c r="A21" s="144"/>
      <c r="B21" s="802" t="s">
        <v>349</v>
      </c>
      <c r="C21" s="802"/>
      <c r="D21" s="802"/>
      <c r="E21" s="802"/>
      <c r="F21" s="802"/>
      <c r="G21" s="802"/>
      <c r="H21" s="802"/>
      <c r="I21" s="802"/>
    </row>
    <row r="22" spans="1:10" ht="12.75" customHeight="1">
      <c r="A22" s="144"/>
      <c r="B22" s="804" t="s">
        <v>178</v>
      </c>
      <c r="C22" s="804"/>
      <c r="D22" s="804"/>
      <c r="E22" s="804"/>
      <c r="F22" s="804"/>
      <c r="G22" s="804"/>
      <c r="H22" s="804"/>
      <c r="I22" s="804"/>
    </row>
    <row r="23" spans="1:10" ht="12.75" customHeight="1">
      <c r="A23" s="144"/>
      <c r="B23" s="802" t="s">
        <v>350</v>
      </c>
      <c r="C23" s="802"/>
      <c r="D23" s="802"/>
      <c r="E23" s="802"/>
      <c r="F23" s="802"/>
      <c r="G23" s="802"/>
      <c r="H23" s="802"/>
      <c r="I23" s="802"/>
    </row>
    <row r="24" spans="1:10" ht="12.75" customHeight="1">
      <c r="A24" s="144"/>
      <c r="B24" s="802" t="s">
        <v>351</v>
      </c>
      <c r="C24" s="802"/>
      <c r="D24" s="802"/>
      <c r="E24" s="802"/>
      <c r="F24" s="802"/>
      <c r="G24" s="802"/>
      <c r="H24" s="802"/>
      <c r="I24" s="802"/>
    </row>
    <row r="25" spans="1:10" ht="12.75" customHeight="1">
      <c r="A25" s="144"/>
      <c r="B25" s="802" t="s">
        <v>352</v>
      </c>
      <c r="C25" s="802"/>
      <c r="D25" s="802"/>
      <c r="E25" s="802"/>
      <c r="F25" s="802"/>
      <c r="G25" s="802"/>
      <c r="H25" s="802"/>
      <c r="I25" s="802"/>
    </row>
    <row r="26" spans="1:10" ht="12.75" customHeight="1">
      <c r="A26" s="144"/>
      <c r="B26" s="802" t="s">
        <v>353</v>
      </c>
      <c r="C26" s="802"/>
      <c r="D26" s="802"/>
      <c r="E26" s="802"/>
      <c r="F26" s="802"/>
      <c r="G26" s="802"/>
      <c r="H26" s="802"/>
      <c r="I26" s="802"/>
    </row>
    <row r="27" spans="1:10" ht="12.75" customHeight="1">
      <c r="A27" s="144"/>
      <c r="B27" s="802" t="s">
        <v>354</v>
      </c>
      <c r="C27" s="803"/>
      <c r="D27" s="803"/>
      <c r="E27" s="803"/>
      <c r="F27" s="803"/>
      <c r="G27" s="803"/>
      <c r="H27" s="803"/>
      <c r="I27" s="803"/>
    </row>
    <row r="28" spans="1:10" ht="12.75" customHeight="1">
      <c r="A28" s="144"/>
      <c r="B28" s="802" t="s">
        <v>355</v>
      </c>
      <c r="C28" s="803"/>
      <c r="D28" s="803"/>
      <c r="E28" s="803"/>
      <c r="F28" s="803"/>
      <c r="G28" s="803"/>
      <c r="H28" s="803"/>
      <c r="I28" s="803"/>
    </row>
    <row r="29" spans="1:10" ht="12.75" customHeight="1">
      <c r="A29" s="705"/>
      <c r="B29" s="802" t="s">
        <v>356</v>
      </c>
      <c r="C29" s="803"/>
      <c r="D29" s="803"/>
      <c r="E29" s="803"/>
      <c r="F29" s="803"/>
      <c r="G29" s="803"/>
      <c r="H29" s="803"/>
      <c r="I29" s="803"/>
      <c r="J29" s="706"/>
    </row>
    <row r="30" spans="1:10" ht="12.75" customHeight="1">
      <c r="A30" s="705"/>
      <c r="B30" s="805"/>
      <c r="C30" s="805"/>
      <c r="D30" s="805"/>
      <c r="E30" s="805"/>
      <c r="F30" s="805"/>
      <c r="G30" s="805"/>
      <c r="H30" s="805"/>
      <c r="I30" s="805"/>
      <c r="J30" s="707"/>
    </row>
    <row r="31" spans="1:10">
      <c r="A31" s="705"/>
      <c r="B31" s="805"/>
      <c r="C31" s="805"/>
      <c r="D31" s="805"/>
      <c r="E31" s="805"/>
      <c r="F31" s="805"/>
      <c r="G31" s="805"/>
      <c r="H31" s="805"/>
      <c r="I31" s="805"/>
      <c r="J31" s="707"/>
    </row>
    <row r="32" spans="1:10">
      <c r="A32" s="705"/>
      <c r="B32" s="805"/>
      <c r="C32" s="805"/>
      <c r="D32" s="805"/>
      <c r="E32" s="805"/>
      <c r="F32" s="805"/>
      <c r="G32" s="805"/>
      <c r="H32" s="805"/>
      <c r="I32" s="805"/>
      <c r="J32" s="707"/>
    </row>
    <row r="33" spans="1:10">
      <c r="A33" s="705"/>
      <c r="B33" s="805"/>
      <c r="C33" s="805"/>
      <c r="D33" s="805"/>
      <c r="E33" s="805"/>
      <c r="F33" s="805"/>
      <c r="G33" s="805"/>
      <c r="H33" s="805"/>
      <c r="I33" s="805"/>
      <c r="J33" s="707"/>
    </row>
    <row r="34" spans="1:10">
      <c r="A34" s="705"/>
      <c r="B34" s="805"/>
      <c r="C34" s="805"/>
      <c r="D34" s="805"/>
      <c r="E34" s="805"/>
      <c r="F34" s="805"/>
      <c r="G34" s="805"/>
      <c r="H34" s="805"/>
      <c r="I34" s="805"/>
      <c r="J34" s="706"/>
    </row>
    <row r="35" spans="1:10">
      <c r="A35" s="705"/>
      <c r="B35" s="805"/>
      <c r="C35" s="805"/>
      <c r="D35" s="805"/>
      <c r="E35" s="805"/>
      <c r="F35" s="805"/>
      <c r="G35" s="805"/>
      <c r="H35" s="805"/>
      <c r="I35" s="805"/>
      <c r="J35" s="707"/>
    </row>
    <row r="36" spans="1:10">
      <c r="A36" s="705"/>
      <c r="B36" s="708"/>
      <c r="C36" s="708"/>
      <c r="D36" s="708"/>
      <c r="E36" s="708"/>
      <c r="F36" s="708"/>
      <c r="G36" s="708"/>
      <c r="H36" s="708"/>
      <c r="I36" s="708"/>
      <c r="J36" s="707"/>
    </row>
    <row r="37" spans="1:10">
      <c r="A37" s="144"/>
      <c r="B37" s="802"/>
      <c r="C37" s="802"/>
      <c r="D37" s="802"/>
      <c r="E37" s="802"/>
      <c r="F37" s="802"/>
      <c r="G37" s="802"/>
      <c r="H37" s="802"/>
      <c r="I37" s="802"/>
      <c r="J37" s="485"/>
    </row>
    <row r="38" spans="1:10">
      <c r="A38" s="144"/>
      <c r="B38" s="802"/>
      <c r="C38" s="802"/>
      <c r="D38" s="802"/>
      <c r="E38" s="802"/>
      <c r="F38" s="802"/>
      <c r="G38" s="802"/>
      <c r="H38" s="802"/>
      <c r="I38" s="802"/>
      <c r="J38" s="485"/>
    </row>
    <row r="39" spans="1:10">
      <c r="A39" s="144"/>
      <c r="B39" s="802"/>
      <c r="C39" s="802"/>
      <c r="D39" s="802"/>
      <c r="E39" s="802"/>
      <c r="F39" s="802"/>
      <c r="G39" s="802"/>
      <c r="H39" s="802"/>
      <c r="I39" s="802"/>
      <c r="J39" s="485"/>
    </row>
    <row r="40" spans="1:10">
      <c r="A40" s="144"/>
      <c r="B40" s="802"/>
      <c r="C40" s="802"/>
      <c r="D40" s="802"/>
      <c r="E40" s="802"/>
      <c r="F40" s="802"/>
      <c r="G40" s="802"/>
      <c r="H40" s="802"/>
      <c r="I40" s="802"/>
      <c r="J40" s="704"/>
    </row>
    <row r="41" spans="1:10">
      <c r="A41" s="144"/>
      <c r="B41" s="802"/>
      <c r="C41" s="802"/>
      <c r="D41" s="802"/>
      <c r="E41" s="802"/>
      <c r="F41" s="802"/>
      <c r="G41" s="802"/>
      <c r="H41" s="802"/>
      <c r="I41" s="802"/>
    </row>
  </sheetData>
  <sheetProtection algorithmName="SHA-512" hashValue="wxvnzPpKW36CgRP0cxSApYEAOFo3iK3f6bwrBdgRrQ1JPk5baM2qz4zmW8vJPM37JV834ui9Xd1H+HQ35K63Tg==" saltValue="1WuP44yIA6t5Aw3g6LPLKw==" spinCount="100000" sheet="1" objects="1" scenarios="1" selectLockedCells="1"/>
  <mergeCells count="28">
    <mergeCell ref="B37:I37"/>
    <mergeCell ref="B38:I38"/>
    <mergeCell ref="B39:I39"/>
    <mergeCell ref="B21:I21"/>
    <mergeCell ref="B10:I10"/>
    <mergeCell ref="B12:I12"/>
    <mergeCell ref="B13:I13"/>
    <mergeCell ref="B14:I14"/>
    <mergeCell ref="B17:I17"/>
    <mergeCell ref="B19:I19"/>
    <mergeCell ref="B18:I18"/>
    <mergeCell ref="B20:I20"/>
    <mergeCell ref="B40:I40"/>
    <mergeCell ref="B41:I41"/>
    <mergeCell ref="B28:I28"/>
    <mergeCell ref="B22:I22"/>
    <mergeCell ref="B24:I24"/>
    <mergeCell ref="B26:I26"/>
    <mergeCell ref="B25:I25"/>
    <mergeCell ref="B27:I27"/>
    <mergeCell ref="B30:I30"/>
    <mergeCell ref="B23:I23"/>
    <mergeCell ref="B29:I29"/>
    <mergeCell ref="B31:I31"/>
    <mergeCell ref="B32:I32"/>
    <mergeCell ref="B33:I33"/>
    <mergeCell ref="B34:I34"/>
    <mergeCell ref="B35:I35"/>
  </mergeCells>
  <pageMargins left="0.70866141732283472" right="0.70866141732283472" top="0.74803149606299213" bottom="0.74803149606299213" header="0.31496062992125984" footer="0.31496062992125984"/>
  <pageSetup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33"/>
  <sheetViews>
    <sheetView showGridLines="0" showRowColHeaders="0" tabSelected="1" zoomScaleNormal="100" workbookViewId="0">
      <selection activeCell="AM1" sqref="AM1"/>
    </sheetView>
  </sheetViews>
  <sheetFormatPr baseColWidth="10" defaultRowHeight="12.5"/>
  <cols>
    <col min="1" max="12" width="15.54296875" customWidth="1"/>
  </cols>
  <sheetData>
    <row r="1" spans="1:11">
      <c r="A1" s="356"/>
      <c r="B1" s="356"/>
      <c r="C1" s="356"/>
      <c r="D1" s="356"/>
      <c r="E1" s="356"/>
      <c r="F1" s="356"/>
      <c r="G1" s="356"/>
      <c r="H1" s="356"/>
      <c r="I1" s="356"/>
      <c r="J1" s="356"/>
      <c r="K1" s="356"/>
    </row>
    <row r="2" spans="1:11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</row>
    <row r="3" spans="1:11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</row>
    <row r="4" spans="1:11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</row>
    <row r="5" spans="1:11">
      <c r="A5" s="356"/>
      <c r="B5" s="356"/>
      <c r="C5" s="356"/>
      <c r="D5" s="356"/>
      <c r="E5" s="356"/>
      <c r="F5" s="356"/>
      <c r="G5" s="356"/>
      <c r="H5" s="356"/>
      <c r="I5" s="356"/>
      <c r="J5" s="356"/>
      <c r="K5" s="356"/>
    </row>
    <row r="6" spans="1:11">
      <c r="A6" s="356"/>
      <c r="B6" s="356"/>
      <c r="C6" s="356"/>
      <c r="D6" s="356"/>
      <c r="E6" s="356"/>
      <c r="F6" s="356"/>
      <c r="G6" s="356"/>
      <c r="H6" s="356"/>
      <c r="I6" s="356"/>
      <c r="J6" s="356"/>
      <c r="K6" s="356"/>
    </row>
    <row r="7" spans="1:11">
      <c r="A7" s="356"/>
      <c r="B7" s="356"/>
      <c r="C7" s="356"/>
      <c r="D7" s="356"/>
      <c r="E7" s="356"/>
      <c r="F7" s="356"/>
      <c r="G7" s="356"/>
      <c r="H7" s="356"/>
      <c r="I7" s="356"/>
      <c r="J7" s="356"/>
      <c r="K7" s="356"/>
    </row>
    <row r="8" spans="1:11">
      <c r="A8" s="356"/>
      <c r="B8" s="356"/>
      <c r="C8" s="356"/>
      <c r="D8" s="356"/>
      <c r="E8" s="356"/>
      <c r="F8" s="356"/>
      <c r="G8" s="356"/>
      <c r="H8" s="356"/>
      <c r="I8" s="356"/>
      <c r="J8" s="356"/>
      <c r="K8" s="356"/>
    </row>
    <row r="9" spans="1:11">
      <c r="A9" s="356"/>
      <c r="B9" s="356"/>
      <c r="C9" s="356"/>
      <c r="D9" s="356"/>
      <c r="E9" s="356"/>
      <c r="F9" s="356"/>
      <c r="G9" s="356"/>
      <c r="H9" s="356"/>
      <c r="I9" s="356"/>
      <c r="J9" s="356"/>
      <c r="K9" s="356"/>
    </row>
    <row r="10" spans="1:11">
      <c r="A10" s="356"/>
      <c r="B10" s="356"/>
      <c r="C10" s="356"/>
      <c r="D10" s="356"/>
      <c r="E10" s="356"/>
      <c r="F10" s="356"/>
      <c r="G10" s="356"/>
      <c r="H10" s="356"/>
      <c r="I10" s="356"/>
      <c r="J10" s="356"/>
      <c r="K10" s="356"/>
    </row>
    <row r="11" spans="1:11">
      <c r="A11" s="356"/>
      <c r="B11" s="356"/>
      <c r="C11" s="356"/>
      <c r="D11" s="356"/>
      <c r="E11" s="356"/>
      <c r="F11" s="356"/>
      <c r="G11" s="356"/>
      <c r="H11" s="356"/>
      <c r="I11" s="356"/>
      <c r="J11" s="356"/>
      <c r="K11" s="356"/>
    </row>
    <row r="12" spans="1:1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</row>
    <row r="13" spans="1:11">
      <c r="A13" s="356"/>
      <c r="B13" s="356"/>
      <c r="C13" s="356"/>
      <c r="D13" s="356"/>
      <c r="E13" s="356"/>
      <c r="F13" s="356"/>
      <c r="G13" s="356"/>
      <c r="H13" s="356"/>
      <c r="I13" s="356"/>
      <c r="J13" s="356"/>
      <c r="K13" s="356"/>
    </row>
    <row r="14" spans="1:11">
      <c r="A14" s="356"/>
      <c r="B14" s="356"/>
      <c r="C14" s="356"/>
      <c r="D14" s="356"/>
      <c r="E14" s="356"/>
      <c r="F14" s="356"/>
      <c r="G14" s="356"/>
      <c r="H14" s="356"/>
      <c r="I14" s="356"/>
      <c r="J14" s="356"/>
      <c r="K14" s="356"/>
    </row>
    <row r="15" spans="1:11">
      <c r="A15" s="356"/>
      <c r="B15" s="356"/>
      <c r="C15" s="356"/>
      <c r="D15" s="356"/>
      <c r="E15" s="356"/>
      <c r="F15" s="356"/>
      <c r="G15" s="356"/>
      <c r="H15" s="356"/>
      <c r="I15" s="356"/>
      <c r="J15" s="356"/>
      <c r="K15" s="356"/>
    </row>
    <row r="16" spans="1:11">
      <c r="A16" s="356"/>
      <c r="B16" s="356"/>
      <c r="C16" s="356"/>
      <c r="D16" s="356"/>
      <c r="E16" s="356"/>
      <c r="F16" s="356"/>
      <c r="G16" s="356"/>
      <c r="H16" s="356"/>
      <c r="I16" s="356"/>
      <c r="J16" s="356"/>
      <c r="K16" s="356"/>
    </row>
    <row r="17" spans="1:1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</row>
    <row r="18" spans="1:11">
      <c r="A18" s="356"/>
      <c r="B18" s="356"/>
      <c r="C18" s="356"/>
      <c r="D18" s="356"/>
      <c r="E18" s="356"/>
      <c r="F18" s="356"/>
      <c r="G18" s="356"/>
      <c r="H18" s="356"/>
      <c r="I18" s="356"/>
      <c r="J18" s="356"/>
      <c r="K18" s="356"/>
    </row>
    <row r="19" spans="1:11">
      <c r="A19" s="356"/>
      <c r="B19" s="356"/>
      <c r="C19" s="356"/>
      <c r="D19" s="356"/>
      <c r="E19" s="356"/>
      <c r="F19" s="356"/>
      <c r="G19" s="356"/>
      <c r="H19" s="356"/>
      <c r="I19" s="356"/>
      <c r="J19" s="356"/>
      <c r="K19" s="356"/>
    </row>
    <row r="20" spans="1:11">
      <c r="A20" s="356"/>
      <c r="B20" s="356"/>
      <c r="C20" s="356"/>
      <c r="D20" s="356"/>
      <c r="E20" s="356"/>
      <c r="F20" s="356"/>
      <c r="G20" s="356"/>
      <c r="H20" s="356"/>
      <c r="I20" s="356"/>
      <c r="J20" s="356"/>
      <c r="K20" s="356"/>
    </row>
    <row r="21" spans="1:11">
      <c r="A21" s="356"/>
      <c r="B21" s="356"/>
      <c r="C21" s="356"/>
      <c r="D21" s="356"/>
      <c r="E21" s="356"/>
      <c r="F21" s="356"/>
      <c r="G21" s="356"/>
      <c r="H21" s="356"/>
      <c r="I21" s="356"/>
      <c r="J21" s="356"/>
      <c r="K21" s="356"/>
    </row>
    <row r="22" spans="1:11">
      <c r="A22" s="356"/>
      <c r="B22" s="356"/>
      <c r="C22" s="356"/>
      <c r="D22" s="356"/>
      <c r="E22" s="356"/>
      <c r="F22" s="356"/>
      <c r="G22" s="356"/>
      <c r="H22" s="356"/>
      <c r="I22" s="356"/>
      <c r="J22" s="356"/>
      <c r="K22" s="356"/>
    </row>
    <row r="23" spans="1:11">
      <c r="A23" s="356"/>
      <c r="B23" s="356"/>
      <c r="C23" s="356"/>
      <c r="D23" s="356"/>
      <c r="E23" s="356"/>
      <c r="F23" s="356"/>
      <c r="G23" s="356"/>
      <c r="H23" s="356"/>
      <c r="I23" s="356"/>
      <c r="J23" s="356"/>
      <c r="K23" s="356"/>
    </row>
    <row r="24" spans="1:11">
      <c r="A24" s="356"/>
      <c r="B24" s="356"/>
      <c r="C24" s="356"/>
      <c r="D24" s="356"/>
      <c r="E24" s="356"/>
      <c r="F24" s="356"/>
      <c r="G24" s="356"/>
      <c r="H24" s="356"/>
      <c r="I24" s="356"/>
      <c r="J24" s="356"/>
      <c r="K24" s="356"/>
    </row>
    <row r="25" spans="1:11">
      <c r="A25" s="356"/>
      <c r="B25" s="356"/>
      <c r="C25" s="356"/>
      <c r="D25" s="356"/>
      <c r="E25" s="356"/>
      <c r="F25" s="356"/>
      <c r="G25" s="356"/>
      <c r="H25" s="356"/>
      <c r="I25" s="356"/>
      <c r="J25" s="356"/>
      <c r="K25" s="356"/>
    </row>
    <row r="26" spans="1:11">
      <c r="A26" s="356"/>
      <c r="B26" s="356"/>
      <c r="C26" s="356"/>
      <c r="D26" s="356"/>
      <c r="E26" s="356"/>
      <c r="F26" s="356"/>
      <c r="G26" s="356"/>
      <c r="H26" s="356"/>
      <c r="I26" s="356"/>
      <c r="J26" s="356"/>
      <c r="K26" s="356"/>
    </row>
    <row r="27" spans="1:11">
      <c r="A27" s="356"/>
      <c r="B27" s="356"/>
      <c r="C27" s="356"/>
      <c r="D27" s="356"/>
      <c r="E27" s="356"/>
      <c r="F27" s="356"/>
      <c r="G27" s="356"/>
      <c r="H27" s="356"/>
      <c r="I27" s="356"/>
      <c r="J27" s="356"/>
      <c r="K27" s="356"/>
    </row>
    <row r="28" spans="1:11">
      <c r="A28" s="356"/>
      <c r="B28" s="356"/>
      <c r="C28" s="356"/>
      <c r="D28" s="356"/>
      <c r="E28" s="356"/>
      <c r="F28" s="356"/>
      <c r="G28" s="356"/>
      <c r="H28" s="356"/>
      <c r="I28" s="356"/>
      <c r="J28" s="356"/>
      <c r="K28" s="356"/>
    </row>
    <row r="29" spans="1:11">
      <c r="A29" s="356"/>
      <c r="B29" s="356"/>
      <c r="C29" s="356"/>
      <c r="D29" s="356"/>
      <c r="E29" s="356"/>
      <c r="F29" s="356"/>
      <c r="G29" s="356"/>
      <c r="H29" s="356"/>
      <c r="I29" s="356"/>
      <c r="J29" s="356"/>
      <c r="K29" s="356"/>
    </row>
    <row r="30" spans="1:11">
      <c r="A30" s="356"/>
      <c r="B30" s="356"/>
      <c r="C30" s="356"/>
      <c r="D30" s="356"/>
      <c r="E30" s="356"/>
      <c r="F30" s="356"/>
      <c r="G30" s="356"/>
      <c r="H30" s="356"/>
      <c r="I30" s="356"/>
      <c r="J30" s="356"/>
      <c r="K30" s="356"/>
    </row>
    <row r="31" spans="1:11">
      <c r="A31" s="356"/>
      <c r="B31" s="356"/>
      <c r="C31" s="356"/>
      <c r="D31" s="356"/>
      <c r="E31" s="356"/>
      <c r="F31" s="356"/>
      <c r="G31" s="356"/>
      <c r="H31" s="356"/>
      <c r="I31" s="356"/>
      <c r="J31" s="356"/>
      <c r="K31" s="356"/>
    </row>
    <row r="32" spans="1:11">
      <c r="A32" s="356"/>
      <c r="B32" s="356"/>
      <c r="C32" s="356"/>
      <c r="D32" s="356"/>
      <c r="E32" s="356"/>
      <c r="F32" s="356"/>
      <c r="G32" s="356"/>
      <c r="H32" s="356"/>
      <c r="I32" s="356"/>
      <c r="J32" s="356"/>
      <c r="K32" s="356"/>
    </row>
    <row r="33" spans="1:11">
      <c r="A33" s="356"/>
      <c r="B33" s="356"/>
      <c r="C33" s="356"/>
      <c r="D33" s="356"/>
      <c r="E33" s="356"/>
      <c r="F33" s="356"/>
      <c r="G33" s="356"/>
      <c r="H33" s="356"/>
      <c r="I33" s="356"/>
      <c r="J33" s="356"/>
      <c r="K33" s="356"/>
    </row>
  </sheetData>
  <sheetProtection algorithmName="SHA-512" hashValue="IBLO9ngdY/a1zo0F13pimdmc4HenvEqweRZAp4RUEH93Gnx3lqHQodQtrLD0pV4gzYynZjU3iR6Be+v+6LOStw==" saltValue="3kANStsSIYjN3ciDDRrlA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2"/>
  <sheetViews>
    <sheetView workbookViewId="0">
      <selection activeCell="A26" sqref="A26"/>
    </sheetView>
  </sheetViews>
  <sheetFormatPr baseColWidth="10" defaultRowHeight="12.5"/>
  <sheetData>
    <row r="1" spans="1:1">
      <c r="A1" s="484" t="s">
        <v>238</v>
      </c>
    </row>
    <row r="3" spans="1:1">
      <c r="A3" s="485" t="s">
        <v>251</v>
      </c>
    </row>
    <row r="4" spans="1:1">
      <c r="A4" s="485" t="s">
        <v>214</v>
      </c>
    </row>
    <row r="5" spans="1:1">
      <c r="A5" s="485" t="s">
        <v>215</v>
      </c>
    </row>
    <row r="6" spans="1:1">
      <c r="A6" s="485" t="s">
        <v>216</v>
      </c>
    </row>
    <row r="7" spans="1:1">
      <c r="A7" s="484" t="s">
        <v>265</v>
      </c>
    </row>
    <row r="8" spans="1:1">
      <c r="A8" s="484"/>
    </row>
    <row r="9" spans="1:1">
      <c r="A9" s="485" t="s">
        <v>250</v>
      </c>
    </row>
    <row r="10" spans="1:1">
      <c r="A10" s="485" t="s">
        <v>255</v>
      </c>
    </row>
    <row r="11" spans="1:1">
      <c r="A11" s="485" t="s">
        <v>217</v>
      </c>
    </row>
    <row r="12" spans="1:1">
      <c r="A12" s="485" t="s">
        <v>239</v>
      </c>
    </row>
    <row r="13" spans="1:1">
      <c r="A13" s="485" t="s">
        <v>218</v>
      </c>
    </row>
    <row r="15" spans="1:1">
      <c r="A15" s="485" t="s">
        <v>219</v>
      </c>
    </row>
    <row r="16" spans="1:1">
      <c r="A16" s="485" t="s">
        <v>256</v>
      </c>
    </row>
    <row r="17" spans="1:8">
      <c r="A17" s="485" t="s">
        <v>260</v>
      </c>
    </row>
    <row r="18" spans="1:8">
      <c r="A18" s="484" t="s">
        <v>266</v>
      </c>
    </row>
    <row r="20" spans="1:8">
      <c r="A20" s="485" t="s">
        <v>220</v>
      </c>
      <c r="H20" s="485" t="s">
        <v>243</v>
      </c>
    </row>
    <row r="21" spans="1:8">
      <c r="A21" s="485" t="s">
        <v>221</v>
      </c>
      <c r="H21" s="493" t="s">
        <v>244</v>
      </c>
    </row>
    <row r="22" spans="1:8">
      <c r="A22" s="485" t="s">
        <v>257</v>
      </c>
      <c r="H22" s="493" t="s">
        <v>245</v>
      </c>
    </row>
    <row r="23" spans="1:8">
      <c r="A23" s="485" t="s">
        <v>258</v>
      </c>
      <c r="H23" s="493" t="s">
        <v>246</v>
      </c>
    </row>
    <row r="24" spans="1:8">
      <c r="A24" s="485"/>
      <c r="H24" s="493" t="s">
        <v>247</v>
      </c>
    </row>
    <row r="25" spans="1:8">
      <c r="H25" s="493" t="s">
        <v>248</v>
      </c>
    </row>
    <row r="26" spans="1:8">
      <c r="A26" s="485"/>
      <c r="H26" s="493" t="s">
        <v>249</v>
      </c>
    </row>
    <row r="27" spans="1:8">
      <c r="A27" s="485" t="s">
        <v>222</v>
      </c>
    </row>
    <row r="28" spans="1:8">
      <c r="A28" s="485" t="s">
        <v>223</v>
      </c>
      <c r="H28" s="492"/>
    </row>
    <row r="29" spans="1:8">
      <c r="A29" s="485" t="s">
        <v>224</v>
      </c>
    </row>
    <row r="30" spans="1:8">
      <c r="A30" s="485" t="s">
        <v>225</v>
      </c>
    </row>
    <row r="31" spans="1:8">
      <c r="A31" s="485" t="s">
        <v>226</v>
      </c>
    </row>
    <row r="33" spans="1:1">
      <c r="A33" s="485" t="s">
        <v>227</v>
      </c>
    </row>
    <row r="34" spans="1:1">
      <c r="A34" s="485" t="s">
        <v>228</v>
      </c>
    </row>
    <row r="35" spans="1:1">
      <c r="A35" s="485" t="s">
        <v>229</v>
      </c>
    </row>
    <row r="36" spans="1:1">
      <c r="A36" s="485" t="s">
        <v>230</v>
      </c>
    </row>
    <row r="38" spans="1:1">
      <c r="A38" s="485" t="s">
        <v>231</v>
      </c>
    </row>
    <row r="39" spans="1:1">
      <c r="A39" s="485" t="s">
        <v>232</v>
      </c>
    </row>
    <row r="40" spans="1:1">
      <c r="A40" s="485" t="s">
        <v>242</v>
      </c>
    </row>
    <row r="41" spans="1:1">
      <c r="A41" s="485" t="s">
        <v>233</v>
      </c>
    </row>
    <row r="42" spans="1:1">
      <c r="A42" s="485"/>
    </row>
    <row r="44" spans="1:1">
      <c r="A44" s="485" t="s">
        <v>234</v>
      </c>
    </row>
    <row r="45" spans="1:1">
      <c r="A45" s="485" t="s">
        <v>235</v>
      </c>
    </row>
    <row r="46" spans="1:1">
      <c r="A46" s="485" t="s">
        <v>236</v>
      </c>
    </row>
    <row r="47" spans="1:1">
      <c r="A47" s="485" t="s">
        <v>237</v>
      </c>
    </row>
    <row r="49" spans="1:1">
      <c r="A49" s="485" t="s">
        <v>261</v>
      </c>
    </row>
    <row r="50" spans="1:1">
      <c r="A50" s="485" t="s">
        <v>262</v>
      </c>
    </row>
    <row r="51" spans="1:1">
      <c r="A51" s="485" t="s">
        <v>263</v>
      </c>
    </row>
    <row r="52" spans="1:1">
      <c r="A52" s="485" t="s">
        <v>264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 ME</vt:lpstr>
      <vt:lpstr>ADIC</vt:lpstr>
      <vt:lpstr>CONYUGE!Área_de_impresión</vt:lpstr>
      <vt:lpstr>COTIZACION!Área_de_impresión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RMES</vt:lpstr>
      <vt:lpstr>RSEM</vt:lpstr>
      <vt:lpstr>RTRIM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JESSICA FARIAS</cp:lastModifiedBy>
  <cp:lastPrinted>2018-01-26T20:49:36Z</cp:lastPrinted>
  <dcterms:created xsi:type="dcterms:W3CDTF">2002-01-09T15:02:34Z</dcterms:created>
  <dcterms:modified xsi:type="dcterms:W3CDTF">2023-03-06T16:48:47Z</dcterms:modified>
</cp:coreProperties>
</file>